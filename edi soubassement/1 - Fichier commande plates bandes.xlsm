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filterPrivacy="1" codeName="ThisWorkbook"/>
  <xr:revisionPtr revIDLastSave="0" documentId="13_ncr:1_{B603D4C4-513A-4843-B0E4-1B088AE3D8D2}" xr6:coauthVersionLast="47" xr6:coauthVersionMax="47" xr10:uidLastSave="{00000000-0000-0000-0000-000000000000}"/>
  <bookViews>
    <workbookView xWindow="-28920" yWindow="-120" windowWidth="29040" windowHeight="15720" tabRatio="765" xr2:uid="{00000000-000D-0000-FFFF-FFFF00000000}"/>
  </bookViews>
  <sheets>
    <sheet name="Extraction edi" sheetId="1" r:id="rId1"/>
    <sheet name="Feuille commande" sheetId="2" r:id="rId2"/>
    <sheet name="Extration 3E date commande" sheetId="4" r:id="rId3"/>
    <sheet name="Paramètrage" sheetId="3" r:id="rId4"/>
    <sheet name="Correspondance plate bande" sheetId="5" r:id="rId5"/>
    <sheet name="A AJOUTER" sheetId="6" r:id="rId6"/>
  </sheets>
  <definedNames>
    <definedName name="_xlnm._FilterDatabase" localSheetId="2" hidden="1">'Extration 3E date commande'!$A$1:$I$1</definedName>
    <definedName name="_xlnm._FilterDatabase" localSheetId="3" hidden="1">Paramètrage!$A$5:$E$197</definedName>
    <definedName name="_xlnm.Print_Area" localSheetId="3">Paramètrage!$A$1:$E$134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7" i="2" l="1"/>
  <c r="A147" i="2" s="1"/>
  <c r="C147" i="2"/>
  <c r="D147" i="2"/>
  <c r="E147" i="2"/>
  <c r="J147" i="2"/>
  <c r="K147" i="2"/>
  <c r="B148" i="2"/>
  <c r="A148" i="2" s="1"/>
  <c r="C148" i="2"/>
  <c r="D148" i="2"/>
  <c r="E148" i="2"/>
  <c r="J148" i="2"/>
  <c r="K148" i="2"/>
  <c r="B149" i="2"/>
  <c r="A149" i="2" s="1"/>
  <c r="C149" i="2"/>
  <c r="D149" i="2"/>
  <c r="E149" i="2"/>
  <c r="J149" i="2"/>
  <c r="K149" i="2"/>
  <c r="B150" i="2"/>
  <c r="A150" i="2" s="1"/>
  <c r="C150" i="2"/>
  <c r="D150" i="2"/>
  <c r="E150" i="2"/>
  <c r="J150" i="2"/>
  <c r="K150" i="2"/>
  <c r="A151" i="2"/>
  <c r="B151" i="2"/>
  <c r="C151" i="2"/>
  <c r="D151" i="2"/>
  <c r="E151" i="2"/>
  <c r="J151" i="2"/>
  <c r="K151" i="2"/>
  <c r="B152" i="2"/>
  <c r="A152" i="2" s="1"/>
  <c r="C152" i="2"/>
  <c r="D152" i="2"/>
  <c r="E152" i="2"/>
  <c r="J152" i="2"/>
  <c r="K152" i="2"/>
  <c r="B153" i="2"/>
  <c r="A153" i="2" s="1"/>
  <c r="C153" i="2"/>
  <c r="D153" i="2"/>
  <c r="E153" i="2"/>
  <c r="J153" i="2"/>
  <c r="K153" i="2"/>
  <c r="L153" i="2"/>
  <c r="B154" i="2"/>
  <c r="A154" i="2" s="1"/>
  <c r="C154" i="2"/>
  <c r="D154" i="2"/>
  <c r="E154" i="2"/>
  <c r="J154" i="2"/>
  <c r="K154" i="2"/>
  <c r="L154" i="2"/>
  <c r="B155" i="2"/>
  <c r="A155" i="2" s="1"/>
  <c r="C155" i="2"/>
  <c r="D155" i="2"/>
  <c r="E155" i="2"/>
  <c r="J155" i="2"/>
  <c r="K155" i="2"/>
  <c r="L155" i="2"/>
  <c r="B156" i="2"/>
  <c r="A156" i="2" s="1"/>
  <c r="C156" i="2"/>
  <c r="D156" i="2"/>
  <c r="E156" i="2"/>
  <c r="J156" i="2"/>
  <c r="K156" i="2"/>
  <c r="L156" i="2"/>
  <c r="A157" i="2"/>
  <c r="B157" i="2"/>
  <c r="C157" i="2"/>
  <c r="D157" i="2"/>
  <c r="E157" i="2"/>
  <c r="J157" i="2"/>
  <c r="K157" i="2"/>
  <c r="L157" i="2"/>
  <c r="B158" i="2"/>
  <c r="A158" i="2" s="1"/>
  <c r="C158" i="2"/>
  <c r="D158" i="2"/>
  <c r="E158" i="2"/>
  <c r="J158" i="2"/>
  <c r="K158" i="2"/>
  <c r="L158" i="2"/>
  <c r="B159" i="2"/>
  <c r="A159" i="2" s="1"/>
  <c r="C159" i="2"/>
  <c r="D159" i="2"/>
  <c r="E159" i="2"/>
  <c r="J159" i="2"/>
  <c r="K159" i="2"/>
  <c r="L159" i="2"/>
  <c r="B160" i="2"/>
  <c r="A160" i="2" s="1"/>
  <c r="C160" i="2"/>
  <c r="D160" i="2"/>
  <c r="E160" i="2"/>
  <c r="J160" i="2"/>
  <c r="K160" i="2"/>
  <c r="L160" i="2"/>
  <c r="B161" i="2"/>
  <c r="A161" i="2" s="1"/>
  <c r="C161" i="2"/>
  <c r="D161" i="2"/>
  <c r="E161" i="2"/>
  <c r="J161" i="2"/>
  <c r="K161" i="2"/>
  <c r="L161" i="2"/>
  <c r="B162" i="2"/>
  <c r="A162" i="2" s="1"/>
  <c r="C162" i="2"/>
  <c r="D162" i="2"/>
  <c r="E162" i="2"/>
  <c r="J162" i="2"/>
  <c r="K162" i="2"/>
  <c r="L162" i="2"/>
  <c r="A163" i="2"/>
  <c r="B163" i="2"/>
  <c r="C163" i="2"/>
  <c r="D163" i="2"/>
  <c r="E163" i="2"/>
  <c r="J163" i="2"/>
  <c r="K163" i="2"/>
  <c r="L163" i="2"/>
  <c r="B164" i="2"/>
  <c r="A164" i="2" s="1"/>
  <c r="C164" i="2"/>
  <c r="D164" i="2"/>
  <c r="E164" i="2"/>
  <c r="J164" i="2"/>
  <c r="K164" i="2"/>
  <c r="L164" i="2"/>
  <c r="B165" i="2"/>
  <c r="A165" i="2" s="1"/>
  <c r="C165" i="2"/>
  <c r="D165" i="2"/>
  <c r="E165" i="2"/>
  <c r="J165" i="2"/>
  <c r="K165" i="2"/>
  <c r="L165" i="2"/>
  <c r="B166" i="2"/>
  <c r="A166" i="2" s="1"/>
  <c r="C166" i="2"/>
  <c r="D166" i="2"/>
  <c r="E166" i="2"/>
  <c r="J166" i="2"/>
  <c r="K166" i="2"/>
  <c r="L166" i="2"/>
  <c r="B167" i="2"/>
  <c r="A167" i="2" s="1"/>
  <c r="C167" i="2"/>
  <c r="D167" i="2"/>
  <c r="E167" i="2"/>
  <c r="J167" i="2"/>
  <c r="K167" i="2"/>
  <c r="L167" i="2"/>
  <c r="B168" i="2"/>
  <c r="A168" i="2" s="1"/>
  <c r="C168" i="2"/>
  <c r="D168" i="2"/>
  <c r="E168" i="2"/>
  <c r="J168" i="2"/>
  <c r="K168" i="2"/>
  <c r="L168" i="2"/>
  <c r="A169" i="2"/>
  <c r="B169" i="2"/>
  <c r="C169" i="2"/>
  <c r="D169" i="2"/>
  <c r="E169" i="2"/>
  <c r="J169" i="2"/>
  <c r="K169" i="2"/>
  <c r="L169" i="2"/>
  <c r="B170" i="2"/>
  <c r="A170" i="2" s="1"/>
  <c r="C170" i="2"/>
  <c r="D170" i="2"/>
  <c r="E170" i="2"/>
  <c r="J170" i="2"/>
  <c r="K170" i="2"/>
  <c r="L170" i="2"/>
  <c r="B171" i="2"/>
  <c r="A171" i="2" s="1"/>
  <c r="C171" i="2"/>
  <c r="D171" i="2"/>
  <c r="E171" i="2"/>
  <c r="J171" i="2"/>
  <c r="K171" i="2"/>
  <c r="L171" i="2"/>
  <c r="B172" i="2"/>
  <c r="A172" i="2" s="1"/>
  <c r="C172" i="2"/>
  <c r="D172" i="2"/>
  <c r="E172" i="2"/>
  <c r="J172" i="2"/>
  <c r="K172" i="2"/>
  <c r="L172" i="2"/>
  <c r="B173" i="2"/>
  <c r="A173" i="2" s="1"/>
  <c r="C173" i="2"/>
  <c r="D173" i="2"/>
  <c r="E173" i="2"/>
  <c r="J173" i="2"/>
  <c r="K173" i="2"/>
  <c r="L173" i="2"/>
  <c r="B174" i="2"/>
  <c r="A174" i="2" s="1"/>
  <c r="C174" i="2"/>
  <c r="D174" i="2"/>
  <c r="E174" i="2"/>
  <c r="J174" i="2"/>
  <c r="K174" i="2"/>
  <c r="L174" i="2"/>
  <c r="A175" i="2"/>
  <c r="B175" i="2"/>
  <c r="C175" i="2"/>
  <c r="D175" i="2"/>
  <c r="E175" i="2"/>
  <c r="J175" i="2"/>
  <c r="K175" i="2"/>
  <c r="L175" i="2"/>
  <c r="B176" i="2"/>
  <c r="A176" i="2" s="1"/>
  <c r="C176" i="2"/>
  <c r="D176" i="2"/>
  <c r="E176" i="2"/>
  <c r="J176" i="2"/>
  <c r="K176" i="2"/>
  <c r="L176" i="2"/>
  <c r="B177" i="2"/>
  <c r="A177" i="2" s="1"/>
  <c r="C177" i="2"/>
  <c r="D177" i="2"/>
  <c r="E177" i="2"/>
  <c r="J177" i="2"/>
  <c r="K177" i="2"/>
  <c r="L177" i="2"/>
  <c r="B178" i="2"/>
  <c r="A178" i="2" s="1"/>
  <c r="C178" i="2"/>
  <c r="D178" i="2"/>
  <c r="E178" i="2"/>
  <c r="J178" i="2"/>
  <c r="K178" i="2"/>
  <c r="L178" i="2"/>
  <c r="B179" i="2"/>
  <c r="A179" i="2" s="1"/>
  <c r="C179" i="2"/>
  <c r="D179" i="2"/>
  <c r="E179" i="2"/>
  <c r="J179" i="2"/>
  <c r="K179" i="2"/>
  <c r="L179" i="2"/>
  <c r="B180" i="2"/>
  <c r="A180" i="2" s="1"/>
  <c r="C180" i="2"/>
  <c r="D180" i="2"/>
  <c r="E180" i="2"/>
  <c r="J180" i="2"/>
  <c r="K180" i="2"/>
  <c r="L180" i="2"/>
  <c r="A181" i="2"/>
  <c r="B181" i="2"/>
  <c r="C181" i="2"/>
  <c r="D181" i="2"/>
  <c r="E181" i="2"/>
  <c r="J181" i="2"/>
  <c r="K181" i="2"/>
  <c r="L181" i="2"/>
  <c r="B182" i="2"/>
  <c r="A182" i="2" s="1"/>
  <c r="C182" i="2"/>
  <c r="D182" i="2"/>
  <c r="E182" i="2"/>
  <c r="J182" i="2"/>
  <c r="K182" i="2"/>
  <c r="L182" i="2"/>
  <c r="B183" i="2"/>
  <c r="A183" i="2" s="1"/>
  <c r="C183" i="2"/>
  <c r="D183" i="2"/>
  <c r="E183" i="2"/>
  <c r="J183" i="2"/>
  <c r="K183" i="2"/>
  <c r="L183" i="2"/>
  <c r="B184" i="2"/>
  <c r="A184" i="2" s="1"/>
  <c r="C184" i="2"/>
  <c r="D184" i="2"/>
  <c r="E184" i="2"/>
  <c r="J184" i="2"/>
  <c r="K184" i="2"/>
  <c r="L184" i="2"/>
  <c r="B185" i="2"/>
  <c r="A185" i="2" s="1"/>
  <c r="C185" i="2"/>
  <c r="D185" i="2"/>
  <c r="E185" i="2"/>
  <c r="J185" i="2"/>
  <c r="K185" i="2"/>
  <c r="L185" i="2"/>
  <c r="B186" i="2"/>
  <c r="A186" i="2" s="1"/>
  <c r="C186" i="2"/>
  <c r="D186" i="2"/>
  <c r="E186" i="2"/>
  <c r="J186" i="2"/>
  <c r="K186" i="2"/>
  <c r="L186" i="2"/>
  <c r="A187" i="2"/>
  <c r="B187" i="2"/>
  <c r="C187" i="2"/>
  <c r="D187" i="2"/>
  <c r="E187" i="2"/>
  <c r="J187" i="2"/>
  <c r="K187" i="2"/>
  <c r="L187" i="2"/>
  <c r="B188" i="2"/>
  <c r="A188" i="2" s="1"/>
  <c r="C188" i="2"/>
  <c r="D188" i="2"/>
  <c r="E188" i="2"/>
  <c r="J188" i="2"/>
  <c r="K188" i="2"/>
  <c r="L188" i="2"/>
  <c r="B189" i="2"/>
  <c r="A189" i="2" s="1"/>
  <c r="C189" i="2"/>
  <c r="D189" i="2"/>
  <c r="E189" i="2"/>
  <c r="J189" i="2"/>
  <c r="K189" i="2"/>
  <c r="L189" i="2"/>
  <c r="B190" i="2"/>
  <c r="A190" i="2" s="1"/>
  <c r="C190" i="2"/>
  <c r="D190" i="2"/>
  <c r="E190" i="2"/>
  <c r="J190" i="2"/>
  <c r="K190" i="2"/>
  <c r="L190" i="2"/>
  <c r="B191" i="2"/>
  <c r="A191" i="2" s="1"/>
  <c r="C191" i="2"/>
  <c r="D191" i="2"/>
  <c r="E191" i="2"/>
  <c r="J191" i="2"/>
  <c r="K191" i="2"/>
  <c r="L191" i="2"/>
  <c r="B192" i="2"/>
  <c r="A192" i="2" s="1"/>
  <c r="C192" i="2"/>
  <c r="D192" i="2"/>
  <c r="E192" i="2"/>
  <c r="J192" i="2"/>
  <c r="K192" i="2"/>
  <c r="L192" i="2"/>
  <c r="A193" i="2"/>
  <c r="B193" i="2"/>
  <c r="C193" i="2"/>
  <c r="D193" i="2"/>
  <c r="E193" i="2"/>
  <c r="J193" i="2"/>
  <c r="K193" i="2"/>
  <c r="L193" i="2"/>
  <c r="B194" i="2"/>
  <c r="A194" i="2" s="1"/>
  <c r="C194" i="2"/>
  <c r="D194" i="2"/>
  <c r="E194" i="2"/>
  <c r="J194" i="2"/>
  <c r="K194" i="2"/>
  <c r="L194" i="2"/>
  <c r="B195" i="2"/>
  <c r="A195" i="2" s="1"/>
  <c r="C195" i="2"/>
  <c r="D195" i="2"/>
  <c r="E195" i="2"/>
  <c r="J195" i="2"/>
  <c r="K195" i="2"/>
  <c r="L195" i="2"/>
  <c r="B196" i="2"/>
  <c r="A196" i="2" s="1"/>
  <c r="C196" i="2"/>
  <c r="D196" i="2"/>
  <c r="E196" i="2"/>
  <c r="J196" i="2"/>
  <c r="K196" i="2"/>
  <c r="L196" i="2"/>
  <c r="B197" i="2"/>
  <c r="A197" i="2" s="1"/>
  <c r="C197" i="2"/>
  <c r="D197" i="2"/>
  <c r="E197" i="2"/>
  <c r="J197" i="2"/>
  <c r="K197" i="2"/>
  <c r="L197" i="2"/>
  <c r="B198" i="2"/>
  <c r="A198" i="2" s="1"/>
  <c r="C198" i="2"/>
  <c r="D198" i="2"/>
  <c r="E198" i="2"/>
  <c r="J198" i="2"/>
  <c r="K198" i="2"/>
  <c r="L198" i="2"/>
  <c r="A199" i="2"/>
  <c r="B199" i="2"/>
  <c r="C199" i="2"/>
  <c r="D199" i="2"/>
  <c r="E199" i="2"/>
  <c r="J199" i="2"/>
  <c r="K199" i="2"/>
  <c r="L199" i="2"/>
  <c r="B200" i="2"/>
  <c r="A200" i="2" s="1"/>
  <c r="C200" i="2"/>
  <c r="D200" i="2"/>
  <c r="E200" i="2"/>
  <c r="J200" i="2"/>
  <c r="K200" i="2"/>
  <c r="L200" i="2"/>
  <c r="B201" i="2"/>
  <c r="A201" i="2" s="1"/>
  <c r="C201" i="2"/>
  <c r="D201" i="2"/>
  <c r="E201" i="2"/>
  <c r="J201" i="2"/>
  <c r="K201" i="2"/>
  <c r="L201" i="2"/>
  <c r="B202" i="2"/>
  <c r="A202" i="2" s="1"/>
  <c r="C202" i="2"/>
  <c r="D202" i="2"/>
  <c r="E202" i="2"/>
  <c r="J202" i="2"/>
  <c r="K202" i="2"/>
  <c r="L202" i="2"/>
  <c r="B203" i="2"/>
  <c r="A203" i="2" s="1"/>
  <c r="C203" i="2"/>
  <c r="D203" i="2"/>
  <c r="E203" i="2"/>
  <c r="J203" i="2"/>
  <c r="K203" i="2"/>
  <c r="L203" i="2"/>
  <c r="B204" i="2"/>
  <c r="A204" i="2" s="1"/>
  <c r="C204" i="2"/>
  <c r="D204" i="2"/>
  <c r="E204" i="2"/>
  <c r="J204" i="2"/>
  <c r="K204" i="2"/>
  <c r="L204" i="2"/>
  <c r="A205" i="2"/>
  <c r="B205" i="2"/>
  <c r="C205" i="2"/>
  <c r="D205" i="2"/>
  <c r="E205" i="2"/>
  <c r="J205" i="2"/>
  <c r="K205" i="2"/>
  <c r="L205" i="2"/>
  <c r="B206" i="2"/>
  <c r="A206" i="2" s="1"/>
  <c r="C206" i="2"/>
  <c r="D206" i="2"/>
  <c r="E206" i="2"/>
  <c r="J206" i="2"/>
  <c r="K206" i="2"/>
  <c r="L206" i="2"/>
  <c r="B207" i="2"/>
  <c r="A207" i="2" s="1"/>
  <c r="C207" i="2"/>
  <c r="D207" i="2"/>
  <c r="E207" i="2"/>
  <c r="J207" i="2"/>
  <c r="K207" i="2"/>
  <c r="L207" i="2"/>
  <c r="B208" i="2"/>
  <c r="A208" i="2" s="1"/>
  <c r="C208" i="2"/>
  <c r="D208" i="2"/>
  <c r="E208" i="2"/>
  <c r="J208" i="2"/>
  <c r="K208" i="2"/>
  <c r="L208" i="2"/>
  <c r="B209" i="2"/>
  <c r="A209" i="2" s="1"/>
  <c r="C209" i="2"/>
  <c r="D209" i="2"/>
  <c r="E209" i="2"/>
  <c r="J209" i="2"/>
  <c r="K209" i="2"/>
  <c r="L209" i="2"/>
  <c r="B210" i="2"/>
  <c r="A210" i="2" s="1"/>
  <c r="C210" i="2"/>
  <c r="D210" i="2"/>
  <c r="E210" i="2"/>
  <c r="J210" i="2"/>
  <c r="K210" i="2"/>
  <c r="L210" i="2"/>
  <c r="A211" i="2"/>
  <c r="B211" i="2"/>
  <c r="C211" i="2"/>
  <c r="D211" i="2"/>
  <c r="E211" i="2"/>
  <c r="J211" i="2"/>
  <c r="K211" i="2"/>
  <c r="L211" i="2"/>
  <c r="A212" i="2"/>
  <c r="B212" i="2"/>
  <c r="C212" i="2"/>
  <c r="D212" i="2"/>
  <c r="E212" i="2"/>
  <c r="J212" i="2"/>
  <c r="K212" i="2"/>
  <c r="L212" i="2"/>
  <c r="B213" i="2"/>
  <c r="A213" i="2" s="1"/>
  <c r="C213" i="2"/>
  <c r="D213" i="2"/>
  <c r="E213" i="2"/>
  <c r="J213" i="2"/>
  <c r="K213" i="2"/>
  <c r="L213" i="2"/>
  <c r="B214" i="2"/>
  <c r="A214" i="2" s="1"/>
  <c r="C214" i="2"/>
  <c r="D214" i="2"/>
  <c r="E214" i="2"/>
  <c r="J214" i="2"/>
  <c r="K214" i="2"/>
  <c r="L214" i="2"/>
  <c r="B215" i="2"/>
  <c r="A215" i="2" s="1"/>
  <c r="C215" i="2"/>
  <c r="D215" i="2"/>
  <c r="E215" i="2"/>
  <c r="J215" i="2"/>
  <c r="K215" i="2"/>
  <c r="L215" i="2"/>
  <c r="B216" i="2"/>
  <c r="A216" i="2" s="1"/>
  <c r="C216" i="2"/>
  <c r="D216" i="2"/>
  <c r="E216" i="2"/>
  <c r="J216" i="2"/>
  <c r="K216" i="2"/>
  <c r="L216" i="2"/>
  <c r="A217" i="2"/>
  <c r="B217" i="2"/>
  <c r="C217" i="2"/>
  <c r="D217" i="2"/>
  <c r="E217" i="2"/>
  <c r="J217" i="2"/>
  <c r="K217" i="2"/>
  <c r="L217" i="2"/>
  <c r="B218" i="2"/>
  <c r="A218" i="2" s="1"/>
  <c r="C218" i="2"/>
  <c r="D218" i="2"/>
  <c r="E218" i="2"/>
  <c r="J218" i="2"/>
  <c r="K218" i="2"/>
  <c r="L218" i="2"/>
  <c r="B219" i="2"/>
  <c r="A219" i="2" s="1"/>
  <c r="C219" i="2"/>
  <c r="D219" i="2"/>
  <c r="E219" i="2"/>
  <c r="J219" i="2"/>
  <c r="K219" i="2"/>
  <c r="L219" i="2"/>
  <c r="B220" i="2"/>
  <c r="A220" i="2" s="1"/>
  <c r="C220" i="2"/>
  <c r="D220" i="2"/>
  <c r="E220" i="2"/>
  <c r="J220" i="2"/>
  <c r="K220" i="2"/>
  <c r="L220" i="2"/>
  <c r="B221" i="2"/>
  <c r="A221" i="2" s="1"/>
  <c r="C221" i="2"/>
  <c r="D221" i="2"/>
  <c r="E221" i="2"/>
  <c r="J221" i="2"/>
  <c r="K221" i="2"/>
  <c r="L221" i="2"/>
  <c r="B222" i="2"/>
  <c r="A222" i="2" s="1"/>
  <c r="C222" i="2"/>
  <c r="D222" i="2"/>
  <c r="E222" i="2"/>
  <c r="J222" i="2"/>
  <c r="K222" i="2"/>
  <c r="L222" i="2"/>
  <c r="A223" i="2"/>
  <c r="B223" i="2"/>
  <c r="C223" i="2"/>
  <c r="D223" i="2"/>
  <c r="E223" i="2"/>
  <c r="J223" i="2"/>
  <c r="K223" i="2"/>
  <c r="L223" i="2"/>
  <c r="A224" i="2"/>
  <c r="B224" i="2"/>
  <c r="C224" i="2"/>
  <c r="D224" i="2"/>
  <c r="E224" i="2"/>
  <c r="J224" i="2"/>
  <c r="K224" i="2"/>
  <c r="L224" i="2"/>
  <c r="B225" i="2"/>
  <c r="A225" i="2" s="1"/>
  <c r="C225" i="2"/>
  <c r="D225" i="2"/>
  <c r="E225" i="2"/>
  <c r="J225" i="2"/>
  <c r="K225" i="2"/>
  <c r="L225" i="2"/>
  <c r="B226" i="2"/>
  <c r="A226" i="2" s="1"/>
  <c r="C226" i="2"/>
  <c r="D226" i="2"/>
  <c r="E226" i="2"/>
  <c r="J226" i="2"/>
  <c r="K226" i="2"/>
  <c r="L226" i="2"/>
  <c r="B227" i="2"/>
  <c r="A227" i="2" s="1"/>
  <c r="C227" i="2"/>
  <c r="D227" i="2"/>
  <c r="E227" i="2"/>
  <c r="J227" i="2"/>
  <c r="K227" i="2"/>
  <c r="L227" i="2"/>
  <c r="B228" i="2"/>
  <c r="A228" i="2" s="1"/>
  <c r="C228" i="2"/>
  <c r="D228" i="2"/>
  <c r="E228" i="2"/>
  <c r="J228" i="2"/>
  <c r="K228" i="2"/>
  <c r="L228" i="2"/>
  <c r="A229" i="2"/>
  <c r="B229" i="2"/>
  <c r="C229" i="2"/>
  <c r="D229" i="2"/>
  <c r="E229" i="2"/>
  <c r="J229" i="2"/>
  <c r="K229" i="2"/>
  <c r="L229" i="2"/>
  <c r="B230" i="2"/>
  <c r="A230" i="2" s="1"/>
  <c r="C230" i="2"/>
  <c r="D230" i="2"/>
  <c r="E230" i="2"/>
  <c r="J230" i="2"/>
  <c r="K230" i="2"/>
  <c r="L230" i="2"/>
  <c r="B231" i="2"/>
  <c r="A231" i="2" s="1"/>
  <c r="C231" i="2"/>
  <c r="D231" i="2"/>
  <c r="E231" i="2"/>
  <c r="J231" i="2"/>
  <c r="K231" i="2"/>
  <c r="L231" i="2"/>
  <c r="B232" i="2"/>
  <c r="A232" i="2" s="1"/>
  <c r="C232" i="2"/>
  <c r="D232" i="2"/>
  <c r="E232" i="2"/>
  <c r="J232" i="2"/>
  <c r="K232" i="2"/>
  <c r="L232" i="2"/>
  <c r="A233" i="2"/>
  <c r="B233" i="2"/>
  <c r="C233" i="2"/>
  <c r="D233" i="2"/>
  <c r="E233" i="2"/>
  <c r="J233" i="2"/>
  <c r="K233" i="2"/>
  <c r="L233" i="2"/>
  <c r="B234" i="2"/>
  <c r="A234" i="2" s="1"/>
  <c r="C234" i="2"/>
  <c r="D234" i="2"/>
  <c r="E234" i="2"/>
  <c r="J234" i="2"/>
  <c r="K234" i="2"/>
  <c r="L234" i="2"/>
  <c r="A235" i="2"/>
  <c r="B235" i="2"/>
  <c r="C235" i="2"/>
  <c r="D235" i="2"/>
  <c r="E235" i="2"/>
  <c r="J235" i="2"/>
  <c r="K235" i="2"/>
  <c r="L235" i="2"/>
  <c r="B236" i="2"/>
  <c r="A236" i="2" s="1"/>
  <c r="C236" i="2"/>
  <c r="D236" i="2"/>
  <c r="E236" i="2"/>
  <c r="J236" i="2"/>
  <c r="K236" i="2"/>
  <c r="L236" i="2"/>
  <c r="B237" i="2"/>
  <c r="A237" i="2" s="1"/>
  <c r="C237" i="2"/>
  <c r="D237" i="2"/>
  <c r="E237" i="2"/>
  <c r="J237" i="2"/>
  <c r="K237" i="2"/>
  <c r="L237" i="2"/>
  <c r="B238" i="2"/>
  <c r="A238" i="2" s="1"/>
  <c r="C238" i="2"/>
  <c r="D238" i="2"/>
  <c r="E238" i="2"/>
  <c r="J238" i="2"/>
  <c r="K238" i="2"/>
  <c r="L238" i="2"/>
  <c r="A239" i="2"/>
  <c r="B239" i="2"/>
  <c r="C239" i="2"/>
  <c r="D239" i="2"/>
  <c r="E239" i="2"/>
  <c r="J239" i="2"/>
  <c r="K239" i="2"/>
  <c r="L239" i="2"/>
  <c r="B240" i="2"/>
  <c r="A240" i="2" s="1"/>
  <c r="C240" i="2"/>
  <c r="D240" i="2"/>
  <c r="E240" i="2"/>
  <c r="J240" i="2"/>
  <c r="K240" i="2"/>
  <c r="L240" i="2"/>
  <c r="A241" i="2"/>
  <c r="B241" i="2"/>
  <c r="C241" i="2"/>
  <c r="D241" i="2"/>
  <c r="E241" i="2"/>
  <c r="J241" i="2"/>
  <c r="K241" i="2"/>
  <c r="L241" i="2"/>
  <c r="B242" i="2"/>
  <c r="A242" i="2" s="1"/>
  <c r="C242" i="2"/>
  <c r="D242" i="2"/>
  <c r="E242" i="2"/>
  <c r="J242" i="2"/>
  <c r="K242" i="2"/>
  <c r="L242" i="2"/>
  <c r="B243" i="2"/>
  <c r="A243" i="2" s="1"/>
  <c r="C243" i="2"/>
  <c r="D243" i="2"/>
  <c r="E243" i="2"/>
  <c r="J243" i="2"/>
  <c r="K243" i="2"/>
  <c r="L243" i="2"/>
  <c r="B244" i="2"/>
  <c r="A244" i="2" s="1"/>
  <c r="C244" i="2"/>
  <c r="D244" i="2"/>
  <c r="E244" i="2"/>
  <c r="J244" i="2"/>
  <c r="K244" i="2"/>
  <c r="L244" i="2"/>
  <c r="A245" i="2"/>
  <c r="B245" i="2"/>
  <c r="C245" i="2"/>
  <c r="D245" i="2"/>
  <c r="E245" i="2"/>
  <c r="J245" i="2"/>
  <c r="K245" i="2"/>
  <c r="L245" i="2"/>
  <c r="B246" i="2"/>
  <c r="A246" i="2" s="1"/>
  <c r="C246" i="2"/>
  <c r="D246" i="2"/>
  <c r="E246" i="2"/>
  <c r="J246" i="2"/>
  <c r="K246" i="2"/>
  <c r="L246" i="2"/>
  <c r="A247" i="2"/>
  <c r="B247" i="2"/>
  <c r="C247" i="2"/>
  <c r="D247" i="2"/>
  <c r="E247" i="2"/>
  <c r="J247" i="2"/>
  <c r="K247" i="2"/>
  <c r="L247" i="2"/>
  <c r="B248" i="2"/>
  <c r="A248" i="2" s="1"/>
  <c r="C248" i="2"/>
  <c r="D248" i="2"/>
  <c r="E248" i="2"/>
  <c r="J248" i="2"/>
  <c r="K248" i="2"/>
  <c r="L248" i="2"/>
  <c r="B249" i="2"/>
  <c r="A249" i="2" s="1"/>
  <c r="C249" i="2"/>
  <c r="D249" i="2"/>
  <c r="E249" i="2"/>
  <c r="J249" i="2"/>
  <c r="K249" i="2"/>
  <c r="L249" i="2"/>
  <c r="B250" i="2"/>
  <c r="A250" i="2" s="1"/>
  <c r="C250" i="2"/>
  <c r="D250" i="2"/>
  <c r="E250" i="2"/>
  <c r="J250" i="2"/>
  <c r="K250" i="2"/>
  <c r="L250" i="2"/>
  <c r="A251" i="2"/>
  <c r="B251" i="2"/>
  <c r="C251" i="2"/>
  <c r="D251" i="2"/>
  <c r="E251" i="2"/>
  <c r="J251" i="2"/>
  <c r="K251" i="2"/>
  <c r="L251" i="2"/>
  <c r="B252" i="2"/>
  <c r="A252" i="2" s="1"/>
  <c r="C252" i="2"/>
  <c r="D252" i="2"/>
  <c r="E252" i="2"/>
  <c r="J252" i="2"/>
  <c r="K252" i="2"/>
  <c r="L252" i="2"/>
  <c r="A253" i="2"/>
  <c r="B253" i="2"/>
  <c r="C253" i="2"/>
  <c r="D253" i="2"/>
  <c r="E253" i="2"/>
  <c r="J253" i="2"/>
  <c r="K253" i="2"/>
  <c r="L253" i="2"/>
  <c r="A254" i="2"/>
  <c r="B254" i="2"/>
  <c r="C254" i="2"/>
  <c r="D254" i="2"/>
  <c r="E254" i="2"/>
  <c r="J254" i="2"/>
  <c r="K254" i="2"/>
  <c r="L254" i="2"/>
  <c r="B255" i="2"/>
  <c r="A255" i="2" s="1"/>
  <c r="C255" i="2"/>
  <c r="D255" i="2"/>
  <c r="E255" i="2"/>
  <c r="J255" i="2"/>
  <c r="K255" i="2"/>
  <c r="L255" i="2"/>
  <c r="B256" i="2"/>
  <c r="A256" i="2" s="1"/>
  <c r="C256" i="2"/>
  <c r="D256" i="2"/>
  <c r="E256" i="2"/>
  <c r="J256" i="2"/>
  <c r="K256" i="2"/>
  <c r="L256" i="2"/>
  <c r="A257" i="2"/>
  <c r="B257" i="2"/>
  <c r="C257" i="2"/>
  <c r="D257" i="2"/>
  <c r="E257" i="2"/>
  <c r="J257" i="2"/>
  <c r="K257" i="2"/>
  <c r="L257" i="2"/>
  <c r="B258" i="2"/>
  <c r="A258" i="2" s="1"/>
  <c r="C258" i="2"/>
  <c r="D258" i="2"/>
  <c r="E258" i="2"/>
  <c r="J258" i="2"/>
  <c r="K258" i="2"/>
  <c r="L258" i="2"/>
  <c r="A259" i="2"/>
  <c r="B259" i="2"/>
  <c r="C259" i="2"/>
  <c r="D259" i="2"/>
  <c r="E259" i="2"/>
  <c r="J259" i="2"/>
  <c r="K259" i="2"/>
  <c r="L259" i="2"/>
  <c r="B260" i="2"/>
  <c r="A260" i="2" s="1"/>
  <c r="C260" i="2"/>
  <c r="D260" i="2"/>
  <c r="E260" i="2"/>
  <c r="J260" i="2"/>
  <c r="K260" i="2"/>
  <c r="L260" i="2"/>
  <c r="B261" i="2"/>
  <c r="A261" i="2" s="1"/>
  <c r="C261" i="2"/>
  <c r="D261" i="2"/>
  <c r="E261" i="2"/>
  <c r="J261" i="2"/>
  <c r="K261" i="2"/>
  <c r="L261" i="2"/>
  <c r="B262" i="2"/>
  <c r="A262" i="2" s="1"/>
  <c r="C262" i="2"/>
  <c r="D262" i="2"/>
  <c r="E262" i="2"/>
  <c r="J262" i="2"/>
  <c r="K262" i="2"/>
  <c r="L262" i="2"/>
  <c r="A263" i="2"/>
  <c r="B263" i="2"/>
  <c r="C263" i="2"/>
  <c r="D263" i="2"/>
  <c r="E263" i="2"/>
  <c r="J263" i="2"/>
  <c r="K263" i="2"/>
  <c r="L263" i="2"/>
  <c r="A264" i="2"/>
  <c r="B264" i="2"/>
  <c r="C264" i="2"/>
  <c r="D264" i="2"/>
  <c r="E264" i="2"/>
  <c r="J264" i="2"/>
  <c r="K264" i="2"/>
  <c r="L264" i="2"/>
  <c r="B265" i="2"/>
  <c r="A265" i="2" s="1"/>
  <c r="C265" i="2"/>
  <c r="D265" i="2"/>
  <c r="E265" i="2"/>
  <c r="J265" i="2"/>
  <c r="K265" i="2"/>
  <c r="L265" i="2"/>
  <c r="A266" i="2"/>
  <c r="B266" i="2"/>
  <c r="C266" i="2"/>
  <c r="D266" i="2"/>
  <c r="E266" i="2"/>
  <c r="J266" i="2"/>
  <c r="K266" i="2"/>
  <c r="L266" i="2"/>
  <c r="A267" i="2"/>
  <c r="B267" i="2"/>
  <c r="C267" i="2"/>
  <c r="D267" i="2"/>
  <c r="E267" i="2"/>
  <c r="J267" i="2"/>
  <c r="K267" i="2"/>
  <c r="L267" i="2"/>
  <c r="B268" i="2"/>
  <c r="A268" i="2" s="1"/>
  <c r="C268" i="2"/>
  <c r="D268" i="2"/>
  <c r="E268" i="2"/>
  <c r="J268" i="2"/>
  <c r="K268" i="2"/>
  <c r="L268" i="2"/>
  <c r="A269" i="2"/>
  <c r="B269" i="2"/>
  <c r="C269" i="2"/>
  <c r="D269" i="2"/>
  <c r="E269" i="2"/>
  <c r="J269" i="2"/>
  <c r="K269" i="2"/>
  <c r="L269" i="2"/>
  <c r="A270" i="2"/>
  <c r="B270" i="2"/>
  <c r="C270" i="2"/>
  <c r="D270" i="2"/>
  <c r="E270" i="2"/>
  <c r="J270" i="2"/>
  <c r="K270" i="2"/>
  <c r="L270" i="2"/>
  <c r="B271" i="2"/>
  <c r="A271" i="2" s="1"/>
  <c r="C271" i="2"/>
  <c r="D271" i="2"/>
  <c r="E271" i="2"/>
  <c r="J271" i="2"/>
  <c r="K271" i="2"/>
  <c r="L271" i="2"/>
  <c r="A272" i="2"/>
  <c r="B272" i="2"/>
  <c r="C272" i="2"/>
  <c r="D272" i="2"/>
  <c r="E272" i="2"/>
  <c r="J272" i="2"/>
  <c r="K272" i="2"/>
  <c r="L272" i="2"/>
  <c r="A273" i="2"/>
  <c r="B273" i="2"/>
  <c r="C273" i="2"/>
  <c r="D273" i="2"/>
  <c r="E273" i="2"/>
  <c r="J273" i="2"/>
  <c r="K273" i="2"/>
  <c r="L273" i="2"/>
  <c r="B274" i="2"/>
  <c r="A274" i="2" s="1"/>
  <c r="C274" i="2"/>
  <c r="D274" i="2"/>
  <c r="E274" i="2"/>
  <c r="J274" i="2"/>
  <c r="K274" i="2"/>
  <c r="L274" i="2"/>
  <c r="A275" i="2"/>
  <c r="B275" i="2"/>
  <c r="C275" i="2"/>
  <c r="D275" i="2"/>
  <c r="E275" i="2"/>
  <c r="J275" i="2"/>
  <c r="K275" i="2"/>
  <c r="L275" i="2"/>
  <c r="A276" i="2"/>
  <c r="B276" i="2"/>
  <c r="C276" i="2"/>
  <c r="D276" i="2"/>
  <c r="E276" i="2"/>
  <c r="J276" i="2"/>
  <c r="K276" i="2"/>
  <c r="L276" i="2"/>
  <c r="B277" i="2"/>
  <c r="A277" i="2" s="1"/>
  <c r="C277" i="2"/>
  <c r="D277" i="2"/>
  <c r="E277" i="2"/>
  <c r="J277" i="2"/>
  <c r="K277" i="2"/>
  <c r="L277" i="2"/>
  <c r="A278" i="2"/>
  <c r="B278" i="2"/>
  <c r="C278" i="2"/>
  <c r="D278" i="2"/>
  <c r="E278" i="2"/>
  <c r="J278" i="2"/>
  <c r="K278" i="2"/>
  <c r="L278" i="2"/>
  <c r="A279" i="2"/>
  <c r="B279" i="2"/>
  <c r="C279" i="2"/>
  <c r="D279" i="2"/>
  <c r="E279" i="2"/>
  <c r="J279" i="2"/>
  <c r="K279" i="2"/>
  <c r="L279" i="2"/>
  <c r="B280" i="2"/>
  <c r="A280" i="2" s="1"/>
  <c r="C280" i="2"/>
  <c r="D280" i="2"/>
  <c r="E280" i="2"/>
  <c r="J280" i="2"/>
  <c r="K280" i="2"/>
  <c r="L280" i="2"/>
  <c r="A281" i="2"/>
  <c r="B281" i="2"/>
  <c r="C281" i="2"/>
  <c r="D281" i="2"/>
  <c r="E281" i="2"/>
  <c r="J281" i="2"/>
  <c r="K281" i="2"/>
  <c r="L281" i="2"/>
  <c r="A282" i="2"/>
  <c r="B282" i="2"/>
  <c r="C282" i="2"/>
  <c r="D282" i="2"/>
  <c r="E282" i="2"/>
  <c r="J282" i="2"/>
  <c r="K282" i="2"/>
  <c r="L282" i="2"/>
  <c r="B283" i="2"/>
  <c r="A283" i="2" s="1"/>
  <c r="C283" i="2"/>
  <c r="D283" i="2"/>
  <c r="E283" i="2"/>
  <c r="J283" i="2"/>
  <c r="K283" i="2"/>
  <c r="L283" i="2"/>
  <c r="A284" i="2"/>
  <c r="B284" i="2"/>
  <c r="C284" i="2"/>
  <c r="D284" i="2"/>
  <c r="E284" i="2"/>
  <c r="J284" i="2"/>
  <c r="K284" i="2"/>
  <c r="L284" i="2"/>
  <c r="A285" i="2"/>
  <c r="B285" i="2"/>
  <c r="C285" i="2"/>
  <c r="D285" i="2"/>
  <c r="E285" i="2"/>
  <c r="J285" i="2"/>
  <c r="K285" i="2"/>
  <c r="L285" i="2"/>
  <c r="B286" i="2"/>
  <c r="A286" i="2" s="1"/>
  <c r="C286" i="2"/>
  <c r="D286" i="2"/>
  <c r="E286" i="2"/>
  <c r="J286" i="2"/>
  <c r="K286" i="2"/>
  <c r="L286" i="2"/>
  <c r="A287" i="2"/>
  <c r="B287" i="2"/>
  <c r="C287" i="2"/>
  <c r="D287" i="2"/>
  <c r="E287" i="2"/>
  <c r="J287" i="2"/>
  <c r="K287" i="2"/>
  <c r="L287" i="2"/>
  <c r="A288" i="2"/>
  <c r="B288" i="2"/>
  <c r="C288" i="2"/>
  <c r="D288" i="2"/>
  <c r="E288" i="2"/>
  <c r="J288" i="2"/>
  <c r="K288" i="2"/>
  <c r="L288" i="2"/>
  <c r="B289" i="2"/>
  <c r="A289" i="2" s="1"/>
  <c r="C289" i="2"/>
  <c r="D289" i="2"/>
  <c r="E289" i="2"/>
  <c r="J289" i="2"/>
  <c r="K289" i="2"/>
  <c r="L289" i="2"/>
  <c r="A290" i="2"/>
  <c r="B290" i="2"/>
  <c r="C290" i="2"/>
  <c r="D290" i="2"/>
  <c r="E290" i="2"/>
  <c r="J290" i="2"/>
  <c r="K290" i="2"/>
  <c r="L290" i="2"/>
  <c r="A291" i="2"/>
  <c r="B291" i="2"/>
  <c r="C291" i="2"/>
  <c r="D291" i="2"/>
  <c r="E291" i="2"/>
  <c r="J291" i="2"/>
  <c r="K291" i="2"/>
  <c r="L291" i="2"/>
  <c r="B292" i="2"/>
  <c r="A292" i="2" s="1"/>
  <c r="C292" i="2"/>
  <c r="D292" i="2"/>
  <c r="E292" i="2"/>
  <c r="J292" i="2"/>
  <c r="K292" i="2"/>
  <c r="L292" i="2"/>
  <c r="A293" i="2"/>
  <c r="B293" i="2"/>
  <c r="C293" i="2"/>
  <c r="D293" i="2"/>
  <c r="E293" i="2"/>
  <c r="J293" i="2"/>
  <c r="K293" i="2"/>
  <c r="L293" i="2"/>
  <c r="A294" i="2"/>
  <c r="B294" i="2"/>
  <c r="C294" i="2"/>
  <c r="D294" i="2"/>
  <c r="E294" i="2"/>
  <c r="J294" i="2"/>
  <c r="K294" i="2"/>
  <c r="L294" i="2"/>
  <c r="N3" i="1"/>
  <c r="N4" i="1"/>
  <c r="N5" i="1"/>
  <c r="M3" i="1"/>
  <c r="M4" i="1"/>
  <c r="M5" i="1"/>
  <c r="H3" i="1"/>
  <c r="H4" i="1"/>
  <c r="H5" i="1"/>
  <c r="H6" i="1"/>
  <c r="H7" i="1"/>
  <c r="H8" i="1"/>
  <c r="H9" i="1"/>
  <c r="H10" i="1"/>
  <c r="D7" i="2" s="1"/>
  <c r="H11" i="1"/>
  <c r="D8" i="2" s="1"/>
  <c r="H12" i="1"/>
  <c r="D9" i="2" s="1"/>
  <c r="G3" i="1"/>
  <c r="G4" i="1"/>
  <c r="G5" i="1"/>
  <c r="B1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23" i="1"/>
  <c r="B20" i="2" s="1"/>
  <c r="B23" i="1"/>
  <c r="F23" i="1" s="1"/>
  <c r="H23" i="1"/>
  <c r="D20" i="2" s="1"/>
  <c r="I23" i="1"/>
  <c r="E20" i="2" s="1"/>
  <c r="O23" i="1"/>
  <c r="J20" i="2" s="1"/>
  <c r="A24" i="1"/>
  <c r="B21" i="2" s="1"/>
  <c r="B24" i="1"/>
  <c r="F24" i="1" s="1"/>
  <c r="H24" i="1"/>
  <c r="D21" i="2" s="1"/>
  <c r="I24" i="1"/>
  <c r="E21" i="2" s="1"/>
  <c r="O24" i="1"/>
  <c r="J21" i="2" s="1"/>
  <c r="A21" i="1"/>
  <c r="B18" i="2" s="1"/>
  <c r="B21" i="1"/>
  <c r="E21" i="1" s="1"/>
  <c r="H21" i="1"/>
  <c r="D18" i="2" s="1"/>
  <c r="I21" i="1"/>
  <c r="E18" i="2" s="1"/>
  <c r="O21" i="1"/>
  <c r="J18" i="2" s="1"/>
  <c r="T21" i="1"/>
  <c r="U21" i="1"/>
  <c r="P21" i="1" s="1"/>
  <c r="K18" i="2" s="1"/>
  <c r="A22" i="1"/>
  <c r="B19" i="2" s="1"/>
  <c r="B22" i="1"/>
  <c r="E22" i="1" s="1"/>
  <c r="H22" i="1"/>
  <c r="D19" i="2" s="1"/>
  <c r="I22" i="1"/>
  <c r="E19" i="2" s="1"/>
  <c r="O22" i="1"/>
  <c r="J19" i="2" s="1"/>
  <c r="T22" i="1"/>
  <c r="U22" i="1"/>
  <c r="P22" i="1" s="1"/>
  <c r="K19" i="2" s="1"/>
  <c r="T23" i="1"/>
  <c r="U23" i="1"/>
  <c r="P23" i="1" s="1"/>
  <c r="K20" i="2" s="1"/>
  <c r="T24" i="1"/>
  <c r="U24" i="1"/>
  <c r="P24" i="1" s="1"/>
  <c r="K21" i="2" s="1"/>
  <c r="C21" i="2" l="1"/>
  <c r="C20" i="2"/>
  <c r="C19" i="2"/>
  <c r="C18" i="2"/>
  <c r="F22" i="1"/>
  <c r="C22" i="1"/>
  <c r="C21" i="1"/>
  <c r="F21" i="1"/>
  <c r="D24" i="1"/>
  <c r="D23" i="1"/>
  <c r="D22" i="1"/>
  <c r="E24" i="1"/>
  <c r="D21" i="1"/>
  <c r="E23" i="1"/>
  <c r="C24" i="1"/>
  <c r="C23" i="1"/>
  <c r="A2663" i="4"/>
  <c r="B2663" i="4"/>
  <c r="C2663" i="4" s="1"/>
  <c r="A2664" i="4"/>
  <c r="B2664" i="4"/>
  <c r="C2664" i="4" s="1"/>
  <c r="A2665" i="4"/>
  <c r="B2665" i="4"/>
  <c r="C2665" i="4" s="1"/>
  <c r="A2666" i="4"/>
  <c r="B2666" i="4"/>
  <c r="C2666" i="4" s="1"/>
  <c r="A2667" i="4"/>
  <c r="B2667" i="4"/>
  <c r="C2667" i="4" s="1"/>
  <c r="A2668" i="4"/>
  <c r="B2668" i="4"/>
  <c r="C2668" i="4" s="1"/>
  <c r="A2669" i="4"/>
  <c r="B2669" i="4"/>
  <c r="C2669" i="4" s="1"/>
  <c r="A2670" i="4"/>
  <c r="B2670" i="4"/>
  <c r="C2670" i="4" s="1"/>
  <c r="A2671" i="4"/>
  <c r="B2671" i="4"/>
  <c r="C2671" i="4" s="1"/>
  <c r="A2672" i="4"/>
  <c r="B2672" i="4"/>
  <c r="C2672" i="4" s="1"/>
  <c r="A2673" i="4"/>
  <c r="B2673" i="4"/>
  <c r="C2673" i="4" s="1"/>
  <c r="A2674" i="4"/>
  <c r="B2674" i="4"/>
  <c r="C2674" i="4" s="1"/>
  <c r="A2675" i="4"/>
  <c r="B2675" i="4"/>
  <c r="C2675" i="4" s="1"/>
  <c r="A2676" i="4"/>
  <c r="B2676" i="4"/>
  <c r="C2676" i="4" s="1"/>
  <c r="A2677" i="4"/>
  <c r="B2677" i="4"/>
  <c r="C2677" i="4" s="1"/>
  <c r="A2678" i="4"/>
  <c r="B2678" i="4"/>
  <c r="C2678" i="4" s="1"/>
  <c r="A2679" i="4"/>
  <c r="B2679" i="4"/>
  <c r="C2679" i="4" s="1"/>
  <c r="A2680" i="4"/>
  <c r="B2680" i="4"/>
  <c r="C2680" i="4" s="1"/>
  <c r="A2681" i="4"/>
  <c r="B2681" i="4"/>
  <c r="C2681" i="4" s="1"/>
  <c r="A2682" i="4"/>
  <c r="B2682" i="4"/>
  <c r="C2682" i="4" s="1"/>
  <c r="A2683" i="4"/>
  <c r="B2683" i="4"/>
  <c r="C2683" i="4" s="1"/>
  <c r="A2684" i="4"/>
  <c r="B2684" i="4"/>
  <c r="C2684" i="4" s="1"/>
  <c r="A2685" i="4"/>
  <c r="B2685" i="4"/>
  <c r="C2685" i="4" s="1"/>
  <c r="A2686" i="4"/>
  <c r="B2686" i="4"/>
  <c r="C2686" i="4" s="1"/>
  <c r="A2687" i="4"/>
  <c r="B2687" i="4"/>
  <c r="C2687" i="4" s="1"/>
  <c r="A2688" i="4"/>
  <c r="B2688" i="4"/>
  <c r="C2688" i="4" s="1"/>
  <c r="A2689" i="4"/>
  <c r="B2689" i="4"/>
  <c r="C2689" i="4" s="1"/>
  <c r="A2690" i="4"/>
  <c r="B2690" i="4"/>
  <c r="C2690" i="4" s="1"/>
  <c r="A2691" i="4"/>
  <c r="B2691" i="4"/>
  <c r="C2691" i="4" s="1"/>
  <c r="A2692" i="4"/>
  <c r="B2692" i="4"/>
  <c r="C2692" i="4" s="1"/>
  <c r="A2693" i="4"/>
  <c r="B2693" i="4"/>
  <c r="C2693" i="4" s="1"/>
  <c r="A2694" i="4"/>
  <c r="B2694" i="4"/>
  <c r="C2694" i="4" s="1"/>
  <c r="A2695" i="4"/>
  <c r="B2695" i="4"/>
  <c r="C2695" i="4" s="1"/>
  <c r="A2696" i="4"/>
  <c r="B2696" i="4"/>
  <c r="C2696" i="4" s="1"/>
  <c r="A2697" i="4"/>
  <c r="B2697" i="4"/>
  <c r="C2697" i="4" s="1"/>
  <c r="A2698" i="4"/>
  <c r="B2698" i="4"/>
  <c r="C2698" i="4" s="1"/>
  <c r="A2699" i="4"/>
  <c r="B2699" i="4"/>
  <c r="C2699" i="4" s="1"/>
  <c r="A2700" i="4"/>
  <c r="B2700" i="4"/>
  <c r="C2700" i="4" s="1"/>
  <c r="A2701" i="4"/>
  <c r="B2701" i="4"/>
  <c r="C2701" i="4" s="1"/>
  <c r="A2702" i="4"/>
  <c r="B2702" i="4"/>
  <c r="C2702" i="4" s="1"/>
  <c r="A2703" i="4"/>
  <c r="B2703" i="4"/>
  <c r="C2703" i="4" s="1"/>
  <c r="A2704" i="4"/>
  <c r="B2704" i="4"/>
  <c r="C2704" i="4" s="1"/>
  <c r="A2705" i="4"/>
  <c r="B2705" i="4"/>
  <c r="C2705" i="4" s="1"/>
  <c r="A2706" i="4"/>
  <c r="B2706" i="4"/>
  <c r="C2706" i="4" s="1"/>
  <c r="A2707" i="4"/>
  <c r="B2707" i="4"/>
  <c r="C2707" i="4" s="1"/>
  <c r="A2708" i="4"/>
  <c r="B2708" i="4"/>
  <c r="C2708" i="4" s="1"/>
  <c r="A2709" i="4"/>
  <c r="B2709" i="4"/>
  <c r="C2709" i="4" s="1"/>
  <c r="A2710" i="4"/>
  <c r="B2710" i="4"/>
  <c r="C2710" i="4" s="1"/>
  <c r="A2711" i="4"/>
  <c r="B2711" i="4"/>
  <c r="C2711" i="4" s="1"/>
  <c r="A2712" i="4"/>
  <c r="B2712" i="4"/>
  <c r="C2712" i="4" s="1"/>
  <c r="A2713" i="4"/>
  <c r="B2713" i="4"/>
  <c r="C2713" i="4" s="1"/>
  <c r="A2714" i="4"/>
  <c r="B2714" i="4"/>
  <c r="C2714" i="4" s="1"/>
  <c r="A2715" i="4"/>
  <c r="B2715" i="4"/>
  <c r="C2715" i="4" s="1"/>
  <c r="A2716" i="4"/>
  <c r="B2716" i="4"/>
  <c r="C2716" i="4" s="1"/>
  <c r="A2717" i="4"/>
  <c r="B2717" i="4"/>
  <c r="C2717" i="4" s="1"/>
  <c r="A2718" i="4"/>
  <c r="B2718" i="4"/>
  <c r="C2718" i="4" s="1"/>
  <c r="A2719" i="4"/>
  <c r="B2719" i="4"/>
  <c r="C2719" i="4" s="1"/>
  <c r="A2720" i="4"/>
  <c r="B2720" i="4"/>
  <c r="C2720" i="4" s="1"/>
  <c r="A2721" i="4"/>
  <c r="B2721" i="4"/>
  <c r="C2721" i="4" s="1"/>
  <c r="A2722" i="4"/>
  <c r="B2722" i="4"/>
  <c r="C2722" i="4" s="1"/>
  <c r="A2723" i="4"/>
  <c r="B2723" i="4"/>
  <c r="C2723" i="4" s="1"/>
  <c r="A2724" i="4"/>
  <c r="B2724" i="4"/>
  <c r="C2724" i="4" s="1"/>
  <c r="A2725" i="4"/>
  <c r="B2725" i="4"/>
  <c r="C2725" i="4" s="1"/>
  <c r="A2726" i="4"/>
  <c r="B2726" i="4"/>
  <c r="C2726" i="4" s="1"/>
  <c r="A2727" i="4"/>
  <c r="B2727" i="4"/>
  <c r="C2727" i="4" s="1"/>
  <c r="A2728" i="4"/>
  <c r="B2728" i="4"/>
  <c r="C2728" i="4" s="1"/>
  <c r="A2729" i="4"/>
  <c r="B2729" i="4"/>
  <c r="C2729" i="4" s="1"/>
  <c r="A2730" i="4"/>
  <c r="B2730" i="4"/>
  <c r="C2730" i="4" s="1"/>
  <c r="A2731" i="4"/>
  <c r="B2731" i="4"/>
  <c r="C2731" i="4" s="1"/>
  <c r="A2732" i="4"/>
  <c r="B2732" i="4"/>
  <c r="C2732" i="4" s="1"/>
  <c r="A2733" i="4"/>
  <c r="B2733" i="4"/>
  <c r="C2733" i="4" s="1"/>
  <c r="A2734" i="4"/>
  <c r="B2734" i="4"/>
  <c r="C2734" i="4" s="1"/>
  <c r="A2735" i="4"/>
  <c r="B2735" i="4"/>
  <c r="C2735" i="4" s="1"/>
  <c r="A2736" i="4"/>
  <c r="B2736" i="4"/>
  <c r="C2736" i="4" s="1"/>
  <c r="A2737" i="4"/>
  <c r="B2737" i="4"/>
  <c r="C2737" i="4" s="1"/>
  <c r="A2738" i="4"/>
  <c r="B2738" i="4"/>
  <c r="C2738" i="4" s="1"/>
  <c r="A2739" i="4"/>
  <c r="B2739" i="4"/>
  <c r="C2739" i="4" s="1"/>
  <c r="A2740" i="4"/>
  <c r="B2740" i="4"/>
  <c r="C2740" i="4" s="1"/>
  <c r="A2741" i="4"/>
  <c r="B2741" i="4"/>
  <c r="C2741" i="4" s="1"/>
  <c r="A2742" i="4"/>
  <c r="B2742" i="4"/>
  <c r="C2742" i="4" s="1"/>
  <c r="A2743" i="4"/>
  <c r="B2743" i="4"/>
  <c r="C2743" i="4" s="1"/>
  <c r="A2744" i="4"/>
  <c r="B2744" i="4"/>
  <c r="C2744" i="4" s="1"/>
  <c r="A2745" i="4"/>
  <c r="B2745" i="4"/>
  <c r="C2745" i="4" s="1"/>
  <c r="A2746" i="4"/>
  <c r="B2746" i="4"/>
  <c r="C2746" i="4" s="1"/>
  <c r="A2747" i="4"/>
  <c r="B2747" i="4"/>
  <c r="C2747" i="4" s="1"/>
  <c r="A2748" i="4"/>
  <c r="B2748" i="4"/>
  <c r="C2748" i="4" s="1"/>
  <c r="A2749" i="4"/>
  <c r="B2749" i="4"/>
  <c r="C2749" i="4" s="1"/>
  <c r="A2750" i="4"/>
  <c r="B2750" i="4"/>
  <c r="C2750" i="4" s="1"/>
  <c r="A2751" i="4"/>
  <c r="B2751" i="4"/>
  <c r="C2751" i="4" s="1"/>
  <c r="A2752" i="4"/>
  <c r="B2752" i="4"/>
  <c r="C2752" i="4" s="1"/>
  <c r="A2753" i="4"/>
  <c r="B2753" i="4"/>
  <c r="C2753" i="4" s="1"/>
  <c r="A2754" i="4"/>
  <c r="B2754" i="4"/>
  <c r="C2754" i="4" s="1"/>
  <c r="A2755" i="4"/>
  <c r="B2755" i="4"/>
  <c r="C2755" i="4" s="1"/>
  <c r="A2756" i="4"/>
  <c r="B2756" i="4"/>
  <c r="C2756" i="4" s="1"/>
  <c r="A2757" i="4"/>
  <c r="B2757" i="4"/>
  <c r="C2757" i="4" s="1"/>
  <c r="A2758" i="4"/>
  <c r="B2758" i="4"/>
  <c r="C2758" i="4" s="1"/>
  <c r="A2759" i="4"/>
  <c r="B2759" i="4"/>
  <c r="C2759" i="4" s="1"/>
  <c r="A2760" i="4"/>
  <c r="B2760" i="4"/>
  <c r="C2760" i="4" s="1"/>
  <c r="A2761" i="4"/>
  <c r="B2761" i="4"/>
  <c r="C2761" i="4" s="1"/>
  <c r="A2762" i="4"/>
  <c r="B2762" i="4"/>
  <c r="C2762" i="4" s="1"/>
  <c r="A2763" i="4"/>
  <c r="B2763" i="4"/>
  <c r="C2763" i="4" s="1"/>
  <c r="A2764" i="4"/>
  <c r="B2764" i="4"/>
  <c r="C2764" i="4" s="1"/>
  <c r="A2765" i="4"/>
  <c r="B2765" i="4"/>
  <c r="C2765" i="4" s="1"/>
  <c r="A2766" i="4"/>
  <c r="B2766" i="4"/>
  <c r="C2766" i="4" s="1"/>
  <c r="A2767" i="4"/>
  <c r="B2767" i="4"/>
  <c r="C2767" i="4" s="1"/>
  <c r="A2768" i="4"/>
  <c r="B2768" i="4"/>
  <c r="C2768" i="4" s="1"/>
  <c r="A2769" i="4"/>
  <c r="B2769" i="4"/>
  <c r="C2769" i="4" s="1"/>
  <c r="A2770" i="4"/>
  <c r="B2770" i="4"/>
  <c r="C2770" i="4" s="1"/>
  <c r="A2771" i="4"/>
  <c r="B2771" i="4"/>
  <c r="C2771" i="4" s="1"/>
  <c r="A2772" i="4"/>
  <c r="B2772" i="4"/>
  <c r="C2772" i="4" s="1"/>
  <c r="A2773" i="4"/>
  <c r="B2773" i="4"/>
  <c r="C2773" i="4" s="1"/>
  <c r="A2774" i="4"/>
  <c r="B2774" i="4"/>
  <c r="C2774" i="4" s="1"/>
  <c r="A2775" i="4"/>
  <c r="B2775" i="4"/>
  <c r="C2775" i="4" s="1"/>
  <c r="A2776" i="4"/>
  <c r="B2776" i="4"/>
  <c r="C2776" i="4" s="1"/>
  <c r="A2777" i="4"/>
  <c r="B2777" i="4"/>
  <c r="C2777" i="4" s="1"/>
  <c r="A2778" i="4"/>
  <c r="B2778" i="4"/>
  <c r="C2778" i="4" s="1"/>
  <c r="A2779" i="4"/>
  <c r="B2779" i="4"/>
  <c r="C2779" i="4" s="1"/>
  <c r="A2780" i="4"/>
  <c r="B2780" i="4"/>
  <c r="C2780" i="4" s="1"/>
  <c r="A2781" i="4"/>
  <c r="B2781" i="4"/>
  <c r="C2781" i="4" s="1"/>
  <c r="A2782" i="4"/>
  <c r="B2782" i="4"/>
  <c r="C2782" i="4" s="1"/>
  <c r="A2783" i="4"/>
  <c r="B2783" i="4"/>
  <c r="C2783" i="4" s="1"/>
  <c r="A2784" i="4"/>
  <c r="B2784" i="4"/>
  <c r="C2784" i="4" s="1"/>
  <c r="A2785" i="4"/>
  <c r="B2785" i="4"/>
  <c r="C2785" i="4" s="1"/>
  <c r="A2786" i="4"/>
  <c r="B2786" i="4"/>
  <c r="C2786" i="4" s="1"/>
  <c r="A2787" i="4"/>
  <c r="B2787" i="4"/>
  <c r="C2787" i="4" s="1"/>
  <c r="A2788" i="4"/>
  <c r="B2788" i="4"/>
  <c r="C2788" i="4" s="1"/>
  <c r="A2789" i="4"/>
  <c r="B2789" i="4"/>
  <c r="C2789" i="4" s="1"/>
  <c r="A2790" i="4"/>
  <c r="B2790" i="4"/>
  <c r="C2790" i="4" s="1"/>
  <c r="A2791" i="4"/>
  <c r="B2791" i="4"/>
  <c r="C2791" i="4" s="1"/>
  <c r="A2792" i="4"/>
  <c r="B2792" i="4"/>
  <c r="C2792" i="4" s="1"/>
  <c r="A2793" i="4"/>
  <c r="B2793" i="4"/>
  <c r="C2793" i="4" s="1"/>
  <c r="A2794" i="4"/>
  <c r="B2794" i="4"/>
  <c r="C2794" i="4" s="1"/>
  <c r="A2795" i="4"/>
  <c r="B2795" i="4"/>
  <c r="C2795" i="4" s="1"/>
  <c r="A2796" i="4"/>
  <c r="B2796" i="4"/>
  <c r="C2796" i="4" s="1"/>
  <c r="A2797" i="4"/>
  <c r="B2797" i="4"/>
  <c r="C2797" i="4" s="1"/>
  <c r="A2798" i="4"/>
  <c r="B2798" i="4"/>
  <c r="C2798" i="4" s="1"/>
  <c r="A2799" i="4"/>
  <c r="B2799" i="4"/>
  <c r="C2799" i="4" s="1"/>
  <c r="A2800" i="4"/>
  <c r="B2800" i="4"/>
  <c r="C2800" i="4" s="1"/>
  <c r="A2801" i="4"/>
  <c r="B2801" i="4"/>
  <c r="C2801" i="4" s="1"/>
  <c r="A2802" i="4"/>
  <c r="B2802" i="4"/>
  <c r="C2802" i="4" s="1"/>
  <c r="A2803" i="4"/>
  <c r="B2803" i="4"/>
  <c r="C2803" i="4" s="1"/>
  <c r="A2804" i="4"/>
  <c r="B2804" i="4"/>
  <c r="C2804" i="4" s="1"/>
  <c r="A2805" i="4"/>
  <c r="B2805" i="4"/>
  <c r="C2805" i="4" s="1"/>
  <c r="A2806" i="4"/>
  <c r="B2806" i="4"/>
  <c r="C2806" i="4" s="1"/>
  <c r="A2807" i="4"/>
  <c r="B2807" i="4"/>
  <c r="C2807" i="4" s="1"/>
  <c r="A2808" i="4"/>
  <c r="B2808" i="4"/>
  <c r="C2808" i="4" s="1"/>
  <c r="A2809" i="4"/>
  <c r="B2809" i="4"/>
  <c r="C2809" i="4" s="1"/>
  <c r="A2810" i="4"/>
  <c r="B2810" i="4"/>
  <c r="C2810" i="4" s="1"/>
  <c r="A2811" i="4"/>
  <c r="B2811" i="4"/>
  <c r="C2811" i="4" s="1"/>
  <c r="A2812" i="4"/>
  <c r="B2812" i="4"/>
  <c r="C2812" i="4" s="1"/>
  <c r="A2813" i="4"/>
  <c r="B2813" i="4"/>
  <c r="C2813" i="4" s="1"/>
  <c r="A2814" i="4"/>
  <c r="B2814" i="4"/>
  <c r="C2814" i="4" s="1"/>
  <c r="A2815" i="4"/>
  <c r="B2815" i="4"/>
  <c r="C2815" i="4" s="1"/>
  <c r="A2816" i="4"/>
  <c r="B2816" i="4"/>
  <c r="C2816" i="4" s="1"/>
  <c r="A2817" i="4"/>
  <c r="B2817" i="4"/>
  <c r="C2817" i="4" s="1"/>
  <c r="A2818" i="4"/>
  <c r="B2818" i="4"/>
  <c r="C2818" i="4" s="1"/>
  <c r="A2819" i="4"/>
  <c r="B2819" i="4"/>
  <c r="C2819" i="4" s="1"/>
  <c r="A2820" i="4"/>
  <c r="B2820" i="4"/>
  <c r="C2820" i="4" s="1"/>
  <c r="A2821" i="4"/>
  <c r="B2821" i="4"/>
  <c r="C2821" i="4" s="1"/>
  <c r="A2822" i="4"/>
  <c r="B2822" i="4"/>
  <c r="C2822" i="4" s="1"/>
  <c r="A2823" i="4"/>
  <c r="B2823" i="4"/>
  <c r="C2823" i="4" s="1"/>
  <c r="A2824" i="4"/>
  <c r="B2824" i="4"/>
  <c r="C2824" i="4" s="1"/>
  <c r="A2825" i="4"/>
  <c r="B2825" i="4"/>
  <c r="C2825" i="4"/>
  <c r="A2826" i="4"/>
  <c r="B2826" i="4"/>
  <c r="C2826" i="4"/>
  <c r="A2827" i="4"/>
  <c r="B2827" i="4"/>
  <c r="C2827" i="4"/>
  <c r="A2828" i="4"/>
  <c r="B2828" i="4"/>
  <c r="C2828" i="4"/>
  <c r="A2829" i="4"/>
  <c r="B2829" i="4"/>
  <c r="C2829" i="4"/>
  <c r="A2830" i="4"/>
  <c r="B2830" i="4"/>
  <c r="C2830" i="4"/>
  <c r="A2831" i="4"/>
  <c r="B2831" i="4"/>
  <c r="C2831" i="4"/>
  <c r="A2832" i="4"/>
  <c r="B2832" i="4"/>
  <c r="C2832" i="4"/>
  <c r="A2833" i="4"/>
  <c r="B2833" i="4"/>
  <c r="C2833" i="4"/>
  <c r="A2834" i="4"/>
  <c r="B2834" i="4"/>
  <c r="C2834" i="4"/>
  <c r="A2835" i="4"/>
  <c r="B2835" i="4"/>
  <c r="C2835" i="4"/>
  <c r="A2836" i="4"/>
  <c r="B2836" i="4"/>
  <c r="C2836" i="4"/>
  <c r="A2837" i="4"/>
  <c r="B2837" i="4"/>
  <c r="C2837" i="4"/>
  <c r="A2838" i="4"/>
  <c r="B2838" i="4"/>
  <c r="C2838" i="4"/>
  <c r="A2839" i="4"/>
  <c r="B2839" i="4"/>
  <c r="C2839" i="4"/>
  <c r="A2840" i="4"/>
  <c r="B2840" i="4"/>
  <c r="C2840" i="4"/>
  <c r="A2841" i="4"/>
  <c r="B2841" i="4"/>
  <c r="C2841" i="4"/>
  <c r="A2842" i="4"/>
  <c r="B2842" i="4"/>
  <c r="C2842" i="4"/>
  <c r="A2843" i="4"/>
  <c r="B2843" i="4"/>
  <c r="C2843" i="4"/>
  <c r="A2844" i="4"/>
  <c r="B2844" i="4"/>
  <c r="C2844" i="4"/>
  <c r="A2845" i="4"/>
  <c r="B2845" i="4"/>
  <c r="C2845" i="4"/>
  <c r="A2846" i="4"/>
  <c r="B2846" i="4"/>
  <c r="C2846" i="4"/>
  <c r="A2847" i="4"/>
  <c r="B2847" i="4"/>
  <c r="C2847" i="4"/>
  <c r="A2848" i="4"/>
  <c r="B2848" i="4"/>
  <c r="C2848" i="4"/>
  <c r="A2849" i="4"/>
  <c r="B2849" i="4"/>
  <c r="C2849" i="4"/>
  <c r="A2850" i="4"/>
  <c r="B2850" i="4"/>
  <c r="C2850" i="4"/>
  <c r="A2851" i="4"/>
  <c r="B2851" i="4"/>
  <c r="C2851" i="4"/>
  <c r="A2852" i="4"/>
  <c r="B2852" i="4"/>
  <c r="C2852" i="4"/>
  <c r="A2853" i="4"/>
  <c r="B2853" i="4"/>
  <c r="C2853" i="4"/>
  <c r="A2854" i="4"/>
  <c r="B2854" i="4"/>
  <c r="C2854" i="4"/>
  <c r="A2855" i="4"/>
  <c r="B2855" i="4"/>
  <c r="C2855" i="4"/>
  <c r="A2856" i="4"/>
  <c r="B2856" i="4"/>
  <c r="C2856" i="4"/>
  <c r="A2857" i="4"/>
  <c r="B2857" i="4"/>
  <c r="C2857" i="4"/>
  <c r="A2858" i="4"/>
  <c r="B2858" i="4"/>
  <c r="C2858" i="4"/>
  <c r="A2859" i="4"/>
  <c r="B2859" i="4"/>
  <c r="C2859" i="4"/>
  <c r="A2860" i="4"/>
  <c r="B2860" i="4"/>
  <c r="C2860" i="4"/>
  <c r="A2861" i="4"/>
  <c r="B2861" i="4"/>
  <c r="C2861" i="4"/>
  <c r="A2862" i="4"/>
  <c r="B2862" i="4"/>
  <c r="C2862" i="4"/>
  <c r="A2863" i="4"/>
  <c r="B2863" i="4"/>
  <c r="C2863" i="4"/>
  <c r="A2864" i="4"/>
  <c r="B2864" i="4"/>
  <c r="C2864" i="4"/>
  <c r="A2865" i="4"/>
  <c r="B2865" i="4"/>
  <c r="C2865" i="4"/>
  <c r="A2866" i="4"/>
  <c r="B2866" i="4"/>
  <c r="C2866" i="4"/>
  <c r="A2867" i="4"/>
  <c r="B2867" i="4"/>
  <c r="C2867" i="4"/>
  <c r="A2868" i="4"/>
  <c r="B2868" i="4"/>
  <c r="C2868" i="4"/>
  <c r="A2869" i="4"/>
  <c r="B2869" i="4"/>
  <c r="C2869" i="4"/>
  <c r="A2870" i="4"/>
  <c r="B2870" i="4"/>
  <c r="C2870" i="4"/>
  <c r="A2871" i="4"/>
  <c r="B2871" i="4"/>
  <c r="C2871" i="4"/>
  <c r="A2872" i="4"/>
  <c r="B2872" i="4"/>
  <c r="C2872" i="4"/>
  <c r="A2873" i="4"/>
  <c r="B2873" i="4"/>
  <c r="C2873" i="4"/>
  <c r="A2874" i="4"/>
  <c r="B2874" i="4"/>
  <c r="C2874" i="4"/>
  <c r="A2875" i="4"/>
  <c r="B2875" i="4"/>
  <c r="C2875" i="4"/>
  <c r="A2876" i="4"/>
  <c r="B2876" i="4"/>
  <c r="C2876" i="4"/>
  <c r="A2877" i="4"/>
  <c r="B2877" i="4"/>
  <c r="C2877" i="4"/>
  <c r="A2878" i="4"/>
  <c r="B2878" i="4"/>
  <c r="C2878" i="4"/>
  <c r="A2879" i="4"/>
  <c r="B2879" i="4"/>
  <c r="C2879" i="4"/>
  <c r="A2880" i="4"/>
  <c r="B2880" i="4"/>
  <c r="C2880" i="4"/>
  <c r="A2881" i="4"/>
  <c r="B2881" i="4"/>
  <c r="C2881" i="4"/>
  <c r="A2882" i="4"/>
  <c r="B2882" i="4"/>
  <c r="C2882" i="4"/>
  <c r="A2883" i="4"/>
  <c r="B2883" i="4"/>
  <c r="C2883" i="4"/>
  <c r="A2884" i="4"/>
  <c r="B2884" i="4"/>
  <c r="C2884" i="4"/>
  <c r="A2885" i="4"/>
  <c r="B2885" i="4"/>
  <c r="C2885" i="4"/>
  <c r="A2886" i="4"/>
  <c r="B2886" i="4"/>
  <c r="C2886" i="4"/>
  <c r="A2887" i="4"/>
  <c r="B2887" i="4"/>
  <c r="C2887" i="4"/>
  <c r="A2888" i="4"/>
  <c r="B2888" i="4"/>
  <c r="C2888" i="4"/>
  <c r="A2889" i="4"/>
  <c r="B2889" i="4"/>
  <c r="C2889" i="4"/>
  <c r="A2890" i="4"/>
  <c r="B2890" i="4"/>
  <c r="C2890" i="4"/>
  <c r="A2891" i="4"/>
  <c r="B2891" i="4"/>
  <c r="C2891" i="4"/>
  <c r="A2892" i="4"/>
  <c r="B2892" i="4"/>
  <c r="C2892" i="4"/>
  <c r="A2893" i="4"/>
  <c r="B2893" i="4"/>
  <c r="C2893" i="4"/>
  <c r="A2894" i="4"/>
  <c r="B2894" i="4"/>
  <c r="C2894" i="4"/>
  <c r="A2895" i="4"/>
  <c r="B2895" i="4"/>
  <c r="C2895" i="4"/>
  <c r="A2896" i="4"/>
  <c r="B2896" i="4"/>
  <c r="C2896" i="4"/>
  <c r="A2897" i="4"/>
  <c r="B2897" i="4"/>
  <c r="C2897" i="4"/>
  <c r="A2898" i="4"/>
  <c r="B2898" i="4"/>
  <c r="C2898" i="4"/>
  <c r="A2899" i="4"/>
  <c r="B2899" i="4"/>
  <c r="C2899" i="4"/>
  <c r="A2900" i="4"/>
  <c r="B2900" i="4"/>
  <c r="C2900" i="4"/>
  <c r="A2901" i="4"/>
  <c r="B2901" i="4"/>
  <c r="C2901" i="4"/>
  <c r="A2902" i="4"/>
  <c r="B2902" i="4"/>
  <c r="C2902" i="4"/>
  <c r="A2903" i="4"/>
  <c r="B2903" i="4"/>
  <c r="C2903" i="4"/>
  <c r="A2904" i="4"/>
  <c r="B2904" i="4"/>
  <c r="C2904" i="4"/>
  <c r="A2905" i="4"/>
  <c r="B2905" i="4"/>
  <c r="C2905" i="4"/>
  <c r="A2906" i="4"/>
  <c r="B2906" i="4"/>
  <c r="C2906" i="4"/>
  <c r="A2907" i="4"/>
  <c r="B2907" i="4"/>
  <c r="C2907" i="4"/>
  <c r="A2908" i="4"/>
  <c r="B2908" i="4"/>
  <c r="C2908" i="4"/>
  <c r="A2909" i="4"/>
  <c r="B2909" i="4"/>
  <c r="C2909" i="4"/>
  <c r="A2910" i="4"/>
  <c r="B2910" i="4"/>
  <c r="C2910" i="4"/>
  <c r="A2911" i="4"/>
  <c r="B2911" i="4"/>
  <c r="C2911" i="4"/>
  <c r="A2912" i="4"/>
  <c r="B2912" i="4"/>
  <c r="C2912" i="4"/>
  <c r="A2913" i="4"/>
  <c r="B2913" i="4"/>
  <c r="C2913" i="4"/>
  <c r="A2914" i="4"/>
  <c r="B2914" i="4"/>
  <c r="C2914" i="4"/>
  <c r="A2915" i="4"/>
  <c r="B2915" i="4"/>
  <c r="C2915" i="4"/>
  <c r="A2916" i="4"/>
  <c r="B2916" i="4"/>
  <c r="C2916" i="4"/>
  <c r="A2917" i="4"/>
  <c r="B2917" i="4"/>
  <c r="C2917" i="4"/>
  <c r="A2918" i="4"/>
  <c r="B2918" i="4"/>
  <c r="C2918" i="4"/>
  <c r="A2919" i="4"/>
  <c r="B2919" i="4"/>
  <c r="C2919" i="4"/>
  <c r="A2920" i="4"/>
  <c r="B2920" i="4"/>
  <c r="C2920" i="4"/>
  <c r="A2921" i="4"/>
  <c r="B2921" i="4"/>
  <c r="C2921" i="4"/>
  <c r="A2922" i="4"/>
  <c r="B2922" i="4"/>
  <c r="C2922" i="4"/>
  <c r="A2923" i="4"/>
  <c r="B2923" i="4"/>
  <c r="C2923" i="4"/>
  <c r="A2924" i="4"/>
  <c r="B2924" i="4"/>
  <c r="C2924" i="4"/>
  <c r="A2925" i="4"/>
  <c r="B2925" i="4"/>
  <c r="C2925" i="4"/>
  <c r="A2926" i="4"/>
  <c r="B2926" i="4"/>
  <c r="C2926" i="4"/>
  <c r="A2927" i="4"/>
  <c r="B2927" i="4"/>
  <c r="C2927" i="4"/>
  <c r="A2928" i="4"/>
  <c r="B2928" i="4"/>
  <c r="C2928" i="4"/>
  <c r="A2929" i="4"/>
  <c r="B2929" i="4"/>
  <c r="C2929" i="4"/>
  <c r="A2930" i="4"/>
  <c r="B2930" i="4"/>
  <c r="C2930" i="4"/>
  <c r="A2931" i="4"/>
  <c r="B2931" i="4"/>
  <c r="C2931" i="4"/>
  <c r="A2932" i="4"/>
  <c r="B2932" i="4"/>
  <c r="C2932" i="4"/>
  <c r="A2933" i="4"/>
  <c r="B2933" i="4"/>
  <c r="C2933" i="4"/>
  <c r="A2934" i="4"/>
  <c r="B2934" i="4"/>
  <c r="C2934" i="4"/>
  <c r="A2935" i="4"/>
  <c r="B2935" i="4"/>
  <c r="C2935" i="4"/>
  <c r="A2936" i="4"/>
  <c r="B2936" i="4"/>
  <c r="C2936" i="4"/>
  <c r="A2937" i="4"/>
  <c r="B2937" i="4"/>
  <c r="C2937" i="4"/>
  <c r="A2938" i="4"/>
  <c r="B2938" i="4"/>
  <c r="C2938" i="4"/>
  <c r="A2939" i="4"/>
  <c r="B2939" i="4"/>
  <c r="C2939" i="4"/>
  <c r="A2940" i="4"/>
  <c r="B2940" i="4"/>
  <c r="C2940" i="4"/>
  <c r="A2941" i="4"/>
  <c r="B2941" i="4"/>
  <c r="C2941" i="4"/>
  <c r="A2942" i="4"/>
  <c r="B2942" i="4"/>
  <c r="C2942" i="4"/>
  <c r="A2943" i="4"/>
  <c r="B2943" i="4"/>
  <c r="C2943" i="4"/>
  <c r="A2944" i="4"/>
  <c r="B2944" i="4"/>
  <c r="C2944" i="4"/>
  <c r="A2945" i="4"/>
  <c r="B2945" i="4"/>
  <c r="C2945" i="4"/>
  <c r="A2946" i="4"/>
  <c r="B2946" i="4"/>
  <c r="C2946" i="4"/>
  <c r="A2947" i="4"/>
  <c r="B2947" i="4"/>
  <c r="C2947" i="4"/>
  <c r="A2948" i="4"/>
  <c r="B2948" i="4"/>
  <c r="C2948" i="4"/>
  <c r="A2949" i="4"/>
  <c r="B2949" i="4"/>
  <c r="C2949" i="4"/>
  <c r="A2950" i="4"/>
  <c r="B2950" i="4"/>
  <c r="C2950" i="4"/>
  <c r="A2951" i="4"/>
  <c r="B2951" i="4"/>
  <c r="C2951" i="4"/>
  <c r="A2952" i="4"/>
  <c r="B2952" i="4"/>
  <c r="C2952" i="4"/>
  <c r="A2953" i="4"/>
  <c r="B2953" i="4"/>
  <c r="C2953" i="4"/>
  <c r="A2954" i="4"/>
  <c r="B2954" i="4"/>
  <c r="C2954" i="4"/>
  <c r="A2955" i="4"/>
  <c r="B2955" i="4"/>
  <c r="C2955" i="4"/>
  <c r="A2956" i="4"/>
  <c r="B2956" i="4"/>
  <c r="C2956" i="4"/>
  <c r="A2957" i="4"/>
  <c r="B2957" i="4"/>
  <c r="C2957" i="4"/>
  <c r="A2958" i="4"/>
  <c r="B2958" i="4"/>
  <c r="C2958" i="4"/>
  <c r="A2959" i="4"/>
  <c r="B2959" i="4"/>
  <c r="C2959" i="4"/>
  <c r="A2960" i="4"/>
  <c r="B2960" i="4"/>
  <c r="C2960" i="4"/>
  <c r="A2961" i="4"/>
  <c r="B2961" i="4"/>
  <c r="C2961" i="4"/>
  <c r="A2962" i="4"/>
  <c r="B2962" i="4"/>
  <c r="C2962" i="4"/>
  <c r="A2963" i="4"/>
  <c r="B2963" i="4"/>
  <c r="C2963" i="4"/>
  <c r="A2964" i="4"/>
  <c r="B2964" i="4"/>
  <c r="C2964" i="4"/>
  <c r="A2965" i="4"/>
  <c r="B2965" i="4"/>
  <c r="C2965" i="4"/>
  <c r="A2966" i="4"/>
  <c r="B2966" i="4"/>
  <c r="C2966" i="4"/>
  <c r="A2967" i="4"/>
  <c r="B2967" i="4"/>
  <c r="C2967" i="4"/>
  <c r="A2968" i="4"/>
  <c r="B2968" i="4"/>
  <c r="C2968" i="4"/>
  <c r="A2969" i="4"/>
  <c r="B2969" i="4"/>
  <c r="C2969" i="4"/>
  <c r="A2970" i="4"/>
  <c r="B2970" i="4"/>
  <c r="C2970" i="4"/>
  <c r="A2971" i="4"/>
  <c r="B2971" i="4"/>
  <c r="C2971" i="4"/>
  <c r="A2972" i="4"/>
  <c r="B2972" i="4"/>
  <c r="C2972" i="4"/>
  <c r="A2973" i="4"/>
  <c r="B2973" i="4"/>
  <c r="C2973" i="4"/>
  <c r="A2974" i="4"/>
  <c r="B2974" i="4"/>
  <c r="C2974" i="4"/>
  <c r="A2975" i="4"/>
  <c r="B2975" i="4"/>
  <c r="C2975" i="4"/>
  <c r="A2976" i="4"/>
  <c r="B2976" i="4"/>
  <c r="C2976" i="4"/>
  <c r="A2977" i="4"/>
  <c r="B2977" i="4"/>
  <c r="C2977" i="4"/>
  <c r="A2978" i="4"/>
  <c r="B2978" i="4"/>
  <c r="C2978" i="4"/>
  <c r="A2979" i="4"/>
  <c r="B2979" i="4"/>
  <c r="C2979" i="4"/>
  <c r="A2980" i="4"/>
  <c r="B2980" i="4"/>
  <c r="C2980" i="4"/>
  <c r="A2981" i="4"/>
  <c r="B2981" i="4"/>
  <c r="C2981" i="4"/>
  <c r="A2982" i="4"/>
  <c r="B2982" i="4"/>
  <c r="C2982" i="4"/>
  <c r="A2983" i="4"/>
  <c r="B2983" i="4"/>
  <c r="C2983" i="4"/>
  <c r="A2984" i="4"/>
  <c r="B2984" i="4"/>
  <c r="C2984" i="4"/>
  <c r="A2985" i="4"/>
  <c r="B2985" i="4"/>
  <c r="C2985" i="4"/>
  <c r="A2986" i="4"/>
  <c r="B2986" i="4"/>
  <c r="C2986" i="4"/>
  <c r="A2987" i="4"/>
  <c r="B2987" i="4"/>
  <c r="C2987" i="4"/>
  <c r="A2988" i="4"/>
  <c r="B2988" i="4"/>
  <c r="C2988" i="4"/>
  <c r="A2989" i="4"/>
  <c r="B2989" i="4"/>
  <c r="C2989" i="4"/>
  <c r="A2990" i="4"/>
  <c r="B2990" i="4"/>
  <c r="C2990" i="4"/>
  <c r="A2991" i="4"/>
  <c r="B2991" i="4"/>
  <c r="C2991" i="4"/>
  <c r="A2992" i="4"/>
  <c r="B2992" i="4"/>
  <c r="C2992" i="4"/>
  <c r="A2993" i="4"/>
  <c r="B2993" i="4"/>
  <c r="C2993" i="4"/>
  <c r="A2994" i="4"/>
  <c r="B2994" i="4"/>
  <c r="C2994" i="4"/>
  <c r="A2995" i="4"/>
  <c r="B2995" i="4"/>
  <c r="C2995" i="4"/>
  <c r="A2996" i="4"/>
  <c r="B2996" i="4"/>
  <c r="C2996" i="4"/>
  <c r="A2997" i="4"/>
  <c r="B2997" i="4"/>
  <c r="C2997" i="4"/>
  <c r="A2998" i="4"/>
  <c r="B2998" i="4"/>
  <c r="C2998" i="4"/>
  <c r="A2999" i="4"/>
  <c r="B2999" i="4"/>
  <c r="C2999" i="4"/>
  <c r="A3000" i="4"/>
  <c r="B3000" i="4"/>
  <c r="C3000" i="4"/>
  <c r="A3001" i="4"/>
  <c r="B3001" i="4"/>
  <c r="C3001" i="4"/>
  <c r="A3002" i="4"/>
  <c r="B3002" i="4"/>
  <c r="C3002" i="4"/>
  <c r="A3003" i="4"/>
  <c r="B3003" i="4"/>
  <c r="C3003" i="4"/>
  <c r="A3004" i="4"/>
  <c r="B3004" i="4"/>
  <c r="C3004" i="4"/>
  <c r="A3005" i="4"/>
  <c r="B3005" i="4"/>
  <c r="C3005" i="4"/>
  <c r="A3006" i="4"/>
  <c r="B3006" i="4"/>
  <c r="C3006" i="4"/>
  <c r="A3007" i="4"/>
  <c r="B3007" i="4"/>
  <c r="C3007" i="4"/>
  <c r="A3008" i="4"/>
  <c r="B3008" i="4"/>
  <c r="C3008" i="4"/>
  <c r="A3009" i="4"/>
  <c r="B3009" i="4"/>
  <c r="C3009" i="4"/>
  <c r="A3010" i="4"/>
  <c r="B3010" i="4"/>
  <c r="C3010" i="4"/>
  <c r="A3011" i="4"/>
  <c r="B3011" i="4"/>
  <c r="C3011" i="4"/>
  <c r="A3012" i="4"/>
  <c r="B3012" i="4"/>
  <c r="C3012" i="4"/>
  <c r="A3013" i="4"/>
  <c r="B3013" i="4"/>
  <c r="C3013" i="4"/>
  <c r="A3014" i="4"/>
  <c r="B3014" i="4"/>
  <c r="C3014" i="4"/>
  <c r="A3015" i="4"/>
  <c r="B3015" i="4"/>
  <c r="C3015" i="4"/>
  <c r="A3016" i="4"/>
  <c r="B3016" i="4"/>
  <c r="C3016" i="4"/>
  <c r="A3017" i="4"/>
  <c r="B3017" i="4"/>
  <c r="C3017" i="4"/>
  <c r="A3018" i="4"/>
  <c r="B3018" i="4"/>
  <c r="C3018" i="4"/>
  <c r="A3019" i="4"/>
  <c r="B3019" i="4"/>
  <c r="C3019" i="4"/>
  <c r="A3020" i="4"/>
  <c r="B3020" i="4"/>
  <c r="C3020" i="4"/>
  <c r="A3021" i="4"/>
  <c r="B3021" i="4"/>
  <c r="C3021" i="4"/>
  <c r="A3022" i="4"/>
  <c r="B3022" i="4"/>
  <c r="C3022" i="4"/>
  <c r="A3023" i="4"/>
  <c r="B3023" i="4"/>
  <c r="C3023" i="4"/>
  <c r="A3024" i="4"/>
  <c r="B3024" i="4"/>
  <c r="C3024" i="4"/>
  <c r="A3025" i="4"/>
  <c r="B3025" i="4"/>
  <c r="C3025" i="4"/>
  <c r="A3026" i="4"/>
  <c r="B3026" i="4"/>
  <c r="C3026" i="4"/>
  <c r="A3027" i="4"/>
  <c r="B3027" i="4"/>
  <c r="C3027" i="4"/>
  <c r="A3028" i="4"/>
  <c r="B3028" i="4"/>
  <c r="C3028" i="4"/>
  <c r="A3029" i="4"/>
  <c r="B3029" i="4"/>
  <c r="C3029" i="4"/>
  <c r="A3030" i="4"/>
  <c r="B3030" i="4"/>
  <c r="C3030" i="4"/>
  <c r="A3031" i="4"/>
  <c r="B3031" i="4"/>
  <c r="C3031" i="4"/>
  <c r="A3032" i="4"/>
  <c r="B3032" i="4"/>
  <c r="C3032" i="4"/>
  <c r="A3033" i="4"/>
  <c r="B3033" i="4"/>
  <c r="C3033" i="4"/>
  <c r="A3034" i="4"/>
  <c r="B3034" i="4"/>
  <c r="C3034" i="4"/>
  <c r="A3035" i="4"/>
  <c r="B3035" i="4"/>
  <c r="C3035" i="4"/>
  <c r="A3036" i="4"/>
  <c r="B3036" i="4"/>
  <c r="C3036" i="4"/>
  <c r="A3037" i="4"/>
  <c r="B3037" i="4"/>
  <c r="C3037" i="4"/>
  <c r="A3038" i="4"/>
  <c r="B3038" i="4"/>
  <c r="C3038" i="4"/>
  <c r="A3039" i="4"/>
  <c r="B3039" i="4"/>
  <c r="C3039" i="4"/>
  <c r="A3040" i="4"/>
  <c r="B3040" i="4"/>
  <c r="C3040" i="4"/>
  <c r="A3041" i="4"/>
  <c r="B3041" i="4"/>
  <c r="C3041" i="4"/>
  <c r="A3042" i="4"/>
  <c r="B3042" i="4"/>
  <c r="C3042" i="4"/>
  <c r="A3043" i="4"/>
  <c r="B3043" i="4"/>
  <c r="C3043" i="4"/>
  <c r="A3044" i="4"/>
  <c r="B3044" i="4"/>
  <c r="C3044" i="4"/>
  <c r="A3045" i="4"/>
  <c r="B3045" i="4"/>
  <c r="C3045" i="4"/>
  <c r="A3046" i="4"/>
  <c r="B3046" i="4"/>
  <c r="C3046" i="4"/>
  <c r="A3047" i="4"/>
  <c r="B3047" i="4"/>
  <c r="C3047" i="4"/>
  <c r="A3048" i="4"/>
  <c r="B3048" i="4"/>
  <c r="C3048" i="4"/>
  <c r="A3049" i="4"/>
  <c r="B3049" i="4"/>
  <c r="C3049" i="4"/>
  <c r="A3050" i="4"/>
  <c r="B3050" i="4"/>
  <c r="C3050" i="4"/>
  <c r="A3051" i="4"/>
  <c r="B3051" i="4"/>
  <c r="C3051" i="4"/>
  <c r="A3052" i="4"/>
  <c r="B3052" i="4"/>
  <c r="C3052" i="4"/>
  <c r="A3053" i="4"/>
  <c r="B3053" i="4"/>
  <c r="C3053" i="4"/>
  <c r="A3054" i="4"/>
  <c r="B3054" i="4"/>
  <c r="C3054" i="4"/>
  <c r="A3055" i="4"/>
  <c r="B3055" i="4"/>
  <c r="C3055" i="4"/>
  <c r="A3056" i="4"/>
  <c r="B3056" i="4"/>
  <c r="C3056" i="4"/>
  <c r="A3057" i="4"/>
  <c r="B3057" i="4"/>
  <c r="C3057" i="4"/>
  <c r="A3058" i="4"/>
  <c r="B3058" i="4"/>
  <c r="C3058" i="4"/>
  <c r="A3059" i="4"/>
  <c r="B3059" i="4"/>
  <c r="C3059" i="4"/>
  <c r="A3060" i="4"/>
  <c r="B3060" i="4"/>
  <c r="C3060" i="4"/>
  <c r="A3061" i="4"/>
  <c r="B3061" i="4"/>
  <c r="C3061" i="4"/>
  <c r="A3062" i="4"/>
  <c r="B3062" i="4"/>
  <c r="C3062" i="4"/>
  <c r="A3063" i="4"/>
  <c r="B3063" i="4"/>
  <c r="C3063" i="4"/>
  <c r="A3064" i="4"/>
  <c r="B3064" i="4"/>
  <c r="C3064" i="4"/>
  <c r="A3065" i="4"/>
  <c r="B3065" i="4"/>
  <c r="C3065" i="4"/>
  <c r="A3066" i="4"/>
  <c r="B3066" i="4"/>
  <c r="C3066" i="4"/>
  <c r="A3067" i="4"/>
  <c r="B3067" i="4"/>
  <c r="C3067" i="4"/>
  <c r="A3068" i="4"/>
  <c r="B3068" i="4"/>
  <c r="C3068" i="4"/>
  <c r="A3069" i="4"/>
  <c r="B3069" i="4"/>
  <c r="C3069" i="4"/>
  <c r="A3070" i="4"/>
  <c r="B3070" i="4"/>
  <c r="C3070" i="4"/>
  <c r="A3071" i="4"/>
  <c r="B3071" i="4"/>
  <c r="C3071" i="4"/>
  <c r="A3072" i="4"/>
  <c r="B3072" i="4"/>
  <c r="C3072" i="4"/>
  <c r="A3073" i="4"/>
  <c r="B3073" i="4"/>
  <c r="C3073" i="4"/>
  <c r="A3074" i="4"/>
  <c r="B3074" i="4"/>
  <c r="C3074" i="4"/>
  <c r="A3075" i="4"/>
  <c r="B3075" i="4"/>
  <c r="C3075" i="4"/>
  <c r="A3076" i="4"/>
  <c r="B3076" i="4"/>
  <c r="C3076" i="4"/>
  <c r="A3077" i="4"/>
  <c r="B3077" i="4"/>
  <c r="C3077" i="4"/>
  <c r="A3078" i="4"/>
  <c r="B3078" i="4"/>
  <c r="C3078" i="4"/>
  <c r="A3079" i="4"/>
  <c r="B3079" i="4"/>
  <c r="C3079" i="4"/>
  <c r="A3080" i="4"/>
  <c r="B3080" i="4"/>
  <c r="C3080" i="4"/>
  <c r="A3081" i="4"/>
  <c r="B3081" i="4"/>
  <c r="C3081" i="4"/>
  <c r="A3082" i="4"/>
  <c r="B3082" i="4"/>
  <c r="C3082" i="4"/>
  <c r="A3083" i="4"/>
  <c r="B3083" i="4"/>
  <c r="C3083" i="4"/>
  <c r="A3084" i="4"/>
  <c r="B3084" i="4"/>
  <c r="C3084" i="4"/>
  <c r="A3085" i="4"/>
  <c r="B3085" i="4"/>
  <c r="C3085" i="4"/>
  <c r="A3086" i="4"/>
  <c r="B3086" i="4"/>
  <c r="C3086" i="4"/>
  <c r="A3087" i="4"/>
  <c r="B3087" i="4"/>
  <c r="C3087" i="4"/>
  <c r="A3088" i="4"/>
  <c r="B3088" i="4"/>
  <c r="C3088" i="4"/>
  <c r="A3089" i="4"/>
  <c r="B3089" i="4"/>
  <c r="C3089" i="4"/>
  <c r="A3090" i="4"/>
  <c r="B3090" i="4"/>
  <c r="C3090" i="4"/>
  <c r="A3091" i="4"/>
  <c r="B3091" i="4"/>
  <c r="C3091" i="4"/>
  <c r="A3092" i="4"/>
  <c r="B3092" i="4"/>
  <c r="C3092" i="4"/>
  <c r="A3093" i="4"/>
  <c r="B3093" i="4"/>
  <c r="C3093" i="4"/>
  <c r="A3094" i="4"/>
  <c r="B3094" i="4"/>
  <c r="C3094" i="4"/>
  <c r="A3095" i="4"/>
  <c r="B3095" i="4"/>
  <c r="C3095" i="4"/>
  <c r="A3096" i="4"/>
  <c r="B3096" i="4"/>
  <c r="C3096" i="4"/>
  <c r="A3097" i="4"/>
  <c r="B3097" i="4"/>
  <c r="C3097" i="4"/>
  <c r="A3098" i="4"/>
  <c r="B3098" i="4"/>
  <c r="C3098" i="4"/>
  <c r="A3099" i="4"/>
  <c r="B3099" i="4"/>
  <c r="C3099" i="4"/>
  <c r="A3100" i="4"/>
  <c r="B3100" i="4"/>
  <c r="C3100" i="4"/>
  <c r="A3101" i="4"/>
  <c r="B3101" i="4"/>
  <c r="C3101" i="4"/>
  <c r="A3102" i="4"/>
  <c r="B3102" i="4"/>
  <c r="C3102" i="4"/>
  <c r="A3103" i="4"/>
  <c r="B3103" i="4"/>
  <c r="C3103" i="4"/>
  <c r="A3104" i="4"/>
  <c r="B3104" i="4"/>
  <c r="C3104" i="4"/>
  <c r="A3105" i="4"/>
  <c r="B3105" i="4"/>
  <c r="C3105" i="4"/>
  <c r="A3106" i="4"/>
  <c r="B3106" i="4"/>
  <c r="C3106" i="4"/>
  <c r="A3107" i="4"/>
  <c r="B3107" i="4"/>
  <c r="C3107" i="4"/>
  <c r="A3108" i="4"/>
  <c r="B3108" i="4"/>
  <c r="C3108" i="4"/>
  <c r="A3109" i="4"/>
  <c r="B3109" i="4"/>
  <c r="C3109" i="4"/>
  <c r="A3110" i="4"/>
  <c r="B3110" i="4"/>
  <c r="C3110" i="4"/>
  <c r="A3111" i="4"/>
  <c r="B3111" i="4"/>
  <c r="C3111" i="4"/>
  <c r="A3112" i="4"/>
  <c r="B3112" i="4"/>
  <c r="C3112" i="4"/>
  <c r="A3113" i="4"/>
  <c r="B3113" i="4"/>
  <c r="C3113" i="4"/>
  <c r="A3114" i="4"/>
  <c r="B3114" i="4"/>
  <c r="C3114" i="4"/>
  <c r="A3115" i="4"/>
  <c r="B3115" i="4"/>
  <c r="C3115" i="4"/>
  <c r="A3116" i="4"/>
  <c r="B3116" i="4"/>
  <c r="C3116" i="4"/>
  <c r="A3117" i="4"/>
  <c r="B3117" i="4"/>
  <c r="C3117" i="4"/>
  <c r="A3118" i="4"/>
  <c r="B3118" i="4"/>
  <c r="C3118" i="4"/>
  <c r="A3119" i="4"/>
  <c r="B3119" i="4"/>
  <c r="C3119" i="4"/>
  <c r="A3120" i="4"/>
  <c r="B3120" i="4"/>
  <c r="C3120" i="4"/>
  <c r="A3121" i="4"/>
  <c r="B3121" i="4"/>
  <c r="C3121" i="4"/>
  <c r="A3122" i="4"/>
  <c r="B3122" i="4"/>
  <c r="C3122" i="4"/>
  <c r="A3123" i="4"/>
  <c r="B3123" i="4"/>
  <c r="C3123" i="4"/>
  <c r="A3124" i="4"/>
  <c r="B3124" i="4"/>
  <c r="C3124" i="4"/>
  <c r="A3125" i="4"/>
  <c r="B3125" i="4"/>
  <c r="C3125" i="4"/>
  <c r="A3126" i="4"/>
  <c r="B3126" i="4"/>
  <c r="C3126" i="4"/>
  <c r="A3127" i="4"/>
  <c r="B3127" i="4"/>
  <c r="C3127" i="4"/>
  <c r="A3128" i="4"/>
  <c r="B3128" i="4"/>
  <c r="C3128" i="4"/>
  <c r="A3129" i="4"/>
  <c r="B3129" i="4"/>
  <c r="C3129" i="4"/>
  <c r="A3130" i="4"/>
  <c r="B3130" i="4"/>
  <c r="C3130" i="4"/>
  <c r="A3131" i="4"/>
  <c r="B3131" i="4"/>
  <c r="C3131" i="4"/>
  <c r="A3132" i="4"/>
  <c r="B3132" i="4"/>
  <c r="C3132" i="4"/>
  <c r="A3133" i="4"/>
  <c r="B3133" i="4"/>
  <c r="C3133" i="4"/>
  <c r="A3134" i="4"/>
  <c r="B3134" i="4"/>
  <c r="C3134" i="4"/>
  <c r="A3135" i="4"/>
  <c r="B3135" i="4"/>
  <c r="C3135" i="4"/>
  <c r="A3136" i="4"/>
  <c r="B3136" i="4"/>
  <c r="C3136" i="4"/>
  <c r="A3137" i="4"/>
  <c r="B3137" i="4"/>
  <c r="C3137" i="4"/>
  <c r="A3138" i="4"/>
  <c r="B3138" i="4"/>
  <c r="C3138" i="4"/>
  <c r="A3139" i="4"/>
  <c r="B3139" i="4"/>
  <c r="C3139" i="4"/>
  <c r="A3140" i="4"/>
  <c r="B3140" i="4"/>
  <c r="C3140" i="4"/>
  <c r="A3141" i="4"/>
  <c r="B3141" i="4"/>
  <c r="C3141" i="4"/>
  <c r="A3142" i="4"/>
  <c r="B3142" i="4"/>
  <c r="C3142" i="4"/>
  <c r="A3143" i="4"/>
  <c r="B3143" i="4"/>
  <c r="C3143" i="4"/>
  <c r="A3144" i="4"/>
  <c r="B3144" i="4"/>
  <c r="C3144" i="4"/>
  <c r="A3145" i="4"/>
  <c r="B3145" i="4"/>
  <c r="C3145" i="4"/>
  <c r="A3146" i="4"/>
  <c r="B3146" i="4"/>
  <c r="C3146" i="4"/>
  <c r="A3147" i="4"/>
  <c r="B3147" i="4"/>
  <c r="C3147" i="4"/>
  <c r="A3148" i="4"/>
  <c r="B3148" i="4"/>
  <c r="C3148" i="4"/>
  <c r="A3149" i="4"/>
  <c r="B3149" i="4"/>
  <c r="C3149" i="4"/>
  <c r="A3150" i="4"/>
  <c r="B3150" i="4"/>
  <c r="C3150" i="4"/>
  <c r="A3151" i="4"/>
  <c r="B3151" i="4"/>
  <c r="C3151" i="4"/>
  <c r="A3152" i="4"/>
  <c r="B3152" i="4"/>
  <c r="C3152" i="4"/>
  <c r="A3153" i="4"/>
  <c r="B3153" i="4"/>
  <c r="C3153" i="4"/>
  <c r="A3154" i="4"/>
  <c r="B3154" i="4"/>
  <c r="C3154" i="4"/>
  <c r="A3155" i="4"/>
  <c r="B3155" i="4"/>
  <c r="C3155" i="4"/>
  <c r="A3156" i="4"/>
  <c r="B3156" i="4"/>
  <c r="C3156" i="4"/>
  <c r="A3157" i="4"/>
  <c r="B3157" i="4"/>
  <c r="C3157" i="4"/>
  <c r="A3158" i="4"/>
  <c r="B3158" i="4"/>
  <c r="C3158" i="4"/>
  <c r="A3159" i="4"/>
  <c r="B3159" i="4"/>
  <c r="C3159" i="4"/>
  <c r="A3160" i="4"/>
  <c r="B3160" i="4"/>
  <c r="C3160" i="4"/>
  <c r="A3161" i="4"/>
  <c r="B3161" i="4"/>
  <c r="C3161" i="4"/>
  <c r="A3162" i="4"/>
  <c r="B3162" i="4"/>
  <c r="C3162" i="4"/>
  <c r="A3163" i="4"/>
  <c r="B3163" i="4"/>
  <c r="C3163" i="4"/>
  <c r="A3164" i="4"/>
  <c r="B3164" i="4"/>
  <c r="C3164" i="4"/>
  <c r="A3165" i="4"/>
  <c r="B3165" i="4"/>
  <c r="C3165" i="4"/>
  <c r="A3166" i="4"/>
  <c r="B3166" i="4"/>
  <c r="C3166" i="4"/>
  <c r="A3167" i="4"/>
  <c r="B3167" i="4"/>
  <c r="C3167" i="4"/>
  <c r="A3168" i="4"/>
  <c r="B3168" i="4"/>
  <c r="C3168" i="4"/>
  <c r="A3169" i="4"/>
  <c r="B3169" i="4"/>
  <c r="C3169" i="4"/>
  <c r="A3170" i="4"/>
  <c r="B3170" i="4"/>
  <c r="C3170" i="4"/>
  <c r="A3171" i="4"/>
  <c r="B3171" i="4"/>
  <c r="C3171" i="4"/>
  <c r="A3172" i="4"/>
  <c r="B3172" i="4"/>
  <c r="C3172" i="4"/>
  <c r="A3173" i="4"/>
  <c r="B3173" i="4"/>
  <c r="C3173" i="4"/>
  <c r="A3174" i="4"/>
  <c r="B3174" i="4"/>
  <c r="C3174" i="4"/>
  <c r="A3175" i="4"/>
  <c r="B3175" i="4"/>
  <c r="C3175" i="4"/>
  <c r="A3176" i="4"/>
  <c r="B3176" i="4"/>
  <c r="C3176" i="4"/>
  <c r="A3177" i="4"/>
  <c r="B3177" i="4"/>
  <c r="C3177" i="4"/>
  <c r="A3178" i="4"/>
  <c r="B3178" i="4"/>
  <c r="C3178" i="4"/>
  <c r="A3179" i="4"/>
  <c r="B3179" i="4"/>
  <c r="C3179" i="4"/>
  <c r="A3180" i="4"/>
  <c r="B3180" i="4"/>
  <c r="C3180" i="4"/>
  <c r="A3181" i="4"/>
  <c r="B3181" i="4"/>
  <c r="C3181" i="4"/>
  <c r="A3182" i="4"/>
  <c r="B3182" i="4"/>
  <c r="C3182" i="4"/>
  <c r="A3183" i="4"/>
  <c r="B3183" i="4"/>
  <c r="C3183" i="4"/>
  <c r="A3184" i="4"/>
  <c r="B3184" i="4"/>
  <c r="C3184" i="4"/>
  <c r="A3185" i="4"/>
  <c r="B3185" i="4"/>
  <c r="C3185" i="4"/>
  <c r="A3186" i="4"/>
  <c r="B3186" i="4"/>
  <c r="C3186" i="4"/>
  <c r="A3187" i="4"/>
  <c r="B3187" i="4"/>
  <c r="C3187" i="4"/>
  <c r="A3188" i="4"/>
  <c r="B3188" i="4"/>
  <c r="C3188" i="4"/>
  <c r="A3189" i="4"/>
  <c r="B3189" i="4"/>
  <c r="C3189" i="4"/>
  <c r="A3190" i="4"/>
  <c r="B3190" i="4"/>
  <c r="C3190" i="4"/>
  <c r="A3191" i="4"/>
  <c r="B3191" i="4"/>
  <c r="C3191" i="4"/>
  <c r="A3192" i="4"/>
  <c r="B3192" i="4"/>
  <c r="C3192" i="4"/>
  <c r="A3193" i="4"/>
  <c r="B3193" i="4"/>
  <c r="C3193" i="4"/>
  <c r="A3194" i="4"/>
  <c r="B3194" i="4"/>
  <c r="C3194" i="4"/>
  <c r="A3195" i="4"/>
  <c r="B3195" i="4"/>
  <c r="C3195" i="4"/>
  <c r="A3196" i="4"/>
  <c r="B3196" i="4"/>
  <c r="C3196" i="4"/>
  <c r="A3197" i="4"/>
  <c r="B3197" i="4"/>
  <c r="C3197" i="4"/>
  <c r="A3198" i="4"/>
  <c r="B3198" i="4"/>
  <c r="C3198" i="4"/>
  <c r="A3199" i="4"/>
  <c r="B3199" i="4"/>
  <c r="C3199" i="4"/>
  <c r="A3200" i="4"/>
  <c r="B3200" i="4"/>
  <c r="C3200" i="4"/>
  <c r="A3201" i="4"/>
  <c r="B3201" i="4"/>
  <c r="C3201" i="4"/>
  <c r="A3202" i="4"/>
  <c r="B3202" i="4"/>
  <c r="C3202" i="4"/>
  <c r="A3203" i="4"/>
  <c r="B3203" i="4"/>
  <c r="C3203" i="4"/>
  <c r="A3204" i="4"/>
  <c r="B3204" i="4"/>
  <c r="C3204" i="4"/>
  <c r="A3205" i="4"/>
  <c r="B3205" i="4"/>
  <c r="C3205" i="4"/>
  <c r="A3206" i="4"/>
  <c r="B3206" i="4"/>
  <c r="C3206" i="4"/>
  <c r="A3207" i="4"/>
  <c r="B3207" i="4"/>
  <c r="C3207" i="4"/>
  <c r="A3208" i="4"/>
  <c r="B3208" i="4"/>
  <c r="C3208" i="4"/>
  <c r="A3209" i="4"/>
  <c r="B3209" i="4"/>
  <c r="C3209" i="4"/>
  <c r="A3210" i="4"/>
  <c r="B3210" i="4"/>
  <c r="C3210" i="4"/>
  <c r="A3211" i="4"/>
  <c r="B3211" i="4"/>
  <c r="C3211" i="4"/>
  <c r="A3212" i="4"/>
  <c r="B3212" i="4"/>
  <c r="C3212" i="4"/>
  <c r="A3213" i="4"/>
  <c r="B3213" i="4"/>
  <c r="C3213" i="4"/>
  <c r="A3214" i="4"/>
  <c r="B3214" i="4"/>
  <c r="C3214" i="4"/>
  <c r="A3215" i="4"/>
  <c r="B3215" i="4"/>
  <c r="C3215" i="4"/>
  <c r="A3216" i="4"/>
  <c r="B3216" i="4"/>
  <c r="C3216" i="4"/>
  <c r="A3217" i="4"/>
  <c r="B3217" i="4"/>
  <c r="C3217" i="4"/>
  <c r="A3218" i="4"/>
  <c r="B3218" i="4"/>
  <c r="C3218" i="4"/>
  <c r="A3219" i="4"/>
  <c r="B3219" i="4"/>
  <c r="C3219" i="4"/>
  <c r="A3220" i="4"/>
  <c r="B3220" i="4"/>
  <c r="C3220" i="4"/>
  <c r="A3221" i="4"/>
  <c r="B3221" i="4"/>
  <c r="C3221" i="4"/>
  <c r="A3222" i="4"/>
  <c r="B3222" i="4"/>
  <c r="C3222" i="4"/>
  <c r="A3223" i="4"/>
  <c r="B3223" i="4"/>
  <c r="C3223" i="4"/>
  <c r="A3224" i="4"/>
  <c r="B3224" i="4"/>
  <c r="C3224" i="4"/>
  <c r="A3225" i="4"/>
  <c r="B3225" i="4"/>
  <c r="C3225" i="4"/>
  <c r="A3226" i="4"/>
  <c r="B3226" i="4"/>
  <c r="C3226" i="4"/>
  <c r="A3227" i="4"/>
  <c r="B3227" i="4"/>
  <c r="C3227" i="4"/>
  <c r="A3228" i="4"/>
  <c r="B3228" i="4"/>
  <c r="C3228" i="4"/>
  <c r="A3229" i="4"/>
  <c r="B3229" i="4"/>
  <c r="C3229" i="4"/>
  <c r="A3230" i="4"/>
  <c r="B3230" i="4"/>
  <c r="C3230" i="4"/>
  <c r="A3231" i="4"/>
  <c r="B3231" i="4"/>
  <c r="C3231" i="4"/>
  <c r="A3232" i="4"/>
  <c r="B3232" i="4"/>
  <c r="C3232" i="4"/>
  <c r="A3233" i="4"/>
  <c r="B3233" i="4"/>
  <c r="C3233" i="4"/>
  <c r="A3234" i="4"/>
  <c r="B3234" i="4"/>
  <c r="C3234" i="4"/>
  <c r="A3235" i="4"/>
  <c r="B3235" i="4"/>
  <c r="C3235" i="4"/>
  <c r="A3236" i="4"/>
  <c r="B3236" i="4"/>
  <c r="C3236" i="4"/>
  <c r="A3237" i="4"/>
  <c r="B3237" i="4"/>
  <c r="C3237" i="4"/>
  <c r="A3238" i="4"/>
  <c r="B3238" i="4"/>
  <c r="C3238" i="4"/>
  <c r="A3239" i="4"/>
  <c r="B3239" i="4"/>
  <c r="C3239" i="4"/>
  <c r="A3240" i="4"/>
  <c r="B3240" i="4"/>
  <c r="C3240" i="4"/>
  <c r="A3241" i="4"/>
  <c r="B3241" i="4"/>
  <c r="C3241" i="4"/>
  <c r="A3242" i="4"/>
  <c r="B3242" i="4"/>
  <c r="C3242" i="4"/>
  <c r="A3243" i="4"/>
  <c r="B3243" i="4"/>
  <c r="C3243" i="4"/>
  <c r="A3244" i="4"/>
  <c r="B3244" i="4"/>
  <c r="C3244" i="4"/>
  <c r="A3245" i="4"/>
  <c r="B3245" i="4"/>
  <c r="C3245" i="4"/>
  <c r="A3246" i="4"/>
  <c r="B3246" i="4"/>
  <c r="C3246" i="4"/>
  <c r="A3247" i="4"/>
  <c r="B3247" i="4"/>
  <c r="C3247" i="4"/>
  <c r="A3248" i="4"/>
  <c r="B3248" i="4"/>
  <c r="C3248" i="4"/>
  <c r="A3249" i="4"/>
  <c r="B3249" i="4"/>
  <c r="C3249" i="4"/>
  <c r="A3250" i="4"/>
  <c r="B3250" i="4"/>
  <c r="C3250" i="4"/>
  <c r="A3251" i="4"/>
  <c r="B3251" i="4"/>
  <c r="C3251" i="4"/>
  <c r="A3252" i="4"/>
  <c r="B3252" i="4"/>
  <c r="C3252" i="4"/>
  <c r="A3253" i="4"/>
  <c r="B3253" i="4"/>
  <c r="C3253" i="4"/>
  <c r="A3254" i="4"/>
  <c r="B3254" i="4"/>
  <c r="C3254" i="4"/>
  <c r="A3255" i="4"/>
  <c r="B3255" i="4"/>
  <c r="C3255" i="4"/>
  <c r="A3256" i="4"/>
  <c r="B3256" i="4"/>
  <c r="C3256" i="4"/>
  <c r="A3257" i="4"/>
  <c r="B3257" i="4"/>
  <c r="C3257" i="4"/>
  <c r="A3258" i="4"/>
  <c r="B3258" i="4"/>
  <c r="C3258" i="4"/>
  <c r="A3259" i="4"/>
  <c r="B3259" i="4"/>
  <c r="C3259" i="4"/>
  <c r="A3260" i="4"/>
  <c r="B3260" i="4"/>
  <c r="C3260" i="4"/>
  <c r="A3261" i="4"/>
  <c r="B3261" i="4"/>
  <c r="C3261" i="4"/>
  <c r="A3262" i="4"/>
  <c r="B3262" i="4"/>
  <c r="C3262" i="4"/>
  <c r="A3263" i="4"/>
  <c r="B3263" i="4"/>
  <c r="C3263" i="4"/>
  <c r="A3264" i="4"/>
  <c r="B3264" i="4"/>
  <c r="C3264" i="4"/>
  <c r="A3265" i="4"/>
  <c r="B3265" i="4"/>
  <c r="C3265" i="4"/>
  <c r="A3266" i="4"/>
  <c r="B3266" i="4"/>
  <c r="C3266" i="4"/>
  <c r="A3267" i="4"/>
  <c r="B3267" i="4"/>
  <c r="C3267" i="4"/>
  <c r="A3268" i="4"/>
  <c r="B3268" i="4"/>
  <c r="C3268" i="4"/>
  <c r="A3269" i="4"/>
  <c r="B3269" i="4"/>
  <c r="C3269" i="4"/>
  <c r="A3270" i="4"/>
  <c r="B3270" i="4"/>
  <c r="C3270" i="4"/>
  <c r="A3271" i="4"/>
  <c r="B3271" i="4"/>
  <c r="C3271" i="4"/>
  <c r="A3272" i="4"/>
  <c r="B3272" i="4"/>
  <c r="C3272" i="4"/>
  <c r="A3273" i="4"/>
  <c r="B3273" i="4"/>
  <c r="C3273" i="4"/>
  <c r="A3274" i="4"/>
  <c r="B3274" i="4"/>
  <c r="C3274" i="4"/>
  <c r="A3275" i="4"/>
  <c r="B3275" i="4"/>
  <c r="C3275" i="4"/>
  <c r="A3276" i="4"/>
  <c r="B3276" i="4"/>
  <c r="C3276" i="4"/>
  <c r="A3277" i="4"/>
  <c r="B3277" i="4"/>
  <c r="C3277" i="4"/>
  <c r="A3278" i="4"/>
  <c r="B3278" i="4"/>
  <c r="C3278" i="4"/>
  <c r="A3279" i="4"/>
  <c r="B3279" i="4"/>
  <c r="C3279" i="4"/>
  <c r="A3280" i="4"/>
  <c r="B3280" i="4"/>
  <c r="C3280" i="4"/>
  <c r="A3281" i="4"/>
  <c r="B3281" i="4"/>
  <c r="C3281" i="4"/>
  <c r="A3282" i="4"/>
  <c r="B3282" i="4"/>
  <c r="C3282" i="4"/>
  <c r="A3283" i="4"/>
  <c r="B3283" i="4"/>
  <c r="C3283" i="4"/>
  <c r="A3284" i="4"/>
  <c r="B3284" i="4"/>
  <c r="C3284" i="4"/>
  <c r="A3285" i="4"/>
  <c r="B3285" i="4"/>
  <c r="C3285" i="4"/>
  <c r="A3286" i="4"/>
  <c r="B3286" i="4"/>
  <c r="C3286" i="4"/>
  <c r="A3287" i="4"/>
  <c r="B3287" i="4"/>
  <c r="C3287" i="4"/>
  <c r="A3288" i="4"/>
  <c r="B3288" i="4"/>
  <c r="C3288" i="4"/>
  <c r="A3289" i="4"/>
  <c r="B3289" i="4"/>
  <c r="C3289" i="4"/>
  <c r="A3290" i="4"/>
  <c r="B3290" i="4"/>
  <c r="C3290" i="4"/>
  <c r="A3291" i="4"/>
  <c r="B3291" i="4"/>
  <c r="C3291" i="4"/>
  <c r="A3292" i="4"/>
  <c r="B3292" i="4"/>
  <c r="C3292" i="4"/>
  <c r="A3293" i="4"/>
  <c r="B3293" i="4"/>
  <c r="C3293" i="4"/>
  <c r="A3294" i="4"/>
  <c r="B3294" i="4"/>
  <c r="C3294" i="4"/>
  <c r="A3295" i="4"/>
  <c r="B3295" i="4"/>
  <c r="C3295" i="4"/>
  <c r="A3296" i="4"/>
  <c r="B3296" i="4"/>
  <c r="C3296" i="4"/>
  <c r="A3297" i="4"/>
  <c r="B3297" i="4"/>
  <c r="C3297" i="4"/>
  <c r="A3298" i="4"/>
  <c r="B3298" i="4"/>
  <c r="C3298" i="4"/>
  <c r="A3299" i="4"/>
  <c r="B3299" i="4"/>
  <c r="C3299" i="4"/>
  <c r="A3300" i="4"/>
  <c r="B3300" i="4"/>
  <c r="C3300" i="4"/>
  <c r="A3301" i="4"/>
  <c r="B3301" i="4"/>
  <c r="C3301" i="4"/>
  <c r="A3302" i="4"/>
  <c r="B3302" i="4"/>
  <c r="C3302" i="4"/>
  <c r="A3303" i="4"/>
  <c r="B3303" i="4"/>
  <c r="C3303" i="4"/>
  <c r="A3304" i="4"/>
  <c r="B3304" i="4"/>
  <c r="C3304" i="4"/>
  <c r="A3305" i="4"/>
  <c r="B3305" i="4"/>
  <c r="C3305" i="4"/>
  <c r="A3306" i="4"/>
  <c r="B3306" i="4"/>
  <c r="C3306" i="4"/>
  <c r="A3307" i="4"/>
  <c r="B3307" i="4"/>
  <c r="C3307" i="4"/>
  <c r="A3308" i="4"/>
  <c r="B3308" i="4"/>
  <c r="C3308" i="4"/>
  <c r="A3309" i="4"/>
  <c r="B3309" i="4"/>
  <c r="C3309" i="4"/>
  <c r="A3310" i="4"/>
  <c r="B3310" i="4"/>
  <c r="C3310" i="4"/>
  <c r="A3311" i="4"/>
  <c r="B3311" i="4"/>
  <c r="C3311" i="4"/>
  <c r="A3312" i="4"/>
  <c r="B3312" i="4"/>
  <c r="C3312" i="4"/>
  <c r="A3313" i="4"/>
  <c r="B3313" i="4"/>
  <c r="C3313" i="4"/>
  <c r="A3314" i="4"/>
  <c r="B3314" i="4"/>
  <c r="C3314" i="4"/>
  <c r="A3315" i="4"/>
  <c r="B3315" i="4"/>
  <c r="C3315" i="4"/>
  <c r="A3316" i="4"/>
  <c r="B3316" i="4"/>
  <c r="C3316" i="4"/>
  <c r="A3317" i="4"/>
  <c r="B3317" i="4"/>
  <c r="C3317" i="4"/>
  <c r="A3318" i="4"/>
  <c r="B3318" i="4"/>
  <c r="C3318" i="4"/>
  <c r="A3319" i="4"/>
  <c r="B3319" i="4"/>
  <c r="C3319" i="4"/>
  <c r="A3320" i="4"/>
  <c r="B3320" i="4"/>
  <c r="C3320" i="4"/>
  <c r="A3321" i="4"/>
  <c r="B3321" i="4"/>
  <c r="C3321" i="4"/>
  <c r="A3322" i="4"/>
  <c r="B3322" i="4"/>
  <c r="C3322" i="4"/>
  <c r="A3323" i="4"/>
  <c r="B3323" i="4"/>
  <c r="C3323" i="4"/>
  <c r="A3324" i="4"/>
  <c r="B3324" i="4"/>
  <c r="C3324" i="4"/>
  <c r="A3325" i="4"/>
  <c r="B3325" i="4"/>
  <c r="C3325" i="4"/>
  <c r="A3326" i="4"/>
  <c r="B3326" i="4"/>
  <c r="C3326" i="4"/>
  <c r="A3327" i="4"/>
  <c r="B3327" i="4"/>
  <c r="C3327" i="4"/>
  <c r="A3328" i="4"/>
  <c r="B3328" i="4"/>
  <c r="C3328" i="4"/>
  <c r="A3329" i="4"/>
  <c r="B3329" i="4"/>
  <c r="C3329" i="4"/>
  <c r="A3330" i="4"/>
  <c r="B3330" i="4"/>
  <c r="C3330" i="4"/>
  <c r="A3331" i="4"/>
  <c r="B3331" i="4"/>
  <c r="C3331" i="4"/>
  <c r="A3332" i="4"/>
  <c r="B3332" i="4"/>
  <c r="C3332" i="4"/>
  <c r="A3333" i="4"/>
  <c r="B3333" i="4"/>
  <c r="C3333" i="4"/>
  <c r="A3334" i="4"/>
  <c r="B3334" i="4"/>
  <c r="C3334" i="4"/>
  <c r="A3335" i="4"/>
  <c r="B3335" i="4"/>
  <c r="C3335" i="4"/>
  <c r="A3336" i="4"/>
  <c r="B3336" i="4"/>
  <c r="C3336" i="4"/>
  <c r="A3337" i="4"/>
  <c r="B3337" i="4"/>
  <c r="C3337" i="4"/>
  <c r="A3338" i="4"/>
  <c r="B3338" i="4"/>
  <c r="C3338" i="4"/>
  <c r="A3339" i="4"/>
  <c r="B3339" i="4"/>
  <c r="C3339" i="4"/>
  <c r="A3340" i="4"/>
  <c r="B3340" i="4"/>
  <c r="C3340" i="4"/>
  <c r="A3341" i="4"/>
  <c r="B3341" i="4"/>
  <c r="C3341" i="4"/>
  <c r="A3342" i="4"/>
  <c r="B3342" i="4"/>
  <c r="C3342" i="4"/>
  <c r="A3343" i="4"/>
  <c r="B3343" i="4"/>
  <c r="C3343" i="4"/>
  <c r="A3344" i="4"/>
  <c r="B3344" i="4"/>
  <c r="C3344" i="4"/>
  <c r="A3345" i="4"/>
  <c r="B3345" i="4"/>
  <c r="C3345" i="4"/>
  <c r="A3346" i="4"/>
  <c r="B3346" i="4"/>
  <c r="C3346" i="4"/>
  <c r="A3347" i="4"/>
  <c r="B3347" i="4"/>
  <c r="C3347" i="4"/>
  <c r="A3348" i="4"/>
  <c r="B3348" i="4"/>
  <c r="C3348" i="4"/>
  <c r="A3349" i="4"/>
  <c r="B3349" i="4"/>
  <c r="C3349" i="4"/>
  <c r="A3350" i="4"/>
  <c r="B3350" i="4"/>
  <c r="C3350" i="4"/>
  <c r="A3351" i="4"/>
  <c r="B3351" i="4"/>
  <c r="C3351" i="4"/>
  <c r="A3352" i="4"/>
  <c r="B3352" i="4"/>
  <c r="C3352" i="4"/>
  <c r="A3353" i="4"/>
  <c r="B3353" i="4"/>
  <c r="C3353" i="4"/>
  <c r="A3354" i="4"/>
  <c r="B3354" i="4"/>
  <c r="C3354" i="4"/>
  <c r="A3355" i="4"/>
  <c r="B3355" i="4"/>
  <c r="C3355" i="4"/>
  <c r="A3356" i="4"/>
  <c r="B3356" i="4"/>
  <c r="C3356" i="4"/>
  <c r="A3357" i="4"/>
  <c r="B3357" i="4"/>
  <c r="C3357" i="4"/>
  <c r="A3358" i="4"/>
  <c r="B3358" i="4"/>
  <c r="C3358" i="4"/>
  <c r="A3359" i="4"/>
  <c r="B3359" i="4"/>
  <c r="C3359" i="4"/>
  <c r="A3360" i="4"/>
  <c r="B3360" i="4"/>
  <c r="C3360" i="4"/>
  <c r="A3361" i="4"/>
  <c r="B3361" i="4"/>
  <c r="C3361" i="4"/>
  <c r="A3362" i="4"/>
  <c r="B3362" i="4"/>
  <c r="C3362" i="4"/>
  <c r="A3363" i="4"/>
  <c r="B3363" i="4"/>
  <c r="C3363" i="4"/>
  <c r="A3364" i="4"/>
  <c r="B3364" i="4"/>
  <c r="C3364" i="4"/>
  <c r="A3365" i="4"/>
  <c r="B3365" i="4"/>
  <c r="C3365" i="4"/>
  <c r="A3366" i="4"/>
  <c r="B3366" i="4"/>
  <c r="C3366" i="4"/>
  <c r="A3367" i="4"/>
  <c r="B3367" i="4"/>
  <c r="C3367" i="4"/>
  <c r="A3368" i="4"/>
  <c r="B3368" i="4"/>
  <c r="C3368" i="4"/>
  <c r="A3369" i="4"/>
  <c r="B3369" i="4"/>
  <c r="C3369" i="4"/>
  <c r="A3370" i="4"/>
  <c r="B3370" i="4"/>
  <c r="C3370" i="4"/>
  <c r="A3371" i="4"/>
  <c r="B3371" i="4"/>
  <c r="C3371" i="4"/>
  <c r="A3372" i="4"/>
  <c r="B3372" i="4"/>
  <c r="C3372" i="4"/>
  <c r="A3373" i="4"/>
  <c r="B3373" i="4"/>
  <c r="C3373" i="4"/>
  <c r="A3374" i="4"/>
  <c r="B3374" i="4"/>
  <c r="C3374" i="4"/>
  <c r="A3375" i="4"/>
  <c r="B3375" i="4"/>
  <c r="C3375" i="4"/>
  <c r="A3376" i="4"/>
  <c r="B3376" i="4"/>
  <c r="C3376" i="4"/>
  <c r="A3377" i="4"/>
  <c r="B3377" i="4"/>
  <c r="C3377" i="4"/>
  <c r="A3378" i="4"/>
  <c r="B3378" i="4"/>
  <c r="C3378" i="4"/>
  <c r="A3379" i="4"/>
  <c r="B3379" i="4"/>
  <c r="C3379" i="4"/>
  <c r="A3380" i="4"/>
  <c r="B3380" i="4"/>
  <c r="C3380" i="4"/>
  <c r="A3381" i="4"/>
  <c r="B3381" i="4"/>
  <c r="C3381" i="4"/>
  <c r="A3382" i="4"/>
  <c r="B3382" i="4"/>
  <c r="C3382" i="4"/>
  <c r="A3383" i="4"/>
  <c r="B3383" i="4"/>
  <c r="C3383" i="4"/>
  <c r="A3384" i="4"/>
  <c r="B3384" i="4"/>
  <c r="C3384" i="4"/>
  <c r="A3385" i="4"/>
  <c r="B3385" i="4"/>
  <c r="C3385" i="4"/>
  <c r="A3386" i="4"/>
  <c r="B3386" i="4"/>
  <c r="C3386" i="4"/>
  <c r="A3387" i="4"/>
  <c r="B3387" i="4"/>
  <c r="C3387" i="4"/>
  <c r="A3388" i="4"/>
  <c r="B3388" i="4"/>
  <c r="C3388" i="4"/>
  <c r="A3389" i="4"/>
  <c r="B3389" i="4"/>
  <c r="C3389" i="4"/>
  <c r="A3390" i="4"/>
  <c r="B3390" i="4"/>
  <c r="C3390" i="4"/>
  <c r="A3391" i="4"/>
  <c r="B3391" i="4"/>
  <c r="C3391" i="4"/>
  <c r="A3392" i="4"/>
  <c r="B3392" i="4"/>
  <c r="C3392" i="4"/>
  <c r="A3393" i="4"/>
  <c r="B3393" i="4"/>
  <c r="C3393" i="4"/>
  <c r="A3394" i="4"/>
  <c r="B3394" i="4"/>
  <c r="C3394" i="4"/>
  <c r="A3395" i="4"/>
  <c r="B3395" i="4"/>
  <c r="C3395" i="4"/>
  <c r="A3396" i="4"/>
  <c r="B3396" i="4"/>
  <c r="C3396" i="4"/>
  <c r="A3397" i="4"/>
  <c r="B3397" i="4"/>
  <c r="C3397" i="4"/>
  <c r="A3398" i="4"/>
  <c r="B3398" i="4"/>
  <c r="C3398" i="4"/>
  <c r="A3399" i="4"/>
  <c r="B3399" i="4"/>
  <c r="C3399" i="4"/>
  <c r="A3400" i="4"/>
  <c r="B3400" i="4"/>
  <c r="C3400" i="4"/>
  <c r="A3401" i="4"/>
  <c r="B3401" i="4"/>
  <c r="C3401" i="4"/>
  <c r="A3402" i="4"/>
  <c r="B3402" i="4"/>
  <c r="C3402" i="4"/>
  <c r="A3403" i="4"/>
  <c r="B3403" i="4"/>
  <c r="C3403" i="4"/>
  <c r="A3404" i="4"/>
  <c r="B3404" i="4"/>
  <c r="C3404" i="4"/>
  <c r="A3405" i="4"/>
  <c r="B3405" i="4"/>
  <c r="C3405" i="4"/>
  <c r="A3406" i="4"/>
  <c r="B3406" i="4"/>
  <c r="C3406" i="4"/>
  <c r="A3407" i="4"/>
  <c r="B3407" i="4"/>
  <c r="C3407" i="4"/>
  <c r="A3408" i="4"/>
  <c r="B3408" i="4"/>
  <c r="C3408" i="4"/>
  <c r="A3409" i="4"/>
  <c r="B3409" i="4"/>
  <c r="C3409" i="4"/>
  <c r="A3410" i="4"/>
  <c r="B3410" i="4"/>
  <c r="C3410" i="4"/>
  <c r="A3411" i="4"/>
  <c r="B3411" i="4"/>
  <c r="C3411" i="4"/>
  <c r="A3412" i="4"/>
  <c r="B3412" i="4"/>
  <c r="C3412" i="4"/>
  <c r="A3413" i="4"/>
  <c r="B3413" i="4"/>
  <c r="C3413" i="4"/>
  <c r="A3414" i="4"/>
  <c r="B3414" i="4"/>
  <c r="C3414" i="4"/>
  <c r="A3415" i="4"/>
  <c r="B3415" i="4"/>
  <c r="C3415" i="4"/>
  <c r="A3416" i="4"/>
  <c r="B3416" i="4"/>
  <c r="C3416" i="4"/>
  <c r="A3417" i="4"/>
  <c r="B3417" i="4"/>
  <c r="C3417" i="4"/>
  <c r="A3418" i="4"/>
  <c r="B3418" i="4"/>
  <c r="C3418" i="4"/>
  <c r="A3419" i="4"/>
  <c r="B3419" i="4"/>
  <c r="C3419" i="4"/>
  <c r="A3420" i="4"/>
  <c r="B3420" i="4"/>
  <c r="C3420" i="4"/>
  <c r="A3421" i="4"/>
  <c r="B3421" i="4"/>
  <c r="C3421" i="4"/>
  <c r="A3422" i="4"/>
  <c r="B3422" i="4"/>
  <c r="C3422" i="4"/>
  <c r="A3423" i="4"/>
  <c r="B3423" i="4"/>
  <c r="C3423" i="4"/>
  <c r="A3424" i="4"/>
  <c r="B3424" i="4"/>
  <c r="C3424" i="4"/>
  <c r="A3425" i="4"/>
  <c r="B3425" i="4"/>
  <c r="C3425" i="4"/>
  <c r="A3426" i="4"/>
  <c r="B3426" i="4"/>
  <c r="C3426" i="4"/>
  <c r="A3427" i="4"/>
  <c r="B3427" i="4"/>
  <c r="C3427" i="4"/>
  <c r="A3428" i="4"/>
  <c r="B3428" i="4"/>
  <c r="C3428" i="4"/>
  <c r="A3429" i="4"/>
  <c r="B3429" i="4"/>
  <c r="C3429" i="4"/>
  <c r="A3430" i="4"/>
  <c r="B3430" i="4"/>
  <c r="C3430" i="4"/>
  <c r="A3431" i="4"/>
  <c r="B3431" i="4"/>
  <c r="C3431" i="4"/>
  <c r="A3432" i="4"/>
  <c r="B3432" i="4"/>
  <c r="C3432" i="4"/>
  <c r="A3433" i="4"/>
  <c r="B3433" i="4"/>
  <c r="C3433" i="4"/>
  <c r="A3434" i="4"/>
  <c r="B3434" i="4"/>
  <c r="C3434" i="4"/>
  <c r="A3435" i="4"/>
  <c r="B3435" i="4"/>
  <c r="C3435" i="4"/>
  <c r="A3436" i="4"/>
  <c r="B3436" i="4"/>
  <c r="C3436" i="4"/>
  <c r="A3437" i="4"/>
  <c r="B3437" i="4"/>
  <c r="C3437" i="4"/>
  <c r="A3438" i="4"/>
  <c r="B3438" i="4"/>
  <c r="C3438" i="4"/>
  <c r="A3439" i="4"/>
  <c r="B3439" i="4"/>
  <c r="C3439" i="4"/>
  <c r="A3440" i="4"/>
  <c r="B3440" i="4"/>
  <c r="C3440" i="4"/>
  <c r="A3441" i="4"/>
  <c r="B3441" i="4"/>
  <c r="C3441" i="4"/>
  <c r="A3442" i="4"/>
  <c r="B3442" i="4"/>
  <c r="C3442" i="4"/>
  <c r="A3443" i="4"/>
  <c r="B3443" i="4"/>
  <c r="C3443" i="4"/>
  <c r="A3444" i="4"/>
  <c r="B3444" i="4"/>
  <c r="C3444" i="4"/>
  <c r="A3445" i="4"/>
  <c r="B3445" i="4"/>
  <c r="C3445" i="4"/>
  <c r="A3446" i="4"/>
  <c r="B3446" i="4"/>
  <c r="C3446" i="4"/>
  <c r="A3447" i="4"/>
  <c r="B3447" i="4"/>
  <c r="C3447" i="4"/>
  <c r="A3448" i="4"/>
  <c r="B3448" i="4"/>
  <c r="C3448" i="4"/>
  <c r="A3449" i="4"/>
  <c r="B3449" i="4"/>
  <c r="C3449" i="4"/>
  <c r="A3450" i="4"/>
  <c r="B3450" i="4"/>
  <c r="C3450" i="4"/>
  <c r="A3451" i="4"/>
  <c r="B3451" i="4"/>
  <c r="C3451" i="4"/>
  <c r="A3452" i="4"/>
  <c r="B3452" i="4"/>
  <c r="C3452" i="4"/>
  <c r="A3453" i="4"/>
  <c r="B3453" i="4"/>
  <c r="C3453" i="4"/>
  <c r="A3454" i="4"/>
  <c r="B3454" i="4"/>
  <c r="C3454" i="4"/>
  <c r="A3455" i="4"/>
  <c r="B3455" i="4"/>
  <c r="C3455" i="4"/>
  <c r="A3456" i="4"/>
  <c r="B3456" i="4"/>
  <c r="C3456" i="4"/>
  <c r="A3457" i="4"/>
  <c r="B3457" i="4"/>
  <c r="C3457" i="4"/>
  <c r="A3458" i="4"/>
  <c r="B3458" i="4"/>
  <c r="C3458" i="4"/>
  <c r="A3459" i="4"/>
  <c r="B3459" i="4"/>
  <c r="C3459" i="4"/>
  <c r="A3460" i="4"/>
  <c r="B3460" i="4"/>
  <c r="C3460" i="4"/>
  <c r="A3461" i="4"/>
  <c r="B3461" i="4"/>
  <c r="C3461" i="4"/>
  <c r="A3462" i="4"/>
  <c r="B3462" i="4"/>
  <c r="C3462" i="4"/>
  <c r="A3463" i="4"/>
  <c r="B3463" i="4"/>
  <c r="C3463" i="4"/>
  <c r="A3464" i="4"/>
  <c r="B3464" i="4"/>
  <c r="C3464" i="4"/>
  <c r="A3465" i="4"/>
  <c r="B3465" i="4"/>
  <c r="C3465" i="4"/>
  <c r="A3466" i="4"/>
  <c r="B3466" i="4"/>
  <c r="C3466" i="4"/>
  <c r="A3467" i="4"/>
  <c r="B3467" i="4"/>
  <c r="C3467" i="4"/>
  <c r="A3468" i="4"/>
  <c r="B3468" i="4"/>
  <c r="C3468" i="4"/>
  <c r="A3469" i="4"/>
  <c r="B3469" i="4"/>
  <c r="C3469" i="4"/>
  <c r="A3470" i="4"/>
  <c r="B3470" i="4"/>
  <c r="C3470" i="4"/>
  <c r="A3471" i="4"/>
  <c r="B3471" i="4"/>
  <c r="C3471" i="4"/>
  <c r="A3472" i="4"/>
  <c r="B3472" i="4"/>
  <c r="C3472" i="4"/>
  <c r="A3473" i="4"/>
  <c r="B3473" i="4"/>
  <c r="C3473" i="4"/>
  <c r="A3474" i="4"/>
  <c r="B3474" i="4"/>
  <c r="C3474" i="4"/>
  <c r="A3475" i="4"/>
  <c r="B3475" i="4"/>
  <c r="C3475" i="4"/>
  <c r="A3476" i="4"/>
  <c r="B3476" i="4"/>
  <c r="C3476" i="4"/>
  <c r="A3477" i="4"/>
  <c r="B3477" i="4"/>
  <c r="C3477" i="4"/>
  <c r="A3478" i="4"/>
  <c r="B3478" i="4"/>
  <c r="C3478" i="4"/>
  <c r="A3479" i="4"/>
  <c r="B3479" i="4"/>
  <c r="C3479" i="4"/>
  <c r="A3480" i="4"/>
  <c r="B3480" i="4"/>
  <c r="C3480" i="4"/>
  <c r="A3481" i="4"/>
  <c r="B3481" i="4"/>
  <c r="C3481" i="4"/>
  <c r="A3482" i="4"/>
  <c r="B3482" i="4"/>
  <c r="C3482" i="4"/>
  <c r="A3483" i="4"/>
  <c r="B3483" i="4"/>
  <c r="C3483" i="4"/>
  <c r="A3484" i="4"/>
  <c r="B3484" i="4"/>
  <c r="C3484" i="4"/>
  <c r="A3485" i="4"/>
  <c r="B3485" i="4"/>
  <c r="C3485" i="4"/>
  <c r="A3486" i="4"/>
  <c r="B3486" i="4"/>
  <c r="C3486" i="4"/>
  <c r="A3487" i="4"/>
  <c r="B3487" i="4"/>
  <c r="C3487" i="4"/>
  <c r="A3488" i="4"/>
  <c r="B3488" i="4"/>
  <c r="C3488" i="4"/>
  <c r="A3489" i="4"/>
  <c r="B3489" i="4"/>
  <c r="C3489" i="4"/>
  <c r="A3490" i="4"/>
  <c r="B3490" i="4"/>
  <c r="C3490" i="4"/>
  <c r="A3491" i="4"/>
  <c r="B3491" i="4"/>
  <c r="C3491" i="4"/>
  <c r="A3492" i="4"/>
  <c r="B3492" i="4"/>
  <c r="C3492" i="4"/>
  <c r="A3493" i="4"/>
  <c r="B3493" i="4"/>
  <c r="C3493" i="4"/>
  <c r="A3494" i="4"/>
  <c r="B3494" i="4"/>
  <c r="C3494" i="4"/>
  <c r="A3495" i="4"/>
  <c r="B3495" i="4"/>
  <c r="C3495" i="4"/>
  <c r="A3496" i="4"/>
  <c r="B3496" i="4"/>
  <c r="C3496" i="4"/>
  <c r="A3497" i="4"/>
  <c r="B3497" i="4"/>
  <c r="C3497" i="4"/>
  <c r="A3498" i="4"/>
  <c r="B3498" i="4"/>
  <c r="C3498" i="4"/>
  <c r="A3499" i="4"/>
  <c r="B3499" i="4"/>
  <c r="C3499" i="4"/>
  <c r="A3500" i="4"/>
  <c r="B3500" i="4"/>
  <c r="C3500" i="4"/>
  <c r="A3501" i="4"/>
  <c r="B3501" i="4"/>
  <c r="C3501" i="4"/>
  <c r="A3502" i="4"/>
  <c r="B3502" i="4"/>
  <c r="C3502" i="4"/>
  <c r="A3503" i="4"/>
  <c r="B3503" i="4"/>
  <c r="C3503" i="4"/>
  <c r="A3504" i="4"/>
  <c r="B3504" i="4"/>
  <c r="C3504" i="4"/>
  <c r="A3505" i="4"/>
  <c r="B3505" i="4"/>
  <c r="C3505" i="4"/>
  <c r="A3506" i="4"/>
  <c r="B3506" i="4"/>
  <c r="C3506" i="4"/>
  <c r="A3507" i="4"/>
  <c r="B3507" i="4"/>
  <c r="C3507" i="4"/>
  <c r="A3508" i="4"/>
  <c r="B3508" i="4"/>
  <c r="C3508" i="4"/>
  <c r="A3509" i="4"/>
  <c r="B3509" i="4"/>
  <c r="C3509" i="4"/>
  <c r="A3510" i="4"/>
  <c r="B3510" i="4"/>
  <c r="C3510" i="4"/>
  <c r="A3511" i="4"/>
  <c r="B3511" i="4"/>
  <c r="C3511" i="4"/>
  <c r="A3512" i="4"/>
  <c r="B3512" i="4"/>
  <c r="C3512" i="4"/>
  <c r="A3513" i="4"/>
  <c r="B3513" i="4"/>
  <c r="C3513" i="4"/>
  <c r="A3514" i="4"/>
  <c r="B3514" i="4"/>
  <c r="C3514" i="4"/>
  <c r="A3515" i="4"/>
  <c r="B3515" i="4"/>
  <c r="C3515" i="4"/>
  <c r="A3516" i="4"/>
  <c r="B3516" i="4"/>
  <c r="C3516" i="4"/>
  <c r="A3517" i="4"/>
  <c r="B3517" i="4"/>
  <c r="C3517" i="4"/>
  <c r="A3518" i="4"/>
  <c r="B3518" i="4"/>
  <c r="C3518" i="4"/>
  <c r="A3519" i="4"/>
  <c r="B3519" i="4"/>
  <c r="C3519" i="4"/>
  <c r="A3520" i="4"/>
  <c r="B3520" i="4"/>
  <c r="C3520" i="4"/>
  <c r="A3521" i="4"/>
  <c r="B3521" i="4"/>
  <c r="C3521" i="4"/>
  <c r="A3522" i="4"/>
  <c r="B3522" i="4"/>
  <c r="C3522" i="4"/>
  <c r="A3523" i="4"/>
  <c r="B3523" i="4"/>
  <c r="C3523" i="4"/>
  <c r="A3524" i="4"/>
  <c r="B3524" i="4"/>
  <c r="C3524" i="4"/>
  <c r="A3525" i="4"/>
  <c r="B3525" i="4"/>
  <c r="C3525" i="4"/>
  <c r="A3526" i="4"/>
  <c r="B3526" i="4"/>
  <c r="C3526" i="4"/>
  <c r="A3527" i="4"/>
  <c r="B3527" i="4"/>
  <c r="C3527" i="4"/>
  <c r="A3528" i="4"/>
  <c r="B3528" i="4"/>
  <c r="C3528" i="4"/>
  <c r="A3529" i="4"/>
  <c r="B3529" i="4"/>
  <c r="C3529" i="4"/>
  <c r="A3530" i="4"/>
  <c r="B3530" i="4"/>
  <c r="C3530" i="4"/>
  <c r="A3531" i="4"/>
  <c r="B3531" i="4"/>
  <c r="C3531" i="4"/>
  <c r="A3532" i="4"/>
  <c r="B3532" i="4"/>
  <c r="C3532" i="4"/>
  <c r="A3533" i="4"/>
  <c r="B3533" i="4"/>
  <c r="C3533" i="4"/>
  <c r="A3534" i="4"/>
  <c r="B3534" i="4"/>
  <c r="C3534" i="4"/>
  <c r="A3535" i="4"/>
  <c r="B3535" i="4"/>
  <c r="C3535" i="4"/>
  <c r="A3536" i="4"/>
  <c r="B3536" i="4"/>
  <c r="C3536" i="4"/>
  <c r="A3537" i="4"/>
  <c r="B3537" i="4"/>
  <c r="C3537" i="4"/>
  <c r="A3538" i="4"/>
  <c r="B3538" i="4"/>
  <c r="C3538" i="4"/>
  <c r="A3539" i="4"/>
  <c r="B3539" i="4"/>
  <c r="C3539" i="4"/>
  <c r="A3540" i="4"/>
  <c r="B3540" i="4"/>
  <c r="C3540" i="4"/>
  <c r="A3541" i="4"/>
  <c r="B3541" i="4"/>
  <c r="C3541" i="4"/>
  <c r="A3542" i="4"/>
  <c r="B3542" i="4"/>
  <c r="C3542" i="4"/>
  <c r="A3543" i="4"/>
  <c r="B3543" i="4"/>
  <c r="C3543" i="4"/>
  <c r="A3544" i="4"/>
  <c r="B3544" i="4"/>
  <c r="C3544" i="4"/>
  <c r="A3545" i="4"/>
  <c r="B3545" i="4"/>
  <c r="C3545" i="4"/>
  <c r="A3546" i="4"/>
  <c r="B3546" i="4"/>
  <c r="C3546" i="4"/>
  <c r="A3547" i="4"/>
  <c r="B3547" i="4"/>
  <c r="C3547" i="4"/>
  <c r="A3548" i="4"/>
  <c r="B3548" i="4"/>
  <c r="C3548" i="4"/>
  <c r="A3549" i="4"/>
  <c r="B3549" i="4"/>
  <c r="C3549" i="4"/>
  <c r="A3550" i="4"/>
  <c r="B3550" i="4"/>
  <c r="C3550" i="4"/>
  <c r="A3551" i="4"/>
  <c r="B3551" i="4"/>
  <c r="C3551" i="4"/>
  <c r="A3552" i="4"/>
  <c r="B3552" i="4"/>
  <c r="C3552" i="4"/>
  <c r="A3553" i="4"/>
  <c r="B3553" i="4"/>
  <c r="C3553" i="4"/>
  <c r="A3554" i="4"/>
  <c r="B3554" i="4"/>
  <c r="C3554" i="4"/>
  <c r="A3555" i="4"/>
  <c r="B3555" i="4"/>
  <c r="C3555" i="4"/>
  <c r="A3556" i="4"/>
  <c r="B3556" i="4"/>
  <c r="C3556" i="4"/>
  <c r="A3557" i="4"/>
  <c r="B3557" i="4"/>
  <c r="C3557" i="4"/>
  <c r="A3558" i="4"/>
  <c r="B3558" i="4"/>
  <c r="C3558" i="4"/>
  <c r="A3559" i="4"/>
  <c r="B3559" i="4"/>
  <c r="C3559" i="4"/>
  <c r="A3560" i="4"/>
  <c r="B3560" i="4"/>
  <c r="C3560" i="4"/>
  <c r="A3561" i="4"/>
  <c r="B3561" i="4"/>
  <c r="C3561" i="4"/>
  <c r="A3562" i="4"/>
  <c r="B3562" i="4"/>
  <c r="C3562" i="4"/>
  <c r="A3563" i="4"/>
  <c r="B3563" i="4"/>
  <c r="C3563" i="4"/>
  <c r="A3564" i="4"/>
  <c r="B3564" i="4"/>
  <c r="C3564" i="4"/>
  <c r="A3565" i="4"/>
  <c r="B3565" i="4"/>
  <c r="C3565" i="4"/>
  <c r="A3566" i="4"/>
  <c r="B3566" i="4"/>
  <c r="C3566" i="4"/>
  <c r="A3567" i="4"/>
  <c r="B3567" i="4"/>
  <c r="C3567" i="4"/>
  <c r="A3568" i="4"/>
  <c r="B3568" i="4"/>
  <c r="C3568" i="4"/>
  <c r="A3569" i="4"/>
  <c r="B3569" i="4"/>
  <c r="C3569" i="4"/>
  <c r="A3570" i="4"/>
  <c r="B3570" i="4"/>
  <c r="C3570" i="4"/>
  <c r="A3571" i="4"/>
  <c r="B3571" i="4"/>
  <c r="C3571" i="4"/>
  <c r="A3572" i="4"/>
  <c r="B3572" i="4"/>
  <c r="C3572" i="4"/>
  <c r="A3573" i="4"/>
  <c r="B3573" i="4"/>
  <c r="C3573" i="4"/>
  <c r="A3574" i="4"/>
  <c r="B3574" i="4"/>
  <c r="C3574" i="4"/>
  <c r="A3575" i="4"/>
  <c r="B3575" i="4"/>
  <c r="C3575" i="4"/>
  <c r="A3576" i="4"/>
  <c r="B3576" i="4"/>
  <c r="C3576" i="4"/>
  <c r="A3577" i="4"/>
  <c r="B3577" i="4"/>
  <c r="C3577" i="4"/>
  <c r="A3578" i="4"/>
  <c r="B3578" i="4"/>
  <c r="C3578" i="4"/>
  <c r="A3579" i="4"/>
  <c r="B3579" i="4"/>
  <c r="C3579" i="4"/>
  <c r="A3580" i="4"/>
  <c r="B3580" i="4"/>
  <c r="C3580" i="4"/>
  <c r="A3581" i="4"/>
  <c r="B3581" i="4"/>
  <c r="C3581" i="4"/>
  <c r="A3582" i="4"/>
  <c r="B3582" i="4"/>
  <c r="C3582" i="4"/>
  <c r="A3583" i="4"/>
  <c r="B3583" i="4"/>
  <c r="C3583" i="4"/>
  <c r="A3584" i="4"/>
  <c r="B3584" i="4"/>
  <c r="C3584" i="4"/>
  <c r="A3585" i="4"/>
  <c r="B3585" i="4"/>
  <c r="C3585" i="4"/>
  <c r="A3586" i="4"/>
  <c r="B3586" i="4"/>
  <c r="C3586" i="4"/>
  <c r="A3587" i="4"/>
  <c r="B3587" i="4"/>
  <c r="C3587" i="4"/>
  <c r="A3588" i="4"/>
  <c r="B3588" i="4"/>
  <c r="C3588" i="4"/>
  <c r="A3589" i="4"/>
  <c r="B3589" i="4"/>
  <c r="C3589" i="4"/>
  <c r="A3590" i="4"/>
  <c r="B3590" i="4"/>
  <c r="C3590" i="4"/>
  <c r="A3591" i="4"/>
  <c r="B3591" i="4"/>
  <c r="C3591" i="4"/>
  <c r="A3592" i="4"/>
  <c r="B3592" i="4"/>
  <c r="C3592" i="4"/>
  <c r="A3593" i="4"/>
  <c r="B3593" i="4"/>
  <c r="C3593" i="4"/>
  <c r="A3594" i="4"/>
  <c r="B3594" i="4"/>
  <c r="C3594" i="4"/>
  <c r="A3595" i="4"/>
  <c r="B3595" i="4"/>
  <c r="C3595" i="4"/>
  <c r="A3596" i="4"/>
  <c r="B3596" i="4"/>
  <c r="C3596" i="4"/>
  <c r="A3597" i="4"/>
  <c r="B3597" i="4"/>
  <c r="C3597" i="4"/>
  <c r="A3598" i="4"/>
  <c r="B3598" i="4"/>
  <c r="C3598" i="4"/>
  <c r="A3599" i="4"/>
  <c r="B3599" i="4"/>
  <c r="C3599" i="4"/>
  <c r="A3600" i="4"/>
  <c r="B3600" i="4"/>
  <c r="C3600" i="4"/>
  <c r="A3601" i="4"/>
  <c r="B3601" i="4"/>
  <c r="C3601" i="4"/>
  <c r="A3602" i="4"/>
  <c r="B3602" i="4"/>
  <c r="C3602" i="4"/>
  <c r="A3603" i="4"/>
  <c r="B3603" i="4"/>
  <c r="C3603" i="4"/>
  <c r="A3604" i="4"/>
  <c r="B3604" i="4"/>
  <c r="C3604" i="4"/>
  <c r="A3605" i="4"/>
  <c r="B3605" i="4"/>
  <c r="C3605" i="4"/>
  <c r="A3606" i="4"/>
  <c r="B3606" i="4"/>
  <c r="C3606" i="4"/>
  <c r="A3607" i="4"/>
  <c r="B3607" i="4"/>
  <c r="C3607" i="4"/>
  <c r="A3608" i="4"/>
  <c r="B3608" i="4"/>
  <c r="C3608" i="4"/>
  <c r="A3609" i="4"/>
  <c r="B3609" i="4"/>
  <c r="C3609" i="4"/>
  <c r="A3610" i="4"/>
  <c r="B3610" i="4"/>
  <c r="C3610" i="4"/>
  <c r="A3611" i="4"/>
  <c r="B3611" i="4"/>
  <c r="C3611" i="4"/>
  <c r="A3612" i="4"/>
  <c r="B3612" i="4"/>
  <c r="C3612" i="4"/>
  <c r="A3613" i="4"/>
  <c r="B3613" i="4"/>
  <c r="C3613" i="4"/>
  <c r="A3614" i="4"/>
  <c r="B3614" i="4"/>
  <c r="C3614" i="4"/>
  <c r="A3615" i="4"/>
  <c r="B3615" i="4"/>
  <c r="C3615" i="4"/>
  <c r="A3616" i="4"/>
  <c r="B3616" i="4"/>
  <c r="C3616" i="4"/>
  <c r="A3617" i="4"/>
  <c r="B3617" i="4"/>
  <c r="C3617" i="4"/>
  <c r="A3618" i="4"/>
  <c r="B3618" i="4"/>
  <c r="C3618" i="4"/>
  <c r="A3619" i="4"/>
  <c r="B3619" i="4"/>
  <c r="C3619" i="4"/>
  <c r="A3620" i="4"/>
  <c r="B3620" i="4"/>
  <c r="C3620" i="4"/>
  <c r="A3621" i="4"/>
  <c r="B3621" i="4"/>
  <c r="C3621" i="4"/>
  <c r="A3622" i="4"/>
  <c r="B3622" i="4"/>
  <c r="C3622" i="4"/>
  <c r="A3623" i="4"/>
  <c r="B3623" i="4"/>
  <c r="C3623" i="4"/>
  <c r="A3624" i="4"/>
  <c r="B3624" i="4"/>
  <c r="C3624" i="4"/>
  <c r="A3625" i="4"/>
  <c r="B3625" i="4"/>
  <c r="C3625" i="4"/>
  <c r="A3626" i="4"/>
  <c r="B3626" i="4"/>
  <c r="C3626" i="4"/>
  <c r="A3627" i="4"/>
  <c r="B3627" i="4"/>
  <c r="C3627" i="4"/>
  <c r="A3628" i="4"/>
  <c r="B3628" i="4"/>
  <c r="C3628" i="4"/>
  <c r="A3629" i="4"/>
  <c r="B3629" i="4"/>
  <c r="C3629" i="4"/>
  <c r="A3630" i="4"/>
  <c r="B3630" i="4"/>
  <c r="C3630" i="4"/>
  <c r="A3631" i="4"/>
  <c r="B3631" i="4"/>
  <c r="C3631" i="4"/>
  <c r="A3632" i="4"/>
  <c r="B3632" i="4"/>
  <c r="C3632" i="4"/>
  <c r="A3633" i="4"/>
  <c r="B3633" i="4"/>
  <c r="C3633" i="4"/>
  <c r="A3634" i="4"/>
  <c r="B3634" i="4"/>
  <c r="C3634" i="4"/>
  <c r="A3635" i="4"/>
  <c r="B3635" i="4"/>
  <c r="C3635" i="4"/>
  <c r="A3636" i="4"/>
  <c r="B3636" i="4"/>
  <c r="C3636" i="4"/>
  <c r="A3637" i="4"/>
  <c r="B3637" i="4"/>
  <c r="C3637" i="4"/>
  <c r="A3638" i="4"/>
  <c r="B3638" i="4"/>
  <c r="C3638" i="4"/>
  <c r="A3639" i="4"/>
  <c r="B3639" i="4"/>
  <c r="C3639" i="4"/>
  <c r="A3640" i="4"/>
  <c r="B3640" i="4"/>
  <c r="C3640" i="4"/>
  <c r="A3641" i="4"/>
  <c r="B3641" i="4"/>
  <c r="C3641" i="4"/>
  <c r="A3642" i="4"/>
  <c r="B3642" i="4"/>
  <c r="C3642" i="4"/>
  <c r="A3643" i="4"/>
  <c r="B3643" i="4"/>
  <c r="C3643" i="4"/>
  <c r="A3644" i="4"/>
  <c r="B3644" i="4"/>
  <c r="C3644" i="4"/>
  <c r="A3645" i="4"/>
  <c r="B3645" i="4"/>
  <c r="C3645" i="4"/>
  <c r="A3646" i="4"/>
  <c r="B3646" i="4"/>
  <c r="C3646" i="4"/>
  <c r="A3647" i="4"/>
  <c r="B3647" i="4"/>
  <c r="C3647" i="4"/>
  <c r="A3648" i="4"/>
  <c r="B3648" i="4"/>
  <c r="C3648" i="4"/>
  <c r="A3649" i="4"/>
  <c r="B3649" i="4"/>
  <c r="C3649" i="4"/>
  <c r="A3650" i="4"/>
  <c r="B3650" i="4"/>
  <c r="C3650" i="4"/>
  <c r="A3651" i="4"/>
  <c r="B3651" i="4"/>
  <c r="C3651" i="4"/>
  <c r="A3652" i="4"/>
  <c r="B3652" i="4"/>
  <c r="C3652" i="4"/>
  <c r="A3653" i="4"/>
  <c r="B3653" i="4"/>
  <c r="C3653" i="4"/>
  <c r="A3654" i="4"/>
  <c r="B3654" i="4"/>
  <c r="C3654" i="4"/>
  <c r="A3655" i="4"/>
  <c r="B3655" i="4"/>
  <c r="C3655" i="4"/>
  <c r="A3656" i="4"/>
  <c r="B3656" i="4"/>
  <c r="C3656" i="4"/>
  <c r="A3657" i="4"/>
  <c r="B3657" i="4"/>
  <c r="C3657" i="4"/>
  <c r="A3658" i="4"/>
  <c r="B3658" i="4"/>
  <c r="C3658" i="4"/>
  <c r="A3659" i="4"/>
  <c r="B3659" i="4"/>
  <c r="C3659" i="4"/>
  <c r="A3660" i="4"/>
  <c r="B3660" i="4"/>
  <c r="C3660" i="4"/>
  <c r="A3661" i="4"/>
  <c r="B3661" i="4"/>
  <c r="C3661" i="4"/>
  <c r="A3662" i="4"/>
  <c r="B3662" i="4"/>
  <c r="C3662" i="4"/>
  <c r="A3663" i="4"/>
  <c r="B3663" i="4"/>
  <c r="C3663" i="4"/>
  <c r="A3664" i="4"/>
  <c r="B3664" i="4"/>
  <c r="C3664" i="4"/>
  <c r="A3665" i="4"/>
  <c r="B3665" i="4"/>
  <c r="C3665" i="4"/>
  <c r="A3666" i="4"/>
  <c r="B3666" i="4"/>
  <c r="C3666" i="4"/>
  <c r="A3667" i="4"/>
  <c r="B3667" i="4"/>
  <c r="C3667" i="4"/>
  <c r="A3668" i="4"/>
  <c r="B3668" i="4"/>
  <c r="C3668" i="4"/>
  <c r="A3669" i="4"/>
  <c r="B3669" i="4"/>
  <c r="C3669" i="4"/>
  <c r="A3670" i="4"/>
  <c r="B3670" i="4"/>
  <c r="C3670" i="4"/>
  <c r="A3671" i="4"/>
  <c r="B3671" i="4"/>
  <c r="C3671" i="4"/>
  <c r="A3672" i="4"/>
  <c r="B3672" i="4"/>
  <c r="C3672" i="4"/>
  <c r="A3673" i="4"/>
  <c r="B3673" i="4"/>
  <c r="C3673" i="4"/>
  <c r="A3674" i="4"/>
  <c r="B3674" i="4"/>
  <c r="C3674" i="4"/>
  <c r="A3675" i="4"/>
  <c r="B3675" i="4"/>
  <c r="C3675" i="4"/>
  <c r="A3676" i="4"/>
  <c r="B3676" i="4"/>
  <c r="C3676" i="4"/>
  <c r="A3677" i="4"/>
  <c r="B3677" i="4"/>
  <c r="C3677" i="4"/>
  <c r="A3678" i="4"/>
  <c r="B3678" i="4"/>
  <c r="C3678" i="4"/>
  <c r="A3679" i="4"/>
  <c r="B3679" i="4"/>
  <c r="C3679" i="4"/>
  <c r="A3680" i="4"/>
  <c r="B3680" i="4"/>
  <c r="C3680" i="4"/>
  <c r="A3681" i="4"/>
  <c r="B3681" i="4"/>
  <c r="C3681" i="4"/>
  <c r="A3682" i="4"/>
  <c r="B3682" i="4"/>
  <c r="C3682" i="4"/>
  <c r="A3683" i="4"/>
  <c r="B3683" i="4"/>
  <c r="C3683" i="4"/>
  <c r="A3684" i="4"/>
  <c r="B3684" i="4"/>
  <c r="C3684" i="4"/>
  <c r="A3685" i="4"/>
  <c r="B3685" i="4"/>
  <c r="C3685" i="4"/>
  <c r="A3686" i="4"/>
  <c r="B3686" i="4"/>
  <c r="C3686" i="4"/>
  <c r="A3687" i="4"/>
  <c r="B3687" i="4"/>
  <c r="C3687" i="4"/>
  <c r="A3688" i="4"/>
  <c r="B3688" i="4"/>
  <c r="C3688" i="4"/>
  <c r="A3689" i="4"/>
  <c r="B3689" i="4"/>
  <c r="C3689" i="4"/>
  <c r="A3690" i="4"/>
  <c r="B3690" i="4"/>
  <c r="C3690" i="4"/>
  <c r="A3691" i="4"/>
  <c r="B3691" i="4"/>
  <c r="C3691" i="4"/>
  <c r="A3692" i="4"/>
  <c r="B3692" i="4"/>
  <c r="C3692" i="4"/>
  <c r="A3693" i="4"/>
  <c r="B3693" i="4"/>
  <c r="C3693" i="4"/>
  <c r="A3694" i="4"/>
  <c r="B3694" i="4"/>
  <c r="C3694" i="4"/>
  <c r="A3695" i="4"/>
  <c r="B3695" i="4"/>
  <c r="C3695" i="4"/>
  <c r="A3696" i="4"/>
  <c r="B3696" i="4"/>
  <c r="C3696" i="4"/>
  <c r="A3697" i="4"/>
  <c r="B3697" i="4"/>
  <c r="C3697" i="4"/>
  <c r="A3698" i="4"/>
  <c r="B3698" i="4"/>
  <c r="C3698" i="4"/>
  <c r="A3699" i="4"/>
  <c r="B3699" i="4"/>
  <c r="C3699" i="4"/>
  <c r="A3700" i="4"/>
  <c r="B3700" i="4"/>
  <c r="C3700" i="4"/>
  <c r="A3701" i="4"/>
  <c r="B3701" i="4"/>
  <c r="C3701" i="4"/>
  <c r="A3702" i="4"/>
  <c r="B3702" i="4"/>
  <c r="C3702" i="4"/>
  <c r="A3703" i="4"/>
  <c r="B3703" i="4"/>
  <c r="C3703" i="4"/>
  <c r="A3704" i="4"/>
  <c r="B3704" i="4"/>
  <c r="C3704" i="4"/>
  <c r="A3705" i="4"/>
  <c r="B3705" i="4"/>
  <c r="C3705" i="4"/>
  <c r="A3706" i="4"/>
  <c r="B3706" i="4"/>
  <c r="C3706" i="4"/>
  <c r="A3707" i="4"/>
  <c r="B3707" i="4"/>
  <c r="C3707" i="4"/>
  <c r="A3708" i="4"/>
  <c r="B3708" i="4"/>
  <c r="C3708" i="4"/>
  <c r="A3709" i="4"/>
  <c r="B3709" i="4"/>
  <c r="C3709" i="4"/>
  <c r="A3710" i="4"/>
  <c r="B3710" i="4"/>
  <c r="C3710" i="4"/>
  <c r="A3711" i="4"/>
  <c r="B3711" i="4"/>
  <c r="C3711" i="4"/>
  <c r="A3712" i="4"/>
  <c r="B3712" i="4"/>
  <c r="C3712" i="4"/>
  <c r="A3713" i="4"/>
  <c r="B3713" i="4"/>
  <c r="C3713" i="4"/>
  <c r="A3714" i="4"/>
  <c r="B3714" i="4"/>
  <c r="C3714" i="4"/>
  <c r="A3715" i="4"/>
  <c r="B3715" i="4"/>
  <c r="C3715" i="4"/>
  <c r="A3716" i="4"/>
  <c r="B3716" i="4"/>
  <c r="C3716" i="4"/>
  <c r="A3717" i="4"/>
  <c r="B3717" i="4"/>
  <c r="C3717" i="4"/>
  <c r="A3718" i="4"/>
  <c r="B3718" i="4"/>
  <c r="C3718" i="4"/>
  <c r="A3719" i="4"/>
  <c r="B3719" i="4"/>
  <c r="C3719" i="4"/>
  <c r="A3720" i="4"/>
  <c r="B3720" i="4"/>
  <c r="C3720" i="4"/>
  <c r="A3721" i="4"/>
  <c r="B3721" i="4"/>
  <c r="C3721" i="4"/>
  <c r="A3722" i="4"/>
  <c r="B3722" i="4"/>
  <c r="C3722" i="4"/>
  <c r="A3723" i="4"/>
  <c r="B3723" i="4"/>
  <c r="C3723" i="4"/>
  <c r="A3724" i="4"/>
  <c r="B3724" i="4"/>
  <c r="C3724" i="4"/>
  <c r="A3725" i="4"/>
  <c r="B3725" i="4"/>
  <c r="C3725" i="4"/>
  <c r="A3726" i="4"/>
  <c r="B3726" i="4"/>
  <c r="C3726" i="4"/>
  <c r="A3727" i="4"/>
  <c r="B3727" i="4"/>
  <c r="C3727" i="4"/>
  <c r="A3728" i="4"/>
  <c r="B3728" i="4"/>
  <c r="C3728" i="4"/>
  <c r="A3729" i="4"/>
  <c r="B3729" i="4"/>
  <c r="C3729" i="4"/>
  <c r="A3730" i="4"/>
  <c r="B3730" i="4"/>
  <c r="C3730" i="4"/>
  <c r="A3731" i="4"/>
  <c r="B3731" i="4"/>
  <c r="C3731" i="4"/>
  <c r="A3732" i="4"/>
  <c r="B3732" i="4"/>
  <c r="C3732" i="4"/>
  <c r="A3733" i="4"/>
  <c r="B3733" i="4"/>
  <c r="C3733" i="4"/>
  <c r="A3734" i="4"/>
  <c r="B3734" i="4"/>
  <c r="C3734" i="4"/>
  <c r="A3735" i="4"/>
  <c r="B3735" i="4"/>
  <c r="C3735" i="4"/>
  <c r="A3736" i="4"/>
  <c r="B3736" i="4"/>
  <c r="C3736" i="4"/>
  <c r="A3737" i="4"/>
  <c r="B3737" i="4"/>
  <c r="C3737" i="4"/>
  <c r="A3738" i="4"/>
  <c r="B3738" i="4"/>
  <c r="C3738" i="4"/>
  <c r="A3739" i="4"/>
  <c r="B3739" i="4"/>
  <c r="C3739" i="4"/>
  <c r="A3740" i="4"/>
  <c r="B3740" i="4"/>
  <c r="C3740" i="4"/>
  <c r="A3741" i="4"/>
  <c r="B3741" i="4"/>
  <c r="C3741" i="4"/>
  <c r="A3742" i="4"/>
  <c r="B3742" i="4"/>
  <c r="C3742" i="4"/>
  <c r="A3743" i="4"/>
  <c r="B3743" i="4"/>
  <c r="C3743" i="4"/>
  <c r="A3744" i="4"/>
  <c r="B3744" i="4"/>
  <c r="C3744" i="4"/>
  <c r="A3745" i="4"/>
  <c r="B3745" i="4"/>
  <c r="C3745" i="4"/>
  <c r="A3746" i="4"/>
  <c r="B3746" i="4"/>
  <c r="C3746" i="4"/>
  <c r="A3747" i="4"/>
  <c r="B3747" i="4"/>
  <c r="C3747" i="4"/>
  <c r="A3748" i="4"/>
  <c r="B3748" i="4"/>
  <c r="C3748" i="4"/>
  <c r="A3749" i="4"/>
  <c r="B3749" i="4"/>
  <c r="C3749" i="4"/>
  <c r="A3750" i="4"/>
  <c r="B3750" i="4"/>
  <c r="C3750" i="4"/>
  <c r="A3751" i="4"/>
  <c r="B3751" i="4"/>
  <c r="C3751" i="4"/>
  <c r="A3752" i="4"/>
  <c r="B3752" i="4"/>
  <c r="C3752" i="4"/>
  <c r="A3753" i="4"/>
  <c r="B3753" i="4"/>
  <c r="C3753" i="4"/>
  <c r="A3754" i="4"/>
  <c r="B3754" i="4"/>
  <c r="C3754" i="4"/>
  <c r="A3755" i="4"/>
  <c r="B3755" i="4"/>
  <c r="C3755" i="4"/>
  <c r="A3756" i="4"/>
  <c r="B3756" i="4"/>
  <c r="C3756" i="4"/>
  <c r="A3757" i="4"/>
  <c r="B3757" i="4"/>
  <c r="C3757" i="4"/>
  <c r="A3758" i="4"/>
  <c r="B3758" i="4"/>
  <c r="C3758" i="4"/>
  <c r="A3759" i="4"/>
  <c r="B3759" i="4"/>
  <c r="C3759" i="4"/>
  <c r="A3760" i="4"/>
  <c r="B3760" i="4"/>
  <c r="C3760" i="4"/>
  <c r="A3761" i="4"/>
  <c r="B3761" i="4"/>
  <c r="C3761" i="4"/>
  <c r="A3762" i="4"/>
  <c r="B3762" i="4"/>
  <c r="C3762" i="4"/>
  <c r="A3763" i="4"/>
  <c r="B3763" i="4"/>
  <c r="C3763" i="4"/>
  <c r="A3764" i="4"/>
  <c r="B3764" i="4"/>
  <c r="C3764" i="4"/>
  <c r="A3765" i="4"/>
  <c r="B3765" i="4"/>
  <c r="C3765" i="4"/>
  <c r="A3766" i="4"/>
  <c r="B3766" i="4"/>
  <c r="C3766" i="4"/>
  <c r="A3767" i="4"/>
  <c r="B3767" i="4"/>
  <c r="C3767" i="4"/>
  <c r="A3768" i="4"/>
  <c r="B3768" i="4"/>
  <c r="C3768" i="4"/>
  <c r="A3769" i="4"/>
  <c r="B3769" i="4"/>
  <c r="C3769" i="4"/>
  <c r="A3770" i="4"/>
  <c r="B3770" i="4"/>
  <c r="C3770" i="4"/>
  <c r="A3771" i="4"/>
  <c r="B3771" i="4"/>
  <c r="C3771" i="4"/>
  <c r="A3772" i="4"/>
  <c r="B3772" i="4"/>
  <c r="C3772" i="4"/>
  <c r="A3773" i="4"/>
  <c r="B3773" i="4"/>
  <c r="C3773" i="4"/>
  <c r="A3774" i="4"/>
  <c r="B3774" i="4"/>
  <c r="C3774" i="4"/>
  <c r="A3775" i="4"/>
  <c r="B3775" i="4"/>
  <c r="C3775" i="4"/>
  <c r="A3776" i="4"/>
  <c r="B3776" i="4"/>
  <c r="C3776" i="4"/>
  <c r="A3777" i="4"/>
  <c r="B3777" i="4"/>
  <c r="C3777" i="4"/>
  <c r="A3778" i="4"/>
  <c r="B3778" i="4"/>
  <c r="C3778" i="4"/>
  <c r="A3779" i="4"/>
  <c r="B3779" i="4"/>
  <c r="C3779" i="4"/>
  <c r="A3780" i="4"/>
  <c r="B3780" i="4"/>
  <c r="C3780" i="4"/>
  <c r="A3781" i="4"/>
  <c r="B3781" i="4"/>
  <c r="C3781" i="4"/>
  <c r="A3782" i="4"/>
  <c r="B3782" i="4"/>
  <c r="C3782" i="4"/>
  <c r="A3783" i="4"/>
  <c r="B3783" i="4"/>
  <c r="C3783" i="4"/>
  <c r="A3784" i="4"/>
  <c r="B3784" i="4"/>
  <c r="C3784" i="4"/>
  <c r="A3785" i="4"/>
  <c r="B3785" i="4"/>
  <c r="C3785" i="4"/>
  <c r="A3786" i="4"/>
  <c r="B3786" i="4"/>
  <c r="C3786" i="4"/>
  <c r="A3787" i="4"/>
  <c r="B3787" i="4"/>
  <c r="C3787" i="4"/>
  <c r="A3788" i="4"/>
  <c r="B3788" i="4"/>
  <c r="C3788" i="4"/>
  <c r="A3789" i="4"/>
  <c r="B3789" i="4"/>
  <c r="C3789" i="4"/>
  <c r="A3790" i="4"/>
  <c r="B3790" i="4"/>
  <c r="C3790" i="4"/>
  <c r="A3791" i="4"/>
  <c r="B3791" i="4"/>
  <c r="C3791" i="4"/>
  <c r="A3792" i="4"/>
  <c r="B3792" i="4"/>
  <c r="C3792" i="4"/>
  <c r="A3793" i="4"/>
  <c r="B3793" i="4"/>
  <c r="C3793" i="4"/>
  <c r="A3794" i="4"/>
  <c r="B3794" i="4"/>
  <c r="C3794" i="4"/>
  <c r="A3795" i="4"/>
  <c r="B3795" i="4"/>
  <c r="C3795" i="4"/>
  <c r="A3796" i="4"/>
  <c r="B3796" i="4"/>
  <c r="C3796" i="4"/>
  <c r="A3797" i="4"/>
  <c r="B3797" i="4"/>
  <c r="C3797" i="4"/>
  <c r="A3798" i="4"/>
  <c r="B3798" i="4"/>
  <c r="C3798" i="4"/>
  <c r="A3799" i="4"/>
  <c r="B3799" i="4"/>
  <c r="C3799" i="4"/>
  <c r="A3800" i="4"/>
  <c r="B3800" i="4"/>
  <c r="C3800" i="4"/>
  <c r="A3801" i="4"/>
  <c r="B3801" i="4"/>
  <c r="C3801" i="4"/>
  <c r="A3802" i="4"/>
  <c r="B3802" i="4"/>
  <c r="C3802" i="4"/>
  <c r="A3803" i="4"/>
  <c r="B3803" i="4"/>
  <c r="C3803" i="4"/>
  <c r="A3804" i="4"/>
  <c r="B3804" i="4"/>
  <c r="C3804" i="4"/>
  <c r="A3805" i="4"/>
  <c r="B3805" i="4"/>
  <c r="C3805" i="4"/>
  <c r="A3806" i="4"/>
  <c r="B3806" i="4"/>
  <c r="C3806" i="4"/>
  <c r="A3807" i="4"/>
  <c r="B3807" i="4"/>
  <c r="C3807" i="4"/>
  <c r="A3808" i="4"/>
  <c r="B3808" i="4"/>
  <c r="C3808" i="4"/>
  <c r="A3809" i="4"/>
  <c r="B3809" i="4"/>
  <c r="C3809" i="4"/>
  <c r="A3810" i="4"/>
  <c r="B3810" i="4"/>
  <c r="C3810" i="4"/>
  <c r="A3811" i="4"/>
  <c r="B3811" i="4"/>
  <c r="C3811" i="4"/>
  <c r="A3812" i="4"/>
  <c r="B3812" i="4"/>
  <c r="C3812" i="4"/>
  <c r="A3813" i="4"/>
  <c r="B3813" i="4"/>
  <c r="C3813" i="4"/>
  <c r="A3814" i="4"/>
  <c r="B3814" i="4"/>
  <c r="C3814" i="4"/>
  <c r="A3815" i="4"/>
  <c r="B3815" i="4"/>
  <c r="C3815" i="4"/>
  <c r="A3816" i="4"/>
  <c r="B3816" i="4"/>
  <c r="C3816" i="4"/>
  <c r="A3817" i="4"/>
  <c r="B3817" i="4"/>
  <c r="C3817" i="4"/>
  <c r="A3818" i="4"/>
  <c r="B3818" i="4"/>
  <c r="C3818" i="4"/>
  <c r="A3819" i="4"/>
  <c r="B3819" i="4"/>
  <c r="C3819" i="4"/>
  <c r="A3820" i="4"/>
  <c r="B3820" i="4"/>
  <c r="C3820" i="4"/>
  <c r="A3821" i="4"/>
  <c r="B3821" i="4"/>
  <c r="C3821" i="4"/>
  <c r="A3822" i="4"/>
  <c r="B3822" i="4"/>
  <c r="C3822" i="4"/>
  <c r="A3823" i="4"/>
  <c r="B3823" i="4"/>
  <c r="C3823" i="4"/>
  <c r="A3824" i="4"/>
  <c r="B3824" i="4"/>
  <c r="C3824" i="4"/>
  <c r="A3825" i="4"/>
  <c r="B3825" i="4"/>
  <c r="C3825" i="4"/>
  <c r="A3826" i="4"/>
  <c r="B3826" i="4"/>
  <c r="C3826" i="4"/>
  <c r="A3827" i="4"/>
  <c r="B3827" i="4"/>
  <c r="C3827" i="4"/>
  <c r="A3828" i="4"/>
  <c r="B3828" i="4"/>
  <c r="C3828" i="4"/>
  <c r="A3829" i="4"/>
  <c r="B3829" i="4"/>
  <c r="C3829" i="4"/>
  <c r="A3830" i="4"/>
  <c r="B3830" i="4"/>
  <c r="C3830" i="4"/>
  <c r="A3831" i="4"/>
  <c r="B3831" i="4"/>
  <c r="C3831" i="4"/>
  <c r="A3832" i="4"/>
  <c r="B3832" i="4"/>
  <c r="C3832" i="4"/>
  <c r="A3833" i="4"/>
  <c r="B3833" i="4"/>
  <c r="C3833" i="4"/>
  <c r="A3834" i="4"/>
  <c r="B3834" i="4"/>
  <c r="C3834" i="4"/>
  <c r="A3835" i="4"/>
  <c r="B3835" i="4"/>
  <c r="C3835" i="4"/>
  <c r="A3836" i="4"/>
  <c r="B3836" i="4"/>
  <c r="C3836" i="4"/>
  <c r="A3837" i="4"/>
  <c r="B3837" i="4"/>
  <c r="C3837" i="4"/>
  <c r="A3838" i="4"/>
  <c r="B3838" i="4"/>
  <c r="C3838" i="4"/>
  <c r="A3839" i="4"/>
  <c r="B3839" i="4"/>
  <c r="C3839" i="4"/>
  <c r="A3840" i="4"/>
  <c r="B3840" i="4"/>
  <c r="C3840" i="4"/>
  <c r="A3841" i="4"/>
  <c r="B3841" i="4"/>
  <c r="C3841" i="4"/>
  <c r="A3842" i="4"/>
  <c r="B3842" i="4"/>
  <c r="C3842" i="4"/>
  <c r="A3843" i="4"/>
  <c r="B3843" i="4"/>
  <c r="C3843" i="4"/>
  <c r="A3844" i="4"/>
  <c r="B3844" i="4"/>
  <c r="C3844" i="4"/>
  <c r="A3845" i="4"/>
  <c r="B3845" i="4"/>
  <c r="C3845" i="4"/>
  <c r="A3846" i="4"/>
  <c r="B3846" i="4"/>
  <c r="C3846" i="4"/>
  <c r="A3847" i="4"/>
  <c r="B3847" i="4"/>
  <c r="C3847" i="4"/>
  <c r="A3848" i="4"/>
  <c r="B3848" i="4"/>
  <c r="C3848" i="4"/>
  <c r="A3849" i="4"/>
  <c r="B3849" i="4"/>
  <c r="C3849" i="4"/>
  <c r="A3850" i="4"/>
  <c r="B3850" i="4"/>
  <c r="C3850" i="4"/>
  <c r="A3851" i="4"/>
  <c r="B3851" i="4"/>
  <c r="C3851" i="4"/>
  <c r="A3852" i="4"/>
  <c r="B3852" i="4"/>
  <c r="C3852" i="4"/>
  <c r="A3853" i="4"/>
  <c r="B3853" i="4"/>
  <c r="C3853" i="4"/>
  <c r="A3854" i="4"/>
  <c r="B3854" i="4"/>
  <c r="C3854" i="4"/>
  <c r="A3855" i="4"/>
  <c r="B3855" i="4"/>
  <c r="C3855" i="4"/>
  <c r="A3856" i="4"/>
  <c r="B3856" i="4"/>
  <c r="C3856" i="4"/>
  <c r="A3857" i="4"/>
  <c r="B3857" i="4"/>
  <c r="C3857" i="4"/>
  <c r="A3858" i="4"/>
  <c r="B3858" i="4"/>
  <c r="C3858" i="4"/>
  <c r="A3859" i="4"/>
  <c r="B3859" i="4"/>
  <c r="C3859" i="4"/>
  <c r="A3860" i="4"/>
  <c r="B3860" i="4"/>
  <c r="C3860" i="4"/>
  <c r="A3861" i="4"/>
  <c r="B3861" i="4"/>
  <c r="C3861" i="4"/>
  <c r="A3862" i="4"/>
  <c r="B3862" i="4"/>
  <c r="C3862" i="4"/>
  <c r="A3863" i="4"/>
  <c r="B3863" i="4"/>
  <c r="C3863" i="4"/>
  <c r="A3864" i="4"/>
  <c r="B3864" i="4"/>
  <c r="C3864" i="4"/>
  <c r="A3865" i="4"/>
  <c r="B3865" i="4"/>
  <c r="C3865" i="4"/>
  <c r="A3866" i="4"/>
  <c r="B3866" i="4"/>
  <c r="C3866" i="4"/>
  <c r="A3867" i="4"/>
  <c r="B3867" i="4"/>
  <c r="C3867" i="4"/>
  <c r="A3868" i="4"/>
  <c r="B3868" i="4"/>
  <c r="C3868" i="4"/>
  <c r="A3869" i="4"/>
  <c r="B3869" i="4"/>
  <c r="C3869" i="4"/>
  <c r="A3870" i="4"/>
  <c r="B3870" i="4"/>
  <c r="C3870" i="4"/>
  <c r="A3871" i="4"/>
  <c r="B3871" i="4"/>
  <c r="C3871" i="4"/>
  <c r="A3872" i="4"/>
  <c r="B3872" i="4"/>
  <c r="C3872" i="4"/>
  <c r="A3873" i="4"/>
  <c r="B3873" i="4"/>
  <c r="C3873" i="4"/>
  <c r="A3874" i="4"/>
  <c r="B3874" i="4"/>
  <c r="C3874" i="4"/>
  <c r="A3875" i="4"/>
  <c r="B3875" i="4"/>
  <c r="C3875" i="4"/>
  <c r="A3876" i="4"/>
  <c r="B3876" i="4"/>
  <c r="C3876" i="4"/>
  <c r="A3877" i="4"/>
  <c r="B3877" i="4"/>
  <c r="C3877" i="4"/>
  <c r="A3878" i="4"/>
  <c r="B3878" i="4"/>
  <c r="C3878" i="4"/>
  <c r="A3879" i="4"/>
  <c r="B3879" i="4"/>
  <c r="C3879" i="4"/>
  <c r="A3880" i="4"/>
  <c r="B3880" i="4"/>
  <c r="C3880" i="4"/>
  <c r="A3881" i="4"/>
  <c r="B3881" i="4"/>
  <c r="C3881" i="4"/>
  <c r="A3882" i="4"/>
  <c r="B3882" i="4"/>
  <c r="C3882" i="4"/>
  <c r="A3883" i="4"/>
  <c r="B3883" i="4"/>
  <c r="C3883" i="4"/>
  <c r="A3884" i="4"/>
  <c r="B3884" i="4"/>
  <c r="C3884" i="4"/>
  <c r="A3885" i="4"/>
  <c r="B3885" i="4"/>
  <c r="C3885" i="4"/>
  <c r="A3886" i="4"/>
  <c r="B3886" i="4"/>
  <c r="C3886" i="4"/>
  <c r="A3887" i="4"/>
  <c r="B3887" i="4"/>
  <c r="C3887" i="4"/>
  <c r="A3888" i="4"/>
  <c r="B3888" i="4"/>
  <c r="C3888" i="4"/>
  <c r="A3889" i="4"/>
  <c r="B3889" i="4"/>
  <c r="C3889" i="4"/>
  <c r="A3890" i="4"/>
  <c r="B3890" i="4"/>
  <c r="C3890" i="4"/>
  <c r="A3891" i="4"/>
  <c r="B3891" i="4"/>
  <c r="C3891" i="4"/>
  <c r="A3892" i="4"/>
  <c r="B3892" i="4"/>
  <c r="C3892" i="4"/>
  <c r="A3893" i="4"/>
  <c r="B3893" i="4"/>
  <c r="C3893" i="4"/>
  <c r="A3894" i="4"/>
  <c r="B3894" i="4"/>
  <c r="C3894" i="4"/>
  <c r="A3895" i="4"/>
  <c r="B3895" i="4"/>
  <c r="C3895" i="4"/>
  <c r="A3896" i="4"/>
  <c r="B3896" i="4"/>
  <c r="C3896" i="4"/>
  <c r="A3897" i="4"/>
  <c r="B3897" i="4"/>
  <c r="C3897" i="4"/>
  <c r="A3898" i="4"/>
  <c r="B3898" i="4"/>
  <c r="C3898" i="4"/>
  <c r="A3899" i="4"/>
  <c r="B3899" i="4"/>
  <c r="C3899" i="4"/>
  <c r="A3900" i="4"/>
  <c r="B3900" i="4"/>
  <c r="C3900" i="4"/>
  <c r="A3901" i="4"/>
  <c r="B3901" i="4"/>
  <c r="C3901" i="4"/>
  <c r="A3902" i="4"/>
  <c r="B3902" i="4"/>
  <c r="C3902" i="4"/>
  <c r="A3903" i="4"/>
  <c r="B3903" i="4"/>
  <c r="C3903" i="4"/>
  <c r="A3904" i="4"/>
  <c r="B3904" i="4"/>
  <c r="C3904" i="4"/>
  <c r="A3905" i="4"/>
  <c r="B3905" i="4"/>
  <c r="C3905" i="4"/>
  <c r="A3906" i="4"/>
  <c r="B3906" i="4"/>
  <c r="C3906" i="4"/>
  <c r="A3907" i="4"/>
  <c r="B3907" i="4"/>
  <c r="C3907" i="4"/>
  <c r="A3908" i="4"/>
  <c r="B3908" i="4"/>
  <c r="C3908" i="4"/>
  <c r="A3909" i="4"/>
  <c r="B3909" i="4"/>
  <c r="C3909" i="4"/>
  <c r="A3910" i="4"/>
  <c r="B3910" i="4"/>
  <c r="C3910" i="4"/>
  <c r="A3911" i="4"/>
  <c r="B3911" i="4"/>
  <c r="C3911" i="4"/>
  <c r="A3912" i="4"/>
  <c r="B3912" i="4"/>
  <c r="C3912" i="4"/>
  <c r="A3913" i="4"/>
  <c r="B3913" i="4"/>
  <c r="C3913" i="4"/>
  <c r="A3914" i="4"/>
  <c r="B3914" i="4"/>
  <c r="C3914" i="4"/>
  <c r="A3915" i="4"/>
  <c r="B3915" i="4"/>
  <c r="C3915" i="4"/>
  <c r="A3916" i="4"/>
  <c r="B3916" i="4"/>
  <c r="C3916" i="4"/>
  <c r="A3917" i="4"/>
  <c r="B3917" i="4"/>
  <c r="C3917" i="4"/>
  <c r="A3918" i="4"/>
  <c r="B3918" i="4"/>
  <c r="C3918" i="4"/>
  <c r="A3919" i="4"/>
  <c r="B3919" i="4"/>
  <c r="C3919" i="4"/>
  <c r="A3920" i="4"/>
  <c r="B3920" i="4"/>
  <c r="C3920" i="4"/>
  <c r="A3921" i="4"/>
  <c r="B3921" i="4"/>
  <c r="C3921" i="4"/>
  <c r="A3922" i="4"/>
  <c r="B3922" i="4"/>
  <c r="C3922" i="4"/>
  <c r="A3923" i="4"/>
  <c r="B3923" i="4"/>
  <c r="C3923" i="4"/>
  <c r="A3924" i="4"/>
  <c r="B3924" i="4"/>
  <c r="C3924" i="4"/>
  <c r="A3925" i="4"/>
  <c r="B3925" i="4"/>
  <c r="C3925" i="4"/>
  <c r="A3926" i="4"/>
  <c r="B3926" i="4"/>
  <c r="C3926" i="4"/>
  <c r="A3927" i="4"/>
  <c r="B3927" i="4"/>
  <c r="C3927" i="4"/>
  <c r="A3928" i="4"/>
  <c r="B3928" i="4"/>
  <c r="C3928" i="4"/>
  <c r="A3929" i="4"/>
  <c r="B3929" i="4"/>
  <c r="C3929" i="4"/>
  <c r="A3930" i="4"/>
  <c r="B3930" i="4"/>
  <c r="C3930" i="4"/>
  <c r="A3931" i="4"/>
  <c r="B3931" i="4"/>
  <c r="C3931" i="4"/>
  <c r="A3932" i="4"/>
  <c r="B3932" i="4"/>
  <c r="C3932" i="4"/>
  <c r="A3933" i="4"/>
  <c r="B3933" i="4"/>
  <c r="C3933" i="4"/>
  <c r="A3934" i="4"/>
  <c r="B3934" i="4"/>
  <c r="C3934" i="4"/>
  <c r="A3935" i="4"/>
  <c r="B3935" i="4"/>
  <c r="C3935" i="4"/>
  <c r="A3936" i="4"/>
  <c r="B3936" i="4"/>
  <c r="C3936" i="4"/>
  <c r="A3937" i="4"/>
  <c r="B3937" i="4"/>
  <c r="C3937" i="4"/>
  <c r="A3938" i="4"/>
  <c r="B3938" i="4"/>
  <c r="C3938" i="4"/>
  <c r="A3939" i="4"/>
  <c r="B3939" i="4"/>
  <c r="C3939" i="4"/>
  <c r="A3940" i="4"/>
  <c r="B3940" i="4"/>
  <c r="C3940" i="4"/>
  <c r="A3941" i="4"/>
  <c r="B3941" i="4"/>
  <c r="C3941" i="4"/>
  <c r="A3942" i="4"/>
  <c r="B3942" i="4"/>
  <c r="C3942" i="4"/>
  <c r="A3943" i="4"/>
  <c r="B3943" i="4"/>
  <c r="C3943" i="4"/>
  <c r="A3944" i="4"/>
  <c r="B3944" i="4"/>
  <c r="C3944" i="4"/>
  <c r="A3945" i="4"/>
  <c r="B3945" i="4"/>
  <c r="C3945" i="4"/>
  <c r="A3946" i="4"/>
  <c r="B3946" i="4"/>
  <c r="C3946" i="4"/>
  <c r="A3947" i="4"/>
  <c r="B3947" i="4"/>
  <c r="C3947" i="4"/>
  <c r="A3948" i="4"/>
  <c r="B3948" i="4"/>
  <c r="C3948" i="4"/>
  <c r="A3949" i="4"/>
  <c r="B3949" i="4"/>
  <c r="C3949" i="4"/>
  <c r="A3950" i="4"/>
  <c r="B3950" i="4"/>
  <c r="C3950" i="4"/>
  <c r="A3951" i="4"/>
  <c r="B3951" i="4"/>
  <c r="C3951" i="4"/>
  <c r="A3952" i="4"/>
  <c r="B3952" i="4"/>
  <c r="C3952" i="4"/>
  <c r="A3953" i="4"/>
  <c r="B3953" i="4"/>
  <c r="C3953" i="4"/>
  <c r="A3954" i="4"/>
  <c r="B3954" i="4"/>
  <c r="C3954" i="4"/>
  <c r="A3955" i="4"/>
  <c r="B3955" i="4"/>
  <c r="C3955" i="4"/>
  <c r="A3956" i="4"/>
  <c r="B3956" i="4"/>
  <c r="C3956" i="4"/>
  <c r="A3957" i="4"/>
  <c r="B3957" i="4"/>
  <c r="C3957" i="4"/>
  <c r="A3958" i="4"/>
  <c r="B3958" i="4"/>
  <c r="C3958" i="4"/>
  <c r="A3959" i="4"/>
  <c r="B3959" i="4"/>
  <c r="C3959" i="4"/>
  <c r="A3960" i="4"/>
  <c r="B3960" i="4"/>
  <c r="C3960" i="4"/>
  <c r="A3961" i="4"/>
  <c r="B3961" i="4"/>
  <c r="C3961" i="4"/>
  <c r="A3962" i="4"/>
  <c r="B3962" i="4"/>
  <c r="C3962" i="4"/>
  <c r="A3963" i="4"/>
  <c r="B3963" i="4"/>
  <c r="C3963" i="4"/>
  <c r="A3964" i="4"/>
  <c r="B3964" i="4"/>
  <c r="C3964" i="4"/>
  <c r="A3965" i="4"/>
  <c r="B3965" i="4"/>
  <c r="C3965" i="4"/>
  <c r="A3966" i="4"/>
  <c r="B3966" i="4"/>
  <c r="C3966" i="4"/>
  <c r="A3967" i="4"/>
  <c r="B3967" i="4"/>
  <c r="C3967" i="4"/>
  <c r="A3968" i="4"/>
  <c r="B3968" i="4"/>
  <c r="C3968" i="4"/>
  <c r="A3969" i="4"/>
  <c r="B3969" i="4"/>
  <c r="C3969" i="4"/>
  <c r="A3970" i="4"/>
  <c r="B3970" i="4"/>
  <c r="C3970" i="4"/>
  <c r="A3971" i="4"/>
  <c r="B3971" i="4"/>
  <c r="C3971" i="4"/>
  <c r="A3972" i="4"/>
  <c r="B3972" i="4"/>
  <c r="C3972" i="4"/>
  <c r="A3973" i="4"/>
  <c r="B3973" i="4"/>
  <c r="C3973" i="4"/>
  <c r="A3974" i="4"/>
  <c r="B3974" i="4"/>
  <c r="C3974" i="4"/>
  <c r="A3975" i="4"/>
  <c r="B3975" i="4"/>
  <c r="C3975" i="4"/>
  <c r="A3976" i="4"/>
  <c r="B3976" i="4"/>
  <c r="C3976" i="4"/>
  <c r="A3977" i="4"/>
  <c r="B3977" i="4"/>
  <c r="C3977" i="4"/>
  <c r="A3978" i="4"/>
  <c r="B3978" i="4"/>
  <c r="C3978" i="4"/>
  <c r="A3979" i="4"/>
  <c r="B3979" i="4"/>
  <c r="C3979" i="4"/>
  <c r="A3980" i="4"/>
  <c r="B3980" i="4"/>
  <c r="C3980" i="4"/>
  <c r="A3981" i="4"/>
  <c r="B3981" i="4"/>
  <c r="C3981" i="4"/>
  <c r="A3982" i="4"/>
  <c r="B3982" i="4"/>
  <c r="C3982" i="4"/>
  <c r="A3983" i="4"/>
  <c r="B3983" i="4"/>
  <c r="C3983" i="4"/>
  <c r="A3984" i="4"/>
  <c r="B3984" i="4"/>
  <c r="C3984" i="4"/>
  <c r="A3985" i="4"/>
  <c r="B3985" i="4"/>
  <c r="C3985" i="4"/>
  <c r="A3986" i="4"/>
  <c r="B3986" i="4"/>
  <c r="C3986" i="4"/>
  <c r="A3987" i="4"/>
  <c r="B3987" i="4"/>
  <c r="C3987" i="4"/>
  <c r="A3988" i="4"/>
  <c r="B3988" i="4"/>
  <c r="C3988" i="4"/>
  <c r="A3989" i="4"/>
  <c r="B3989" i="4"/>
  <c r="C3989" i="4"/>
  <c r="A3990" i="4"/>
  <c r="B3990" i="4"/>
  <c r="C3990" i="4"/>
  <c r="A3991" i="4"/>
  <c r="B3991" i="4"/>
  <c r="C3991" i="4"/>
  <c r="A3992" i="4"/>
  <c r="B3992" i="4"/>
  <c r="C3992" i="4"/>
  <c r="A3993" i="4"/>
  <c r="B3993" i="4"/>
  <c r="C3993" i="4"/>
  <c r="A3994" i="4"/>
  <c r="B3994" i="4"/>
  <c r="C3994" i="4"/>
  <c r="A3995" i="4"/>
  <c r="B3995" i="4"/>
  <c r="C3995" i="4"/>
  <c r="A3996" i="4"/>
  <c r="B3996" i="4"/>
  <c r="C3996" i="4"/>
  <c r="A3997" i="4"/>
  <c r="B3997" i="4"/>
  <c r="C3997" i="4"/>
  <c r="A3998" i="4"/>
  <c r="B3998" i="4"/>
  <c r="C3998" i="4"/>
  <c r="A3999" i="4"/>
  <c r="B3999" i="4"/>
  <c r="C3999" i="4"/>
  <c r="A4000" i="4"/>
  <c r="B4000" i="4"/>
  <c r="C4000" i="4"/>
  <c r="A4001" i="4"/>
  <c r="B4001" i="4"/>
  <c r="C4001" i="4"/>
  <c r="A4002" i="4"/>
  <c r="B4002" i="4"/>
  <c r="C4002" i="4"/>
  <c r="A4003" i="4"/>
  <c r="B4003" i="4"/>
  <c r="C4003" i="4"/>
  <c r="A4004" i="4"/>
  <c r="B4004" i="4"/>
  <c r="C4004" i="4"/>
  <c r="A4005" i="4"/>
  <c r="B4005" i="4"/>
  <c r="C4005" i="4"/>
  <c r="A4006" i="4"/>
  <c r="B4006" i="4"/>
  <c r="C4006" i="4"/>
  <c r="A4007" i="4"/>
  <c r="B4007" i="4"/>
  <c r="C4007" i="4"/>
  <c r="A4008" i="4"/>
  <c r="B4008" i="4"/>
  <c r="C4008" i="4"/>
  <c r="A4009" i="4"/>
  <c r="B4009" i="4"/>
  <c r="C4009" i="4"/>
  <c r="A4010" i="4"/>
  <c r="B4010" i="4"/>
  <c r="C4010" i="4"/>
  <c r="A4011" i="4"/>
  <c r="B4011" i="4"/>
  <c r="C4011" i="4"/>
  <c r="A4012" i="4"/>
  <c r="B4012" i="4"/>
  <c r="C4012" i="4"/>
  <c r="A4013" i="4"/>
  <c r="B4013" i="4"/>
  <c r="C4013" i="4"/>
  <c r="A4014" i="4"/>
  <c r="B4014" i="4"/>
  <c r="C4014" i="4"/>
  <c r="A4015" i="4"/>
  <c r="B4015" i="4"/>
  <c r="C4015" i="4"/>
  <c r="A4016" i="4"/>
  <c r="B4016" i="4"/>
  <c r="C4016" i="4"/>
  <c r="A4017" i="4"/>
  <c r="B4017" i="4"/>
  <c r="C4017" i="4"/>
  <c r="A4018" i="4"/>
  <c r="B4018" i="4"/>
  <c r="C4018" i="4"/>
  <c r="A4019" i="4"/>
  <c r="B4019" i="4"/>
  <c r="C4019" i="4"/>
  <c r="A4020" i="4"/>
  <c r="B4020" i="4"/>
  <c r="C4020" i="4"/>
  <c r="A4021" i="4"/>
  <c r="B4021" i="4"/>
  <c r="C4021" i="4"/>
  <c r="A4022" i="4"/>
  <c r="B4022" i="4"/>
  <c r="C4022" i="4"/>
  <c r="A4023" i="4"/>
  <c r="B4023" i="4"/>
  <c r="C4023" i="4"/>
  <c r="A4024" i="4"/>
  <c r="B4024" i="4"/>
  <c r="C4024" i="4"/>
  <c r="A4025" i="4"/>
  <c r="B4025" i="4"/>
  <c r="C4025" i="4"/>
  <c r="A4026" i="4"/>
  <c r="B4026" i="4"/>
  <c r="C4026" i="4"/>
  <c r="A4027" i="4"/>
  <c r="B4027" i="4"/>
  <c r="C4027" i="4"/>
  <c r="A4028" i="4"/>
  <c r="B4028" i="4"/>
  <c r="C4028" i="4"/>
  <c r="A4029" i="4"/>
  <c r="B4029" i="4"/>
  <c r="C4029" i="4"/>
  <c r="A4030" i="4"/>
  <c r="B4030" i="4"/>
  <c r="C4030" i="4"/>
  <c r="A4031" i="4"/>
  <c r="B4031" i="4"/>
  <c r="C4031" i="4"/>
  <c r="A4032" i="4"/>
  <c r="B4032" i="4"/>
  <c r="C4032" i="4"/>
  <c r="A4033" i="4"/>
  <c r="B4033" i="4"/>
  <c r="C4033" i="4"/>
  <c r="A4034" i="4"/>
  <c r="B4034" i="4"/>
  <c r="C4034" i="4"/>
  <c r="A4035" i="4"/>
  <c r="B4035" i="4"/>
  <c r="C4035" i="4"/>
  <c r="A4036" i="4"/>
  <c r="B4036" i="4"/>
  <c r="C4036" i="4"/>
  <c r="A4037" i="4"/>
  <c r="B4037" i="4"/>
  <c r="C4037" i="4"/>
  <c r="A4038" i="4"/>
  <c r="B4038" i="4"/>
  <c r="C4038" i="4"/>
  <c r="A4039" i="4"/>
  <c r="B4039" i="4"/>
  <c r="C4039" i="4"/>
  <c r="A4040" i="4"/>
  <c r="B4040" i="4"/>
  <c r="C4040" i="4"/>
  <c r="A4041" i="4"/>
  <c r="B4041" i="4"/>
  <c r="C4041" i="4"/>
  <c r="A4042" i="4"/>
  <c r="B4042" i="4"/>
  <c r="C4042" i="4"/>
  <c r="A4043" i="4"/>
  <c r="B4043" i="4"/>
  <c r="C4043" i="4"/>
  <c r="A4044" i="4"/>
  <c r="B4044" i="4"/>
  <c r="C4044" i="4"/>
  <c r="A4045" i="4"/>
  <c r="B4045" i="4"/>
  <c r="C4045" i="4"/>
  <c r="A4046" i="4"/>
  <c r="B4046" i="4"/>
  <c r="C4046" i="4"/>
  <c r="A4047" i="4"/>
  <c r="B4047" i="4"/>
  <c r="C4047" i="4"/>
  <c r="A4048" i="4"/>
  <c r="B4048" i="4"/>
  <c r="C4048" i="4"/>
  <c r="A4049" i="4"/>
  <c r="B4049" i="4"/>
  <c r="C4049" i="4"/>
  <c r="A4050" i="4"/>
  <c r="B4050" i="4"/>
  <c r="C4050" i="4"/>
  <c r="A4051" i="4"/>
  <c r="B4051" i="4"/>
  <c r="C4051" i="4"/>
  <c r="A4052" i="4"/>
  <c r="B4052" i="4"/>
  <c r="C4052" i="4"/>
  <c r="A4053" i="4"/>
  <c r="B4053" i="4"/>
  <c r="C4053" i="4"/>
  <c r="A4054" i="4"/>
  <c r="B4054" i="4"/>
  <c r="C4054" i="4"/>
  <c r="A4055" i="4"/>
  <c r="B4055" i="4"/>
  <c r="C4055" i="4"/>
  <c r="A4056" i="4"/>
  <c r="B4056" i="4"/>
  <c r="C4056" i="4"/>
  <c r="A4057" i="4"/>
  <c r="B4057" i="4"/>
  <c r="C4057" i="4"/>
  <c r="A4058" i="4"/>
  <c r="B4058" i="4"/>
  <c r="C4058" i="4"/>
  <c r="A4059" i="4"/>
  <c r="B4059" i="4"/>
  <c r="C4059" i="4"/>
  <c r="A4060" i="4"/>
  <c r="B4060" i="4"/>
  <c r="C4060" i="4"/>
  <c r="A4061" i="4"/>
  <c r="B4061" i="4"/>
  <c r="C4061" i="4"/>
  <c r="A4062" i="4"/>
  <c r="B4062" i="4"/>
  <c r="C4062" i="4"/>
  <c r="A4063" i="4"/>
  <c r="B4063" i="4"/>
  <c r="C4063" i="4"/>
  <c r="A4064" i="4"/>
  <c r="B4064" i="4"/>
  <c r="C4064" i="4"/>
  <c r="A4065" i="4"/>
  <c r="B4065" i="4"/>
  <c r="C4065" i="4"/>
  <c r="A4066" i="4"/>
  <c r="B4066" i="4"/>
  <c r="C4066" i="4"/>
  <c r="A4067" i="4"/>
  <c r="B4067" i="4"/>
  <c r="C4067" i="4"/>
  <c r="A4068" i="4"/>
  <c r="B4068" i="4"/>
  <c r="C4068" i="4"/>
  <c r="A4069" i="4"/>
  <c r="B4069" i="4"/>
  <c r="C4069" i="4"/>
  <c r="A4070" i="4"/>
  <c r="B4070" i="4"/>
  <c r="C4070" i="4"/>
  <c r="A4071" i="4"/>
  <c r="B4071" i="4"/>
  <c r="C4071" i="4"/>
  <c r="A4072" i="4"/>
  <c r="B4072" i="4"/>
  <c r="C4072" i="4"/>
  <c r="A4073" i="4"/>
  <c r="B4073" i="4"/>
  <c r="C4073" i="4"/>
  <c r="A4074" i="4"/>
  <c r="B4074" i="4"/>
  <c r="C4074" i="4"/>
  <c r="A4075" i="4"/>
  <c r="B4075" i="4"/>
  <c r="C4075" i="4"/>
  <c r="A4076" i="4"/>
  <c r="B4076" i="4"/>
  <c r="C4076" i="4"/>
  <c r="A4077" i="4"/>
  <c r="B4077" i="4"/>
  <c r="C4077" i="4"/>
  <c r="A4078" i="4"/>
  <c r="B4078" i="4"/>
  <c r="C4078" i="4"/>
  <c r="A4079" i="4"/>
  <c r="B4079" i="4"/>
  <c r="C4079" i="4"/>
  <c r="A4080" i="4"/>
  <c r="B4080" i="4"/>
  <c r="C4080" i="4"/>
  <c r="A4081" i="4"/>
  <c r="B4081" i="4"/>
  <c r="C4081" i="4"/>
  <c r="A4082" i="4"/>
  <c r="B4082" i="4"/>
  <c r="C4082" i="4"/>
  <c r="A4083" i="4"/>
  <c r="B4083" i="4"/>
  <c r="C4083" i="4"/>
  <c r="A4084" i="4"/>
  <c r="B4084" i="4"/>
  <c r="C4084" i="4"/>
  <c r="A4085" i="4"/>
  <c r="B4085" i="4"/>
  <c r="C4085" i="4"/>
  <c r="A4086" i="4"/>
  <c r="B4086" i="4"/>
  <c r="C4086" i="4"/>
  <c r="A4087" i="4"/>
  <c r="B4087" i="4"/>
  <c r="C4087" i="4"/>
  <c r="A4088" i="4"/>
  <c r="B4088" i="4"/>
  <c r="C4088" i="4"/>
  <c r="A4089" i="4"/>
  <c r="B4089" i="4"/>
  <c r="C4089" i="4"/>
  <c r="A4090" i="4"/>
  <c r="B4090" i="4"/>
  <c r="C4090" i="4"/>
  <c r="A4091" i="4"/>
  <c r="B4091" i="4"/>
  <c r="C4091" i="4"/>
  <c r="A4092" i="4"/>
  <c r="B4092" i="4"/>
  <c r="C4092" i="4"/>
  <c r="A4093" i="4"/>
  <c r="B4093" i="4"/>
  <c r="C4093" i="4"/>
  <c r="A4094" i="4"/>
  <c r="B4094" i="4"/>
  <c r="C4094" i="4"/>
  <c r="A4095" i="4"/>
  <c r="B4095" i="4"/>
  <c r="C4095" i="4"/>
  <c r="A4096" i="4"/>
  <c r="B4096" i="4"/>
  <c r="C4096" i="4"/>
  <c r="A4097" i="4"/>
  <c r="B4097" i="4"/>
  <c r="C4097" i="4"/>
  <c r="A4098" i="4"/>
  <c r="B4098" i="4"/>
  <c r="C4098" i="4"/>
  <c r="A4099" i="4"/>
  <c r="B4099" i="4"/>
  <c r="C4099" i="4"/>
  <c r="A4100" i="4"/>
  <c r="B4100" i="4"/>
  <c r="C4100" i="4"/>
  <c r="A4101" i="4"/>
  <c r="B4101" i="4"/>
  <c r="C4101" i="4"/>
  <c r="A4102" i="4"/>
  <c r="B4102" i="4"/>
  <c r="C4102" i="4"/>
  <c r="A4103" i="4"/>
  <c r="B4103" i="4"/>
  <c r="C4103" i="4"/>
  <c r="A4104" i="4"/>
  <c r="B4104" i="4"/>
  <c r="C4104" i="4"/>
  <c r="A4105" i="4"/>
  <c r="B4105" i="4"/>
  <c r="C4105" i="4"/>
  <c r="A4106" i="4"/>
  <c r="B4106" i="4"/>
  <c r="C4106" i="4"/>
  <c r="A4107" i="4"/>
  <c r="B4107" i="4"/>
  <c r="C4107" i="4"/>
  <c r="A4108" i="4"/>
  <c r="B4108" i="4"/>
  <c r="C4108" i="4"/>
  <c r="A4109" i="4"/>
  <c r="B4109" i="4"/>
  <c r="C4109" i="4"/>
  <c r="A4110" i="4"/>
  <c r="B4110" i="4"/>
  <c r="C4110" i="4"/>
  <c r="A4111" i="4"/>
  <c r="B4111" i="4"/>
  <c r="C4111" i="4"/>
  <c r="A4112" i="4"/>
  <c r="B4112" i="4"/>
  <c r="C4112" i="4"/>
  <c r="A4113" i="4"/>
  <c r="B4113" i="4"/>
  <c r="C4113" i="4"/>
  <c r="A4114" i="4"/>
  <c r="B4114" i="4"/>
  <c r="C4114" i="4"/>
  <c r="A4115" i="4"/>
  <c r="B4115" i="4"/>
  <c r="C4115" i="4"/>
  <c r="A4116" i="4"/>
  <c r="B4116" i="4"/>
  <c r="C4116" i="4"/>
  <c r="A4117" i="4"/>
  <c r="B4117" i="4"/>
  <c r="C4117" i="4"/>
  <c r="A4118" i="4"/>
  <c r="B4118" i="4"/>
  <c r="C4118" i="4"/>
  <c r="A4119" i="4"/>
  <c r="B4119" i="4"/>
  <c r="C4119" i="4"/>
  <c r="A4120" i="4"/>
  <c r="B4120" i="4"/>
  <c r="C4120" i="4"/>
  <c r="A4121" i="4"/>
  <c r="B4121" i="4"/>
  <c r="C4121" i="4"/>
  <c r="A4122" i="4"/>
  <c r="B4122" i="4"/>
  <c r="C4122" i="4"/>
  <c r="A4123" i="4"/>
  <c r="B4123" i="4"/>
  <c r="C4123" i="4"/>
  <c r="A4124" i="4"/>
  <c r="B4124" i="4"/>
  <c r="C4124" i="4"/>
  <c r="A4125" i="4"/>
  <c r="B4125" i="4"/>
  <c r="C4125" i="4"/>
  <c r="A4126" i="4"/>
  <c r="B4126" i="4"/>
  <c r="C4126" i="4"/>
  <c r="A4127" i="4"/>
  <c r="B4127" i="4"/>
  <c r="C4127" i="4"/>
  <c r="A4128" i="4"/>
  <c r="B4128" i="4"/>
  <c r="C4128" i="4"/>
  <c r="A4129" i="4"/>
  <c r="B4129" i="4"/>
  <c r="C4129" i="4"/>
  <c r="A4130" i="4"/>
  <c r="B4130" i="4"/>
  <c r="C4130" i="4"/>
  <c r="A4131" i="4"/>
  <c r="B4131" i="4"/>
  <c r="C4131" i="4"/>
  <c r="A4132" i="4"/>
  <c r="B4132" i="4"/>
  <c r="C4132" i="4"/>
  <c r="A4133" i="4"/>
  <c r="B4133" i="4"/>
  <c r="C4133" i="4"/>
  <c r="A4134" i="4"/>
  <c r="B4134" i="4"/>
  <c r="C4134" i="4"/>
  <c r="A4135" i="4"/>
  <c r="B4135" i="4"/>
  <c r="C4135" i="4"/>
  <c r="A4136" i="4"/>
  <c r="B4136" i="4"/>
  <c r="C4136" i="4"/>
  <c r="A4137" i="4"/>
  <c r="B4137" i="4"/>
  <c r="C4137" i="4"/>
  <c r="A4138" i="4"/>
  <c r="B4138" i="4"/>
  <c r="C4138" i="4"/>
  <c r="A4139" i="4"/>
  <c r="B4139" i="4"/>
  <c r="C4139" i="4"/>
  <c r="A4140" i="4"/>
  <c r="B4140" i="4"/>
  <c r="C4140" i="4"/>
  <c r="A4141" i="4"/>
  <c r="B4141" i="4"/>
  <c r="C4141" i="4"/>
  <c r="A4142" i="4"/>
  <c r="B4142" i="4"/>
  <c r="C4142" i="4"/>
  <c r="A4143" i="4"/>
  <c r="B4143" i="4"/>
  <c r="C4143" i="4"/>
  <c r="A4144" i="4"/>
  <c r="B4144" i="4"/>
  <c r="C4144" i="4"/>
  <c r="A4145" i="4"/>
  <c r="B4145" i="4"/>
  <c r="C4145" i="4"/>
  <c r="A4146" i="4"/>
  <c r="B4146" i="4"/>
  <c r="C4146" i="4"/>
  <c r="A4147" i="4"/>
  <c r="B4147" i="4"/>
  <c r="C4147" i="4"/>
  <c r="A4148" i="4"/>
  <c r="B4148" i="4"/>
  <c r="C4148" i="4"/>
  <c r="A4149" i="4"/>
  <c r="B4149" i="4"/>
  <c r="C4149" i="4"/>
  <c r="A4150" i="4"/>
  <c r="B4150" i="4"/>
  <c r="C4150" i="4"/>
  <c r="A4151" i="4"/>
  <c r="B4151" i="4"/>
  <c r="C4151" i="4"/>
  <c r="A4152" i="4"/>
  <c r="B4152" i="4"/>
  <c r="C4152" i="4"/>
  <c r="A4153" i="4"/>
  <c r="B4153" i="4"/>
  <c r="C4153" i="4"/>
  <c r="A4154" i="4"/>
  <c r="B4154" i="4"/>
  <c r="C4154" i="4"/>
  <c r="A4155" i="4"/>
  <c r="B4155" i="4"/>
  <c r="C4155" i="4"/>
  <c r="A4156" i="4"/>
  <c r="B4156" i="4"/>
  <c r="C4156" i="4"/>
  <c r="A4157" i="4"/>
  <c r="B4157" i="4"/>
  <c r="C4157" i="4"/>
  <c r="A4158" i="4"/>
  <c r="B4158" i="4"/>
  <c r="C4158" i="4"/>
  <c r="A4159" i="4"/>
  <c r="B4159" i="4"/>
  <c r="C4159" i="4"/>
  <c r="A4160" i="4"/>
  <c r="B4160" i="4"/>
  <c r="C4160" i="4"/>
  <c r="A4161" i="4"/>
  <c r="B4161" i="4"/>
  <c r="C4161" i="4"/>
  <c r="A4162" i="4"/>
  <c r="B4162" i="4"/>
  <c r="C4162" i="4"/>
  <c r="A4163" i="4"/>
  <c r="B4163" i="4"/>
  <c r="C4163" i="4"/>
  <c r="A4164" i="4"/>
  <c r="B4164" i="4"/>
  <c r="C4164" i="4"/>
  <c r="A4165" i="4"/>
  <c r="B4165" i="4"/>
  <c r="C4165" i="4"/>
  <c r="A4166" i="4"/>
  <c r="B4166" i="4"/>
  <c r="C4166" i="4"/>
  <c r="A4167" i="4"/>
  <c r="B4167" i="4"/>
  <c r="C4167" i="4"/>
  <c r="A4168" i="4"/>
  <c r="B4168" i="4"/>
  <c r="C4168" i="4"/>
  <c r="A4169" i="4"/>
  <c r="B4169" i="4"/>
  <c r="C4169" i="4"/>
  <c r="A4170" i="4"/>
  <c r="B4170" i="4"/>
  <c r="C4170" i="4"/>
  <c r="A4171" i="4"/>
  <c r="B4171" i="4"/>
  <c r="C4171" i="4"/>
  <c r="A4172" i="4"/>
  <c r="B4172" i="4"/>
  <c r="C4172" i="4"/>
  <c r="A4173" i="4"/>
  <c r="B4173" i="4"/>
  <c r="C4173" i="4"/>
  <c r="A4174" i="4"/>
  <c r="B4174" i="4"/>
  <c r="C4174" i="4"/>
  <c r="A4175" i="4"/>
  <c r="B4175" i="4"/>
  <c r="C4175" i="4"/>
  <c r="A4176" i="4"/>
  <c r="B4176" i="4"/>
  <c r="C4176" i="4"/>
  <c r="A4177" i="4"/>
  <c r="B4177" i="4"/>
  <c r="C4177" i="4"/>
  <c r="A4178" i="4"/>
  <c r="B4178" i="4"/>
  <c r="C4178" i="4"/>
  <c r="A4179" i="4"/>
  <c r="B4179" i="4"/>
  <c r="C4179" i="4"/>
  <c r="A4180" i="4"/>
  <c r="B4180" i="4"/>
  <c r="C4180" i="4"/>
  <c r="A4181" i="4"/>
  <c r="B4181" i="4"/>
  <c r="C4181" i="4"/>
  <c r="A4182" i="4"/>
  <c r="B4182" i="4"/>
  <c r="C4182" i="4"/>
  <c r="A4183" i="4"/>
  <c r="B4183" i="4"/>
  <c r="C4183" i="4"/>
  <c r="A4184" i="4"/>
  <c r="B4184" i="4"/>
  <c r="C4184" i="4"/>
  <c r="A4185" i="4"/>
  <c r="B4185" i="4"/>
  <c r="C4185" i="4"/>
  <c r="A4186" i="4"/>
  <c r="B4186" i="4"/>
  <c r="C4186" i="4"/>
  <c r="A4187" i="4"/>
  <c r="B4187" i="4"/>
  <c r="C4187" i="4"/>
  <c r="A4188" i="4"/>
  <c r="B4188" i="4"/>
  <c r="C4188" i="4"/>
  <c r="A4189" i="4"/>
  <c r="B4189" i="4"/>
  <c r="C4189" i="4"/>
  <c r="A4190" i="4"/>
  <c r="B4190" i="4"/>
  <c r="C4190" i="4"/>
  <c r="A4191" i="4"/>
  <c r="B4191" i="4"/>
  <c r="C4191" i="4"/>
  <c r="A4192" i="4"/>
  <c r="B4192" i="4"/>
  <c r="C4192" i="4"/>
  <c r="A4193" i="4"/>
  <c r="B4193" i="4"/>
  <c r="C4193" i="4"/>
  <c r="A4194" i="4"/>
  <c r="B4194" i="4"/>
  <c r="C4194" i="4"/>
  <c r="A4195" i="4"/>
  <c r="B4195" i="4"/>
  <c r="C4195" i="4"/>
  <c r="A4196" i="4"/>
  <c r="B4196" i="4"/>
  <c r="C4196" i="4"/>
  <c r="A4197" i="4"/>
  <c r="B4197" i="4"/>
  <c r="C4197" i="4"/>
  <c r="A4198" i="4"/>
  <c r="B4198" i="4"/>
  <c r="C4198" i="4"/>
  <c r="A4199" i="4"/>
  <c r="B4199" i="4"/>
  <c r="C4199" i="4"/>
  <c r="A4200" i="4"/>
  <c r="B4200" i="4"/>
  <c r="C4200" i="4"/>
  <c r="A4201" i="4"/>
  <c r="B4201" i="4"/>
  <c r="C4201" i="4"/>
  <c r="A4202" i="4"/>
  <c r="B4202" i="4"/>
  <c r="C4202" i="4"/>
  <c r="A4203" i="4"/>
  <c r="B4203" i="4"/>
  <c r="C4203" i="4"/>
  <c r="A4204" i="4"/>
  <c r="B4204" i="4"/>
  <c r="C4204" i="4"/>
  <c r="A4205" i="4"/>
  <c r="B4205" i="4"/>
  <c r="C4205" i="4"/>
  <c r="A4206" i="4"/>
  <c r="B4206" i="4"/>
  <c r="C4206" i="4"/>
  <c r="A4207" i="4"/>
  <c r="B4207" i="4"/>
  <c r="C4207" i="4"/>
  <c r="A4208" i="4"/>
  <c r="B4208" i="4"/>
  <c r="C4208" i="4"/>
  <c r="A4209" i="4"/>
  <c r="B4209" i="4"/>
  <c r="C4209" i="4"/>
  <c r="A4210" i="4"/>
  <c r="B4210" i="4"/>
  <c r="C4210" i="4"/>
  <c r="A4211" i="4"/>
  <c r="B4211" i="4"/>
  <c r="C4211" i="4"/>
  <c r="A4212" i="4"/>
  <c r="B4212" i="4"/>
  <c r="C4212" i="4"/>
  <c r="A4213" i="4"/>
  <c r="B4213" i="4"/>
  <c r="C4213" i="4"/>
  <c r="A4214" i="4"/>
  <c r="B4214" i="4"/>
  <c r="C4214" i="4"/>
  <c r="A4215" i="4"/>
  <c r="B4215" i="4"/>
  <c r="C4215" i="4"/>
  <c r="A4216" i="4"/>
  <c r="B4216" i="4"/>
  <c r="C4216" i="4"/>
  <c r="A4217" i="4"/>
  <c r="B4217" i="4"/>
  <c r="C4217" i="4"/>
  <c r="A4218" i="4"/>
  <c r="B4218" i="4"/>
  <c r="C4218" i="4"/>
  <c r="A4219" i="4"/>
  <c r="B4219" i="4"/>
  <c r="C4219" i="4"/>
  <c r="A4220" i="4"/>
  <c r="B4220" i="4"/>
  <c r="C4220" i="4"/>
  <c r="A4221" i="4"/>
  <c r="B4221" i="4"/>
  <c r="C4221" i="4"/>
  <c r="A4222" i="4"/>
  <c r="B4222" i="4"/>
  <c r="C4222" i="4"/>
  <c r="A4223" i="4"/>
  <c r="B4223" i="4"/>
  <c r="C4223" i="4"/>
  <c r="A4224" i="4"/>
  <c r="B4224" i="4"/>
  <c r="C4224" i="4"/>
  <c r="A4225" i="4"/>
  <c r="B4225" i="4"/>
  <c r="C4225" i="4"/>
  <c r="A4226" i="4"/>
  <c r="B4226" i="4"/>
  <c r="C4226" i="4"/>
  <c r="A4227" i="4"/>
  <c r="B4227" i="4"/>
  <c r="C4227" i="4"/>
  <c r="A4228" i="4"/>
  <c r="B4228" i="4"/>
  <c r="C4228" i="4"/>
  <c r="A4229" i="4"/>
  <c r="B4229" i="4"/>
  <c r="C4229" i="4"/>
  <c r="A4230" i="4"/>
  <c r="B4230" i="4"/>
  <c r="C4230" i="4"/>
  <c r="A4231" i="4"/>
  <c r="B4231" i="4"/>
  <c r="C4231" i="4"/>
  <c r="A4232" i="4"/>
  <c r="B4232" i="4"/>
  <c r="C4232" i="4"/>
  <c r="A4233" i="4"/>
  <c r="B4233" i="4"/>
  <c r="C4233" i="4"/>
  <c r="A4234" i="4"/>
  <c r="B4234" i="4"/>
  <c r="C4234" i="4"/>
  <c r="A4235" i="4"/>
  <c r="B4235" i="4"/>
  <c r="C4235" i="4"/>
  <c r="A4236" i="4"/>
  <c r="B4236" i="4"/>
  <c r="C4236" i="4"/>
  <c r="A4237" i="4"/>
  <c r="B4237" i="4"/>
  <c r="C4237" i="4"/>
  <c r="A4238" i="4"/>
  <c r="B4238" i="4"/>
  <c r="C4238" i="4"/>
  <c r="A4239" i="4"/>
  <c r="B4239" i="4"/>
  <c r="C4239" i="4"/>
  <c r="A4240" i="4"/>
  <c r="B4240" i="4"/>
  <c r="C4240" i="4"/>
  <c r="A4241" i="4"/>
  <c r="B4241" i="4"/>
  <c r="C4241" i="4"/>
  <c r="A4242" i="4"/>
  <c r="B4242" i="4"/>
  <c r="C4242" i="4"/>
  <c r="A4243" i="4"/>
  <c r="B4243" i="4"/>
  <c r="C4243" i="4"/>
  <c r="A4244" i="4"/>
  <c r="B4244" i="4"/>
  <c r="C4244" i="4"/>
  <c r="A4245" i="4"/>
  <c r="B4245" i="4"/>
  <c r="C4245" i="4"/>
  <c r="A4246" i="4"/>
  <c r="B4246" i="4"/>
  <c r="C4246" i="4"/>
  <c r="A4247" i="4"/>
  <c r="B4247" i="4"/>
  <c r="C4247" i="4"/>
  <c r="A4248" i="4"/>
  <c r="B4248" i="4"/>
  <c r="C4248" i="4"/>
  <c r="A4249" i="4"/>
  <c r="B4249" i="4"/>
  <c r="C4249" i="4"/>
  <c r="A4250" i="4"/>
  <c r="B4250" i="4"/>
  <c r="C4250" i="4"/>
  <c r="A4251" i="4"/>
  <c r="B4251" i="4"/>
  <c r="C4251" i="4"/>
  <c r="A4252" i="4"/>
  <c r="B4252" i="4"/>
  <c r="C4252" i="4"/>
  <c r="A4253" i="4"/>
  <c r="B4253" i="4"/>
  <c r="C4253" i="4"/>
  <c r="A4254" i="4"/>
  <c r="B4254" i="4"/>
  <c r="C4254" i="4"/>
  <c r="A4255" i="4"/>
  <c r="B4255" i="4"/>
  <c r="C4255" i="4"/>
  <c r="A4256" i="4"/>
  <c r="B4256" i="4"/>
  <c r="C4256" i="4"/>
  <c r="A4257" i="4"/>
  <c r="B4257" i="4"/>
  <c r="C4257" i="4"/>
  <c r="A4258" i="4"/>
  <c r="B4258" i="4"/>
  <c r="C4258" i="4"/>
  <c r="A4259" i="4"/>
  <c r="B4259" i="4"/>
  <c r="C4259" i="4"/>
  <c r="A4260" i="4"/>
  <c r="B4260" i="4"/>
  <c r="C4260" i="4"/>
  <c r="A4261" i="4"/>
  <c r="B4261" i="4"/>
  <c r="C4261" i="4"/>
  <c r="A4262" i="4"/>
  <c r="B4262" i="4"/>
  <c r="C4262" i="4"/>
  <c r="A4263" i="4"/>
  <c r="B4263" i="4"/>
  <c r="C4263" i="4"/>
  <c r="A4264" i="4"/>
  <c r="B4264" i="4"/>
  <c r="C4264" i="4"/>
  <c r="A4265" i="4"/>
  <c r="B4265" i="4"/>
  <c r="C4265" i="4"/>
  <c r="A4266" i="4"/>
  <c r="B4266" i="4"/>
  <c r="C4266" i="4"/>
  <c r="A4267" i="4"/>
  <c r="B4267" i="4"/>
  <c r="C4267" i="4"/>
  <c r="A4268" i="4"/>
  <c r="B4268" i="4"/>
  <c r="C4268" i="4"/>
  <c r="A4269" i="4"/>
  <c r="B4269" i="4"/>
  <c r="C4269" i="4"/>
  <c r="A4270" i="4"/>
  <c r="B4270" i="4"/>
  <c r="C4270" i="4"/>
  <c r="A4271" i="4"/>
  <c r="B4271" i="4"/>
  <c r="C4271" i="4"/>
  <c r="A4272" i="4"/>
  <c r="B4272" i="4"/>
  <c r="C4272" i="4"/>
  <c r="A4273" i="4"/>
  <c r="B4273" i="4"/>
  <c r="C4273" i="4"/>
  <c r="A4274" i="4"/>
  <c r="B4274" i="4"/>
  <c r="C4274" i="4"/>
  <c r="A4275" i="4"/>
  <c r="B4275" i="4"/>
  <c r="C4275" i="4"/>
  <c r="A4276" i="4"/>
  <c r="B4276" i="4"/>
  <c r="C4276" i="4"/>
  <c r="A4277" i="4"/>
  <c r="B4277" i="4"/>
  <c r="C4277" i="4"/>
  <c r="A4278" i="4"/>
  <c r="B4278" i="4"/>
  <c r="C4278" i="4"/>
  <c r="A4279" i="4"/>
  <c r="B4279" i="4"/>
  <c r="C4279" i="4"/>
  <c r="A4280" i="4"/>
  <c r="B4280" i="4"/>
  <c r="C4280" i="4"/>
  <c r="A4281" i="4"/>
  <c r="B4281" i="4"/>
  <c r="C4281" i="4"/>
  <c r="A4282" i="4"/>
  <c r="B4282" i="4"/>
  <c r="C4282" i="4"/>
  <c r="A4283" i="4"/>
  <c r="B4283" i="4"/>
  <c r="C4283" i="4"/>
  <c r="A4284" i="4"/>
  <c r="B4284" i="4"/>
  <c r="C4284" i="4"/>
  <c r="A4285" i="4"/>
  <c r="B4285" i="4"/>
  <c r="C4285" i="4"/>
  <c r="A4286" i="4"/>
  <c r="B4286" i="4"/>
  <c r="C4286" i="4"/>
  <c r="A4287" i="4"/>
  <c r="B4287" i="4"/>
  <c r="C4287" i="4"/>
  <c r="A4288" i="4"/>
  <c r="B4288" i="4"/>
  <c r="C4288" i="4"/>
  <c r="A4289" i="4"/>
  <c r="B4289" i="4"/>
  <c r="C4289" i="4"/>
  <c r="A4290" i="4"/>
  <c r="B4290" i="4"/>
  <c r="C4290" i="4"/>
  <c r="A4291" i="4"/>
  <c r="B4291" i="4"/>
  <c r="C4291" i="4"/>
  <c r="A4292" i="4"/>
  <c r="B4292" i="4"/>
  <c r="C4292" i="4"/>
  <c r="A4293" i="4"/>
  <c r="B4293" i="4"/>
  <c r="C4293" i="4"/>
  <c r="A4294" i="4"/>
  <c r="B4294" i="4"/>
  <c r="C4294" i="4"/>
  <c r="A4295" i="4"/>
  <c r="B4295" i="4"/>
  <c r="C4295" i="4"/>
  <c r="A4296" i="4"/>
  <c r="B4296" i="4"/>
  <c r="C4296" i="4"/>
  <c r="A4297" i="4"/>
  <c r="B4297" i="4"/>
  <c r="C4297" i="4"/>
  <c r="A4298" i="4"/>
  <c r="B4298" i="4"/>
  <c r="C4298" i="4"/>
  <c r="A4299" i="4"/>
  <c r="B4299" i="4"/>
  <c r="C4299" i="4"/>
  <c r="A4300" i="4"/>
  <c r="B4300" i="4"/>
  <c r="C4300" i="4"/>
  <c r="A4301" i="4"/>
  <c r="B4301" i="4"/>
  <c r="C4301" i="4"/>
  <c r="A4302" i="4"/>
  <c r="B4302" i="4"/>
  <c r="C4302" i="4"/>
  <c r="A4303" i="4"/>
  <c r="B4303" i="4"/>
  <c r="C4303" i="4"/>
  <c r="A4304" i="4"/>
  <c r="B4304" i="4"/>
  <c r="C4304" i="4"/>
  <c r="A4305" i="4"/>
  <c r="B4305" i="4"/>
  <c r="C4305" i="4"/>
  <c r="A4306" i="4"/>
  <c r="B4306" i="4"/>
  <c r="C4306" i="4"/>
  <c r="A4307" i="4"/>
  <c r="B4307" i="4"/>
  <c r="C4307" i="4"/>
  <c r="A4308" i="4"/>
  <c r="B4308" i="4"/>
  <c r="C4308" i="4"/>
  <c r="A4309" i="4"/>
  <c r="B4309" i="4"/>
  <c r="C4309" i="4"/>
  <c r="A4310" i="4"/>
  <c r="B4310" i="4"/>
  <c r="C4310" i="4"/>
  <c r="A4311" i="4"/>
  <c r="B4311" i="4"/>
  <c r="C4311" i="4"/>
  <c r="A4312" i="4"/>
  <c r="B4312" i="4"/>
  <c r="C4312" i="4"/>
  <c r="A4313" i="4"/>
  <c r="B4313" i="4"/>
  <c r="C4313" i="4"/>
  <c r="A4314" i="4"/>
  <c r="B4314" i="4"/>
  <c r="C4314" i="4"/>
  <c r="A4315" i="4"/>
  <c r="B4315" i="4"/>
  <c r="C4315" i="4"/>
  <c r="A4316" i="4"/>
  <c r="B4316" i="4"/>
  <c r="C4316" i="4"/>
  <c r="A4317" i="4"/>
  <c r="B4317" i="4"/>
  <c r="C4317" i="4"/>
  <c r="A4318" i="4"/>
  <c r="B4318" i="4"/>
  <c r="C4318" i="4"/>
  <c r="A4319" i="4"/>
  <c r="B4319" i="4"/>
  <c r="C4319" i="4"/>
  <c r="A4320" i="4"/>
  <c r="B4320" i="4"/>
  <c r="C4320" i="4"/>
  <c r="A4321" i="4"/>
  <c r="B4321" i="4"/>
  <c r="C4321" i="4"/>
  <c r="A4322" i="4"/>
  <c r="B4322" i="4"/>
  <c r="C4322" i="4"/>
  <c r="A4323" i="4"/>
  <c r="B4323" i="4"/>
  <c r="C4323" i="4"/>
  <c r="A4324" i="4"/>
  <c r="B4324" i="4"/>
  <c r="C4324" i="4"/>
  <c r="A4325" i="4"/>
  <c r="B4325" i="4"/>
  <c r="C4325" i="4"/>
  <c r="A4326" i="4"/>
  <c r="B4326" i="4"/>
  <c r="C4326" i="4"/>
  <c r="A4327" i="4"/>
  <c r="B4327" i="4"/>
  <c r="C4327" i="4"/>
  <c r="A4328" i="4"/>
  <c r="B4328" i="4"/>
  <c r="C4328" i="4"/>
  <c r="A4329" i="4"/>
  <c r="B4329" i="4"/>
  <c r="C4329" i="4"/>
  <c r="A4330" i="4"/>
  <c r="B4330" i="4"/>
  <c r="C4330" i="4"/>
  <c r="A4331" i="4"/>
  <c r="B4331" i="4"/>
  <c r="C4331" i="4"/>
  <c r="A4332" i="4"/>
  <c r="B4332" i="4"/>
  <c r="C4332" i="4"/>
  <c r="A4333" i="4"/>
  <c r="B4333" i="4"/>
  <c r="C4333" i="4"/>
  <c r="A4334" i="4"/>
  <c r="B4334" i="4"/>
  <c r="C4334" i="4"/>
  <c r="A4335" i="4"/>
  <c r="B4335" i="4"/>
  <c r="C4335" i="4"/>
  <c r="A4336" i="4"/>
  <c r="B4336" i="4"/>
  <c r="C4336" i="4"/>
  <c r="A4337" i="4"/>
  <c r="B4337" i="4"/>
  <c r="C4337" i="4"/>
  <c r="A4338" i="4"/>
  <c r="B4338" i="4"/>
  <c r="C4338" i="4"/>
  <c r="A4339" i="4"/>
  <c r="B4339" i="4"/>
  <c r="C4339" i="4"/>
  <c r="A4340" i="4"/>
  <c r="B4340" i="4"/>
  <c r="C4340" i="4"/>
  <c r="A4341" i="4"/>
  <c r="B4341" i="4"/>
  <c r="C4341" i="4"/>
  <c r="A4342" i="4"/>
  <c r="B4342" i="4"/>
  <c r="C4342" i="4"/>
  <c r="A4343" i="4"/>
  <c r="B4343" i="4"/>
  <c r="C4343" i="4"/>
  <c r="A4344" i="4"/>
  <c r="B4344" i="4"/>
  <c r="C4344" i="4"/>
  <c r="A4345" i="4"/>
  <c r="B4345" i="4"/>
  <c r="C4345" i="4"/>
  <c r="A4346" i="4"/>
  <c r="B4346" i="4"/>
  <c r="C4346" i="4"/>
  <c r="A4347" i="4"/>
  <c r="B4347" i="4"/>
  <c r="C4347" i="4"/>
  <c r="A4348" i="4"/>
  <c r="B4348" i="4"/>
  <c r="C4348" i="4"/>
  <c r="A4349" i="4"/>
  <c r="B4349" i="4"/>
  <c r="C4349" i="4"/>
  <c r="A4350" i="4"/>
  <c r="B4350" i="4"/>
  <c r="C4350" i="4"/>
  <c r="A4351" i="4"/>
  <c r="B4351" i="4"/>
  <c r="C4351" i="4"/>
  <c r="A4352" i="4"/>
  <c r="B4352" i="4"/>
  <c r="C4352" i="4"/>
  <c r="A4353" i="4"/>
  <c r="B4353" i="4"/>
  <c r="C4353" i="4"/>
  <c r="A4354" i="4"/>
  <c r="B4354" i="4"/>
  <c r="C4354" i="4"/>
  <c r="A4355" i="4"/>
  <c r="B4355" i="4"/>
  <c r="C4355" i="4"/>
  <c r="A4356" i="4"/>
  <c r="B4356" i="4"/>
  <c r="C4356" i="4"/>
  <c r="A4357" i="4"/>
  <c r="B4357" i="4"/>
  <c r="C4357" i="4"/>
  <c r="A4358" i="4"/>
  <c r="B4358" i="4"/>
  <c r="C4358" i="4"/>
  <c r="A4359" i="4"/>
  <c r="B4359" i="4"/>
  <c r="C4359" i="4"/>
  <c r="A4360" i="4"/>
  <c r="B4360" i="4"/>
  <c r="C4360" i="4"/>
  <c r="A4361" i="4"/>
  <c r="B4361" i="4"/>
  <c r="C4361" i="4"/>
  <c r="A4362" i="4"/>
  <c r="B4362" i="4"/>
  <c r="C4362" i="4"/>
  <c r="A4363" i="4"/>
  <c r="B4363" i="4"/>
  <c r="C4363" i="4"/>
  <c r="A4364" i="4"/>
  <c r="B4364" i="4"/>
  <c r="C4364" i="4"/>
  <c r="A4365" i="4"/>
  <c r="B4365" i="4"/>
  <c r="C4365" i="4"/>
  <c r="A4366" i="4"/>
  <c r="B4366" i="4"/>
  <c r="C4366" i="4"/>
  <c r="A4367" i="4"/>
  <c r="B4367" i="4"/>
  <c r="C4367" i="4"/>
  <c r="A4368" i="4"/>
  <c r="B4368" i="4"/>
  <c r="C4368" i="4"/>
  <c r="A4369" i="4"/>
  <c r="B4369" i="4"/>
  <c r="C4369" i="4"/>
  <c r="A4370" i="4"/>
  <c r="B4370" i="4"/>
  <c r="C4370" i="4"/>
  <c r="A4371" i="4"/>
  <c r="B4371" i="4"/>
  <c r="C4371" i="4"/>
  <c r="A4372" i="4"/>
  <c r="B4372" i="4"/>
  <c r="C4372" i="4"/>
  <c r="A4373" i="4"/>
  <c r="B4373" i="4"/>
  <c r="C4373" i="4"/>
  <c r="A4374" i="4"/>
  <c r="B4374" i="4"/>
  <c r="C4374" i="4"/>
  <c r="A4375" i="4"/>
  <c r="B4375" i="4"/>
  <c r="C4375" i="4"/>
  <c r="A4376" i="4"/>
  <c r="B4376" i="4"/>
  <c r="C4376" i="4"/>
  <c r="A4377" i="4"/>
  <c r="B4377" i="4"/>
  <c r="C4377" i="4"/>
  <c r="A4378" i="4"/>
  <c r="B4378" i="4"/>
  <c r="C4378" i="4"/>
  <c r="A4379" i="4"/>
  <c r="B4379" i="4"/>
  <c r="C4379" i="4"/>
  <c r="A4380" i="4"/>
  <c r="B4380" i="4"/>
  <c r="C4380" i="4"/>
  <c r="A4381" i="4"/>
  <c r="B4381" i="4"/>
  <c r="C4381" i="4"/>
  <c r="A4382" i="4"/>
  <c r="B4382" i="4"/>
  <c r="C4382" i="4"/>
  <c r="A4383" i="4"/>
  <c r="B4383" i="4"/>
  <c r="C4383" i="4"/>
  <c r="A4384" i="4"/>
  <c r="B4384" i="4"/>
  <c r="C4384" i="4"/>
  <c r="A4385" i="4"/>
  <c r="B4385" i="4"/>
  <c r="C4385" i="4"/>
  <c r="A4386" i="4"/>
  <c r="B4386" i="4"/>
  <c r="C4386" i="4"/>
  <c r="A4387" i="4"/>
  <c r="B4387" i="4"/>
  <c r="C4387" i="4"/>
  <c r="A4388" i="4"/>
  <c r="B4388" i="4"/>
  <c r="C4388" i="4"/>
  <c r="A4389" i="4"/>
  <c r="B4389" i="4"/>
  <c r="C4389" i="4"/>
  <c r="A4390" i="4"/>
  <c r="B4390" i="4"/>
  <c r="C4390" i="4"/>
  <c r="A4391" i="4"/>
  <c r="B4391" i="4"/>
  <c r="C4391" i="4"/>
  <c r="A4392" i="4"/>
  <c r="B4392" i="4"/>
  <c r="C4392" i="4"/>
  <c r="A4393" i="4"/>
  <c r="B4393" i="4"/>
  <c r="C4393" i="4"/>
  <c r="A4394" i="4"/>
  <c r="B4394" i="4"/>
  <c r="C4394" i="4"/>
  <c r="A4395" i="4"/>
  <c r="B4395" i="4"/>
  <c r="C4395" i="4"/>
  <c r="A4396" i="4"/>
  <c r="B4396" i="4"/>
  <c r="C4396" i="4"/>
  <c r="A4397" i="4"/>
  <c r="B4397" i="4"/>
  <c r="C4397" i="4"/>
  <c r="A4398" i="4"/>
  <c r="B4398" i="4"/>
  <c r="C4398" i="4"/>
  <c r="A4399" i="4"/>
  <c r="B4399" i="4"/>
  <c r="C4399" i="4"/>
  <c r="A4400" i="4"/>
  <c r="B4400" i="4"/>
  <c r="C4400" i="4"/>
  <c r="A4401" i="4"/>
  <c r="B4401" i="4"/>
  <c r="C4401" i="4"/>
  <c r="A4402" i="4"/>
  <c r="B4402" i="4"/>
  <c r="C4402" i="4"/>
  <c r="A4403" i="4"/>
  <c r="B4403" i="4"/>
  <c r="C4403" i="4"/>
  <c r="A4404" i="4"/>
  <c r="B4404" i="4"/>
  <c r="C4404" i="4"/>
  <c r="A4405" i="4"/>
  <c r="B4405" i="4"/>
  <c r="C4405" i="4"/>
  <c r="A4406" i="4"/>
  <c r="B4406" i="4"/>
  <c r="C4406" i="4"/>
  <c r="A4407" i="4"/>
  <c r="B4407" i="4"/>
  <c r="C4407" i="4"/>
  <c r="A4408" i="4"/>
  <c r="B4408" i="4"/>
  <c r="C4408" i="4"/>
  <c r="A4409" i="4"/>
  <c r="B4409" i="4"/>
  <c r="C4409" i="4"/>
  <c r="A4410" i="4"/>
  <c r="B4410" i="4"/>
  <c r="C4410" i="4"/>
  <c r="A4411" i="4"/>
  <c r="B4411" i="4"/>
  <c r="C4411" i="4"/>
  <c r="A4412" i="4"/>
  <c r="B4412" i="4"/>
  <c r="C4412" i="4"/>
  <c r="A4413" i="4"/>
  <c r="B4413" i="4"/>
  <c r="C4413" i="4"/>
  <c r="A4414" i="4"/>
  <c r="B4414" i="4"/>
  <c r="C4414" i="4"/>
  <c r="A4415" i="4"/>
  <c r="B4415" i="4"/>
  <c r="C4415" i="4"/>
  <c r="A4416" i="4"/>
  <c r="B4416" i="4"/>
  <c r="C4416" i="4"/>
  <c r="A4417" i="4"/>
  <c r="B4417" i="4"/>
  <c r="C4417" i="4"/>
  <c r="A4418" i="4"/>
  <c r="B4418" i="4"/>
  <c r="C4418" i="4"/>
  <c r="A4419" i="4"/>
  <c r="B4419" i="4"/>
  <c r="C4419" i="4"/>
  <c r="A4420" i="4"/>
  <c r="B4420" i="4"/>
  <c r="C4420" i="4"/>
  <c r="A4421" i="4"/>
  <c r="B4421" i="4"/>
  <c r="C4421" i="4"/>
  <c r="A4422" i="4"/>
  <c r="B4422" i="4"/>
  <c r="C4422" i="4"/>
  <c r="A4423" i="4"/>
  <c r="B4423" i="4"/>
  <c r="C4423" i="4"/>
  <c r="A4424" i="4"/>
  <c r="B4424" i="4"/>
  <c r="C4424" i="4"/>
  <c r="A4425" i="4"/>
  <c r="B4425" i="4"/>
  <c r="C4425" i="4"/>
  <c r="A4426" i="4"/>
  <c r="B4426" i="4"/>
  <c r="C4426" i="4"/>
  <c r="A4427" i="4"/>
  <c r="B4427" i="4"/>
  <c r="C4427" i="4"/>
  <c r="A4428" i="4"/>
  <c r="B4428" i="4"/>
  <c r="C4428" i="4"/>
  <c r="A4429" i="4"/>
  <c r="B4429" i="4"/>
  <c r="C4429" i="4"/>
  <c r="A4430" i="4"/>
  <c r="B4430" i="4"/>
  <c r="C4430" i="4"/>
  <c r="A4431" i="4"/>
  <c r="B4431" i="4"/>
  <c r="C4431" i="4"/>
  <c r="A4432" i="4"/>
  <c r="B4432" i="4"/>
  <c r="C4432" i="4"/>
  <c r="A4433" i="4"/>
  <c r="B4433" i="4"/>
  <c r="C4433" i="4"/>
  <c r="A4434" i="4"/>
  <c r="B4434" i="4"/>
  <c r="C4434" i="4"/>
  <c r="A4435" i="4"/>
  <c r="B4435" i="4"/>
  <c r="C4435" i="4"/>
  <c r="A4436" i="4"/>
  <c r="B4436" i="4"/>
  <c r="C4436" i="4"/>
  <c r="A4437" i="4"/>
  <c r="B4437" i="4"/>
  <c r="C4437" i="4"/>
  <c r="A4438" i="4"/>
  <c r="B4438" i="4"/>
  <c r="C4438" i="4"/>
  <c r="A4439" i="4"/>
  <c r="B4439" i="4"/>
  <c r="C4439" i="4"/>
  <c r="A4440" i="4"/>
  <c r="B4440" i="4"/>
  <c r="C4440" i="4"/>
  <c r="A4441" i="4"/>
  <c r="B4441" i="4"/>
  <c r="C4441" i="4"/>
  <c r="A4442" i="4"/>
  <c r="B4442" i="4"/>
  <c r="C4442" i="4"/>
  <c r="A4443" i="4"/>
  <c r="B4443" i="4"/>
  <c r="C4443" i="4"/>
  <c r="A4444" i="4"/>
  <c r="B4444" i="4"/>
  <c r="C4444" i="4"/>
  <c r="A4445" i="4"/>
  <c r="B4445" i="4"/>
  <c r="C4445" i="4"/>
  <c r="A4446" i="4"/>
  <c r="B4446" i="4"/>
  <c r="C4446" i="4"/>
  <c r="A4447" i="4"/>
  <c r="B4447" i="4"/>
  <c r="C4447" i="4"/>
  <c r="A4448" i="4"/>
  <c r="B4448" i="4"/>
  <c r="C4448" i="4"/>
  <c r="A4449" i="4"/>
  <c r="B4449" i="4"/>
  <c r="C4449" i="4"/>
  <c r="A4450" i="4"/>
  <c r="B4450" i="4"/>
  <c r="C4450" i="4"/>
  <c r="A4451" i="4"/>
  <c r="B4451" i="4"/>
  <c r="C4451" i="4"/>
  <c r="A4452" i="4"/>
  <c r="B4452" i="4"/>
  <c r="C4452" i="4"/>
  <c r="A4453" i="4"/>
  <c r="B4453" i="4"/>
  <c r="C4453" i="4"/>
  <c r="A4454" i="4"/>
  <c r="B4454" i="4"/>
  <c r="C4454" i="4"/>
  <c r="A4455" i="4"/>
  <c r="B4455" i="4"/>
  <c r="C4455" i="4"/>
  <c r="A4456" i="4"/>
  <c r="B4456" i="4"/>
  <c r="C4456" i="4"/>
  <c r="A4457" i="4"/>
  <c r="B4457" i="4"/>
  <c r="C4457" i="4"/>
  <c r="A4458" i="4"/>
  <c r="B4458" i="4"/>
  <c r="C4458" i="4"/>
  <c r="A4459" i="4"/>
  <c r="B4459" i="4"/>
  <c r="C4459" i="4"/>
  <c r="A4460" i="4"/>
  <c r="B4460" i="4"/>
  <c r="C4460" i="4"/>
  <c r="A4461" i="4"/>
  <c r="B4461" i="4"/>
  <c r="C4461" i="4"/>
  <c r="A4462" i="4"/>
  <c r="B4462" i="4"/>
  <c r="C4462" i="4"/>
  <c r="A4463" i="4"/>
  <c r="B4463" i="4"/>
  <c r="C4463" i="4"/>
  <c r="A4464" i="4"/>
  <c r="B4464" i="4"/>
  <c r="C4464" i="4"/>
  <c r="A4465" i="4"/>
  <c r="B4465" i="4"/>
  <c r="C4465" i="4"/>
  <c r="A4466" i="4"/>
  <c r="B4466" i="4"/>
  <c r="C4466" i="4"/>
  <c r="A4467" i="4"/>
  <c r="B4467" i="4"/>
  <c r="C4467" i="4"/>
  <c r="A4468" i="4"/>
  <c r="B4468" i="4"/>
  <c r="C4468" i="4"/>
  <c r="A4469" i="4"/>
  <c r="B4469" i="4"/>
  <c r="C4469" i="4"/>
  <c r="A4470" i="4"/>
  <c r="B4470" i="4"/>
  <c r="C4470" i="4"/>
  <c r="A4471" i="4"/>
  <c r="B4471" i="4"/>
  <c r="C4471" i="4"/>
  <c r="A4472" i="4"/>
  <c r="B4472" i="4"/>
  <c r="C4472" i="4"/>
  <c r="A4473" i="4"/>
  <c r="B4473" i="4"/>
  <c r="C4473" i="4"/>
  <c r="A4474" i="4"/>
  <c r="B4474" i="4"/>
  <c r="C4474" i="4"/>
  <c r="A4475" i="4"/>
  <c r="B4475" i="4"/>
  <c r="C4475" i="4"/>
  <c r="A4476" i="4"/>
  <c r="B4476" i="4"/>
  <c r="C4476" i="4"/>
  <c r="A4477" i="4"/>
  <c r="B4477" i="4"/>
  <c r="C4477" i="4"/>
  <c r="A4478" i="4"/>
  <c r="B4478" i="4"/>
  <c r="C4478" i="4"/>
  <c r="A4479" i="4"/>
  <c r="B4479" i="4"/>
  <c r="C4479" i="4"/>
  <c r="A4480" i="4"/>
  <c r="B4480" i="4"/>
  <c r="C4480" i="4"/>
  <c r="A4481" i="4"/>
  <c r="B4481" i="4"/>
  <c r="C4481" i="4"/>
  <c r="A4482" i="4"/>
  <c r="B4482" i="4"/>
  <c r="C4482" i="4"/>
  <c r="A4483" i="4"/>
  <c r="B4483" i="4"/>
  <c r="C4483" i="4"/>
  <c r="A4484" i="4"/>
  <c r="B4484" i="4"/>
  <c r="C4484" i="4"/>
  <c r="A4485" i="4"/>
  <c r="B4485" i="4"/>
  <c r="C4485" i="4"/>
  <c r="A4486" i="4"/>
  <c r="B4486" i="4"/>
  <c r="C4486" i="4"/>
  <c r="A4487" i="4"/>
  <c r="B4487" i="4"/>
  <c r="C4487" i="4"/>
  <c r="A4488" i="4"/>
  <c r="B4488" i="4"/>
  <c r="C4488" i="4"/>
  <c r="A4489" i="4"/>
  <c r="B4489" i="4"/>
  <c r="C4489" i="4"/>
  <c r="A4490" i="4"/>
  <c r="B4490" i="4"/>
  <c r="C4490" i="4"/>
  <c r="A4491" i="4"/>
  <c r="B4491" i="4"/>
  <c r="C4491" i="4"/>
  <c r="A4492" i="4"/>
  <c r="B4492" i="4"/>
  <c r="C4492" i="4"/>
  <c r="A4493" i="4"/>
  <c r="B4493" i="4"/>
  <c r="C4493" i="4"/>
  <c r="A4494" i="4"/>
  <c r="B4494" i="4"/>
  <c r="C4494" i="4"/>
  <c r="A4495" i="4"/>
  <c r="B4495" i="4"/>
  <c r="C4495" i="4"/>
  <c r="A4496" i="4"/>
  <c r="B4496" i="4"/>
  <c r="C4496" i="4"/>
  <c r="A4497" i="4"/>
  <c r="B4497" i="4"/>
  <c r="C4497" i="4"/>
  <c r="A4498" i="4"/>
  <c r="B4498" i="4"/>
  <c r="C4498" i="4"/>
  <c r="A4499" i="4"/>
  <c r="B4499" i="4"/>
  <c r="C4499" i="4"/>
  <c r="A4500" i="4"/>
  <c r="B4500" i="4"/>
  <c r="C4500" i="4"/>
  <c r="A4501" i="4"/>
  <c r="B4501" i="4"/>
  <c r="C4501" i="4"/>
  <c r="A4502" i="4"/>
  <c r="B4502" i="4"/>
  <c r="C4502" i="4"/>
  <c r="A4503" i="4"/>
  <c r="B4503" i="4"/>
  <c r="C4503" i="4"/>
  <c r="A4504" i="4"/>
  <c r="B4504" i="4"/>
  <c r="C4504" i="4"/>
  <c r="A4505" i="4"/>
  <c r="B4505" i="4"/>
  <c r="C4505" i="4"/>
  <c r="A4506" i="4"/>
  <c r="B4506" i="4"/>
  <c r="C4506" i="4"/>
  <c r="A4507" i="4"/>
  <c r="B4507" i="4"/>
  <c r="C4507" i="4"/>
  <c r="A4508" i="4"/>
  <c r="B4508" i="4"/>
  <c r="C4508" i="4"/>
  <c r="A4509" i="4"/>
  <c r="B4509" i="4"/>
  <c r="C4509" i="4"/>
  <c r="A4510" i="4"/>
  <c r="B4510" i="4"/>
  <c r="C4510" i="4"/>
  <c r="A4511" i="4"/>
  <c r="B4511" i="4"/>
  <c r="C4511" i="4"/>
  <c r="A4512" i="4"/>
  <c r="B4512" i="4"/>
  <c r="C4512" i="4"/>
  <c r="A4513" i="4"/>
  <c r="B4513" i="4"/>
  <c r="C4513" i="4"/>
  <c r="A4514" i="4"/>
  <c r="B4514" i="4"/>
  <c r="C4514" i="4"/>
  <c r="A4515" i="4"/>
  <c r="B4515" i="4"/>
  <c r="C4515" i="4"/>
  <c r="A4516" i="4"/>
  <c r="B4516" i="4"/>
  <c r="C4516" i="4"/>
  <c r="A4517" i="4"/>
  <c r="B4517" i="4"/>
  <c r="C4517" i="4"/>
  <c r="A4518" i="4"/>
  <c r="B4518" i="4"/>
  <c r="C4518" i="4"/>
  <c r="A4519" i="4"/>
  <c r="B4519" i="4"/>
  <c r="C4519" i="4"/>
  <c r="A4520" i="4"/>
  <c r="B4520" i="4"/>
  <c r="C4520" i="4"/>
  <c r="A4521" i="4"/>
  <c r="B4521" i="4"/>
  <c r="C4521" i="4"/>
  <c r="A4522" i="4"/>
  <c r="B4522" i="4"/>
  <c r="C4522" i="4"/>
  <c r="A4523" i="4"/>
  <c r="B4523" i="4"/>
  <c r="C4523" i="4"/>
  <c r="A4524" i="4"/>
  <c r="B4524" i="4"/>
  <c r="C4524" i="4"/>
  <c r="A4525" i="4"/>
  <c r="B4525" i="4"/>
  <c r="C4525" i="4"/>
  <c r="A4526" i="4"/>
  <c r="B4526" i="4"/>
  <c r="C4526" i="4"/>
  <c r="A4527" i="4"/>
  <c r="B4527" i="4"/>
  <c r="C4527" i="4"/>
  <c r="A4528" i="4"/>
  <c r="B4528" i="4"/>
  <c r="C4528" i="4"/>
  <c r="A4529" i="4"/>
  <c r="B4529" i="4"/>
  <c r="C4529" i="4"/>
  <c r="A4530" i="4"/>
  <c r="B4530" i="4"/>
  <c r="C4530" i="4"/>
  <c r="A4531" i="4"/>
  <c r="B4531" i="4"/>
  <c r="C4531" i="4"/>
  <c r="A4532" i="4"/>
  <c r="B4532" i="4"/>
  <c r="C4532" i="4"/>
  <c r="A4533" i="4"/>
  <c r="B4533" i="4"/>
  <c r="C4533" i="4"/>
  <c r="A4534" i="4"/>
  <c r="B4534" i="4"/>
  <c r="C4534" i="4"/>
  <c r="A4535" i="4"/>
  <c r="B4535" i="4"/>
  <c r="C4535" i="4"/>
  <c r="A4536" i="4"/>
  <c r="B4536" i="4"/>
  <c r="C4536" i="4"/>
  <c r="A4537" i="4"/>
  <c r="B4537" i="4"/>
  <c r="C4537" i="4"/>
  <c r="A4538" i="4"/>
  <c r="B4538" i="4"/>
  <c r="C4538" i="4"/>
  <c r="A4539" i="4"/>
  <c r="B4539" i="4"/>
  <c r="C4539" i="4"/>
  <c r="A4540" i="4"/>
  <c r="B4540" i="4"/>
  <c r="C4540" i="4"/>
  <c r="A4541" i="4"/>
  <c r="B4541" i="4"/>
  <c r="C4541" i="4"/>
  <c r="A4542" i="4"/>
  <c r="B4542" i="4"/>
  <c r="C4542" i="4"/>
  <c r="A4543" i="4"/>
  <c r="B4543" i="4"/>
  <c r="C4543" i="4"/>
  <c r="A4544" i="4"/>
  <c r="B4544" i="4"/>
  <c r="C4544" i="4"/>
  <c r="A4545" i="4"/>
  <c r="B4545" i="4"/>
  <c r="C4545" i="4"/>
  <c r="A4546" i="4"/>
  <c r="B4546" i="4"/>
  <c r="C4546" i="4"/>
  <c r="A4547" i="4"/>
  <c r="B4547" i="4"/>
  <c r="C4547" i="4"/>
  <c r="A4548" i="4"/>
  <c r="B4548" i="4"/>
  <c r="C4548" i="4"/>
  <c r="A4549" i="4"/>
  <c r="B4549" i="4"/>
  <c r="C4549" i="4"/>
  <c r="A4550" i="4"/>
  <c r="B4550" i="4"/>
  <c r="C4550" i="4"/>
  <c r="A4551" i="4"/>
  <c r="B4551" i="4"/>
  <c r="C4551" i="4"/>
  <c r="A4552" i="4"/>
  <c r="B4552" i="4"/>
  <c r="C4552" i="4"/>
  <c r="A4553" i="4"/>
  <c r="B4553" i="4"/>
  <c r="C4553" i="4"/>
  <c r="A4554" i="4"/>
  <c r="B4554" i="4"/>
  <c r="C4554" i="4"/>
  <c r="A4555" i="4"/>
  <c r="B4555" i="4"/>
  <c r="C4555" i="4"/>
  <c r="A4556" i="4"/>
  <c r="B4556" i="4"/>
  <c r="C4556" i="4"/>
  <c r="A4557" i="4"/>
  <c r="B4557" i="4"/>
  <c r="C4557" i="4"/>
  <c r="A4558" i="4"/>
  <c r="B4558" i="4"/>
  <c r="C4558" i="4"/>
  <c r="A4559" i="4"/>
  <c r="B4559" i="4"/>
  <c r="C4559" i="4"/>
  <c r="A4560" i="4"/>
  <c r="B4560" i="4"/>
  <c r="C4560" i="4"/>
  <c r="A4561" i="4"/>
  <c r="B4561" i="4"/>
  <c r="C4561" i="4"/>
  <c r="A4562" i="4"/>
  <c r="B4562" i="4"/>
  <c r="C4562" i="4"/>
  <c r="A4563" i="4"/>
  <c r="B4563" i="4"/>
  <c r="C4563" i="4"/>
  <c r="A4564" i="4"/>
  <c r="B4564" i="4"/>
  <c r="C4564" i="4"/>
  <c r="A4565" i="4"/>
  <c r="B4565" i="4"/>
  <c r="C4565" i="4"/>
  <c r="A4566" i="4"/>
  <c r="B4566" i="4"/>
  <c r="C4566" i="4"/>
  <c r="A4567" i="4"/>
  <c r="B4567" i="4"/>
  <c r="C4567" i="4"/>
  <c r="A4568" i="4"/>
  <c r="B4568" i="4"/>
  <c r="C4568" i="4"/>
  <c r="A4569" i="4"/>
  <c r="B4569" i="4"/>
  <c r="C4569" i="4"/>
  <c r="A4570" i="4"/>
  <c r="B4570" i="4"/>
  <c r="C4570" i="4"/>
  <c r="A4571" i="4"/>
  <c r="B4571" i="4"/>
  <c r="C4571" i="4"/>
  <c r="A4572" i="4"/>
  <c r="B4572" i="4"/>
  <c r="C4572" i="4"/>
  <c r="A4573" i="4"/>
  <c r="B4573" i="4"/>
  <c r="C4573" i="4"/>
  <c r="A4574" i="4"/>
  <c r="B4574" i="4"/>
  <c r="C4574" i="4"/>
  <c r="A4575" i="4"/>
  <c r="B4575" i="4"/>
  <c r="C4575" i="4"/>
  <c r="A4576" i="4"/>
  <c r="B4576" i="4"/>
  <c r="C4576" i="4"/>
  <c r="A4577" i="4"/>
  <c r="B4577" i="4"/>
  <c r="C4577" i="4"/>
  <c r="A4578" i="4"/>
  <c r="B4578" i="4"/>
  <c r="C4578" i="4"/>
  <c r="A4579" i="4"/>
  <c r="B4579" i="4"/>
  <c r="C4579" i="4"/>
  <c r="A4580" i="4"/>
  <c r="B4580" i="4"/>
  <c r="C4580" i="4"/>
  <c r="A4581" i="4"/>
  <c r="B4581" i="4"/>
  <c r="C4581" i="4"/>
  <c r="A4582" i="4"/>
  <c r="B4582" i="4"/>
  <c r="C4582" i="4"/>
  <c r="A4583" i="4"/>
  <c r="B4583" i="4"/>
  <c r="C4583" i="4"/>
  <c r="A4584" i="4"/>
  <c r="B4584" i="4"/>
  <c r="C4584" i="4"/>
  <c r="A4585" i="4"/>
  <c r="B4585" i="4"/>
  <c r="C4585" i="4"/>
  <c r="A4586" i="4"/>
  <c r="B4586" i="4"/>
  <c r="C4586" i="4"/>
  <c r="A4587" i="4"/>
  <c r="B4587" i="4"/>
  <c r="C4587" i="4"/>
  <c r="A4588" i="4"/>
  <c r="B4588" i="4"/>
  <c r="C4588" i="4"/>
  <c r="A4589" i="4"/>
  <c r="B4589" i="4"/>
  <c r="C4589" i="4"/>
  <c r="A4590" i="4"/>
  <c r="B4590" i="4"/>
  <c r="C4590" i="4"/>
  <c r="A4591" i="4"/>
  <c r="B4591" i="4"/>
  <c r="C4591" i="4"/>
  <c r="A4592" i="4"/>
  <c r="B4592" i="4"/>
  <c r="C4592" i="4"/>
  <c r="A4593" i="4"/>
  <c r="B4593" i="4"/>
  <c r="C4593" i="4"/>
  <c r="A4594" i="4"/>
  <c r="B4594" i="4"/>
  <c r="C4594" i="4"/>
  <c r="A4595" i="4"/>
  <c r="B4595" i="4"/>
  <c r="C4595" i="4"/>
  <c r="A4596" i="4"/>
  <c r="B4596" i="4"/>
  <c r="C4596" i="4"/>
  <c r="A4597" i="4"/>
  <c r="B4597" i="4"/>
  <c r="C4597" i="4"/>
  <c r="A4598" i="4"/>
  <c r="B4598" i="4"/>
  <c r="C4598" i="4"/>
  <c r="A4599" i="4"/>
  <c r="B4599" i="4"/>
  <c r="C4599" i="4"/>
  <c r="A4600" i="4"/>
  <c r="B4600" i="4"/>
  <c r="C4600" i="4"/>
  <c r="A4601" i="4"/>
  <c r="B4601" i="4"/>
  <c r="C4601" i="4"/>
  <c r="A4602" i="4"/>
  <c r="B4602" i="4"/>
  <c r="C4602" i="4"/>
  <c r="A4603" i="4"/>
  <c r="B4603" i="4"/>
  <c r="C4603" i="4"/>
  <c r="A4604" i="4"/>
  <c r="B4604" i="4"/>
  <c r="C4604" i="4"/>
  <c r="A4605" i="4"/>
  <c r="B4605" i="4"/>
  <c r="C4605" i="4"/>
  <c r="A4606" i="4"/>
  <c r="B4606" i="4"/>
  <c r="C4606" i="4"/>
  <c r="A4607" i="4"/>
  <c r="B4607" i="4"/>
  <c r="C4607" i="4"/>
  <c r="A4608" i="4"/>
  <c r="B4608" i="4"/>
  <c r="C4608" i="4"/>
  <c r="A4609" i="4"/>
  <c r="B4609" i="4"/>
  <c r="C4609" i="4"/>
  <c r="A4610" i="4"/>
  <c r="B4610" i="4"/>
  <c r="C4610" i="4"/>
  <c r="A4611" i="4"/>
  <c r="B4611" i="4"/>
  <c r="C4611" i="4"/>
  <c r="A4612" i="4"/>
  <c r="B4612" i="4"/>
  <c r="C4612" i="4"/>
  <c r="A4613" i="4"/>
  <c r="B4613" i="4"/>
  <c r="C4613" i="4"/>
  <c r="A4614" i="4"/>
  <c r="B4614" i="4"/>
  <c r="C4614" i="4"/>
  <c r="A4615" i="4"/>
  <c r="B4615" i="4"/>
  <c r="C4615" i="4"/>
  <c r="A4616" i="4"/>
  <c r="B4616" i="4"/>
  <c r="C4616" i="4"/>
  <c r="A4617" i="4"/>
  <c r="B4617" i="4"/>
  <c r="C4617" i="4"/>
  <c r="A4618" i="4"/>
  <c r="B4618" i="4"/>
  <c r="C4618" i="4"/>
  <c r="A4619" i="4"/>
  <c r="B4619" i="4"/>
  <c r="C4619" i="4"/>
  <c r="A4620" i="4"/>
  <c r="B4620" i="4"/>
  <c r="C4620" i="4"/>
  <c r="A4621" i="4"/>
  <c r="B4621" i="4"/>
  <c r="C4621" i="4"/>
  <c r="A4622" i="4"/>
  <c r="B4622" i="4"/>
  <c r="C4622" i="4"/>
  <c r="A4623" i="4"/>
  <c r="B4623" i="4"/>
  <c r="C4623" i="4"/>
  <c r="A4624" i="4"/>
  <c r="B4624" i="4"/>
  <c r="C4624" i="4"/>
  <c r="A4625" i="4"/>
  <c r="B4625" i="4"/>
  <c r="C4625" i="4"/>
  <c r="A4626" i="4"/>
  <c r="B4626" i="4"/>
  <c r="C4626" i="4"/>
  <c r="A4627" i="4"/>
  <c r="B4627" i="4"/>
  <c r="C4627" i="4"/>
  <c r="A4628" i="4"/>
  <c r="B4628" i="4"/>
  <c r="C4628" i="4"/>
  <c r="A4629" i="4"/>
  <c r="B4629" i="4"/>
  <c r="C4629" i="4"/>
  <c r="A4630" i="4"/>
  <c r="B4630" i="4"/>
  <c r="C4630" i="4"/>
  <c r="A4631" i="4"/>
  <c r="B4631" i="4"/>
  <c r="C4631" i="4"/>
  <c r="A4632" i="4"/>
  <c r="B4632" i="4"/>
  <c r="C4632" i="4"/>
  <c r="A4633" i="4"/>
  <c r="B4633" i="4"/>
  <c r="C4633" i="4"/>
  <c r="A4634" i="4"/>
  <c r="B4634" i="4"/>
  <c r="C4634" i="4"/>
  <c r="A4635" i="4"/>
  <c r="B4635" i="4"/>
  <c r="C4635" i="4"/>
  <c r="A4636" i="4"/>
  <c r="B4636" i="4"/>
  <c r="C4636" i="4"/>
  <c r="A4637" i="4"/>
  <c r="B4637" i="4"/>
  <c r="C4637" i="4"/>
  <c r="A4638" i="4"/>
  <c r="B4638" i="4"/>
  <c r="C4638" i="4"/>
  <c r="A4639" i="4"/>
  <c r="B4639" i="4"/>
  <c r="C4639" i="4"/>
  <c r="A4640" i="4"/>
  <c r="B4640" i="4"/>
  <c r="C4640" i="4"/>
  <c r="A4641" i="4"/>
  <c r="B4641" i="4"/>
  <c r="C4641" i="4"/>
  <c r="A4642" i="4"/>
  <c r="B4642" i="4"/>
  <c r="C4642" i="4"/>
  <c r="A4643" i="4"/>
  <c r="B4643" i="4"/>
  <c r="C4643" i="4"/>
  <c r="A4644" i="4"/>
  <c r="B4644" i="4"/>
  <c r="C4644" i="4"/>
  <c r="A4645" i="4"/>
  <c r="B4645" i="4"/>
  <c r="C4645" i="4"/>
  <c r="A4646" i="4"/>
  <c r="B4646" i="4"/>
  <c r="C4646" i="4"/>
  <c r="A4647" i="4"/>
  <c r="B4647" i="4"/>
  <c r="C4647" i="4"/>
  <c r="A4648" i="4"/>
  <c r="B4648" i="4"/>
  <c r="C4648" i="4"/>
  <c r="A4649" i="4"/>
  <c r="B4649" i="4"/>
  <c r="C4649" i="4"/>
  <c r="A4650" i="4"/>
  <c r="B4650" i="4"/>
  <c r="C4650" i="4"/>
  <c r="A4651" i="4"/>
  <c r="B4651" i="4"/>
  <c r="C4651" i="4"/>
  <c r="A4652" i="4"/>
  <c r="B4652" i="4"/>
  <c r="C4652" i="4"/>
  <c r="A4653" i="4"/>
  <c r="B4653" i="4"/>
  <c r="C4653" i="4"/>
  <c r="A4654" i="4"/>
  <c r="B4654" i="4"/>
  <c r="C4654" i="4"/>
  <c r="A4655" i="4"/>
  <c r="B4655" i="4"/>
  <c r="C4655" i="4"/>
  <c r="A4656" i="4"/>
  <c r="B4656" i="4"/>
  <c r="C4656" i="4"/>
  <c r="A4657" i="4"/>
  <c r="B4657" i="4"/>
  <c r="C4657" i="4"/>
  <c r="A4658" i="4"/>
  <c r="B4658" i="4"/>
  <c r="C4658" i="4"/>
  <c r="A4659" i="4"/>
  <c r="B4659" i="4"/>
  <c r="C4659" i="4"/>
  <c r="A4660" i="4"/>
  <c r="B4660" i="4"/>
  <c r="C4660" i="4"/>
  <c r="A4661" i="4"/>
  <c r="B4661" i="4"/>
  <c r="C4661" i="4"/>
  <c r="A4662" i="4"/>
  <c r="B4662" i="4"/>
  <c r="C4662" i="4"/>
  <c r="A4663" i="4"/>
  <c r="B4663" i="4"/>
  <c r="C4663" i="4"/>
  <c r="A4664" i="4"/>
  <c r="B4664" i="4"/>
  <c r="C4664" i="4"/>
  <c r="A4665" i="4"/>
  <c r="B4665" i="4"/>
  <c r="C4665" i="4"/>
  <c r="A4666" i="4"/>
  <c r="B4666" i="4"/>
  <c r="C4666" i="4"/>
  <c r="A4667" i="4"/>
  <c r="B4667" i="4"/>
  <c r="C4667" i="4"/>
  <c r="A4668" i="4"/>
  <c r="B4668" i="4"/>
  <c r="C4668" i="4"/>
  <c r="A4669" i="4"/>
  <c r="B4669" i="4"/>
  <c r="C4669" i="4"/>
  <c r="A4670" i="4"/>
  <c r="B4670" i="4"/>
  <c r="C4670" i="4"/>
  <c r="A4671" i="4"/>
  <c r="B4671" i="4"/>
  <c r="C4671" i="4"/>
  <c r="A4672" i="4"/>
  <c r="B4672" i="4"/>
  <c r="C4672" i="4"/>
  <c r="A4673" i="4"/>
  <c r="B4673" i="4"/>
  <c r="C4673" i="4"/>
  <c r="A4674" i="4"/>
  <c r="B4674" i="4"/>
  <c r="C4674" i="4"/>
  <c r="A4675" i="4"/>
  <c r="B4675" i="4"/>
  <c r="C4675" i="4"/>
  <c r="A4676" i="4"/>
  <c r="B4676" i="4"/>
  <c r="C4676" i="4"/>
  <c r="A4677" i="4"/>
  <c r="B4677" i="4"/>
  <c r="C4677" i="4"/>
  <c r="A4678" i="4"/>
  <c r="B4678" i="4"/>
  <c r="C4678" i="4"/>
  <c r="A4679" i="4"/>
  <c r="B4679" i="4"/>
  <c r="C4679" i="4"/>
  <c r="A4680" i="4"/>
  <c r="B4680" i="4"/>
  <c r="C4680" i="4"/>
  <c r="A4681" i="4"/>
  <c r="B4681" i="4"/>
  <c r="C4681" i="4"/>
  <c r="A4682" i="4"/>
  <c r="B4682" i="4"/>
  <c r="C4682" i="4"/>
  <c r="A4683" i="4"/>
  <c r="B4683" i="4"/>
  <c r="C4683" i="4"/>
  <c r="A4684" i="4"/>
  <c r="B4684" i="4"/>
  <c r="C4684" i="4"/>
  <c r="A4685" i="4"/>
  <c r="B4685" i="4"/>
  <c r="C4685" i="4"/>
  <c r="A4686" i="4"/>
  <c r="B4686" i="4"/>
  <c r="C4686" i="4"/>
  <c r="A4687" i="4"/>
  <c r="B4687" i="4"/>
  <c r="C4687" i="4"/>
  <c r="A4688" i="4"/>
  <c r="B4688" i="4"/>
  <c r="C4688" i="4"/>
  <c r="A4689" i="4"/>
  <c r="B4689" i="4"/>
  <c r="C4689" i="4"/>
  <c r="A4690" i="4"/>
  <c r="B4690" i="4"/>
  <c r="C4690" i="4"/>
  <c r="A4691" i="4"/>
  <c r="B4691" i="4"/>
  <c r="C4691" i="4"/>
  <c r="A4692" i="4"/>
  <c r="B4692" i="4"/>
  <c r="C4692" i="4"/>
  <c r="A4693" i="4"/>
  <c r="B4693" i="4"/>
  <c r="C4693" i="4"/>
  <c r="A4694" i="4"/>
  <c r="B4694" i="4"/>
  <c r="C4694" i="4"/>
  <c r="A4695" i="4"/>
  <c r="B4695" i="4"/>
  <c r="C4695" i="4"/>
  <c r="A4696" i="4"/>
  <c r="B4696" i="4"/>
  <c r="C4696" i="4"/>
  <c r="A4697" i="4"/>
  <c r="B4697" i="4"/>
  <c r="C4697" i="4"/>
  <c r="A4698" i="4"/>
  <c r="B4698" i="4"/>
  <c r="C4698" i="4"/>
  <c r="A4699" i="4"/>
  <c r="B4699" i="4"/>
  <c r="C4699" i="4"/>
  <c r="A4700" i="4"/>
  <c r="B4700" i="4"/>
  <c r="C4700" i="4"/>
  <c r="A4701" i="4"/>
  <c r="B4701" i="4"/>
  <c r="C4701" i="4"/>
  <c r="A4702" i="4"/>
  <c r="B4702" i="4"/>
  <c r="C4702" i="4"/>
  <c r="A4703" i="4"/>
  <c r="B4703" i="4"/>
  <c r="C4703" i="4"/>
  <c r="A4704" i="4"/>
  <c r="B4704" i="4"/>
  <c r="C4704" i="4"/>
  <c r="A4705" i="4"/>
  <c r="B4705" i="4"/>
  <c r="C4705" i="4"/>
  <c r="A4706" i="4"/>
  <c r="B4706" i="4"/>
  <c r="C4706" i="4"/>
  <c r="A4707" i="4"/>
  <c r="B4707" i="4"/>
  <c r="C4707" i="4"/>
  <c r="A4708" i="4"/>
  <c r="B4708" i="4"/>
  <c r="C4708" i="4"/>
  <c r="A4709" i="4"/>
  <c r="B4709" i="4"/>
  <c r="C4709" i="4"/>
  <c r="A4710" i="4"/>
  <c r="B4710" i="4"/>
  <c r="C4710" i="4"/>
  <c r="A4711" i="4"/>
  <c r="B4711" i="4"/>
  <c r="C4711" i="4"/>
  <c r="A4712" i="4"/>
  <c r="B4712" i="4"/>
  <c r="C4712" i="4"/>
  <c r="A4713" i="4"/>
  <c r="B4713" i="4"/>
  <c r="C4713" i="4"/>
  <c r="A4714" i="4"/>
  <c r="B4714" i="4"/>
  <c r="C4714" i="4"/>
  <c r="A4715" i="4"/>
  <c r="B4715" i="4"/>
  <c r="C4715" i="4"/>
  <c r="A4716" i="4"/>
  <c r="B4716" i="4"/>
  <c r="C4716" i="4"/>
  <c r="A4717" i="4"/>
  <c r="B4717" i="4"/>
  <c r="C4717" i="4"/>
  <c r="A4718" i="4"/>
  <c r="B4718" i="4"/>
  <c r="C4718" i="4"/>
  <c r="A4719" i="4"/>
  <c r="B4719" i="4"/>
  <c r="C4719" i="4"/>
  <c r="A4720" i="4"/>
  <c r="B4720" i="4"/>
  <c r="C4720" i="4"/>
  <c r="A4721" i="4"/>
  <c r="B4721" i="4"/>
  <c r="C4721" i="4"/>
  <c r="A4722" i="4"/>
  <c r="B4722" i="4"/>
  <c r="C4722" i="4"/>
  <c r="A4723" i="4"/>
  <c r="B4723" i="4"/>
  <c r="C4723" i="4"/>
  <c r="A4724" i="4"/>
  <c r="B4724" i="4"/>
  <c r="C4724" i="4"/>
  <c r="A4725" i="4"/>
  <c r="B4725" i="4"/>
  <c r="C4725" i="4"/>
  <c r="A4726" i="4"/>
  <c r="B4726" i="4"/>
  <c r="C4726" i="4"/>
  <c r="A4727" i="4"/>
  <c r="B4727" i="4"/>
  <c r="C4727" i="4"/>
  <c r="A4728" i="4"/>
  <c r="B4728" i="4"/>
  <c r="C4728" i="4"/>
  <c r="A4729" i="4"/>
  <c r="B4729" i="4"/>
  <c r="C4729" i="4"/>
  <c r="A4730" i="4"/>
  <c r="B4730" i="4"/>
  <c r="C4730" i="4"/>
  <c r="A4731" i="4"/>
  <c r="B4731" i="4"/>
  <c r="C4731" i="4"/>
  <c r="A4732" i="4"/>
  <c r="B4732" i="4"/>
  <c r="C4732" i="4"/>
  <c r="A4733" i="4"/>
  <c r="B4733" i="4"/>
  <c r="C4733" i="4"/>
  <c r="A4734" i="4"/>
  <c r="B4734" i="4"/>
  <c r="C4734" i="4"/>
  <c r="A4735" i="4"/>
  <c r="B4735" i="4"/>
  <c r="C4735" i="4"/>
  <c r="A4736" i="4"/>
  <c r="B4736" i="4"/>
  <c r="C4736" i="4"/>
  <c r="A4737" i="4"/>
  <c r="B4737" i="4"/>
  <c r="C4737" i="4"/>
  <c r="A4738" i="4"/>
  <c r="B4738" i="4"/>
  <c r="C4738" i="4"/>
  <c r="A4739" i="4"/>
  <c r="B4739" i="4"/>
  <c r="C4739" i="4"/>
  <c r="A4740" i="4"/>
  <c r="B4740" i="4"/>
  <c r="C4740" i="4"/>
  <c r="A4741" i="4"/>
  <c r="B4741" i="4"/>
  <c r="C4741" i="4"/>
  <c r="A4742" i="4"/>
  <c r="B4742" i="4"/>
  <c r="C4742" i="4"/>
  <c r="A4743" i="4"/>
  <c r="B4743" i="4"/>
  <c r="C4743" i="4"/>
  <c r="A4744" i="4"/>
  <c r="B4744" i="4"/>
  <c r="C4744" i="4"/>
  <c r="A4745" i="4"/>
  <c r="B4745" i="4"/>
  <c r="C4745" i="4"/>
  <c r="A4746" i="4"/>
  <c r="B4746" i="4"/>
  <c r="C4746" i="4"/>
  <c r="A4747" i="4"/>
  <c r="B4747" i="4"/>
  <c r="C4747" i="4"/>
  <c r="A4748" i="4"/>
  <c r="B4748" i="4"/>
  <c r="C4748" i="4"/>
  <c r="A4749" i="4"/>
  <c r="B4749" i="4"/>
  <c r="C4749" i="4"/>
  <c r="A4750" i="4"/>
  <c r="B4750" i="4"/>
  <c r="C4750" i="4"/>
  <c r="A4751" i="4"/>
  <c r="B4751" i="4"/>
  <c r="C4751" i="4"/>
  <c r="A4752" i="4"/>
  <c r="B4752" i="4"/>
  <c r="C4752" i="4"/>
  <c r="A4753" i="4"/>
  <c r="B4753" i="4"/>
  <c r="C4753" i="4"/>
  <c r="A4754" i="4"/>
  <c r="B4754" i="4"/>
  <c r="C4754" i="4"/>
  <c r="A4755" i="4"/>
  <c r="B4755" i="4"/>
  <c r="C4755" i="4"/>
  <c r="A4756" i="4"/>
  <c r="B4756" i="4"/>
  <c r="C4756" i="4"/>
  <c r="A4757" i="4"/>
  <c r="B4757" i="4"/>
  <c r="C4757" i="4"/>
  <c r="A4758" i="4"/>
  <c r="B4758" i="4"/>
  <c r="C4758" i="4"/>
  <c r="A4759" i="4"/>
  <c r="B4759" i="4"/>
  <c r="C4759" i="4"/>
  <c r="A4760" i="4"/>
  <c r="B4760" i="4"/>
  <c r="C4760" i="4"/>
  <c r="A4761" i="4"/>
  <c r="B4761" i="4"/>
  <c r="C4761" i="4"/>
  <c r="A4762" i="4"/>
  <c r="B4762" i="4"/>
  <c r="C4762" i="4"/>
  <c r="A4763" i="4"/>
  <c r="B4763" i="4"/>
  <c r="C4763" i="4"/>
  <c r="A4764" i="4"/>
  <c r="B4764" i="4"/>
  <c r="C4764" i="4"/>
  <c r="A4765" i="4"/>
  <c r="B4765" i="4"/>
  <c r="C4765" i="4"/>
  <c r="A4766" i="4"/>
  <c r="B4766" i="4"/>
  <c r="C4766" i="4"/>
  <c r="A4767" i="4"/>
  <c r="B4767" i="4"/>
  <c r="C4767" i="4"/>
  <c r="A4768" i="4"/>
  <c r="B4768" i="4"/>
  <c r="C4768" i="4"/>
  <c r="A4769" i="4"/>
  <c r="B4769" i="4"/>
  <c r="C4769" i="4"/>
  <c r="A4770" i="4"/>
  <c r="B4770" i="4"/>
  <c r="C4770" i="4"/>
  <c r="A4771" i="4"/>
  <c r="B4771" i="4"/>
  <c r="C4771" i="4"/>
  <c r="A4772" i="4"/>
  <c r="B4772" i="4"/>
  <c r="C4772" i="4"/>
  <c r="A4773" i="4"/>
  <c r="B4773" i="4"/>
  <c r="C4773" i="4"/>
  <c r="A4774" i="4"/>
  <c r="B4774" i="4"/>
  <c r="C4774" i="4"/>
  <c r="A4775" i="4"/>
  <c r="B4775" i="4"/>
  <c r="C4775" i="4"/>
  <c r="A4776" i="4"/>
  <c r="B4776" i="4"/>
  <c r="C4776" i="4"/>
  <c r="A4777" i="4"/>
  <c r="B4777" i="4"/>
  <c r="C4777" i="4"/>
  <c r="A4778" i="4"/>
  <c r="B4778" i="4"/>
  <c r="C4778" i="4"/>
  <c r="A4779" i="4"/>
  <c r="B4779" i="4"/>
  <c r="C4779" i="4"/>
  <c r="A4780" i="4"/>
  <c r="B4780" i="4"/>
  <c r="C4780" i="4"/>
  <c r="A4781" i="4"/>
  <c r="B4781" i="4"/>
  <c r="C4781" i="4"/>
  <c r="A4782" i="4"/>
  <c r="B4782" i="4"/>
  <c r="C4782" i="4"/>
  <c r="A4783" i="4"/>
  <c r="B4783" i="4"/>
  <c r="C4783" i="4"/>
  <c r="A4784" i="4"/>
  <c r="B4784" i="4"/>
  <c r="C4784" i="4"/>
  <c r="A4785" i="4"/>
  <c r="B4785" i="4"/>
  <c r="C4785" i="4"/>
  <c r="A4786" i="4"/>
  <c r="B4786" i="4"/>
  <c r="C4786" i="4"/>
  <c r="A4787" i="4"/>
  <c r="B4787" i="4"/>
  <c r="C4787" i="4"/>
  <c r="A4788" i="4"/>
  <c r="B4788" i="4"/>
  <c r="C4788" i="4"/>
  <c r="A4789" i="4"/>
  <c r="B4789" i="4"/>
  <c r="C4789" i="4"/>
  <c r="A4790" i="4"/>
  <c r="B4790" i="4"/>
  <c r="C4790" i="4"/>
  <c r="A4791" i="4"/>
  <c r="B4791" i="4"/>
  <c r="C4791" i="4"/>
  <c r="A4792" i="4"/>
  <c r="B4792" i="4"/>
  <c r="C4792" i="4"/>
  <c r="A4793" i="4"/>
  <c r="B4793" i="4"/>
  <c r="C4793" i="4"/>
  <c r="A4794" i="4"/>
  <c r="B4794" i="4"/>
  <c r="C4794" i="4"/>
  <c r="A4795" i="4"/>
  <c r="B4795" i="4"/>
  <c r="C4795" i="4"/>
  <c r="A4796" i="4"/>
  <c r="B4796" i="4"/>
  <c r="C4796" i="4"/>
  <c r="A4797" i="4"/>
  <c r="B4797" i="4"/>
  <c r="C4797" i="4"/>
  <c r="A4798" i="4"/>
  <c r="B4798" i="4"/>
  <c r="C4798" i="4"/>
  <c r="A4799" i="4"/>
  <c r="B4799" i="4"/>
  <c r="C4799" i="4"/>
  <c r="A4800" i="4"/>
  <c r="B4800" i="4"/>
  <c r="C4800" i="4"/>
  <c r="A4801" i="4"/>
  <c r="B4801" i="4"/>
  <c r="C4801" i="4"/>
  <c r="A4802" i="4"/>
  <c r="B4802" i="4"/>
  <c r="C4802" i="4"/>
  <c r="A4803" i="4"/>
  <c r="B4803" i="4"/>
  <c r="C4803" i="4"/>
  <c r="A4804" i="4"/>
  <c r="B4804" i="4"/>
  <c r="C4804" i="4"/>
  <c r="A4805" i="4"/>
  <c r="B4805" i="4"/>
  <c r="C4805" i="4"/>
  <c r="A4806" i="4"/>
  <c r="B4806" i="4"/>
  <c r="C4806" i="4"/>
  <c r="A4807" i="4"/>
  <c r="B4807" i="4"/>
  <c r="C4807" i="4"/>
  <c r="A4808" i="4"/>
  <c r="B4808" i="4"/>
  <c r="C4808" i="4"/>
  <c r="A4809" i="4"/>
  <c r="B4809" i="4"/>
  <c r="C4809" i="4"/>
  <c r="A4810" i="4"/>
  <c r="B4810" i="4"/>
  <c r="C4810" i="4"/>
  <c r="A4811" i="4"/>
  <c r="B4811" i="4"/>
  <c r="C4811" i="4"/>
  <c r="A4812" i="4"/>
  <c r="B4812" i="4"/>
  <c r="C4812" i="4"/>
  <c r="A4813" i="4"/>
  <c r="B4813" i="4"/>
  <c r="C4813" i="4"/>
  <c r="A4814" i="4"/>
  <c r="B4814" i="4"/>
  <c r="C4814" i="4"/>
  <c r="A4815" i="4"/>
  <c r="B4815" i="4"/>
  <c r="C4815" i="4"/>
  <c r="A4816" i="4"/>
  <c r="B4816" i="4"/>
  <c r="C4816" i="4"/>
  <c r="A4817" i="4"/>
  <c r="B4817" i="4"/>
  <c r="C4817" i="4"/>
  <c r="A4818" i="4"/>
  <c r="B4818" i="4"/>
  <c r="C4818" i="4"/>
  <c r="A4819" i="4"/>
  <c r="B4819" i="4"/>
  <c r="C4819" i="4"/>
  <c r="A4820" i="4"/>
  <c r="B4820" i="4"/>
  <c r="C4820" i="4"/>
  <c r="A4821" i="4"/>
  <c r="B4821" i="4"/>
  <c r="C4821" i="4"/>
  <c r="A4822" i="4"/>
  <c r="B4822" i="4"/>
  <c r="C4822" i="4"/>
  <c r="A4823" i="4"/>
  <c r="B4823" i="4"/>
  <c r="C4823" i="4"/>
  <c r="A4824" i="4"/>
  <c r="B4824" i="4"/>
  <c r="C4824" i="4"/>
  <c r="A4825" i="4"/>
  <c r="B4825" i="4"/>
  <c r="C4825" i="4"/>
  <c r="A4826" i="4"/>
  <c r="B4826" i="4"/>
  <c r="C4826" i="4"/>
  <c r="A4827" i="4"/>
  <c r="B4827" i="4"/>
  <c r="C4827" i="4"/>
  <c r="A4828" i="4"/>
  <c r="B4828" i="4"/>
  <c r="C4828" i="4"/>
  <c r="A4829" i="4"/>
  <c r="B4829" i="4"/>
  <c r="C4829" i="4"/>
  <c r="A4830" i="4"/>
  <c r="B4830" i="4"/>
  <c r="C4830" i="4"/>
  <c r="A4831" i="4"/>
  <c r="B4831" i="4"/>
  <c r="C4831" i="4"/>
  <c r="A4832" i="4"/>
  <c r="B4832" i="4"/>
  <c r="C4832" i="4"/>
  <c r="A4833" i="4"/>
  <c r="B4833" i="4"/>
  <c r="C4833" i="4"/>
  <c r="A4834" i="4"/>
  <c r="B4834" i="4"/>
  <c r="C4834" i="4"/>
  <c r="A4835" i="4"/>
  <c r="B4835" i="4"/>
  <c r="C4835" i="4"/>
  <c r="A4836" i="4"/>
  <c r="B4836" i="4"/>
  <c r="C4836" i="4"/>
  <c r="A4837" i="4"/>
  <c r="B4837" i="4"/>
  <c r="C4837" i="4"/>
  <c r="A4838" i="4"/>
  <c r="B4838" i="4"/>
  <c r="C4838" i="4"/>
  <c r="A4839" i="4"/>
  <c r="B4839" i="4"/>
  <c r="C4839" i="4"/>
  <c r="A4840" i="4"/>
  <c r="B4840" i="4"/>
  <c r="C4840" i="4"/>
  <c r="A4841" i="4"/>
  <c r="B4841" i="4"/>
  <c r="C4841" i="4"/>
  <c r="A4842" i="4"/>
  <c r="B4842" i="4"/>
  <c r="C4842" i="4"/>
  <c r="A4843" i="4"/>
  <c r="B4843" i="4"/>
  <c r="C4843" i="4"/>
  <c r="A4844" i="4"/>
  <c r="B4844" i="4"/>
  <c r="C4844" i="4"/>
  <c r="A4845" i="4"/>
  <c r="B4845" i="4"/>
  <c r="C4845" i="4"/>
  <c r="A4846" i="4"/>
  <c r="B4846" i="4"/>
  <c r="C4846" i="4"/>
  <c r="A4847" i="4"/>
  <c r="B4847" i="4"/>
  <c r="C4847" i="4"/>
  <c r="A4848" i="4"/>
  <c r="B4848" i="4"/>
  <c r="C4848" i="4"/>
  <c r="A4849" i="4"/>
  <c r="B4849" i="4"/>
  <c r="C4849" i="4"/>
  <c r="A4850" i="4"/>
  <c r="B4850" i="4"/>
  <c r="C4850" i="4"/>
  <c r="A4851" i="4"/>
  <c r="B4851" i="4"/>
  <c r="C4851" i="4"/>
  <c r="A4852" i="4"/>
  <c r="B4852" i="4"/>
  <c r="C4852" i="4"/>
  <c r="A4853" i="4"/>
  <c r="B4853" i="4"/>
  <c r="C4853" i="4"/>
  <c r="A4854" i="4"/>
  <c r="B4854" i="4"/>
  <c r="C4854" i="4"/>
  <c r="A4855" i="4"/>
  <c r="B4855" i="4"/>
  <c r="C4855" i="4"/>
  <c r="A4856" i="4"/>
  <c r="B4856" i="4"/>
  <c r="C4856" i="4"/>
  <c r="A4857" i="4"/>
  <c r="B4857" i="4"/>
  <c r="C4857" i="4"/>
  <c r="A4858" i="4"/>
  <c r="B4858" i="4"/>
  <c r="C4858" i="4"/>
  <c r="A4859" i="4"/>
  <c r="B4859" i="4"/>
  <c r="C4859" i="4"/>
  <c r="A4860" i="4"/>
  <c r="B4860" i="4"/>
  <c r="C4860" i="4"/>
  <c r="A4861" i="4"/>
  <c r="B4861" i="4"/>
  <c r="C4861" i="4"/>
  <c r="A4862" i="4"/>
  <c r="B4862" i="4"/>
  <c r="C4862" i="4"/>
  <c r="A4863" i="4"/>
  <c r="B4863" i="4"/>
  <c r="C4863" i="4"/>
  <c r="A4864" i="4"/>
  <c r="B4864" i="4"/>
  <c r="C4864" i="4"/>
  <c r="A4865" i="4"/>
  <c r="B4865" i="4"/>
  <c r="C4865" i="4"/>
  <c r="A4866" i="4"/>
  <c r="B4866" i="4"/>
  <c r="C4866" i="4"/>
  <c r="A4867" i="4"/>
  <c r="B4867" i="4"/>
  <c r="C4867" i="4"/>
  <c r="A4868" i="4"/>
  <c r="B4868" i="4"/>
  <c r="C4868" i="4"/>
  <c r="A4869" i="4"/>
  <c r="B4869" i="4"/>
  <c r="C4869" i="4"/>
  <c r="A4870" i="4"/>
  <c r="B4870" i="4"/>
  <c r="C4870" i="4"/>
  <c r="A4871" i="4"/>
  <c r="B4871" i="4"/>
  <c r="C4871" i="4"/>
  <c r="A4872" i="4"/>
  <c r="B4872" i="4"/>
  <c r="C4872" i="4"/>
  <c r="A4873" i="4"/>
  <c r="B4873" i="4"/>
  <c r="C4873" i="4"/>
  <c r="A4874" i="4"/>
  <c r="B4874" i="4"/>
  <c r="C4874" i="4"/>
  <c r="A4875" i="4"/>
  <c r="B4875" i="4"/>
  <c r="C4875" i="4"/>
  <c r="A4876" i="4"/>
  <c r="B4876" i="4"/>
  <c r="C4876" i="4"/>
  <c r="A4877" i="4"/>
  <c r="B4877" i="4"/>
  <c r="C4877" i="4"/>
  <c r="A4878" i="4"/>
  <c r="B4878" i="4"/>
  <c r="C4878" i="4"/>
  <c r="A4879" i="4"/>
  <c r="B4879" i="4"/>
  <c r="C4879" i="4"/>
  <c r="A4880" i="4"/>
  <c r="B4880" i="4"/>
  <c r="C4880" i="4"/>
  <c r="A4881" i="4"/>
  <c r="B4881" i="4"/>
  <c r="C4881" i="4"/>
  <c r="A4882" i="4"/>
  <c r="B4882" i="4"/>
  <c r="C4882" i="4"/>
  <c r="A4883" i="4"/>
  <c r="B4883" i="4"/>
  <c r="C4883" i="4"/>
  <c r="A4884" i="4"/>
  <c r="B4884" i="4"/>
  <c r="C4884" i="4"/>
  <c r="A4885" i="4"/>
  <c r="B4885" i="4"/>
  <c r="C4885" i="4"/>
  <c r="A4886" i="4"/>
  <c r="B4886" i="4"/>
  <c r="C4886" i="4"/>
  <c r="A4887" i="4"/>
  <c r="B4887" i="4"/>
  <c r="C4887" i="4"/>
  <c r="A4888" i="4"/>
  <c r="B4888" i="4"/>
  <c r="C4888" i="4"/>
  <c r="A4889" i="4"/>
  <c r="B4889" i="4"/>
  <c r="C4889" i="4"/>
  <c r="A4890" i="4"/>
  <c r="B4890" i="4"/>
  <c r="C4890" i="4"/>
  <c r="A4891" i="4"/>
  <c r="B4891" i="4"/>
  <c r="C4891" i="4"/>
  <c r="A4892" i="4"/>
  <c r="B4892" i="4"/>
  <c r="C4892" i="4"/>
  <c r="A4893" i="4"/>
  <c r="B4893" i="4"/>
  <c r="C4893" i="4"/>
  <c r="A4894" i="4"/>
  <c r="B4894" i="4"/>
  <c r="C4894" i="4"/>
  <c r="A4895" i="4"/>
  <c r="B4895" i="4"/>
  <c r="C4895" i="4"/>
  <c r="A4896" i="4"/>
  <c r="B4896" i="4"/>
  <c r="C4896" i="4"/>
  <c r="A4897" i="4"/>
  <c r="B4897" i="4"/>
  <c r="C4897" i="4"/>
  <c r="A4898" i="4"/>
  <c r="B4898" i="4"/>
  <c r="C4898" i="4"/>
  <c r="A4899" i="4"/>
  <c r="B4899" i="4"/>
  <c r="C4899" i="4"/>
  <c r="A4900" i="4"/>
  <c r="B4900" i="4"/>
  <c r="C4900" i="4"/>
  <c r="A4901" i="4"/>
  <c r="B4901" i="4"/>
  <c r="C4901" i="4"/>
  <c r="A4902" i="4"/>
  <c r="B4902" i="4"/>
  <c r="C4902" i="4"/>
  <c r="A4903" i="4"/>
  <c r="B4903" i="4"/>
  <c r="C4903" i="4"/>
  <c r="A4904" i="4"/>
  <c r="B4904" i="4"/>
  <c r="C4904" i="4"/>
  <c r="A4905" i="4"/>
  <c r="B4905" i="4"/>
  <c r="C4905" i="4"/>
  <c r="A4906" i="4"/>
  <c r="B4906" i="4"/>
  <c r="C4906" i="4"/>
  <c r="A4907" i="4"/>
  <c r="B4907" i="4"/>
  <c r="C4907" i="4"/>
  <c r="A4908" i="4"/>
  <c r="B4908" i="4"/>
  <c r="C4908" i="4"/>
  <c r="A4909" i="4"/>
  <c r="B4909" i="4"/>
  <c r="C4909" i="4"/>
  <c r="A4910" i="4"/>
  <c r="B4910" i="4"/>
  <c r="C4910" i="4"/>
  <c r="A4911" i="4"/>
  <c r="B4911" i="4"/>
  <c r="C4911" i="4"/>
  <c r="A4912" i="4"/>
  <c r="B4912" i="4"/>
  <c r="C4912" i="4"/>
  <c r="A4913" i="4"/>
  <c r="B4913" i="4"/>
  <c r="C4913" i="4"/>
  <c r="A4914" i="4"/>
  <c r="B4914" i="4"/>
  <c r="C4914" i="4"/>
  <c r="A4915" i="4"/>
  <c r="B4915" i="4"/>
  <c r="C4915" i="4"/>
  <c r="A4916" i="4"/>
  <c r="B4916" i="4"/>
  <c r="C4916" i="4"/>
  <c r="A4917" i="4"/>
  <c r="B4917" i="4"/>
  <c r="C4917" i="4"/>
  <c r="A4918" i="4"/>
  <c r="B4918" i="4"/>
  <c r="C4918" i="4"/>
  <c r="A4919" i="4"/>
  <c r="B4919" i="4"/>
  <c r="C4919" i="4"/>
  <c r="A4920" i="4"/>
  <c r="B4920" i="4"/>
  <c r="C4920" i="4"/>
  <c r="A4921" i="4"/>
  <c r="B4921" i="4"/>
  <c r="C4921" i="4"/>
  <c r="A4922" i="4"/>
  <c r="B4922" i="4"/>
  <c r="C4922" i="4"/>
  <c r="A4923" i="4"/>
  <c r="B4923" i="4"/>
  <c r="C4923" i="4"/>
  <c r="A4924" i="4"/>
  <c r="B4924" i="4"/>
  <c r="C4924" i="4"/>
  <c r="A4925" i="4"/>
  <c r="B4925" i="4"/>
  <c r="C4925" i="4"/>
  <c r="A4926" i="4"/>
  <c r="B4926" i="4"/>
  <c r="C4926" i="4"/>
  <c r="A4927" i="4"/>
  <c r="B4927" i="4"/>
  <c r="C4927" i="4"/>
  <c r="A4928" i="4"/>
  <c r="B4928" i="4"/>
  <c r="C4928" i="4"/>
  <c r="A4929" i="4"/>
  <c r="B4929" i="4"/>
  <c r="C4929" i="4"/>
  <c r="A4930" i="4"/>
  <c r="B4930" i="4"/>
  <c r="C4930" i="4"/>
  <c r="A4931" i="4"/>
  <c r="B4931" i="4"/>
  <c r="C4931" i="4"/>
  <c r="A4932" i="4"/>
  <c r="B4932" i="4"/>
  <c r="C4932" i="4"/>
  <c r="A4933" i="4"/>
  <c r="B4933" i="4"/>
  <c r="C4933" i="4"/>
  <c r="A4934" i="4"/>
  <c r="B4934" i="4"/>
  <c r="C4934" i="4"/>
  <c r="A4935" i="4"/>
  <c r="B4935" i="4"/>
  <c r="C4935" i="4"/>
  <c r="A4936" i="4"/>
  <c r="B4936" i="4"/>
  <c r="C4936" i="4"/>
  <c r="A4937" i="4"/>
  <c r="B4937" i="4"/>
  <c r="C4937" i="4"/>
  <c r="A4938" i="4"/>
  <c r="B4938" i="4"/>
  <c r="C4938" i="4"/>
  <c r="A4939" i="4"/>
  <c r="B4939" i="4"/>
  <c r="C4939" i="4"/>
  <c r="A4940" i="4"/>
  <c r="B4940" i="4"/>
  <c r="C4940" i="4"/>
  <c r="A4941" i="4"/>
  <c r="B4941" i="4"/>
  <c r="C4941" i="4"/>
  <c r="A4942" i="4"/>
  <c r="B4942" i="4"/>
  <c r="C4942" i="4"/>
  <c r="A4943" i="4"/>
  <c r="B4943" i="4"/>
  <c r="C4943" i="4"/>
  <c r="A4944" i="4"/>
  <c r="B4944" i="4"/>
  <c r="C4944" i="4"/>
  <c r="A4945" i="4"/>
  <c r="B4945" i="4"/>
  <c r="C4945" i="4"/>
  <c r="A4946" i="4"/>
  <c r="B4946" i="4"/>
  <c r="C4946" i="4"/>
  <c r="A4947" i="4"/>
  <c r="B4947" i="4"/>
  <c r="C4947" i="4"/>
  <c r="A4948" i="4"/>
  <c r="B4948" i="4"/>
  <c r="C4948" i="4"/>
  <c r="A4949" i="4"/>
  <c r="B4949" i="4"/>
  <c r="C4949" i="4"/>
  <c r="A4950" i="4"/>
  <c r="B4950" i="4"/>
  <c r="C4950" i="4"/>
  <c r="A4951" i="4"/>
  <c r="B4951" i="4"/>
  <c r="C4951" i="4"/>
  <c r="A4952" i="4"/>
  <c r="B4952" i="4"/>
  <c r="C4952" i="4"/>
  <c r="A4953" i="4"/>
  <c r="B4953" i="4"/>
  <c r="C4953" i="4"/>
  <c r="A4954" i="4"/>
  <c r="B4954" i="4"/>
  <c r="C4954" i="4"/>
  <c r="A4955" i="4"/>
  <c r="B4955" i="4"/>
  <c r="C4955" i="4"/>
  <c r="A4956" i="4"/>
  <c r="B4956" i="4"/>
  <c r="C4956" i="4"/>
  <c r="A4957" i="4"/>
  <c r="B4957" i="4"/>
  <c r="C4957" i="4"/>
  <c r="A4958" i="4"/>
  <c r="B4958" i="4"/>
  <c r="C4958" i="4"/>
  <c r="A4959" i="4"/>
  <c r="B4959" i="4"/>
  <c r="C4959" i="4"/>
  <c r="A4960" i="4"/>
  <c r="B4960" i="4"/>
  <c r="C4960" i="4"/>
  <c r="A4961" i="4"/>
  <c r="B4961" i="4"/>
  <c r="C4961" i="4"/>
  <c r="A4962" i="4"/>
  <c r="B4962" i="4"/>
  <c r="C4962" i="4"/>
  <c r="A4963" i="4"/>
  <c r="B4963" i="4"/>
  <c r="C4963" i="4"/>
  <c r="A4964" i="4"/>
  <c r="B4964" i="4"/>
  <c r="C4964" i="4"/>
  <c r="A4965" i="4"/>
  <c r="B4965" i="4"/>
  <c r="C4965" i="4"/>
  <c r="A4966" i="4"/>
  <c r="B4966" i="4"/>
  <c r="C4966" i="4"/>
  <c r="A4967" i="4"/>
  <c r="B4967" i="4"/>
  <c r="C4967" i="4"/>
  <c r="A4968" i="4"/>
  <c r="B4968" i="4"/>
  <c r="C4968" i="4"/>
  <c r="A4969" i="4"/>
  <c r="B4969" i="4"/>
  <c r="C4969" i="4"/>
  <c r="A4970" i="4"/>
  <c r="B4970" i="4"/>
  <c r="C4970" i="4"/>
  <c r="A4971" i="4"/>
  <c r="B4971" i="4"/>
  <c r="C4971" i="4"/>
  <c r="A4972" i="4"/>
  <c r="B4972" i="4"/>
  <c r="C4972" i="4"/>
  <c r="A4973" i="4"/>
  <c r="B4973" i="4"/>
  <c r="C4973" i="4"/>
  <c r="A4974" i="4"/>
  <c r="B4974" i="4"/>
  <c r="C4974" i="4"/>
  <c r="A4975" i="4"/>
  <c r="B4975" i="4"/>
  <c r="C4975" i="4"/>
  <c r="A4976" i="4"/>
  <c r="B4976" i="4"/>
  <c r="C4976" i="4"/>
  <c r="A4977" i="4"/>
  <c r="B4977" i="4"/>
  <c r="C4977" i="4"/>
  <c r="A4978" i="4"/>
  <c r="B4978" i="4"/>
  <c r="C4978" i="4"/>
  <c r="A4979" i="4"/>
  <c r="B4979" i="4"/>
  <c r="C4979" i="4"/>
  <c r="A4980" i="4"/>
  <c r="B4980" i="4"/>
  <c r="C4980" i="4"/>
  <c r="A4981" i="4"/>
  <c r="B4981" i="4"/>
  <c r="C4981" i="4"/>
  <c r="A4982" i="4"/>
  <c r="B4982" i="4"/>
  <c r="C4982" i="4"/>
  <c r="A4983" i="4"/>
  <c r="B4983" i="4"/>
  <c r="C4983" i="4"/>
  <c r="A4984" i="4"/>
  <c r="B4984" i="4"/>
  <c r="C4984" i="4"/>
  <c r="A4985" i="4"/>
  <c r="B4985" i="4"/>
  <c r="C4985" i="4"/>
  <c r="A4986" i="4"/>
  <c r="B4986" i="4"/>
  <c r="C4986" i="4"/>
  <c r="A4987" i="4"/>
  <c r="B4987" i="4"/>
  <c r="C4987" i="4"/>
  <c r="A4988" i="4"/>
  <c r="B4988" i="4"/>
  <c r="C4988" i="4"/>
  <c r="A4989" i="4"/>
  <c r="B4989" i="4"/>
  <c r="C4989" i="4"/>
  <c r="A4990" i="4"/>
  <c r="B4990" i="4"/>
  <c r="C4990" i="4"/>
  <c r="A4991" i="4"/>
  <c r="B4991" i="4"/>
  <c r="C4991" i="4"/>
  <c r="A4992" i="4"/>
  <c r="B4992" i="4"/>
  <c r="C4992" i="4"/>
  <c r="A4993" i="4"/>
  <c r="B4993" i="4"/>
  <c r="C4993" i="4"/>
  <c r="A4994" i="4"/>
  <c r="B4994" i="4"/>
  <c r="C4994" i="4"/>
  <c r="A4995" i="4"/>
  <c r="B4995" i="4"/>
  <c r="C4995" i="4"/>
  <c r="A4996" i="4"/>
  <c r="B4996" i="4"/>
  <c r="C4996" i="4"/>
  <c r="A4997" i="4"/>
  <c r="B4997" i="4"/>
  <c r="C4997" i="4"/>
  <c r="A4998" i="4"/>
  <c r="B4998" i="4"/>
  <c r="C4998" i="4"/>
  <c r="A4999" i="4"/>
  <c r="B4999" i="4"/>
  <c r="C4999" i="4"/>
  <c r="A5000" i="4"/>
  <c r="B5000" i="4"/>
  <c r="C5000" i="4"/>
  <c r="A2411" i="4"/>
  <c r="B2411" i="4"/>
  <c r="C2411" i="4" s="1"/>
  <c r="A2412" i="4"/>
  <c r="B2412" i="4"/>
  <c r="C2412" i="4" s="1"/>
  <c r="A2413" i="4"/>
  <c r="B2413" i="4"/>
  <c r="C2413" i="4" s="1"/>
  <c r="A2414" i="4"/>
  <c r="B2414" i="4"/>
  <c r="C2414" i="4" s="1"/>
  <c r="A2415" i="4"/>
  <c r="B2415" i="4"/>
  <c r="C2415" i="4" s="1"/>
  <c r="A2416" i="4"/>
  <c r="B2416" i="4"/>
  <c r="C2416" i="4" s="1"/>
  <c r="A2417" i="4"/>
  <c r="B2417" i="4"/>
  <c r="C2417" i="4" s="1"/>
  <c r="A2418" i="4"/>
  <c r="B2418" i="4"/>
  <c r="C2418" i="4" s="1"/>
  <c r="A2419" i="4"/>
  <c r="B2419" i="4"/>
  <c r="C2419" i="4" s="1"/>
  <c r="A2420" i="4"/>
  <c r="B2420" i="4"/>
  <c r="C2420" i="4" s="1"/>
  <c r="A2421" i="4"/>
  <c r="B2421" i="4"/>
  <c r="C2421" i="4" s="1"/>
  <c r="A2422" i="4"/>
  <c r="B2422" i="4"/>
  <c r="C2422" i="4" s="1"/>
  <c r="A2423" i="4"/>
  <c r="B2423" i="4"/>
  <c r="C2423" i="4" s="1"/>
  <c r="A2424" i="4"/>
  <c r="B2424" i="4"/>
  <c r="C2424" i="4" s="1"/>
  <c r="A2425" i="4"/>
  <c r="B2425" i="4"/>
  <c r="C2425" i="4" s="1"/>
  <c r="A2426" i="4"/>
  <c r="B2426" i="4"/>
  <c r="C2426" i="4" s="1"/>
  <c r="A2427" i="4"/>
  <c r="B2427" i="4"/>
  <c r="C2427" i="4" s="1"/>
  <c r="A2428" i="4"/>
  <c r="B2428" i="4"/>
  <c r="C2428" i="4" s="1"/>
  <c r="A2429" i="4"/>
  <c r="B2429" i="4"/>
  <c r="C2429" i="4" s="1"/>
  <c r="A2430" i="4"/>
  <c r="B2430" i="4"/>
  <c r="C2430" i="4" s="1"/>
  <c r="A2431" i="4"/>
  <c r="B2431" i="4"/>
  <c r="C2431" i="4" s="1"/>
  <c r="A2432" i="4"/>
  <c r="B2432" i="4"/>
  <c r="C2432" i="4" s="1"/>
  <c r="A2433" i="4"/>
  <c r="B2433" i="4"/>
  <c r="C2433" i="4" s="1"/>
  <c r="A2434" i="4"/>
  <c r="B2434" i="4"/>
  <c r="C2434" i="4" s="1"/>
  <c r="A2435" i="4"/>
  <c r="B2435" i="4"/>
  <c r="C2435" i="4" s="1"/>
  <c r="A2436" i="4"/>
  <c r="B2436" i="4"/>
  <c r="C2436" i="4" s="1"/>
  <c r="A2437" i="4"/>
  <c r="B2437" i="4"/>
  <c r="C2437" i="4" s="1"/>
  <c r="A2438" i="4"/>
  <c r="B2438" i="4"/>
  <c r="C2438" i="4" s="1"/>
  <c r="A2439" i="4"/>
  <c r="B2439" i="4"/>
  <c r="C2439" i="4" s="1"/>
  <c r="A2440" i="4"/>
  <c r="B2440" i="4"/>
  <c r="C2440" i="4" s="1"/>
  <c r="A2441" i="4"/>
  <c r="B2441" i="4"/>
  <c r="C2441" i="4" s="1"/>
  <c r="A2442" i="4"/>
  <c r="B2442" i="4"/>
  <c r="C2442" i="4" s="1"/>
  <c r="A2443" i="4"/>
  <c r="B2443" i="4"/>
  <c r="C2443" i="4" s="1"/>
  <c r="A2444" i="4"/>
  <c r="B2444" i="4"/>
  <c r="C2444" i="4" s="1"/>
  <c r="A2445" i="4"/>
  <c r="B2445" i="4"/>
  <c r="C2445" i="4" s="1"/>
  <c r="A2446" i="4"/>
  <c r="B2446" i="4"/>
  <c r="C2446" i="4" s="1"/>
  <c r="A2447" i="4"/>
  <c r="B2447" i="4"/>
  <c r="C2447" i="4" s="1"/>
  <c r="A2448" i="4"/>
  <c r="B2448" i="4"/>
  <c r="C2448" i="4" s="1"/>
  <c r="A2449" i="4"/>
  <c r="B2449" i="4"/>
  <c r="C2449" i="4" s="1"/>
  <c r="A2450" i="4"/>
  <c r="B2450" i="4"/>
  <c r="C2450" i="4" s="1"/>
  <c r="A2451" i="4"/>
  <c r="B2451" i="4"/>
  <c r="C2451" i="4" s="1"/>
  <c r="A2452" i="4"/>
  <c r="B2452" i="4"/>
  <c r="C2452" i="4" s="1"/>
  <c r="A2453" i="4"/>
  <c r="B2453" i="4"/>
  <c r="C2453" i="4" s="1"/>
  <c r="A2454" i="4"/>
  <c r="B2454" i="4"/>
  <c r="C2454" i="4" s="1"/>
  <c r="A2455" i="4"/>
  <c r="B2455" i="4"/>
  <c r="C2455" i="4" s="1"/>
  <c r="A2456" i="4"/>
  <c r="B2456" i="4"/>
  <c r="C2456" i="4" s="1"/>
  <c r="A2457" i="4"/>
  <c r="B2457" i="4"/>
  <c r="C2457" i="4" s="1"/>
  <c r="A2458" i="4"/>
  <c r="B2458" i="4"/>
  <c r="C2458" i="4" s="1"/>
  <c r="A2459" i="4"/>
  <c r="B2459" i="4"/>
  <c r="C2459" i="4" s="1"/>
  <c r="A2460" i="4"/>
  <c r="B2460" i="4"/>
  <c r="C2460" i="4" s="1"/>
  <c r="A2461" i="4"/>
  <c r="B2461" i="4"/>
  <c r="C2461" i="4" s="1"/>
  <c r="A2462" i="4"/>
  <c r="B2462" i="4"/>
  <c r="C2462" i="4" s="1"/>
  <c r="A2463" i="4"/>
  <c r="B2463" i="4"/>
  <c r="C2463" i="4" s="1"/>
  <c r="A2464" i="4"/>
  <c r="B2464" i="4"/>
  <c r="C2464" i="4" s="1"/>
  <c r="A2465" i="4"/>
  <c r="B2465" i="4"/>
  <c r="C2465" i="4" s="1"/>
  <c r="A2466" i="4"/>
  <c r="B2466" i="4"/>
  <c r="C2466" i="4" s="1"/>
  <c r="A2467" i="4"/>
  <c r="B2467" i="4"/>
  <c r="C2467" i="4" s="1"/>
  <c r="A2468" i="4"/>
  <c r="B2468" i="4"/>
  <c r="C2468" i="4" s="1"/>
  <c r="A2469" i="4"/>
  <c r="B2469" i="4"/>
  <c r="C2469" i="4" s="1"/>
  <c r="A2470" i="4"/>
  <c r="B2470" i="4"/>
  <c r="C2470" i="4" s="1"/>
  <c r="A2471" i="4"/>
  <c r="B2471" i="4"/>
  <c r="C2471" i="4" s="1"/>
  <c r="A2472" i="4"/>
  <c r="B2472" i="4"/>
  <c r="C2472" i="4" s="1"/>
  <c r="A2473" i="4"/>
  <c r="B2473" i="4"/>
  <c r="C2473" i="4" s="1"/>
  <c r="A2474" i="4"/>
  <c r="B2474" i="4"/>
  <c r="C2474" i="4" s="1"/>
  <c r="A2475" i="4"/>
  <c r="B2475" i="4"/>
  <c r="C2475" i="4" s="1"/>
  <c r="A2476" i="4"/>
  <c r="B2476" i="4"/>
  <c r="C2476" i="4" s="1"/>
  <c r="A2477" i="4"/>
  <c r="B2477" i="4"/>
  <c r="C2477" i="4" s="1"/>
  <c r="A2478" i="4"/>
  <c r="B2478" i="4"/>
  <c r="C2478" i="4" s="1"/>
  <c r="A2479" i="4"/>
  <c r="B2479" i="4"/>
  <c r="C2479" i="4" s="1"/>
  <c r="A2480" i="4"/>
  <c r="B2480" i="4"/>
  <c r="C2480" i="4" s="1"/>
  <c r="A2481" i="4"/>
  <c r="B2481" i="4"/>
  <c r="C2481" i="4" s="1"/>
  <c r="A2482" i="4"/>
  <c r="B2482" i="4"/>
  <c r="C2482" i="4" s="1"/>
  <c r="A2483" i="4"/>
  <c r="B2483" i="4"/>
  <c r="C2483" i="4" s="1"/>
  <c r="A2484" i="4"/>
  <c r="B2484" i="4"/>
  <c r="C2484" i="4" s="1"/>
  <c r="A2485" i="4"/>
  <c r="B2485" i="4"/>
  <c r="C2485" i="4" s="1"/>
  <c r="A2486" i="4"/>
  <c r="B2486" i="4"/>
  <c r="C2486" i="4" s="1"/>
  <c r="A2487" i="4"/>
  <c r="B2487" i="4"/>
  <c r="C2487" i="4" s="1"/>
  <c r="A2488" i="4"/>
  <c r="B2488" i="4"/>
  <c r="C2488" i="4" s="1"/>
  <c r="A2489" i="4"/>
  <c r="B2489" i="4"/>
  <c r="C2489" i="4" s="1"/>
  <c r="A2490" i="4"/>
  <c r="B2490" i="4"/>
  <c r="C2490" i="4" s="1"/>
  <c r="A2491" i="4"/>
  <c r="B2491" i="4"/>
  <c r="C2491" i="4" s="1"/>
  <c r="A2492" i="4"/>
  <c r="B2492" i="4"/>
  <c r="C2492" i="4" s="1"/>
  <c r="A2493" i="4"/>
  <c r="B2493" i="4"/>
  <c r="C2493" i="4" s="1"/>
  <c r="A2494" i="4"/>
  <c r="B2494" i="4"/>
  <c r="C2494" i="4" s="1"/>
  <c r="A2495" i="4"/>
  <c r="B2495" i="4"/>
  <c r="C2495" i="4" s="1"/>
  <c r="A2496" i="4"/>
  <c r="B2496" i="4"/>
  <c r="C2496" i="4" s="1"/>
  <c r="A2497" i="4"/>
  <c r="B2497" i="4"/>
  <c r="C2497" i="4" s="1"/>
  <c r="A2498" i="4"/>
  <c r="B2498" i="4"/>
  <c r="C2498" i="4" s="1"/>
  <c r="A2499" i="4"/>
  <c r="B2499" i="4"/>
  <c r="C2499" i="4" s="1"/>
  <c r="A2500" i="4"/>
  <c r="B2500" i="4"/>
  <c r="C2500" i="4" s="1"/>
  <c r="A2501" i="4"/>
  <c r="B2501" i="4"/>
  <c r="C2501" i="4" s="1"/>
  <c r="A2502" i="4"/>
  <c r="B2502" i="4"/>
  <c r="C2502" i="4" s="1"/>
  <c r="A2503" i="4"/>
  <c r="B2503" i="4"/>
  <c r="C2503" i="4" s="1"/>
  <c r="A2504" i="4"/>
  <c r="B2504" i="4"/>
  <c r="C2504" i="4" s="1"/>
  <c r="A2505" i="4"/>
  <c r="B2505" i="4"/>
  <c r="C2505" i="4" s="1"/>
  <c r="A2506" i="4"/>
  <c r="B2506" i="4"/>
  <c r="C2506" i="4" s="1"/>
  <c r="A2507" i="4"/>
  <c r="B2507" i="4"/>
  <c r="C2507" i="4" s="1"/>
  <c r="A2508" i="4"/>
  <c r="B2508" i="4"/>
  <c r="C2508" i="4" s="1"/>
  <c r="A2509" i="4"/>
  <c r="B2509" i="4"/>
  <c r="C2509" i="4" s="1"/>
  <c r="A2510" i="4"/>
  <c r="B2510" i="4"/>
  <c r="C2510" i="4" s="1"/>
  <c r="A2511" i="4"/>
  <c r="B2511" i="4"/>
  <c r="C2511" i="4" s="1"/>
  <c r="A2512" i="4"/>
  <c r="B2512" i="4"/>
  <c r="C2512" i="4" s="1"/>
  <c r="A2513" i="4"/>
  <c r="B2513" i="4"/>
  <c r="C2513" i="4" s="1"/>
  <c r="A2514" i="4"/>
  <c r="B2514" i="4"/>
  <c r="C2514" i="4" s="1"/>
  <c r="A2515" i="4"/>
  <c r="B2515" i="4"/>
  <c r="C2515" i="4" s="1"/>
  <c r="A2516" i="4"/>
  <c r="B2516" i="4"/>
  <c r="C2516" i="4" s="1"/>
  <c r="A2517" i="4"/>
  <c r="B2517" i="4"/>
  <c r="C2517" i="4" s="1"/>
  <c r="A2518" i="4"/>
  <c r="B2518" i="4"/>
  <c r="C2518" i="4" s="1"/>
  <c r="A2519" i="4"/>
  <c r="B2519" i="4"/>
  <c r="C2519" i="4" s="1"/>
  <c r="A2520" i="4"/>
  <c r="B2520" i="4"/>
  <c r="C2520" i="4" s="1"/>
  <c r="A2521" i="4"/>
  <c r="B2521" i="4"/>
  <c r="C2521" i="4" s="1"/>
  <c r="A2522" i="4"/>
  <c r="B2522" i="4"/>
  <c r="C2522" i="4" s="1"/>
  <c r="A2523" i="4"/>
  <c r="B2523" i="4"/>
  <c r="C2523" i="4" s="1"/>
  <c r="A2524" i="4"/>
  <c r="B2524" i="4"/>
  <c r="C2524" i="4" s="1"/>
  <c r="A2525" i="4"/>
  <c r="B2525" i="4"/>
  <c r="C2525" i="4" s="1"/>
  <c r="A2526" i="4"/>
  <c r="B2526" i="4"/>
  <c r="C2526" i="4" s="1"/>
  <c r="A2527" i="4"/>
  <c r="B2527" i="4"/>
  <c r="C2527" i="4" s="1"/>
  <c r="A2528" i="4"/>
  <c r="B2528" i="4"/>
  <c r="C2528" i="4" s="1"/>
  <c r="A2529" i="4"/>
  <c r="B2529" i="4"/>
  <c r="C2529" i="4" s="1"/>
  <c r="A2530" i="4"/>
  <c r="B2530" i="4"/>
  <c r="C2530" i="4" s="1"/>
  <c r="A2531" i="4"/>
  <c r="B2531" i="4"/>
  <c r="C2531" i="4" s="1"/>
  <c r="A2532" i="4"/>
  <c r="B2532" i="4"/>
  <c r="C2532" i="4" s="1"/>
  <c r="A2533" i="4"/>
  <c r="B2533" i="4"/>
  <c r="C2533" i="4" s="1"/>
  <c r="A2534" i="4"/>
  <c r="B2534" i="4"/>
  <c r="C2534" i="4" s="1"/>
  <c r="A2535" i="4"/>
  <c r="B2535" i="4"/>
  <c r="C2535" i="4" s="1"/>
  <c r="A2536" i="4"/>
  <c r="B2536" i="4"/>
  <c r="C2536" i="4" s="1"/>
  <c r="A2537" i="4"/>
  <c r="B2537" i="4"/>
  <c r="C2537" i="4" s="1"/>
  <c r="A2538" i="4"/>
  <c r="B2538" i="4"/>
  <c r="C2538" i="4" s="1"/>
  <c r="A2539" i="4"/>
  <c r="B2539" i="4"/>
  <c r="C2539" i="4" s="1"/>
  <c r="A2540" i="4"/>
  <c r="B2540" i="4"/>
  <c r="C2540" i="4" s="1"/>
  <c r="A2541" i="4"/>
  <c r="B2541" i="4"/>
  <c r="C2541" i="4" s="1"/>
  <c r="A2542" i="4"/>
  <c r="B2542" i="4"/>
  <c r="C2542" i="4" s="1"/>
  <c r="A2543" i="4"/>
  <c r="B2543" i="4"/>
  <c r="C2543" i="4" s="1"/>
  <c r="A2544" i="4"/>
  <c r="B2544" i="4"/>
  <c r="C2544" i="4" s="1"/>
  <c r="A2545" i="4"/>
  <c r="B2545" i="4"/>
  <c r="C2545" i="4" s="1"/>
  <c r="A2546" i="4"/>
  <c r="B2546" i="4"/>
  <c r="C2546" i="4" s="1"/>
  <c r="A2547" i="4"/>
  <c r="B2547" i="4"/>
  <c r="C2547" i="4" s="1"/>
  <c r="A2548" i="4"/>
  <c r="B2548" i="4"/>
  <c r="C2548" i="4" s="1"/>
  <c r="A2549" i="4"/>
  <c r="B2549" i="4"/>
  <c r="C2549" i="4" s="1"/>
  <c r="A2550" i="4"/>
  <c r="B2550" i="4"/>
  <c r="C2550" i="4" s="1"/>
  <c r="A2551" i="4"/>
  <c r="B2551" i="4"/>
  <c r="C2551" i="4" s="1"/>
  <c r="A2552" i="4"/>
  <c r="B2552" i="4"/>
  <c r="C2552" i="4" s="1"/>
  <c r="A2553" i="4"/>
  <c r="B2553" i="4"/>
  <c r="C2553" i="4" s="1"/>
  <c r="A2554" i="4"/>
  <c r="B2554" i="4"/>
  <c r="C2554" i="4" s="1"/>
  <c r="A2555" i="4"/>
  <c r="B2555" i="4"/>
  <c r="C2555" i="4" s="1"/>
  <c r="A2556" i="4"/>
  <c r="B2556" i="4"/>
  <c r="C2556" i="4" s="1"/>
  <c r="A2557" i="4"/>
  <c r="B2557" i="4"/>
  <c r="C2557" i="4" s="1"/>
  <c r="A2558" i="4"/>
  <c r="B2558" i="4"/>
  <c r="C2558" i="4" s="1"/>
  <c r="A2559" i="4"/>
  <c r="B2559" i="4"/>
  <c r="C2559" i="4" s="1"/>
  <c r="A2560" i="4"/>
  <c r="B2560" i="4"/>
  <c r="C2560" i="4" s="1"/>
  <c r="A2561" i="4"/>
  <c r="B2561" i="4"/>
  <c r="C2561" i="4" s="1"/>
  <c r="A2562" i="4"/>
  <c r="B2562" i="4"/>
  <c r="C2562" i="4" s="1"/>
  <c r="A2563" i="4"/>
  <c r="B2563" i="4"/>
  <c r="C2563" i="4" s="1"/>
  <c r="A2564" i="4"/>
  <c r="B2564" i="4"/>
  <c r="C2564" i="4" s="1"/>
  <c r="A2565" i="4"/>
  <c r="B2565" i="4"/>
  <c r="C2565" i="4" s="1"/>
  <c r="A2566" i="4"/>
  <c r="B2566" i="4"/>
  <c r="C2566" i="4" s="1"/>
  <c r="A2567" i="4"/>
  <c r="B2567" i="4"/>
  <c r="C2567" i="4" s="1"/>
  <c r="A2568" i="4"/>
  <c r="B2568" i="4"/>
  <c r="C2568" i="4" s="1"/>
  <c r="A2569" i="4"/>
  <c r="B2569" i="4"/>
  <c r="C2569" i="4" s="1"/>
  <c r="A2570" i="4"/>
  <c r="B2570" i="4"/>
  <c r="C2570" i="4" s="1"/>
  <c r="A2571" i="4"/>
  <c r="B2571" i="4"/>
  <c r="C2571" i="4" s="1"/>
  <c r="A2572" i="4"/>
  <c r="B2572" i="4"/>
  <c r="C2572" i="4" s="1"/>
  <c r="A2573" i="4"/>
  <c r="B2573" i="4"/>
  <c r="C2573" i="4" s="1"/>
  <c r="A2574" i="4"/>
  <c r="B2574" i="4"/>
  <c r="C2574" i="4" s="1"/>
  <c r="A2575" i="4"/>
  <c r="B2575" i="4"/>
  <c r="C2575" i="4" s="1"/>
  <c r="A2576" i="4"/>
  <c r="B2576" i="4"/>
  <c r="C2576" i="4" s="1"/>
  <c r="A2577" i="4"/>
  <c r="B2577" i="4"/>
  <c r="C2577" i="4" s="1"/>
  <c r="A2578" i="4"/>
  <c r="B2578" i="4"/>
  <c r="C2578" i="4" s="1"/>
  <c r="A2579" i="4"/>
  <c r="B2579" i="4"/>
  <c r="C2579" i="4" s="1"/>
  <c r="A2580" i="4"/>
  <c r="B2580" i="4"/>
  <c r="C2580" i="4" s="1"/>
  <c r="A2581" i="4"/>
  <c r="B2581" i="4"/>
  <c r="C2581" i="4" s="1"/>
  <c r="A2582" i="4"/>
  <c r="B2582" i="4"/>
  <c r="C2582" i="4" s="1"/>
  <c r="A2583" i="4"/>
  <c r="B2583" i="4"/>
  <c r="C2583" i="4" s="1"/>
  <c r="A2584" i="4"/>
  <c r="B2584" i="4"/>
  <c r="C2584" i="4" s="1"/>
  <c r="A2585" i="4"/>
  <c r="B2585" i="4"/>
  <c r="C2585" i="4" s="1"/>
  <c r="A2586" i="4"/>
  <c r="B2586" i="4"/>
  <c r="C2586" i="4" s="1"/>
  <c r="A2587" i="4"/>
  <c r="B2587" i="4"/>
  <c r="C2587" i="4" s="1"/>
  <c r="A2588" i="4"/>
  <c r="B2588" i="4"/>
  <c r="C2588" i="4" s="1"/>
  <c r="A2589" i="4"/>
  <c r="B2589" i="4"/>
  <c r="C2589" i="4" s="1"/>
  <c r="A2590" i="4"/>
  <c r="B2590" i="4"/>
  <c r="C2590" i="4" s="1"/>
  <c r="A2591" i="4"/>
  <c r="B2591" i="4"/>
  <c r="C2591" i="4" s="1"/>
  <c r="A2592" i="4"/>
  <c r="B2592" i="4"/>
  <c r="C2592" i="4" s="1"/>
  <c r="A2593" i="4"/>
  <c r="B2593" i="4"/>
  <c r="C2593" i="4" s="1"/>
  <c r="A2594" i="4"/>
  <c r="B2594" i="4"/>
  <c r="C2594" i="4" s="1"/>
  <c r="A2595" i="4"/>
  <c r="B2595" i="4"/>
  <c r="C2595" i="4" s="1"/>
  <c r="A2596" i="4"/>
  <c r="B2596" i="4"/>
  <c r="C2596" i="4" s="1"/>
  <c r="A2597" i="4"/>
  <c r="B2597" i="4"/>
  <c r="C2597" i="4" s="1"/>
  <c r="A2598" i="4"/>
  <c r="B2598" i="4"/>
  <c r="C2598" i="4" s="1"/>
  <c r="A2599" i="4"/>
  <c r="B2599" i="4"/>
  <c r="C2599" i="4" s="1"/>
  <c r="A2600" i="4"/>
  <c r="B2600" i="4"/>
  <c r="C2600" i="4" s="1"/>
  <c r="A2601" i="4"/>
  <c r="B2601" i="4"/>
  <c r="C2601" i="4" s="1"/>
  <c r="A2602" i="4"/>
  <c r="B2602" i="4"/>
  <c r="C2602" i="4" s="1"/>
  <c r="A2603" i="4"/>
  <c r="B2603" i="4"/>
  <c r="C2603" i="4" s="1"/>
  <c r="A2604" i="4"/>
  <c r="B2604" i="4"/>
  <c r="C2604" i="4" s="1"/>
  <c r="A2605" i="4"/>
  <c r="B2605" i="4"/>
  <c r="C2605" i="4" s="1"/>
  <c r="A2606" i="4"/>
  <c r="B2606" i="4"/>
  <c r="C2606" i="4" s="1"/>
  <c r="A2607" i="4"/>
  <c r="B2607" i="4"/>
  <c r="C2607" i="4" s="1"/>
  <c r="A2608" i="4"/>
  <c r="B2608" i="4"/>
  <c r="C2608" i="4" s="1"/>
  <c r="A2609" i="4"/>
  <c r="B2609" i="4"/>
  <c r="C2609" i="4" s="1"/>
  <c r="A2610" i="4"/>
  <c r="B2610" i="4"/>
  <c r="C2610" i="4" s="1"/>
  <c r="A2611" i="4"/>
  <c r="B2611" i="4"/>
  <c r="C2611" i="4" s="1"/>
  <c r="A2612" i="4"/>
  <c r="B2612" i="4"/>
  <c r="C2612" i="4" s="1"/>
  <c r="A2613" i="4"/>
  <c r="B2613" i="4"/>
  <c r="C2613" i="4" s="1"/>
  <c r="A2614" i="4"/>
  <c r="B2614" i="4"/>
  <c r="C2614" i="4" s="1"/>
  <c r="A2615" i="4"/>
  <c r="B2615" i="4"/>
  <c r="C2615" i="4" s="1"/>
  <c r="A2616" i="4"/>
  <c r="B2616" i="4"/>
  <c r="C2616" i="4" s="1"/>
  <c r="A2617" i="4"/>
  <c r="B2617" i="4"/>
  <c r="C2617" i="4" s="1"/>
  <c r="A2618" i="4"/>
  <c r="B2618" i="4"/>
  <c r="C2618" i="4" s="1"/>
  <c r="A2619" i="4"/>
  <c r="B2619" i="4"/>
  <c r="C2619" i="4" s="1"/>
  <c r="A2620" i="4"/>
  <c r="B2620" i="4"/>
  <c r="C2620" i="4" s="1"/>
  <c r="A2621" i="4"/>
  <c r="B2621" i="4"/>
  <c r="C2621" i="4" s="1"/>
  <c r="A2622" i="4"/>
  <c r="B2622" i="4"/>
  <c r="C2622" i="4" s="1"/>
  <c r="A2623" i="4"/>
  <c r="B2623" i="4"/>
  <c r="C2623" i="4" s="1"/>
  <c r="A2624" i="4"/>
  <c r="B2624" i="4"/>
  <c r="C2624" i="4" s="1"/>
  <c r="A2625" i="4"/>
  <c r="B2625" i="4"/>
  <c r="C2625" i="4" s="1"/>
  <c r="A2626" i="4"/>
  <c r="B2626" i="4"/>
  <c r="C2626" i="4" s="1"/>
  <c r="A2627" i="4"/>
  <c r="B2627" i="4"/>
  <c r="C2627" i="4" s="1"/>
  <c r="A2628" i="4"/>
  <c r="B2628" i="4"/>
  <c r="C2628" i="4" s="1"/>
  <c r="A2629" i="4"/>
  <c r="B2629" i="4"/>
  <c r="C2629" i="4" s="1"/>
  <c r="A2630" i="4"/>
  <c r="B2630" i="4"/>
  <c r="C2630" i="4" s="1"/>
  <c r="A2631" i="4"/>
  <c r="B2631" i="4"/>
  <c r="C2631" i="4" s="1"/>
  <c r="A2632" i="4"/>
  <c r="B2632" i="4"/>
  <c r="C2632" i="4" s="1"/>
  <c r="A2633" i="4"/>
  <c r="B2633" i="4"/>
  <c r="C2633" i="4" s="1"/>
  <c r="A2634" i="4"/>
  <c r="B2634" i="4"/>
  <c r="C2634" i="4" s="1"/>
  <c r="A2635" i="4"/>
  <c r="B2635" i="4"/>
  <c r="C2635" i="4" s="1"/>
  <c r="A2636" i="4"/>
  <c r="B2636" i="4"/>
  <c r="C2636" i="4" s="1"/>
  <c r="A2637" i="4"/>
  <c r="B2637" i="4"/>
  <c r="C2637" i="4" s="1"/>
  <c r="A2638" i="4"/>
  <c r="B2638" i="4"/>
  <c r="C2638" i="4" s="1"/>
  <c r="A2639" i="4"/>
  <c r="B2639" i="4"/>
  <c r="C2639" i="4" s="1"/>
  <c r="A2640" i="4"/>
  <c r="B2640" i="4"/>
  <c r="C2640" i="4" s="1"/>
  <c r="A2641" i="4"/>
  <c r="B2641" i="4"/>
  <c r="C2641" i="4" s="1"/>
  <c r="A2642" i="4"/>
  <c r="B2642" i="4"/>
  <c r="C2642" i="4" s="1"/>
  <c r="A2643" i="4"/>
  <c r="B2643" i="4"/>
  <c r="C2643" i="4" s="1"/>
  <c r="A2644" i="4"/>
  <c r="B2644" i="4"/>
  <c r="C2644" i="4" s="1"/>
  <c r="A2645" i="4"/>
  <c r="B2645" i="4"/>
  <c r="C2645" i="4" s="1"/>
  <c r="A2646" i="4"/>
  <c r="B2646" i="4"/>
  <c r="C2646" i="4" s="1"/>
  <c r="A2647" i="4"/>
  <c r="B2647" i="4"/>
  <c r="C2647" i="4" s="1"/>
  <c r="A2648" i="4"/>
  <c r="B2648" i="4"/>
  <c r="C2648" i="4" s="1"/>
  <c r="A2649" i="4"/>
  <c r="B2649" i="4"/>
  <c r="C2649" i="4" s="1"/>
  <c r="A2650" i="4"/>
  <c r="B2650" i="4"/>
  <c r="C2650" i="4" s="1"/>
  <c r="A2651" i="4"/>
  <c r="B2651" i="4"/>
  <c r="C2651" i="4" s="1"/>
  <c r="A2652" i="4"/>
  <c r="B2652" i="4"/>
  <c r="C2652" i="4" s="1"/>
  <c r="A2653" i="4"/>
  <c r="B2653" i="4"/>
  <c r="C2653" i="4" s="1"/>
  <c r="A2654" i="4"/>
  <c r="B2654" i="4"/>
  <c r="C2654" i="4" s="1"/>
  <c r="A2655" i="4"/>
  <c r="B2655" i="4"/>
  <c r="C2655" i="4" s="1"/>
  <c r="A2656" i="4"/>
  <c r="B2656" i="4"/>
  <c r="C2656" i="4" s="1"/>
  <c r="A2657" i="4"/>
  <c r="B2657" i="4"/>
  <c r="C2657" i="4" s="1"/>
  <c r="A2658" i="4"/>
  <c r="B2658" i="4"/>
  <c r="C2658" i="4" s="1"/>
  <c r="A2659" i="4"/>
  <c r="B2659" i="4"/>
  <c r="C2659" i="4" s="1"/>
  <c r="A2660" i="4"/>
  <c r="B2660" i="4"/>
  <c r="C2660" i="4" s="1"/>
  <c r="A2661" i="4"/>
  <c r="B2661" i="4"/>
  <c r="C2661" i="4" s="1"/>
  <c r="A2662" i="4"/>
  <c r="B2662" i="4"/>
  <c r="C2662" i="4" s="1"/>
  <c r="G21" i="1" l="1"/>
  <c r="A18" i="2" s="1"/>
  <c r="G24" i="1"/>
  <c r="A21" i="2" s="1"/>
  <c r="G23" i="1"/>
  <c r="A20" i="2" s="1"/>
  <c r="G22" i="1"/>
  <c r="A19" i="2" s="1"/>
  <c r="V24" i="1"/>
  <c r="V23" i="1"/>
  <c r="V21" i="1"/>
  <c r="V22" i="1"/>
  <c r="N177" i="1"/>
  <c r="I174" i="2" s="1"/>
  <c r="N178" i="1"/>
  <c r="I175" i="2" s="1"/>
  <c r="N179" i="1"/>
  <c r="I176" i="2" s="1"/>
  <c r="N180" i="1"/>
  <c r="I177" i="2" s="1"/>
  <c r="N181" i="1"/>
  <c r="I178" i="2" s="1"/>
  <c r="N182" i="1"/>
  <c r="I179" i="2" s="1"/>
  <c r="N183" i="1"/>
  <c r="I180" i="2" s="1"/>
  <c r="N184" i="1"/>
  <c r="I181" i="2" s="1"/>
  <c r="N185" i="1"/>
  <c r="I182" i="2" s="1"/>
  <c r="N186" i="1"/>
  <c r="I183" i="2" s="1"/>
  <c r="N187" i="1"/>
  <c r="I184" i="2" s="1"/>
  <c r="N188" i="1"/>
  <c r="I185" i="2" s="1"/>
  <c r="N189" i="1"/>
  <c r="I186" i="2" s="1"/>
  <c r="N190" i="1"/>
  <c r="I187" i="2" s="1"/>
  <c r="N191" i="1"/>
  <c r="I188" i="2" s="1"/>
  <c r="N192" i="1"/>
  <c r="I189" i="2" s="1"/>
  <c r="N193" i="1"/>
  <c r="I190" i="2" s="1"/>
  <c r="N194" i="1"/>
  <c r="I191" i="2" s="1"/>
  <c r="N195" i="1"/>
  <c r="I192" i="2" s="1"/>
  <c r="N196" i="1"/>
  <c r="I193" i="2" s="1"/>
  <c r="N197" i="1"/>
  <c r="I194" i="2" s="1"/>
  <c r="N198" i="1"/>
  <c r="I195" i="2" s="1"/>
  <c r="N199" i="1"/>
  <c r="I196" i="2" s="1"/>
  <c r="N200" i="1"/>
  <c r="I197" i="2" s="1"/>
  <c r="N201" i="1"/>
  <c r="I198" i="2" s="1"/>
  <c r="N202" i="1"/>
  <c r="I199" i="2" s="1"/>
  <c r="N203" i="1"/>
  <c r="I200" i="2" s="1"/>
  <c r="N204" i="1"/>
  <c r="I201" i="2" s="1"/>
  <c r="N205" i="1"/>
  <c r="I202" i="2" s="1"/>
  <c r="N206" i="1"/>
  <c r="I203" i="2" s="1"/>
  <c r="N207" i="1"/>
  <c r="I204" i="2" s="1"/>
  <c r="N208" i="1"/>
  <c r="I205" i="2" s="1"/>
  <c r="N209" i="1"/>
  <c r="I206" i="2" s="1"/>
  <c r="N210" i="1"/>
  <c r="I207" i="2" s="1"/>
  <c r="N211" i="1"/>
  <c r="I208" i="2" s="1"/>
  <c r="N212" i="1"/>
  <c r="I209" i="2" s="1"/>
  <c r="N213" i="1"/>
  <c r="I210" i="2" s="1"/>
  <c r="N214" i="1"/>
  <c r="I211" i="2" s="1"/>
  <c r="N215" i="1"/>
  <c r="I212" i="2" s="1"/>
  <c r="N216" i="1"/>
  <c r="I213" i="2" s="1"/>
  <c r="N217" i="1"/>
  <c r="I214" i="2" s="1"/>
  <c r="N218" i="1"/>
  <c r="I215" i="2" s="1"/>
  <c r="N219" i="1"/>
  <c r="I216" i="2" s="1"/>
  <c r="N220" i="1"/>
  <c r="I217" i="2" s="1"/>
  <c r="N221" i="1"/>
  <c r="I218" i="2" s="1"/>
  <c r="N222" i="1"/>
  <c r="I219" i="2" s="1"/>
  <c r="N223" i="1"/>
  <c r="I220" i="2" s="1"/>
  <c r="N224" i="1"/>
  <c r="I221" i="2" s="1"/>
  <c r="N225" i="1"/>
  <c r="I222" i="2" s="1"/>
  <c r="N226" i="1"/>
  <c r="I223" i="2" s="1"/>
  <c r="N227" i="1"/>
  <c r="I224" i="2" s="1"/>
  <c r="N228" i="1"/>
  <c r="I225" i="2" s="1"/>
  <c r="N229" i="1"/>
  <c r="I226" i="2" s="1"/>
  <c r="N230" i="1"/>
  <c r="I227" i="2" s="1"/>
  <c r="N231" i="1"/>
  <c r="I228" i="2" s="1"/>
  <c r="N232" i="1"/>
  <c r="I229" i="2" s="1"/>
  <c r="N233" i="1"/>
  <c r="I230" i="2" s="1"/>
  <c r="N234" i="1"/>
  <c r="I231" i="2" s="1"/>
  <c r="N235" i="1"/>
  <c r="I232" i="2" s="1"/>
  <c r="N236" i="1"/>
  <c r="I233" i="2" s="1"/>
  <c r="N237" i="1"/>
  <c r="I234" i="2" s="1"/>
  <c r="N238" i="1"/>
  <c r="I235" i="2" s="1"/>
  <c r="N239" i="1"/>
  <c r="I236" i="2" s="1"/>
  <c r="N240" i="1"/>
  <c r="I237" i="2" s="1"/>
  <c r="N241" i="1"/>
  <c r="I238" i="2" s="1"/>
  <c r="N242" i="1"/>
  <c r="I239" i="2" s="1"/>
  <c r="N243" i="1"/>
  <c r="I240" i="2" s="1"/>
  <c r="N244" i="1"/>
  <c r="I241" i="2" s="1"/>
  <c r="N245" i="1"/>
  <c r="I242" i="2" s="1"/>
  <c r="N246" i="1"/>
  <c r="I243" i="2" s="1"/>
  <c r="N247" i="1"/>
  <c r="I244" i="2" s="1"/>
  <c r="N248" i="1"/>
  <c r="I245" i="2" s="1"/>
  <c r="N249" i="1"/>
  <c r="I246" i="2" s="1"/>
  <c r="N250" i="1"/>
  <c r="I247" i="2" s="1"/>
  <c r="N251" i="1"/>
  <c r="I248" i="2" s="1"/>
  <c r="N252" i="1"/>
  <c r="I249" i="2" s="1"/>
  <c r="N253" i="1"/>
  <c r="I250" i="2" s="1"/>
  <c r="N254" i="1"/>
  <c r="I251" i="2" s="1"/>
  <c r="N255" i="1"/>
  <c r="I252" i="2" s="1"/>
  <c r="N256" i="1"/>
  <c r="I253" i="2" s="1"/>
  <c r="N257" i="1"/>
  <c r="I254" i="2" s="1"/>
  <c r="N258" i="1"/>
  <c r="I255" i="2" s="1"/>
  <c r="N259" i="1"/>
  <c r="I256" i="2" s="1"/>
  <c r="N260" i="1"/>
  <c r="I257" i="2" s="1"/>
  <c r="N261" i="1"/>
  <c r="I258" i="2" s="1"/>
  <c r="N262" i="1"/>
  <c r="I259" i="2" s="1"/>
  <c r="N263" i="1"/>
  <c r="I260" i="2" s="1"/>
  <c r="N264" i="1"/>
  <c r="I261" i="2" s="1"/>
  <c r="N265" i="1"/>
  <c r="I262" i="2" s="1"/>
  <c r="N266" i="1"/>
  <c r="I263" i="2" s="1"/>
  <c r="N267" i="1"/>
  <c r="I264" i="2" s="1"/>
  <c r="N268" i="1"/>
  <c r="I265" i="2" s="1"/>
  <c r="N269" i="1"/>
  <c r="I266" i="2" s="1"/>
  <c r="N270" i="1"/>
  <c r="I267" i="2" s="1"/>
  <c r="N271" i="1"/>
  <c r="I268" i="2" s="1"/>
  <c r="N272" i="1"/>
  <c r="I269" i="2" s="1"/>
  <c r="N273" i="1"/>
  <c r="I270" i="2" s="1"/>
  <c r="N274" i="1"/>
  <c r="I271" i="2" s="1"/>
  <c r="N275" i="1"/>
  <c r="I272" i="2" s="1"/>
  <c r="N276" i="1"/>
  <c r="I273" i="2" s="1"/>
  <c r="N277" i="1"/>
  <c r="I274" i="2" s="1"/>
  <c r="N278" i="1"/>
  <c r="I275" i="2" s="1"/>
  <c r="N279" i="1"/>
  <c r="I276" i="2" s="1"/>
  <c r="N280" i="1"/>
  <c r="I277" i="2" s="1"/>
  <c r="N281" i="1"/>
  <c r="I278" i="2" s="1"/>
  <c r="N282" i="1"/>
  <c r="I279" i="2" s="1"/>
  <c r="N283" i="1"/>
  <c r="I280" i="2" s="1"/>
  <c r="N284" i="1"/>
  <c r="I281" i="2" s="1"/>
  <c r="N285" i="1"/>
  <c r="I282" i="2" s="1"/>
  <c r="N286" i="1"/>
  <c r="I283" i="2" s="1"/>
  <c r="N287" i="1"/>
  <c r="I284" i="2" s="1"/>
  <c r="N288" i="1"/>
  <c r="I285" i="2" s="1"/>
  <c r="N289" i="1"/>
  <c r="I286" i="2" s="1"/>
  <c r="N290" i="1"/>
  <c r="I287" i="2" s="1"/>
  <c r="N291" i="1"/>
  <c r="I288" i="2" s="1"/>
  <c r="N292" i="1"/>
  <c r="I289" i="2" s="1"/>
  <c r="N293" i="1"/>
  <c r="I290" i="2" s="1"/>
  <c r="N294" i="1"/>
  <c r="I291" i="2" s="1"/>
  <c r="N295" i="1"/>
  <c r="I292" i="2" s="1"/>
  <c r="N296" i="1"/>
  <c r="I293" i="2" s="1"/>
  <c r="N297" i="1"/>
  <c r="I294" i="2" s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M177" i="1"/>
  <c r="H174" i="2" s="1"/>
  <c r="M178" i="1"/>
  <c r="H175" i="2" s="1"/>
  <c r="M179" i="1"/>
  <c r="H176" i="2" s="1"/>
  <c r="M180" i="1"/>
  <c r="H177" i="2" s="1"/>
  <c r="M181" i="1"/>
  <c r="H178" i="2" s="1"/>
  <c r="M182" i="1"/>
  <c r="H179" i="2" s="1"/>
  <c r="M183" i="1"/>
  <c r="H180" i="2" s="1"/>
  <c r="M184" i="1"/>
  <c r="H181" i="2" s="1"/>
  <c r="M185" i="1"/>
  <c r="H182" i="2" s="1"/>
  <c r="M186" i="1"/>
  <c r="H183" i="2" s="1"/>
  <c r="M187" i="1"/>
  <c r="H184" i="2" s="1"/>
  <c r="M188" i="1"/>
  <c r="H185" i="2" s="1"/>
  <c r="M189" i="1"/>
  <c r="H186" i="2" s="1"/>
  <c r="M190" i="1"/>
  <c r="H187" i="2" s="1"/>
  <c r="M191" i="1"/>
  <c r="H188" i="2" s="1"/>
  <c r="M192" i="1"/>
  <c r="H189" i="2" s="1"/>
  <c r="M193" i="1"/>
  <c r="H190" i="2" s="1"/>
  <c r="M194" i="1"/>
  <c r="H191" i="2" s="1"/>
  <c r="M195" i="1"/>
  <c r="H192" i="2" s="1"/>
  <c r="M196" i="1"/>
  <c r="H193" i="2" s="1"/>
  <c r="M197" i="1"/>
  <c r="H194" i="2" s="1"/>
  <c r="M198" i="1"/>
  <c r="H195" i="2" s="1"/>
  <c r="M199" i="1"/>
  <c r="H196" i="2" s="1"/>
  <c r="M200" i="1"/>
  <c r="H197" i="2" s="1"/>
  <c r="M201" i="1"/>
  <c r="H198" i="2" s="1"/>
  <c r="M202" i="1"/>
  <c r="H199" i="2" s="1"/>
  <c r="M203" i="1"/>
  <c r="H200" i="2" s="1"/>
  <c r="M204" i="1"/>
  <c r="H201" i="2" s="1"/>
  <c r="M205" i="1"/>
  <c r="H202" i="2" s="1"/>
  <c r="M206" i="1"/>
  <c r="H203" i="2" s="1"/>
  <c r="M207" i="1"/>
  <c r="H204" i="2" s="1"/>
  <c r="M208" i="1"/>
  <c r="H205" i="2" s="1"/>
  <c r="M209" i="1"/>
  <c r="H206" i="2" s="1"/>
  <c r="M210" i="1"/>
  <c r="H207" i="2" s="1"/>
  <c r="M211" i="1"/>
  <c r="H208" i="2" s="1"/>
  <c r="M212" i="1"/>
  <c r="H209" i="2" s="1"/>
  <c r="M213" i="1"/>
  <c r="H210" i="2" s="1"/>
  <c r="M214" i="1"/>
  <c r="H211" i="2" s="1"/>
  <c r="M215" i="1"/>
  <c r="H212" i="2" s="1"/>
  <c r="M216" i="1"/>
  <c r="H213" i="2" s="1"/>
  <c r="M217" i="1"/>
  <c r="H214" i="2" s="1"/>
  <c r="M218" i="1"/>
  <c r="H215" i="2" s="1"/>
  <c r="M219" i="1"/>
  <c r="H216" i="2" s="1"/>
  <c r="M220" i="1"/>
  <c r="H217" i="2" s="1"/>
  <c r="M221" i="1"/>
  <c r="H218" i="2" s="1"/>
  <c r="M222" i="1"/>
  <c r="H219" i="2" s="1"/>
  <c r="M223" i="1"/>
  <c r="H220" i="2" s="1"/>
  <c r="M224" i="1"/>
  <c r="H221" i="2" s="1"/>
  <c r="M225" i="1"/>
  <c r="H222" i="2" s="1"/>
  <c r="M226" i="1"/>
  <c r="H223" i="2" s="1"/>
  <c r="M227" i="1"/>
  <c r="H224" i="2" s="1"/>
  <c r="M228" i="1"/>
  <c r="H225" i="2" s="1"/>
  <c r="M229" i="1"/>
  <c r="H226" i="2" s="1"/>
  <c r="M230" i="1"/>
  <c r="H227" i="2" s="1"/>
  <c r="M231" i="1"/>
  <c r="H228" i="2" s="1"/>
  <c r="M232" i="1"/>
  <c r="H229" i="2" s="1"/>
  <c r="M233" i="1"/>
  <c r="H230" i="2" s="1"/>
  <c r="M234" i="1"/>
  <c r="H231" i="2" s="1"/>
  <c r="M235" i="1"/>
  <c r="H232" i="2" s="1"/>
  <c r="M236" i="1"/>
  <c r="H233" i="2" s="1"/>
  <c r="M237" i="1"/>
  <c r="H234" i="2" s="1"/>
  <c r="M238" i="1"/>
  <c r="H235" i="2" s="1"/>
  <c r="M239" i="1"/>
  <c r="H236" i="2" s="1"/>
  <c r="M240" i="1"/>
  <c r="H237" i="2" s="1"/>
  <c r="M241" i="1"/>
  <c r="H238" i="2" s="1"/>
  <c r="M242" i="1"/>
  <c r="H239" i="2" s="1"/>
  <c r="M243" i="1"/>
  <c r="H240" i="2" s="1"/>
  <c r="M244" i="1"/>
  <c r="H241" i="2" s="1"/>
  <c r="M245" i="1"/>
  <c r="H242" i="2" s="1"/>
  <c r="M246" i="1"/>
  <c r="H243" i="2" s="1"/>
  <c r="M247" i="1"/>
  <c r="H244" i="2" s="1"/>
  <c r="M248" i="1"/>
  <c r="H245" i="2" s="1"/>
  <c r="M249" i="1"/>
  <c r="H246" i="2" s="1"/>
  <c r="M250" i="1"/>
  <c r="H247" i="2" s="1"/>
  <c r="M251" i="1"/>
  <c r="H248" i="2" s="1"/>
  <c r="M252" i="1"/>
  <c r="H249" i="2" s="1"/>
  <c r="M253" i="1"/>
  <c r="H250" i="2" s="1"/>
  <c r="M254" i="1"/>
  <c r="H251" i="2" s="1"/>
  <c r="M255" i="1"/>
  <c r="H252" i="2" s="1"/>
  <c r="M256" i="1"/>
  <c r="H253" i="2" s="1"/>
  <c r="M257" i="1"/>
  <c r="H254" i="2" s="1"/>
  <c r="M258" i="1"/>
  <c r="H255" i="2" s="1"/>
  <c r="M259" i="1"/>
  <c r="H256" i="2" s="1"/>
  <c r="M260" i="1"/>
  <c r="H257" i="2" s="1"/>
  <c r="M261" i="1"/>
  <c r="H258" i="2" s="1"/>
  <c r="M262" i="1"/>
  <c r="H259" i="2" s="1"/>
  <c r="M263" i="1"/>
  <c r="H260" i="2" s="1"/>
  <c r="M264" i="1"/>
  <c r="H261" i="2" s="1"/>
  <c r="M265" i="1"/>
  <c r="H262" i="2" s="1"/>
  <c r="M266" i="1"/>
  <c r="H263" i="2" s="1"/>
  <c r="M267" i="1"/>
  <c r="H264" i="2" s="1"/>
  <c r="M268" i="1"/>
  <c r="H265" i="2" s="1"/>
  <c r="M269" i="1"/>
  <c r="H266" i="2" s="1"/>
  <c r="M270" i="1"/>
  <c r="H267" i="2" s="1"/>
  <c r="M271" i="1"/>
  <c r="H268" i="2" s="1"/>
  <c r="M272" i="1"/>
  <c r="H269" i="2" s="1"/>
  <c r="M273" i="1"/>
  <c r="H270" i="2" s="1"/>
  <c r="M274" i="1"/>
  <c r="H271" i="2" s="1"/>
  <c r="M275" i="1"/>
  <c r="H272" i="2" s="1"/>
  <c r="M276" i="1"/>
  <c r="H273" i="2" s="1"/>
  <c r="M277" i="1"/>
  <c r="H274" i="2" s="1"/>
  <c r="M278" i="1"/>
  <c r="H275" i="2" s="1"/>
  <c r="M279" i="1"/>
  <c r="H276" i="2" s="1"/>
  <c r="M280" i="1"/>
  <c r="H277" i="2" s="1"/>
  <c r="M281" i="1"/>
  <c r="H278" i="2" s="1"/>
  <c r="M282" i="1"/>
  <c r="H279" i="2" s="1"/>
  <c r="M283" i="1"/>
  <c r="H280" i="2" s="1"/>
  <c r="M284" i="1"/>
  <c r="H281" i="2" s="1"/>
  <c r="M285" i="1"/>
  <c r="H282" i="2" s="1"/>
  <c r="M286" i="1"/>
  <c r="H283" i="2" s="1"/>
  <c r="M287" i="1"/>
  <c r="H284" i="2" s="1"/>
  <c r="M288" i="1"/>
  <c r="H285" i="2" s="1"/>
  <c r="M289" i="1"/>
  <c r="H286" i="2" s="1"/>
  <c r="M290" i="1"/>
  <c r="H287" i="2" s="1"/>
  <c r="M291" i="1"/>
  <c r="H288" i="2" s="1"/>
  <c r="M292" i="1"/>
  <c r="H289" i="2" s="1"/>
  <c r="M293" i="1"/>
  <c r="H290" i="2" s="1"/>
  <c r="M294" i="1"/>
  <c r="H291" i="2" s="1"/>
  <c r="M295" i="1"/>
  <c r="H292" i="2" s="1"/>
  <c r="M296" i="1"/>
  <c r="H293" i="2" s="1"/>
  <c r="M297" i="1"/>
  <c r="H294" i="2" s="1"/>
  <c r="M298" i="1"/>
  <c r="H295" i="2" s="1"/>
  <c r="M299" i="1"/>
  <c r="H296" i="2" s="1"/>
  <c r="M300" i="1"/>
  <c r="H297" i="2" s="1"/>
  <c r="M301" i="1"/>
  <c r="H298" i="2" s="1"/>
  <c r="M302" i="1"/>
  <c r="H299" i="2" s="1"/>
  <c r="M303" i="1"/>
  <c r="H300" i="2" s="1"/>
  <c r="M304" i="1"/>
  <c r="H301" i="2" s="1"/>
  <c r="M305" i="1"/>
  <c r="H302" i="2" s="1"/>
  <c r="M306" i="1"/>
  <c r="H303" i="2" s="1"/>
  <c r="M307" i="1"/>
  <c r="H304" i="2" s="1"/>
  <c r="M308" i="1"/>
  <c r="H305" i="2" s="1"/>
  <c r="M309" i="1"/>
  <c r="H306" i="2" s="1"/>
  <c r="M310" i="1"/>
  <c r="H307" i="2" s="1"/>
  <c r="M311" i="1"/>
  <c r="H308" i="2" s="1"/>
  <c r="M312" i="1"/>
  <c r="H309" i="2" s="1"/>
  <c r="M313" i="1"/>
  <c r="H310" i="2" s="1"/>
  <c r="M314" i="1"/>
  <c r="H311" i="2" s="1"/>
  <c r="M315" i="1"/>
  <c r="H312" i="2" s="1"/>
  <c r="M316" i="1"/>
  <c r="H313" i="2" s="1"/>
  <c r="M317" i="1"/>
  <c r="H314" i="2" s="1"/>
  <c r="M318" i="1"/>
  <c r="H315" i="2" s="1"/>
  <c r="M319" i="1"/>
  <c r="H316" i="2" s="1"/>
  <c r="M320" i="1"/>
  <c r="H317" i="2" s="1"/>
  <c r="M321" i="1"/>
  <c r="H318" i="2" s="1"/>
  <c r="M322" i="1"/>
  <c r="H319" i="2" s="1"/>
  <c r="M323" i="1"/>
  <c r="H320" i="2" s="1"/>
  <c r="M324" i="1"/>
  <c r="H321" i="2" s="1"/>
  <c r="M325" i="1"/>
  <c r="H322" i="2" s="1"/>
  <c r="M326" i="1"/>
  <c r="H323" i="2" s="1"/>
  <c r="M327" i="1"/>
  <c r="H324" i="2" s="1"/>
  <c r="M328" i="1"/>
  <c r="H325" i="2" s="1"/>
  <c r="M329" i="1"/>
  <c r="H326" i="2" s="1"/>
  <c r="M330" i="1"/>
  <c r="H327" i="2" s="1"/>
  <c r="M331" i="1"/>
  <c r="H328" i="2" s="1"/>
  <c r="M332" i="1"/>
  <c r="H329" i="2" s="1"/>
  <c r="M333" i="1"/>
  <c r="H330" i="2" s="1"/>
  <c r="M334" i="1"/>
  <c r="H331" i="2" s="1"/>
  <c r="M335" i="1"/>
  <c r="H332" i="2" s="1"/>
  <c r="M336" i="1"/>
  <c r="H333" i="2" s="1"/>
  <c r="M337" i="1"/>
  <c r="H334" i="2" s="1"/>
  <c r="M338" i="1"/>
  <c r="H335" i="2" s="1"/>
  <c r="M339" i="1"/>
  <c r="H336" i="2" s="1"/>
  <c r="M340" i="1"/>
  <c r="H337" i="2" s="1"/>
  <c r="M341" i="1"/>
  <c r="H338" i="2" s="1"/>
  <c r="M342" i="1"/>
  <c r="H339" i="2" s="1"/>
  <c r="M343" i="1"/>
  <c r="H340" i="2" s="1"/>
  <c r="M344" i="1"/>
  <c r="H341" i="2" s="1"/>
  <c r="M345" i="1"/>
  <c r="H342" i="2" s="1"/>
  <c r="M346" i="1"/>
  <c r="H343" i="2" s="1"/>
  <c r="M347" i="1"/>
  <c r="H344" i="2" s="1"/>
  <c r="M348" i="1"/>
  <c r="H345" i="2" s="1"/>
  <c r="M349" i="1"/>
  <c r="H346" i="2" s="1"/>
  <c r="M350" i="1"/>
  <c r="H347" i="2" s="1"/>
  <c r="M351" i="1"/>
  <c r="H348" i="2" s="1"/>
  <c r="M352" i="1"/>
  <c r="H349" i="2" s="1"/>
  <c r="M353" i="1"/>
  <c r="H350" i="2" s="1"/>
  <c r="M354" i="1"/>
  <c r="H351" i="2" s="1"/>
  <c r="M355" i="1"/>
  <c r="H352" i="2" s="1"/>
  <c r="M356" i="1"/>
  <c r="H353" i="2" s="1"/>
  <c r="M357" i="1"/>
  <c r="H354" i="2" s="1"/>
  <c r="M358" i="1"/>
  <c r="H355" i="2" s="1"/>
  <c r="M359" i="1"/>
  <c r="H356" i="2" s="1"/>
  <c r="M360" i="1"/>
  <c r="H357" i="2" s="1"/>
  <c r="M361" i="1"/>
  <c r="H358" i="2" s="1"/>
  <c r="M362" i="1"/>
  <c r="H359" i="2" s="1"/>
  <c r="M363" i="1"/>
  <c r="H360" i="2" s="1"/>
  <c r="M364" i="1"/>
  <c r="H361" i="2" s="1"/>
  <c r="M365" i="1"/>
  <c r="H362" i="2" s="1"/>
  <c r="M366" i="1"/>
  <c r="H363" i="2" s="1"/>
  <c r="M367" i="1"/>
  <c r="H364" i="2" s="1"/>
  <c r="M368" i="1"/>
  <c r="H365" i="2" s="1"/>
  <c r="M369" i="1"/>
  <c r="H366" i="2" s="1"/>
  <c r="M370" i="1"/>
  <c r="H367" i="2" s="1"/>
  <c r="M371" i="1"/>
  <c r="H368" i="2" s="1"/>
  <c r="M372" i="1"/>
  <c r="H369" i="2" s="1"/>
  <c r="M373" i="1"/>
  <c r="H370" i="2" s="1"/>
  <c r="M374" i="1"/>
  <c r="H371" i="2" s="1"/>
  <c r="M375" i="1"/>
  <c r="H372" i="2" s="1"/>
  <c r="M376" i="1"/>
  <c r="H373" i="2" s="1"/>
  <c r="M377" i="1"/>
  <c r="H374" i="2" s="1"/>
  <c r="M378" i="1"/>
  <c r="H375" i="2" s="1"/>
  <c r="M379" i="1"/>
  <c r="H376" i="2" s="1"/>
  <c r="M380" i="1"/>
  <c r="H377" i="2" s="1"/>
  <c r="M381" i="1"/>
  <c r="H378" i="2" s="1"/>
  <c r="M382" i="1"/>
  <c r="H379" i="2" s="1"/>
  <c r="M383" i="1"/>
  <c r="H380" i="2" s="1"/>
  <c r="M384" i="1"/>
  <c r="H381" i="2" s="1"/>
  <c r="M385" i="1"/>
  <c r="H382" i="2" s="1"/>
  <c r="M386" i="1"/>
  <c r="H383" i="2" s="1"/>
  <c r="M387" i="1"/>
  <c r="H384" i="2" s="1"/>
  <c r="M388" i="1"/>
  <c r="H385" i="2" s="1"/>
  <c r="M389" i="1"/>
  <c r="H386" i="2" s="1"/>
  <c r="M390" i="1"/>
  <c r="H387" i="2" s="1"/>
  <c r="M391" i="1"/>
  <c r="H388" i="2" s="1"/>
  <c r="M392" i="1"/>
  <c r="H389" i="2" s="1"/>
  <c r="M393" i="1"/>
  <c r="H390" i="2" s="1"/>
  <c r="M394" i="1"/>
  <c r="H391" i="2" s="1"/>
  <c r="M395" i="1"/>
  <c r="H392" i="2" s="1"/>
  <c r="M396" i="1"/>
  <c r="H393" i="2" s="1"/>
  <c r="M397" i="1"/>
  <c r="H394" i="2" s="1"/>
  <c r="M398" i="1"/>
  <c r="H395" i="2" s="1"/>
  <c r="M399" i="1"/>
  <c r="H396" i="2" s="1"/>
  <c r="M400" i="1"/>
  <c r="H397" i="2" s="1"/>
  <c r="M401" i="1"/>
  <c r="H398" i="2" s="1"/>
  <c r="M402" i="1"/>
  <c r="H399" i="2" s="1"/>
  <c r="M403" i="1"/>
  <c r="H400" i="2" s="1"/>
  <c r="M404" i="1"/>
  <c r="H401" i="2" s="1"/>
  <c r="M405" i="1"/>
  <c r="H402" i="2" s="1"/>
  <c r="M406" i="1"/>
  <c r="H403" i="2" s="1"/>
  <c r="M407" i="1"/>
  <c r="H404" i="2" s="1"/>
  <c r="M408" i="1"/>
  <c r="H405" i="2" s="1"/>
  <c r="M409" i="1"/>
  <c r="H406" i="2" s="1"/>
  <c r="M410" i="1"/>
  <c r="H407" i="2" s="1"/>
  <c r="M411" i="1"/>
  <c r="H408" i="2" s="1"/>
  <c r="M412" i="1"/>
  <c r="H409" i="2" s="1"/>
  <c r="M413" i="1"/>
  <c r="H410" i="2" s="1"/>
  <c r="M414" i="1"/>
  <c r="H411" i="2" s="1"/>
  <c r="M415" i="1"/>
  <c r="H412" i="2" s="1"/>
  <c r="M416" i="1"/>
  <c r="H413" i="2" s="1"/>
  <c r="M417" i="1"/>
  <c r="H414" i="2" s="1"/>
  <c r="M418" i="1"/>
  <c r="H415" i="2" s="1"/>
  <c r="M419" i="1"/>
  <c r="H416" i="2" s="1"/>
  <c r="M420" i="1"/>
  <c r="H417" i="2" s="1"/>
  <c r="M421" i="1"/>
  <c r="H418" i="2" s="1"/>
  <c r="M422" i="1"/>
  <c r="H419" i="2" s="1"/>
  <c r="M423" i="1"/>
  <c r="H420" i="2" s="1"/>
  <c r="M424" i="1"/>
  <c r="H421" i="2" s="1"/>
  <c r="M425" i="1"/>
  <c r="H422" i="2" s="1"/>
  <c r="M426" i="1"/>
  <c r="H423" i="2" s="1"/>
  <c r="M427" i="1"/>
  <c r="H424" i="2" s="1"/>
  <c r="M428" i="1"/>
  <c r="H425" i="2" s="1"/>
  <c r="M429" i="1"/>
  <c r="H426" i="2" s="1"/>
  <c r="M430" i="1"/>
  <c r="H427" i="2" s="1"/>
  <c r="M431" i="1"/>
  <c r="H428" i="2" s="1"/>
  <c r="M432" i="1"/>
  <c r="H429" i="2" s="1"/>
  <c r="M433" i="1"/>
  <c r="H430" i="2" s="1"/>
  <c r="M434" i="1"/>
  <c r="H431" i="2" s="1"/>
  <c r="M435" i="1"/>
  <c r="H432" i="2" s="1"/>
  <c r="M436" i="1"/>
  <c r="H433" i="2" s="1"/>
  <c r="M437" i="1"/>
  <c r="H434" i="2" s="1"/>
  <c r="M438" i="1"/>
  <c r="H435" i="2" s="1"/>
  <c r="M439" i="1"/>
  <c r="H436" i="2" s="1"/>
  <c r="M440" i="1"/>
  <c r="H437" i="2" s="1"/>
  <c r="M441" i="1"/>
  <c r="H438" i="2" s="1"/>
  <c r="M442" i="1"/>
  <c r="H439" i="2" s="1"/>
  <c r="M443" i="1"/>
  <c r="H440" i="2" s="1"/>
  <c r="M444" i="1"/>
  <c r="H441" i="2" s="1"/>
  <c r="M445" i="1"/>
  <c r="H442" i="2" s="1"/>
  <c r="M446" i="1"/>
  <c r="H443" i="2" s="1"/>
  <c r="M447" i="1"/>
  <c r="H444" i="2" s="1"/>
  <c r="M448" i="1"/>
  <c r="H445" i="2" s="1"/>
  <c r="M449" i="1"/>
  <c r="H446" i="2" s="1"/>
  <c r="M450" i="1"/>
  <c r="H447" i="2" s="1"/>
  <c r="M451" i="1"/>
  <c r="H448" i="2" s="1"/>
  <c r="M452" i="1"/>
  <c r="H449" i="2" s="1"/>
  <c r="M453" i="1"/>
  <c r="H450" i="2" s="1"/>
  <c r="M454" i="1"/>
  <c r="H451" i="2" s="1"/>
  <c r="M455" i="1"/>
  <c r="H452" i="2" s="1"/>
  <c r="M456" i="1"/>
  <c r="H453" i="2" s="1"/>
  <c r="M457" i="1"/>
  <c r="H454" i="2" s="1"/>
  <c r="M458" i="1"/>
  <c r="H455" i="2" s="1"/>
  <c r="M459" i="1"/>
  <c r="H456" i="2" s="1"/>
  <c r="M460" i="1"/>
  <c r="H457" i="2" s="1"/>
  <c r="M461" i="1"/>
  <c r="H458" i="2" s="1"/>
  <c r="M462" i="1"/>
  <c r="H459" i="2" s="1"/>
  <c r="M463" i="1"/>
  <c r="H460" i="2" s="1"/>
  <c r="M464" i="1"/>
  <c r="H461" i="2" s="1"/>
  <c r="M465" i="1"/>
  <c r="H462" i="2" s="1"/>
  <c r="M466" i="1"/>
  <c r="H463" i="2" s="1"/>
  <c r="M467" i="1"/>
  <c r="H464" i="2" s="1"/>
  <c r="M468" i="1"/>
  <c r="H465" i="2" s="1"/>
  <c r="M469" i="1"/>
  <c r="H466" i="2" s="1"/>
  <c r="M470" i="1"/>
  <c r="H467" i="2" s="1"/>
  <c r="M471" i="1"/>
  <c r="H468" i="2" s="1"/>
  <c r="M472" i="1"/>
  <c r="H469" i="2" s="1"/>
  <c r="M473" i="1"/>
  <c r="H470" i="2" s="1"/>
  <c r="M474" i="1"/>
  <c r="H471" i="2" s="1"/>
  <c r="M475" i="1"/>
  <c r="H472" i="2" s="1"/>
  <c r="M476" i="1"/>
  <c r="H473" i="2" s="1"/>
  <c r="M477" i="1"/>
  <c r="H474" i="2" s="1"/>
  <c r="M478" i="1"/>
  <c r="H475" i="2" s="1"/>
  <c r="M479" i="1"/>
  <c r="H476" i="2" s="1"/>
  <c r="M480" i="1"/>
  <c r="H477" i="2" s="1"/>
  <c r="M481" i="1"/>
  <c r="H478" i="2" s="1"/>
  <c r="M482" i="1"/>
  <c r="H479" i="2" s="1"/>
  <c r="M483" i="1"/>
  <c r="H480" i="2" s="1"/>
  <c r="M484" i="1"/>
  <c r="H481" i="2" s="1"/>
  <c r="M485" i="1"/>
  <c r="H482" i="2" s="1"/>
  <c r="M486" i="1"/>
  <c r="H483" i="2" s="1"/>
  <c r="M487" i="1"/>
  <c r="H484" i="2" s="1"/>
  <c r="M488" i="1"/>
  <c r="H485" i="2" s="1"/>
  <c r="M489" i="1"/>
  <c r="H486" i="2" s="1"/>
  <c r="M490" i="1"/>
  <c r="H487" i="2" s="1"/>
  <c r="M491" i="1"/>
  <c r="H488" i="2" s="1"/>
  <c r="M492" i="1"/>
  <c r="H489" i="2" s="1"/>
  <c r="M493" i="1"/>
  <c r="H490" i="2" s="1"/>
  <c r="M494" i="1"/>
  <c r="H491" i="2" s="1"/>
  <c r="M495" i="1"/>
  <c r="H492" i="2" s="1"/>
  <c r="M496" i="1"/>
  <c r="H493" i="2" s="1"/>
  <c r="M497" i="1"/>
  <c r="H494" i="2" s="1"/>
  <c r="M498" i="1"/>
  <c r="H495" i="2" s="1"/>
  <c r="M499" i="1"/>
  <c r="H496" i="2" s="1"/>
  <c r="M500" i="1"/>
  <c r="H497" i="2" s="1"/>
  <c r="M501" i="1"/>
  <c r="H498" i="2" s="1"/>
  <c r="M502" i="1"/>
  <c r="H499" i="2" s="1"/>
  <c r="M503" i="1"/>
  <c r="H500" i="2" s="1"/>
  <c r="M504" i="1"/>
  <c r="H501" i="2" s="1"/>
  <c r="M505" i="1"/>
  <c r="H502" i="2" s="1"/>
  <c r="M506" i="1"/>
  <c r="H503" i="2" s="1"/>
  <c r="M507" i="1"/>
  <c r="H504" i="2" s="1"/>
  <c r="M508" i="1"/>
  <c r="H505" i="2" s="1"/>
  <c r="M509" i="1"/>
  <c r="H506" i="2" s="1"/>
  <c r="M510" i="1"/>
  <c r="H507" i="2" s="1"/>
  <c r="M511" i="1"/>
  <c r="H508" i="2" s="1"/>
  <c r="M512" i="1"/>
  <c r="H509" i="2" s="1"/>
  <c r="M513" i="1"/>
  <c r="H510" i="2" s="1"/>
  <c r="M514" i="1"/>
  <c r="H511" i="2" s="1"/>
  <c r="M515" i="1"/>
  <c r="H512" i="2" s="1"/>
  <c r="M516" i="1"/>
  <c r="H513" i="2" s="1"/>
  <c r="M517" i="1"/>
  <c r="H514" i="2" s="1"/>
  <c r="M518" i="1"/>
  <c r="H515" i="2" s="1"/>
  <c r="M519" i="1"/>
  <c r="H516" i="2" s="1"/>
  <c r="M520" i="1"/>
  <c r="H517" i="2" s="1"/>
  <c r="M521" i="1"/>
  <c r="H518" i="2" s="1"/>
  <c r="M522" i="1"/>
  <c r="H519" i="2" s="1"/>
  <c r="M523" i="1"/>
  <c r="H520" i="2" s="1"/>
  <c r="M524" i="1"/>
  <c r="H521" i="2" s="1"/>
  <c r="M525" i="1"/>
  <c r="H522" i="2" s="1"/>
  <c r="M526" i="1"/>
  <c r="H523" i="2" s="1"/>
  <c r="M527" i="1"/>
  <c r="H524" i="2" s="1"/>
  <c r="M528" i="1"/>
  <c r="H525" i="2" s="1"/>
  <c r="M529" i="1"/>
  <c r="H526" i="2" s="1"/>
  <c r="M530" i="1"/>
  <c r="H527" i="2" s="1"/>
  <c r="M531" i="1"/>
  <c r="H528" i="2" s="1"/>
  <c r="M532" i="1"/>
  <c r="H529" i="2" s="1"/>
  <c r="M533" i="1"/>
  <c r="H530" i="2" s="1"/>
  <c r="M534" i="1"/>
  <c r="H531" i="2" s="1"/>
  <c r="M535" i="1"/>
  <c r="H532" i="2" s="1"/>
  <c r="M536" i="1"/>
  <c r="H533" i="2" s="1"/>
  <c r="M537" i="1"/>
  <c r="H534" i="2" s="1"/>
  <c r="M538" i="1"/>
  <c r="H535" i="2" s="1"/>
  <c r="M539" i="1"/>
  <c r="H536" i="2" s="1"/>
  <c r="M540" i="1"/>
  <c r="H537" i="2" s="1"/>
  <c r="M541" i="1"/>
  <c r="H538" i="2" s="1"/>
  <c r="M542" i="1"/>
  <c r="H539" i="2" s="1"/>
  <c r="M543" i="1"/>
  <c r="H540" i="2" s="1"/>
  <c r="M544" i="1"/>
  <c r="H541" i="2" s="1"/>
  <c r="M545" i="1"/>
  <c r="H542" i="2" s="1"/>
  <c r="M546" i="1"/>
  <c r="H543" i="2" s="1"/>
  <c r="M547" i="1"/>
  <c r="H544" i="2" s="1"/>
  <c r="M548" i="1"/>
  <c r="H545" i="2" s="1"/>
  <c r="M549" i="1"/>
  <c r="H546" i="2" s="1"/>
  <c r="M550" i="1"/>
  <c r="H547" i="2" s="1"/>
  <c r="M551" i="1"/>
  <c r="H548" i="2" s="1"/>
  <c r="M552" i="1"/>
  <c r="H549" i="2" s="1"/>
  <c r="M553" i="1"/>
  <c r="H550" i="2" s="1"/>
  <c r="M554" i="1"/>
  <c r="H551" i="2" s="1"/>
  <c r="M555" i="1"/>
  <c r="H552" i="2" s="1"/>
  <c r="M556" i="1"/>
  <c r="H553" i="2" s="1"/>
  <c r="M557" i="1"/>
  <c r="H554" i="2" s="1"/>
  <c r="M558" i="1"/>
  <c r="H555" i="2" s="1"/>
  <c r="M559" i="1"/>
  <c r="H556" i="2" s="1"/>
  <c r="M560" i="1"/>
  <c r="H557" i="2" s="1"/>
  <c r="M561" i="1"/>
  <c r="H558" i="2" s="1"/>
  <c r="M562" i="1"/>
  <c r="H559" i="2" s="1"/>
  <c r="M563" i="1"/>
  <c r="H560" i="2" s="1"/>
  <c r="M564" i="1"/>
  <c r="H561" i="2" s="1"/>
  <c r="M565" i="1"/>
  <c r="H562" i="2" s="1"/>
  <c r="M566" i="1"/>
  <c r="H563" i="2" s="1"/>
  <c r="M567" i="1"/>
  <c r="H564" i="2" s="1"/>
  <c r="M568" i="1"/>
  <c r="H565" i="2" s="1"/>
  <c r="M569" i="1"/>
  <c r="H566" i="2" s="1"/>
  <c r="M570" i="1"/>
  <c r="H567" i="2" s="1"/>
  <c r="M571" i="1"/>
  <c r="H568" i="2" s="1"/>
  <c r="M572" i="1"/>
  <c r="H569" i="2" s="1"/>
  <c r="M573" i="1"/>
  <c r="H570" i="2" s="1"/>
  <c r="M574" i="1"/>
  <c r="H571" i="2" s="1"/>
  <c r="M575" i="1"/>
  <c r="H572" i="2" s="1"/>
  <c r="M576" i="1"/>
  <c r="H573" i="2" s="1"/>
  <c r="M577" i="1"/>
  <c r="H574" i="2" s="1"/>
  <c r="M578" i="1"/>
  <c r="H575" i="2" s="1"/>
  <c r="M579" i="1"/>
  <c r="H576" i="2" s="1"/>
  <c r="M580" i="1"/>
  <c r="H577" i="2" s="1"/>
  <c r="M581" i="1"/>
  <c r="H578" i="2" s="1"/>
  <c r="M582" i="1"/>
  <c r="H579" i="2" s="1"/>
  <c r="M583" i="1"/>
  <c r="H580" i="2" s="1"/>
  <c r="M584" i="1"/>
  <c r="H581" i="2" s="1"/>
  <c r="M585" i="1"/>
  <c r="H582" i="2" s="1"/>
  <c r="M586" i="1"/>
  <c r="H583" i="2" s="1"/>
  <c r="M587" i="1"/>
  <c r="H584" i="2" s="1"/>
  <c r="M588" i="1"/>
  <c r="H585" i="2" s="1"/>
  <c r="M589" i="1"/>
  <c r="H586" i="2" s="1"/>
  <c r="M590" i="1"/>
  <c r="H587" i="2" s="1"/>
  <c r="M591" i="1"/>
  <c r="H588" i="2" s="1"/>
  <c r="M592" i="1"/>
  <c r="H589" i="2" s="1"/>
  <c r="M593" i="1"/>
  <c r="H590" i="2" s="1"/>
  <c r="M594" i="1"/>
  <c r="H591" i="2" s="1"/>
  <c r="M595" i="1"/>
  <c r="H592" i="2" s="1"/>
  <c r="M596" i="1"/>
  <c r="H593" i="2" s="1"/>
  <c r="M597" i="1"/>
  <c r="H594" i="2" s="1"/>
  <c r="M598" i="1"/>
  <c r="H595" i="2" s="1"/>
  <c r="M599" i="1"/>
  <c r="H596" i="2" s="1"/>
  <c r="M600" i="1"/>
  <c r="H597" i="2" s="1"/>
  <c r="M601" i="1"/>
  <c r="H598" i="2" s="1"/>
  <c r="M602" i="1"/>
  <c r="H599" i="2" s="1"/>
  <c r="M603" i="1"/>
  <c r="H600" i="2" s="1"/>
  <c r="M604" i="1"/>
  <c r="H601" i="2" s="1"/>
  <c r="M605" i="1"/>
  <c r="H602" i="2" s="1"/>
  <c r="M606" i="1"/>
  <c r="H603" i="2" s="1"/>
  <c r="M607" i="1"/>
  <c r="H604" i="2" s="1"/>
  <c r="M608" i="1"/>
  <c r="H605" i="2" s="1"/>
  <c r="M609" i="1"/>
  <c r="H606" i="2" s="1"/>
  <c r="M610" i="1"/>
  <c r="H607" i="2" s="1"/>
  <c r="M611" i="1"/>
  <c r="H608" i="2" s="1"/>
  <c r="M612" i="1"/>
  <c r="H609" i="2" s="1"/>
  <c r="M613" i="1"/>
  <c r="H610" i="2" s="1"/>
  <c r="M614" i="1"/>
  <c r="H611" i="2" s="1"/>
  <c r="M615" i="1"/>
  <c r="H612" i="2" s="1"/>
  <c r="M616" i="1"/>
  <c r="H613" i="2" s="1"/>
  <c r="M617" i="1"/>
  <c r="H614" i="2" s="1"/>
  <c r="M618" i="1"/>
  <c r="H615" i="2" s="1"/>
  <c r="M619" i="1"/>
  <c r="H616" i="2" s="1"/>
  <c r="M620" i="1"/>
  <c r="H617" i="2" s="1"/>
  <c r="M621" i="1"/>
  <c r="H618" i="2" s="1"/>
  <c r="M622" i="1"/>
  <c r="H619" i="2" s="1"/>
  <c r="M623" i="1"/>
  <c r="H620" i="2" s="1"/>
  <c r="M624" i="1"/>
  <c r="H621" i="2" s="1"/>
  <c r="M625" i="1"/>
  <c r="H622" i="2" s="1"/>
  <c r="M626" i="1"/>
  <c r="H623" i="2" s="1"/>
  <c r="M627" i="1"/>
  <c r="H624" i="2" s="1"/>
  <c r="M628" i="1"/>
  <c r="H625" i="2" s="1"/>
  <c r="M629" i="1"/>
  <c r="H626" i="2" s="1"/>
  <c r="M630" i="1"/>
  <c r="H627" i="2" s="1"/>
  <c r="M631" i="1"/>
  <c r="H628" i="2" s="1"/>
  <c r="M632" i="1"/>
  <c r="H629" i="2" s="1"/>
  <c r="M633" i="1"/>
  <c r="H630" i="2" s="1"/>
  <c r="M634" i="1"/>
  <c r="H631" i="2" s="1"/>
  <c r="M635" i="1"/>
  <c r="H632" i="2" s="1"/>
  <c r="M636" i="1"/>
  <c r="H633" i="2" s="1"/>
  <c r="M637" i="1"/>
  <c r="H634" i="2" s="1"/>
  <c r="M638" i="1"/>
  <c r="H635" i="2" s="1"/>
  <c r="M639" i="1"/>
  <c r="H636" i="2" s="1"/>
  <c r="M640" i="1"/>
  <c r="H637" i="2" s="1"/>
  <c r="M641" i="1"/>
  <c r="H638" i="2" s="1"/>
  <c r="M642" i="1"/>
  <c r="H639" i="2" s="1"/>
  <c r="M643" i="1"/>
  <c r="H640" i="2" s="1"/>
  <c r="M644" i="1"/>
  <c r="H641" i="2" s="1"/>
  <c r="M645" i="1"/>
  <c r="H642" i="2" s="1"/>
  <c r="M646" i="1"/>
  <c r="H643" i="2" s="1"/>
  <c r="M647" i="1"/>
  <c r="H644" i="2" s="1"/>
  <c r="M648" i="1"/>
  <c r="H645" i="2" s="1"/>
  <c r="M649" i="1"/>
  <c r="H646" i="2" s="1"/>
  <c r="M650" i="1"/>
  <c r="H647" i="2" s="1"/>
  <c r="M651" i="1"/>
  <c r="H648" i="2" s="1"/>
  <c r="M652" i="1"/>
  <c r="H649" i="2" s="1"/>
  <c r="M653" i="1"/>
  <c r="H650" i="2" s="1"/>
  <c r="M654" i="1"/>
  <c r="H651" i="2" s="1"/>
  <c r="M655" i="1"/>
  <c r="H652" i="2" s="1"/>
  <c r="M656" i="1"/>
  <c r="H653" i="2" s="1"/>
  <c r="M657" i="1"/>
  <c r="H654" i="2" s="1"/>
  <c r="M658" i="1"/>
  <c r="H655" i="2" s="1"/>
  <c r="M659" i="1"/>
  <c r="H656" i="2" s="1"/>
  <c r="M660" i="1"/>
  <c r="H657" i="2" s="1"/>
  <c r="M661" i="1"/>
  <c r="H658" i="2" s="1"/>
  <c r="M662" i="1"/>
  <c r="H659" i="2" s="1"/>
  <c r="M663" i="1"/>
  <c r="H660" i="2" s="1"/>
  <c r="M664" i="1"/>
  <c r="H661" i="2" s="1"/>
  <c r="M665" i="1"/>
  <c r="H662" i="2" s="1"/>
  <c r="M666" i="1"/>
  <c r="H663" i="2" s="1"/>
  <c r="M667" i="1"/>
  <c r="H664" i="2" s="1"/>
  <c r="M668" i="1"/>
  <c r="H665" i="2" s="1"/>
  <c r="M669" i="1"/>
  <c r="H666" i="2" s="1"/>
  <c r="M670" i="1"/>
  <c r="H667" i="2" s="1"/>
  <c r="M671" i="1"/>
  <c r="H668" i="2" s="1"/>
  <c r="M672" i="1"/>
  <c r="H669" i="2" s="1"/>
  <c r="M673" i="1"/>
  <c r="H670" i="2" s="1"/>
  <c r="M674" i="1"/>
  <c r="H671" i="2" s="1"/>
  <c r="M675" i="1"/>
  <c r="H672" i="2" s="1"/>
  <c r="M676" i="1"/>
  <c r="H673" i="2" s="1"/>
  <c r="M677" i="1"/>
  <c r="H674" i="2" s="1"/>
  <c r="M678" i="1"/>
  <c r="H675" i="2" s="1"/>
  <c r="M679" i="1"/>
  <c r="H676" i="2" s="1"/>
  <c r="M680" i="1"/>
  <c r="H677" i="2" s="1"/>
  <c r="M681" i="1"/>
  <c r="H678" i="2" s="1"/>
  <c r="M682" i="1"/>
  <c r="H679" i="2" s="1"/>
  <c r="M683" i="1"/>
  <c r="H680" i="2" s="1"/>
  <c r="M684" i="1"/>
  <c r="H681" i="2" s="1"/>
  <c r="M685" i="1"/>
  <c r="H682" i="2" s="1"/>
  <c r="M686" i="1"/>
  <c r="H683" i="2" s="1"/>
  <c r="M687" i="1"/>
  <c r="H684" i="2" s="1"/>
  <c r="M688" i="1"/>
  <c r="H685" i="2" s="1"/>
  <c r="M689" i="1"/>
  <c r="H686" i="2" s="1"/>
  <c r="M690" i="1"/>
  <c r="H687" i="2" s="1"/>
  <c r="M691" i="1"/>
  <c r="H688" i="2" s="1"/>
  <c r="M692" i="1"/>
  <c r="H689" i="2" s="1"/>
  <c r="M693" i="1"/>
  <c r="H690" i="2" s="1"/>
  <c r="M694" i="1"/>
  <c r="H691" i="2" s="1"/>
  <c r="M695" i="1"/>
  <c r="H692" i="2" s="1"/>
  <c r="M696" i="1"/>
  <c r="H693" i="2" s="1"/>
  <c r="M697" i="1"/>
  <c r="H694" i="2" s="1"/>
  <c r="M698" i="1"/>
  <c r="H695" i="2" s="1"/>
  <c r="M699" i="1"/>
  <c r="H696" i="2" s="1"/>
  <c r="M700" i="1"/>
  <c r="H697" i="2" s="1"/>
  <c r="M701" i="1"/>
  <c r="H698" i="2" s="1"/>
  <c r="M702" i="1"/>
  <c r="H699" i="2" s="1"/>
  <c r="M703" i="1"/>
  <c r="H700" i="2" s="1"/>
  <c r="M704" i="1"/>
  <c r="H701" i="2" s="1"/>
  <c r="M705" i="1"/>
  <c r="H702" i="2" s="1"/>
  <c r="M706" i="1"/>
  <c r="H703" i="2" s="1"/>
  <c r="M707" i="1"/>
  <c r="H704" i="2" s="1"/>
  <c r="M708" i="1"/>
  <c r="H705" i="2" s="1"/>
  <c r="M709" i="1"/>
  <c r="H706" i="2" s="1"/>
  <c r="M710" i="1"/>
  <c r="H707" i="2" s="1"/>
  <c r="M711" i="1"/>
  <c r="H708" i="2" s="1"/>
  <c r="M712" i="1"/>
  <c r="H709" i="2" s="1"/>
  <c r="M713" i="1"/>
  <c r="H710" i="2" s="1"/>
  <c r="M714" i="1"/>
  <c r="H711" i="2" s="1"/>
  <c r="M715" i="1"/>
  <c r="H712" i="2" s="1"/>
  <c r="M716" i="1"/>
  <c r="H713" i="2" s="1"/>
  <c r="M717" i="1"/>
  <c r="H714" i="2" s="1"/>
  <c r="M718" i="1"/>
  <c r="H715" i="2" s="1"/>
  <c r="M719" i="1"/>
  <c r="H716" i="2" s="1"/>
  <c r="M720" i="1"/>
  <c r="H717" i="2" s="1"/>
  <c r="M721" i="1"/>
  <c r="H718" i="2" s="1"/>
  <c r="M722" i="1"/>
  <c r="H719" i="2" s="1"/>
  <c r="M723" i="1"/>
  <c r="H720" i="2" s="1"/>
  <c r="M724" i="1"/>
  <c r="H721" i="2" s="1"/>
  <c r="M725" i="1"/>
  <c r="H722" i="2" s="1"/>
  <c r="M726" i="1"/>
  <c r="H723" i="2" s="1"/>
  <c r="M727" i="1"/>
  <c r="H724" i="2" s="1"/>
  <c r="M728" i="1"/>
  <c r="H725" i="2" s="1"/>
  <c r="M729" i="1"/>
  <c r="H726" i="2" s="1"/>
  <c r="M730" i="1"/>
  <c r="H727" i="2" s="1"/>
  <c r="M731" i="1"/>
  <c r="H728" i="2" s="1"/>
  <c r="M732" i="1"/>
  <c r="H729" i="2" s="1"/>
  <c r="M733" i="1"/>
  <c r="H730" i="2" s="1"/>
  <c r="M734" i="1"/>
  <c r="H731" i="2" s="1"/>
  <c r="M735" i="1"/>
  <c r="H732" i="2" s="1"/>
  <c r="M736" i="1"/>
  <c r="H733" i="2" s="1"/>
  <c r="M737" i="1"/>
  <c r="H734" i="2" s="1"/>
  <c r="M738" i="1"/>
  <c r="H735" i="2" s="1"/>
  <c r="M739" i="1"/>
  <c r="H736" i="2" s="1"/>
  <c r="M740" i="1"/>
  <c r="H737" i="2" s="1"/>
  <c r="M741" i="1"/>
  <c r="H738" i="2" s="1"/>
  <c r="M742" i="1"/>
  <c r="H739" i="2" s="1"/>
  <c r="M743" i="1"/>
  <c r="H740" i="2" s="1"/>
  <c r="M744" i="1"/>
  <c r="H741" i="2" s="1"/>
  <c r="M745" i="1"/>
  <c r="H742" i="2" s="1"/>
  <c r="M746" i="1"/>
  <c r="H743" i="2" s="1"/>
  <c r="M747" i="1"/>
  <c r="H744" i="2" s="1"/>
  <c r="M748" i="1"/>
  <c r="H745" i="2" s="1"/>
  <c r="M749" i="1"/>
  <c r="H746" i="2" s="1"/>
  <c r="M750" i="1"/>
  <c r="H747" i="2" s="1"/>
  <c r="M751" i="1"/>
  <c r="H748" i="2" s="1"/>
  <c r="M752" i="1"/>
  <c r="H749" i="2" s="1"/>
  <c r="M753" i="1"/>
  <c r="H750" i="2" s="1"/>
  <c r="M754" i="1"/>
  <c r="H751" i="2" s="1"/>
  <c r="M755" i="1"/>
  <c r="H752" i="2" s="1"/>
  <c r="M756" i="1"/>
  <c r="H753" i="2" s="1"/>
  <c r="M757" i="1"/>
  <c r="H754" i="2" s="1"/>
  <c r="M758" i="1"/>
  <c r="H755" i="2" s="1"/>
  <c r="M759" i="1"/>
  <c r="H756" i="2" s="1"/>
  <c r="M760" i="1"/>
  <c r="H757" i="2" s="1"/>
  <c r="M761" i="1"/>
  <c r="H758" i="2" s="1"/>
  <c r="M762" i="1"/>
  <c r="H759" i="2" s="1"/>
  <c r="M763" i="1"/>
  <c r="H760" i="2" s="1"/>
  <c r="M764" i="1"/>
  <c r="H761" i="2" s="1"/>
  <c r="M765" i="1"/>
  <c r="H762" i="2" s="1"/>
  <c r="M766" i="1"/>
  <c r="H763" i="2" s="1"/>
  <c r="M767" i="1"/>
  <c r="H764" i="2" s="1"/>
  <c r="M768" i="1"/>
  <c r="H765" i="2" s="1"/>
  <c r="M769" i="1"/>
  <c r="H766" i="2" s="1"/>
  <c r="M770" i="1"/>
  <c r="H767" i="2" s="1"/>
  <c r="M771" i="1"/>
  <c r="H768" i="2" s="1"/>
  <c r="M772" i="1"/>
  <c r="H769" i="2" s="1"/>
  <c r="M773" i="1"/>
  <c r="H770" i="2" s="1"/>
  <c r="M774" i="1"/>
  <c r="H771" i="2" s="1"/>
  <c r="M775" i="1"/>
  <c r="H772" i="2" s="1"/>
  <c r="M776" i="1"/>
  <c r="H773" i="2" s="1"/>
  <c r="M777" i="1"/>
  <c r="H774" i="2" s="1"/>
  <c r="M778" i="1"/>
  <c r="H775" i="2" s="1"/>
  <c r="M779" i="1"/>
  <c r="H776" i="2" s="1"/>
  <c r="M780" i="1"/>
  <c r="H777" i="2" s="1"/>
  <c r="M781" i="1"/>
  <c r="H778" i="2" s="1"/>
  <c r="M782" i="1"/>
  <c r="H779" i="2" s="1"/>
  <c r="M783" i="1"/>
  <c r="H780" i="2" s="1"/>
  <c r="M784" i="1"/>
  <c r="H781" i="2" s="1"/>
  <c r="M785" i="1"/>
  <c r="H782" i="2" s="1"/>
  <c r="M786" i="1"/>
  <c r="H783" i="2" s="1"/>
  <c r="M787" i="1"/>
  <c r="H784" i="2" s="1"/>
  <c r="M788" i="1"/>
  <c r="H785" i="2" s="1"/>
  <c r="M789" i="1"/>
  <c r="H786" i="2" s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L177" i="1"/>
  <c r="G174" i="2" s="1"/>
  <c r="L178" i="1"/>
  <c r="G175" i="2" s="1"/>
  <c r="L179" i="1"/>
  <c r="G176" i="2" s="1"/>
  <c r="L180" i="1"/>
  <c r="G177" i="2" s="1"/>
  <c r="L181" i="1"/>
  <c r="G178" i="2" s="1"/>
  <c r="L182" i="1"/>
  <c r="G179" i="2" s="1"/>
  <c r="L183" i="1"/>
  <c r="G180" i="2" s="1"/>
  <c r="L184" i="1"/>
  <c r="G181" i="2" s="1"/>
  <c r="L185" i="1"/>
  <c r="G182" i="2" s="1"/>
  <c r="L186" i="1"/>
  <c r="G183" i="2" s="1"/>
  <c r="L187" i="1"/>
  <c r="G184" i="2" s="1"/>
  <c r="L188" i="1"/>
  <c r="G185" i="2" s="1"/>
  <c r="L189" i="1"/>
  <c r="G186" i="2" s="1"/>
  <c r="L190" i="1"/>
  <c r="G187" i="2" s="1"/>
  <c r="L191" i="1"/>
  <c r="G188" i="2" s="1"/>
  <c r="L192" i="1"/>
  <c r="G189" i="2" s="1"/>
  <c r="L193" i="1"/>
  <c r="G190" i="2" s="1"/>
  <c r="L194" i="1"/>
  <c r="G191" i="2" s="1"/>
  <c r="L195" i="1"/>
  <c r="G192" i="2" s="1"/>
  <c r="L196" i="1"/>
  <c r="G193" i="2" s="1"/>
  <c r="L197" i="1"/>
  <c r="G194" i="2" s="1"/>
  <c r="L198" i="1"/>
  <c r="G195" i="2" s="1"/>
  <c r="L199" i="1"/>
  <c r="G196" i="2" s="1"/>
  <c r="L200" i="1"/>
  <c r="G197" i="2" s="1"/>
  <c r="L201" i="1"/>
  <c r="G198" i="2" s="1"/>
  <c r="L202" i="1"/>
  <c r="G199" i="2" s="1"/>
  <c r="L203" i="1"/>
  <c r="G200" i="2" s="1"/>
  <c r="L204" i="1"/>
  <c r="G201" i="2" s="1"/>
  <c r="L205" i="1"/>
  <c r="G202" i="2" s="1"/>
  <c r="L206" i="1"/>
  <c r="G203" i="2" s="1"/>
  <c r="L207" i="1"/>
  <c r="G204" i="2" s="1"/>
  <c r="L208" i="1"/>
  <c r="G205" i="2" s="1"/>
  <c r="L209" i="1"/>
  <c r="G206" i="2" s="1"/>
  <c r="L210" i="1"/>
  <c r="G207" i="2" s="1"/>
  <c r="L211" i="1"/>
  <c r="G208" i="2" s="1"/>
  <c r="L212" i="1"/>
  <c r="G209" i="2" s="1"/>
  <c r="L213" i="1"/>
  <c r="G210" i="2" s="1"/>
  <c r="L214" i="1"/>
  <c r="G211" i="2" s="1"/>
  <c r="L215" i="1"/>
  <c r="G212" i="2" s="1"/>
  <c r="L216" i="1"/>
  <c r="G213" i="2" s="1"/>
  <c r="L217" i="1"/>
  <c r="G214" i="2" s="1"/>
  <c r="L218" i="1"/>
  <c r="G215" i="2" s="1"/>
  <c r="L219" i="1"/>
  <c r="G216" i="2" s="1"/>
  <c r="L220" i="1"/>
  <c r="G217" i="2" s="1"/>
  <c r="L221" i="1"/>
  <c r="G218" i="2" s="1"/>
  <c r="L222" i="1"/>
  <c r="G219" i="2" s="1"/>
  <c r="L223" i="1"/>
  <c r="G220" i="2" s="1"/>
  <c r="L224" i="1"/>
  <c r="G221" i="2" s="1"/>
  <c r="L225" i="1"/>
  <c r="G222" i="2" s="1"/>
  <c r="L226" i="1"/>
  <c r="G223" i="2" s="1"/>
  <c r="L227" i="1"/>
  <c r="G224" i="2" s="1"/>
  <c r="L228" i="1"/>
  <c r="G225" i="2" s="1"/>
  <c r="L229" i="1"/>
  <c r="G226" i="2" s="1"/>
  <c r="L230" i="1"/>
  <c r="G227" i="2" s="1"/>
  <c r="L231" i="1"/>
  <c r="G228" i="2" s="1"/>
  <c r="L232" i="1"/>
  <c r="G229" i="2" s="1"/>
  <c r="L233" i="1"/>
  <c r="G230" i="2" s="1"/>
  <c r="L234" i="1"/>
  <c r="G231" i="2" s="1"/>
  <c r="L235" i="1"/>
  <c r="G232" i="2" s="1"/>
  <c r="L236" i="1"/>
  <c r="G233" i="2" s="1"/>
  <c r="L237" i="1"/>
  <c r="G234" i="2" s="1"/>
  <c r="L238" i="1"/>
  <c r="G235" i="2" s="1"/>
  <c r="L239" i="1"/>
  <c r="G236" i="2" s="1"/>
  <c r="L240" i="1"/>
  <c r="G237" i="2" s="1"/>
  <c r="L241" i="1"/>
  <c r="G238" i="2" s="1"/>
  <c r="L242" i="1"/>
  <c r="G239" i="2" s="1"/>
  <c r="L243" i="1"/>
  <c r="G240" i="2" s="1"/>
  <c r="L244" i="1"/>
  <c r="G241" i="2" s="1"/>
  <c r="L245" i="1"/>
  <c r="G242" i="2" s="1"/>
  <c r="L246" i="1"/>
  <c r="G243" i="2" s="1"/>
  <c r="L247" i="1"/>
  <c r="G244" i="2" s="1"/>
  <c r="L248" i="1"/>
  <c r="G245" i="2" s="1"/>
  <c r="L249" i="1"/>
  <c r="G246" i="2" s="1"/>
  <c r="L250" i="1"/>
  <c r="G247" i="2" s="1"/>
  <c r="L251" i="1"/>
  <c r="G248" i="2" s="1"/>
  <c r="L252" i="1"/>
  <c r="G249" i="2" s="1"/>
  <c r="L253" i="1"/>
  <c r="G250" i="2" s="1"/>
  <c r="L254" i="1"/>
  <c r="G251" i="2" s="1"/>
  <c r="L255" i="1"/>
  <c r="G252" i="2" s="1"/>
  <c r="L256" i="1"/>
  <c r="G253" i="2" s="1"/>
  <c r="L257" i="1"/>
  <c r="G254" i="2" s="1"/>
  <c r="L258" i="1"/>
  <c r="G255" i="2" s="1"/>
  <c r="L259" i="1"/>
  <c r="G256" i="2" s="1"/>
  <c r="L260" i="1"/>
  <c r="G257" i="2" s="1"/>
  <c r="L261" i="1"/>
  <c r="G258" i="2" s="1"/>
  <c r="L262" i="1"/>
  <c r="G259" i="2" s="1"/>
  <c r="L263" i="1"/>
  <c r="G260" i="2" s="1"/>
  <c r="L264" i="1"/>
  <c r="G261" i="2" s="1"/>
  <c r="L265" i="1"/>
  <c r="G262" i="2" s="1"/>
  <c r="L266" i="1"/>
  <c r="G263" i="2" s="1"/>
  <c r="L267" i="1"/>
  <c r="G264" i="2" s="1"/>
  <c r="L268" i="1"/>
  <c r="G265" i="2" s="1"/>
  <c r="L269" i="1"/>
  <c r="G266" i="2" s="1"/>
  <c r="L270" i="1"/>
  <c r="G267" i="2" s="1"/>
  <c r="L271" i="1"/>
  <c r="G268" i="2" s="1"/>
  <c r="L272" i="1"/>
  <c r="G269" i="2" s="1"/>
  <c r="L273" i="1"/>
  <c r="G270" i="2" s="1"/>
  <c r="L274" i="1"/>
  <c r="G271" i="2" s="1"/>
  <c r="L275" i="1"/>
  <c r="G272" i="2" s="1"/>
  <c r="L276" i="1"/>
  <c r="G273" i="2" s="1"/>
  <c r="L277" i="1"/>
  <c r="G274" i="2" s="1"/>
  <c r="L278" i="1"/>
  <c r="G275" i="2" s="1"/>
  <c r="L279" i="1"/>
  <c r="G276" i="2" s="1"/>
  <c r="L280" i="1"/>
  <c r="G277" i="2" s="1"/>
  <c r="L281" i="1"/>
  <c r="G278" i="2" s="1"/>
  <c r="L282" i="1"/>
  <c r="G279" i="2" s="1"/>
  <c r="L283" i="1"/>
  <c r="G280" i="2" s="1"/>
  <c r="L284" i="1"/>
  <c r="G281" i="2" s="1"/>
  <c r="L285" i="1"/>
  <c r="G282" i="2" s="1"/>
  <c r="L286" i="1"/>
  <c r="G283" i="2" s="1"/>
  <c r="L287" i="1"/>
  <c r="G284" i="2" s="1"/>
  <c r="L288" i="1"/>
  <c r="G285" i="2" s="1"/>
  <c r="L289" i="1"/>
  <c r="G286" i="2" s="1"/>
  <c r="L290" i="1"/>
  <c r="G287" i="2" s="1"/>
  <c r="L291" i="1"/>
  <c r="G288" i="2" s="1"/>
  <c r="L292" i="1"/>
  <c r="G289" i="2" s="1"/>
  <c r="L293" i="1"/>
  <c r="G290" i="2" s="1"/>
  <c r="L294" i="1"/>
  <c r="G291" i="2" s="1"/>
  <c r="L295" i="1"/>
  <c r="G292" i="2" s="1"/>
  <c r="L296" i="1"/>
  <c r="G293" i="2" s="1"/>
  <c r="L297" i="1"/>
  <c r="G294" i="2" s="1"/>
  <c r="L298" i="1"/>
  <c r="G295" i="2" s="1"/>
  <c r="L299" i="1"/>
  <c r="G296" i="2" s="1"/>
  <c r="L300" i="1"/>
  <c r="G297" i="2" s="1"/>
  <c r="L301" i="1"/>
  <c r="G298" i="2" s="1"/>
  <c r="L302" i="1"/>
  <c r="G299" i="2" s="1"/>
  <c r="L303" i="1"/>
  <c r="G300" i="2" s="1"/>
  <c r="L304" i="1"/>
  <c r="G301" i="2" s="1"/>
  <c r="L305" i="1"/>
  <c r="G302" i="2" s="1"/>
  <c r="L306" i="1"/>
  <c r="G303" i="2" s="1"/>
  <c r="L307" i="1"/>
  <c r="G304" i="2" s="1"/>
  <c r="L308" i="1"/>
  <c r="G305" i="2" s="1"/>
  <c r="L309" i="1"/>
  <c r="G306" i="2" s="1"/>
  <c r="L310" i="1"/>
  <c r="G307" i="2" s="1"/>
  <c r="L311" i="1"/>
  <c r="G308" i="2" s="1"/>
  <c r="L312" i="1"/>
  <c r="G309" i="2" s="1"/>
  <c r="L313" i="1"/>
  <c r="G310" i="2" s="1"/>
  <c r="L314" i="1"/>
  <c r="G311" i="2" s="1"/>
  <c r="L315" i="1"/>
  <c r="G312" i="2" s="1"/>
  <c r="L316" i="1"/>
  <c r="G313" i="2" s="1"/>
  <c r="L317" i="1"/>
  <c r="G314" i="2" s="1"/>
  <c r="L318" i="1"/>
  <c r="G315" i="2" s="1"/>
  <c r="L319" i="1"/>
  <c r="G316" i="2" s="1"/>
  <c r="L320" i="1"/>
  <c r="G317" i="2" s="1"/>
  <c r="L321" i="1"/>
  <c r="G318" i="2" s="1"/>
  <c r="L322" i="1"/>
  <c r="G319" i="2" s="1"/>
  <c r="L323" i="1"/>
  <c r="G320" i="2" s="1"/>
  <c r="L324" i="1"/>
  <c r="G321" i="2" s="1"/>
  <c r="L325" i="1"/>
  <c r="G322" i="2" s="1"/>
  <c r="L326" i="1"/>
  <c r="G323" i="2" s="1"/>
  <c r="L327" i="1"/>
  <c r="G324" i="2" s="1"/>
  <c r="L328" i="1"/>
  <c r="G325" i="2" s="1"/>
  <c r="L329" i="1"/>
  <c r="G326" i="2" s="1"/>
  <c r="L330" i="1"/>
  <c r="G327" i="2" s="1"/>
  <c r="L331" i="1"/>
  <c r="G328" i="2" s="1"/>
  <c r="L332" i="1"/>
  <c r="G329" i="2" s="1"/>
  <c r="L333" i="1"/>
  <c r="G330" i="2" s="1"/>
  <c r="L334" i="1"/>
  <c r="G331" i="2" s="1"/>
  <c r="L335" i="1"/>
  <c r="G332" i="2" s="1"/>
  <c r="L336" i="1"/>
  <c r="G333" i="2" s="1"/>
  <c r="L337" i="1"/>
  <c r="G334" i="2" s="1"/>
  <c r="L338" i="1"/>
  <c r="G335" i="2" s="1"/>
  <c r="L339" i="1"/>
  <c r="G336" i="2" s="1"/>
  <c r="L340" i="1"/>
  <c r="G337" i="2" s="1"/>
  <c r="L341" i="1"/>
  <c r="G338" i="2" s="1"/>
  <c r="L342" i="1"/>
  <c r="G339" i="2" s="1"/>
  <c r="L343" i="1"/>
  <c r="G340" i="2" s="1"/>
  <c r="L344" i="1"/>
  <c r="G341" i="2" s="1"/>
  <c r="L345" i="1"/>
  <c r="G342" i="2" s="1"/>
  <c r="L346" i="1"/>
  <c r="G343" i="2" s="1"/>
  <c r="L347" i="1"/>
  <c r="G344" i="2" s="1"/>
  <c r="L348" i="1"/>
  <c r="G345" i="2" s="1"/>
  <c r="L349" i="1"/>
  <c r="G346" i="2" s="1"/>
  <c r="L350" i="1"/>
  <c r="G347" i="2" s="1"/>
  <c r="L351" i="1"/>
  <c r="G348" i="2" s="1"/>
  <c r="L352" i="1"/>
  <c r="G349" i="2" s="1"/>
  <c r="L353" i="1"/>
  <c r="G350" i="2" s="1"/>
  <c r="L354" i="1"/>
  <c r="G351" i="2" s="1"/>
  <c r="L355" i="1"/>
  <c r="G352" i="2" s="1"/>
  <c r="L356" i="1"/>
  <c r="G353" i="2" s="1"/>
  <c r="L357" i="1"/>
  <c r="G354" i="2" s="1"/>
  <c r="L358" i="1"/>
  <c r="G355" i="2" s="1"/>
  <c r="L359" i="1"/>
  <c r="G356" i="2" s="1"/>
  <c r="L360" i="1"/>
  <c r="G357" i="2" s="1"/>
  <c r="L361" i="1"/>
  <c r="G358" i="2" s="1"/>
  <c r="L362" i="1"/>
  <c r="G359" i="2" s="1"/>
  <c r="L363" i="1"/>
  <c r="G360" i="2" s="1"/>
  <c r="L364" i="1"/>
  <c r="G361" i="2" s="1"/>
  <c r="L365" i="1"/>
  <c r="G362" i="2" s="1"/>
  <c r="L366" i="1"/>
  <c r="G363" i="2" s="1"/>
  <c r="L367" i="1"/>
  <c r="G364" i="2" s="1"/>
  <c r="L368" i="1"/>
  <c r="G365" i="2" s="1"/>
  <c r="L369" i="1"/>
  <c r="G366" i="2" s="1"/>
  <c r="L370" i="1"/>
  <c r="G367" i="2" s="1"/>
  <c r="L371" i="1"/>
  <c r="G368" i="2" s="1"/>
  <c r="L372" i="1"/>
  <c r="G369" i="2" s="1"/>
  <c r="L373" i="1"/>
  <c r="G370" i="2" s="1"/>
  <c r="L374" i="1"/>
  <c r="G371" i="2" s="1"/>
  <c r="L375" i="1"/>
  <c r="G372" i="2" s="1"/>
  <c r="L376" i="1"/>
  <c r="G373" i="2" s="1"/>
  <c r="L377" i="1"/>
  <c r="G374" i="2" s="1"/>
  <c r="L378" i="1"/>
  <c r="G375" i="2" s="1"/>
  <c r="L379" i="1"/>
  <c r="G376" i="2" s="1"/>
  <c r="L380" i="1"/>
  <c r="G377" i="2" s="1"/>
  <c r="L381" i="1"/>
  <c r="G378" i="2" s="1"/>
  <c r="L382" i="1"/>
  <c r="G379" i="2" s="1"/>
  <c r="L383" i="1"/>
  <c r="G380" i="2" s="1"/>
  <c r="L384" i="1"/>
  <c r="G381" i="2" s="1"/>
  <c r="L385" i="1"/>
  <c r="G382" i="2" s="1"/>
  <c r="L386" i="1"/>
  <c r="G383" i="2" s="1"/>
  <c r="L387" i="1"/>
  <c r="G384" i="2" s="1"/>
  <c r="L388" i="1"/>
  <c r="G385" i="2" s="1"/>
  <c r="L389" i="1"/>
  <c r="G386" i="2" s="1"/>
  <c r="L390" i="1"/>
  <c r="G387" i="2" s="1"/>
  <c r="L391" i="1"/>
  <c r="G388" i="2" s="1"/>
  <c r="L392" i="1"/>
  <c r="G389" i="2" s="1"/>
  <c r="L393" i="1"/>
  <c r="G390" i="2" s="1"/>
  <c r="L394" i="1"/>
  <c r="G391" i="2" s="1"/>
  <c r="L395" i="1"/>
  <c r="G392" i="2" s="1"/>
  <c r="L396" i="1"/>
  <c r="G393" i="2" s="1"/>
  <c r="L397" i="1"/>
  <c r="G394" i="2" s="1"/>
  <c r="L398" i="1"/>
  <c r="G395" i="2" s="1"/>
  <c r="L399" i="1"/>
  <c r="G396" i="2" s="1"/>
  <c r="L400" i="1"/>
  <c r="G397" i="2" s="1"/>
  <c r="L401" i="1"/>
  <c r="G398" i="2" s="1"/>
  <c r="L402" i="1"/>
  <c r="G399" i="2" s="1"/>
  <c r="L403" i="1"/>
  <c r="G400" i="2" s="1"/>
  <c r="L404" i="1"/>
  <c r="G401" i="2" s="1"/>
  <c r="L405" i="1"/>
  <c r="G402" i="2" s="1"/>
  <c r="L406" i="1"/>
  <c r="G403" i="2" s="1"/>
  <c r="L407" i="1"/>
  <c r="G404" i="2" s="1"/>
  <c r="L408" i="1"/>
  <c r="G405" i="2" s="1"/>
  <c r="L409" i="1"/>
  <c r="G406" i="2" s="1"/>
  <c r="L410" i="1"/>
  <c r="G407" i="2" s="1"/>
  <c r="L411" i="1"/>
  <c r="G408" i="2" s="1"/>
  <c r="L412" i="1"/>
  <c r="G409" i="2" s="1"/>
  <c r="L413" i="1"/>
  <c r="G410" i="2" s="1"/>
  <c r="L414" i="1"/>
  <c r="G411" i="2" s="1"/>
  <c r="L415" i="1"/>
  <c r="G412" i="2" s="1"/>
  <c r="L416" i="1"/>
  <c r="G413" i="2" s="1"/>
  <c r="L417" i="1"/>
  <c r="G414" i="2" s="1"/>
  <c r="L418" i="1"/>
  <c r="G415" i="2" s="1"/>
  <c r="L419" i="1"/>
  <c r="G416" i="2" s="1"/>
  <c r="L420" i="1"/>
  <c r="G417" i="2" s="1"/>
  <c r="L421" i="1"/>
  <c r="G418" i="2" s="1"/>
  <c r="L422" i="1"/>
  <c r="G419" i="2" s="1"/>
  <c r="L423" i="1"/>
  <c r="G420" i="2" s="1"/>
  <c r="L424" i="1"/>
  <c r="G421" i="2" s="1"/>
  <c r="L425" i="1"/>
  <c r="G422" i="2" s="1"/>
  <c r="L426" i="1"/>
  <c r="G423" i="2" s="1"/>
  <c r="L427" i="1"/>
  <c r="G424" i="2" s="1"/>
  <c r="L428" i="1"/>
  <c r="G425" i="2" s="1"/>
  <c r="L429" i="1"/>
  <c r="G426" i="2" s="1"/>
  <c r="L430" i="1"/>
  <c r="G427" i="2" s="1"/>
  <c r="L431" i="1"/>
  <c r="G428" i="2" s="1"/>
  <c r="L432" i="1"/>
  <c r="G429" i="2" s="1"/>
  <c r="L433" i="1"/>
  <c r="G430" i="2" s="1"/>
  <c r="L434" i="1"/>
  <c r="G431" i="2" s="1"/>
  <c r="L435" i="1"/>
  <c r="G432" i="2" s="1"/>
  <c r="L436" i="1"/>
  <c r="G433" i="2" s="1"/>
  <c r="L437" i="1"/>
  <c r="G434" i="2" s="1"/>
  <c r="L438" i="1"/>
  <c r="G435" i="2" s="1"/>
  <c r="L439" i="1"/>
  <c r="G436" i="2" s="1"/>
  <c r="L440" i="1"/>
  <c r="G437" i="2" s="1"/>
  <c r="L441" i="1"/>
  <c r="G438" i="2" s="1"/>
  <c r="L442" i="1"/>
  <c r="G439" i="2" s="1"/>
  <c r="L443" i="1"/>
  <c r="G440" i="2" s="1"/>
  <c r="L444" i="1"/>
  <c r="G441" i="2" s="1"/>
  <c r="L445" i="1"/>
  <c r="G442" i="2" s="1"/>
  <c r="L446" i="1"/>
  <c r="G443" i="2" s="1"/>
  <c r="L447" i="1"/>
  <c r="G444" i="2" s="1"/>
  <c r="L448" i="1"/>
  <c r="G445" i="2" s="1"/>
  <c r="L449" i="1"/>
  <c r="G446" i="2" s="1"/>
  <c r="L450" i="1"/>
  <c r="G447" i="2" s="1"/>
  <c r="L451" i="1"/>
  <c r="G448" i="2" s="1"/>
  <c r="L452" i="1"/>
  <c r="G449" i="2" s="1"/>
  <c r="L453" i="1"/>
  <c r="G450" i="2" s="1"/>
  <c r="L454" i="1"/>
  <c r="G451" i="2" s="1"/>
  <c r="L455" i="1"/>
  <c r="G452" i="2" s="1"/>
  <c r="L456" i="1"/>
  <c r="G453" i="2" s="1"/>
  <c r="L457" i="1"/>
  <c r="G454" i="2" s="1"/>
  <c r="L458" i="1"/>
  <c r="G455" i="2" s="1"/>
  <c r="L459" i="1"/>
  <c r="G456" i="2" s="1"/>
  <c r="L460" i="1"/>
  <c r="G457" i="2" s="1"/>
  <c r="L461" i="1"/>
  <c r="G458" i="2" s="1"/>
  <c r="L462" i="1"/>
  <c r="G459" i="2" s="1"/>
  <c r="L463" i="1"/>
  <c r="G460" i="2" s="1"/>
  <c r="L464" i="1"/>
  <c r="G461" i="2" s="1"/>
  <c r="L465" i="1"/>
  <c r="G462" i="2" s="1"/>
  <c r="L466" i="1"/>
  <c r="G463" i="2" s="1"/>
  <c r="L467" i="1"/>
  <c r="G464" i="2" s="1"/>
  <c r="L468" i="1"/>
  <c r="G465" i="2" s="1"/>
  <c r="L469" i="1"/>
  <c r="G466" i="2" s="1"/>
  <c r="L470" i="1"/>
  <c r="G467" i="2" s="1"/>
  <c r="L471" i="1"/>
  <c r="G468" i="2" s="1"/>
  <c r="L472" i="1"/>
  <c r="G469" i="2" s="1"/>
  <c r="L473" i="1"/>
  <c r="G470" i="2" s="1"/>
  <c r="L474" i="1"/>
  <c r="G471" i="2" s="1"/>
  <c r="L475" i="1"/>
  <c r="G472" i="2" s="1"/>
  <c r="L476" i="1"/>
  <c r="G473" i="2" s="1"/>
  <c r="L477" i="1"/>
  <c r="G474" i="2" s="1"/>
  <c r="L478" i="1"/>
  <c r="G475" i="2" s="1"/>
  <c r="L479" i="1"/>
  <c r="G476" i="2" s="1"/>
  <c r="L480" i="1"/>
  <c r="G477" i="2" s="1"/>
  <c r="L481" i="1"/>
  <c r="G478" i="2" s="1"/>
  <c r="L482" i="1"/>
  <c r="G479" i="2" s="1"/>
  <c r="L483" i="1"/>
  <c r="G480" i="2" s="1"/>
  <c r="L484" i="1"/>
  <c r="G481" i="2" s="1"/>
  <c r="L485" i="1"/>
  <c r="G482" i="2" s="1"/>
  <c r="L486" i="1"/>
  <c r="G483" i="2" s="1"/>
  <c r="L487" i="1"/>
  <c r="G484" i="2" s="1"/>
  <c r="L488" i="1"/>
  <c r="G485" i="2" s="1"/>
  <c r="L489" i="1"/>
  <c r="G486" i="2" s="1"/>
  <c r="L490" i="1"/>
  <c r="G487" i="2" s="1"/>
  <c r="L491" i="1"/>
  <c r="G488" i="2" s="1"/>
  <c r="L492" i="1"/>
  <c r="G489" i="2" s="1"/>
  <c r="L493" i="1"/>
  <c r="G490" i="2" s="1"/>
  <c r="L494" i="1"/>
  <c r="G491" i="2" s="1"/>
  <c r="L495" i="1"/>
  <c r="G492" i="2" s="1"/>
  <c r="L496" i="1"/>
  <c r="G493" i="2" s="1"/>
  <c r="L497" i="1"/>
  <c r="G494" i="2" s="1"/>
  <c r="L498" i="1"/>
  <c r="G495" i="2" s="1"/>
  <c r="L499" i="1"/>
  <c r="G496" i="2" s="1"/>
  <c r="L500" i="1"/>
  <c r="G497" i="2" s="1"/>
  <c r="L501" i="1"/>
  <c r="G498" i="2" s="1"/>
  <c r="L502" i="1"/>
  <c r="G499" i="2" s="1"/>
  <c r="L503" i="1"/>
  <c r="G500" i="2" s="1"/>
  <c r="L504" i="1"/>
  <c r="G501" i="2" s="1"/>
  <c r="L505" i="1"/>
  <c r="G502" i="2" s="1"/>
  <c r="L506" i="1"/>
  <c r="G503" i="2" s="1"/>
  <c r="L507" i="1"/>
  <c r="G504" i="2" s="1"/>
  <c r="L508" i="1"/>
  <c r="G505" i="2" s="1"/>
  <c r="L509" i="1"/>
  <c r="G506" i="2" s="1"/>
  <c r="L510" i="1"/>
  <c r="G507" i="2" s="1"/>
  <c r="L511" i="1"/>
  <c r="G508" i="2" s="1"/>
  <c r="L512" i="1"/>
  <c r="G509" i="2" s="1"/>
  <c r="L513" i="1"/>
  <c r="G510" i="2" s="1"/>
  <c r="L514" i="1"/>
  <c r="G511" i="2" s="1"/>
  <c r="L515" i="1"/>
  <c r="G512" i="2" s="1"/>
  <c r="L516" i="1"/>
  <c r="G513" i="2" s="1"/>
  <c r="L517" i="1"/>
  <c r="G514" i="2" s="1"/>
  <c r="L518" i="1"/>
  <c r="G515" i="2" s="1"/>
  <c r="L519" i="1"/>
  <c r="G516" i="2" s="1"/>
  <c r="L520" i="1"/>
  <c r="G517" i="2" s="1"/>
  <c r="L521" i="1"/>
  <c r="G518" i="2" s="1"/>
  <c r="L522" i="1"/>
  <c r="G519" i="2" s="1"/>
  <c r="L523" i="1"/>
  <c r="G520" i="2" s="1"/>
  <c r="L524" i="1"/>
  <c r="G521" i="2" s="1"/>
  <c r="L525" i="1"/>
  <c r="G522" i="2" s="1"/>
  <c r="L526" i="1"/>
  <c r="G523" i="2" s="1"/>
  <c r="L527" i="1"/>
  <c r="G524" i="2" s="1"/>
  <c r="L528" i="1"/>
  <c r="G525" i="2" s="1"/>
  <c r="L529" i="1"/>
  <c r="G526" i="2" s="1"/>
  <c r="L530" i="1"/>
  <c r="G527" i="2" s="1"/>
  <c r="L531" i="1"/>
  <c r="G528" i="2" s="1"/>
  <c r="L532" i="1"/>
  <c r="G529" i="2" s="1"/>
  <c r="L533" i="1"/>
  <c r="G530" i="2" s="1"/>
  <c r="L534" i="1"/>
  <c r="G531" i="2" s="1"/>
  <c r="L535" i="1"/>
  <c r="G532" i="2" s="1"/>
  <c r="L536" i="1"/>
  <c r="G533" i="2" s="1"/>
  <c r="L537" i="1"/>
  <c r="G534" i="2" s="1"/>
  <c r="L538" i="1"/>
  <c r="G535" i="2" s="1"/>
  <c r="L539" i="1"/>
  <c r="G536" i="2" s="1"/>
  <c r="L540" i="1"/>
  <c r="G537" i="2" s="1"/>
  <c r="L541" i="1"/>
  <c r="G538" i="2" s="1"/>
  <c r="L542" i="1"/>
  <c r="G539" i="2" s="1"/>
  <c r="L543" i="1"/>
  <c r="G540" i="2" s="1"/>
  <c r="L544" i="1"/>
  <c r="G541" i="2" s="1"/>
  <c r="L545" i="1"/>
  <c r="G542" i="2" s="1"/>
  <c r="L546" i="1"/>
  <c r="G543" i="2" s="1"/>
  <c r="L547" i="1"/>
  <c r="G544" i="2" s="1"/>
  <c r="L548" i="1"/>
  <c r="G545" i="2" s="1"/>
  <c r="L549" i="1"/>
  <c r="G546" i="2" s="1"/>
  <c r="L550" i="1"/>
  <c r="G547" i="2" s="1"/>
  <c r="L551" i="1"/>
  <c r="G548" i="2" s="1"/>
  <c r="L552" i="1"/>
  <c r="G549" i="2" s="1"/>
  <c r="L553" i="1"/>
  <c r="G550" i="2" s="1"/>
  <c r="L554" i="1"/>
  <c r="G551" i="2" s="1"/>
  <c r="L555" i="1"/>
  <c r="G552" i="2" s="1"/>
  <c r="L556" i="1"/>
  <c r="G553" i="2" s="1"/>
  <c r="L557" i="1"/>
  <c r="G554" i="2" s="1"/>
  <c r="L558" i="1"/>
  <c r="G555" i="2" s="1"/>
  <c r="L559" i="1"/>
  <c r="G556" i="2" s="1"/>
  <c r="L560" i="1"/>
  <c r="G557" i="2" s="1"/>
  <c r="L561" i="1"/>
  <c r="G558" i="2" s="1"/>
  <c r="L562" i="1"/>
  <c r="G559" i="2" s="1"/>
  <c r="L563" i="1"/>
  <c r="G560" i="2" s="1"/>
  <c r="L564" i="1"/>
  <c r="G561" i="2" s="1"/>
  <c r="L565" i="1"/>
  <c r="G562" i="2" s="1"/>
  <c r="L566" i="1"/>
  <c r="G563" i="2" s="1"/>
  <c r="L567" i="1"/>
  <c r="G564" i="2" s="1"/>
  <c r="L568" i="1"/>
  <c r="G565" i="2" s="1"/>
  <c r="L569" i="1"/>
  <c r="G566" i="2" s="1"/>
  <c r="L570" i="1"/>
  <c r="G567" i="2" s="1"/>
  <c r="L571" i="1"/>
  <c r="G568" i="2" s="1"/>
  <c r="L572" i="1"/>
  <c r="G569" i="2" s="1"/>
  <c r="L573" i="1"/>
  <c r="G570" i="2" s="1"/>
  <c r="L574" i="1"/>
  <c r="G571" i="2" s="1"/>
  <c r="L575" i="1"/>
  <c r="G572" i="2" s="1"/>
  <c r="L576" i="1"/>
  <c r="G573" i="2" s="1"/>
  <c r="L577" i="1"/>
  <c r="G574" i="2" s="1"/>
  <c r="L578" i="1"/>
  <c r="G575" i="2" s="1"/>
  <c r="L579" i="1"/>
  <c r="G576" i="2" s="1"/>
  <c r="L580" i="1"/>
  <c r="G577" i="2" s="1"/>
  <c r="L581" i="1"/>
  <c r="G578" i="2" s="1"/>
  <c r="L582" i="1"/>
  <c r="G579" i="2" s="1"/>
  <c r="L583" i="1"/>
  <c r="G580" i="2" s="1"/>
  <c r="L584" i="1"/>
  <c r="G581" i="2" s="1"/>
  <c r="L585" i="1"/>
  <c r="G582" i="2" s="1"/>
  <c r="L586" i="1"/>
  <c r="G583" i="2" s="1"/>
  <c r="L587" i="1"/>
  <c r="G584" i="2" s="1"/>
  <c r="L588" i="1"/>
  <c r="G585" i="2" s="1"/>
  <c r="L589" i="1"/>
  <c r="G586" i="2" s="1"/>
  <c r="L590" i="1"/>
  <c r="G587" i="2" s="1"/>
  <c r="L591" i="1"/>
  <c r="G588" i="2" s="1"/>
  <c r="L592" i="1"/>
  <c r="G589" i="2" s="1"/>
  <c r="L593" i="1"/>
  <c r="G590" i="2" s="1"/>
  <c r="L594" i="1"/>
  <c r="G591" i="2" s="1"/>
  <c r="L595" i="1"/>
  <c r="G592" i="2" s="1"/>
  <c r="L596" i="1"/>
  <c r="G593" i="2" s="1"/>
  <c r="L597" i="1"/>
  <c r="G594" i="2" s="1"/>
  <c r="L598" i="1"/>
  <c r="G595" i="2" s="1"/>
  <c r="L599" i="1"/>
  <c r="G596" i="2" s="1"/>
  <c r="L600" i="1"/>
  <c r="G597" i="2" s="1"/>
  <c r="L601" i="1"/>
  <c r="G598" i="2" s="1"/>
  <c r="L602" i="1"/>
  <c r="G599" i="2" s="1"/>
  <c r="L603" i="1"/>
  <c r="G600" i="2" s="1"/>
  <c r="L604" i="1"/>
  <c r="G601" i="2" s="1"/>
  <c r="L605" i="1"/>
  <c r="G602" i="2" s="1"/>
  <c r="L606" i="1"/>
  <c r="G603" i="2" s="1"/>
  <c r="L607" i="1"/>
  <c r="G604" i="2" s="1"/>
  <c r="L608" i="1"/>
  <c r="G605" i="2" s="1"/>
  <c r="L609" i="1"/>
  <c r="G606" i="2" s="1"/>
  <c r="L610" i="1"/>
  <c r="G607" i="2" s="1"/>
  <c r="L611" i="1"/>
  <c r="G608" i="2" s="1"/>
  <c r="L612" i="1"/>
  <c r="G609" i="2" s="1"/>
  <c r="L613" i="1"/>
  <c r="G610" i="2" s="1"/>
  <c r="L614" i="1"/>
  <c r="G611" i="2" s="1"/>
  <c r="L615" i="1"/>
  <c r="G612" i="2" s="1"/>
  <c r="L616" i="1"/>
  <c r="G613" i="2" s="1"/>
  <c r="L617" i="1"/>
  <c r="G614" i="2" s="1"/>
  <c r="L618" i="1"/>
  <c r="G615" i="2" s="1"/>
  <c r="L619" i="1"/>
  <c r="G616" i="2" s="1"/>
  <c r="L620" i="1"/>
  <c r="G617" i="2" s="1"/>
  <c r="L621" i="1"/>
  <c r="G618" i="2" s="1"/>
  <c r="L622" i="1"/>
  <c r="G619" i="2" s="1"/>
  <c r="L623" i="1"/>
  <c r="G620" i="2" s="1"/>
  <c r="L624" i="1"/>
  <c r="G621" i="2" s="1"/>
  <c r="L625" i="1"/>
  <c r="G622" i="2" s="1"/>
  <c r="L626" i="1"/>
  <c r="G623" i="2" s="1"/>
  <c r="L627" i="1"/>
  <c r="G624" i="2" s="1"/>
  <c r="L628" i="1"/>
  <c r="G625" i="2" s="1"/>
  <c r="L629" i="1"/>
  <c r="G626" i="2" s="1"/>
  <c r="L630" i="1"/>
  <c r="G627" i="2" s="1"/>
  <c r="L631" i="1"/>
  <c r="G628" i="2" s="1"/>
  <c r="L632" i="1"/>
  <c r="G629" i="2" s="1"/>
  <c r="L633" i="1"/>
  <c r="G630" i="2" s="1"/>
  <c r="L634" i="1"/>
  <c r="G631" i="2" s="1"/>
  <c r="L635" i="1"/>
  <c r="G632" i="2" s="1"/>
  <c r="L636" i="1"/>
  <c r="G633" i="2" s="1"/>
  <c r="L637" i="1"/>
  <c r="G634" i="2" s="1"/>
  <c r="L638" i="1"/>
  <c r="G635" i="2" s="1"/>
  <c r="L639" i="1"/>
  <c r="G636" i="2" s="1"/>
  <c r="L640" i="1"/>
  <c r="G637" i="2" s="1"/>
  <c r="L641" i="1"/>
  <c r="G638" i="2" s="1"/>
  <c r="L642" i="1"/>
  <c r="G639" i="2" s="1"/>
  <c r="L643" i="1"/>
  <c r="G640" i="2" s="1"/>
  <c r="L644" i="1"/>
  <c r="G641" i="2" s="1"/>
  <c r="L645" i="1"/>
  <c r="G642" i="2" s="1"/>
  <c r="L646" i="1"/>
  <c r="G643" i="2" s="1"/>
  <c r="L647" i="1"/>
  <c r="G644" i="2" s="1"/>
  <c r="L648" i="1"/>
  <c r="G645" i="2" s="1"/>
  <c r="L649" i="1"/>
  <c r="G646" i="2" s="1"/>
  <c r="L650" i="1"/>
  <c r="G647" i="2" s="1"/>
  <c r="L651" i="1"/>
  <c r="G648" i="2" s="1"/>
  <c r="L652" i="1"/>
  <c r="G649" i="2" s="1"/>
  <c r="L653" i="1"/>
  <c r="G650" i="2" s="1"/>
  <c r="L654" i="1"/>
  <c r="G651" i="2" s="1"/>
  <c r="L655" i="1"/>
  <c r="G652" i="2" s="1"/>
  <c r="L656" i="1"/>
  <c r="G653" i="2" s="1"/>
  <c r="L657" i="1"/>
  <c r="G654" i="2" s="1"/>
  <c r="L658" i="1"/>
  <c r="G655" i="2" s="1"/>
  <c r="L659" i="1"/>
  <c r="G656" i="2" s="1"/>
  <c r="L660" i="1"/>
  <c r="G657" i="2" s="1"/>
  <c r="L661" i="1"/>
  <c r="G658" i="2" s="1"/>
  <c r="L662" i="1"/>
  <c r="G659" i="2" s="1"/>
  <c r="L663" i="1"/>
  <c r="G660" i="2" s="1"/>
  <c r="L664" i="1"/>
  <c r="G661" i="2" s="1"/>
  <c r="L665" i="1"/>
  <c r="G662" i="2" s="1"/>
  <c r="L666" i="1"/>
  <c r="G663" i="2" s="1"/>
  <c r="L667" i="1"/>
  <c r="G664" i="2" s="1"/>
  <c r="L668" i="1"/>
  <c r="G665" i="2" s="1"/>
  <c r="L669" i="1"/>
  <c r="G666" i="2" s="1"/>
  <c r="L670" i="1"/>
  <c r="G667" i="2" s="1"/>
  <c r="L671" i="1"/>
  <c r="G668" i="2" s="1"/>
  <c r="L672" i="1"/>
  <c r="G669" i="2" s="1"/>
  <c r="L673" i="1"/>
  <c r="G670" i="2" s="1"/>
  <c r="L674" i="1"/>
  <c r="G671" i="2" s="1"/>
  <c r="L675" i="1"/>
  <c r="G672" i="2" s="1"/>
  <c r="L676" i="1"/>
  <c r="G673" i="2" s="1"/>
  <c r="L677" i="1"/>
  <c r="G674" i="2" s="1"/>
  <c r="L678" i="1"/>
  <c r="G675" i="2" s="1"/>
  <c r="L679" i="1"/>
  <c r="G676" i="2" s="1"/>
  <c r="L680" i="1"/>
  <c r="G677" i="2" s="1"/>
  <c r="L681" i="1"/>
  <c r="G678" i="2" s="1"/>
  <c r="L682" i="1"/>
  <c r="G679" i="2" s="1"/>
  <c r="L683" i="1"/>
  <c r="G680" i="2" s="1"/>
  <c r="L684" i="1"/>
  <c r="G681" i="2" s="1"/>
  <c r="L685" i="1"/>
  <c r="G682" i="2" s="1"/>
  <c r="L686" i="1"/>
  <c r="G683" i="2" s="1"/>
  <c r="L687" i="1"/>
  <c r="G684" i="2" s="1"/>
  <c r="L688" i="1"/>
  <c r="G685" i="2" s="1"/>
  <c r="L689" i="1"/>
  <c r="G686" i="2" s="1"/>
  <c r="L690" i="1"/>
  <c r="G687" i="2" s="1"/>
  <c r="L691" i="1"/>
  <c r="G688" i="2" s="1"/>
  <c r="L692" i="1"/>
  <c r="G689" i="2" s="1"/>
  <c r="L693" i="1"/>
  <c r="G690" i="2" s="1"/>
  <c r="L694" i="1"/>
  <c r="G691" i="2" s="1"/>
  <c r="L695" i="1"/>
  <c r="G692" i="2" s="1"/>
  <c r="L696" i="1"/>
  <c r="G693" i="2" s="1"/>
  <c r="L697" i="1"/>
  <c r="G694" i="2" s="1"/>
  <c r="L698" i="1"/>
  <c r="G695" i="2" s="1"/>
  <c r="L699" i="1"/>
  <c r="G696" i="2" s="1"/>
  <c r="L700" i="1"/>
  <c r="G697" i="2" s="1"/>
  <c r="L701" i="1"/>
  <c r="G698" i="2" s="1"/>
  <c r="L702" i="1"/>
  <c r="G699" i="2" s="1"/>
  <c r="L703" i="1"/>
  <c r="G700" i="2" s="1"/>
  <c r="L704" i="1"/>
  <c r="G701" i="2" s="1"/>
  <c r="L705" i="1"/>
  <c r="G702" i="2" s="1"/>
  <c r="L706" i="1"/>
  <c r="G703" i="2" s="1"/>
  <c r="L707" i="1"/>
  <c r="G704" i="2" s="1"/>
  <c r="L708" i="1"/>
  <c r="G705" i="2" s="1"/>
  <c r="L709" i="1"/>
  <c r="G706" i="2" s="1"/>
  <c r="L710" i="1"/>
  <c r="G707" i="2" s="1"/>
  <c r="L711" i="1"/>
  <c r="G708" i="2" s="1"/>
  <c r="L712" i="1"/>
  <c r="G709" i="2" s="1"/>
  <c r="L713" i="1"/>
  <c r="G710" i="2" s="1"/>
  <c r="L714" i="1"/>
  <c r="G711" i="2" s="1"/>
  <c r="L715" i="1"/>
  <c r="G712" i="2" s="1"/>
  <c r="L716" i="1"/>
  <c r="G713" i="2" s="1"/>
  <c r="L717" i="1"/>
  <c r="G714" i="2" s="1"/>
  <c r="L718" i="1"/>
  <c r="G715" i="2" s="1"/>
  <c r="L719" i="1"/>
  <c r="G716" i="2" s="1"/>
  <c r="L720" i="1"/>
  <c r="G717" i="2" s="1"/>
  <c r="L721" i="1"/>
  <c r="G718" i="2" s="1"/>
  <c r="L722" i="1"/>
  <c r="G719" i="2" s="1"/>
  <c r="L723" i="1"/>
  <c r="G720" i="2" s="1"/>
  <c r="L724" i="1"/>
  <c r="G721" i="2" s="1"/>
  <c r="L725" i="1"/>
  <c r="G722" i="2" s="1"/>
  <c r="L726" i="1"/>
  <c r="G723" i="2" s="1"/>
  <c r="L727" i="1"/>
  <c r="G724" i="2" s="1"/>
  <c r="L728" i="1"/>
  <c r="G725" i="2" s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K177" i="1"/>
  <c r="F174" i="2" s="1"/>
  <c r="K178" i="1"/>
  <c r="F175" i="2" s="1"/>
  <c r="K179" i="1"/>
  <c r="F176" i="2" s="1"/>
  <c r="K180" i="1"/>
  <c r="F177" i="2" s="1"/>
  <c r="K181" i="1"/>
  <c r="F178" i="2" s="1"/>
  <c r="K182" i="1"/>
  <c r="F179" i="2" s="1"/>
  <c r="K183" i="1"/>
  <c r="F180" i="2" s="1"/>
  <c r="K184" i="1"/>
  <c r="F181" i="2" s="1"/>
  <c r="K185" i="1"/>
  <c r="F182" i="2" s="1"/>
  <c r="K186" i="1"/>
  <c r="F183" i="2" s="1"/>
  <c r="K187" i="1"/>
  <c r="F184" i="2" s="1"/>
  <c r="K188" i="1"/>
  <c r="F185" i="2" s="1"/>
  <c r="K189" i="1"/>
  <c r="F186" i="2" s="1"/>
  <c r="K190" i="1"/>
  <c r="F187" i="2" s="1"/>
  <c r="K191" i="1"/>
  <c r="F188" i="2" s="1"/>
  <c r="K192" i="1"/>
  <c r="F189" i="2" s="1"/>
  <c r="K193" i="1"/>
  <c r="F190" i="2" s="1"/>
  <c r="K194" i="1"/>
  <c r="F191" i="2" s="1"/>
  <c r="K195" i="1"/>
  <c r="F192" i="2" s="1"/>
  <c r="K196" i="1"/>
  <c r="F193" i="2" s="1"/>
  <c r="K197" i="1"/>
  <c r="F194" i="2" s="1"/>
  <c r="K198" i="1"/>
  <c r="F195" i="2" s="1"/>
  <c r="K199" i="1"/>
  <c r="F196" i="2" s="1"/>
  <c r="K200" i="1"/>
  <c r="F197" i="2" s="1"/>
  <c r="K201" i="1"/>
  <c r="F198" i="2" s="1"/>
  <c r="K202" i="1"/>
  <c r="F199" i="2" s="1"/>
  <c r="K203" i="1"/>
  <c r="F200" i="2" s="1"/>
  <c r="K204" i="1"/>
  <c r="F201" i="2" s="1"/>
  <c r="K205" i="1"/>
  <c r="F202" i="2" s="1"/>
  <c r="K206" i="1"/>
  <c r="F203" i="2" s="1"/>
  <c r="K207" i="1"/>
  <c r="F204" i="2" s="1"/>
  <c r="K208" i="1"/>
  <c r="F205" i="2" s="1"/>
  <c r="K209" i="1"/>
  <c r="F206" i="2" s="1"/>
  <c r="K210" i="1"/>
  <c r="F207" i="2" s="1"/>
  <c r="K211" i="1"/>
  <c r="F208" i="2" s="1"/>
  <c r="K212" i="1"/>
  <c r="F209" i="2" s="1"/>
  <c r="K213" i="1"/>
  <c r="F210" i="2" s="1"/>
  <c r="K214" i="1"/>
  <c r="F211" i="2" s="1"/>
  <c r="K215" i="1"/>
  <c r="F212" i="2" s="1"/>
  <c r="K216" i="1"/>
  <c r="F213" i="2" s="1"/>
  <c r="K217" i="1"/>
  <c r="F214" i="2" s="1"/>
  <c r="K218" i="1"/>
  <c r="F215" i="2" s="1"/>
  <c r="K219" i="1"/>
  <c r="F216" i="2" s="1"/>
  <c r="K220" i="1"/>
  <c r="F217" i="2" s="1"/>
  <c r="K221" i="1"/>
  <c r="F218" i="2" s="1"/>
  <c r="K222" i="1"/>
  <c r="F219" i="2" s="1"/>
  <c r="K223" i="1"/>
  <c r="F220" i="2" s="1"/>
  <c r="K224" i="1"/>
  <c r="F221" i="2" s="1"/>
  <c r="K225" i="1"/>
  <c r="F222" i="2" s="1"/>
  <c r="K226" i="1"/>
  <c r="F223" i="2" s="1"/>
  <c r="K227" i="1"/>
  <c r="F224" i="2" s="1"/>
  <c r="K228" i="1"/>
  <c r="F225" i="2" s="1"/>
  <c r="K229" i="1"/>
  <c r="F226" i="2" s="1"/>
  <c r="K230" i="1"/>
  <c r="F227" i="2" s="1"/>
  <c r="K231" i="1"/>
  <c r="F228" i="2" s="1"/>
  <c r="K232" i="1"/>
  <c r="F229" i="2" s="1"/>
  <c r="K233" i="1"/>
  <c r="F230" i="2" s="1"/>
  <c r="K234" i="1"/>
  <c r="F231" i="2" s="1"/>
  <c r="K235" i="1"/>
  <c r="F232" i="2" s="1"/>
  <c r="K236" i="1"/>
  <c r="F233" i="2" s="1"/>
  <c r="K237" i="1"/>
  <c r="F234" i="2" s="1"/>
  <c r="K238" i="1"/>
  <c r="F235" i="2" s="1"/>
  <c r="K239" i="1"/>
  <c r="F236" i="2" s="1"/>
  <c r="K240" i="1"/>
  <c r="F237" i="2" s="1"/>
  <c r="K241" i="1"/>
  <c r="F238" i="2" s="1"/>
  <c r="K242" i="1"/>
  <c r="F239" i="2" s="1"/>
  <c r="K243" i="1"/>
  <c r="F240" i="2" s="1"/>
  <c r="K244" i="1"/>
  <c r="F241" i="2" s="1"/>
  <c r="K245" i="1"/>
  <c r="F242" i="2" s="1"/>
  <c r="K246" i="1"/>
  <c r="F243" i="2" s="1"/>
  <c r="K247" i="1"/>
  <c r="F244" i="2" s="1"/>
  <c r="K248" i="1"/>
  <c r="F245" i="2" s="1"/>
  <c r="K249" i="1"/>
  <c r="F246" i="2" s="1"/>
  <c r="K250" i="1"/>
  <c r="F247" i="2" s="1"/>
  <c r="K251" i="1"/>
  <c r="F248" i="2" s="1"/>
  <c r="K252" i="1"/>
  <c r="F249" i="2" s="1"/>
  <c r="K253" i="1"/>
  <c r="F250" i="2" s="1"/>
  <c r="K254" i="1"/>
  <c r="F251" i="2" s="1"/>
  <c r="K255" i="1"/>
  <c r="F252" i="2" s="1"/>
  <c r="K256" i="1"/>
  <c r="F253" i="2" s="1"/>
  <c r="K257" i="1"/>
  <c r="F254" i="2" s="1"/>
  <c r="K258" i="1"/>
  <c r="F255" i="2" s="1"/>
  <c r="K259" i="1"/>
  <c r="F256" i="2" s="1"/>
  <c r="K260" i="1"/>
  <c r="F257" i="2" s="1"/>
  <c r="K261" i="1"/>
  <c r="F258" i="2" s="1"/>
  <c r="K262" i="1"/>
  <c r="F259" i="2" s="1"/>
  <c r="K263" i="1"/>
  <c r="F260" i="2" s="1"/>
  <c r="K264" i="1"/>
  <c r="F261" i="2" s="1"/>
  <c r="K265" i="1"/>
  <c r="F262" i="2" s="1"/>
  <c r="K266" i="1"/>
  <c r="F263" i="2" s="1"/>
  <c r="K267" i="1"/>
  <c r="F264" i="2" s="1"/>
  <c r="K268" i="1"/>
  <c r="F265" i="2" s="1"/>
  <c r="K269" i="1"/>
  <c r="F266" i="2" s="1"/>
  <c r="K270" i="1"/>
  <c r="F267" i="2" s="1"/>
  <c r="K271" i="1"/>
  <c r="F268" i="2" s="1"/>
  <c r="K272" i="1"/>
  <c r="F269" i="2" s="1"/>
  <c r="K273" i="1"/>
  <c r="F270" i="2" s="1"/>
  <c r="K274" i="1"/>
  <c r="F271" i="2" s="1"/>
  <c r="K275" i="1"/>
  <c r="F272" i="2" s="1"/>
  <c r="K276" i="1"/>
  <c r="F273" i="2" s="1"/>
  <c r="K277" i="1"/>
  <c r="F274" i="2" s="1"/>
  <c r="K278" i="1"/>
  <c r="F275" i="2" s="1"/>
  <c r="K279" i="1"/>
  <c r="F276" i="2" s="1"/>
  <c r="K280" i="1"/>
  <c r="F277" i="2" s="1"/>
  <c r="K281" i="1"/>
  <c r="F278" i="2" s="1"/>
  <c r="K282" i="1"/>
  <c r="F279" i="2" s="1"/>
  <c r="K283" i="1"/>
  <c r="F280" i="2" s="1"/>
  <c r="K284" i="1"/>
  <c r="F281" i="2" s="1"/>
  <c r="K285" i="1"/>
  <c r="F282" i="2" s="1"/>
  <c r="K286" i="1"/>
  <c r="F283" i="2" s="1"/>
  <c r="K287" i="1"/>
  <c r="F284" i="2" s="1"/>
  <c r="K288" i="1"/>
  <c r="F285" i="2" s="1"/>
  <c r="K289" i="1"/>
  <c r="F286" i="2" s="1"/>
  <c r="K290" i="1"/>
  <c r="F287" i="2" s="1"/>
  <c r="K291" i="1"/>
  <c r="F288" i="2" s="1"/>
  <c r="K292" i="1"/>
  <c r="F289" i="2" s="1"/>
  <c r="K293" i="1"/>
  <c r="F290" i="2" s="1"/>
  <c r="K294" i="1"/>
  <c r="F291" i="2" s="1"/>
  <c r="K295" i="1"/>
  <c r="F292" i="2" s="1"/>
  <c r="K296" i="1"/>
  <c r="F293" i="2" s="1"/>
  <c r="K297" i="1"/>
  <c r="F294" i="2" s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A1598" i="4" l="1"/>
  <c r="B1598" i="4"/>
  <c r="C1598" i="4" s="1"/>
  <c r="A1601" i="4"/>
  <c r="B1601" i="4"/>
  <c r="C1601" i="4" s="1"/>
  <c r="A1607" i="4"/>
  <c r="B1607" i="4"/>
  <c r="C1607" i="4" s="1"/>
  <c r="A1608" i="4"/>
  <c r="B1608" i="4"/>
  <c r="C1608" i="4" s="1"/>
  <c r="A1609" i="4"/>
  <c r="B1609" i="4"/>
  <c r="C1609" i="4" s="1"/>
  <c r="A1611" i="4"/>
  <c r="B1611" i="4"/>
  <c r="C1611" i="4" s="1"/>
  <c r="A1602" i="4"/>
  <c r="B1602" i="4"/>
  <c r="C1602" i="4" s="1"/>
  <c r="A1613" i="4"/>
  <c r="B1613" i="4"/>
  <c r="C1613" i="4" s="1"/>
  <c r="A1610" i="4"/>
  <c r="B1610" i="4"/>
  <c r="C1610" i="4" s="1"/>
  <c r="A2113" i="4"/>
  <c r="B2113" i="4"/>
  <c r="C2113" i="4" s="1"/>
  <c r="A2114" i="4"/>
  <c r="B2114" i="4"/>
  <c r="C2114" i="4" s="1"/>
  <c r="A2115" i="4"/>
  <c r="B2115" i="4"/>
  <c r="C2115" i="4" s="1"/>
  <c r="A2116" i="4"/>
  <c r="B2116" i="4"/>
  <c r="C2116" i="4" s="1"/>
  <c r="A2117" i="4"/>
  <c r="B2117" i="4"/>
  <c r="C2117" i="4" s="1"/>
  <c r="A2118" i="4"/>
  <c r="B2118" i="4"/>
  <c r="C2118" i="4" s="1"/>
  <c r="A2119" i="4"/>
  <c r="B2119" i="4"/>
  <c r="C2119" i="4" s="1"/>
  <c r="A2120" i="4"/>
  <c r="B2120" i="4"/>
  <c r="C2120" i="4" s="1"/>
  <c r="A2121" i="4"/>
  <c r="B2121" i="4"/>
  <c r="C2121" i="4" s="1"/>
  <c r="A2122" i="4"/>
  <c r="B2122" i="4"/>
  <c r="C2122" i="4" s="1"/>
  <c r="A2123" i="4"/>
  <c r="B2123" i="4"/>
  <c r="C2123" i="4" s="1"/>
  <c r="A2124" i="4"/>
  <c r="B2124" i="4"/>
  <c r="C2124" i="4" s="1"/>
  <c r="A2125" i="4"/>
  <c r="B2125" i="4"/>
  <c r="C2125" i="4" s="1"/>
  <c r="A2126" i="4"/>
  <c r="B2126" i="4"/>
  <c r="C2126" i="4" s="1"/>
  <c r="A2127" i="4"/>
  <c r="B2127" i="4"/>
  <c r="C2127" i="4" s="1"/>
  <c r="A2128" i="4"/>
  <c r="B2128" i="4"/>
  <c r="C2128" i="4" s="1"/>
  <c r="A2129" i="4"/>
  <c r="B2129" i="4"/>
  <c r="C2129" i="4" s="1"/>
  <c r="A2130" i="4"/>
  <c r="B2130" i="4"/>
  <c r="C2130" i="4" s="1"/>
  <c r="A2131" i="4"/>
  <c r="B2131" i="4"/>
  <c r="C2131" i="4" s="1"/>
  <c r="A2132" i="4"/>
  <c r="B2132" i="4"/>
  <c r="C2132" i="4" s="1"/>
  <c r="A2133" i="4"/>
  <c r="B2133" i="4"/>
  <c r="C2133" i="4" s="1"/>
  <c r="A2134" i="4"/>
  <c r="B2134" i="4"/>
  <c r="C2134" i="4" s="1"/>
  <c r="A2135" i="4"/>
  <c r="B2135" i="4"/>
  <c r="C2135" i="4" s="1"/>
  <c r="A2136" i="4"/>
  <c r="B2136" i="4"/>
  <c r="C2136" i="4" s="1"/>
  <c r="A2137" i="4"/>
  <c r="B2137" i="4"/>
  <c r="C2137" i="4" s="1"/>
  <c r="A2138" i="4"/>
  <c r="B2138" i="4"/>
  <c r="C2138" i="4" s="1"/>
  <c r="A2139" i="4"/>
  <c r="B2139" i="4"/>
  <c r="C2139" i="4" s="1"/>
  <c r="A2140" i="4"/>
  <c r="B2140" i="4"/>
  <c r="C2140" i="4" s="1"/>
  <c r="A2141" i="4"/>
  <c r="B2141" i="4"/>
  <c r="C2141" i="4" s="1"/>
  <c r="A2142" i="4"/>
  <c r="B2142" i="4"/>
  <c r="C2142" i="4" s="1"/>
  <c r="A2143" i="4"/>
  <c r="B2143" i="4"/>
  <c r="C2143" i="4" s="1"/>
  <c r="A2144" i="4"/>
  <c r="B2144" i="4"/>
  <c r="C2144" i="4" s="1"/>
  <c r="A2145" i="4"/>
  <c r="B2145" i="4"/>
  <c r="C2145" i="4" s="1"/>
  <c r="A2146" i="4"/>
  <c r="B2146" i="4"/>
  <c r="C2146" i="4" s="1"/>
  <c r="A2147" i="4"/>
  <c r="B2147" i="4"/>
  <c r="C2147" i="4" s="1"/>
  <c r="A2148" i="4"/>
  <c r="B2148" i="4"/>
  <c r="C2148" i="4" s="1"/>
  <c r="A2149" i="4"/>
  <c r="B2149" i="4"/>
  <c r="C2149" i="4" s="1"/>
  <c r="A2150" i="4"/>
  <c r="B2150" i="4"/>
  <c r="C2150" i="4" s="1"/>
  <c r="A2151" i="4"/>
  <c r="B2151" i="4"/>
  <c r="C2151" i="4" s="1"/>
  <c r="A2152" i="4"/>
  <c r="B2152" i="4"/>
  <c r="C2152" i="4" s="1"/>
  <c r="A2153" i="4"/>
  <c r="B2153" i="4"/>
  <c r="C2153" i="4" s="1"/>
  <c r="A2154" i="4"/>
  <c r="B2154" i="4"/>
  <c r="C2154" i="4" s="1"/>
  <c r="A2155" i="4"/>
  <c r="B2155" i="4"/>
  <c r="C2155" i="4" s="1"/>
  <c r="A2156" i="4"/>
  <c r="B2156" i="4"/>
  <c r="C2156" i="4" s="1"/>
  <c r="A2157" i="4"/>
  <c r="B2157" i="4"/>
  <c r="C2157" i="4" s="1"/>
  <c r="A2158" i="4"/>
  <c r="B2158" i="4"/>
  <c r="C2158" i="4" s="1"/>
  <c r="A2159" i="4"/>
  <c r="B2159" i="4"/>
  <c r="C2159" i="4" s="1"/>
  <c r="A2160" i="4"/>
  <c r="B2160" i="4"/>
  <c r="C2160" i="4" s="1"/>
  <c r="A2161" i="4"/>
  <c r="B2161" i="4"/>
  <c r="C2161" i="4" s="1"/>
  <c r="A2162" i="4"/>
  <c r="B2162" i="4"/>
  <c r="C2162" i="4" s="1"/>
  <c r="A2163" i="4"/>
  <c r="B2163" i="4"/>
  <c r="C2163" i="4" s="1"/>
  <c r="A2164" i="4"/>
  <c r="B2164" i="4"/>
  <c r="C2164" i="4" s="1"/>
  <c r="A2165" i="4"/>
  <c r="B2165" i="4"/>
  <c r="C2165" i="4" s="1"/>
  <c r="A2166" i="4"/>
  <c r="B2166" i="4"/>
  <c r="C2166" i="4" s="1"/>
  <c r="A2167" i="4"/>
  <c r="B2167" i="4"/>
  <c r="C2167" i="4" s="1"/>
  <c r="A2168" i="4"/>
  <c r="B2168" i="4"/>
  <c r="C2168" i="4" s="1"/>
  <c r="A2169" i="4"/>
  <c r="B2169" i="4"/>
  <c r="C2169" i="4" s="1"/>
  <c r="A2170" i="4"/>
  <c r="B2170" i="4"/>
  <c r="C2170" i="4" s="1"/>
  <c r="A2171" i="4"/>
  <c r="B2171" i="4"/>
  <c r="C2171" i="4" s="1"/>
  <c r="A2172" i="4"/>
  <c r="B2172" i="4"/>
  <c r="C2172" i="4" s="1"/>
  <c r="A2173" i="4"/>
  <c r="B2173" i="4"/>
  <c r="C2173" i="4" s="1"/>
  <c r="A2174" i="4"/>
  <c r="B2174" i="4"/>
  <c r="C2174" i="4" s="1"/>
  <c r="A2175" i="4"/>
  <c r="B2175" i="4"/>
  <c r="C2175" i="4" s="1"/>
  <c r="A2176" i="4"/>
  <c r="B2176" i="4"/>
  <c r="C2176" i="4" s="1"/>
  <c r="A2177" i="4"/>
  <c r="B2177" i="4"/>
  <c r="C2177" i="4" s="1"/>
  <c r="A2178" i="4"/>
  <c r="B2178" i="4"/>
  <c r="C2178" i="4" s="1"/>
  <c r="A2179" i="4"/>
  <c r="B2179" i="4"/>
  <c r="C2179" i="4" s="1"/>
  <c r="A2180" i="4"/>
  <c r="B2180" i="4"/>
  <c r="C2180" i="4" s="1"/>
  <c r="A2181" i="4"/>
  <c r="B2181" i="4"/>
  <c r="C2181" i="4" s="1"/>
  <c r="A2182" i="4"/>
  <c r="B2182" i="4"/>
  <c r="C2182" i="4" s="1"/>
  <c r="A2183" i="4"/>
  <c r="B2183" i="4"/>
  <c r="C2183" i="4" s="1"/>
  <c r="A2184" i="4"/>
  <c r="B2184" i="4"/>
  <c r="C2184" i="4" s="1"/>
  <c r="A2185" i="4"/>
  <c r="B2185" i="4"/>
  <c r="C2185" i="4" s="1"/>
  <c r="A2186" i="4"/>
  <c r="B2186" i="4"/>
  <c r="C2186" i="4" s="1"/>
  <c r="A2187" i="4"/>
  <c r="B2187" i="4"/>
  <c r="C2187" i="4" s="1"/>
  <c r="A2188" i="4"/>
  <c r="B2188" i="4"/>
  <c r="C2188" i="4" s="1"/>
  <c r="A2189" i="4"/>
  <c r="B2189" i="4"/>
  <c r="C2189" i="4" s="1"/>
  <c r="A2190" i="4"/>
  <c r="B2190" i="4"/>
  <c r="C2190" i="4" s="1"/>
  <c r="A2191" i="4"/>
  <c r="B2191" i="4"/>
  <c r="C2191" i="4" s="1"/>
  <c r="A2192" i="4"/>
  <c r="B2192" i="4"/>
  <c r="C2192" i="4" s="1"/>
  <c r="A2193" i="4"/>
  <c r="B2193" i="4"/>
  <c r="C2193" i="4" s="1"/>
  <c r="A2194" i="4"/>
  <c r="B2194" i="4"/>
  <c r="C2194" i="4" s="1"/>
  <c r="A2195" i="4"/>
  <c r="B2195" i="4"/>
  <c r="C2195" i="4" s="1"/>
  <c r="A2196" i="4"/>
  <c r="B2196" i="4"/>
  <c r="C2196" i="4" s="1"/>
  <c r="A2197" i="4"/>
  <c r="B2197" i="4"/>
  <c r="C2197" i="4" s="1"/>
  <c r="A2198" i="4"/>
  <c r="B2198" i="4"/>
  <c r="C2198" i="4" s="1"/>
  <c r="A2199" i="4"/>
  <c r="B2199" i="4"/>
  <c r="C2199" i="4" s="1"/>
  <c r="A2200" i="4"/>
  <c r="B2200" i="4"/>
  <c r="C2200" i="4" s="1"/>
  <c r="A2201" i="4"/>
  <c r="B2201" i="4"/>
  <c r="C2201" i="4" s="1"/>
  <c r="A2202" i="4"/>
  <c r="B2202" i="4"/>
  <c r="C2202" i="4" s="1"/>
  <c r="A2203" i="4"/>
  <c r="B2203" i="4"/>
  <c r="C2203" i="4" s="1"/>
  <c r="A2204" i="4"/>
  <c r="B2204" i="4"/>
  <c r="C2204" i="4" s="1"/>
  <c r="A2205" i="4"/>
  <c r="B2205" i="4"/>
  <c r="C2205" i="4" s="1"/>
  <c r="A2206" i="4"/>
  <c r="B2206" i="4"/>
  <c r="C2206" i="4" s="1"/>
  <c r="A2207" i="4"/>
  <c r="B2207" i="4"/>
  <c r="C2207" i="4" s="1"/>
  <c r="A2208" i="4"/>
  <c r="B2208" i="4"/>
  <c r="C2208" i="4" s="1"/>
  <c r="A2209" i="4"/>
  <c r="B2209" i="4"/>
  <c r="C2209" i="4" s="1"/>
  <c r="A2210" i="4"/>
  <c r="B2210" i="4"/>
  <c r="C2210" i="4" s="1"/>
  <c r="A2211" i="4"/>
  <c r="B2211" i="4"/>
  <c r="C2211" i="4" s="1"/>
  <c r="A2212" i="4"/>
  <c r="B2212" i="4"/>
  <c r="C2212" i="4" s="1"/>
  <c r="A2213" i="4"/>
  <c r="B2213" i="4"/>
  <c r="C2213" i="4" s="1"/>
  <c r="A2214" i="4"/>
  <c r="B2214" i="4"/>
  <c r="C2214" i="4" s="1"/>
  <c r="A2215" i="4"/>
  <c r="B2215" i="4"/>
  <c r="C2215" i="4" s="1"/>
  <c r="A2216" i="4"/>
  <c r="B2216" i="4"/>
  <c r="C2216" i="4" s="1"/>
  <c r="A2217" i="4"/>
  <c r="B2217" i="4"/>
  <c r="C2217" i="4" s="1"/>
  <c r="A2218" i="4"/>
  <c r="B2218" i="4"/>
  <c r="C2218" i="4" s="1"/>
  <c r="A2219" i="4"/>
  <c r="B2219" i="4"/>
  <c r="C2219" i="4" s="1"/>
  <c r="A2220" i="4"/>
  <c r="B2220" i="4"/>
  <c r="C2220" i="4" s="1"/>
  <c r="A2221" i="4"/>
  <c r="B2221" i="4"/>
  <c r="C2221" i="4" s="1"/>
  <c r="A2222" i="4"/>
  <c r="B2222" i="4"/>
  <c r="C2222" i="4" s="1"/>
  <c r="A2223" i="4"/>
  <c r="B2223" i="4"/>
  <c r="C2223" i="4" s="1"/>
  <c r="A2224" i="4"/>
  <c r="B2224" i="4"/>
  <c r="C2224" i="4" s="1"/>
  <c r="A2225" i="4"/>
  <c r="B2225" i="4"/>
  <c r="C2225" i="4" s="1"/>
  <c r="A2226" i="4"/>
  <c r="B2226" i="4"/>
  <c r="C2226" i="4" s="1"/>
  <c r="A2227" i="4"/>
  <c r="B2227" i="4"/>
  <c r="C2227" i="4" s="1"/>
  <c r="A2228" i="4"/>
  <c r="B2228" i="4"/>
  <c r="C2228" i="4" s="1"/>
  <c r="A2229" i="4"/>
  <c r="B2229" i="4"/>
  <c r="C2229" i="4" s="1"/>
  <c r="A2230" i="4"/>
  <c r="B2230" i="4"/>
  <c r="C2230" i="4" s="1"/>
  <c r="A2231" i="4"/>
  <c r="B2231" i="4"/>
  <c r="C2231" i="4" s="1"/>
  <c r="A2232" i="4"/>
  <c r="B2232" i="4"/>
  <c r="C2232" i="4" s="1"/>
  <c r="A2233" i="4"/>
  <c r="B2233" i="4"/>
  <c r="C2233" i="4" s="1"/>
  <c r="A2234" i="4"/>
  <c r="B2234" i="4"/>
  <c r="C2234" i="4" s="1"/>
  <c r="A2235" i="4"/>
  <c r="B2235" i="4"/>
  <c r="C2235" i="4" s="1"/>
  <c r="A2236" i="4"/>
  <c r="B2236" i="4"/>
  <c r="C2236" i="4" s="1"/>
  <c r="A2237" i="4"/>
  <c r="B2237" i="4"/>
  <c r="C2237" i="4" s="1"/>
  <c r="A2238" i="4"/>
  <c r="B2238" i="4"/>
  <c r="C2238" i="4" s="1"/>
  <c r="A2239" i="4"/>
  <c r="B2239" i="4"/>
  <c r="C2239" i="4" s="1"/>
  <c r="A2240" i="4"/>
  <c r="B2240" i="4"/>
  <c r="C2240" i="4" s="1"/>
  <c r="A2241" i="4"/>
  <c r="B2241" i="4"/>
  <c r="C2241" i="4" s="1"/>
  <c r="A2242" i="4"/>
  <c r="B2242" i="4"/>
  <c r="C2242" i="4" s="1"/>
  <c r="A2243" i="4"/>
  <c r="B2243" i="4"/>
  <c r="C2243" i="4" s="1"/>
  <c r="A2244" i="4"/>
  <c r="B2244" i="4"/>
  <c r="C2244" i="4" s="1"/>
  <c r="A2245" i="4"/>
  <c r="B2245" i="4"/>
  <c r="C2245" i="4" s="1"/>
  <c r="A2246" i="4"/>
  <c r="B2246" i="4"/>
  <c r="C2246" i="4" s="1"/>
  <c r="A2247" i="4"/>
  <c r="B2247" i="4"/>
  <c r="C2247" i="4" s="1"/>
  <c r="A2248" i="4"/>
  <c r="B2248" i="4"/>
  <c r="C2248" i="4" s="1"/>
  <c r="A2249" i="4"/>
  <c r="B2249" i="4"/>
  <c r="C2249" i="4" s="1"/>
  <c r="A2250" i="4"/>
  <c r="B2250" i="4"/>
  <c r="C2250" i="4" s="1"/>
  <c r="A2251" i="4"/>
  <c r="B2251" i="4"/>
  <c r="C2251" i="4" s="1"/>
  <c r="A2252" i="4"/>
  <c r="B2252" i="4"/>
  <c r="C2252" i="4" s="1"/>
  <c r="A2253" i="4"/>
  <c r="B2253" i="4"/>
  <c r="C2253" i="4" s="1"/>
  <c r="A2254" i="4"/>
  <c r="B2254" i="4"/>
  <c r="C2254" i="4" s="1"/>
  <c r="A2255" i="4"/>
  <c r="B2255" i="4"/>
  <c r="C2255" i="4" s="1"/>
  <c r="A2256" i="4"/>
  <c r="B2256" i="4"/>
  <c r="C2256" i="4" s="1"/>
  <c r="A2257" i="4"/>
  <c r="B2257" i="4"/>
  <c r="C2257" i="4" s="1"/>
  <c r="A2258" i="4"/>
  <c r="B2258" i="4"/>
  <c r="C2258" i="4" s="1"/>
  <c r="A2259" i="4"/>
  <c r="B2259" i="4"/>
  <c r="C2259" i="4" s="1"/>
  <c r="A2260" i="4"/>
  <c r="B2260" i="4"/>
  <c r="C2260" i="4" s="1"/>
  <c r="A2261" i="4"/>
  <c r="B2261" i="4"/>
  <c r="C2261" i="4" s="1"/>
  <c r="A2262" i="4"/>
  <c r="B2262" i="4"/>
  <c r="C2262" i="4" s="1"/>
  <c r="A2263" i="4"/>
  <c r="B2263" i="4"/>
  <c r="C2263" i="4" s="1"/>
  <c r="A2264" i="4"/>
  <c r="B2264" i="4"/>
  <c r="C2264" i="4" s="1"/>
  <c r="A2265" i="4"/>
  <c r="B2265" i="4"/>
  <c r="C2265" i="4" s="1"/>
  <c r="A2266" i="4"/>
  <c r="B2266" i="4"/>
  <c r="C2266" i="4" s="1"/>
  <c r="A2267" i="4"/>
  <c r="B2267" i="4"/>
  <c r="C2267" i="4" s="1"/>
  <c r="A2268" i="4"/>
  <c r="B2268" i="4"/>
  <c r="C2268" i="4" s="1"/>
  <c r="A2269" i="4"/>
  <c r="B2269" i="4"/>
  <c r="C2269" i="4" s="1"/>
  <c r="A2270" i="4"/>
  <c r="B2270" i="4"/>
  <c r="C2270" i="4" s="1"/>
  <c r="A2271" i="4"/>
  <c r="B2271" i="4"/>
  <c r="C2271" i="4" s="1"/>
  <c r="A2272" i="4"/>
  <c r="B2272" i="4"/>
  <c r="C2272" i="4" s="1"/>
  <c r="A2273" i="4"/>
  <c r="B2273" i="4"/>
  <c r="C2273" i="4" s="1"/>
  <c r="A2274" i="4"/>
  <c r="B2274" i="4"/>
  <c r="C2274" i="4" s="1"/>
  <c r="A2275" i="4"/>
  <c r="B2275" i="4"/>
  <c r="C2275" i="4" s="1"/>
  <c r="A2276" i="4"/>
  <c r="B2276" i="4"/>
  <c r="C2276" i="4" s="1"/>
  <c r="A2277" i="4"/>
  <c r="B2277" i="4"/>
  <c r="C2277" i="4" s="1"/>
  <c r="A2278" i="4"/>
  <c r="B2278" i="4"/>
  <c r="C2278" i="4" s="1"/>
  <c r="A2279" i="4"/>
  <c r="B2279" i="4"/>
  <c r="C2279" i="4" s="1"/>
  <c r="A2280" i="4"/>
  <c r="B2280" i="4"/>
  <c r="C2280" i="4" s="1"/>
  <c r="A2281" i="4"/>
  <c r="B2281" i="4"/>
  <c r="C2281" i="4" s="1"/>
  <c r="A2282" i="4"/>
  <c r="B2282" i="4"/>
  <c r="C2282" i="4" s="1"/>
  <c r="A2283" i="4"/>
  <c r="B2283" i="4"/>
  <c r="C2283" i="4" s="1"/>
  <c r="A2284" i="4"/>
  <c r="B2284" i="4"/>
  <c r="C2284" i="4" s="1"/>
  <c r="A2285" i="4"/>
  <c r="B2285" i="4"/>
  <c r="C2285" i="4" s="1"/>
  <c r="A2286" i="4"/>
  <c r="B2286" i="4"/>
  <c r="C2286" i="4" s="1"/>
  <c r="A2287" i="4"/>
  <c r="B2287" i="4"/>
  <c r="C2287" i="4" s="1"/>
  <c r="A2288" i="4"/>
  <c r="B2288" i="4"/>
  <c r="C2288" i="4" s="1"/>
  <c r="A2289" i="4"/>
  <c r="B2289" i="4"/>
  <c r="C2289" i="4" s="1"/>
  <c r="A2290" i="4"/>
  <c r="B2290" i="4"/>
  <c r="C2290" i="4" s="1"/>
  <c r="A2291" i="4"/>
  <c r="B2291" i="4"/>
  <c r="C2291" i="4" s="1"/>
  <c r="A2292" i="4"/>
  <c r="B2292" i="4"/>
  <c r="C2292" i="4" s="1"/>
  <c r="A2293" i="4"/>
  <c r="B2293" i="4"/>
  <c r="C2293" i="4" s="1"/>
  <c r="A2294" i="4"/>
  <c r="B2294" i="4"/>
  <c r="C2294" i="4" s="1"/>
  <c r="A2295" i="4"/>
  <c r="B2295" i="4"/>
  <c r="C2295" i="4" s="1"/>
  <c r="A2296" i="4"/>
  <c r="B2296" i="4"/>
  <c r="C2296" i="4" s="1"/>
  <c r="A2297" i="4"/>
  <c r="B2297" i="4"/>
  <c r="C2297" i="4" s="1"/>
  <c r="A2298" i="4"/>
  <c r="B2298" i="4"/>
  <c r="C2298" i="4" s="1"/>
  <c r="A2299" i="4"/>
  <c r="B2299" i="4"/>
  <c r="C2299" i="4" s="1"/>
  <c r="A2300" i="4"/>
  <c r="B2300" i="4"/>
  <c r="C2300" i="4" s="1"/>
  <c r="A2301" i="4"/>
  <c r="B2301" i="4"/>
  <c r="C2301" i="4" s="1"/>
  <c r="A2302" i="4"/>
  <c r="B2302" i="4"/>
  <c r="C2302" i="4" s="1"/>
  <c r="A2303" i="4"/>
  <c r="B2303" i="4"/>
  <c r="C2303" i="4" s="1"/>
  <c r="A2304" i="4"/>
  <c r="B2304" i="4"/>
  <c r="C2304" i="4" s="1"/>
  <c r="A2305" i="4"/>
  <c r="B2305" i="4"/>
  <c r="C2305" i="4" s="1"/>
  <c r="A2306" i="4"/>
  <c r="B2306" i="4"/>
  <c r="C2306" i="4" s="1"/>
  <c r="A2307" i="4"/>
  <c r="B2307" i="4"/>
  <c r="C2307" i="4" s="1"/>
  <c r="A2308" i="4"/>
  <c r="B2308" i="4"/>
  <c r="C2308" i="4" s="1"/>
  <c r="A2309" i="4"/>
  <c r="B2309" i="4"/>
  <c r="C2309" i="4" s="1"/>
  <c r="A2310" i="4"/>
  <c r="B2310" i="4"/>
  <c r="C2310" i="4" s="1"/>
  <c r="A2311" i="4"/>
  <c r="B2311" i="4"/>
  <c r="C2311" i="4" s="1"/>
  <c r="A2312" i="4"/>
  <c r="B2312" i="4"/>
  <c r="C2312" i="4" s="1"/>
  <c r="A2313" i="4"/>
  <c r="B2313" i="4"/>
  <c r="C2313" i="4" s="1"/>
  <c r="A2314" i="4"/>
  <c r="B2314" i="4"/>
  <c r="C2314" i="4" s="1"/>
  <c r="A2315" i="4"/>
  <c r="B2315" i="4"/>
  <c r="C2315" i="4" s="1"/>
  <c r="A2316" i="4"/>
  <c r="B2316" i="4"/>
  <c r="C2316" i="4" s="1"/>
  <c r="A2317" i="4"/>
  <c r="B2317" i="4"/>
  <c r="C2317" i="4" s="1"/>
  <c r="A2318" i="4"/>
  <c r="B2318" i="4"/>
  <c r="C2318" i="4" s="1"/>
  <c r="A2319" i="4"/>
  <c r="B2319" i="4"/>
  <c r="C2319" i="4" s="1"/>
  <c r="A2320" i="4"/>
  <c r="B2320" i="4"/>
  <c r="C2320" i="4" s="1"/>
  <c r="A2321" i="4"/>
  <c r="B2321" i="4"/>
  <c r="C2321" i="4" s="1"/>
  <c r="A2322" i="4"/>
  <c r="B2322" i="4"/>
  <c r="C2322" i="4" s="1"/>
  <c r="A2323" i="4"/>
  <c r="B2323" i="4"/>
  <c r="C2323" i="4" s="1"/>
  <c r="A2324" i="4"/>
  <c r="B2324" i="4"/>
  <c r="C2324" i="4" s="1"/>
  <c r="A2325" i="4"/>
  <c r="B2325" i="4"/>
  <c r="C2325" i="4" s="1"/>
  <c r="A2326" i="4"/>
  <c r="B2326" i="4"/>
  <c r="C2326" i="4" s="1"/>
  <c r="A2327" i="4"/>
  <c r="B2327" i="4"/>
  <c r="C2327" i="4" s="1"/>
  <c r="A2328" i="4"/>
  <c r="B2328" i="4"/>
  <c r="C2328" i="4" s="1"/>
  <c r="A2329" i="4"/>
  <c r="B2329" i="4"/>
  <c r="C2329" i="4" s="1"/>
  <c r="A2330" i="4"/>
  <c r="B2330" i="4"/>
  <c r="C2330" i="4" s="1"/>
  <c r="A2331" i="4"/>
  <c r="B2331" i="4"/>
  <c r="C2331" i="4" s="1"/>
  <c r="A2332" i="4"/>
  <c r="B2332" i="4"/>
  <c r="C2332" i="4" s="1"/>
  <c r="A2333" i="4"/>
  <c r="B2333" i="4"/>
  <c r="C2333" i="4" s="1"/>
  <c r="A2334" i="4"/>
  <c r="B2334" i="4"/>
  <c r="C2334" i="4" s="1"/>
  <c r="A2335" i="4"/>
  <c r="B2335" i="4"/>
  <c r="C2335" i="4" s="1"/>
  <c r="A2336" i="4"/>
  <c r="B2336" i="4"/>
  <c r="C2336" i="4" s="1"/>
  <c r="A2337" i="4"/>
  <c r="B2337" i="4"/>
  <c r="C2337" i="4" s="1"/>
  <c r="A2338" i="4"/>
  <c r="B2338" i="4"/>
  <c r="C2338" i="4" s="1"/>
  <c r="A2339" i="4"/>
  <c r="B2339" i="4"/>
  <c r="C2339" i="4" s="1"/>
  <c r="A2340" i="4"/>
  <c r="B2340" i="4"/>
  <c r="C2340" i="4" s="1"/>
  <c r="A2341" i="4"/>
  <c r="B2341" i="4"/>
  <c r="C2341" i="4" s="1"/>
  <c r="A2342" i="4"/>
  <c r="B2342" i="4"/>
  <c r="C2342" i="4" s="1"/>
  <c r="A2343" i="4"/>
  <c r="B2343" i="4"/>
  <c r="C2343" i="4" s="1"/>
  <c r="A2344" i="4"/>
  <c r="B2344" i="4"/>
  <c r="C2344" i="4" s="1"/>
  <c r="A2345" i="4"/>
  <c r="B2345" i="4"/>
  <c r="C2345" i="4" s="1"/>
  <c r="A2346" i="4"/>
  <c r="B2346" i="4"/>
  <c r="C2346" i="4" s="1"/>
  <c r="A2347" i="4"/>
  <c r="B2347" i="4"/>
  <c r="C2347" i="4" s="1"/>
  <c r="A2348" i="4"/>
  <c r="B2348" i="4"/>
  <c r="C2348" i="4" s="1"/>
  <c r="A2349" i="4"/>
  <c r="B2349" i="4"/>
  <c r="C2349" i="4" s="1"/>
  <c r="A2350" i="4"/>
  <c r="B2350" i="4"/>
  <c r="C2350" i="4" s="1"/>
  <c r="A2351" i="4"/>
  <c r="B2351" i="4"/>
  <c r="C2351" i="4" s="1"/>
  <c r="A2352" i="4"/>
  <c r="B2352" i="4"/>
  <c r="C2352" i="4" s="1"/>
  <c r="A2353" i="4"/>
  <c r="B2353" i="4"/>
  <c r="C2353" i="4" s="1"/>
  <c r="A2354" i="4"/>
  <c r="B2354" i="4"/>
  <c r="C2354" i="4" s="1"/>
  <c r="A2355" i="4"/>
  <c r="B2355" i="4"/>
  <c r="C2355" i="4" s="1"/>
  <c r="A2356" i="4"/>
  <c r="B2356" i="4"/>
  <c r="C2356" i="4" s="1"/>
  <c r="A2357" i="4"/>
  <c r="B2357" i="4"/>
  <c r="C2357" i="4" s="1"/>
  <c r="A2358" i="4"/>
  <c r="B2358" i="4"/>
  <c r="C2358" i="4" s="1"/>
  <c r="A2359" i="4"/>
  <c r="B2359" i="4"/>
  <c r="C2359" i="4" s="1"/>
  <c r="A2360" i="4"/>
  <c r="B2360" i="4"/>
  <c r="C2360" i="4" s="1"/>
  <c r="A2361" i="4"/>
  <c r="B2361" i="4"/>
  <c r="C2361" i="4" s="1"/>
  <c r="A2362" i="4"/>
  <c r="B2362" i="4"/>
  <c r="C2362" i="4" s="1"/>
  <c r="A2363" i="4"/>
  <c r="B2363" i="4"/>
  <c r="C2363" i="4" s="1"/>
  <c r="A2364" i="4"/>
  <c r="B2364" i="4"/>
  <c r="C2364" i="4" s="1"/>
  <c r="A2365" i="4"/>
  <c r="B2365" i="4"/>
  <c r="C2365" i="4" s="1"/>
  <c r="A2366" i="4"/>
  <c r="B2366" i="4"/>
  <c r="C2366" i="4" s="1"/>
  <c r="A2367" i="4"/>
  <c r="B2367" i="4"/>
  <c r="C2367" i="4" s="1"/>
  <c r="A2368" i="4"/>
  <c r="B2368" i="4"/>
  <c r="C2368" i="4" s="1"/>
  <c r="A2369" i="4"/>
  <c r="B2369" i="4"/>
  <c r="C2369" i="4" s="1"/>
  <c r="A2370" i="4"/>
  <c r="B2370" i="4"/>
  <c r="C2370" i="4" s="1"/>
  <c r="A2371" i="4"/>
  <c r="B2371" i="4"/>
  <c r="C2371" i="4" s="1"/>
  <c r="A2372" i="4"/>
  <c r="B2372" i="4"/>
  <c r="C2372" i="4" s="1"/>
  <c r="A2373" i="4"/>
  <c r="B2373" i="4"/>
  <c r="C2373" i="4" s="1"/>
  <c r="A2374" i="4"/>
  <c r="B2374" i="4"/>
  <c r="C2374" i="4" s="1"/>
  <c r="A2375" i="4"/>
  <c r="B2375" i="4"/>
  <c r="C2375" i="4" s="1"/>
  <c r="A2376" i="4"/>
  <c r="B2376" i="4"/>
  <c r="C2376" i="4" s="1"/>
  <c r="A2377" i="4"/>
  <c r="B2377" i="4"/>
  <c r="C2377" i="4" s="1"/>
  <c r="A2378" i="4"/>
  <c r="B2378" i="4"/>
  <c r="C2378" i="4" s="1"/>
  <c r="A2379" i="4"/>
  <c r="B2379" i="4"/>
  <c r="C2379" i="4" s="1"/>
  <c r="A2380" i="4"/>
  <c r="B2380" i="4"/>
  <c r="C2380" i="4" s="1"/>
  <c r="A2381" i="4"/>
  <c r="B2381" i="4"/>
  <c r="C2381" i="4" s="1"/>
  <c r="A2382" i="4"/>
  <c r="B2382" i="4"/>
  <c r="C2382" i="4" s="1"/>
  <c r="A2383" i="4"/>
  <c r="B2383" i="4"/>
  <c r="C2383" i="4" s="1"/>
  <c r="A2384" i="4"/>
  <c r="B2384" i="4"/>
  <c r="C2384" i="4" s="1"/>
  <c r="A2385" i="4"/>
  <c r="B2385" i="4"/>
  <c r="C2385" i="4" s="1"/>
  <c r="A2386" i="4"/>
  <c r="B2386" i="4"/>
  <c r="C2386" i="4" s="1"/>
  <c r="A2387" i="4"/>
  <c r="B2387" i="4"/>
  <c r="C2387" i="4" s="1"/>
  <c r="A2388" i="4"/>
  <c r="B2388" i="4"/>
  <c r="C2388" i="4" s="1"/>
  <c r="A2389" i="4"/>
  <c r="B2389" i="4"/>
  <c r="C2389" i="4" s="1"/>
  <c r="A2390" i="4"/>
  <c r="B2390" i="4"/>
  <c r="C2390" i="4" s="1"/>
  <c r="A2391" i="4"/>
  <c r="B2391" i="4"/>
  <c r="C2391" i="4" s="1"/>
  <c r="A2392" i="4"/>
  <c r="B2392" i="4"/>
  <c r="C2392" i="4" s="1"/>
  <c r="A2393" i="4"/>
  <c r="B2393" i="4"/>
  <c r="C2393" i="4" s="1"/>
  <c r="A2394" i="4"/>
  <c r="B2394" i="4"/>
  <c r="C2394" i="4" s="1"/>
  <c r="A2395" i="4"/>
  <c r="B2395" i="4"/>
  <c r="C2395" i="4" s="1"/>
  <c r="A2396" i="4"/>
  <c r="B2396" i="4"/>
  <c r="C2396" i="4" s="1"/>
  <c r="A2397" i="4"/>
  <c r="B2397" i="4"/>
  <c r="C2397" i="4" s="1"/>
  <c r="A2398" i="4"/>
  <c r="B2398" i="4"/>
  <c r="C2398" i="4" s="1"/>
  <c r="A2399" i="4"/>
  <c r="B2399" i="4"/>
  <c r="C2399" i="4" s="1"/>
  <c r="A2400" i="4"/>
  <c r="B2400" i="4"/>
  <c r="C2400" i="4" s="1"/>
  <c r="A2401" i="4"/>
  <c r="B2401" i="4"/>
  <c r="C2401" i="4" s="1"/>
  <c r="A2402" i="4"/>
  <c r="B2402" i="4"/>
  <c r="C2402" i="4" s="1"/>
  <c r="A2403" i="4"/>
  <c r="B2403" i="4"/>
  <c r="C2403" i="4" s="1"/>
  <c r="A2404" i="4"/>
  <c r="B2404" i="4"/>
  <c r="C2404" i="4" s="1"/>
  <c r="A2405" i="4"/>
  <c r="B2405" i="4"/>
  <c r="C2405" i="4" s="1"/>
  <c r="A2406" i="4"/>
  <c r="B2406" i="4"/>
  <c r="C2406" i="4" s="1"/>
  <c r="A2407" i="4"/>
  <c r="B2407" i="4"/>
  <c r="C2407" i="4" s="1"/>
  <c r="A2408" i="4"/>
  <c r="B2408" i="4"/>
  <c r="C2408" i="4" s="1"/>
  <c r="A2409" i="4"/>
  <c r="B2409" i="4"/>
  <c r="C2409" i="4" s="1"/>
  <c r="A2410" i="4"/>
  <c r="B2410" i="4"/>
  <c r="C2410" i="4" s="1"/>
  <c r="U28" i="1" l="1"/>
  <c r="P28" i="1" s="1"/>
  <c r="K25" i="2" s="1"/>
  <c r="T28" i="1"/>
  <c r="A28" i="1"/>
  <c r="B25" i="2" s="1"/>
  <c r="B28" i="1"/>
  <c r="C25" i="2" s="1"/>
  <c r="H28" i="1"/>
  <c r="D25" i="2" s="1"/>
  <c r="I28" i="1"/>
  <c r="E25" i="2" s="1"/>
  <c r="O28" i="1"/>
  <c r="J25" i="2" s="1"/>
  <c r="E28" i="1" l="1"/>
  <c r="F28" i="1"/>
  <c r="C28" i="1"/>
  <c r="D28" i="1"/>
  <c r="A25" i="1"/>
  <c r="B22" i="2" s="1"/>
  <c r="B25" i="1"/>
  <c r="C22" i="2" s="1"/>
  <c r="H25" i="1"/>
  <c r="D22" i="2" s="1"/>
  <c r="I25" i="1"/>
  <c r="E22" i="2" s="1"/>
  <c r="O25" i="1"/>
  <c r="J22" i="2" s="1"/>
  <c r="T25" i="1"/>
  <c r="U25" i="1"/>
  <c r="P25" i="1" s="1"/>
  <c r="K22" i="2" s="1"/>
  <c r="A26" i="1"/>
  <c r="B23" i="2" s="1"/>
  <c r="B26" i="1"/>
  <c r="C23" i="2" s="1"/>
  <c r="H26" i="1"/>
  <c r="D23" i="2" s="1"/>
  <c r="I26" i="1"/>
  <c r="E23" i="2" s="1"/>
  <c r="O26" i="1"/>
  <c r="J23" i="2" s="1"/>
  <c r="T26" i="1"/>
  <c r="U26" i="1"/>
  <c r="P26" i="1" s="1"/>
  <c r="K23" i="2" s="1"/>
  <c r="A27" i="1"/>
  <c r="B24" i="2" s="1"/>
  <c r="B27" i="1"/>
  <c r="C24" i="2" s="1"/>
  <c r="H27" i="1"/>
  <c r="D24" i="2" s="1"/>
  <c r="I27" i="1"/>
  <c r="E24" i="2" s="1"/>
  <c r="O27" i="1"/>
  <c r="J24" i="2" s="1"/>
  <c r="T27" i="1"/>
  <c r="U27" i="1"/>
  <c r="P27" i="1" s="1"/>
  <c r="K24" i="2" s="1"/>
  <c r="A29" i="1"/>
  <c r="B26" i="2" s="1"/>
  <c r="B29" i="1"/>
  <c r="C26" i="2" s="1"/>
  <c r="H29" i="1"/>
  <c r="D26" i="2" s="1"/>
  <c r="I29" i="1"/>
  <c r="E26" i="2" s="1"/>
  <c r="O29" i="1"/>
  <c r="J26" i="2" s="1"/>
  <c r="T29" i="1"/>
  <c r="U29" i="1"/>
  <c r="P29" i="1" s="1"/>
  <c r="K26" i="2" s="1"/>
  <c r="A30" i="1"/>
  <c r="B27" i="2" s="1"/>
  <c r="B30" i="1"/>
  <c r="C27" i="2" s="1"/>
  <c r="H30" i="1"/>
  <c r="D27" i="2" s="1"/>
  <c r="I30" i="1"/>
  <c r="E27" i="2" s="1"/>
  <c r="O30" i="1"/>
  <c r="J27" i="2" s="1"/>
  <c r="T30" i="1"/>
  <c r="U30" i="1"/>
  <c r="P30" i="1" s="1"/>
  <c r="K27" i="2" s="1"/>
  <c r="A31" i="1"/>
  <c r="B28" i="2" s="1"/>
  <c r="B31" i="1"/>
  <c r="C28" i="2" s="1"/>
  <c r="H31" i="1"/>
  <c r="D28" i="2" s="1"/>
  <c r="I31" i="1"/>
  <c r="E28" i="2" s="1"/>
  <c r="O31" i="1"/>
  <c r="J28" i="2" s="1"/>
  <c r="T31" i="1"/>
  <c r="U31" i="1"/>
  <c r="P31" i="1" s="1"/>
  <c r="K28" i="2" s="1"/>
  <c r="A32" i="1"/>
  <c r="B29" i="2" s="1"/>
  <c r="B32" i="1"/>
  <c r="C29" i="2" s="1"/>
  <c r="H32" i="1"/>
  <c r="D29" i="2" s="1"/>
  <c r="I32" i="1"/>
  <c r="E29" i="2" s="1"/>
  <c r="O32" i="1"/>
  <c r="J29" i="2" s="1"/>
  <c r="T32" i="1"/>
  <c r="U32" i="1"/>
  <c r="P32" i="1" s="1"/>
  <c r="K29" i="2" s="1"/>
  <c r="A33" i="1"/>
  <c r="B30" i="2" s="1"/>
  <c r="B33" i="1"/>
  <c r="C30" i="2" s="1"/>
  <c r="H33" i="1"/>
  <c r="D30" i="2" s="1"/>
  <c r="I33" i="1"/>
  <c r="E30" i="2" s="1"/>
  <c r="O33" i="1"/>
  <c r="J30" i="2" s="1"/>
  <c r="T33" i="1"/>
  <c r="U33" i="1"/>
  <c r="P33" i="1" s="1"/>
  <c r="K30" i="2" s="1"/>
  <c r="A34" i="1"/>
  <c r="B31" i="2" s="1"/>
  <c r="B34" i="1"/>
  <c r="C31" i="2" s="1"/>
  <c r="H34" i="1"/>
  <c r="D31" i="2" s="1"/>
  <c r="I34" i="1"/>
  <c r="E31" i="2" s="1"/>
  <c r="O34" i="1"/>
  <c r="J31" i="2" s="1"/>
  <c r="T34" i="1"/>
  <c r="U34" i="1"/>
  <c r="P34" i="1" s="1"/>
  <c r="K31" i="2" s="1"/>
  <c r="A35" i="1"/>
  <c r="B32" i="2" s="1"/>
  <c r="B35" i="1"/>
  <c r="C32" i="2" s="1"/>
  <c r="H35" i="1"/>
  <c r="D32" i="2" s="1"/>
  <c r="I35" i="1"/>
  <c r="E32" i="2" s="1"/>
  <c r="O35" i="1"/>
  <c r="J32" i="2" s="1"/>
  <c r="T35" i="1"/>
  <c r="U35" i="1"/>
  <c r="P35" i="1" s="1"/>
  <c r="K32" i="2" s="1"/>
  <c r="A36" i="1"/>
  <c r="B33" i="2" s="1"/>
  <c r="B36" i="1"/>
  <c r="C33" i="2" s="1"/>
  <c r="H36" i="1"/>
  <c r="D33" i="2" s="1"/>
  <c r="I36" i="1"/>
  <c r="E33" i="2" s="1"/>
  <c r="O36" i="1"/>
  <c r="J33" i="2" s="1"/>
  <c r="T36" i="1"/>
  <c r="U36" i="1"/>
  <c r="P36" i="1" s="1"/>
  <c r="K33" i="2" s="1"/>
  <c r="A37" i="1"/>
  <c r="B34" i="2" s="1"/>
  <c r="B37" i="1"/>
  <c r="C34" i="2" s="1"/>
  <c r="H37" i="1"/>
  <c r="D34" i="2" s="1"/>
  <c r="I37" i="1"/>
  <c r="E34" i="2" s="1"/>
  <c r="O37" i="1"/>
  <c r="J34" i="2" s="1"/>
  <c r="T37" i="1"/>
  <c r="U37" i="1"/>
  <c r="P37" i="1" s="1"/>
  <c r="K34" i="2" s="1"/>
  <c r="A38" i="1"/>
  <c r="B35" i="2" s="1"/>
  <c r="B38" i="1"/>
  <c r="C35" i="2" s="1"/>
  <c r="H38" i="1"/>
  <c r="D35" i="2" s="1"/>
  <c r="I38" i="1"/>
  <c r="E35" i="2" s="1"/>
  <c r="O38" i="1"/>
  <c r="J35" i="2" s="1"/>
  <c r="T38" i="1"/>
  <c r="U38" i="1"/>
  <c r="P38" i="1" s="1"/>
  <c r="K35" i="2" s="1"/>
  <c r="A39" i="1"/>
  <c r="B36" i="2" s="1"/>
  <c r="B39" i="1"/>
  <c r="C36" i="2" s="1"/>
  <c r="H39" i="1"/>
  <c r="D36" i="2" s="1"/>
  <c r="I39" i="1"/>
  <c r="E36" i="2" s="1"/>
  <c r="O39" i="1"/>
  <c r="J36" i="2" s="1"/>
  <c r="T39" i="1"/>
  <c r="U39" i="1"/>
  <c r="P39" i="1" s="1"/>
  <c r="K36" i="2" s="1"/>
  <c r="A40" i="1"/>
  <c r="B37" i="2" s="1"/>
  <c r="B40" i="1"/>
  <c r="C37" i="2" s="1"/>
  <c r="H40" i="1"/>
  <c r="D37" i="2" s="1"/>
  <c r="I40" i="1"/>
  <c r="E37" i="2" s="1"/>
  <c r="O40" i="1"/>
  <c r="J37" i="2" s="1"/>
  <c r="T40" i="1"/>
  <c r="U40" i="1"/>
  <c r="P40" i="1" s="1"/>
  <c r="K37" i="2" s="1"/>
  <c r="A41" i="1"/>
  <c r="B38" i="2" s="1"/>
  <c r="B41" i="1"/>
  <c r="C38" i="2" s="1"/>
  <c r="H41" i="1"/>
  <c r="D38" i="2" s="1"/>
  <c r="I41" i="1"/>
  <c r="E38" i="2" s="1"/>
  <c r="O41" i="1"/>
  <c r="J38" i="2" s="1"/>
  <c r="T41" i="1"/>
  <c r="U41" i="1"/>
  <c r="P41" i="1" s="1"/>
  <c r="K38" i="2" s="1"/>
  <c r="A42" i="1"/>
  <c r="B39" i="2" s="1"/>
  <c r="B42" i="1"/>
  <c r="C39" i="2" s="1"/>
  <c r="H42" i="1"/>
  <c r="D39" i="2" s="1"/>
  <c r="I42" i="1"/>
  <c r="E39" i="2" s="1"/>
  <c r="O42" i="1"/>
  <c r="J39" i="2" s="1"/>
  <c r="T42" i="1"/>
  <c r="U42" i="1"/>
  <c r="P42" i="1" s="1"/>
  <c r="K39" i="2" s="1"/>
  <c r="A43" i="1"/>
  <c r="B40" i="2" s="1"/>
  <c r="B43" i="1"/>
  <c r="C40" i="2" s="1"/>
  <c r="H43" i="1"/>
  <c r="D40" i="2" s="1"/>
  <c r="I43" i="1"/>
  <c r="E40" i="2" s="1"/>
  <c r="O43" i="1"/>
  <c r="J40" i="2" s="1"/>
  <c r="T43" i="1"/>
  <c r="U43" i="1"/>
  <c r="P43" i="1" s="1"/>
  <c r="K40" i="2" s="1"/>
  <c r="A44" i="1"/>
  <c r="B41" i="2" s="1"/>
  <c r="B44" i="1"/>
  <c r="C41" i="2" s="1"/>
  <c r="H44" i="1"/>
  <c r="D41" i="2" s="1"/>
  <c r="I44" i="1"/>
  <c r="E41" i="2" s="1"/>
  <c r="O44" i="1"/>
  <c r="J41" i="2" s="1"/>
  <c r="T44" i="1"/>
  <c r="U44" i="1"/>
  <c r="P44" i="1" s="1"/>
  <c r="K41" i="2" s="1"/>
  <c r="A45" i="1"/>
  <c r="B42" i="2" s="1"/>
  <c r="B45" i="1"/>
  <c r="C42" i="2" s="1"/>
  <c r="H45" i="1"/>
  <c r="D42" i="2" s="1"/>
  <c r="I45" i="1"/>
  <c r="E42" i="2" s="1"/>
  <c r="O45" i="1"/>
  <c r="J42" i="2" s="1"/>
  <c r="T45" i="1"/>
  <c r="U45" i="1"/>
  <c r="P45" i="1" s="1"/>
  <c r="K42" i="2" s="1"/>
  <c r="A46" i="1"/>
  <c r="B43" i="2" s="1"/>
  <c r="B46" i="1"/>
  <c r="C43" i="2" s="1"/>
  <c r="H46" i="1"/>
  <c r="D43" i="2" s="1"/>
  <c r="I46" i="1"/>
  <c r="E43" i="2" s="1"/>
  <c r="O46" i="1"/>
  <c r="J43" i="2" s="1"/>
  <c r="T46" i="1"/>
  <c r="U46" i="1"/>
  <c r="P46" i="1" s="1"/>
  <c r="K43" i="2" s="1"/>
  <c r="A47" i="1"/>
  <c r="B44" i="2" s="1"/>
  <c r="B47" i="1"/>
  <c r="C44" i="2" s="1"/>
  <c r="H47" i="1"/>
  <c r="D44" i="2" s="1"/>
  <c r="I47" i="1"/>
  <c r="E44" i="2" s="1"/>
  <c r="O47" i="1"/>
  <c r="J44" i="2" s="1"/>
  <c r="T47" i="1"/>
  <c r="U47" i="1"/>
  <c r="P47" i="1" s="1"/>
  <c r="K44" i="2" s="1"/>
  <c r="A48" i="1"/>
  <c r="B45" i="2" s="1"/>
  <c r="B48" i="1"/>
  <c r="C45" i="2" s="1"/>
  <c r="H48" i="1"/>
  <c r="D45" i="2" s="1"/>
  <c r="I48" i="1"/>
  <c r="E45" i="2" s="1"/>
  <c r="O48" i="1"/>
  <c r="J45" i="2" s="1"/>
  <c r="T48" i="1"/>
  <c r="U48" i="1"/>
  <c r="P48" i="1" s="1"/>
  <c r="K45" i="2" s="1"/>
  <c r="A49" i="1"/>
  <c r="B46" i="2" s="1"/>
  <c r="B49" i="1"/>
  <c r="C46" i="2" s="1"/>
  <c r="H49" i="1"/>
  <c r="D46" i="2" s="1"/>
  <c r="I49" i="1"/>
  <c r="E46" i="2" s="1"/>
  <c r="O49" i="1"/>
  <c r="J46" i="2" s="1"/>
  <c r="T49" i="1"/>
  <c r="U49" i="1"/>
  <c r="P49" i="1" s="1"/>
  <c r="K46" i="2" s="1"/>
  <c r="A50" i="1"/>
  <c r="B47" i="2" s="1"/>
  <c r="B50" i="1"/>
  <c r="C47" i="2" s="1"/>
  <c r="H50" i="1"/>
  <c r="D47" i="2" s="1"/>
  <c r="I50" i="1"/>
  <c r="E47" i="2" s="1"/>
  <c r="O50" i="1"/>
  <c r="J47" i="2" s="1"/>
  <c r="T50" i="1"/>
  <c r="U50" i="1"/>
  <c r="P50" i="1" s="1"/>
  <c r="K47" i="2" s="1"/>
  <c r="A51" i="1"/>
  <c r="B48" i="2" s="1"/>
  <c r="B51" i="1"/>
  <c r="C48" i="2" s="1"/>
  <c r="H51" i="1"/>
  <c r="D48" i="2" s="1"/>
  <c r="I51" i="1"/>
  <c r="E48" i="2" s="1"/>
  <c r="O51" i="1"/>
  <c r="J48" i="2" s="1"/>
  <c r="T51" i="1"/>
  <c r="U51" i="1"/>
  <c r="P51" i="1" s="1"/>
  <c r="K48" i="2" s="1"/>
  <c r="A52" i="1"/>
  <c r="B49" i="2" s="1"/>
  <c r="B52" i="1"/>
  <c r="C49" i="2" s="1"/>
  <c r="H52" i="1"/>
  <c r="D49" i="2" s="1"/>
  <c r="I52" i="1"/>
  <c r="E49" i="2" s="1"/>
  <c r="O52" i="1"/>
  <c r="J49" i="2" s="1"/>
  <c r="T52" i="1"/>
  <c r="U52" i="1"/>
  <c r="P52" i="1" s="1"/>
  <c r="K49" i="2" s="1"/>
  <c r="A53" i="1"/>
  <c r="B50" i="2" s="1"/>
  <c r="B53" i="1"/>
  <c r="C50" i="2" s="1"/>
  <c r="H53" i="1"/>
  <c r="D50" i="2" s="1"/>
  <c r="I53" i="1"/>
  <c r="E50" i="2" s="1"/>
  <c r="O53" i="1"/>
  <c r="J50" i="2" s="1"/>
  <c r="T53" i="1"/>
  <c r="U53" i="1"/>
  <c r="P53" i="1" s="1"/>
  <c r="K50" i="2" s="1"/>
  <c r="A54" i="1"/>
  <c r="B51" i="2" s="1"/>
  <c r="B54" i="1"/>
  <c r="C51" i="2" s="1"/>
  <c r="H54" i="1"/>
  <c r="D51" i="2" s="1"/>
  <c r="I54" i="1"/>
  <c r="E51" i="2" s="1"/>
  <c r="O54" i="1"/>
  <c r="J51" i="2" s="1"/>
  <c r="T54" i="1"/>
  <c r="U54" i="1"/>
  <c r="P54" i="1" s="1"/>
  <c r="K51" i="2" s="1"/>
  <c r="A55" i="1"/>
  <c r="B52" i="2" s="1"/>
  <c r="B55" i="1"/>
  <c r="C52" i="2" s="1"/>
  <c r="H55" i="1"/>
  <c r="D52" i="2" s="1"/>
  <c r="I55" i="1"/>
  <c r="E52" i="2" s="1"/>
  <c r="O55" i="1"/>
  <c r="J52" i="2" s="1"/>
  <c r="T55" i="1"/>
  <c r="U55" i="1"/>
  <c r="P55" i="1" s="1"/>
  <c r="K52" i="2" s="1"/>
  <c r="A56" i="1"/>
  <c r="B53" i="2" s="1"/>
  <c r="B56" i="1"/>
  <c r="C53" i="2" s="1"/>
  <c r="H56" i="1"/>
  <c r="D53" i="2" s="1"/>
  <c r="I56" i="1"/>
  <c r="E53" i="2" s="1"/>
  <c r="O56" i="1"/>
  <c r="J53" i="2" s="1"/>
  <c r="T56" i="1"/>
  <c r="U56" i="1"/>
  <c r="P56" i="1" s="1"/>
  <c r="K53" i="2" s="1"/>
  <c r="A57" i="1"/>
  <c r="B54" i="2" s="1"/>
  <c r="B57" i="1"/>
  <c r="C54" i="2" s="1"/>
  <c r="H57" i="1"/>
  <c r="D54" i="2" s="1"/>
  <c r="I57" i="1"/>
  <c r="E54" i="2" s="1"/>
  <c r="O57" i="1"/>
  <c r="J54" i="2" s="1"/>
  <c r="T57" i="1"/>
  <c r="U57" i="1"/>
  <c r="P57" i="1" s="1"/>
  <c r="K54" i="2" s="1"/>
  <c r="A58" i="1"/>
  <c r="B55" i="2" s="1"/>
  <c r="B58" i="1"/>
  <c r="C55" i="2" s="1"/>
  <c r="H58" i="1"/>
  <c r="D55" i="2" s="1"/>
  <c r="I58" i="1"/>
  <c r="E55" i="2" s="1"/>
  <c r="O58" i="1"/>
  <c r="J55" i="2" s="1"/>
  <c r="T58" i="1"/>
  <c r="U58" i="1"/>
  <c r="P58" i="1" s="1"/>
  <c r="K55" i="2" s="1"/>
  <c r="A59" i="1"/>
  <c r="B56" i="2" s="1"/>
  <c r="B59" i="1"/>
  <c r="C56" i="2" s="1"/>
  <c r="H59" i="1"/>
  <c r="D56" i="2" s="1"/>
  <c r="I59" i="1"/>
  <c r="E56" i="2" s="1"/>
  <c r="O59" i="1"/>
  <c r="J56" i="2" s="1"/>
  <c r="T59" i="1"/>
  <c r="U59" i="1"/>
  <c r="P59" i="1" s="1"/>
  <c r="K56" i="2" s="1"/>
  <c r="A60" i="1"/>
  <c r="B57" i="2" s="1"/>
  <c r="B60" i="1"/>
  <c r="C57" i="2" s="1"/>
  <c r="H60" i="1"/>
  <c r="D57" i="2" s="1"/>
  <c r="I60" i="1"/>
  <c r="E57" i="2" s="1"/>
  <c r="O60" i="1"/>
  <c r="J57" i="2" s="1"/>
  <c r="T60" i="1"/>
  <c r="U60" i="1"/>
  <c r="P60" i="1" s="1"/>
  <c r="K57" i="2" s="1"/>
  <c r="A61" i="1"/>
  <c r="B58" i="2" s="1"/>
  <c r="B61" i="1"/>
  <c r="C58" i="2" s="1"/>
  <c r="H61" i="1"/>
  <c r="D58" i="2" s="1"/>
  <c r="I61" i="1"/>
  <c r="E58" i="2" s="1"/>
  <c r="O61" i="1"/>
  <c r="J58" i="2" s="1"/>
  <c r="T61" i="1"/>
  <c r="U61" i="1"/>
  <c r="P61" i="1" s="1"/>
  <c r="K58" i="2" s="1"/>
  <c r="A62" i="1"/>
  <c r="B59" i="2" s="1"/>
  <c r="B62" i="1"/>
  <c r="C59" i="2" s="1"/>
  <c r="H62" i="1"/>
  <c r="D59" i="2" s="1"/>
  <c r="I62" i="1"/>
  <c r="E59" i="2" s="1"/>
  <c r="O62" i="1"/>
  <c r="J59" i="2" s="1"/>
  <c r="T62" i="1"/>
  <c r="U62" i="1"/>
  <c r="P62" i="1" s="1"/>
  <c r="K59" i="2" s="1"/>
  <c r="A63" i="1"/>
  <c r="B60" i="2" s="1"/>
  <c r="B63" i="1"/>
  <c r="C60" i="2" s="1"/>
  <c r="H63" i="1"/>
  <c r="D60" i="2" s="1"/>
  <c r="I63" i="1"/>
  <c r="E60" i="2" s="1"/>
  <c r="O63" i="1"/>
  <c r="J60" i="2" s="1"/>
  <c r="T63" i="1"/>
  <c r="U63" i="1"/>
  <c r="P63" i="1" s="1"/>
  <c r="K60" i="2" s="1"/>
  <c r="A64" i="1"/>
  <c r="B61" i="2" s="1"/>
  <c r="B64" i="1"/>
  <c r="C61" i="2" s="1"/>
  <c r="H64" i="1"/>
  <c r="D61" i="2" s="1"/>
  <c r="I64" i="1"/>
  <c r="E61" i="2" s="1"/>
  <c r="O64" i="1"/>
  <c r="J61" i="2" s="1"/>
  <c r="T64" i="1"/>
  <c r="U64" i="1"/>
  <c r="P64" i="1" s="1"/>
  <c r="K61" i="2" s="1"/>
  <c r="A65" i="1"/>
  <c r="B62" i="2" s="1"/>
  <c r="B65" i="1"/>
  <c r="C62" i="2" s="1"/>
  <c r="H65" i="1"/>
  <c r="D62" i="2" s="1"/>
  <c r="I65" i="1"/>
  <c r="E62" i="2" s="1"/>
  <c r="O65" i="1"/>
  <c r="J62" i="2" s="1"/>
  <c r="T65" i="1"/>
  <c r="U65" i="1"/>
  <c r="P65" i="1" s="1"/>
  <c r="K62" i="2" s="1"/>
  <c r="A66" i="1"/>
  <c r="B63" i="2" s="1"/>
  <c r="B66" i="1"/>
  <c r="C63" i="2" s="1"/>
  <c r="H66" i="1"/>
  <c r="D63" i="2" s="1"/>
  <c r="I66" i="1"/>
  <c r="E63" i="2" s="1"/>
  <c r="O66" i="1"/>
  <c r="J63" i="2" s="1"/>
  <c r="T66" i="1"/>
  <c r="U66" i="1"/>
  <c r="P66" i="1" s="1"/>
  <c r="K63" i="2" s="1"/>
  <c r="A67" i="1"/>
  <c r="B64" i="2" s="1"/>
  <c r="B67" i="1"/>
  <c r="C64" i="2" s="1"/>
  <c r="H67" i="1"/>
  <c r="D64" i="2" s="1"/>
  <c r="I67" i="1"/>
  <c r="E64" i="2" s="1"/>
  <c r="O67" i="1"/>
  <c r="J64" i="2" s="1"/>
  <c r="T67" i="1"/>
  <c r="U67" i="1"/>
  <c r="P67" i="1" s="1"/>
  <c r="K64" i="2" s="1"/>
  <c r="A68" i="1"/>
  <c r="B65" i="2" s="1"/>
  <c r="B68" i="1"/>
  <c r="C65" i="2" s="1"/>
  <c r="H68" i="1"/>
  <c r="D65" i="2" s="1"/>
  <c r="I68" i="1"/>
  <c r="E65" i="2" s="1"/>
  <c r="O68" i="1"/>
  <c r="J65" i="2" s="1"/>
  <c r="T68" i="1"/>
  <c r="U68" i="1"/>
  <c r="P68" i="1" s="1"/>
  <c r="K65" i="2" s="1"/>
  <c r="V68" i="1"/>
  <c r="A69" i="1"/>
  <c r="B66" i="2" s="1"/>
  <c r="B69" i="1"/>
  <c r="C66" i="2" s="1"/>
  <c r="H69" i="1"/>
  <c r="D66" i="2" s="1"/>
  <c r="I69" i="1"/>
  <c r="E66" i="2" s="1"/>
  <c r="O69" i="1"/>
  <c r="J66" i="2" s="1"/>
  <c r="T69" i="1"/>
  <c r="U69" i="1"/>
  <c r="P69" i="1" s="1"/>
  <c r="K66" i="2" s="1"/>
  <c r="V69" i="1"/>
  <c r="A70" i="1"/>
  <c r="B67" i="2" s="1"/>
  <c r="B70" i="1"/>
  <c r="C67" i="2" s="1"/>
  <c r="H70" i="1"/>
  <c r="D67" i="2" s="1"/>
  <c r="I70" i="1"/>
  <c r="E67" i="2" s="1"/>
  <c r="O70" i="1"/>
  <c r="J67" i="2" s="1"/>
  <c r="T70" i="1"/>
  <c r="U70" i="1"/>
  <c r="P70" i="1" s="1"/>
  <c r="K67" i="2" s="1"/>
  <c r="V70" i="1"/>
  <c r="A71" i="1"/>
  <c r="B68" i="2" s="1"/>
  <c r="B71" i="1"/>
  <c r="C68" i="2" s="1"/>
  <c r="H71" i="1"/>
  <c r="D68" i="2" s="1"/>
  <c r="I71" i="1"/>
  <c r="E68" i="2" s="1"/>
  <c r="O71" i="1"/>
  <c r="J68" i="2" s="1"/>
  <c r="T71" i="1"/>
  <c r="U71" i="1"/>
  <c r="P71" i="1" s="1"/>
  <c r="K68" i="2" s="1"/>
  <c r="V71" i="1"/>
  <c r="A72" i="1"/>
  <c r="B69" i="2" s="1"/>
  <c r="B72" i="1"/>
  <c r="C69" i="2" s="1"/>
  <c r="H72" i="1"/>
  <c r="D69" i="2" s="1"/>
  <c r="I72" i="1"/>
  <c r="E69" i="2" s="1"/>
  <c r="O72" i="1"/>
  <c r="J69" i="2" s="1"/>
  <c r="T72" i="1"/>
  <c r="U72" i="1"/>
  <c r="P72" i="1" s="1"/>
  <c r="K69" i="2" s="1"/>
  <c r="V72" i="1"/>
  <c r="A73" i="1"/>
  <c r="B70" i="2" s="1"/>
  <c r="B73" i="1"/>
  <c r="C70" i="2" s="1"/>
  <c r="H73" i="1"/>
  <c r="D70" i="2" s="1"/>
  <c r="I73" i="1"/>
  <c r="E70" i="2" s="1"/>
  <c r="O73" i="1"/>
  <c r="J70" i="2" s="1"/>
  <c r="T73" i="1"/>
  <c r="U73" i="1"/>
  <c r="P73" i="1" s="1"/>
  <c r="K70" i="2" s="1"/>
  <c r="V73" i="1"/>
  <c r="A74" i="1"/>
  <c r="B71" i="2" s="1"/>
  <c r="B74" i="1"/>
  <c r="C71" i="2" s="1"/>
  <c r="H74" i="1"/>
  <c r="D71" i="2" s="1"/>
  <c r="I74" i="1"/>
  <c r="E71" i="2" s="1"/>
  <c r="O74" i="1"/>
  <c r="J71" i="2" s="1"/>
  <c r="T74" i="1"/>
  <c r="U74" i="1"/>
  <c r="P74" i="1" s="1"/>
  <c r="K71" i="2" s="1"/>
  <c r="V74" i="1"/>
  <c r="A75" i="1"/>
  <c r="B72" i="2" s="1"/>
  <c r="B75" i="1"/>
  <c r="C72" i="2" s="1"/>
  <c r="H75" i="1"/>
  <c r="D72" i="2" s="1"/>
  <c r="I75" i="1"/>
  <c r="E72" i="2" s="1"/>
  <c r="O75" i="1"/>
  <c r="J72" i="2" s="1"/>
  <c r="T75" i="1"/>
  <c r="U75" i="1"/>
  <c r="P75" i="1" s="1"/>
  <c r="K72" i="2" s="1"/>
  <c r="V75" i="1"/>
  <c r="A76" i="1"/>
  <c r="B73" i="2" s="1"/>
  <c r="B76" i="1"/>
  <c r="C73" i="2" s="1"/>
  <c r="H76" i="1"/>
  <c r="D73" i="2" s="1"/>
  <c r="I76" i="1"/>
  <c r="E73" i="2" s="1"/>
  <c r="O76" i="1"/>
  <c r="J73" i="2" s="1"/>
  <c r="T76" i="1"/>
  <c r="U76" i="1"/>
  <c r="P76" i="1" s="1"/>
  <c r="K73" i="2" s="1"/>
  <c r="V76" i="1"/>
  <c r="A77" i="1"/>
  <c r="B74" i="2" s="1"/>
  <c r="B77" i="1"/>
  <c r="C74" i="2" s="1"/>
  <c r="H77" i="1"/>
  <c r="D74" i="2" s="1"/>
  <c r="I77" i="1"/>
  <c r="E74" i="2" s="1"/>
  <c r="O77" i="1"/>
  <c r="J74" i="2" s="1"/>
  <c r="T77" i="1"/>
  <c r="U77" i="1"/>
  <c r="P77" i="1" s="1"/>
  <c r="K74" i="2" s="1"/>
  <c r="V77" i="1"/>
  <c r="A78" i="1"/>
  <c r="B75" i="2" s="1"/>
  <c r="B78" i="1"/>
  <c r="C75" i="2" s="1"/>
  <c r="H78" i="1"/>
  <c r="D75" i="2" s="1"/>
  <c r="I78" i="1"/>
  <c r="E75" i="2" s="1"/>
  <c r="O78" i="1"/>
  <c r="J75" i="2" s="1"/>
  <c r="T78" i="1"/>
  <c r="U78" i="1"/>
  <c r="P78" i="1" s="1"/>
  <c r="K75" i="2" s="1"/>
  <c r="V78" i="1"/>
  <c r="A79" i="1"/>
  <c r="B76" i="2" s="1"/>
  <c r="B79" i="1"/>
  <c r="C76" i="2" s="1"/>
  <c r="H79" i="1"/>
  <c r="D76" i="2" s="1"/>
  <c r="I79" i="1"/>
  <c r="E76" i="2" s="1"/>
  <c r="O79" i="1"/>
  <c r="J76" i="2" s="1"/>
  <c r="T79" i="1"/>
  <c r="U79" i="1"/>
  <c r="P79" i="1" s="1"/>
  <c r="K76" i="2" s="1"/>
  <c r="V79" i="1"/>
  <c r="A80" i="1"/>
  <c r="B77" i="2" s="1"/>
  <c r="B80" i="1"/>
  <c r="C77" i="2" s="1"/>
  <c r="H80" i="1"/>
  <c r="D77" i="2" s="1"/>
  <c r="I80" i="1"/>
  <c r="E77" i="2" s="1"/>
  <c r="O80" i="1"/>
  <c r="J77" i="2" s="1"/>
  <c r="T80" i="1"/>
  <c r="U80" i="1"/>
  <c r="P80" i="1" s="1"/>
  <c r="K77" i="2" s="1"/>
  <c r="V80" i="1"/>
  <c r="A81" i="1"/>
  <c r="B78" i="2" s="1"/>
  <c r="B81" i="1"/>
  <c r="C78" i="2" s="1"/>
  <c r="H81" i="1"/>
  <c r="D78" i="2" s="1"/>
  <c r="I81" i="1"/>
  <c r="E78" i="2" s="1"/>
  <c r="O81" i="1"/>
  <c r="J78" i="2" s="1"/>
  <c r="T81" i="1"/>
  <c r="U81" i="1"/>
  <c r="P81" i="1" s="1"/>
  <c r="K78" i="2" s="1"/>
  <c r="V81" i="1"/>
  <c r="A82" i="1"/>
  <c r="B79" i="2" s="1"/>
  <c r="B82" i="1"/>
  <c r="C79" i="2" s="1"/>
  <c r="H82" i="1"/>
  <c r="D79" i="2" s="1"/>
  <c r="I82" i="1"/>
  <c r="E79" i="2" s="1"/>
  <c r="O82" i="1"/>
  <c r="J79" i="2" s="1"/>
  <c r="T82" i="1"/>
  <c r="U82" i="1"/>
  <c r="P82" i="1" s="1"/>
  <c r="K79" i="2" s="1"/>
  <c r="V82" i="1"/>
  <c r="A83" i="1"/>
  <c r="B80" i="2" s="1"/>
  <c r="B83" i="1"/>
  <c r="C80" i="2" s="1"/>
  <c r="H83" i="1"/>
  <c r="D80" i="2" s="1"/>
  <c r="I83" i="1"/>
  <c r="E80" i="2" s="1"/>
  <c r="O83" i="1"/>
  <c r="J80" i="2" s="1"/>
  <c r="T83" i="1"/>
  <c r="U83" i="1"/>
  <c r="P83" i="1" s="1"/>
  <c r="K80" i="2" s="1"/>
  <c r="V83" i="1"/>
  <c r="A84" i="1"/>
  <c r="B81" i="2" s="1"/>
  <c r="B84" i="1"/>
  <c r="C81" i="2" s="1"/>
  <c r="H84" i="1"/>
  <c r="D81" i="2" s="1"/>
  <c r="I84" i="1"/>
  <c r="E81" i="2" s="1"/>
  <c r="O84" i="1"/>
  <c r="J81" i="2" s="1"/>
  <c r="T84" i="1"/>
  <c r="U84" i="1"/>
  <c r="P84" i="1" s="1"/>
  <c r="K81" i="2" s="1"/>
  <c r="V84" i="1"/>
  <c r="A85" i="1"/>
  <c r="B82" i="2" s="1"/>
  <c r="B85" i="1"/>
  <c r="C82" i="2" s="1"/>
  <c r="H85" i="1"/>
  <c r="D82" i="2" s="1"/>
  <c r="I85" i="1"/>
  <c r="E82" i="2" s="1"/>
  <c r="O85" i="1"/>
  <c r="J82" i="2" s="1"/>
  <c r="T85" i="1"/>
  <c r="U85" i="1"/>
  <c r="P85" i="1" s="1"/>
  <c r="K82" i="2" s="1"/>
  <c r="V85" i="1"/>
  <c r="A86" i="1"/>
  <c r="B83" i="2" s="1"/>
  <c r="B86" i="1"/>
  <c r="C83" i="2" s="1"/>
  <c r="H86" i="1"/>
  <c r="D83" i="2" s="1"/>
  <c r="I86" i="1"/>
  <c r="E83" i="2" s="1"/>
  <c r="O86" i="1"/>
  <c r="J83" i="2" s="1"/>
  <c r="T86" i="1"/>
  <c r="U86" i="1"/>
  <c r="P86" i="1" s="1"/>
  <c r="K83" i="2" s="1"/>
  <c r="V86" i="1"/>
  <c r="A87" i="1"/>
  <c r="B84" i="2" s="1"/>
  <c r="B87" i="1"/>
  <c r="C84" i="2" s="1"/>
  <c r="H87" i="1"/>
  <c r="D84" i="2" s="1"/>
  <c r="I87" i="1"/>
  <c r="E84" i="2" s="1"/>
  <c r="O87" i="1"/>
  <c r="J84" i="2" s="1"/>
  <c r="T87" i="1"/>
  <c r="U87" i="1"/>
  <c r="P87" i="1" s="1"/>
  <c r="K84" i="2" s="1"/>
  <c r="V87" i="1"/>
  <c r="A88" i="1"/>
  <c r="B85" i="2" s="1"/>
  <c r="B88" i="1"/>
  <c r="C85" i="2" s="1"/>
  <c r="H88" i="1"/>
  <c r="D85" i="2" s="1"/>
  <c r="I88" i="1"/>
  <c r="E85" i="2" s="1"/>
  <c r="O88" i="1"/>
  <c r="J85" i="2" s="1"/>
  <c r="T88" i="1"/>
  <c r="U88" i="1"/>
  <c r="P88" i="1" s="1"/>
  <c r="K85" i="2" s="1"/>
  <c r="V88" i="1"/>
  <c r="A89" i="1"/>
  <c r="B86" i="2" s="1"/>
  <c r="B89" i="1"/>
  <c r="C86" i="2" s="1"/>
  <c r="H89" i="1"/>
  <c r="D86" i="2" s="1"/>
  <c r="I89" i="1"/>
  <c r="E86" i="2" s="1"/>
  <c r="O89" i="1"/>
  <c r="J86" i="2" s="1"/>
  <c r="T89" i="1"/>
  <c r="U89" i="1"/>
  <c r="P89" i="1" s="1"/>
  <c r="K86" i="2" s="1"/>
  <c r="V89" i="1"/>
  <c r="A90" i="1"/>
  <c r="B87" i="2" s="1"/>
  <c r="B90" i="1"/>
  <c r="C87" i="2" s="1"/>
  <c r="H90" i="1"/>
  <c r="D87" i="2" s="1"/>
  <c r="I90" i="1"/>
  <c r="E87" i="2" s="1"/>
  <c r="O90" i="1"/>
  <c r="J87" i="2" s="1"/>
  <c r="T90" i="1"/>
  <c r="U90" i="1"/>
  <c r="P90" i="1" s="1"/>
  <c r="K87" i="2" s="1"/>
  <c r="V90" i="1"/>
  <c r="A91" i="1"/>
  <c r="B88" i="2" s="1"/>
  <c r="B91" i="1"/>
  <c r="C88" i="2" s="1"/>
  <c r="H91" i="1"/>
  <c r="D88" i="2" s="1"/>
  <c r="I91" i="1"/>
  <c r="E88" i="2" s="1"/>
  <c r="O91" i="1"/>
  <c r="J88" i="2" s="1"/>
  <c r="T91" i="1"/>
  <c r="U91" i="1"/>
  <c r="P91" i="1" s="1"/>
  <c r="K88" i="2" s="1"/>
  <c r="V91" i="1"/>
  <c r="A92" i="1"/>
  <c r="B89" i="2" s="1"/>
  <c r="B92" i="1"/>
  <c r="C89" i="2" s="1"/>
  <c r="H92" i="1"/>
  <c r="D89" i="2" s="1"/>
  <c r="I92" i="1"/>
  <c r="E89" i="2" s="1"/>
  <c r="O92" i="1"/>
  <c r="J89" i="2" s="1"/>
  <c r="T92" i="1"/>
  <c r="U92" i="1"/>
  <c r="P92" i="1" s="1"/>
  <c r="K89" i="2" s="1"/>
  <c r="V92" i="1"/>
  <c r="A93" i="1"/>
  <c r="B90" i="2" s="1"/>
  <c r="B93" i="1"/>
  <c r="C90" i="2" s="1"/>
  <c r="H93" i="1"/>
  <c r="D90" i="2" s="1"/>
  <c r="I93" i="1"/>
  <c r="E90" i="2" s="1"/>
  <c r="O93" i="1"/>
  <c r="J90" i="2" s="1"/>
  <c r="T93" i="1"/>
  <c r="U93" i="1"/>
  <c r="P93" i="1" s="1"/>
  <c r="K90" i="2" s="1"/>
  <c r="V93" i="1"/>
  <c r="A94" i="1"/>
  <c r="B91" i="2" s="1"/>
  <c r="B94" i="1"/>
  <c r="C91" i="2" s="1"/>
  <c r="H94" i="1"/>
  <c r="D91" i="2" s="1"/>
  <c r="I94" i="1"/>
  <c r="E91" i="2" s="1"/>
  <c r="O94" i="1"/>
  <c r="J91" i="2" s="1"/>
  <c r="T94" i="1"/>
  <c r="U94" i="1"/>
  <c r="P94" i="1" s="1"/>
  <c r="K91" i="2" s="1"/>
  <c r="V94" i="1"/>
  <c r="A95" i="1"/>
  <c r="B92" i="2" s="1"/>
  <c r="B95" i="1"/>
  <c r="C92" i="2" s="1"/>
  <c r="H95" i="1"/>
  <c r="D92" i="2" s="1"/>
  <c r="I95" i="1"/>
  <c r="E92" i="2" s="1"/>
  <c r="O95" i="1"/>
  <c r="J92" i="2" s="1"/>
  <c r="T95" i="1"/>
  <c r="U95" i="1"/>
  <c r="P95" i="1" s="1"/>
  <c r="K92" i="2" s="1"/>
  <c r="V95" i="1"/>
  <c r="A96" i="1"/>
  <c r="B93" i="2" s="1"/>
  <c r="B96" i="1"/>
  <c r="C93" i="2" s="1"/>
  <c r="H96" i="1"/>
  <c r="D93" i="2" s="1"/>
  <c r="I96" i="1"/>
  <c r="E93" i="2" s="1"/>
  <c r="O96" i="1"/>
  <c r="J93" i="2" s="1"/>
  <c r="T96" i="1"/>
  <c r="U96" i="1"/>
  <c r="P96" i="1" s="1"/>
  <c r="K93" i="2" s="1"/>
  <c r="V96" i="1"/>
  <c r="A97" i="1"/>
  <c r="B94" i="2" s="1"/>
  <c r="B97" i="1"/>
  <c r="C94" i="2" s="1"/>
  <c r="H97" i="1"/>
  <c r="D94" i="2" s="1"/>
  <c r="I97" i="1"/>
  <c r="E94" i="2" s="1"/>
  <c r="O97" i="1"/>
  <c r="J94" i="2" s="1"/>
  <c r="T97" i="1"/>
  <c r="U97" i="1"/>
  <c r="P97" i="1" s="1"/>
  <c r="K94" i="2" s="1"/>
  <c r="V97" i="1"/>
  <c r="A98" i="1"/>
  <c r="B95" i="2" s="1"/>
  <c r="B98" i="1"/>
  <c r="C95" i="2" s="1"/>
  <c r="H98" i="1"/>
  <c r="D95" i="2" s="1"/>
  <c r="I98" i="1"/>
  <c r="E95" i="2" s="1"/>
  <c r="O98" i="1"/>
  <c r="J95" i="2" s="1"/>
  <c r="T98" i="1"/>
  <c r="U98" i="1"/>
  <c r="P98" i="1" s="1"/>
  <c r="K95" i="2" s="1"/>
  <c r="V98" i="1"/>
  <c r="A99" i="1"/>
  <c r="B96" i="2" s="1"/>
  <c r="B99" i="1"/>
  <c r="C96" i="2" s="1"/>
  <c r="H99" i="1"/>
  <c r="D96" i="2" s="1"/>
  <c r="I99" i="1"/>
  <c r="E96" i="2" s="1"/>
  <c r="O99" i="1"/>
  <c r="J96" i="2" s="1"/>
  <c r="T99" i="1"/>
  <c r="U99" i="1"/>
  <c r="P99" i="1" s="1"/>
  <c r="K96" i="2" s="1"/>
  <c r="V99" i="1"/>
  <c r="A100" i="1"/>
  <c r="B97" i="2" s="1"/>
  <c r="B100" i="1"/>
  <c r="C97" i="2" s="1"/>
  <c r="H100" i="1"/>
  <c r="D97" i="2" s="1"/>
  <c r="I100" i="1"/>
  <c r="E97" i="2" s="1"/>
  <c r="O100" i="1"/>
  <c r="J97" i="2" s="1"/>
  <c r="T100" i="1"/>
  <c r="U100" i="1"/>
  <c r="P100" i="1" s="1"/>
  <c r="K97" i="2" s="1"/>
  <c r="V100" i="1"/>
  <c r="A101" i="1"/>
  <c r="B98" i="2" s="1"/>
  <c r="B101" i="1"/>
  <c r="C98" i="2" s="1"/>
  <c r="H101" i="1"/>
  <c r="D98" i="2" s="1"/>
  <c r="I101" i="1"/>
  <c r="E98" i="2" s="1"/>
  <c r="O101" i="1"/>
  <c r="J98" i="2" s="1"/>
  <c r="T101" i="1"/>
  <c r="U101" i="1"/>
  <c r="P101" i="1" s="1"/>
  <c r="K98" i="2" s="1"/>
  <c r="V101" i="1"/>
  <c r="A102" i="1"/>
  <c r="B99" i="2" s="1"/>
  <c r="B102" i="1"/>
  <c r="C99" i="2" s="1"/>
  <c r="H102" i="1"/>
  <c r="D99" i="2" s="1"/>
  <c r="I102" i="1"/>
  <c r="E99" i="2" s="1"/>
  <c r="O102" i="1"/>
  <c r="J99" i="2" s="1"/>
  <c r="T102" i="1"/>
  <c r="U102" i="1"/>
  <c r="P102" i="1" s="1"/>
  <c r="K99" i="2" s="1"/>
  <c r="V102" i="1"/>
  <c r="A103" i="1"/>
  <c r="B100" i="2" s="1"/>
  <c r="B103" i="1"/>
  <c r="C100" i="2" s="1"/>
  <c r="H103" i="1"/>
  <c r="D100" i="2" s="1"/>
  <c r="I103" i="1"/>
  <c r="E100" i="2" s="1"/>
  <c r="O103" i="1"/>
  <c r="J100" i="2" s="1"/>
  <c r="T103" i="1"/>
  <c r="U103" i="1"/>
  <c r="P103" i="1" s="1"/>
  <c r="K100" i="2" s="1"/>
  <c r="V103" i="1"/>
  <c r="A104" i="1"/>
  <c r="B101" i="2" s="1"/>
  <c r="B104" i="1"/>
  <c r="C101" i="2" s="1"/>
  <c r="H104" i="1"/>
  <c r="D101" i="2" s="1"/>
  <c r="I104" i="1"/>
  <c r="E101" i="2" s="1"/>
  <c r="O104" i="1"/>
  <c r="J101" i="2" s="1"/>
  <c r="T104" i="1"/>
  <c r="U104" i="1"/>
  <c r="P104" i="1" s="1"/>
  <c r="K101" i="2" s="1"/>
  <c r="V104" i="1"/>
  <c r="A105" i="1"/>
  <c r="B102" i="2" s="1"/>
  <c r="B105" i="1"/>
  <c r="C102" i="2" s="1"/>
  <c r="H105" i="1"/>
  <c r="D102" i="2" s="1"/>
  <c r="I105" i="1"/>
  <c r="E102" i="2" s="1"/>
  <c r="O105" i="1"/>
  <c r="J102" i="2" s="1"/>
  <c r="T105" i="1"/>
  <c r="U105" i="1"/>
  <c r="P105" i="1" s="1"/>
  <c r="K102" i="2" s="1"/>
  <c r="V105" i="1"/>
  <c r="A106" i="1"/>
  <c r="B103" i="2" s="1"/>
  <c r="B106" i="1"/>
  <c r="C103" i="2" s="1"/>
  <c r="H106" i="1"/>
  <c r="D103" i="2" s="1"/>
  <c r="I106" i="1"/>
  <c r="E103" i="2" s="1"/>
  <c r="O106" i="1"/>
  <c r="J103" i="2" s="1"/>
  <c r="T106" i="1"/>
  <c r="U106" i="1"/>
  <c r="P106" i="1" s="1"/>
  <c r="K103" i="2" s="1"/>
  <c r="V106" i="1"/>
  <c r="A107" i="1"/>
  <c r="B104" i="2" s="1"/>
  <c r="B107" i="1"/>
  <c r="C104" i="2" s="1"/>
  <c r="H107" i="1"/>
  <c r="D104" i="2" s="1"/>
  <c r="I107" i="1"/>
  <c r="E104" i="2" s="1"/>
  <c r="O107" i="1"/>
  <c r="J104" i="2" s="1"/>
  <c r="T107" i="1"/>
  <c r="U107" i="1"/>
  <c r="P107" i="1" s="1"/>
  <c r="K104" i="2" s="1"/>
  <c r="V107" i="1"/>
  <c r="A108" i="1"/>
  <c r="B105" i="2" s="1"/>
  <c r="B108" i="1"/>
  <c r="C105" i="2" s="1"/>
  <c r="H108" i="1"/>
  <c r="D105" i="2" s="1"/>
  <c r="I108" i="1"/>
  <c r="E105" i="2" s="1"/>
  <c r="O108" i="1"/>
  <c r="J105" i="2" s="1"/>
  <c r="T108" i="1"/>
  <c r="U108" i="1"/>
  <c r="P108" i="1" s="1"/>
  <c r="K105" i="2" s="1"/>
  <c r="V108" i="1"/>
  <c r="A109" i="1"/>
  <c r="B106" i="2" s="1"/>
  <c r="B109" i="1"/>
  <c r="C106" i="2" s="1"/>
  <c r="H109" i="1"/>
  <c r="D106" i="2" s="1"/>
  <c r="I109" i="1"/>
  <c r="E106" i="2" s="1"/>
  <c r="O109" i="1"/>
  <c r="J106" i="2" s="1"/>
  <c r="T109" i="1"/>
  <c r="U109" i="1"/>
  <c r="P109" i="1" s="1"/>
  <c r="K106" i="2" s="1"/>
  <c r="V109" i="1"/>
  <c r="A110" i="1"/>
  <c r="B107" i="2" s="1"/>
  <c r="B110" i="1"/>
  <c r="C107" i="2" s="1"/>
  <c r="H110" i="1"/>
  <c r="D107" i="2" s="1"/>
  <c r="I110" i="1"/>
  <c r="E107" i="2" s="1"/>
  <c r="O110" i="1"/>
  <c r="J107" i="2" s="1"/>
  <c r="T110" i="1"/>
  <c r="U110" i="1"/>
  <c r="P110" i="1" s="1"/>
  <c r="K107" i="2" s="1"/>
  <c r="V110" i="1"/>
  <c r="A111" i="1"/>
  <c r="B108" i="2" s="1"/>
  <c r="B111" i="1"/>
  <c r="C108" i="2" s="1"/>
  <c r="H111" i="1"/>
  <c r="D108" i="2" s="1"/>
  <c r="I111" i="1"/>
  <c r="E108" i="2" s="1"/>
  <c r="O111" i="1"/>
  <c r="J108" i="2" s="1"/>
  <c r="T111" i="1"/>
  <c r="U111" i="1"/>
  <c r="P111" i="1" s="1"/>
  <c r="K108" i="2" s="1"/>
  <c r="V111" i="1"/>
  <c r="A112" i="1"/>
  <c r="B109" i="2" s="1"/>
  <c r="B112" i="1"/>
  <c r="C109" i="2" s="1"/>
  <c r="H112" i="1"/>
  <c r="D109" i="2" s="1"/>
  <c r="I112" i="1"/>
  <c r="E109" i="2" s="1"/>
  <c r="O112" i="1"/>
  <c r="J109" i="2" s="1"/>
  <c r="T112" i="1"/>
  <c r="U112" i="1"/>
  <c r="P112" i="1" s="1"/>
  <c r="K109" i="2" s="1"/>
  <c r="V112" i="1"/>
  <c r="A113" i="1"/>
  <c r="B110" i="2" s="1"/>
  <c r="B113" i="1"/>
  <c r="C110" i="2" s="1"/>
  <c r="H113" i="1"/>
  <c r="D110" i="2" s="1"/>
  <c r="I113" i="1"/>
  <c r="E110" i="2" s="1"/>
  <c r="O113" i="1"/>
  <c r="J110" i="2" s="1"/>
  <c r="T113" i="1"/>
  <c r="U113" i="1"/>
  <c r="P113" i="1" s="1"/>
  <c r="K110" i="2" s="1"/>
  <c r="V113" i="1"/>
  <c r="A114" i="1"/>
  <c r="B111" i="2" s="1"/>
  <c r="B114" i="1"/>
  <c r="C111" i="2" s="1"/>
  <c r="H114" i="1"/>
  <c r="D111" i="2" s="1"/>
  <c r="I114" i="1"/>
  <c r="E111" i="2" s="1"/>
  <c r="O114" i="1"/>
  <c r="J111" i="2" s="1"/>
  <c r="T114" i="1"/>
  <c r="U114" i="1"/>
  <c r="P114" i="1" s="1"/>
  <c r="K111" i="2" s="1"/>
  <c r="V114" i="1"/>
  <c r="A115" i="1"/>
  <c r="B112" i="2" s="1"/>
  <c r="B115" i="1"/>
  <c r="C112" i="2" s="1"/>
  <c r="H115" i="1"/>
  <c r="D112" i="2" s="1"/>
  <c r="I115" i="1"/>
  <c r="E112" i="2" s="1"/>
  <c r="O115" i="1"/>
  <c r="J112" i="2" s="1"/>
  <c r="T115" i="1"/>
  <c r="U115" i="1"/>
  <c r="P115" i="1" s="1"/>
  <c r="K112" i="2" s="1"/>
  <c r="V115" i="1"/>
  <c r="A116" i="1"/>
  <c r="B113" i="2" s="1"/>
  <c r="B116" i="1"/>
  <c r="C113" i="2" s="1"/>
  <c r="H116" i="1"/>
  <c r="D113" i="2" s="1"/>
  <c r="I116" i="1"/>
  <c r="E113" i="2" s="1"/>
  <c r="O116" i="1"/>
  <c r="J113" i="2" s="1"/>
  <c r="T116" i="1"/>
  <c r="U116" i="1"/>
  <c r="P116" i="1" s="1"/>
  <c r="K113" i="2" s="1"/>
  <c r="V116" i="1"/>
  <c r="A117" i="1"/>
  <c r="B114" i="2" s="1"/>
  <c r="B117" i="1"/>
  <c r="C114" i="2" s="1"/>
  <c r="H117" i="1"/>
  <c r="D114" i="2" s="1"/>
  <c r="I117" i="1"/>
  <c r="E114" i="2" s="1"/>
  <c r="O117" i="1"/>
  <c r="J114" i="2" s="1"/>
  <c r="T117" i="1"/>
  <c r="U117" i="1"/>
  <c r="P117" i="1" s="1"/>
  <c r="K114" i="2" s="1"/>
  <c r="V117" i="1"/>
  <c r="A118" i="1"/>
  <c r="B115" i="2" s="1"/>
  <c r="B118" i="1"/>
  <c r="C115" i="2" s="1"/>
  <c r="H118" i="1"/>
  <c r="D115" i="2" s="1"/>
  <c r="I118" i="1"/>
  <c r="E115" i="2" s="1"/>
  <c r="O118" i="1"/>
  <c r="J115" i="2" s="1"/>
  <c r="T118" i="1"/>
  <c r="U118" i="1"/>
  <c r="P118" i="1" s="1"/>
  <c r="K115" i="2" s="1"/>
  <c r="V118" i="1"/>
  <c r="A119" i="1"/>
  <c r="B116" i="2" s="1"/>
  <c r="B119" i="1"/>
  <c r="C116" i="2" s="1"/>
  <c r="H119" i="1"/>
  <c r="D116" i="2" s="1"/>
  <c r="I119" i="1"/>
  <c r="E116" i="2" s="1"/>
  <c r="O119" i="1"/>
  <c r="J116" i="2" s="1"/>
  <c r="T119" i="1"/>
  <c r="U119" i="1"/>
  <c r="P119" i="1" s="1"/>
  <c r="K116" i="2" s="1"/>
  <c r="V119" i="1"/>
  <c r="A120" i="1"/>
  <c r="B117" i="2" s="1"/>
  <c r="B120" i="1"/>
  <c r="C117" i="2" s="1"/>
  <c r="H120" i="1"/>
  <c r="D117" i="2" s="1"/>
  <c r="I120" i="1"/>
  <c r="E117" i="2" s="1"/>
  <c r="O120" i="1"/>
  <c r="J117" i="2" s="1"/>
  <c r="T120" i="1"/>
  <c r="U120" i="1"/>
  <c r="P120" i="1" s="1"/>
  <c r="K117" i="2" s="1"/>
  <c r="V120" i="1"/>
  <c r="A121" i="1"/>
  <c r="B118" i="2" s="1"/>
  <c r="B121" i="1"/>
  <c r="C118" i="2" s="1"/>
  <c r="H121" i="1"/>
  <c r="D118" i="2" s="1"/>
  <c r="I121" i="1"/>
  <c r="E118" i="2" s="1"/>
  <c r="O121" i="1"/>
  <c r="J118" i="2" s="1"/>
  <c r="T121" i="1"/>
  <c r="U121" i="1"/>
  <c r="P121" i="1" s="1"/>
  <c r="K118" i="2" s="1"/>
  <c r="V121" i="1"/>
  <c r="A122" i="1"/>
  <c r="B119" i="2" s="1"/>
  <c r="B122" i="1"/>
  <c r="C119" i="2" s="1"/>
  <c r="H122" i="1"/>
  <c r="D119" i="2" s="1"/>
  <c r="I122" i="1"/>
  <c r="E119" i="2" s="1"/>
  <c r="O122" i="1"/>
  <c r="J119" i="2" s="1"/>
  <c r="T122" i="1"/>
  <c r="U122" i="1"/>
  <c r="P122" i="1" s="1"/>
  <c r="K119" i="2" s="1"/>
  <c r="V122" i="1"/>
  <c r="A123" i="1"/>
  <c r="B120" i="2" s="1"/>
  <c r="B123" i="1"/>
  <c r="C120" i="2" s="1"/>
  <c r="H123" i="1"/>
  <c r="D120" i="2" s="1"/>
  <c r="I123" i="1"/>
  <c r="E120" i="2" s="1"/>
  <c r="O123" i="1"/>
  <c r="J120" i="2" s="1"/>
  <c r="T123" i="1"/>
  <c r="U123" i="1"/>
  <c r="P123" i="1" s="1"/>
  <c r="K120" i="2" s="1"/>
  <c r="V123" i="1"/>
  <c r="A124" i="1"/>
  <c r="B121" i="2" s="1"/>
  <c r="B124" i="1"/>
  <c r="C121" i="2" s="1"/>
  <c r="H124" i="1"/>
  <c r="D121" i="2" s="1"/>
  <c r="I124" i="1"/>
  <c r="E121" i="2" s="1"/>
  <c r="O124" i="1"/>
  <c r="J121" i="2" s="1"/>
  <c r="T124" i="1"/>
  <c r="U124" i="1"/>
  <c r="P124" i="1" s="1"/>
  <c r="K121" i="2" s="1"/>
  <c r="V124" i="1"/>
  <c r="A125" i="1"/>
  <c r="B122" i="2" s="1"/>
  <c r="B125" i="1"/>
  <c r="C122" i="2" s="1"/>
  <c r="H125" i="1"/>
  <c r="D122" i="2" s="1"/>
  <c r="I125" i="1"/>
  <c r="E122" i="2" s="1"/>
  <c r="O125" i="1"/>
  <c r="J122" i="2" s="1"/>
  <c r="T125" i="1"/>
  <c r="U125" i="1"/>
  <c r="P125" i="1" s="1"/>
  <c r="K122" i="2" s="1"/>
  <c r="V125" i="1"/>
  <c r="A126" i="1"/>
  <c r="B123" i="2" s="1"/>
  <c r="B126" i="1"/>
  <c r="C123" i="2" s="1"/>
  <c r="H126" i="1"/>
  <c r="D123" i="2" s="1"/>
  <c r="I126" i="1"/>
  <c r="E123" i="2" s="1"/>
  <c r="O126" i="1"/>
  <c r="J123" i="2" s="1"/>
  <c r="T126" i="1"/>
  <c r="U126" i="1"/>
  <c r="P126" i="1" s="1"/>
  <c r="K123" i="2" s="1"/>
  <c r="V126" i="1"/>
  <c r="A127" i="1"/>
  <c r="B124" i="2" s="1"/>
  <c r="B127" i="1"/>
  <c r="C124" i="2" s="1"/>
  <c r="H127" i="1"/>
  <c r="D124" i="2" s="1"/>
  <c r="I127" i="1"/>
  <c r="E124" i="2" s="1"/>
  <c r="O127" i="1"/>
  <c r="J124" i="2" s="1"/>
  <c r="T127" i="1"/>
  <c r="U127" i="1"/>
  <c r="P127" i="1" s="1"/>
  <c r="K124" i="2" s="1"/>
  <c r="V127" i="1"/>
  <c r="A128" i="1"/>
  <c r="B125" i="2" s="1"/>
  <c r="B128" i="1"/>
  <c r="C125" i="2" s="1"/>
  <c r="H128" i="1"/>
  <c r="D125" i="2" s="1"/>
  <c r="I128" i="1"/>
  <c r="E125" i="2" s="1"/>
  <c r="O128" i="1"/>
  <c r="J125" i="2" s="1"/>
  <c r="T128" i="1"/>
  <c r="U128" i="1"/>
  <c r="P128" i="1" s="1"/>
  <c r="K125" i="2" s="1"/>
  <c r="V128" i="1"/>
  <c r="A129" i="1"/>
  <c r="B126" i="2" s="1"/>
  <c r="B129" i="1"/>
  <c r="C126" i="2" s="1"/>
  <c r="H129" i="1"/>
  <c r="D126" i="2" s="1"/>
  <c r="I129" i="1"/>
  <c r="E126" i="2" s="1"/>
  <c r="O129" i="1"/>
  <c r="J126" i="2" s="1"/>
  <c r="T129" i="1"/>
  <c r="U129" i="1"/>
  <c r="P129" i="1" s="1"/>
  <c r="K126" i="2" s="1"/>
  <c r="V129" i="1"/>
  <c r="A130" i="1"/>
  <c r="B127" i="2" s="1"/>
  <c r="B130" i="1"/>
  <c r="C127" i="2" s="1"/>
  <c r="H130" i="1"/>
  <c r="D127" i="2" s="1"/>
  <c r="I130" i="1"/>
  <c r="E127" i="2" s="1"/>
  <c r="O130" i="1"/>
  <c r="J127" i="2" s="1"/>
  <c r="T130" i="1"/>
  <c r="U130" i="1"/>
  <c r="P130" i="1" s="1"/>
  <c r="K127" i="2" s="1"/>
  <c r="V130" i="1"/>
  <c r="A131" i="1"/>
  <c r="B128" i="2" s="1"/>
  <c r="B131" i="1"/>
  <c r="C128" i="2" s="1"/>
  <c r="H131" i="1"/>
  <c r="D128" i="2" s="1"/>
  <c r="I131" i="1"/>
  <c r="E128" i="2" s="1"/>
  <c r="O131" i="1"/>
  <c r="J128" i="2" s="1"/>
  <c r="T131" i="1"/>
  <c r="U131" i="1"/>
  <c r="P131" i="1" s="1"/>
  <c r="K128" i="2" s="1"/>
  <c r="V131" i="1"/>
  <c r="A132" i="1"/>
  <c r="B129" i="2" s="1"/>
  <c r="B132" i="1"/>
  <c r="C129" i="2" s="1"/>
  <c r="H132" i="1"/>
  <c r="D129" i="2" s="1"/>
  <c r="I132" i="1"/>
  <c r="E129" i="2" s="1"/>
  <c r="O132" i="1"/>
  <c r="J129" i="2" s="1"/>
  <c r="T132" i="1"/>
  <c r="U132" i="1"/>
  <c r="P132" i="1" s="1"/>
  <c r="K129" i="2" s="1"/>
  <c r="V132" i="1"/>
  <c r="A133" i="1"/>
  <c r="B130" i="2" s="1"/>
  <c r="B133" i="1"/>
  <c r="C130" i="2" s="1"/>
  <c r="H133" i="1"/>
  <c r="D130" i="2" s="1"/>
  <c r="I133" i="1"/>
  <c r="E130" i="2" s="1"/>
  <c r="O133" i="1"/>
  <c r="J130" i="2" s="1"/>
  <c r="T133" i="1"/>
  <c r="U133" i="1"/>
  <c r="P133" i="1" s="1"/>
  <c r="K130" i="2" s="1"/>
  <c r="V133" i="1"/>
  <c r="A134" i="1"/>
  <c r="B131" i="2" s="1"/>
  <c r="B134" i="1"/>
  <c r="C131" i="2" s="1"/>
  <c r="H134" i="1"/>
  <c r="D131" i="2" s="1"/>
  <c r="I134" i="1"/>
  <c r="E131" i="2" s="1"/>
  <c r="O134" i="1"/>
  <c r="J131" i="2" s="1"/>
  <c r="T134" i="1"/>
  <c r="U134" i="1"/>
  <c r="P134" i="1" s="1"/>
  <c r="K131" i="2" s="1"/>
  <c r="V134" i="1"/>
  <c r="A135" i="1"/>
  <c r="B132" i="2" s="1"/>
  <c r="B135" i="1"/>
  <c r="C132" i="2" s="1"/>
  <c r="H135" i="1"/>
  <c r="D132" i="2" s="1"/>
  <c r="I135" i="1"/>
  <c r="E132" i="2" s="1"/>
  <c r="O135" i="1"/>
  <c r="J132" i="2" s="1"/>
  <c r="T135" i="1"/>
  <c r="U135" i="1"/>
  <c r="P135" i="1" s="1"/>
  <c r="K132" i="2" s="1"/>
  <c r="V135" i="1"/>
  <c r="A136" i="1"/>
  <c r="B133" i="2" s="1"/>
  <c r="B136" i="1"/>
  <c r="C133" i="2" s="1"/>
  <c r="H136" i="1"/>
  <c r="D133" i="2" s="1"/>
  <c r="I136" i="1"/>
  <c r="E133" i="2" s="1"/>
  <c r="O136" i="1"/>
  <c r="J133" i="2" s="1"/>
  <c r="T136" i="1"/>
  <c r="U136" i="1"/>
  <c r="P136" i="1" s="1"/>
  <c r="K133" i="2" s="1"/>
  <c r="V136" i="1"/>
  <c r="A137" i="1"/>
  <c r="B134" i="2" s="1"/>
  <c r="B137" i="1"/>
  <c r="C134" i="2" s="1"/>
  <c r="H137" i="1"/>
  <c r="D134" i="2" s="1"/>
  <c r="I137" i="1"/>
  <c r="E134" i="2" s="1"/>
  <c r="O137" i="1"/>
  <c r="J134" i="2" s="1"/>
  <c r="T137" i="1"/>
  <c r="U137" i="1"/>
  <c r="P137" i="1" s="1"/>
  <c r="K134" i="2" s="1"/>
  <c r="V137" i="1"/>
  <c r="A138" i="1"/>
  <c r="B135" i="2" s="1"/>
  <c r="B138" i="1"/>
  <c r="C135" i="2" s="1"/>
  <c r="H138" i="1"/>
  <c r="D135" i="2" s="1"/>
  <c r="I138" i="1"/>
  <c r="E135" i="2" s="1"/>
  <c r="O138" i="1"/>
  <c r="J135" i="2" s="1"/>
  <c r="T138" i="1"/>
  <c r="U138" i="1"/>
  <c r="P138" i="1" s="1"/>
  <c r="K135" i="2" s="1"/>
  <c r="V138" i="1"/>
  <c r="A139" i="1"/>
  <c r="B136" i="2" s="1"/>
  <c r="B139" i="1"/>
  <c r="C136" i="2" s="1"/>
  <c r="H139" i="1"/>
  <c r="D136" i="2" s="1"/>
  <c r="I139" i="1"/>
  <c r="E136" i="2" s="1"/>
  <c r="O139" i="1"/>
  <c r="J136" i="2" s="1"/>
  <c r="T139" i="1"/>
  <c r="U139" i="1"/>
  <c r="P139" i="1" s="1"/>
  <c r="K136" i="2" s="1"/>
  <c r="V139" i="1"/>
  <c r="A140" i="1"/>
  <c r="B137" i="2" s="1"/>
  <c r="B140" i="1"/>
  <c r="C137" i="2" s="1"/>
  <c r="H140" i="1"/>
  <c r="D137" i="2" s="1"/>
  <c r="I140" i="1"/>
  <c r="E137" i="2" s="1"/>
  <c r="O140" i="1"/>
  <c r="J137" i="2" s="1"/>
  <c r="T140" i="1"/>
  <c r="U140" i="1"/>
  <c r="P140" i="1" s="1"/>
  <c r="K137" i="2" s="1"/>
  <c r="V140" i="1"/>
  <c r="A141" i="1"/>
  <c r="B138" i="2" s="1"/>
  <c r="B141" i="1"/>
  <c r="C138" i="2" s="1"/>
  <c r="H141" i="1"/>
  <c r="D138" i="2" s="1"/>
  <c r="I141" i="1"/>
  <c r="E138" i="2" s="1"/>
  <c r="O141" i="1"/>
  <c r="J138" i="2" s="1"/>
  <c r="T141" i="1"/>
  <c r="U141" i="1"/>
  <c r="P141" i="1" s="1"/>
  <c r="K138" i="2" s="1"/>
  <c r="V141" i="1"/>
  <c r="A142" i="1"/>
  <c r="B139" i="2" s="1"/>
  <c r="B142" i="1"/>
  <c r="C139" i="2" s="1"/>
  <c r="H142" i="1"/>
  <c r="D139" i="2" s="1"/>
  <c r="I142" i="1"/>
  <c r="E139" i="2" s="1"/>
  <c r="O142" i="1"/>
  <c r="J139" i="2" s="1"/>
  <c r="T142" i="1"/>
  <c r="U142" i="1"/>
  <c r="P142" i="1" s="1"/>
  <c r="K139" i="2" s="1"/>
  <c r="V142" i="1"/>
  <c r="A143" i="1"/>
  <c r="B140" i="2" s="1"/>
  <c r="B143" i="1"/>
  <c r="C140" i="2" s="1"/>
  <c r="H143" i="1"/>
  <c r="D140" i="2" s="1"/>
  <c r="I143" i="1"/>
  <c r="E140" i="2" s="1"/>
  <c r="O143" i="1"/>
  <c r="J140" i="2" s="1"/>
  <c r="T143" i="1"/>
  <c r="U143" i="1"/>
  <c r="P143" i="1" s="1"/>
  <c r="K140" i="2" s="1"/>
  <c r="V143" i="1"/>
  <c r="A144" i="1"/>
  <c r="B141" i="2" s="1"/>
  <c r="B144" i="1"/>
  <c r="C141" i="2" s="1"/>
  <c r="H144" i="1"/>
  <c r="D141" i="2" s="1"/>
  <c r="I144" i="1"/>
  <c r="E141" i="2" s="1"/>
  <c r="O144" i="1"/>
  <c r="J141" i="2" s="1"/>
  <c r="T144" i="1"/>
  <c r="U144" i="1"/>
  <c r="P144" i="1" s="1"/>
  <c r="K141" i="2" s="1"/>
  <c r="V144" i="1"/>
  <c r="A145" i="1"/>
  <c r="B142" i="2" s="1"/>
  <c r="B145" i="1"/>
  <c r="C142" i="2" s="1"/>
  <c r="H145" i="1"/>
  <c r="D142" i="2" s="1"/>
  <c r="I145" i="1"/>
  <c r="E142" i="2" s="1"/>
  <c r="O145" i="1"/>
  <c r="J142" i="2" s="1"/>
  <c r="T145" i="1"/>
  <c r="U145" i="1"/>
  <c r="P145" i="1" s="1"/>
  <c r="K142" i="2" s="1"/>
  <c r="V145" i="1"/>
  <c r="A146" i="1"/>
  <c r="B143" i="2" s="1"/>
  <c r="B146" i="1"/>
  <c r="C143" i="2" s="1"/>
  <c r="H146" i="1"/>
  <c r="D143" i="2" s="1"/>
  <c r="I146" i="1"/>
  <c r="E143" i="2" s="1"/>
  <c r="O146" i="1"/>
  <c r="J143" i="2" s="1"/>
  <c r="T146" i="1"/>
  <c r="U146" i="1"/>
  <c r="P146" i="1" s="1"/>
  <c r="K143" i="2" s="1"/>
  <c r="V146" i="1"/>
  <c r="A147" i="1"/>
  <c r="B144" i="2" s="1"/>
  <c r="B147" i="1"/>
  <c r="C144" i="2" s="1"/>
  <c r="H147" i="1"/>
  <c r="D144" i="2" s="1"/>
  <c r="I147" i="1"/>
  <c r="E144" i="2" s="1"/>
  <c r="O147" i="1"/>
  <c r="J144" i="2" s="1"/>
  <c r="T147" i="1"/>
  <c r="U147" i="1"/>
  <c r="P147" i="1" s="1"/>
  <c r="K144" i="2" s="1"/>
  <c r="V147" i="1"/>
  <c r="A148" i="1"/>
  <c r="B145" i="2" s="1"/>
  <c r="B148" i="1"/>
  <c r="C145" i="2" s="1"/>
  <c r="H148" i="1"/>
  <c r="D145" i="2" s="1"/>
  <c r="I148" i="1"/>
  <c r="E145" i="2" s="1"/>
  <c r="O148" i="1"/>
  <c r="J145" i="2" s="1"/>
  <c r="T148" i="1"/>
  <c r="U148" i="1"/>
  <c r="P148" i="1" s="1"/>
  <c r="K145" i="2" s="1"/>
  <c r="V148" i="1"/>
  <c r="A149" i="1"/>
  <c r="B146" i="2" s="1"/>
  <c r="B149" i="1"/>
  <c r="C146" i="2" s="1"/>
  <c r="H149" i="1"/>
  <c r="D146" i="2" s="1"/>
  <c r="I149" i="1"/>
  <c r="E146" i="2" s="1"/>
  <c r="O149" i="1"/>
  <c r="J146" i="2" s="1"/>
  <c r="T149" i="1"/>
  <c r="U149" i="1"/>
  <c r="P149" i="1" s="1"/>
  <c r="K146" i="2" s="1"/>
  <c r="V149" i="1"/>
  <c r="A150" i="1"/>
  <c r="B150" i="1"/>
  <c r="H150" i="1"/>
  <c r="I150" i="1"/>
  <c r="O150" i="1"/>
  <c r="T150" i="1"/>
  <c r="J150" i="1" s="1"/>
  <c r="U150" i="1"/>
  <c r="P150" i="1" s="1"/>
  <c r="V150" i="1"/>
  <c r="A151" i="1"/>
  <c r="B151" i="1"/>
  <c r="H151" i="1"/>
  <c r="I151" i="1"/>
  <c r="O151" i="1"/>
  <c r="T151" i="1"/>
  <c r="U151" i="1"/>
  <c r="P151" i="1" s="1"/>
  <c r="V151" i="1"/>
  <c r="A152" i="1"/>
  <c r="B152" i="1"/>
  <c r="H152" i="1"/>
  <c r="I152" i="1"/>
  <c r="O152" i="1"/>
  <c r="T152" i="1"/>
  <c r="U152" i="1"/>
  <c r="P152" i="1" s="1"/>
  <c r="V152" i="1"/>
  <c r="A153" i="1"/>
  <c r="B153" i="1"/>
  <c r="H153" i="1"/>
  <c r="I153" i="1"/>
  <c r="O153" i="1"/>
  <c r="T153" i="1"/>
  <c r="J153" i="1" s="1"/>
  <c r="U153" i="1"/>
  <c r="P153" i="1" s="1"/>
  <c r="V153" i="1"/>
  <c r="A154" i="1"/>
  <c r="B154" i="1"/>
  <c r="H154" i="1"/>
  <c r="I154" i="1"/>
  <c r="O154" i="1"/>
  <c r="T154" i="1"/>
  <c r="U154" i="1"/>
  <c r="P154" i="1" s="1"/>
  <c r="V154" i="1"/>
  <c r="A155" i="1"/>
  <c r="B155" i="1"/>
  <c r="H155" i="1"/>
  <c r="I155" i="1"/>
  <c r="O155" i="1"/>
  <c r="T155" i="1"/>
  <c r="J155" i="1" s="1"/>
  <c r="U155" i="1"/>
  <c r="P155" i="1" s="1"/>
  <c r="V155" i="1"/>
  <c r="A156" i="1"/>
  <c r="B156" i="1"/>
  <c r="H156" i="1"/>
  <c r="I156" i="1"/>
  <c r="O156" i="1"/>
  <c r="T156" i="1"/>
  <c r="J156" i="1" s="1"/>
  <c r="U156" i="1"/>
  <c r="P156" i="1" s="1"/>
  <c r="V156" i="1"/>
  <c r="A157" i="1"/>
  <c r="B157" i="1"/>
  <c r="H157" i="1"/>
  <c r="I157" i="1"/>
  <c r="O157" i="1"/>
  <c r="T157" i="1"/>
  <c r="U157" i="1"/>
  <c r="P157" i="1" s="1"/>
  <c r="V157" i="1"/>
  <c r="A158" i="1"/>
  <c r="B158" i="1"/>
  <c r="H158" i="1"/>
  <c r="I158" i="1"/>
  <c r="O158" i="1"/>
  <c r="T158" i="1"/>
  <c r="U158" i="1"/>
  <c r="P158" i="1" s="1"/>
  <c r="V158" i="1"/>
  <c r="A159" i="1"/>
  <c r="B159" i="1"/>
  <c r="H159" i="1"/>
  <c r="I159" i="1"/>
  <c r="O159" i="1"/>
  <c r="T159" i="1"/>
  <c r="J159" i="1" s="1"/>
  <c r="U159" i="1"/>
  <c r="P159" i="1" s="1"/>
  <c r="V159" i="1"/>
  <c r="A160" i="1"/>
  <c r="B160" i="1"/>
  <c r="H160" i="1"/>
  <c r="I160" i="1"/>
  <c r="O160" i="1"/>
  <c r="T160" i="1"/>
  <c r="U160" i="1"/>
  <c r="P160" i="1" s="1"/>
  <c r="V160" i="1"/>
  <c r="A161" i="1"/>
  <c r="B161" i="1"/>
  <c r="H161" i="1"/>
  <c r="I161" i="1"/>
  <c r="O161" i="1"/>
  <c r="T161" i="1"/>
  <c r="U161" i="1"/>
  <c r="P161" i="1" s="1"/>
  <c r="V161" i="1"/>
  <c r="A162" i="1"/>
  <c r="B162" i="1"/>
  <c r="H162" i="1"/>
  <c r="I162" i="1"/>
  <c r="O162" i="1"/>
  <c r="T162" i="1"/>
  <c r="J162" i="1" s="1"/>
  <c r="U162" i="1"/>
  <c r="P162" i="1" s="1"/>
  <c r="V162" i="1"/>
  <c r="A163" i="1"/>
  <c r="B163" i="1"/>
  <c r="H163" i="1"/>
  <c r="I163" i="1"/>
  <c r="O163" i="1"/>
  <c r="T163" i="1"/>
  <c r="U163" i="1"/>
  <c r="P163" i="1" s="1"/>
  <c r="V163" i="1"/>
  <c r="A164" i="1"/>
  <c r="B164" i="1"/>
  <c r="H164" i="1"/>
  <c r="I164" i="1"/>
  <c r="O164" i="1"/>
  <c r="T164" i="1"/>
  <c r="U164" i="1"/>
  <c r="P164" i="1" s="1"/>
  <c r="V164" i="1"/>
  <c r="A165" i="1"/>
  <c r="B165" i="1"/>
  <c r="H165" i="1"/>
  <c r="I165" i="1"/>
  <c r="O165" i="1"/>
  <c r="T165" i="1"/>
  <c r="J165" i="1" s="1"/>
  <c r="U165" i="1"/>
  <c r="P165" i="1" s="1"/>
  <c r="V165" i="1"/>
  <c r="A166" i="1"/>
  <c r="B166" i="1"/>
  <c r="H166" i="1"/>
  <c r="I166" i="1"/>
  <c r="O166" i="1"/>
  <c r="T166" i="1"/>
  <c r="U166" i="1"/>
  <c r="P166" i="1" s="1"/>
  <c r="V166" i="1"/>
  <c r="A167" i="1"/>
  <c r="B167" i="1"/>
  <c r="H167" i="1"/>
  <c r="I167" i="1"/>
  <c r="O167" i="1"/>
  <c r="T167" i="1"/>
  <c r="U167" i="1"/>
  <c r="P167" i="1" s="1"/>
  <c r="V167" i="1"/>
  <c r="A168" i="1"/>
  <c r="B168" i="1"/>
  <c r="H168" i="1"/>
  <c r="I168" i="1"/>
  <c r="O168" i="1"/>
  <c r="T168" i="1"/>
  <c r="J168" i="1" s="1"/>
  <c r="U168" i="1"/>
  <c r="P168" i="1" s="1"/>
  <c r="V168" i="1"/>
  <c r="A169" i="1"/>
  <c r="B169" i="1"/>
  <c r="H169" i="1"/>
  <c r="I169" i="1"/>
  <c r="O169" i="1"/>
  <c r="T169" i="1"/>
  <c r="U169" i="1"/>
  <c r="P169" i="1" s="1"/>
  <c r="V169" i="1"/>
  <c r="A170" i="1"/>
  <c r="B170" i="1"/>
  <c r="H170" i="1"/>
  <c r="I170" i="1"/>
  <c r="O170" i="1"/>
  <c r="T170" i="1"/>
  <c r="J170" i="1" s="1"/>
  <c r="U170" i="1"/>
  <c r="P170" i="1" s="1"/>
  <c r="V170" i="1"/>
  <c r="A171" i="1"/>
  <c r="B171" i="1"/>
  <c r="H171" i="1"/>
  <c r="I171" i="1"/>
  <c r="O171" i="1"/>
  <c r="T171" i="1"/>
  <c r="J171" i="1" s="1"/>
  <c r="U171" i="1"/>
  <c r="P171" i="1" s="1"/>
  <c r="V171" i="1"/>
  <c r="A172" i="1"/>
  <c r="B172" i="1"/>
  <c r="H172" i="1"/>
  <c r="I172" i="1"/>
  <c r="J172" i="1"/>
  <c r="O172" i="1"/>
  <c r="T172" i="1"/>
  <c r="U172" i="1"/>
  <c r="P172" i="1" s="1"/>
  <c r="V172" i="1"/>
  <c r="A173" i="1"/>
  <c r="B173" i="1"/>
  <c r="H173" i="1"/>
  <c r="I173" i="1"/>
  <c r="O173" i="1"/>
  <c r="T173" i="1"/>
  <c r="J173" i="1" s="1"/>
  <c r="U173" i="1"/>
  <c r="P173" i="1" s="1"/>
  <c r="V173" i="1"/>
  <c r="A174" i="1"/>
  <c r="B174" i="1"/>
  <c r="H174" i="1"/>
  <c r="I174" i="1"/>
  <c r="O174" i="1"/>
  <c r="T174" i="1"/>
  <c r="J175" i="1" s="1"/>
  <c r="U174" i="1"/>
  <c r="P174" i="1" s="1"/>
  <c r="V174" i="1"/>
  <c r="A175" i="1"/>
  <c r="B175" i="1"/>
  <c r="H175" i="1"/>
  <c r="I175" i="1"/>
  <c r="O175" i="1"/>
  <c r="T175" i="1"/>
  <c r="U175" i="1"/>
  <c r="P175" i="1" s="1"/>
  <c r="V175" i="1"/>
  <c r="A176" i="1"/>
  <c r="B176" i="1"/>
  <c r="H176" i="1"/>
  <c r="I176" i="1"/>
  <c r="O176" i="1"/>
  <c r="T176" i="1"/>
  <c r="J176" i="1" s="1"/>
  <c r="U176" i="1"/>
  <c r="P176" i="1" s="1"/>
  <c r="V176" i="1"/>
  <c r="A177" i="1"/>
  <c r="B177" i="1"/>
  <c r="H177" i="1"/>
  <c r="I177" i="1"/>
  <c r="J177" i="1"/>
  <c r="O177" i="1"/>
  <c r="R177" i="1"/>
  <c r="M174" i="2" s="1"/>
  <c r="S177" i="1"/>
  <c r="N174" i="2" s="1"/>
  <c r="T177" i="1"/>
  <c r="U177" i="1"/>
  <c r="P177" i="1" s="1"/>
  <c r="V177" i="1"/>
  <c r="A178" i="1"/>
  <c r="B178" i="1"/>
  <c r="H178" i="1"/>
  <c r="I178" i="1"/>
  <c r="J178" i="1"/>
  <c r="O178" i="1"/>
  <c r="R178" i="1"/>
  <c r="M175" i="2" s="1"/>
  <c r="S178" i="1"/>
  <c r="N175" i="2" s="1"/>
  <c r="T178" i="1"/>
  <c r="U178" i="1"/>
  <c r="P178" i="1" s="1"/>
  <c r="V178" i="1"/>
  <c r="A179" i="1"/>
  <c r="B179" i="1"/>
  <c r="H179" i="1"/>
  <c r="I179" i="1"/>
  <c r="J179" i="1"/>
  <c r="O179" i="1"/>
  <c r="R179" i="1"/>
  <c r="M176" i="2" s="1"/>
  <c r="S179" i="1"/>
  <c r="N176" i="2" s="1"/>
  <c r="T179" i="1"/>
  <c r="U179" i="1"/>
  <c r="P179" i="1" s="1"/>
  <c r="V179" i="1"/>
  <c r="A180" i="1"/>
  <c r="B180" i="1"/>
  <c r="H180" i="1"/>
  <c r="I180" i="1"/>
  <c r="J180" i="1"/>
  <c r="Q180" i="1" s="1"/>
  <c r="O180" i="1"/>
  <c r="R180" i="1"/>
  <c r="M177" i="2" s="1"/>
  <c r="S180" i="1"/>
  <c r="N177" i="2" s="1"/>
  <c r="T180" i="1"/>
  <c r="U180" i="1"/>
  <c r="P180" i="1" s="1"/>
  <c r="V180" i="1"/>
  <c r="A181" i="1"/>
  <c r="B181" i="1"/>
  <c r="H181" i="1"/>
  <c r="I181" i="1"/>
  <c r="J181" i="1"/>
  <c r="O181" i="1"/>
  <c r="R181" i="1"/>
  <c r="M178" i="2" s="1"/>
  <c r="S181" i="1"/>
  <c r="N178" i="2" s="1"/>
  <c r="T181" i="1"/>
  <c r="U181" i="1"/>
  <c r="P181" i="1" s="1"/>
  <c r="V181" i="1"/>
  <c r="A182" i="1"/>
  <c r="B182" i="1"/>
  <c r="H182" i="1"/>
  <c r="I182" i="1"/>
  <c r="J182" i="1"/>
  <c r="O182" i="1"/>
  <c r="R182" i="1"/>
  <c r="M179" i="2" s="1"/>
  <c r="S182" i="1"/>
  <c r="N179" i="2" s="1"/>
  <c r="T182" i="1"/>
  <c r="U182" i="1"/>
  <c r="P182" i="1" s="1"/>
  <c r="V182" i="1"/>
  <c r="A183" i="1"/>
  <c r="B183" i="1"/>
  <c r="H183" i="1"/>
  <c r="I183" i="1"/>
  <c r="J183" i="1"/>
  <c r="O183" i="1"/>
  <c r="R183" i="1"/>
  <c r="M180" i="2" s="1"/>
  <c r="S183" i="1"/>
  <c r="N180" i="2" s="1"/>
  <c r="T183" i="1"/>
  <c r="U183" i="1"/>
  <c r="P183" i="1" s="1"/>
  <c r="V183" i="1"/>
  <c r="A184" i="1"/>
  <c r="B184" i="1"/>
  <c r="H184" i="1"/>
  <c r="I184" i="1"/>
  <c r="J184" i="1"/>
  <c r="Q184" i="1" s="1"/>
  <c r="O184" i="1"/>
  <c r="R184" i="1"/>
  <c r="M181" i="2" s="1"/>
  <c r="S184" i="1"/>
  <c r="N181" i="2" s="1"/>
  <c r="T184" i="1"/>
  <c r="U184" i="1"/>
  <c r="P184" i="1" s="1"/>
  <c r="V184" i="1"/>
  <c r="A185" i="1"/>
  <c r="B185" i="1"/>
  <c r="H185" i="1"/>
  <c r="I185" i="1"/>
  <c r="J185" i="1"/>
  <c r="O185" i="1"/>
  <c r="R185" i="1"/>
  <c r="M182" i="2" s="1"/>
  <c r="S185" i="1"/>
  <c r="N182" i="2" s="1"/>
  <c r="T185" i="1"/>
  <c r="U185" i="1"/>
  <c r="P185" i="1" s="1"/>
  <c r="V185" i="1"/>
  <c r="A186" i="1"/>
  <c r="B186" i="1"/>
  <c r="H186" i="1"/>
  <c r="I186" i="1"/>
  <c r="J186" i="1"/>
  <c r="O186" i="1"/>
  <c r="R186" i="1"/>
  <c r="M183" i="2" s="1"/>
  <c r="S186" i="1"/>
  <c r="N183" i="2" s="1"/>
  <c r="T186" i="1"/>
  <c r="U186" i="1"/>
  <c r="P186" i="1" s="1"/>
  <c r="V186" i="1"/>
  <c r="A187" i="1"/>
  <c r="B187" i="1"/>
  <c r="H187" i="1"/>
  <c r="I187" i="1"/>
  <c r="J187" i="1"/>
  <c r="O187" i="1"/>
  <c r="R187" i="1"/>
  <c r="M184" i="2" s="1"/>
  <c r="S187" i="1"/>
  <c r="N184" i="2" s="1"/>
  <c r="T187" i="1"/>
  <c r="U187" i="1"/>
  <c r="P187" i="1" s="1"/>
  <c r="V187" i="1"/>
  <c r="A188" i="1"/>
  <c r="B188" i="1"/>
  <c r="H188" i="1"/>
  <c r="I188" i="1"/>
  <c r="J188" i="1"/>
  <c r="O188" i="1"/>
  <c r="R188" i="1"/>
  <c r="M185" i="2" s="1"/>
  <c r="S188" i="1"/>
  <c r="N185" i="2" s="1"/>
  <c r="T188" i="1"/>
  <c r="U188" i="1"/>
  <c r="P188" i="1" s="1"/>
  <c r="V188" i="1"/>
  <c r="A189" i="1"/>
  <c r="B189" i="1"/>
  <c r="H189" i="1"/>
  <c r="I189" i="1"/>
  <c r="J189" i="1"/>
  <c r="O189" i="1"/>
  <c r="R189" i="1"/>
  <c r="M186" i="2" s="1"/>
  <c r="S189" i="1"/>
  <c r="N186" i="2" s="1"/>
  <c r="T189" i="1"/>
  <c r="U189" i="1"/>
  <c r="P189" i="1" s="1"/>
  <c r="V189" i="1"/>
  <c r="A190" i="1"/>
  <c r="B190" i="1"/>
  <c r="H190" i="1"/>
  <c r="I190" i="1"/>
  <c r="J190" i="1"/>
  <c r="O190" i="1"/>
  <c r="R190" i="1"/>
  <c r="M187" i="2" s="1"/>
  <c r="S190" i="1"/>
  <c r="N187" i="2" s="1"/>
  <c r="T190" i="1"/>
  <c r="U190" i="1"/>
  <c r="P190" i="1" s="1"/>
  <c r="V190" i="1"/>
  <c r="A191" i="1"/>
  <c r="B191" i="1"/>
  <c r="H191" i="1"/>
  <c r="I191" i="1"/>
  <c r="J191" i="1"/>
  <c r="O191" i="1"/>
  <c r="R191" i="1"/>
  <c r="M188" i="2" s="1"/>
  <c r="S191" i="1"/>
  <c r="N188" i="2" s="1"/>
  <c r="T191" i="1"/>
  <c r="U191" i="1"/>
  <c r="P191" i="1" s="1"/>
  <c r="V191" i="1"/>
  <c r="A192" i="1"/>
  <c r="B192" i="1"/>
  <c r="H192" i="1"/>
  <c r="I192" i="1"/>
  <c r="J192" i="1"/>
  <c r="Q192" i="1" s="1"/>
  <c r="O192" i="1"/>
  <c r="R192" i="1"/>
  <c r="M189" i="2" s="1"/>
  <c r="S192" i="1"/>
  <c r="N189" i="2" s="1"/>
  <c r="T192" i="1"/>
  <c r="U192" i="1"/>
  <c r="P192" i="1" s="1"/>
  <c r="V192" i="1"/>
  <c r="A193" i="1"/>
  <c r="B193" i="1"/>
  <c r="H193" i="1"/>
  <c r="I193" i="1"/>
  <c r="J193" i="1"/>
  <c r="O193" i="1"/>
  <c r="R193" i="1"/>
  <c r="M190" i="2" s="1"/>
  <c r="S193" i="1"/>
  <c r="N190" i="2" s="1"/>
  <c r="T193" i="1"/>
  <c r="U193" i="1"/>
  <c r="P193" i="1" s="1"/>
  <c r="V193" i="1"/>
  <c r="A194" i="1"/>
  <c r="B194" i="1"/>
  <c r="H194" i="1"/>
  <c r="I194" i="1"/>
  <c r="J194" i="1"/>
  <c r="O194" i="1"/>
  <c r="R194" i="1"/>
  <c r="M191" i="2" s="1"/>
  <c r="S194" i="1"/>
  <c r="N191" i="2" s="1"/>
  <c r="T194" i="1"/>
  <c r="U194" i="1"/>
  <c r="P194" i="1" s="1"/>
  <c r="V194" i="1"/>
  <c r="A195" i="1"/>
  <c r="B195" i="1"/>
  <c r="H195" i="1"/>
  <c r="I195" i="1"/>
  <c r="J195" i="1"/>
  <c r="O195" i="1"/>
  <c r="R195" i="1"/>
  <c r="M192" i="2" s="1"/>
  <c r="S195" i="1"/>
  <c r="N192" i="2" s="1"/>
  <c r="T195" i="1"/>
  <c r="U195" i="1"/>
  <c r="P195" i="1" s="1"/>
  <c r="V195" i="1"/>
  <c r="A196" i="1"/>
  <c r="B196" i="1"/>
  <c r="H196" i="1"/>
  <c r="I196" i="1"/>
  <c r="J196" i="1"/>
  <c r="Q196" i="1" s="1"/>
  <c r="O196" i="1"/>
  <c r="R196" i="1"/>
  <c r="M193" i="2" s="1"/>
  <c r="S196" i="1"/>
  <c r="N193" i="2" s="1"/>
  <c r="T196" i="1"/>
  <c r="U196" i="1"/>
  <c r="P196" i="1" s="1"/>
  <c r="V196" i="1"/>
  <c r="A197" i="1"/>
  <c r="B197" i="1"/>
  <c r="H197" i="1"/>
  <c r="I197" i="1"/>
  <c r="J197" i="1"/>
  <c r="O197" i="1"/>
  <c r="R197" i="1"/>
  <c r="M194" i="2" s="1"/>
  <c r="S197" i="1"/>
  <c r="N194" i="2" s="1"/>
  <c r="T197" i="1"/>
  <c r="U197" i="1"/>
  <c r="P197" i="1" s="1"/>
  <c r="V197" i="1"/>
  <c r="A198" i="1"/>
  <c r="B198" i="1"/>
  <c r="H198" i="1"/>
  <c r="I198" i="1"/>
  <c r="J198" i="1"/>
  <c r="O198" i="1"/>
  <c r="R198" i="1"/>
  <c r="M195" i="2" s="1"/>
  <c r="S198" i="1"/>
  <c r="N195" i="2" s="1"/>
  <c r="T198" i="1"/>
  <c r="U198" i="1"/>
  <c r="P198" i="1" s="1"/>
  <c r="V198" i="1"/>
  <c r="A199" i="1"/>
  <c r="B199" i="1"/>
  <c r="H199" i="1"/>
  <c r="I199" i="1"/>
  <c r="J199" i="1"/>
  <c r="O199" i="1"/>
  <c r="R199" i="1"/>
  <c r="M196" i="2" s="1"/>
  <c r="S199" i="1"/>
  <c r="N196" i="2" s="1"/>
  <c r="T199" i="1"/>
  <c r="U199" i="1"/>
  <c r="P199" i="1" s="1"/>
  <c r="V199" i="1"/>
  <c r="A200" i="1"/>
  <c r="B200" i="1"/>
  <c r="H200" i="1"/>
  <c r="I200" i="1"/>
  <c r="J200" i="1"/>
  <c r="O200" i="1"/>
  <c r="R200" i="1"/>
  <c r="M197" i="2" s="1"/>
  <c r="S200" i="1"/>
  <c r="N197" i="2" s="1"/>
  <c r="T200" i="1"/>
  <c r="U200" i="1"/>
  <c r="P200" i="1" s="1"/>
  <c r="V200" i="1"/>
  <c r="A201" i="1"/>
  <c r="B201" i="1"/>
  <c r="H201" i="1"/>
  <c r="I201" i="1"/>
  <c r="J201" i="1"/>
  <c r="O201" i="1"/>
  <c r="R201" i="1"/>
  <c r="M198" i="2" s="1"/>
  <c r="S201" i="1"/>
  <c r="N198" i="2" s="1"/>
  <c r="T201" i="1"/>
  <c r="U201" i="1"/>
  <c r="P201" i="1" s="1"/>
  <c r="V201" i="1"/>
  <c r="A202" i="1"/>
  <c r="B202" i="1"/>
  <c r="H202" i="1"/>
  <c r="I202" i="1"/>
  <c r="J202" i="1"/>
  <c r="O202" i="1"/>
  <c r="R202" i="1"/>
  <c r="M199" i="2" s="1"/>
  <c r="S202" i="1"/>
  <c r="N199" i="2" s="1"/>
  <c r="T202" i="1"/>
  <c r="U202" i="1"/>
  <c r="P202" i="1" s="1"/>
  <c r="V202" i="1"/>
  <c r="A203" i="1"/>
  <c r="B203" i="1"/>
  <c r="H203" i="1"/>
  <c r="I203" i="1"/>
  <c r="J203" i="1"/>
  <c r="O203" i="1"/>
  <c r="R203" i="1"/>
  <c r="M200" i="2" s="1"/>
  <c r="S203" i="1"/>
  <c r="N200" i="2" s="1"/>
  <c r="T203" i="1"/>
  <c r="U203" i="1"/>
  <c r="P203" i="1" s="1"/>
  <c r="V203" i="1"/>
  <c r="A204" i="1"/>
  <c r="B204" i="1"/>
  <c r="H204" i="1"/>
  <c r="I204" i="1"/>
  <c r="J204" i="1"/>
  <c r="Q204" i="1" s="1"/>
  <c r="O204" i="1"/>
  <c r="R204" i="1"/>
  <c r="M201" i="2" s="1"/>
  <c r="S204" i="1"/>
  <c r="N201" i="2" s="1"/>
  <c r="T204" i="1"/>
  <c r="U204" i="1"/>
  <c r="P204" i="1" s="1"/>
  <c r="V204" i="1"/>
  <c r="A205" i="1"/>
  <c r="B205" i="1"/>
  <c r="H205" i="1"/>
  <c r="I205" i="1"/>
  <c r="J205" i="1"/>
  <c r="O205" i="1"/>
  <c r="R205" i="1"/>
  <c r="M202" i="2" s="1"/>
  <c r="S205" i="1"/>
  <c r="N202" i="2" s="1"/>
  <c r="T205" i="1"/>
  <c r="U205" i="1"/>
  <c r="P205" i="1" s="1"/>
  <c r="V205" i="1"/>
  <c r="A206" i="1"/>
  <c r="B206" i="1"/>
  <c r="H206" i="1"/>
  <c r="I206" i="1"/>
  <c r="J206" i="1"/>
  <c r="O206" i="1"/>
  <c r="R206" i="1"/>
  <c r="M203" i="2" s="1"/>
  <c r="S206" i="1"/>
  <c r="N203" i="2" s="1"/>
  <c r="T206" i="1"/>
  <c r="U206" i="1"/>
  <c r="P206" i="1" s="1"/>
  <c r="V206" i="1"/>
  <c r="A207" i="1"/>
  <c r="B207" i="1"/>
  <c r="H207" i="1"/>
  <c r="I207" i="1"/>
  <c r="J207" i="1"/>
  <c r="O207" i="1"/>
  <c r="R207" i="1"/>
  <c r="M204" i="2" s="1"/>
  <c r="S207" i="1"/>
  <c r="N204" i="2" s="1"/>
  <c r="T207" i="1"/>
  <c r="U207" i="1"/>
  <c r="P207" i="1" s="1"/>
  <c r="V207" i="1"/>
  <c r="A208" i="1"/>
  <c r="B208" i="1"/>
  <c r="H208" i="1"/>
  <c r="I208" i="1"/>
  <c r="J208" i="1"/>
  <c r="Q208" i="1" s="1"/>
  <c r="O208" i="1"/>
  <c r="R208" i="1"/>
  <c r="M205" i="2" s="1"/>
  <c r="S208" i="1"/>
  <c r="N205" i="2" s="1"/>
  <c r="T208" i="1"/>
  <c r="U208" i="1"/>
  <c r="P208" i="1" s="1"/>
  <c r="V208" i="1"/>
  <c r="A209" i="1"/>
  <c r="B209" i="1"/>
  <c r="H209" i="1"/>
  <c r="I209" i="1"/>
  <c r="J209" i="1"/>
  <c r="O209" i="1"/>
  <c r="R209" i="1"/>
  <c r="M206" i="2" s="1"/>
  <c r="S209" i="1"/>
  <c r="N206" i="2" s="1"/>
  <c r="T209" i="1"/>
  <c r="U209" i="1"/>
  <c r="P209" i="1" s="1"/>
  <c r="V209" i="1"/>
  <c r="A210" i="1"/>
  <c r="B210" i="1"/>
  <c r="H210" i="1"/>
  <c r="I210" i="1"/>
  <c r="J210" i="1"/>
  <c r="O210" i="1"/>
  <c r="R210" i="1"/>
  <c r="M207" i="2" s="1"/>
  <c r="S210" i="1"/>
  <c r="N207" i="2" s="1"/>
  <c r="T210" i="1"/>
  <c r="U210" i="1"/>
  <c r="P210" i="1" s="1"/>
  <c r="V210" i="1"/>
  <c r="A211" i="1"/>
  <c r="B211" i="1"/>
  <c r="H211" i="1"/>
  <c r="I211" i="1"/>
  <c r="J211" i="1"/>
  <c r="O211" i="1"/>
  <c r="R211" i="1"/>
  <c r="M208" i="2" s="1"/>
  <c r="S211" i="1"/>
  <c r="N208" i="2" s="1"/>
  <c r="T211" i="1"/>
  <c r="U211" i="1"/>
  <c r="P211" i="1" s="1"/>
  <c r="V211" i="1"/>
  <c r="A212" i="1"/>
  <c r="B212" i="1"/>
  <c r="H212" i="1"/>
  <c r="I212" i="1"/>
  <c r="J212" i="1"/>
  <c r="O212" i="1"/>
  <c r="R212" i="1"/>
  <c r="M209" i="2" s="1"/>
  <c r="S212" i="1"/>
  <c r="N209" i="2" s="1"/>
  <c r="T212" i="1"/>
  <c r="U212" i="1"/>
  <c r="P212" i="1" s="1"/>
  <c r="V212" i="1"/>
  <c r="A213" i="1"/>
  <c r="B213" i="1"/>
  <c r="H213" i="1"/>
  <c r="I213" i="1"/>
  <c r="J213" i="1"/>
  <c r="O213" i="1"/>
  <c r="R213" i="1"/>
  <c r="M210" i="2" s="1"/>
  <c r="S213" i="1"/>
  <c r="N210" i="2" s="1"/>
  <c r="T213" i="1"/>
  <c r="U213" i="1"/>
  <c r="P213" i="1" s="1"/>
  <c r="V213" i="1"/>
  <c r="A214" i="1"/>
  <c r="B214" i="1"/>
  <c r="H214" i="1"/>
  <c r="I214" i="1"/>
  <c r="J214" i="1"/>
  <c r="O214" i="1"/>
  <c r="R214" i="1"/>
  <c r="M211" i="2" s="1"/>
  <c r="S214" i="1"/>
  <c r="N211" i="2" s="1"/>
  <c r="T214" i="1"/>
  <c r="U214" i="1"/>
  <c r="P214" i="1" s="1"/>
  <c r="V214" i="1"/>
  <c r="A215" i="1"/>
  <c r="B215" i="1"/>
  <c r="H215" i="1"/>
  <c r="I215" i="1"/>
  <c r="J215" i="1"/>
  <c r="O215" i="1"/>
  <c r="R215" i="1"/>
  <c r="M212" i="2" s="1"/>
  <c r="S215" i="1"/>
  <c r="N212" i="2" s="1"/>
  <c r="T215" i="1"/>
  <c r="U215" i="1"/>
  <c r="P215" i="1" s="1"/>
  <c r="V215" i="1"/>
  <c r="A216" i="1"/>
  <c r="B216" i="1"/>
  <c r="H216" i="1"/>
  <c r="I216" i="1"/>
  <c r="J216" i="1"/>
  <c r="Q216" i="1" s="1"/>
  <c r="O216" i="1"/>
  <c r="R216" i="1"/>
  <c r="M213" i="2" s="1"/>
  <c r="S216" i="1"/>
  <c r="N213" i="2" s="1"/>
  <c r="T216" i="1"/>
  <c r="U216" i="1"/>
  <c r="P216" i="1" s="1"/>
  <c r="V216" i="1"/>
  <c r="A217" i="1"/>
  <c r="B217" i="1"/>
  <c r="H217" i="1"/>
  <c r="I217" i="1"/>
  <c r="J217" i="1"/>
  <c r="O217" i="1"/>
  <c r="R217" i="1"/>
  <c r="M214" i="2" s="1"/>
  <c r="S217" i="1"/>
  <c r="N214" i="2" s="1"/>
  <c r="T217" i="1"/>
  <c r="U217" i="1"/>
  <c r="P217" i="1" s="1"/>
  <c r="V217" i="1"/>
  <c r="A218" i="1"/>
  <c r="B218" i="1"/>
  <c r="H218" i="1"/>
  <c r="I218" i="1"/>
  <c r="J218" i="1"/>
  <c r="O218" i="1"/>
  <c r="R218" i="1"/>
  <c r="M215" i="2" s="1"/>
  <c r="S218" i="1"/>
  <c r="N215" i="2" s="1"/>
  <c r="T218" i="1"/>
  <c r="U218" i="1"/>
  <c r="P218" i="1" s="1"/>
  <c r="V218" i="1"/>
  <c r="A219" i="1"/>
  <c r="B219" i="1"/>
  <c r="H219" i="1"/>
  <c r="I219" i="1"/>
  <c r="J219" i="1"/>
  <c r="O219" i="1"/>
  <c r="R219" i="1"/>
  <c r="M216" i="2" s="1"/>
  <c r="S219" i="1"/>
  <c r="N216" i="2" s="1"/>
  <c r="T219" i="1"/>
  <c r="U219" i="1"/>
  <c r="P219" i="1" s="1"/>
  <c r="V219" i="1"/>
  <c r="A220" i="1"/>
  <c r="B220" i="1"/>
  <c r="H220" i="1"/>
  <c r="I220" i="1"/>
  <c r="J220" i="1"/>
  <c r="Q220" i="1" s="1"/>
  <c r="O220" i="1"/>
  <c r="R220" i="1"/>
  <c r="M217" i="2" s="1"/>
  <c r="S220" i="1"/>
  <c r="N217" i="2" s="1"/>
  <c r="T220" i="1"/>
  <c r="U220" i="1"/>
  <c r="P220" i="1" s="1"/>
  <c r="V220" i="1"/>
  <c r="A221" i="1"/>
  <c r="B221" i="1"/>
  <c r="H221" i="1"/>
  <c r="I221" i="1"/>
  <c r="J221" i="1"/>
  <c r="O221" i="1"/>
  <c r="R221" i="1"/>
  <c r="M218" i="2" s="1"/>
  <c r="S221" i="1"/>
  <c r="N218" i="2" s="1"/>
  <c r="T221" i="1"/>
  <c r="U221" i="1"/>
  <c r="P221" i="1" s="1"/>
  <c r="V221" i="1"/>
  <c r="A222" i="1"/>
  <c r="B222" i="1"/>
  <c r="H222" i="1"/>
  <c r="I222" i="1"/>
  <c r="J222" i="1"/>
  <c r="O222" i="1"/>
  <c r="R222" i="1"/>
  <c r="M219" i="2" s="1"/>
  <c r="S222" i="1"/>
  <c r="N219" i="2" s="1"/>
  <c r="T222" i="1"/>
  <c r="U222" i="1"/>
  <c r="P222" i="1" s="1"/>
  <c r="V222" i="1"/>
  <c r="A223" i="1"/>
  <c r="B223" i="1"/>
  <c r="H223" i="1"/>
  <c r="I223" i="1"/>
  <c r="J223" i="1"/>
  <c r="O223" i="1"/>
  <c r="R223" i="1"/>
  <c r="M220" i="2" s="1"/>
  <c r="S223" i="1"/>
  <c r="N220" i="2" s="1"/>
  <c r="T223" i="1"/>
  <c r="U223" i="1"/>
  <c r="P223" i="1" s="1"/>
  <c r="V223" i="1"/>
  <c r="A224" i="1"/>
  <c r="B224" i="1"/>
  <c r="H224" i="1"/>
  <c r="I224" i="1"/>
  <c r="J224" i="1"/>
  <c r="O224" i="1"/>
  <c r="R224" i="1"/>
  <c r="M221" i="2" s="1"/>
  <c r="S224" i="1"/>
  <c r="N221" i="2" s="1"/>
  <c r="T224" i="1"/>
  <c r="U224" i="1"/>
  <c r="P224" i="1" s="1"/>
  <c r="V224" i="1"/>
  <c r="A225" i="1"/>
  <c r="B225" i="1"/>
  <c r="H225" i="1"/>
  <c r="I225" i="1"/>
  <c r="J225" i="1"/>
  <c r="O225" i="1"/>
  <c r="R225" i="1"/>
  <c r="M222" i="2" s="1"/>
  <c r="S225" i="1"/>
  <c r="N222" i="2" s="1"/>
  <c r="T225" i="1"/>
  <c r="U225" i="1"/>
  <c r="P225" i="1" s="1"/>
  <c r="V225" i="1"/>
  <c r="A226" i="1"/>
  <c r="B226" i="1"/>
  <c r="H226" i="1"/>
  <c r="I226" i="1"/>
  <c r="J226" i="1"/>
  <c r="O226" i="1"/>
  <c r="R226" i="1"/>
  <c r="M223" i="2" s="1"/>
  <c r="S226" i="1"/>
  <c r="N223" i="2" s="1"/>
  <c r="T226" i="1"/>
  <c r="U226" i="1"/>
  <c r="P226" i="1" s="1"/>
  <c r="V226" i="1"/>
  <c r="A227" i="1"/>
  <c r="B227" i="1"/>
  <c r="H227" i="1"/>
  <c r="I227" i="1"/>
  <c r="J227" i="1"/>
  <c r="Q227" i="1" s="1"/>
  <c r="O227" i="1"/>
  <c r="R227" i="1"/>
  <c r="M224" i="2" s="1"/>
  <c r="S227" i="1"/>
  <c r="N224" i="2" s="1"/>
  <c r="T227" i="1"/>
  <c r="U227" i="1"/>
  <c r="P227" i="1" s="1"/>
  <c r="V227" i="1"/>
  <c r="A228" i="1"/>
  <c r="B228" i="1"/>
  <c r="H228" i="1"/>
  <c r="I228" i="1"/>
  <c r="J228" i="1"/>
  <c r="Q228" i="1" s="1"/>
  <c r="O228" i="1"/>
  <c r="R228" i="1"/>
  <c r="M225" i="2" s="1"/>
  <c r="S228" i="1"/>
  <c r="N225" i="2" s="1"/>
  <c r="T228" i="1"/>
  <c r="U228" i="1"/>
  <c r="P228" i="1" s="1"/>
  <c r="V228" i="1"/>
  <c r="A229" i="1"/>
  <c r="B229" i="1"/>
  <c r="H229" i="1"/>
  <c r="I229" i="1"/>
  <c r="J229" i="1"/>
  <c r="O229" i="1"/>
  <c r="R229" i="1"/>
  <c r="M226" i="2" s="1"/>
  <c r="S229" i="1"/>
  <c r="N226" i="2" s="1"/>
  <c r="T229" i="1"/>
  <c r="U229" i="1"/>
  <c r="P229" i="1" s="1"/>
  <c r="V229" i="1"/>
  <c r="A230" i="1"/>
  <c r="B230" i="1"/>
  <c r="H230" i="1"/>
  <c r="I230" i="1"/>
  <c r="J230" i="1"/>
  <c r="O230" i="1"/>
  <c r="R230" i="1"/>
  <c r="M227" i="2" s="1"/>
  <c r="S230" i="1"/>
  <c r="N227" i="2" s="1"/>
  <c r="T230" i="1"/>
  <c r="U230" i="1"/>
  <c r="P230" i="1" s="1"/>
  <c r="V230" i="1"/>
  <c r="A231" i="1"/>
  <c r="B231" i="1"/>
  <c r="H231" i="1"/>
  <c r="I231" i="1"/>
  <c r="J231" i="1"/>
  <c r="O231" i="1"/>
  <c r="R231" i="1"/>
  <c r="M228" i="2" s="1"/>
  <c r="S231" i="1"/>
  <c r="N228" i="2" s="1"/>
  <c r="T231" i="1"/>
  <c r="U231" i="1"/>
  <c r="P231" i="1" s="1"/>
  <c r="V231" i="1"/>
  <c r="A232" i="1"/>
  <c r="B232" i="1"/>
  <c r="H232" i="1"/>
  <c r="I232" i="1"/>
  <c r="J232" i="1"/>
  <c r="Q232" i="1" s="1"/>
  <c r="O232" i="1"/>
  <c r="R232" i="1"/>
  <c r="M229" i="2" s="1"/>
  <c r="S232" i="1"/>
  <c r="N229" i="2" s="1"/>
  <c r="T232" i="1"/>
  <c r="U232" i="1"/>
  <c r="P232" i="1" s="1"/>
  <c r="V232" i="1"/>
  <c r="A233" i="1"/>
  <c r="B233" i="1"/>
  <c r="H233" i="1"/>
  <c r="I233" i="1"/>
  <c r="J233" i="1"/>
  <c r="O233" i="1"/>
  <c r="R233" i="1"/>
  <c r="M230" i="2" s="1"/>
  <c r="S233" i="1"/>
  <c r="N230" i="2" s="1"/>
  <c r="T233" i="1"/>
  <c r="U233" i="1"/>
  <c r="P233" i="1" s="1"/>
  <c r="V233" i="1"/>
  <c r="A234" i="1"/>
  <c r="B234" i="1"/>
  <c r="H234" i="1"/>
  <c r="I234" i="1"/>
  <c r="J234" i="1"/>
  <c r="O234" i="1"/>
  <c r="R234" i="1"/>
  <c r="M231" i="2" s="1"/>
  <c r="S234" i="1"/>
  <c r="N231" i="2" s="1"/>
  <c r="T234" i="1"/>
  <c r="U234" i="1"/>
  <c r="P234" i="1" s="1"/>
  <c r="V234" i="1"/>
  <c r="A235" i="1"/>
  <c r="B235" i="1"/>
  <c r="H235" i="1"/>
  <c r="I235" i="1"/>
  <c r="J235" i="1"/>
  <c r="O235" i="1"/>
  <c r="R235" i="1"/>
  <c r="M232" i="2" s="1"/>
  <c r="S235" i="1"/>
  <c r="N232" i="2" s="1"/>
  <c r="T235" i="1"/>
  <c r="U235" i="1"/>
  <c r="P235" i="1" s="1"/>
  <c r="V235" i="1"/>
  <c r="A236" i="1"/>
  <c r="B236" i="1"/>
  <c r="H236" i="1"/>
  <c r="I236" i="1"/>
  <c r="J236" i="1"/>
  <c r="O236" i="1"/>
  <c r="R236" i="1"/>
  <c r="M233" i="2" s="1"/>
  <c r="S236" i="1"/>
  <c r="N233" i="2" s="1"/>
  <c r="T236" i="1"/>
  <c r="U236" i="1"/>
  <c r="P236" i="1" s="1"/>
  <c r="V236" i="1"/>
  <c r="A237" i="1"/>
  <c r="B237" i="1"/>
  <c r="H237" i="1"/>
  <c r="I237" i="1"/>
  <c r="J237" i="1"/>
  <c r="O237" i="1"/>
  <c r="R237" i="1"/>
  <c r="M234" i="2" s="1"/>
  <c r="S237" i="1"/>
  <c r="N234" i="2" s="1"/>
  <c r="T237" i="1"/>
  <c r="U237" i="1"/>
  <c r="P237" i="1" s="1"/>
  <c r="V237" i="1"/>
  <c r="A238" i="1"/>
  <c r="B238" i="1"/>
  <c r="H238" i="1"/>
  <c r="I238" i="1"/>
  <c r="J238" i="1"/>
  <c r="O238" i="1"/>
  <c r="R238" i="1"/>
  <c r="M235" i="2" s="1"/>
  <c r="S238" i="1"/>
  <c r="N235" i="2" s="1"/>
  <c r="T238" i="1"/>
  <c r="U238" i="1"/>
  <c r="P238" i="1" s="1"/>
  <c r="V238" i="1"/>
  <c r="A239" i="1"/>
  <c r="B239" i="1"/>
  <c r="H239" i="1"/>
  <c r="I239" i="1"/>
  <c r="J239" i="1"/>
  <c r="Q239" i="1" s="1"/>
  <c r="O239" i="1"/>
  <c r="R239" i="1"/>
  <c r="M236" i="2" s="1"/>
  <c r="S239" i="1"/>
  <c r="N236" i="2" s="1"/>
  <c r="T239" i="1"/>
  <c r="U239" i="1"/>
  <c r="P239" i="1" s="1"/>
  <c r="V239" i="1"/>
  <c r="A240" i="1"/>
  <c r="B240" i="1"/>
  <c r="H240" i="1"/>
  <c r="I240" i="1"/>
  <c r="J240" i="1"/>
  <c r="Q240" i="1" s="1"/>
  <c r="O240" i="1"/>
  <c r="R240" i="1"/>
  <c r="M237" i="2" s="1"/>
  <c r="S240" i="1"/>
  <c r="N237" i="2" s="1"/>
  <c r="T240" i="1"/>
  <c r="U240" i="1"/>
  <c r="P240" i="1" s="1"/>
  <c r="V240" i="1"/>
  <c r="A241" i="1"/>
  <c r="B241" i="1"/>
  <c r="H241" i="1"/>
  <c r="I241" i="1"/>
  <c r="J241" i="1"/>
  <c r="O241" i="1"/>
  <c r="R241" i="1"/>
  <c r="M238" i="2" s="1"/>
  <c r="S241" i="1"/>
  <c r="N238" i="2" s="1"/>
  <c r="T241" i="1"/>
  <c r="U241" i="1"/>
  <c r="P241" i="1" s="1"/>
  <c r="V241" i="1"/>
  <c r="A242" i="1"/>
  <c r="B242" i="1"/>
  <c r="H242" i="1"/>
  <c r="I242" i="1"/>
  <c r="J242" i="1"/>
  <c r="O242" i="1"/>
  <c r="R242" i="1"/>
  <c r="M239" i="2" s="1"/>
  <c r="S242" i="1"/>
  <c r="N239" i="2" s="1"/>
  <c r="T242" i="1"/>
  <c r="U242" i="1"/>
  <c r="P242" i="1" s="1"/>
  <c r="V242" i="1"/>
  <c r="A243" i="1"/>
  <c r="B243" i="1"/>
  <c r="H243" i="1"/>
  <c r="I243" i="1"/>
  <c r="J243" i="1"/>
  <c r="O243" i="1"/>
  <c r="R243" i="1"/>
  <c r="M240" i="2" s="1"/>
  <c r="S243" i="1"/>
  <c r="N240" i="2" s="1"/>
  <c r="T243" i="1"/>
  <c r="U243" i="1"/>
  <c r="P243" i="1" s="1"/>
  <c r="V243" i="1"/>
  <c r="A244" i="1"/>
  <c r="B244" i="1"/>
  <c r="H244" i="1"/>
  <c r="I244" i="1"/>
  <c r="J244" i="1"/>
  <c r="Q244" i="1" s="1"/>
  <c r="O244" i="1"/>
  <c r="R244" i="1"/>
  <c r="M241" i="2" s="1"/>
  <c r="S244" i="1"/>
  <c r="N241" i="2" s="1"/>
  <c r="T244" i="1"/>
  <c r="U244" i="1"/>
  <c r="P244" i="1" s="1"/>
  <c r="V244" i="1"/>
  <c r="A245" i="1"/>
  <c r="B245" i="1"/>
  <c r="H245" i="1"/>
  <c r="I245" i="1"/>
  <c r="J245" i="1"/>
  <c r="O245" i="1"/>
  <c r="R245" i="1"/>
  <c r="M242" i="2" s="1"/>
  <c r="S245" i="1"/>
  <c r="N242" i="2" s="1"/>
  <c r="T245" i="1"/>
  <c r="U245" i="1"/>
  <c r="P245" i="1" s="1"/>
  <c r="V245" i="1"/>
  <c r="A246" i="1"/>
  <c r="B246" i="1"/>
  <c r="H246" i="1"/>
  <c r="I246" i="1"/>
  <c r="J246" i="1"/>
  <c r="O246" i="1"/>
  <c r="R246" i="1"/>
  <c r="M243" i="2" s="1"/>
  <c r="S246" i="1"/>
  <c r="N243" i="2" s="1"/>
  <c r="T246" i="1"/>
  <c r="U246" i="1"/>
  <c r="P246" i="1" s="1"/>
  <c r="V246" i="1"/>
  <c r="A247" i="1"/>
  <c r="B247" i="1"/>
  <c r="H247" i="1"/>
  <c r="I247" i="1"/>
  <c r="J247" i="1"/>
  <c r="O247" i="1"/>
  <c r="R247" i="1"/>
  <c r="M244" i="2" s="1"/>
  <c r="S247" i="1"/>
  <c r="N244" i="2" s="1"/>
  <c r="T247" i="1"/>
  <c r="U247" i="1"/>
  <c r="P247" i="1" s="1"/>
  <c r="V247" i="1"/>
  <c r="A248" i="1"/>
  <c r="B248" i="1"/>
  <c r="H248" i="1"/>
  <c r="I248" i="1"/>
  <c r="J248" i="1"/>
  <c r="O248" i="1"/>
  <c r="R248" i="1"/>
  <c r="M245" i="2" s="1"/>
  <c r="S248" i="1"/>
  <c r="N245" i="2" s="1"/>
  <c r="T248" i="1"/>
  <c r="U248" i="1"/>
  <c r="P248" i="1" s="1"/>
  <c r="V248" i="1"/>
  <c r="A249" i="1"/>
  <c r="B249" i="1"/>
  <c r="H249" i="1"/>
  <c r="I249" i="1"/>
  <c r="J249" i="1"/>
  <c r="O249" i="1"/>
  <c r="R249" i="1"/>
  <c r="M246" i="2" s="1"/>
  <c r="S249" i="1"/>
  <c r="N246" i="2" s="1"/>
  <c r="T249" i="1"/>
  <c r="U249" i="1"/>
  <c r="P249" i="1" s="1"/>
  <c r="V249" i="1"/>
  <c r="A250" i="1"/>
  <c r="B250" i="1"/>
  <c r="H250" i="1"/>
  <c r="I250" i="1"/>
  <c r="J250" i="1"/>
  <c r="O250" i="1"/>
  <c r="R250" i="1"/>
  <c r="M247" i="2" s="1"/>
  <c r="S250" i="1"/>
  <c r="N247" i="2" s="1"/>
  <c r="T250" i="1"/>
  <c r="U250" i="1"/>
  <c r="P250" i="1" s="1"/>
  <c r="V250" i="1"/>
  <c r="A251" i="1"/>
  <c r="B251" i="1"/>
  <c r="H251" i="1"/>
  <c r="I251" i="1"/>
  <c r="J251" i="1"/>
  <c r="O251" i="1"/>
  <c r="R251" i="1"/>
  <c r="M248" i="2" s="1"/>
  <c r="S251" i="1"/>
  <c r="N248" i="2" s="1"/>
  <c r="T251" i="1"/>
  <c r="U251" i="1"/>
  <c r="P251" i="1" s="1"/>
  <c r="V251" i="1"/>
  <c r="A252" i="1"/>
  <c r="B252" i="1"/>
  <c r="H252" i="1"/>
  <c r="I252" i="1"/>
  <c r="J252" i="1"/>
  <c r="Q252" i="1" s="1"/>
  <c r="O252" i="1"/>
  <c r="R252" i="1"/>
  <c r="M249" i="2" s="1"/>
  <c r="S252" i="1"/>
  <c r="N249" i="2" s="1"/>
  <c r="T252" i="1"/>
  <c r="U252" i="1"/>
  <c r="P252" i="1" s="1"/>
  <c r="V252" i="1"/>
  <c r="A253" i="1"/>
  <c r="B253" i="1"/>
  <c r="H253" i="1"/>
  <c r="I253" i="1"/>
  <c r="J253" i="1"/>
  <c r="O253" i="1"/>
  <c r="R253" i="1"/>
  <c r="M250" i="2" s="1"/>
  <c r="S253" i="1"/>
  <c r="N250" i="2" s="1"/>
  <c r="T253" i="1"/>
  <c r="U253" i="1"/>
  <c r="P253" i="1" s="1"/>
  <c r="V253" i="1"/>
  <c r="A254" i="1"/>
  <c r="B254" i="1"/>
  <c r="H254" i="1"/>
  <c r="I254" i="1"/>
  <c r="J254" i="1"/>
  <c r="O254" i="1"/>
  <c r="R254" i="1"/>
  <c r="M251" i="2" s="1"/>
  <c r="S254" i="1"/>
  <c r="N251" i="2" s="1"/>
  <c r="T254" i="1"/>
  <c r="U254" i="1"/>
  <c r="P254" i="1" s="1"/>
  <c r="V254" i="1"/>
  <c r="A255" i="1"/>
  <c r="B255" i="1"/>
  <c r="H255" i="1"/>
  <c r="I255" i="1"/>
  <c r="J255" i="1"/>
  <c r="O255" i="1"/>
  <c r="R255" i="1"/>
  <c r="M252" i="2" s="1"/>
  <c r="S255" i="1"/>
  <c r="N252" i="2" s="1"/>
  <c r="T255" i="1"/>
  <c r="U255" i="1"/>
  <c r="P255" i="1" s="1"/>
  <c r="V255" i="1"/>
  <c r="A256" i="1"/>
  <c r="B256" i="1"/>
  <c r="H256" i="1"/>
  <c r="I256" i="1"/>
  <c r="J256" i="1"/>
  <c r="Q256" i="1" s="1"/>
  <c r="O256" i="1"/>
  <c r="R256" i="1"/>
  <c r="M253" i="2" s="1"/>
  <c r="S256" i="1"/>
  <c r="N253" i="2" s="1"/>
  <c r="T256" i="1"/>
  <c r="U256" i="1"/>
  <c r="P256" i="1" s="1"/>
  <c r="V256" i="1"/>
  <c r="A257" i="1"/>
  <c r="B257" i="1"/>
  <c r="H257" i="1"/>
  <c r="I257" i="1"/>
  <c r="J257" i="1"/>
  <c r="Q257" i="1" s="1"/>
  <c r="O257" i="1"/>
  <c r="R257" i="1"/>
  <c r="M254" i="2" s="1"/>
  <c r="S257" i="1"/>
  <c r="N254" i="2" s="1"/>
  <c r="T257" i="1"/>
  <c r="U257" i="1"/>
  <c r="P257" i="1" s="1"/>
  <c r="V257" i="1"/>
  <c r="A258" i="1"/>
  <c r="B258" i="1"/>
  <c r="H258" i="1"/>
  <c r="I258" i="1"/>
  <c r="J258" i="1"/>
  <c r="O258" i="1"/>
  <c r="R258" i="1"/>
  <c r="M255" i="2" s="1"/>
  <c r="S258" i="1"/>
  <c r="N255" i="2" s="1"/>
  <c r="T258" i="1"/>
  <c r="U258" i="1"/>
  <c r="P258" i="1" s="1"/>
  <c r="V258" i="1"/>
  <c r="A259" i="1"/>
  <c r="B259" i="1"/>
  <c r="H259" i="1"/>
  <c r="I259" i="1"/>
  <c r="J259" i="1"/>
  <c r="O259" i="1"/>
  <c r="R259" i="1"/>
  <c r="M256" i="2" s="1"/>
  <c r="S259" i="1"/>
  <c r="N256" i="2" s="1"/>
  <c r="T259" i="1"/>
  <c r="U259" i="1"/>
  <c r="P259" i="1" s="1"/>
  <c r="V259" i="1"/>
  <c r="A260" i="1"/>
  <c r="B260" i="1"/>
  <c r="H260" i="1"/>
  <c r="I260" i="1"/>
  <c r="J260" i="1"/>
  <c r="O260" i="1"/>
  <c r="R260" i="1"/>
  <c r="M257" i="2" s="1"/>
  <c r="S260" i="1"/>
  <c r="N257" i="2" s="1"/>
  <c r="T260" i="1"/>
  <c r="U260" i="1"/>
  <c r="P260" i="1" s="1"/>
  <c r="V260" i="1"/>
  <c r="A261" i="1"/>
  <c r="B261" i="1"/>
  <c r="H261" i="1"/>
  <c r="I261" i="1"/>
  <c r="J261" i="1"/>
  <c r="O261" i="1"/>
  <c r="R261" i="1"/>
  <c r="M258" i="2" s="1"/>
  <c r="S261" i="1"/>
  <c r="N258" i="2" s="1"/>
  <c r="T261" i="1"/>
  <c r="U261" i="1"/>
  <c r="P261" i="1" s="1"/>
  <c r="V261" i="1"/>
  <c r="A262" i="1"/>
  <c r="B262" i="1"/>
  <c r="H262" i="1"/>
  <c r="I262" i="1"/>
  <c r="J262" i="1"/>
  <c r="O262" i="1"/>
  <c r="R262" i="1"/>
  <c r="M259" i="2" s="1"/>
  <c r="S262" i="1"/>
  <c r="N259" i="2" s="1"/>
  <c r="T262" i="1"/>
  <c r="U262" i="1"/>
  <c r="P262" i="1" s="1"/>
  <c r="V262" i="1"/>
  <c r="A263" i="1"/>
  <c r="B263" i="1"/>
  <c r="H263" i="1"/>
  <c r="I263" i="1"/>
  <c r="J263" i="1"/>
  <c r="Q263" i="1" s="1"/>
  <c r="O263" i="1"/>
  <c r="R263" i="1"/>
  <c r="M260" i="2" s="1"/>
  <c r="S263" i="1"/>
  <c r="N260" i="2" s="1"/>
  <c r="T263" i="1"/>
  <c r="U263" i="1"/>
  <c r="P263" i="1" s="1"/>
  <c r="V263" i="1"/>
  <c r="A264" i="1"/>
  <c r="B264" i="1"/>
  <c r="H264" i="1"/>
  <c r="I264" i="1"/>
  <c r="J264" i="1"/>
  <c r="Q264" i="1" s="1"/>
  <c r="O264" i="1"/>
  <c r="R264" i="1"/>
  <c r="M261" i="2" s="1"/>
  <c r="S264" i="1"/>
  <c r="N261" i="2" s="1"/>
  <c r="T264" i="1"/>
  <c r="U264" i="1"/>
  <c r="P264" i="1" s="1"/>
  <c r="V264" i="1"/>
  <c r="A265" i="1"/>
  <c r="B265" i="1"/>
  <c r="H265" i="1"/>
  <c r="I265" i="1"/>
  <c r="J265" i="1"/>
  <c r="O265" i="1"/>
  <c r="R265" i="1"/>
  <c r="M262" i="2" s="1"/>
  <c r="S265" i="1"/>
  <c r="N262" i="2" s="1"/>
  <c r="T265" i="1"/>
  <c r="U265" i="1"/>
  <c r="P265" i="1" s="1"/>
  <c r="V265" i="1"/>
  <c r="A266" i="1"/>
  <c r="B266" i="1"/>
  <c r="H266" i="1"/>
  <c r="I266" i="1"/>
  <c r="J266" i="1"/>
  <c r="O266" i="1"/>
  <c r="R266" i="1"/>
  <c r="M263" i="2" s="1"/>
  <c r="S266" i="1"/>
  <c r="N263" i="2" s="1"/>
  <c r="T266" i="1"/>
  <c r="U266" i="1"/>
  <c r="P266" i="1" s="1"/>
  <c r="V266" i="1"/>
  <c r="A267" i="1"/>
  <c r="B267" i="1"/>
  <c r="H267" i="1"/>
  <c r="I267" i="1"/>
  <c r="J267" i="1"/>
  <c r="O267" i="1"/>
  <c r="R267" i="1"/>
  <c r="M264" i="2" s="1"/>
  <c r="S267" i="1"/>
  <c r="N264" i="2" s="1"/>
  <c r="T267" i="1"/>
  <c r="U267" i="1"/>
  <c r="P267" i="1" s="1"/>
  <c r="V267" i="1"/>
  <c r="A268" i="1"/>
  <c r="B268" i="1"/>
  <c r="H268" i="1"/>
  <c r="I268" i="1"/>
  <c r="J268" i="1"/>
  <c r="Q268" i="1" s="1"/>
  <c r="O268" i="1"/>
  <c r="R268" i="1"/>
  <c r="M265" i="2" s="1"/>
  <c r="S268" i="1"/>
  <c r="N265" i="2" s="1"/>
  <c r="T268" i="1"/>
  <c r="U268" i="1"/>
  <c r="P268" i="1" s="1"/>
  <c r="V268" i="1"/>
  <c r="A269" i="1"/>
  <c r="B269" i="1"/>
  <c r="H269" i="1"/>
  <c r="I269" i="1"/>
  <c r="J269" i="1"/>
  <c r="Q269" i="1" s="1"/>
  <c r="O269" i="1"/>
  <c r="R269" i="1"/>
  <c r="M266" i="2" s="1"/>
  <c r="S269" i="1"/>
  <c r="N266" i="2" s="1"/>
  <c r="T269" i="1"/>
  <c r="U269" i="1"/>
  <c r="P269" i="1" s="1"/>
  <c r="V269" i="1"/>
  <c r="A270" i="1"/>
  <c r="B270" i="1"/>
  <c r="H270" i="1"/>
  <c r="I270" i="1"/>
  <c r="J270" i="1"/>
  <c r="O270" i="1"/>
  <c r="R270" i="1"/>
  <c r="M267" i="2" s="1"/>
  <c r="S270" i="1"/>
  <c r="N267" i="2" s="1"/>
  <c r="T270" i="1"/>
  <c r="U270" i="1"/>
  <c r="P270" i="1" s="1"/>
  <c r="V270" i="1"/>
  <c r="A271" i="1"/>
  <c r="B271" i="1"/>
  <c r="H271" i="1"/>
  <c r="I271" i="1"/>
  <c r="J271" i="1"/>
  <c r="O271" i="1"/>
  <c r="R271" i="1"/>
  <c r="M268" i="2" s="1"/>
  <c r="S271" i="1"/>
  <c r="N268" i="2" s="1"/>
  <c r="T271" i="1"/>
  <c r="U271" i="1"/>
  <c r="P271" i="1" s="1"/>
  <c r="V271" i="1"/>
  <c r="A272" i="1"/>
  <c r="B272" i="1"/>
  <c r="H272" i="1"/>
  <c r="I272" i="1"/>
  <c r="J272" i="1"/>
  <c r="O272" i="1"/>
  <c r="R272" i="1"/>
  <c r="M269" i="2" s="1"/>
  <c r="S272" i="1"/>
  <c r="N269" i="2" s="1"/>
  <c r="T272" i="1"/>
  <c r="U272" i="1"/>
  <c r="P272" i="1" s="1"/>
  <c r="V272" i="1"/>
  <c r="A273" i="1"/>
  <c r="B273" i="1"/>
  <c r="H273" i="1"/>
  <c r="I273" i="1"/>
  <c r="J273" i="1"/>
  <c r="O273" i="1"/>
  <c r="R273" i="1"/>
  <c r="M270" i="2" s="1"/>
  <c r="S273" i="1"/>
  <c r="N270" i="2" s="1"/>
  <c r="T273" i="1"/>
  <c r="U273" i="1"/>
  <c r="P273" i="1" s="1"/>
  <c r="V273" i="1"/>
  <c r="A274" i="1"/>
  <c r="B274" i="1"/>
  <c r="H274" i="1"/>
  <c r="I274" i="1"/>
  <c r="J274" i="1"/>
  <c r="Q274" i="1" s="1"/>
  <c r="O274" i="1"/>
  <c r="R274" i="1"/>
  <c r="M271" i="2" s="1"/>
  <c r="S274" i="1"/>
  <c r="N271" i="2" s="1"/>
  <c r="T274" i="1"/>
  <c r="U274" i="1"/>
  <c r="P274" i="1" s="1"/>
  <c r="V274" i="1"/>
  <c r="A275" i="1"/>
  <c r="B275" i="1"/>
  <c r="H275" i="1"/>
  <c r="I275" i="1"/>
  <c r="J275" i="1"/>
  <c r="Q275" i="1" s="1"/>
  <c r="O275" i="1"/>
  <c r="R275" i="1"/>
  <c r="M272" i="2" s="1"/>
  <c r="S275" i="1"/>
  <c r="N272" i="2" s="1"/>
  <c r="T275" i="1"/>
  <c r="U275" i="1"/>
  <c r="P275" i="1" s="1"/>
  <c r="V275" i="1"/>
  <c r="A276" i="1"/>
  <c r="B276" i="1"/>
  <c r="H276" i="1"/>
  <c r="I276" i="1"/>
  <c r="J276" i="1"/>
  <c r="Q276" i="1" s="1"/>
  <c r="O276" i="1"/>
  <c r="R276" i="1"/>
  <c r="M273" i="2" s="1"/>
  <c r="S276" i="1"/>
  <c r="N273" i="2" s="1"/>
  <c r="T276" i="1"/>
  <c r="U276" i="1"/>
  <c r="P276" i="1" s="1"/>
  <c r="V276" i="1"/>
  <c r="A277" i="1"/>
  <c r="B277" i="1"/>
  <c r="H277" i="1"/>
  <c r="I277" i="1"/>
  <c r="J277" i="1"/>
  <c r="O277" i="1"/>
  <c r="R277" i="1"/>
  <c r="M274" i="2" s="1"/>
  <c r="S277" i="1"/>
  <c r="N274" i="2" s="1"/>
  <c r="T277" i="1"/>
  <c r="U277" i="1"/>
  <c r="P277" i="1" s="1"/>
  <c r="V277" i="1"/>
  <c r="A278" i="1"/>
  <c r="B278" i="1"/>
  <c r="H278" i="1"/>
  <c r="I278" i="1"/>
  <c r="J278" i="1"/>
  <c r="O278" i="1"/>
  <c r="R278" i="1"/>
  <c r="M275" i="2" s="1"/>
  <c r="S278" i="1"/>
  <c r="N275" i="2" s="1"/>
  <c r="T278" i="1"/>
  <c r="U278" i="1"/>
  <c r="P278" i="1" s="1"/>
  <c r="V278" i="1"/>
  <c r="A279" i="1"/>
  <c r="B279" i="1"/>
  <c r="H279" i="1"/>
  <c r="I279" i="1"/>
  <c r="J279" i="1"/>
  <c r="O279" i="1"/>
  <c r="R279" i="1"/>
  <c r="M276" i="2" s="1"/>
  <c r="S279" i="1"/>
  <c r="N276" i="2" s="1"/>
  <c r="T279" i="1"/>
  <c r="U279" i="1"/>
  <c r="P279" i="1" s="1"/>
  <c r="V279" i="1"/>
  <c r="A280" i="1"/>
  <c r="B280" i="1"/>
  <c r="H280" i="1"/>
  <c r="I280" i="1"/>
  <c r="J280" i="1"/>
  <c r="Q280" i="1" s="1"/>
  <c r="O280" i="1"/>
  <c r="R280" i="1"/>
  <c r="M277" i="2" s="1"/>
  <c r="S280" i="1"/>
  <c r="N277" i="2" s="1"/>
  <c r="T280" i="1"/>
  <c r="U280" i="1"/>
  <c r="P280" i="1" s="1"/>
  <c r="V280" i="1"/>
  <c r="A281" i="1"/>
  <c r="B281" i="1"/>
  <c r="H281" i="1"/>
  <c r="I281" i="1"/>
  <c r="J281" i="1"/>
  <c r="Q281" i="1" s="1"/>
  <c r="O281" i="1"/>
  <c r="R281" i="1"/>
  <c r="M278" i="2" s="1"/>
  <c r="S281" i="1"/>
  <c r="N278" i="2" s="1"/>
  <c r="T281" i="1"/>
  <c r="U281" i="1"/>
  <c r="P281" i="1" s="1"/>
  <c r="V281" i="1"/>
  <c r="A282" i="1"/>
  <c r="B282" i="1"/>
  <c r="H282" i="1"/>
  <c r="I282" i="1"/>
  <c r="J282" i="1"/>
  <c r="O282" i="1"/>
  <c r="R282" i="1"/>
  <c r="M279" i="2" s="1"/>
  <c r="S282" i="1"/>
  <c r="N279" i="2" s="1"/>
  <c r="T282" i="1"/>
  <c r="U282" i="1"/>
  <c r="P282" i="1" s="1"/>
  <c r="V282" i="1"/>
  <c r="A283" i="1"/>
  <c r="B283" i="1"/>
  <c r="H283" i="1"/>
  <c r="I283" i="1"/>
  <c r="J283" i="1"/>
  <c r="O283" i="1"/>
  <c r="R283" i="1"/>
  <c r="M280" i="2" s="1"/>
  <c r="S283" i="1"/>
  <c r="N280" i="2" s="1"/>
  <c r="T283" i="1"/>
  <c r="U283" i="1"/>
  <c r="P283" i="1" s="1"/>
  <c r="V283" i="1"/>
  <c r="A284" i="1"/>
  <c r="B284" i="1"/>
  <c r="H284" i="1"/>
  <c r="I284" i="1"/>
  <c r="J284" i="1"/>
  <c r="O284" i="1"/>
  <c r="R284" i="1"/>
  <c r="M281" i="2" s="1"/>
  <c r="S284" i="1"/>
  <c r="N281" i="2" s="1"/>
  <c r="T284" i="1"/>
  <c r="U284" i="1"/>
  <c r="P284" i="1" s="1"/>
  <c r="V284" i="1"/>
  <c r="A285" i="1"/>
  <c r="B285" i="1"/>
  <c r="H285" i="1"/>
  <c r="I285" i="1"/>
  <c r="J285" i="1"/>
  <c r="O285" i="1"/>
  <c r="R285" i="1"/>
  <c r="M282" i="2" s="1"/>
  <c r="S285" i="1"/>
  <c r="N282" i="2" s="1"/>
  <c r="T285" i="1"/>
  <c r="U285" i="1"/>
  <c r="P285" i="1" s="1"/>
  <c r="V285" i="1"/>
  <c r="A286" i="1"/>
  <c r="B286" i="1"/>
  <c r="H286" i="1"/>
  <c r="I286" i="1"/>
  <c r="J286" i="1"/>
  <c r="Q286" i="1" s="1"/>
  <c r="O286" i="1"/>
  <c r="R286" i="1"/>
  <c r="M283" i="2" s="1"/>
  <c r="S286" i="1"/>
  <c r="N283" i="2" s="1"/>
  <c r="T286" i="1"/>
  <c r="U286" i="1"/>
  <c r="P286" i="1" s="1"/>
  <c r="V286" i="1"/>
  <c r="A287" i="1"/>
  <c r="B287" i="1"/>
  <c r="H287" i="1"/>
  <c r="I287" i="1"/>
  <c r="J287" i="1"/>
  <c r="Q287" i="1" s="1"/>
  <c r="O287" i="1"/>
  <c r="R287" i="1"/>
  <c r="M284" i="2" s="1"/>
  <c r="S287" i="1"/>
  <c r="N284" i="2" s="1"/>
  <c r="T287" i="1"/>
  <c r="U287" i="1"/>
  <c r="P287" i="1" s="1"/>
  <c r="V287" i="1"/>
  <c r="A288" i="1"/>
  <c r="B288" i="1"/>
  <c r="H288" i="1"/>
  <c r="I288" i="1"/>
  <c r="J288" i="1"/>
  <c r="Q288" i="1" s="1"/>
  <c r="O288" i="1"/>
  <c r="R288" i="1"/>
  <c r="M285" i="2" s="1"/>
  <c r="S288" i="1"/>
  <c r="N285" i="2" s="1"/>
  <c r="T288" i="1"/>
  <c r="U288" i="1"/>
  <c r="P288" i="1" s="1"/>
  <c r="V288" i="1"/>
  <c r="A289" i="1"/>
  <c r="B289" i="1"/>
  <c r="H289" i="1"/>
  <c r="I289" i="1"/>
  <c r="J289" i="1"/>
  <c r="O289" i="1"/>
  <c r="R289" i="1"/>
  <c r="M286" i="2" s="1"/>
  <c r="S289" i="1"/>
  <c r="N286" i="2" s="1"/>
  <c r="T289" i="1"/>
  <c r="U289" i="1"/>
  <c r="P289" i="1" s="1"/>
  <c r="V289" i="1"/>
  <c r="A290" i="1"/>
  <c r="B290" i="1"/>
  <c r="H290" i="1"/>
  <c r="I290" i="1"/>
  <c r="J290" i="1"/>
  <c r="O290" i="1"/>
  <c r="R290" i="1"/>
  <c r="M287" i="2" s="1"/>
  <c r="S290" i="1"/>
  <c r="N287" i="2" s="1"/>
  <c r="T290" i="1"/>
  <c r="U290" i="1"/>
  <c r="P290" i="1" s="1"/>
  <c r="V290" i="1"/>
  <c r="A291" i="1"/>
  <c r="B291" i="1"/>
  <c r="H291" i="1"/>
  <c r="I291" i="1"/>
  <c r="J291" i="1"/>
  <c r="Q291" i="1" s="1"/>
  <c r="O291" i="1"/>
  <c r="R291" i="1"/>
  <c r="M288" i="2" s="1"/>
  <c r="S291" i="1"/>
  <c r="N288" i="2" s="1"/>
  <c r="T291" i="1"/>
  <c r="U291" i="1"/>
  <c r="P291" i="1" s="1"/>
  <c r="V291" i="1"/>
  <c r="A292" i="1"/>
  <c r="B292" i="1"/>
  <c r="H292" i="1"/>
  <c r="I292" i="1"/>
  <c r="J292" i="1"/>
  <c r="Q292" i="1" s="1"/>
  <c r="O292" i="1"/>
  <c r="R292" i="1"/>
  <c r="M289" i="2" s="1"/>
  <c r="S292" i="1"/>
  <c r="N289" i="2" s="1"/>
  <c r="T292" i="1"/>
  <c r="U292" i="1"/>
  <c r="P292" i="1" s="1"/>
  <c r="V292" i="1"/>
  <c r="A293" i="1"/>
  <c r="B293" i="1"/>
  <c r="H293" i="1"/>
  <c r="I293" i="1"/>
  <c r="J293" i="1"/>
  <c r="Q293" i="1" s="1"/>
  <c r="O293" i="1"/>
  <c r="R293" i="1"/>
  <c r="M290" i="2" s="1"/>
  <c r="S293" i="1"/>
  <c r="N290" i="2" s="1"/>
  <c r="T293" i="1"/>
  <c r="U293" i="1"/>
  <c r="P293" i="1" s="1"/>
  <c r="V293" i="1"/>
  <c r="A294" i="1"/>
  <c r="B294" i="1"/>
  <c r="H294" i="1"/>
  <c r="I294" i="1"/>
  <c r="J294" i="1"/>
  <c r="O294" i="1"/>
  <c r="R294" i="1"/>
  <c r="M291" i="2" s="1"/>
  <c r="S294" i="1"/>
  <c r="N291" i="2" s="1"/>
  <c r="T294" i="1"/>
  <c r="U294" i="1"/>
  <c r="P294" i="1" s="1"/>
  <c r="V294" i="1"/>
  <c r="A295" i="1"/>
  <c r="B295" i="1"/>
  <c r="H295" i="1"/>
  <c r="I295" i="1"/>
  <c r="J295" i="1"/>
  <c r="O295" i="1"/>
  <c r="R295" i="1"/>
  <c r="M292" i="2" s="1"/>
  <c r="S295" i="1"/>
  <c r="N292" i="2" s="1"/>
  <c r="T295" i="1"/>
  <c r="U295" i="1"/>
  <c r="P295" i="1" s="1"/>
  <c r="V295" i="1"/>
  <c r="A296" i="1"/>
  <c r="B296" i="1"/>
  <c r="H296" i="1"/>
  <c r="I296" i="1"/>
  <c r="J296" i="1"/>
  <c r="O296" i="1"/>
  <c r="R296" i="1"/>
  <c r="M293" i="2" s="1"/>
  <c r="S296" i="1"/>
  <c r="N293" i="2" s="1"/>
  <c r="T296" i="1"/>
  <c r="U296" i="1"/>
  <c r="P296" i="1" s="1"/>
  <c r="V296" i="1"/>
  <c r="A297" i="1"/>
  <c r="B297" i="1"/>
  <c r="H297" i="1"/>
  <c r="I297" i="1"/>
  <c r="J297" i="1"/>
  <c r="O297" i="1"/>
  <c r="R297" i="1"/>
  <c r="M294" i="2" s="1"/>
  <c r="S297" i="1"/>
  <c r="N294" i="2" s="1"/>
  <c r="T297" i="1"/>
  <c r="U297" i="1"/>
  <c r="P297" i="1" s="1"/>
  <c r="V297" i="1"/>
  <c r="A298" i="1"/>
  <c r="B298" i="1"/>
  <c r="H298" i="1"/>
  <c r="I298" i="1"/>
  <c r="J298" i="1"/>
  <c r="Q298" i="1" s="1"/>
  <c r="O298" i="1"/>
  <c r="R298" i="1"/>
  <c r="S298" i="1"/>
  <c r="T298" i="1"/>
  <c r="U298" i="1"/>
  <c r="P298" i="1" s="1"/>
  <c r="V298" i="1"/>
  <c r="A299" i="1"/>
  <c r="B299" i="1"/>
  <c r="H299" i="1"/>
  <c r="I299" i="1"/>
  <c r="J299" i="1"/>
  <c r="Q299" i="1" s="1"/>
  <c r="O299" i="1"/>
  <c r="R299" i="1"/>
  <c r="S299" i="1"/>
  <c r="T299" i="1"/>
  <c r="U299" i="1"/>
  <c r="P299" i="1" s="1"/>
  <c r="V299" i="1"/>
  <c r="A300" i="1"/>
  <c r="B300" i="1"/>
  <c r="H300" i="1"/>
  <c r="I300" i="1"/>
  <c r="J300" i="1"/>
  <c r="Q300" i="1" s="1"/>
  <c r="O300" i="1"/>
  <c r="R300" i="1"/>
  <c r="S300" i="1"/>
  <c r="T300" i="1"/>
  <c r="U300" i="1"/>
  <c r="P300" i="1" s="1"/>
  <c r="V300" i="1"/>
  <c r="A301" i="1"/>
  <c r="B301" i="1"/>
  <c r="H301" i="1"/>
  <c r="I301" i="1"/>
  <c r="J301" i="1"/>
  <c r="O301" i="1"/>
  <c r="R301" i="1"/>
  <c r="S301" i="1"/>
  <c r="T301" i="1"/>
  <c r="U301" i="1"/>
  <c r="P301" i="1" s="1"/>
  <c r="V301" i="1"/>
  <c r="A302" i="1"/>
  <c r="B302" i="1"/>
  <c r="H302" i="1"/>
  <c r="I302" i="1"/>
  <c r="J302" i="1"/>
  <c r="O302" i="1"/>
  <c r="R302" i="1"/>
  <c r="S302" i="1"/>
  <c r="T302" i="1"/>
  <c r="U302" i="1"/>
  <c r="P302" i="1" s="1"/>
  <c r="V302" i="1"/>
  <c r="A303" i="1"/>
  <c r="B303" i="1"/>
  <c r="H303" i="1"/>
  <c r="I303" i="1"/>
  <c r="J303" i="1"/>
  <c r="Q303" i="1" s="1"/>
  <c r="O303" i="1"/>
  <c r="R303" i="1"/>
  <c r="S303" i="1"/>
  <c r="T303" i="1"/>
  <c r="U303" i="1"/>
  <c r="P303" i="1" s="1"/>
  <c r="V303" i="1"/>
  <c r="A304" i="1"/>
  <c r="B304" i="1"/>
  <c r="H304" i="1"/>
  <c r="I304" i="1"/>
  <c r="J304" i="1"/>
  <c r="Q304" i="1" s="1"/>
  <c r="O304" i="1"/>
  <c r="R304" i="1"/>
  <c r="S304" i="1"/>
  <c r="T304" i="1"/>
  <c r="U304" i="1"/>
  <c r="P304" i="1" s="1"/>
  <c r="V304" i="1"/>
  <c r="A305" i="1"/>
  <c r="B305" i="1"/>
  <c r="H305" i="1"/>
  <c r="I305" i="1"/>
  <c r="J305" i="1"/>
  <c r="Q305" i="1" s="1"/>
  <c r="O305" i="1"/>
  <c r="R305" i="1"/>
  <c r="S305" i="1"/>
  <c r="T305" i="1"/>
  <c r="U305" i="1"/>
  <c r="P305" i="1" s="1"/>
  <c r="V305" i="1"/>
  <c r="A306" i="1"/>
  <c r="B306" i="1"/>
  <c r="H306" i="1"/>
  <c r="I306" i="1"/>
  <c r="J306" i="1"/>
  <c r="O306" i="1"/>
  <c r="R306" i="1"/>
  <c r="S306" i="1"/>
  <c r="T306" i="1"/>
  <c r="U306" i="1"/>
  <c r="P306" i="1" s="1"/>
  <c r="V306" i="1"/>
  <c r="A307" i="1"/>
  <c r="B307" i="1"/>
  <c r="H307" i="1"/>
  <c r="I307" i="1"/>
  <c r="J307" i="1"/>
  <c r="O307" i="1"/>
  <c r="R307" i="1"/>
  <c r="S307" i="1"/>
  <c r="T307" i="1"/>
  <c r="U307" i="1"/>
  <c r="P307" i="1" s="1"/>
  <c r="V307" i="1"/>
  <c r="A308" i="1"/>
  <c r="B308" i="1"/>
  <c r="H308" i="1"/>
  <c r="I308" i="1"/>
  <c r="J308" i="1"/>
  <c r="O308" i="1"/>
  <c r="R308" i="1"/>
  <c r="S308" i="1"/>
  <c r="T308" i="1"/>
  <c r="U308" i="1"/>
  <c r="P308" i="1" s="1"/>
  <c r="V308" i="1"/>
  <c r="A309" i="1"/>
  <c r="B309" i="1"/>
  <c r="H309" i="1"/>
  <c r="I309" i="1"/>
  <c r="J309" i="1"/>
  <c r="O309" i="1"/>
  <c r="R309" i="1"/>
  <c r="S309" i="1"/>
  <c r="T309" i="1"/>
  <c r="U309" i="1"/>
  <c r="P309" i="1" s="1"/>
  <c r="V309" i="1"/>
  <c r="A310" i="1"/>
  <c r="B310" i="1"/>
  <c r="H310" i="1"/>
  <c r="I310" i="1"/>
  <c r="J310" i="1"/>
  <c r="Q310" i="1" s="1"/>
  <c r="O310" i="1"/>
  <c r="R310" i="1"/>
  <c r="S310" i="1"/>
  <c r="T310" i="1"/>
  <c r="U310" i="1"/>
  <c r="P310" i="1" s="1"/>
  <c r="V310" i="1"/>
  <c r="A311" i="1"/>
  <c r="B311" i="1"/>
  <c r="H311" i="1"/>
  <c r="I311" i="1"/>
  <c r="J311" i="1"/>
  <c r="Q311" i="1" s="1"/>
  <c r="O311" i="1"/>
  <c r="R311" i="1"/>
  <c r="S311" i="1"/>
  <c r="T311" i="1"/>
  <c r="U311" i="1"/>
  <c r="P311" i="1" s="1"/>
  <c r="V311" i="1"/>
  <c r="A312" i="1"/>
  <c r="B312" i="1"/>
  <c r="H312" i="1"/>
  <c r="I312" i="1"/>
  <c r="J312" i="1"/>
  <c r="Q312" i="1" s="1"/>
  <c r="O312" i="1"/>
  <c r="R312" i="1"/>
  <c r="S312" i="1"/>
  <c r="T312" i="1"/>
  <c r="U312" i="1"/>
  <c r="P312" i="1" s="1"/>
  <c r="V312" i="1"/>
  <c r="A313" i="1"/>
  <c r="B313" i="1"/>
  <c r="H313" i="1"/>
  <c r="I313" i="1"/>
  <c r="J313" i="1"/>
  <c r="O313" i="1"/>
  <c r="R313" i="1"/>
  <c r="S313" i="1"/>
  <c r="T313" i="1"/>
  <c r="U313" i="1"/>
  <c r="P313" i="1" s="1"/>
  <c r="V313" i="1"/>
  <c r="A314" i="1"/>
  <c r="B314" i="1"/>
  <c r="H314" i="1"/>
  <c r="I314" i="1"/>
  <c r="J314" i="1"/>
  <c r="O314" i="1"/>
  <c r="R314" i="1"/>
  <c r="S314" i="1"/>
  <c r="T314" i="1"/>
  <c r="U314" i="1"/>
  <c r="P314" i="1" s="1"/>
  <c r="V314" i="1"/>
  <c r="A315" i="1"/>
  <c r="B315" i="1"/>
  <c r="H315" i="1"/>
  <c r="I315" i="1"/>
  <c r="J315" i="1"/>
  <c r="Q315" i="1" s="1"/>
  <c r="O315" i="1"/>
  <c r="R315" i="1"/>
  <c r="S315" i="1"/>
  <c r="T315" i="1"/>
  <c r="U315" i="1"/>
  <c r="P315" i="1" s="1"/>
  <c r="V315" i="1"/>
  <c r="A316" i="1"/>
  <c r="B316" i="1"/>
  <c r="H316" i="1"/>
  <c r="I316" i="1"/>
  <c r="J316" i="1"/>
  <c r="Q316" i="1" s="1"/>
  <c r="O316" i="1"/>
  <c r="R316" i="1"/>
  <c r="S316" i="1"/>
  <c r="T316" i="1"/>
  <c r="U316" i="1"/>
  <c r="P316" i="1" s="1"/>
  <c r="V316" i="1"/>
  <c r="A317" i="1"/>
  <c r="B317" i="1"/>
  <c r="H317" i="1"/>
  <c r="I317" i="1"/>
  <c r="J317" i="1"/>
  <c r="Q317" i="1" s="1"/>
  <c r="O317" i="1"/>
  <c r="R317" i="1"/>
  <c r="S317" i="1"/>
  <c r="T317" i="1"/>
  <c r="U317" i="1"/>
  <c r="P317" i="1" s="1"/>
  <c r="V317" i="1"/>
  <c r="A318" i="1"/>
  <c r="B318" i="1"/>
  <c r="H318" i="1"/>
  <c r="I318" i="1"/>
  <c r="J318" i="1"/>
  <c r="O318" i="1"/>
  <c r="R318" i="1"/>
  <c r="S318" i="1"/>
  <c r="T318" i="1"/>
  <c r="U318" i="1"/>
  <c r="P318" i="1" s="1"/>
  <c r="V318" i="1"/>
  <c r="A319" i="1"/>
  <c r="B319" i="1"/>
  <c r="H319" i="1"/>
  <c r="I319" i="1"/>
  <c r="J319" i="1"/>
  <c r="O319" i="1"/>
  <c r="R319" i="1"/>
  <c r="S319" i="1"/>
  <c r="T319" i="1"/>
  <c r="U319" i="1"/>
  <c r="P319" i="1" s="1"/>
  <c r="V319" i="1"/>
  <c r="A320" i="1"/>
  <c r="B320" i="1"/>
  <c r="H320" i="1"/>
  <c r="I320" i="1"/>
  <c r="J320" i="1"/>
  <c r="O320" i="1"/>
  <c r="R320" i="1"/>
  <c r="S320" i="1"/>
  <c r="T320" i="1"/>
  <c r="U320" i="1"/>
  <c r="P320" i="1" s="1"/>
  <c r="V320" i="1"/>
  <c r="A321" i="1"/>
  <c r="B321" i="1"/>
  <c r="H321" i="1"/>
  <c r="I321" i="1"/>
  <c r="J321" i="1"/>
  <c r="O321" i="1"/>
  <c r="R321" i="1"/>
  <c r="S321" i="1"/>
  <c r="T321" i="1"/>
  <c r="U321" i="1"/>
  <c r="P321" i="1" s="1"/>
  <c r="V321" i="1"/>
  <c r="A322" i="1"/>
  <c r="B322" i="1"/>
  <c r="H322" i="1"/>
  <c r="I322" i="1"/>
  <c r="J322" i="1"/>
  <c r="Q322" i="1" s="1"/>
  <c r="O322" i="1"/>
  <c r="R322" i="1"/>
  <c r="S322" i="1"/>
  <c r="T322" i="1"/>
  <c r="U322" i="1"/>
  <c r="P322" i="1" s="1"/>
  <c r="V322" i="1"/>
  <c r="A323" i="1"/>
  <c r="B323" i="1"/>
  <c r="H323" i="1"/>
  <c r="I323" i="1"/>
  <c r="J323" i="1"/>
  <c r="Q323" i="1" s="1"/>
  <c r="O323" i="1"/>
  <c r="R323" i="1"/>
  <c r="S323" i="1"/>
  <c r="T323" i="1"/>
  <c r="U323" i="1"/>
  <c r="P323" i="1" s="1"/>
  <c r="V323" i="1"/>
  <c r="A324" i="1"/>
  <c r="B324" i="1"/>
  <c r="H324" i="1"/>
  <c r="I324" i="1"/>
  <c r="J324" i="1"/>
  <c r="Q324" i="1" s="1"/>
  <c r="O324" i="1"/>
  <c r="R324" i="1"/>
  <c r="S324" i="1"/>
  <c r="T324" i="1"/>
  <c r="U324" i="1"/>
  <c r="P324" i="1" s="1"/>
  <c r="V324" i="1"/>
  <c r="A325" i="1"/>
  <c r="B325" i="1"/>
  <c r="H325" i="1"/>
  <c r="I325" i="1"/>
  <c r="J325" i="1"/>
  <c r="O325" i="1"/>
  <c r="R325" i="1"/>
  <c r="S325" i="1"/>
  <c r="T325" i="1"/>
  <c r="U325" i="1"/>
  <c r="P325" i="1" s="1"/>
  <c r="V325" i="1"/>
  <c r="A326" i="1"/>
  <c r="B326" i="1"/>
  <c r="H326" i="1"/>
  <c r="I326" i="1"/>
  <c r="J326" i="1"/>
  <c r="O326" i="1"/>
  <c r="R326" i="1"/>
  <c r="S326" i="1"/>
  <c r="T326" i="1"/>
  <c r="U326" i="1"/>
  <c r="P326" i="1" s="1"/>
  <c r="V326" i="1"/>
  <c r="A327" i="1"/>
  <c r="B327" i="1"/>
  <c r="H327" i="1"/>
  <c r="I327" i="1"/>
  <c r="J327" i="1"/>
  <c r="Q327" i="1" s="1"/>
  <c r="O327" i="1"/>
  <c r="R327" i="1"/>
  <c r="S327" i="1"/>
  <c r="T327" i="1"/>
  <c r="U327" i="1"/>
  <c r="P327" i="1" s="1"/>
  <c r="V327" i="1"/>
  <c r="A328" i="1"/>
  <c r="B328" i="1"/>
  <c r="H328" i="1"/>
  <c r="I328" i="1"/>
  <c r="J328" i="1"/>
  <c r="Q328" i="1" s="1"/>
  <c r="O328" i="1"/>
  <c r="R328" i="1"/>
  <c r="S328" i="1"/>
  <c r="T328" i="1"/>
  <c r="U328" i="1"/>
  <c r="P328" i="1" s="1"/>
  <c r="V328" i="1"/>
  <c r="A329" i="1"/>
  <c r="B329" i="1"/>
  <c r="H329" i="1"/>
  <c r="I329" i="1"/>
  <c r="J329" i="1"/>
  <c r="Q329" i="1" s="1"/>
  <c r="O329" i="1"/>
  <c r="R329" i="1"/>
  <c r="S329" i="1"/>
  <c r="T329" i="1"/>
  <c r="U329" i="1"/>
  <c r="P329" i="1" s="1"/>
  <c r="V329" i="1"/>
  <c r="A330" i="1"/>
  <c r="B330" i="1"/>
  <c r="H330" i="1"/>
  <c r="I330" i="1"/>
  <c r="J330" i="1"/>
  <c r="O330" i="1"/>
  <c r="R330" i="1"/>
  <c r="S330" i="1"/>
  <c r="T330" i="1"/>
  <c r="U330" i="1"/>
  <c r="P330" i="1" s="1"/>
  <c r="V330" i="1"/>
  <c r="A331" i="1"/>
  <c r="B331" i="1"/>
  <c r="H331" i="1"/>
  <c r="I331" i="1"/>
  <c r="J331" i="1"/>
  <c r="O331" i="1"/>
  <c r="R331" i="1"/>
  <c r="S331" i="1"/>
  <c r="T331" i="1"/>
  <c r="U331" i="1"/>
  <c r="P331" i="1" s="1"/>
  <c r="V331" i="1"/>
  <c r="A332" i="1"/>
  <c r="B332" i="1"/>
  <c r="H332" i="1"/>
  <c r="I332" i="1"/>
  <c r="J332" i="1"/>
  <c r="O332" i="1"/>
  <c r="R332" i="1"/>
  <c r="S332" i="1"/>
  <c r="T332" i="1"/>
  <c r="U332" i="1"/>
  <c r="P332" i="1" s="1"/>
  <c r="V332" i="1"/>
  <c r="A333" i="1"/>
  <c r="B333" i="1"/>
  <c r="H333" i="1"/>
  <c r="I333" i="1"/>
  <c r="J333" i="1"/>
  <c r="O333" i="1"/>
  <c r="R333" i="1"/>
  <c r="S333" i="1"/>
  <c r="T333" i="1"/>
  <c r="U333" i="1"/>
  <c r="P333" i="1" s="1"/>
  <c r="V333" i="1"/>
  <c r="A334" i="1"/>
  <c r="B334" i="1"/>
  <c r="H334" i="1"/>
  <c r="I334" i="1"/>
  <c r="J334" i="1"/>
  <c r="Q334" i="1" s="1"/>
  <c r="O334" i="1"/>
  <c r="R334" i="1"/>
  <c r="S334" i="1"/>
  <c r="T334" i="1"/>
  <c r="U334" i="1"/>
  <c r="P334" i="1" s="1"/>
  <c r="V334" i="1"/>
  <c r="A335" i="1"/>
  <c r="B335" i="1"/>
  <c r="H335" i="1"/>
  <c r="I335" i="1"/>
  <c r="J335" i="1"/>
  <c r="Q335" i="1" s="1"/>
  <c r="O335" i="1"/>
  <c r="R335" i="1"/>
  <c r="S335" i="1"/>
  <c r="T335" i="1"/>
  <c r="U335" i="1"/>
  <c r="P335" i="1" s="1"/>
  <c r="V335" i="1"/>
  <c r="A336" i="1"/>
  <c r="B336" i="1"/>
  <c r="H336" i="1"/>
  <c r="I336" i="1"/>
  <c r="J336" i="1"/>
  <c r="Q336" i="1" s="1"/>
  <c r="O336" i="1"/>
  <c r="R336" i="1"/>
  <c r="S336" i="1"/>
  <c r="T336" i="1"/>
  <c r="U336" i="1"/>
  <c r="P336" i="1" s="1"/>
  <c r="V336" i="1"/>
  <c r="A337" i="1"/>
  <c r="B337" i="1"/>
  <c r="H337" i="1"/>
  <c r="I337" i="1"/>
  <c r="J337" i="1"/>
  <c r="O337" i="1"/>
  <c r="R337" i="1"/>
  <c r="S337" i="1"/>
  <c r="T337" i="1"/>
  <c r="U337" i="1"/>
  <c r="P337" i="1" s="1"/>
  <c r="V337" i="1"/>
  <c r="A338" i="1"/>
  <c r="B338" i="1"/>
  <c r="H338" i="1"/>
  <c r="I338" i="1"/>
  <c r="J338" i="1"/>
  <c r="O338" i="1"/>
  <c r="R338" i="1"/>
  <c r="S338" i="1"/>
  <c r="T338" i="1"/>
  <c r="U338" i="1"/>
  <c r="P338" i="1" s="1"/>
  <c r="V338" i="1"/>
  <c r="A339" i="1"/>
  <c r="B339" i="1"/>
  <c r="H339" i="1"/>
  <c r="I339" i="1"/>
  <c r="J339" i="1"/>
  <c r="Q339" i="1" s="1"/>
  <c r="O339" i="1"/>
  <c r="R339" i="1"/>
  <c r="S339" i="1"/>
  <c r="T339" i="1"/>
  <c r="U339" i="1"/>
  <c r="P339" i="1" s="1"/>
  <c r="V339" i="1"/>
  <c r="A340" i="1"/>
  <c r="B340" i="1"/>
  <c r="H340" i="1"/>
  <c r="I340" i="1"/>
  <c r="J340" i="1"/>
  <c r="Q340" i="1" s="1"/>
  <c r="O340" i="1"/>
  <c r="R340" i="1"/>
  <c r="S340" i="1"/>
  <c r="T340" i="1"/>
  <c r="U340" i="1"/>
  <c r="P340" i="1" s="1"/>
  <c r="V340" i="1"/>
  <c r="A341" i="1"/>
  <c r="B341" i="1"/>
  <c r="H341" i="1"/>
  <c r="I341" i="1"/>
  <c r="J341" i="1"/>
  <c r="Q341" i="1" s="1"/>
  <c r="O341" i="1"/>
  <c r="R341" i="1"/>
  <c r="S341" i="1"/>
  <c r="T341" i="1"/>
  <c r="U341" i="1"/>
  <c r="P341" i="1" s="1"/>
  <c r="V341" i="1"/>
  <c r="A342" i="1"/>
  <c r="B342" i="1"/>
  <c r="H342" i="1"/>
  <c r="I342" i="1"/>
  <c r="J342" i="1"/>
  <c r="O342" i="1"/>
  <c r="R342" i="1"/>
  <c r="S342" i="1"/>
  <c r="T342" i="1"/>
  <c r="U342" i="1"/>
  <c r="P342" i="1" s="1"/>
  <c r="V342" i="1"/>
  <c r="A343" i="1"/>
  <c r="B343" i="1"/>
  <c r="H343" i="1"/>
  <c r="I343" i="1"/>
  <c r="J343" i="1"/>
  <c r="O343" i="1"/>
  <c r="R343" i="1"/>
  <c r="S343" i="1"/>
  <c r="T343" i="1"/>
  <c r="U343" i="1"/>
  <c r="P343" i="1" s="1"/>
  <c r="V343" i="1"/>
  <c r="A344" i="1"/>
  <c r="B344" i="1"/>
  <c r="H344" i="1"/>
  <c r="I344" i="1"/>
  <c r="J344" i="1"/>
  <c r="O344" i="1"/>
  <c r="R344" i="1"/>
  <c r="S344" i="1"/>
  <c r="T344" i="1"/>
  <c r="U344" i="1"/>
  <c r="P344" i="1" s="1"/>
  <c r="V344" i="1"/>
  <c r="A345" i="1"/>
  <c r="B345" i="1"/>
  <c r="H345" i="1"/>
  <c r="I345" i="1"/>
  <c r="J345" i="1"/>
  <c r="O345" i="1"/>
  <c r="R345" i="1"/>
  <c r="S345" i="1"/>
  <c r="T345" i="1"/>
  <c r="U345" i="1"/>
  <c r="P345" i="1" s="1"/>
  <c r="V345" i="1"/>
  <c r="A346" i="1"/>
  <c r="B346" i="1"/>
  <c r="H346" i="1"/>
  <c r="I346" i="1"/>
  <c r="J346" i="1"/>
  <c r="Q346" i="1" s="1"/>
  <c r="O346" i="1"/>
  <c r="R346" i="1"/>
  <c r="S346" i="1"/>
  <c r="T346" i="1"/>
  <c r="U346" i="1"/>
  <c r="P346" i="1" s="1"/>
  <c r="V346" i="1"/>
  <c r="A347" i="1"/>
  <c r="B347" i="1"/>
  <c r="H347" i="1"/>
  <c r="I347" i="1"/>
  <c r="J347" i="1"/>
  <c r="Q347" i="1" s="1"/>
  <c r="O347" i="1"/>
  <c r="R347" i="1"/>
  <c r="S347" i="1"/>
  <c r="T347" i="1"/>
  <c r="U347" i="1"/>
  <c r="P347" i="1" s="1"/>
  <c r="V347" i="1"/>
  <c r="A348" i="1"/>
  <c r="B348" i="1"/>
  <c r="H348" i="1"/>
  <c r="I348" i="1"/>
  <c r="J348" i="1"/>
  <c r="Q348" i="1" s="1"/>
  <c r="O348" i="1"/>
  <c r="R348" i="1"/>
  <c r="S348" i="1"/>
  <c r="T348" i="1"/>
  <c r="U348" i="1"/>
  <c r="P348" i="1" s="1"/>
  <c r="V348" i="1"/>
  <c r="A349" i="1"/>
  <c r="B349" i="1"/>
  <c r="H349" i="1"/>
  <c r="I349" i="1"/>
  <c r="J349" i="1"/>
  <c r="O349" i="1"/>
  <c r="R349" i="1"/>
  <c r="S349" i="1"/>
  <c r="T349" i="1"/>
  <c r="U349" i="1"/>
  <c r="P349" i="1" s="1"/>
  <c r="V349" i="1"/>
  <c r="A350" i="1"/>
  <c r="B350" i="1"/>
  <c r="H350" i="1"/>
  <c r="I350" i="1"/>
  <c r="J350" i="1"/>
  <c r="O350" i="1"/>
  <c r="R350" i="1"/>
  <c r="S350" i="1"/>
  <c r="T350" i="1"/>
  <c r="U350" i="1"/>
  <c r="P350" i="1" s="1"/>
  <c r="V350" i="1"/>
  <c r="A351" i="1"/>
  <c r="B351" i="1"/>
  <c r="H351" i="1"/>
  <c r="I351" i="1"/>
  <c r="J351" i="1"/>
  <c r="Q351" i="1" s="1"/>
  <c r="O351" i="1"/>
  <c r="R351" i="1"/>
  <c r="S351" i="1"/>
  <c r="T351" i="1"/>
  <c r="U351" i="1"/>
  <c r="P351" i="1" s="1"/>
  <c r="V351" i="1"/>
  <c r="A352" i="1"/>
  <c r="B352" i="1"/>
  <c r="H352" i="1"/>
  <c r="I352" i="1"/>
  <c r="J352" i="1"/>
  <c r="Q352" i="1" s="1"/>
  <c r="O352" i="1"/>
  <c r="R352" i="1"/>
  <c r="S352" i="1"/>
  <c r="T352" i="1"/>
  <c r="U352" i="1"/>
  <c r="P352" i="1" s="1"/>
  <c r="V352" i="1"/>
  <c r="A353" i="1"/>
  <c r="B353" i="1"/>
  <c r="H353" i="1"/>
  <c r="I353" i="1"/>
  <c r="J353" i="1"/>
  <c r="Q353" i="1" s="1"/>
  <c r="O353" i="1"/>
  <c r="R353" i="1"/>
  <c r="S353" i="1"/>
  <c r="T353" i="1"/>
  <c r="U353" i="1"/>
  <c r="P353" i="1" s="1"/>
  <c r="V353" i="1"/>
  <c r="A354" i="1"/>
  <c r="B354" i="1"/>
  <c r="H354" i="1"/>
  <c r="I354" i="1"/>
  <c r="J354" i="1"/>
  <c r="O354" i="1"/>
  <c r="R354" i="1"/>
  <c r="S354" i="1"/>
  <c r="T354" i="1"/>
  <c r="U354" i="1"/>
  <c r="P354" i="1" s="1"/>
  <c r="V354" i="1"/>
  <c r="A355" i="1"/>
  <c r="B355" i="1"/>
  <c r="H355" i="1"/>
  <c r="I355" i="1"/>
  <c r="J355" i="1"/>
  <c r="O355" i="1"/>
  <c r="R355" i="1"/>
  <c r="S355" i="1"/>
  <c r="T355" i="1"/>
  <c r="U355" i="1"/>
  <c r="P355" i="1" s="1"/>
  <c r="V355" i="1"/>
  <c r="A356" i="1"/>
  <c r="B356" i="1"/>
  <c r="H356" i="1"/>
  <c r="I356" i="1"/>
  <c r="J356" i="1"/>
  <c r="O356" i="1"/>
  <c r="R356" i="1"/>
  <c r="S356" i="1"/>
  <c r="T356" i="1"/>
  <c r="U356" i="1"/>
  <c r="P356" i="1" s="1"/>
  <c r="V356" i="1"/>
  <c r="A357" i="1"/>
  <c r="B357" i="1"/>
  <c r="H357" i="1"/>
  <c r="I357" i="1"/>
  <c r="J357" i="1"/>
  <c r="O357" i="1"/>
  <c r="R357" i="1"/>
  <c r="S357" i="1"/>
  <c r="T357" i="1"/>
  <c r="U357" i="1"/>
  <c r="P357" i="1" s="1"/>
  <c r="V357" i="1"/>
  <c r="A358" i="1"/>
  <c r="B358" i="1"/>
  <c r="H358" i="1"/>
  <c r="I358" i="1"/>
  <c r="J358" i="1"/>
  <c r="Q358" i="1" s="1"/>
  <c r="O358" i="1"/>
  <c r="R358" i="1"/>
  <c r="S358" i="1"/>
  <c r="T358" i="1"/>
  <c r="U358" i="1"/>
  <c r="P358" i="1" s="1"/>
  <c r="V358" i="1"/>
  <c r="A359" i="1"/>
  <c r="B359" i="1"/>
  <c r="H359" i="1"/>
  <c r="I359" i="1"/>
  <c r="J359" i="1"/>
  <c r="Q359" i="1" s="1"/>
  <c r="O359" i="1"/>
  <c r="R359" i="1"/>
  <c r="S359" i="1"/>
  <c r="T359" i="1"/>
  <c r="U359" i="1"/>
  <c r="P359" i="1" s="1"/>
  <c r="V359" i="1"/>
  <c r="A360" i="1"/>
  <c r="B360" i="1"/>
  <c r="H360" i="1"/>
  <c r="I360" i="1"/>
  <c r="J360" i="1"/>
  <c r="Q360" i="1" s="1"/>
  <c r="O360" i="1"/>
  <c r="R360" i="1"/>
  <c r="S360" i="1"/>
  <c r="T360" i="1"/>
  <c r="U360" i="1"/>
  <c r="P360" i="1" s="1"/>
  <c r="V360" i="1"/>
  <c r="A361" i="1"/>
  <c r="B361" i="1"/>
  <c r="H361" i="1"/>
  <c r="I361" i="1"/>
  <c r="J361" i="1"/>
  <c r="O361" i="1"/>
  <c r="R361" i="1"/>
  <c r="S361" i="1"/>
  <c r="T361" i="1"/>
  <c r="U361" i="1"/>
  <c r="P361" i="1" s="1"/>
  <c r="V361" i="1"/>
  <c r="A362" i="1"/>
  <c r="B362" i="1"/>
  <c r="H362" i="1"/>
  <c r="I362" i="1"/>
  <c r="J362" i="1"/>
  <c r="O362" i="1"/>
  <c r="R362" i="1"/>
  <c r="S362" i="1"/>
  <c r="T362" i="1"/>
  <c r="U362" i="1"/>
  <c r="P362" i="1" s="1"/>
  <c r="V362" i="1"/>
  <c r="A363" i="1"/>
  <c r="B363" i="1"/>
  <c r="H363" i="1"/>
  <c r="I363" i="1"/>
  <c r="J363" i="1"/>
  <c r="Q363" i="1" s="1"/>
  <c r="O363" i="1"/>
  <c r="R363" i="1"/>
  <c r="S363" i="1"/>
  <c r="T363" i="1"/>
  <c r="U363" i="1"/>
  <c r="P363" i="1" s="1"/>
  <c r="V363" i="1"/>
  <c r="A364" i="1"/>
  <c r="B364" i="1"/>
  <c r="H364" i="1"/>
  <c r="I364" i="1"/>
  <c r="J364" i="1"/>
  <c r="Q364" i="1" s="1"/>
  <c r="O364" i="1"/>
  <c r="R364" i="1"/>
  <c r="S364" i="1"/>
  <c r="T364" i="1"/>
  <c r="U364" i="1"/>
  <c r="P364" i="1" s="1"/>
  <c r="V364" i="1"/>
  <c r="A365" i="1"/>
  <c r="B365" i="1"/>
  <c r="H365" i="1"/>
  <c r="I365" i="1"/>
  <c r="J365" i="1"/>
  <c r="Q365" i="1" s="1"/>
  <c r="O365" i="1"/>
  <c r="R365" i="1"/>
  <c r="S365" i="1"/>
  <c r="T365" i="1"/>
  <c r="U365" i="1"/>
  <c r="P365" i="1" s="1"/>
  <c r="V365" i="1"/>
  <c r="A366" i="1"/>
  <c r="B366" i="1"/>
  <c r="H366" i="1"/>
  <c r="I366" i="1"/>
  <c r="J366" i="1"/>
  <c r="O366" i="1"/>
  <c r="R366" i="1"/>
  <c r="S366" i="1"/>
  <c r="T366" i="1"/>
  <c r="U366" i="1"/>
  <c r="P366" i="1" s="1"/>
  <c r="V366" i="1"/>
  <c r="A367" i="1"/>
  <c r="B367" i="1"/>
  <c r="H367" i="1"/>
  <c r="I367" i="1"/>
  <c r="J367" i="1"/>
  <c r="O367" i="1"/>
  <c r="R367" i="1"/>
  <c r="S367" i="1"/>
  <c r="T367" i="1"/>
  <c r="U367" i="1"/>
  <c r="P367" i="1" s="1"/>
  <c r="V367" i="1"/>
  <c r="A368" i="1"/>
  <c r="B368" i="1"/>
  <c r="H368" i="1"/>
  <c r="I368" i="1"/>
  <c r="J368" i="1"/>
  <c r="O368" i="1"/>
  <c r="R368" i="1"/>
  <c r="S368" i="1"/>
  <c r="T368" i="1"/>
  <c r="U368" i="1"/>
  <c r="P368" i="1" s="1"/>
  <c r="V368" i="1"/>
  <c r="A369" i="1"/>
  <c r="B369" i="1"/>
  <c r="H369" i="1"/>
  <c r="I369" i="1"/>
  <c r="J369" i="1"/>
  <c r="O369" i="1"/>
  <c r="R369" i="1"/>
  <c r="S369" i="1"/>
  <c r="T369" i="1"/>
  <c r="U369" i="1"/>
  <c r="P369" i="1" s="1"/>
  <c r="V369" i="1"/>
  <c r="A370" i="1"/>
  <c r="B370" i="1"/>
  <c r="H370" i="1"/>
  <c r="I370" i="1"/>
  <c r="J370" i="1"/>
  <c r="Q370" i="1" s="1"/>
  <c r="O370" i="1"/>
  <c r="R370" i="1"/>
  <c r="S370" i="1"/>
  <c r="T370" i="1"/>
  <c r="U370" i="1"/>
  <c r="P370" i="1" s="1"/>
  <c r="V370" i="1"/>
  <c r="A371" i="1"/>
  <c r="B371" i="1"/>
  <c r="H371" i="1"/>
  <c r="I371" i="1"/>
  <c r="J371" i="1"/>
  <c r="Q371" i="1" s="1"/>
  <c r="O371" i="1"/>
  <c r="R371" i="1"/>
  <c r="S371" i="1"/>
  <c r="T371" i="1"/>
  <c r="U371" i="1"/>
  <c r="P371" i="1" s="1"/>
  <c r="V371" i="1"/>
  <c r="A372" i="1"/>
  <c r="B372" i="1"/>
  <c r="H372" i="1"/>
  <c r="I372" i="1"/>
  <c r="J372" i="1"/>
  <c r="Q372" i="1" s="1"/>
  <c r="O372" i="1"/>
  <c r="R372" i="1"/>
  <c r="S372" i="1"/>
  <c r="T372" i="1"/>
  <c r="U372" i="1"/>
  <c r="P372" i="1" s="1"/>
  <c r="V372" i="1"/>
  <c r="A373" i="1"/>
  <c r="B373" i="1"/>
  <c r="H373" i="1"/>
  <c r="I373" i="1"/>
  <c r="J373" i="1"/>
  <c r="O373" i="1"/>
  <c r="R373" i="1"/>
  <c r="S373" i="1"/>
  <c r="T373" i="1"/>
  <c r="U373" i="1"/>
  <c r="P373" i="1" s="1"/>
  <c r="V373" i="1"/>
  <c r="A374" i="1"/>
  <c r="B374" i="1"/>
  <c r="H374" i="1"/>
  <c r="I374" i="1"/>
  <c r="J374" i="1"/>
  <c r="O374" i="1"/>
  <c r="R374" i="1"/>
  <c r="S374" i="1"/>
  <c r="T374" i="1"/>
  <c r="U374" i="1"/>
  <c r="P374" i="1" s="1"/>
  <c r="V374" i="1"/>
  <c r="A375" i="1"/>
  <c r="B375" i="1"/>
  <c r="H375" i="1"/>
  <c r="I375" i="1"/>
  <c r="J375" i="1"/>
  <c r="Q375" i="1" s="1"/>
  <c r="O375" i="1"/>
  <c r="R375" i="1"/>
  <c r="S375" i="1"/>
  <c r="T375" i="1"/>
  <c r="U375" i="1"/>
  <c r="P375" i="1" s="1"/>
  <c r="V375" i="1"/>
  <c r="A376" i="1"/>
  <c r="B376" i="1"/>
  <c r="H376" i="1"/>
  <c r="I376" i="1"/>
  <c r="J376" i="1"/>
  <c r="Q376" i="1" s="1"/>
  <c r="O376" i="1"/>
  <c r="R376" i="1"/>
  <c r="S376" i="1"/>
  <c r="T376" i="1"/>
  <c r="U376" i="1"/>
  <c r="P376" i="1" s="1"/>
  <c r="V376" i="1"/>
  <c r="A377" i="1"/>
  <c r="B377" i="1"/>
  <c r="H377" i="1"/>
  <c r="I377" i="1"/>
  <c r="J377" i="1"/>
  <c r="Q377" i="1" s="1"/>
  <c r="O377" i="1"/>
  <c r="R377" i="1"/>
  <c r="S377" i="1"/>
  <c r="T377" i="1"/>
  <c r="U377" i="1"/>
  <c r="P377" i="1" s="1"/>
  <c r="V377" i="1"/>
  <c r="A378" i="1"/>
  <c r="B378" i="1"/>
  <c r="H378" i="1"/>
  <c r="I378" i="1"/>
  <c r="J378" i="1"/>
  <c r="O378" i="1"/>
  <c r="R378" i="1"/>
  <c r="S378" i="1"/>
  <c r="T378" i="1"/>
  <c r="U378" i="1"/>
  <c r="P378" i="1" s="1"/>
  <c r="V378" i="1"/>
  <c r="A379" i="1"/>
  <c r="B379" i="1"/>
  <c r="H379" i="1"/>
  <c r="I379" i="1"/>
  <c r="J379" i="1"/>
  <c r="O379" i="1"/>
  <c r="R379" i="1"/>
  <c r="S379" i="1"/>
  <c r="T379" i="1"/>
  <c r="U379" i="1"/>
  <c r="P379" i="1" s="1"/>
  <c r="V379" i="1"/>
  <c r="A380" i="1"/>
  <c r="B380" i="1"/>
  <c r="H380" i="1"/>
  <c r="I380" i="1"/>
  <c r="J380" i="1"/>
  <c r="O380" i="1"/>
  <c r="R380" i="1"/>
  <c r="S380" i="1"/>
  <c r="T380" i="1"/>
  <c r="U380" i="1"/>
  <c r="P380" i="1" s="1"/>
  <c r="V380" i="1"/>
  <c r="A381" i="1"/>
  <c r="B381" i="1"/>
  <c r="H381" i="1"/>
  <c r="I381" i="1"/>
  <c r="J381" i="1"/>
  <c r="O381" i="1"/>
  <c r="R381" i="1"/>
  <c r="S381" i="1"/>
  <c r="T381" i="1"/>
  <c r="U381" i="1"/>
  <c r="P381" i="1" s="1"/>
  <c r="V381" i="1"/>
  <c r="A382" i="1"/>
  <c r="B382" i="1"/>
  <c r="H382" i="1"/>
  <c r="I382" i="1"/>
  <c r="J382" i="1"/>
  <c r="Q382" i="1" s="1"/>
  <c r="O382" i="1"/>
  <c r="R382" i="1"/>
  <c r="S382" i="1"/>
  <c r="T382" i="1"/>
  <c r="U382" i="1"/>
  <c r="P382" i="1" s="1"/>
  <c r="V382" i="1"/>
  <c r="A383" i="1"/>
  <c r="B383" i="1"/>
  <c r="H383" i="1"/>
  <c r="I383" i="1"/>
  <c r="J383" i="1"/>
  <c r="Q383" i="1" s="1"/>
  <c r="O383" i="1"/>
  <c r="R383" i="1"/>
  <c r="S383" i="1"/>
  <c r="T383" i="1"/>
  <c r="U383" i="1"/>
  <c r="P383" i="1" s="1"/>
  <c r="V383" i="1"/>
  <c r="A384" i="1"/>
  <c r="B384" i="1"/>
  <c r="H384" i="1"/>
  <c r="I384" i="1"/>
  <c r="J384" i="1"/>
  <c r="Q384" i="1" s="1"/>
  <c r="O384" i="1"/>
  <c r="R384" i="1"/>
  <c r="S384" i="1"/>
  <c r="T384" i="1"/>
  <c r="U384" i="1"/>
  <c r="P384" i="1" s="1"/>
  <c r="V384" i="1"/>
  <c r="A385" i="1"/>
  <c r="B385" i="1"/>
  <c r="H385" i="1"/>
  <c r="I385" i="1"/>
  <c r="J385" i="1"/>
  <c r="O385" i="1"/>
  <c r="R385" i="1"/>
  <c r="S385" i="1"/>
  <c r="T385" i="1"/>
  <c r="U385" i="1"/>
  <c r="P385" i="1" s="1"/>
  <c r="V385" i="1"/>
  <c r="A386" i="1"/>
  <c r="B386" i="1"/>
  <c r="H386" i="1"/>
  <c r="I386" i="1"/>
  <c r="J386" i="1"/>
  <c r="O386" i="1"/>
  <c r="R386" i="1"/>
  <c r="S386" i="1"/>
  <c r="T386" i="1"/>
  <c r="U386" i="1"/>
  <c r="P386" i="1" s="1"/>
  <c r="V386" i="1"/>
  <c r="A387" i="1"/>
  <c r="B387" i="1"/>
  <c r="H387" i="1"/>
  <c r="I387" i="1"/>
  <c r="J387" i="1"/>
  <c r="Q387" i="1" s="1"/>
  <c r="O387" i="1"/>
  <c r="R387" i="1"/>
  <c r="S387" i="1"/>
  <c r="T387" i="1"/>
  <c r="U387" i="1"/>
  <c r="P387" i="1" s="1"/>
  <c r="V387" i="1"/>
  <c r="A388" i="1"/>
  <c r="B388" i="1"/>
  <c r="H388" i="1"/>
  <c r="I388" i="1"/>
  <c r="J388" i="1"/>
  <c r="Q388" i="1" s="1"/>
  <c r="O388" i="1"/>
  <c r="R388" i="1"/>
  <c r="S388" i="1"/>
  <c r="T388" i="1"/>
  <c r="U388" i="1"/>
  <c r="P388" i="1" s="1"/>
  <c r="V388" i="1"/>
  <c r="A389" i="1"/>
  <c r="B389" i="1"/>
  <c r="H389" i="1"/>
  <c r="I389" i="1"/>
  <c r="J389" i="1"/>
  <c r="Q389" i="1" s="1"/>
  <c r="O389" i="1"/>
  <c r="R389" i="1"/>
  <c r="S389" i="1"/>
  <c r="T389" i="1"/>
  <c r="U389" i="1"/>
  <c r="P389" i="1" s="1"/>
  <c r="V389" i="1"/>
  <c r="A390" i="1"/>
  <c r="B390" i="1"/>
  <c r="H390" i="1"/>
  <c r="I390" i="1"/>
  <c r="J390" i="1"/>
  <c r="O390" i="1"/>
  <c r="R390" i="1"/>
  <c r="S390" i="1"/>
  <c r="T390" i="1"/>
  <c r="U390" i="1"/>
  <c r="P390" i="1" s="1"/>
  <c r="V390" i="1"/>
  <c r="A391" i="1"/>
  <c r="B391" i="1"/>
  <c r="H391" i="1"/>
  <c r="I391" i="1"/>
  <c r="J391" i="1"/>
  <c r="O391" i="1"/>
  <c r="R391" i="1"/>
  <c r="S391" i="1"/>
  <c r="T391" i="1"/>
  <c r="U391" i="1"/>
  <c r="P391" i="1" s="1"/>
  <c r="V391" i="1"/>
  <c r="A392" i="1"/>
  <c r="B392" i="1"/>
  <c r="H392" i="1"/>
  <c r="I392" i="1"/>
  <c r="J392" i="1"/>
  <c r="O392" i="1"/>
  <c r="R392" i="1"/>
  <c r="S392" i="1"/>
  <c r="T392" i="1"/>
  <c r="U392" i="1"/>
  <c r="P392" i="1" s="1"/>
  <c r="V392" i="1"/>
  <c r="A393" i="1"/>
  <c r="B393" i="1"/>
  <c r="H393" i="1"/>
  <c r="I393" i="1"/>
  <c r="J393" i="1"/>
  <c r="O393" i="1"/>
  <c r="R393" i="1"/>
  <c r="S393" i="1"/>
  <c r="T393" i="1"/>
  <c r="U393" i="1"/>
  <c r="P393" i="1" s="1"/>
  <c r="V393" i="1"/>
  <c r="A394" i="1"/>
  <c r="B394" i="1"/>
  <c r="H394" i="1"/>
  <c r="I394" i="1"/>
  <c r="J394" i="1"/>
  <c r="Q394" i="1" s="1"/>
  <c r="O394" i="1"/>
  <c r="R394" i="1"/>
  <c r="S394" i="1"/>
  <c r="T394" i="1"/>
  <c r="U394" i="1"/>
  <c r="P394" i="1" s="1"/>
  <c r="V394" i="1"/>
  <c r="A395" i="1"/>
  <c r="B395" i="1"/>
  <c r="H395" i="1"/>
  <c r="I395" i="1"/>
  <c r="J395" i="1"/>
  <c r="Q395" i="1" s="1"/>
  <c r="O395" i="1"/>
  <c r="R395" i="1"/>
  <c r="S395" i="1"/>
  <c r="T395" i="1"/>
  <c r="U395" i="1"/>
  <c r="P395" i="1" s="1"/>
  <c r="V395" i="1"/>
  <c r="A396" i="1"/>
  <c r="B396" i="1"/>
  <c r="H396" i="1"/>
  <c r="I396" i="1"/>
  <c r="J396" i="1"/>
  <c r="Q396" i="1" s="1"/>
  <c r="O396" i="1"/>
  <c r="R396" i="1"/>
  <c r="S396" i="1"/>
  <c r="T396" i="1"/>
  <c r="U396" i="1"/>
  <c r="P396" i="1" s="1"/>
  <c r="V396" i="1"/>
  <c r="A397" i="1"/>
  <c r="B397" i="1"/>
  <c r="H397" i="1"/>
  <c r="I397" i="1"/>
  <c r="J397" i="1"/>
  <c r="O397" i="1"/>
  <c r="R397" i="1"/>
  <c r="S397" i="1"/>
  <c r="T397" i="1"/>
  <c r="U397" i="1"/>
  <c r="P397" i="1" s="1"/>
  <c r="V397" i="1"/>
  <c r="A398" i="1"/>
  <c r="B398" i="1"/>
  <c r="H398" i="1"/>
  <c r="I398" i="1"/>
  <c r="J398" i="1"/>
  <c r="O398" i="1"/>
  <c r="R398" i="1"/>
  <c r="S398" i="1"/>
  <c r="T398" i="1"/>
  <c r="U398" i="1"/>
  <c r="P398" i="1" s="1"/>
  <c r="V398" i="1"/>
  <c r="A399" i="1"/>
  <c r="B399" i="1"/>
  <c r="H399" i="1"/>
  <c r="I399" i="1"/>
  <c r="J399" i="1"/>
  <c r="Q399" i="1" s="1"/>
  <c r="O399" i="1"/>
  <c r="R399" i="1"/>
  <c r="S399" i="1"/>
  <c r="T399" i="1"/>
  <c r="U399" i="1"/>
  <c r="P399" i="1" s="1"/>
  <c r="V399" i="1"/>
  <c r="A400" i="1"/>
  <c r="B400" i="1"/>
  <c r="H400" i="1"/>
  <c r="I400" i="1"/>
  <c r="J400" i="1"/>
  <c r="Q400" i="1" s="1"/>
  <c r="O400" i="1"/>
  <c r="R400" i="1"/>
  <c r="S400" i="1"/>
  <c r="T400" i="1"/>
  <c r="U400" i="1"/>
  <c r="P400" i="1" s="1"/>
  <c r="V400" i="1"/>
  <c r="A401" i="1"/>
  <c r="B401" i="1"/>
  <c r="H401" i="1"/>
  <c r="I401" i="1"/>
  <c r="J401" i="1"/>
  <c r="Q401" i="1" s="1"/>
  <c r="O401" i="1"/>
  <c r="R401" i="1"/>
  <c r="S401" i="1"/>
  <c r="T401" i="1"/>
  <c r="U401" i="1"/>
  <c r="P401" i="1" s="1"/>
  <c r="V401" i="1"/>
  <c r="A402" i="1"/>
  <c r="B402" i="1"/>
  <c r="H402" i="1"/>
  <c r="I402" i="1"/>
  <c r="J402" i="1"/>
  <c r="O402" i="1"/>
  <c r="R402" i="1"/>
  <c r="S402" i="1"/>
  <c r="T402" i="1"/>
  <c r="U402" i="1"/>
  <c r="P402" i="1" s="1"/>
  <c r="V402" i="1"/>
  <c r="A403" i="1"/>
  <c r="B403" i="1"/>
  <c r="H403" i="1"/>
  <c r="I403" i="1"/>
  <c r="J403" i="1"/>
  <c r="O403" i="1"/>
  <c r="R403" i="1"/>
  <c r="S403" i="1"/>
  <c r="T403" i="1"/>
  <c r="U403" i="1"/>
  <c r="P403" i="1" s="1"/>
  <c r="V403" i="1"/>
  <c r="A404" i="1"/>
  <c r="B404" i="1"/>
  <c r="H404" i="1"/>
  <c r="I404" i="1"/>
  <c r="J404" i="1"/>
  <c r="O404" i="1"/>
  <c r="R404" i="1"/>
  <c r="S404" i="1"/>
  <c r="T404" i="1"/>
  <c r="U404" i="1"/>
  <c r="P404" i="1" s="1"/>
  <c r="V404" i="1"/>
  <c r="A405" i="1"/>
  <c r="B405" i="1"/>
  <c r="H405" i="1"/>
  <c r="I405" i="1"/>
  <c r="J405" i="1"/>
  <c r="O405" i="1"/>
  <c r="R405" i="1"/>
  <c r="S405" i="1"/>
  <c r="T405" i="1"/>
  <c r="U405" i="1"/>
  <c r="P405" i="1" s="1"/>
  <c r="V405" i="1"/>
  <c r="A406" i="1"/>
  <c r="B406" i="1"/>
  <c r="H406" i="1"/>
  <c r="I406" i="1"/>
  <c r="J406" i="1"/>
  <c r="Q406" i="1" s="1"/>
  <c r="O406" i="1"/>
  <c r="R406" i="1"/>
  <c r="S406" i="1"/>
  <c r="T406" i="1"/>
  <c r="U406" i="1"/>
  <c r="P406" i="1" s="1"/>
  <c r="V406" i="1"/>
  <c r="A407" i="1"/>
  <c r="B407" i="1"/>
  <c r="H407" i="1"/>
  <c r="I407" i="1"/>
  <c r="J407" i="1"/>
  <c r="Q407" i="1" s="1"/>
  <c r="O407" i="1"/>
  <c r="R407" i="1"/>
  <c r="S407" i="1"/>
  <c r="T407" i="1"/>
  <c r="U407" i="1"/>
  <c r="P407" i="1" s="1"/>
  <c r="V407" i="1"/>
  <c r="A408" i="1"/>
  <c r="B408" i="1"/>
  <c r="H408" i="1"/>
  <c r="I408" i="1"/>
  <c r="J408" i="1"/>
  <c r="O408" i="1"/>
  <c r="R408" i="1"/>
  <c r="S408" i="1"/>
  <c r="T408" i="1"/>
  <c r="U408" i="1"/>
  <c r="P408" i="1" s="1"/>
  <c r="V408" i="1"/>
  <c r="A409" i="1"/>
  <c r="B409" i="1"/>
  <c r="H409" i="1"/>
  <c r="I409" i="1"/>
  <c r="J409" i="1"/>
  <c r="O409" i="1"/>
  <c r="R409" i="1"/>
  <c r="S409" i="1"/>
  <c r="T409" i="1"/>
  <c r="U409" i="1"/>
  <c r="P409" i="1" s="1"/>
  <c r="V409" i="1"/>
  <c r="A410" i="1"/>
  <c r="B410" i="1"/>
  <c r="H410" i="1"/>
  <c r="I410" i="1"/>
  <c r="J410" i="1"/>
  <c r="O410" i="1"/>
  <c r="R410" i="1"/>
  <c r="S410" i="1"/>
  <c r="T410" i="1"/>
  <c r="U410" i="1"/>
  <c r="P410" i="1" s="1"/>
  <c r="V410" i="1"/>
  <c r="A411" i="1"/>
  <c r="B411" i="1"/>
  <c r="H411" i="1"/>
  <c r="I411" i="1"/>
  <c r="J411" i="1"/>
  <c r="O411" i="1"/>
  <c r="R411" i="1"/>
  <c r="S411" i="1"/>
  <c r="T411" i="1"/>
  <c r="U411" i="1"/>
  <c r="P411" i="1" s="1"/>
  <c r="V411" i="1"/>
  <c r="A412" i="1"/>
  <c r="B412" i="1"/>
  <c r="H412" i="1"/>
  <c r="I412" i="1"/>
  <c r="J412" i="1"/>
  <c r="Q412" i="1" s="1"/>
  <c r="O412" i="1"/>
  <c r="R412" i="1"/>
  <c r="S412" i="1"/>
  <c r="T412" i="1"/>
  <c r="U412" i="1"/>
  <c r="P412" i="1" s="1"/>
  <c r="V412" i="1"/>
  <c r="A413" i="1"/>
  <c r="B413" i="1"/>
  <c r="H413" i="1"/>
  <c r="I413" i="1"/>
  <c r="J413" i="1"/>
  <c r="Q413" i="1" s="1"/>
  <c r="O413" i="1"/>
  <c r="R413" i="1"/>
  <c r="S413" i="1"/>
  <c r="T413" i="1"/>
  <c r="U413" i="1"/>
  <c r="P413" i="1" s="1"/>
  <c r="V413" i="1"/>
  <c r="A414" i="1"/>
  <c r="B414" i="1"/>
  <c r="H414" i="1"/>
  <c r="I414" i="1"/>
  <c r="J414" i="1"/>
  <c r="O414" i="1"/>
  <c r="R414" i="1"/>
  <c r="S414" i="1"/>
  <c r="T414" i="1"/>
  <c r="U414" i="1"/>
  <c r="P414" i="1" s="1"/>
  <c r="V414" i="1"/>
  <c r="A415" i="1"/>
  <c r="B415" i="1"/>
  <c r="H415" i="1"/>
  <c r="I415" i="1"/>
  <c r="J415" i="1"/>
  <c r="O415" i="1"/>
  <c r="R415" i="1"/>
  <c r="S415" i="1"/>
  <c r="T415" i="1"/>
  <c r="U415" i="1"/>
  <c r="P415" i="1" s="1"/>
  <c r="V415" i="1"/>
  <c r="A416" i="1"/>
  <c r="B416" i="1"/>
  <c r="H416" i="1"/>
  <c r="I416" i="1"/>
  <c r="J416" i="1"/>
  <c r="O416" i="1"/>
  <c r="R416" i="1"/>
  <c r="S416" i="1"/>
  <c r="T416" i="1"/>
  <c r="U416" i="1"/>
  <c r="P416" i="1" s="1"/>
  <c r="V416" i="1"/>
  <c r="A417" i="1"/>
  <c r="B417" i="1"/>
  <c r="H417" i="1"/>
  <c r="I417" i="1"/>
  <c r="J417" i="1"/>
  <c r="O417" i="1"/>
  <c r="R417" i="1"/>
  <c r="S417" i="1"/>
  <c r="T417" i="1"/>
  <c r="U417" i="1"/>
  <c r="P417" i="1" s="1"/>
  <c r="V417" i="1"/>
  <c r="A418" i="1"/>
  <c r="B418" i="1"/>
  <c r="H418" i="1"/>
  <c r="I418" i="1"/>
  <c r="J418" i="1"/>
  <c r="Q418" i="1" s="1"/>
  <c r="O418" i="1"/>
  <c r="R418" i="1"/>
  <c r="S418" i="1"/>
  <c r="T418" i="1"/>
  <c r="U418" i="1"/>
  <c r="P418" i="1" s="1"/>
  <c r="V418" i="1"/>
  <c r="A419" i="1"/>
  <c r="B419" i="1"/>
  <c r="H419" i="1"/>
  <c r="I419" i="1"/>
  <c r="J419" i="1"/>
  <c r="Q419" i="1" s="1"/>
  <c r="O419" i="1"/>
  <c r="R419" i="1"/>
  <c r="S419" i="1"/>
  <c r="T419" i="1"/>
  <c r="U419" i="1"/>
  <c r="P419" i="1" s="1"/>
  <c r="V419" i="1"/>
  <c r="A420" i="1"/>
  <c r="B420" i="1"/>
  <c r="H420" i="1"/>
  <c r="I420" i="1"/>
  <c r="J420" i="1"/>
  <c r="O420" i="1"/>
  <c r="R420" i="1"/>
  <c r="S420" i="1"/>
  <c r="T420" i="1"/>
  <c r="U420" i="1"/>
  <c r="P420" i="1" s="1"/>
  <c r="V420" i="1"/>
  <c r="A421" i="1"/>
  <c r="B421" i="1"/>
  <c r="H421" i="1"/>
  <c r="I421" i="1"/>
  <c r="J421" i="1"/>
  <c r="O421" i="1"/>
  <c r="R421" i="1"/>
  <c r="S421" i="1"/>
  <c r="T421" i="1"/>
  <c r="U421" i="1"/>
  <c r="P421" i="1" s="1"/>
  <c r="V421" i="1"/>
  <c r="A422" i="1"/>
  <c r="B422" i="1"/>
  <c r="H422" i="1"/>
  <c r="I422" i="1"/>
  <c r="J422" i="1"/>
  <c r="O422" i="1"/>
  <c r="R422" i="1"/>
  <c r="S422" i="1"/>
  <c r="T422" i="1"/>
  <c r="U422" i="1"/>
  <c r="P422" i="1" s="1"/>
  <c r="V422" i="1"/>
  <c r="A423" i="1"/>
  <c r="B423" i="1"/>
  <c r="H423" i="1"/>
  <c r="I423" i="1"/>
  <c r="J423" i="1"/>
  <c r="O423" i="1"/>
  <c r="R423" i="1"/>
  <c r="S423" i="1"/>
  <c r="T423" i="1"/>
  <c r="U423" i="1"/>
  <c r="P423" i="1" s="1"/>
  <c r="V423" i="1"/>
  <c r="A424" i="1"/>
  <c r="B424" i="1"/>
  <c r="H424" i="1"/>
  <c r="I424" i="1"/>
  <c r="J424" i="1"/>
  <c r="Q424" i="1" s="1"/>
  <c r="O424" i="1"/>
  <c r="R424" i="1"/>
  <c r="S424" i="1"/>
  <c r="T424" i="1"/>
  <c r="U424" i="1"/>
  <c r="P424" i="1" s="1"/>
  <c r="V424" i="1"/>
  <c r="A425" i="1"/>
  <c r="B425" i="1"/>
  <c r="H425" i="1"/>
  <c r="I425" i="1"/>
  <c r="J425" i="1"/>
  <c r="Q425" i="1" s="1"/>
  <c r="O425" i="1"/>
  <c r="R425" i="1"/>
  <c r="S425" i="1"/>
  <c r="T425" i="1"/>
  <c r="U425" i="1"/>
  <c r="P425" i="1" s="1"/>
  <c r="V425" i="1"/>
  <c r="A426" i="1"/>
  <c r="B426" i="1"/>
  <c r="H426" i="1"/>
  <c r="I426" i="1"/>
  <c r="J426" i="1"/>
  <c r="O426" i="1"/>
  <c r="R426" i="1"/>
  <c r="S426" i="1"/>
  <c r="T426" i="1"/>
  <c r="U426" i="1"/>
  <c r="P426" i="1" s="1"/>
  <c r="V426" i="1"/>
  <c r="A427" i="1"/>
  <c r="B427" i="1"/>
  <c r="H427" i="1"/>
  <c r="I427" i="1"/>
  <c r="J427" i="1"/>
  <c r="O427" i="1"/>
  <c r="R427" i="1"/>
  <c r="S427" i="1"/>
  <c r="T427" i="1"/>
  <c r="U427" i="1"/>
  <c r="P427" i="1" s="1"/>
  <c r="V427" i="1"/>
  <c r="A428" i="1"/>
  <c r="B428" i="1"/>
  <c r="H428" i="1"/>
  <c r="I428" i="1"/>
  <c r="J428" i="1"/>
  <c r="O428" i="1"/>
  <c r="R428" i="1"/>
  <c r="S428" i="1"/>
  <c r="T428" i="1"/>
  <c r="U428" i="1"/>
  <c r="P428" i="1" s="1"/>
  <c r="V428" i="1"/>
  <c r="A429" i="1"/>
  <c r="B429" i="1"/>
  <c r="H429" i="1"/>
  <c r="I429" i="1"/>
  <c r="J429" i="1"/>
  <c r="O429" i="1"/>
  <c r="R429" i="1"/>
  <c r="S429" i="1"/>
  <c r="T429" i="1"/>
  <c r="U429" i="1"/>
  <c r="P429" i="1" s="1"/>
  <c r="V429" i="1"/>
  <c r="A430" i="1"/>
  <c r="B430" i="1"/>
  <c r="H430" i="1"/>
  <c r="I430" i="1"/>
  <c r="J430" i="1"/>
  <c r="Q430" i="1" s="1"/>
  <c r="O430" i="1"/>
  <c r="R430" i="1"/>
  <c r="S430" i="1"/>
  <c r="T430" i="1"/>
  <c r="U430" i="1"/>
  <c r="P430" i="1" s="1"/>
  <c r="V430" i="1"/>
  <c r="A431" i="1"/>
  <c r="B431" i="1"/>
  <c r="H431" i="1"/>
  <c r="I431" i="1"/>
  <c r="J431" i="1"/>
  <c r="Q431" i="1" s="1"/>
  <c r="O431" i="1"/>
  <c r="R431" i="1"/>
  <c r="S431" i="1"/>
  <c r="T431" i="1"/>
  <c r="U431" i="1"/>
  <c r="P431" i="1" s="1"/>
  <c r="V431" i="1"/>
  <c r="A432" i="1"/>
  <c r="B432" i="1"/>
  <c r="H432" i="1"/>
  <c r="I432" i="1"/>
  <c r="J432" i="1"/>
  <c r="O432" i="1"/>
  <c r="R432" i="1"/>
  <c r="S432" i="1"/>
  <c r="T432" i="1"/>
  <c r="U432" i="1"/>
  <c r="P432" i="1" s="1"/>
  <c r="V432" i="1"/>
  <c r="A433" i="1"/>
  <c r="B433" i="1"/>
  <c r="H433" i="1"/>
  <c r="I433" i="1"/>
  <c r="J433" i="1"/>
  <c r="O433" i="1"/>
  <c r="R433" i="1"/>
  <c r="S433" i="1"/>
  <c r="T433" i="1"/>
  <c r="U433" i="1"/>
  <c r="P433" i="1" s="1"/>
  <c r="V433" i="1"/>
  <c r="A434" i="1"/>
  <c r="B434" i="1"/>
  <c r="H434" i="1"/>
  <c r="I434" i="1"/>
  <c r="J434" i="1"/>
  <c r="O434" i="1"/>
  <c r="R434" i="1"/>
  <c r="S434" i="1"/>
  <c r="T434" i="1"/>
  <c r="U434" i="1"/>
  <c r="P434" i="1" s="1"/>
  <c r="V434" i="1"/>
  <c r="A435" i="1"/>
  <c r="B435" i="1"/>
  <c r="H435" i="1"/>
  <c r="I435" i="1"/>
  <c r="J435" i="1"/>
  <c r="O435" i="1"/>
  <c r="R435" i="1"/>
  <c r="S435" i="1"/>
  <c r="T435" i="1"/>
  <c r="U435" i="1"/>
  <c r="P435" i="1" s="1"/>
  <c r="V435" i="1"/>
  <c r="A436" i="1"/>
  <c r="B436" i="1"/>
  <c r="H436" i="1"/>
  <c r="I436" i="1"/>
  <c r="J436" i="1"/>
  <c r="Q436" i="1" s="1"/>
  <c r="O436" i="1"/>
  <c r="R436" i="1"/>
  <c r="S436" i="1"/>
  <c r="T436" i="1"/>
  <c r="U436" i="1"/>
  <c r="P436" i="1" s="1"/>
  <c r="V436" i="1"/>
  <c r="A437" i="1"/>
  <c r="B437" i="1"/>
  <c r="H437" i="1"/>
  <c r="I437" i="1"/>
  <c r="J437" i="1"/>
  <c r="Q437" i="1" s="1"/>
  <c r="O437" i="1"/>
  <c r="R437" i="1"/>
  <c r="S437" i="1"/>
  <c r="T437" i="1"/>
  <c r="U437" i="1"/>
  <c r="P437" i="1" s="1"/>
  <c r="V437" i="1"/>
  <c r="A438" i="1"/>
  <c r="B438" i="1"/>
  <c r="H438" i="1"/>
  <c r="I438" i="1"/>
  <c r="J438" i="1"/>
  <c r="O438" i="1"/>
  <c r="R438" i="1"/>
  <c r="S438" i="1"/>
  <c r="T438" i="1"/>
  <c r="U438" i="1"/>
  <c r="P438" i="1" s="1"/>
  <c r="V438" i="1"/>
  <c r="A439" i="1"/>
  <c r="B439" i="1"/>
  <c r="H439" i="1"/>
  <c r="I439" i="1"/>
  <c r="J439" i="1"/>
  <c r="O439" i="1"/>
  <c r="R439" i="1"/>
  <c r="S439" i="1"/>
  <c r="T439" i="1"/>
  <c r="U439" i="1"/>
  <c r="P439" i="1" s="1"/>
  <c r="V439" i="1"/>
  <c r="A440" i="1"/>
  <c r="B440" i="1"/>
  <c r="H440" i="1"/>
  <c r="I440" i="1"/>
  <c r="J440" i="1"/>
  <c r="O440" i="1"/>
  <c r="R440" i="1"/>
  <c r="S440" i="1"/>
  <c r="T440" i="1"/>
  <c r="U440" i="1"/>
  <c r="P440" i="1" s="1"/>
  <c r="V440" i="1"/>
  <c r="A441" i="1"/>
  <c r="B441" i="1"/>
  <c r="H441" i="1"/>
  <c r="I441" i="1"/>
  <c r="J441" i="1"/>
  <c r="O441" i="1"/>
  <c r="R441" i="1"/>
  <c r="S441" i="1"/>
  <c r="T441" i="1"/>
  <c r="U441" i="1"/>
  <c r="P441" i="1" s="1"/>
  <c r="V441" i="1"/>
  <c r="A442" i="1"/>
  <c r="B442" i="1"/>
  <c r="H442" i="1"/>
  <c r="I442" i="1"/>
  <c r="J442" i="1"/>
  <c r="Q442" i="1" s="1"/>
  <c r="O442" i="1"/>
  <c r="R442" i="1"/>
  <c r="S442" i="1"/>
  <c r="T442" i="1"/>
  <c r="U442" i="1"/>
  <c r="P442" i="1" s="1"/>
  <c r="V442" i="1"/>
  <c r="A443" i="1"/>
  <c r="B443" i="1"/>
  <c r="H443" i="1"/>
  <c r="I443" i="1"/>
  <c r="J443" i="1"/>
  <c r="Q443" i="1" s="1"/>
  <c r="O443" i="1"/>
  <c r="R443" i="1"/>
  <c r="S443" i="1"/>
  <c r="T443" i="1"/>
  <c r="U443" i="1"/>
  <c r="P443" i="1" s="1"/>
  <c r="V443" i="1"/>
  <c r="A444" i="1"/>
  <c r="B444" i="1"/>
  <c r="H444" i="1"/>
  <c r="I444" i="1"/>
  <c r="J444" i="1"/>
  <c r="O444" i="1"/>
  <c r="R444" i="1"/>
  <c r="S444" i="1"/>
  <c r="T444" i="1"/>
  <c r="U444" i="1"/>
  <c r="P444" i="1" s="1"/>
  <c r="V444" i="1"/>
  <c r="A445" i="1"/>
  <c r="B445" i="1"/>
  <c r="H445" i="1"/>
  <c r="I445" i="1"/>
  <c r="J445" i="1"/>
  <c r="O445" i="1"/>
  <c r="R445" i="1"/>
  <c r="S445" i="1"/>
  <c r="T445" i="1"/>
  <c r="U445" i="1"/>
  <c r="P445" i="1" s="1"/>
  <c r="V445" i="1"/>
  <c r="A446" i="1"/>
  <c r="B446" i="1"/>
  <c r="H446" i="1"/>
  <c r="I446" i="1"/>
  <c r="J446" i="1"/>
  <c r="O446" i="1"/>
  <c r="R446" i="1"/>
  <c r="S446" i="1"/>
  <c r="T446" i="1"/>
  <c r="U446" i="1"/>
  <c r="P446" i="1" s="1"/>
  <c r="V446" i="1"/>
  <c r="A447" i="1"/>
  <c r="B447" i="1"/>
  <c r="H447" i="1"/>
  <c r="I447" i="1"/>
  <c r="J447" i="1"/>
  <c r="O447" i="1"/>
  <c r="R447" i="1"/>
  <c r="S447" i="1"/>
  <c r="T447" i="1"/>
  <c r="U447" i="1"/>
  <c r="P447" i="1" s="1"/>
  <c r="V447" i="1"/>
  <c r="A448" i="1"/>
  <c r="B448" i="1"/>
  <c r="H448" i="1"/>
  <c r="I448" i="1"/>
  <c r="J448" i="1"/>
  <c r="Q448" i="1" s="1"/>
  <c r="O448" i="1"/>
  <c r="R448" i="1"/>
  <c r="S448" i="1"/>
  <c r="T448" i="1"/>
  <c r="U448" i="1"/>
  <c r="P448" i="1" s="1"/>
  <c r="V448" i="1"/>
  <c r="A449" i="1"/>
  <c r="B449" i="1"/>
  <c r="H449" i="1"/>
  <c r="I449" i="1"/>
  <c r="J449" i="1"/>
  <c r="Q449" i="1" s="1"/>
  <c r="O449" i="1"/>
  <c r="R449" i="1"/>
  <c r="S449" i="1"/>
  <c r="T449" i="1"/>
  <c r="U449" i="1"/>
  <c r="P449" i="1" s="1"/>
  <c r="V449" i="1"/>
  <c r="A450" i="1"/>
  <c r="B450" i="1"/>
  <c r="H450" i="1"/>
  <c r="I450" i="1"/>
  <c r="J450" i="1"/>
  <c r="O450" i="1"/>
  <c r="R450" i="1"/>
  <c r="S450" i="1"/>
  <c r="T450" i="1"/>
  <c r="U450" i="1"/>
  <c r="P450" i="1" s="1"/>
  <c r="V450" i="1"/>
  <c r="A451" i="1"/>
  <c r="B451" i="1"/>
  <c r="H451" i="1"/>
  <c r="I451" i="1"/>
  <c r="J451" i="1"/>
  <c r="O451" i="1"/>
  <c r="R451" i="1"/>
  <c r="S451" i="1"/>
  <c r="T451" i="1"/>
  <c r="U451" i="1"/>
  <c r="P451" i="1" s="1"/>
  <c r="V451" i="1"/>
  <c r="A452" i="1"/>
  <c r="B452" i="1"/>
  <c r="H452" i="1"/>
  <c r="I452" i="1"/>
  <c r="J452" i="1"/>
  <c r="O452" i="1"/>
  <c r="R452" i="1"/>
  <c r="S452" i="1"/>
  <c r="T452" i="1"/>
  <c r="U452" i="1"/>
  <c r="P452" i="1" s="1"/>
  <c r="V452" i="1"/>
  <c r="A453" i="1"/>
  <c r="B453" i="1"/>
  <c r="H453" i="1"/>
  <c r="I453" i="1"/>
  <c r="J453" i="1"/>
  <c r="O453" i="1"/>
  <c r="R453" i="1"/>
  <c r="S453" i="1"/>
  <c r="T453" i="1"/>
  <c r="U453" i="1"/>
  <c r="P453" i="1" s="1"/>
  <c r="V453" i="1"/>
  <c r="A454" i="1"/>
  <c r="B454" i="1"/>
  <c r="H454" i="1"/>
  <c r="I454" i="1"/>
  <c r="J454" i="1"/>
  <c r="Q454" i="1" s="1"/>
  <c r="O454" i="1"/>
  <c r="R454" i="1"/>
  <c r="S454" i="1"/>
  <c r="T454" i="1"/>
  <c r="U454" i="1"/>
  <c r="P454" i="1" s="1"/>
  <c r="V454" i="1"/>
  <c r="A455" i="1"/>
  <c r="B455" i="1"/>
  <c r="H455" i="1"/>
  <c r="I455" i="1"/>
  <c r="J455" i="1"/>
  <c r="Q455" i="1" s="1"/>
  <c r="O455" i="1"/>
  <c r="R455" i="1"/>
  <c r="S455" i="1"/>
  <c r="T455" i="1"/>
  <c r="U455" i="1"/>
  <c r="P455" i="1" s="1"/>
  <c r="V455" i="1"/>
  <c r="A456" i="1"/>
  <c r="B456" i="1"/>
  <c r="H456" i="1"/>
  <c r="I456" i="1"/>
  <c r="J456" i="1"/>
  <c r="O456" i="1"/>
  <c r="R456" i="1"/>
  <c r="S456" i="1"/>
  <c r="T456" i="1"/>
  <c r="U456" i="1"/>
  <c r="P456" i="1" s="1"/>
  <c r="V456" i="1"/>
  <c r="A457" i="1"/>
  <c r="B457" i="1"/>
  <c r="H457" i="1"/>
  <c r="I457" i="1"/>
  <c r="J457" i="1"/>
  <c r="O457" i="1"/>
  <c r="R457" i="1"/>
  <c r="S457" i="1"/>
  <c r="T457" i="1"/>
  <c r="U457" i="1"/>
  <c r="P457" i="1" s="1"/>
  <c r="V457" i="1"/>
  <c r="A458" i="1"/>
  <c r="B458" i="1"/>
  <c r="H458" i="1"/>
  <c r="I458" i="1"/>
  <c r="J458" i="1"/>
  <c r="O458" i="1"/>
  <c r="R458" i="1"/>
  <c r="S458" i="1"/>
  <c r="T458" i="1"/>
  <c r="U458" i="1"/>
  <c r="P458" i="1" s="1"/>
  <c r="V458" i="1"/>
  <c r="A459" i="1"/>
  <c r="B459" i="1"/>
  <c r="H459" i="1"/>
  <c r="I459" i="1"/>
  <c r="J459" i="1"/>
  <c r="O459" i="1"/>
  <c r="R459" i="1"/>
  <c r="S459" i="1"/>
  <c r="T459" i="1"/>
  <c r="U459" i="1"/>
  <c r="P459" i="1" s="1"/>
  <c r="V459" i="1"/>
  <c r="A460" i="1"/>
  <c r="B460" i="1"/>
  <c r="H460" i="1"/>
  <c r="I460" i="1"/>
  <c r="J460" i="1"/>
  <c r="Q460" i="1" s="1"/>
  <c r="O460" i="1"/>
  <c r="R460" i="1"/>
  <c r="S460" i="1"/>
  <c r="T460" i="1"/>
  <c r="U460" i="1"/>
  <c r="P460" i="1" s="1"/>
  <c r="V460" i="1"/>
  <c r="A461" i="1"/>
  <c r="B461" i="1"/>
  <c r="H461" i="1"/>
  <c r="I461" i="1"/>
  <c r="J461" i="1"/>
  <c r="Q461" i="1" s="1"/>
  <c r="O461" i="1"/>
  <c r="R461" i="1"/>
  <c r="S461" i="1"/>
  <c r="T461" i="1"/>
  <c r="U461" i="1"/>
  <c r="P461" i="1" s="1"/>
  <c r="V461" i="1"/>
  <c r="A462" i="1"/>
  <c r="B462" i="1"/>
  <c r="H462" i="1"/>
  <c r="I462" i="1"/>
  <c r="J462" i="1"/>
  <c r="O462" i="1"/>
  <c r="R462" i="1"/>
  <c r="S462" i="1"/>
  <c r="T462" i="1"/>
  <c r="U462" i="1"/>
  <c r="P462" i="1" s="1"/>
  <c r="V462" i="1"/>
  <c r="A463" i="1"/>
  <c r="B463" i="1"/>
  <c r="H463" i="1"/>
  <c r="I463" i="1"/>
  <c r="J463" i="1"/>
  <c r="O463" i="1"/>
  <c r="R463" i="1"/>
  <c r="S463" i="1"/>
  <c r="T463" i="1"/>
  <c r="U463" i="1"/>
  <c r="P463" i="1" s="1"/>
  <c r="V463" i="1"/>
  <c r="A464" i="1"/>
  <c r="B464" i="1"/>
  <c r="H464" i="1"/>
  <c r="I464" i="1"/>
  <c r="J464" i="1"/>
  <c r="O464" i="1"/>
  <c r="R464" i="1"/>
  <c r="S464" i="1"/>
  <c r="T464" i="1"/>
  <c r="U464" i="1"/>
  <c r="P464" i="1" s="1"/>
  <c r="V464" i="1"/>
  <c r="A465" i="1"/>
  <c r="B465" i="1"/>
  <c r="H465" i="1"/>
  <c r="I465" i="1"/>
  <c r="J465" i="1"/>
  <c r="O465" i="1"/>
  <c r="R465" i="1"/>
  <c r="S465" i="1"/>
  <c r="T465" i="1"/>
  <c r="U465" i="1"/>
  <c r="P465" i="1" s="1"/>
  <c r="V465" i="1"/>
  <c r="A466" i="1"/>
  <c r="B466" i="1"/>
  <c r="H466" i="1"/>
  <c r="I466" i="1"/>
  <c r="J466" i="1"/>
  <c r="Q466" i="1" s="1"/>
  <c r="O466" i="1"/>
  <c r="R466" i="1"/>
  <c r="S466" i="1"/>
  <c r="T466" i="1"/>
  <c r="U466" i="1"/>
  <c r="P466" i="1" s="1"/>
  <c r="V466" i="1"/>
  <c r="A467" i="1"/>
  <c r="B467" i="1"/>
  <c r="H467" i="1"/>
  <c r="I467" i="1"/>
  <c r="J467" i="1"/>
  <c r="Q467" i="1" s="1"/>
  <c r="O467" i="1"/>
  <c r="R467" i="1"/>
  <c r="S467" i="1"/>
  <c r="T467" i="1"/>
  <c r="U467" i="1"/>
  <c r="P467" i="1" s="1"/>
  <c r="V467" i="1"/>
  <c r="A468" i="1"/>
  <c r="B468" i="1"/>
  <c r="H468" i="1"/>
  <c r="I468" i="1"/>
  <c r="J468" i="1"/>
  <c r="O468" i="1"/>
  <c r="R468" i="1"/>
  <c r="S468" i="1"/>
  <c r="T468" i="1"/>
  <c r="U468" i="1"/>
  <c r="P468" i="1" s="1"/>
  <c r="V468" i="1"/>
  <c r="A469" i="1"/>
  <c r="B469" i="1"/>
  <c r="H469" i="1"/>
  <c r="I469" i="1"/>
  <c r="J469" i="1"/>
  <c r="O469" i="1"/>
  <c r="R469" i="1"/>
  <c r="S469" i="1"/>
  <c r="T469" i="1"/>
  <c r="U469" i="1"/>
  <c r="P469" i="1" s="1"/>
  <c r="V469" i="1"/>
  <c r="A470" i="1"/>
  <c r="B470" i="1"/>
  <c r="H470" i="1"/>
  <c r="I470" i="1"/>
  <c r="J470" i="1"/>
  <c r="O470" i="1"/>
  <c r="R470" i="1"/>
  <c r="S470" i="1"/>
  <c r="T470" i="1"/>
  <c r="U470" i="1"/>
  <c r="P470" i="1" s="1"/>
  <c r="V470" i="1"/>
  <c r="A471" i="1"/>
  <c r="B471" i="1"/>
  <c r="H471" i="1"/>
  <c r="I471" i="1"/>
  <c r="J471" i="1"/>
  <c r="O471" i="1"/>
  <c r="R471" i="1"/>
  <c r="S471" i="1"/>
  <c r="T471" i="1"/>
  <c r="U471" i="1"/>
  <c r="P471" i="1" s="1"/>
  <c r="V471" i="1"/>
  <c r="A472" i="1"/>
  <c r="B472" i="1"/>
  <c r="H472" i="1"/>
  <c r="I472" i="1"/>
  <c r="J472" i="1"/>
  <c r="Q472" i="1" s="1"/>
  <c r="O472" i="1"/>
  <c r="R472" i="1"/>
  <c r="S472" i="1"/>
  <c r="T472" i="1"/>
  <c r="U472" i="1"/>
  <c r="P472" i="1" s="1"/>
  <c r="V472" i="1"/>
  <c r="A473" i="1"/>
  <c r="B473" i="1"/>
  <c r="H473" i="1"/>
  <c r="I473" i="1"/>
  <c r="J473" i="1"/>
  <c r="Q473" i="1" s="1"/>
  <c r="O473" i="1"/>
  <c r="R473" i="1"/>
  <c r="S473" i="1"/>
  <c r="T473" i="1"/>
  <c r="U473" i="1"/>
  <c r="P473" i="1" s="1"/>
  <c r="V473" i="1"/>
  <c r="A474" i="1"/>
  <c r="B474" i="1"/>
  <c r="H474" i="1"/>
  <c r="I474" i="1"/>
  <c r="J474" i="1"/>
  <c r="O474" i="1"/>
  <c r="R474" i="1"/>
  <c r="S474" i="1"/>
  <c r="T474" i="1"/>
  <c r="U474" i="1"/>
  <c r="P474" i="1" s="1"/>
  <c r="V474" i="1"/>
  <c r="A475" i="1"/>
  <c r="B475" i="1"/>
  <c r="H475" i="1"/>
  <c r="I475" i="1"/>
  <c r="J475" i="1"/>
  <c r="O475" i="1"/>
  <c r="R475" i="1"/>
  <c r="S475" i="1"/>
  <c r="T475" i="1"/>
  <c r="U475" i="1"/>
  <c r="P475" i="1" s="1"/>
  <c r="V475" i="1"/>
  <c r="A476" i="1"/>
  <c r="B476" i="1"/>
  <c r="H476" i="1"/>
  <c r="I476" i="1"/>
  <c r="J476" i="1"/>
  <c r="O476" i="1"/>
  <c r="R476" i="1"/>
  <c r="S476" i="1"/>
  <c r="T476" i="1"/>
  <c r="U476" i="1"/>
  <c r="P476" i="1" s="1"/>
  <c r="V476" i="1"/>
  <c r="A477" i="1"/>
  <c r="B477" i="1"/>
  <c r="H477" i="1"/>
  <c r="I477" i="1"/>
  <c r="J477" i="1"/>
  <c r="O477" i="1"/>
  <c r="R477" i="1"/>
  <c r="S477" i="1"/>
  <c r="T477" i="1"/>
  <c r="U477" i="1"/>
  <c r="P477" i="1" s="1"/>
  <c r="V477" i="1"/>
  <c r="A478" i="1"/>
  <c r="B478" i="1"/>
  <c r="H478" i="1"/>
  <c r="I478" i="1"/>
  <c r="J478" i="1"/>
  <c r="Q478" i="1" s="1"/>
  <c r="O478" i="1"/>
  <c r="R478" i="1"/>
  <c r="S478" i="1"/>
  <c r="T478" i="1"/>
  <c r="U478" i="1"/>
  <c r="P478" i="1" s="1"/>
  <c r="V478" i="1"/>
  <c r="A479" i="1"/>
  <c r="B479" i="1"/>
  <c r="H479" i="1"/>
  <c r="I479" i="1"/>
  <c r="J479" i="1"/>
  <c r="Q479" i="1" s="1"/>
  <c r="O479" i="1"/>
  <c r="R479" i="1"/>
  <c r="S479" i="1"/>
  <c r="T479" i="1"/>
  <c r="U479" i="1"/>
  <c r="P479" i="1" s="1"/>
  <c r="V479" i="1"/>
  <c r="A480" i="1"/>
  <c r="B480" i="1"/>
  <c r="H480" i="1"/>
  <c r="I480" i="1"/>
  <c r="J480" i="1"/>
  <c r="O480" i="1"/>
  <c r="R480" i="1"/>
  <c r="S480" i="1"/>
  <c r="T480" i="1"/>
  <c r="U480" i="1"/>
  <c r="P480" i="1" s="1"/>
  <c r="V480" i="1"/>
  <c r="A481" i="1"/>
  <c r="B481" i="1"/>
  <c r="H481" i="1"/>
  <c r="I481" i="1"/>
  <c r="J481" i="1"/>
  <c r="O481" i="1"/>
  <c r="R481" i="1"/>
  <c r="S481" i="1"/>
  <c r="T481" i="1"/>
  <c r="U481" i="1"/>
  <c r="P481" i="1" s="1"/>
  <c r="V481" i="1"/>
  <c r="A482" i="1"/>
  <c r="B482" i="1"/>
  <c r="H482" i="1"/>
  <c r="I482" i="1"/>
  <c r="J482" i="1"/>
  <c r="O482" i="1"/>
  <c r="R482" i="1"/>
  <c r="S482" i="1"/>
  <c r="T482" i="1"/>
  <c r="U482" i="1"/>
  <c r="P482" i="1" s="1"/>
  <c r="V482" i="1"/>
  <c r="A483" i="1"/>
  <c r="B483" i="1"/>
  <c r="H483" i="1"/>
  <c r="I483" i="1"/>
  <c r="J483" i="1"/>
  <c r="O483" i="1"/>
  <c r="R483" i="1"/>
  <c r="S483" i="1"/>
  <c r="T483" i="1"/>
  <c r="U483" i="1"/>
  <c r="P483" i="1" s="1"/>
  <c r="V483" i="1"/>
  <c r="A484" i="1"/>
  <c r="B484" i="1"/>
  <c r="H484" i="1"/>
  <c r="I484" i="1"/>
  <c r="J484" i="1"/>
  <c r="Q484" i="1" s="1"/>
  <c r="O484" i="1"/>
  <c r="R484" i="1"/>
  <c r="S484" i="1"/>
  <c r="T484" i="1"/>
  <c r="U484" i="1"/>
  <c r="P484" i="1" s="1"/>
  <c r="V484" i="1"/>
  <c r="A485" i="1"/>
  <c r="B485" i="1"/>
  <c r="H485" i="1"/>
  <c r="I485" i="1"/>
  <c r="J485" i="1"/>
  <c r="Q485" i="1" s="1"/>
  <c r="O485" i="1"/>
  <c r="R485" i="1"/>
  <c r="S485" i="1"/>
  <c r="T485" i="1"/>
  <c r="U485" i="1"/>
  <c r="P485" i="1" s="1"/>
  <c r="V485" i="1"/>
  <c r="A486" i="1"/>
  <c r="B486" i="1"/>
  <c r="H486" i="1"/>
  <c r="I486" i="1"/>
  <c r="J486" i="1"/>
  <c r="O486" i="1"/>
  <c r="R486" i="1"/>
  <c r="S486" i="1"/>
  <c r="T486" i="1"/>
  <c r="U486" i="1"/>
  <c r="P486" i="1" s="1"/>
  <c r="V486" i="1"/>
  <c r="A487" i="1"/>
  <c r="B487" i="1"/>
  <c r="H487" i="1"/>
  <c r="I487" i="1"/>
  <c r="J487" i="1"/>
  <c r="O487" i="1"/>
  <c r="R487" i="1"/>
  <c r="S487" i="1"/>
  <c r="T487" i="1"/>
  <c r="U487" i="1"/>
  <c r="P487" i="1" s="1"/>
  <c r="V487" i="1"/>
  <c r="A488" i="1"/>
  <c r="B488" i="1"/>
  <c r="H488" i="1"/>
  <c r="I488" i="1"/>
  <c r="J488" i="1"/>
  <c r="O488" i="1"/>
  <c r="R488" i="1"/>
  <c r="S488" i="1"/>
  <c r="T488" i="1"/>
  <c r="U488" i="1"/>
  <c r="P488" i="1" s="1"/>
  <c r="V488" i="1"/>
  <c r="A489" i="1"/>
  <c r="B489" i="1"/>
  <c r="H489" i="1"/>
  <c r="I489" i="1"/>
  <c r="J489" i="1"/>
  <c r="O489" i="1"/>
  <c r="R489" i="1"/>
  <c r="S489" i="1"/>
  <c r="T489" i="1"/>
  <c r="U489" i="1"/>
  <c r="P489" i="1" s="1"/>
  <c r="V489" i="1"/>
  <c r="A490" i="1"/>
  <c r="B490" i="1"/>
  <c r="H490" i="1"/>
  <c r="I490" i="1"/>
  <c r="J490" i="1"/>
  <c r="Q490" i="1" s="1"/>
  <c r="O490" i="1"/>
  <c r="R490" i="1"/>
  <c r="S490" i="1"/>
  <c r="T490" i="1"/>
  <c r="U490" i="1"/>
  <c r="P490" i="1" s="1"/>
  <c r="V490" i="1"/>
  <c r="A491" i="1"/>
  <c r="B491" i="1"/>
  <c r="H491" i="1"/>
  <c r="I491" i="1"/>
  <c r="J491" i="1"/>
  <c r="Q491" i="1" s="1"/>
  <c r="O491" i="1"/>
  <c r="R491" i="1"/>
  <c r="S491" i="1"/>
  <c r="T491" i="1"/>
  <c r="U491" i="1"/>
  <c r="P491" i="1" s="1"/>
  <c r="V491" i="1"/>
  <c r="A492" i="1"/>
  <c r="B492" i="1"/>
  <c r="H492" i="1"/>
  <c r="I492" i="1"/>
  <c r="J492" i="1"/>
  <c r="O492" i="1"/>
  <c r="R492" i="1"/>
  <c r="S492" i="1"/>
  <c r="T492" i="1"/>
  <c r="U492" i="1"/>
  <c r="P492" i="1" s="1"/>
  <c r="V492" i="1"/>
  <c r="A493" i="1"/>
  <c r="B493" i="1"/>
  <c r="H493" i="1"/>
  <c r="I493" i="1"/>
  <c r="J493" i="1"/>
  <c r="O493" i="1"/>
  <c r="R493" i="1"/>
  <c r="S493" i="1"/>
  <c r="T493" i="1"/>
  <c r="U493" i="1"/>
  <c r="P493" i="1" s="1"/>
  <c r="V493" i="1"/>
  <c r="A494" i="1"/>
  <c r="B494" i="1"/>
  <c r="H494" i="1"/>
  <c r="I494" i="1"/>
  <c r="J494" i="1"/>
  <c r="O494" i="1"/>
  <c r="R494" i="1"/>
  <c r="S494" i="1"/>
  <c r="T494" i="1"/>
  <c r="U494" i="1"/>
  <c r="P494" i="1" s="1"/>
  <c r="V494" i="1"/>
  <c r="A495" i="1"/>
  <c r="B495" i="1"/>
  <c r="H495" i="1"/>
  <c r="I495" i="1"/>
  <c r="J495" i="1"/>
  <c r="O495" i="1"/>
  <c r="R495" i="1"/>
  <c r="S495" i="1"/>
  <c r="T495" i="1"/>
  <c r="U495" i="1"/>
  <c r="P495" i="1" s="1"/>
  <c r="V495" i="1"/>
  <c r="A496" i="1"/>
  <c r="B496" i="1"/>
  <c r="H496" i="1"/>
  <c r="I496" i="1"/>
  <c r="J496" i="1"/>
  <c r="Q496" i="1" s="1"/>
  <c r="O496" i="1"/>
  <c r="R496" i="1"/>
  <c r="S496" i="1"/>
  <c r="T496" i="1"/>
  <c r="U496" i="1"/>
  <c r="P496" i="1" s="1"/>
  <c r="V496" i="1"/>
  <c r="A497" i="1"/>
  <c r="B497" i="1"/>
  <c r="H497" i="1"/>
  <c r="I497" i="1"/>
  <c r="J497" i="1"/>
  <c r="Q497" i="1" s="1"/>
  <c r="O497" i="1"/>
  <c r="R497" i="1"/>
  <c r="S497" i="1"/>
  <c r="T497" i="1"/>
  <c r="U497" i="1"/>
  <c r="P497" i="1" s="1"/>
  <c r="V497" i="1"/>
  <c r="A498" i="1"/>
  <c r="B498" i="1"/>
  <c r="H498" i="1"/>
  <c r="I498" i="1"/>
  <c r="J498" i="1"/>
  <c r="O498" i="1"/>
  <c r="R498" i="1"/>
  <c r="S498" i="1"/>
  <c r="T498" i="1"/>
  <c r="U498" i="1"/>
  <c r="P498" i="1" s="1"/>
  <c r="V498" i="1"/>
  <c r="A499" i="1"/>
  <c r="B499" i="1"/>
  <c r="H499" i="1"/>
  <c r="I499" i="1"/>
  <c r="J499" i="1"/>
  <c r="O499" i="1"/>
  <c r="R499" i="1"/>
  <c r="S499" i="1"/>
  <c r="T499" i="1"/>
  <c r="U499" i="1"/>
  <c r="P499" i="1" s="1"/>
  <c r="V499" i="1"/>
  <c r="A500" i="1"/>
  <c r="B500" i="1"/>
  <c r="H500" i="1"/>
  <c r="I500" i="1"/>
  <c r="J500" i="1"/>
  <c r="O500" i="1"/>
  <c r="R500" i="1"/>
  <c r="S500" i="1"/>
  <c r="T500" i="1"/>
  <c r="U500" i="1"/>
  <c r="P500" i="1" s="1"/>
  <c r="V500" i="1"/>
  <c r="A501" i="1"/>
  <c r="B501" i="1"/>
  <c r="H501" i="1"/>
  <c r="I501" i="1"/>
  <c r="J501" i="1"/>
  <c r="O501" i="1"/>
  <c r="R501" i="1"/>
  <c r="S501" i="1"/>
  <c r="T501" i="1"/>
  <c r="U501" i="1"/>
  <c r="P501" i="1" s="1"/>
  <c r="V501" i="1"/>
  <c r="A502" i="1"/>
  <c r="B502" i="1"/>
  <c r="H502" i="1"/>
  <c r="I502" i="1"/>
  <c r="J502" i="1"/>
  <c r="Q502" i="1" s="1"/>
  <c r="O502" i="1"/>
  <c r="R502" i="1"/>
  <c r="S502" i="1"/>
  <c r="T502" i="1"/>
  <c r="U502" i="1"/>
  <c r="P502" i="1" s="1"/>
  <c r="V502" i="1"/>
  <c r="A503" i="1"/>
  <c r="B503" i="1"/>
  <c r="H503" i="1"/>
  <c r="I503" i="1"/>
  <c r="J503" i="1"/>
  <c r="Q503" i="1" s="1"/>
  <c r="O503" i="1"/>
  <c r="R503" i="1"/>
  <c r="S503" i="1"/>
  <c r="T503" i="1"/>
  <c r="U503" i="1"/>
  <c r="P503" i="1" s="1"/>
  <c r="V503" i="1"/>
  <c r="A504" i="1"/>
  <c r="B504" i="1"/>
  <c r="H504" i="1"/>
  <c r="I504" i="1"/>
  <c r="J504" i="1"/>
  <c r="O504" i="1"/>
  <c r="R504" i="1"/>
  <c r="S504" i="1"/>
  <c r="T504" i="1"/>
  <c r="U504" i="1"/>
  <c r="P504" i="1" s="1"/>
  <c r="V504" i="1"/>
  <c r="A505" i="1"/>
  <c r="B505" i="1"/>
  <c r="H505" i="1"/>
  <c r="I505" i="1"/>
  <c r="J505" i="1"/>
  <c r="O505" i="1"/>
  <c r="R505" i="1"/>
  <c r="S505" i="1"/>
  <c r="T505" i="1"/>
  <c r="U505" i="1"/>
  <c r="P505" i="1" s="1"/>
  <c r="V505" i="1"/>
  <c r="A506" i="1"/>
  <c r="B506" i="1"/>
  <c r="H506" i="1"/>
  <c r="I506" i="1"/>
  <c r="J506" i="1"/>
  <c r="O506" i="1"/>
  <c r="R506" i="1"/>
  <c r="S506" i="1"/>
  <c r="T506" i="1"/>
  <c r="U506" i="1"/>
  <c r="P506" i="1" s="1"/>
  <c r="V506" i="1"/>
  <c r="A507" i="1"/>
  <c r="B507" i="1"/>
  <c r="H507" i="1"/>
  <c r="I507" i="1"/>
  <c r="J507" i="1"/>
  <c r="O507" i="1"/>
  <c r="R507" i="1"/>
  <c r="S507" i="1"/>
  <c r="T507" i="1"/>
  <c r="U507" i="1"/>
  <c r="P507" i="1" s="1"/>
  <c r="V507" i="1"/>
  <c r="A508" i="1"/>
  <c r="B508" i="1"/>
  <c r="H508" i="1"/>
  <c r="I508" i="1"/>
  <c r="J508" i="1"/>
  <c r="Q508" i="1" s="1"/>
  <c r="O508" i="1"/>
  <c r="R508" i="1"/>
  <c r="S508" i="1"/>
  <c r="T508" i="1"/>
  <c r="U508" i="1"/>
  <c r="P508" i="1" s="1"/>
  <c r="V508" i="1"/>
  <c r="A509" i="1"/>
  <c r="B509" i="1"/>
  <c r="H509" i="1"/>
  <c r="I509" i="1"/>
  <c r="J509" i="1"/>
  <c r="Q509" i="1" s="1"/>
  <c r="O509" i="1"/>
  <c r="R509" i="1"/>
  <c r="S509" i="1"/>
  <c r="T509" i="1"/>
  <c r="U509" i="1"/>
  <c r="P509" i="1" s="1"/>
  <c r="V509" i="1"/>
  <c r="A510" i="1"/>
  <c r="B510" i="1"/>
  <c r="H510" i="1"/>
  <c r="I510" i="1"/>
  <c r="J510" i="1"/>
  <c r="O510" i="1"/>
  <c r="R510" i="1"/>
  <c r="S510" i="1"/>
  <c r="T510" i="1"/>
  <c r="U510" i="1"/>
  <c r="P510" i="1" s="1"/>
  <c r="V510" i="1"/>
  <c r="A511" i="1"/>
  <c r="B511" i="1"/>
  <c r="H511" i="1"/>
  <c r="I511" i="1"/>
  <c r="J511" i="1"/>
  <c r="O511" i="1"/>
  <c r="R511" i="1"/>
  <c r="S511" i="1"/>
  <c r="T511" i="1"/>
  <c r="U511" i="1"/>
  <c r="P511" i="1" s="1"/>
  <c r="V511" i="1"/>
  <c r="A512" i="1"/>
  <c r="B512" i="1"/>
  <c r="H512" i="1"/>
  <c r="I512" i="1"/>
  <c r="J512" i="1"/>
  <c r="O512" i="1"/>
  <c r="R512" i="1"/>
  <c r="S512" i="1"/>
  <c r="T512" i="1"/>
  <c r="U512" i="1"/>
  <c r="P512" i="1" s="1"/>
  <c r="V512" i="1"/>
  <c r="A513" i="1"/>
  <c r="B513" i="1"/>
  <c r="H513" i="1"/>
  <c r="I513" i="1"/>
  <c r="J513" i="1"/>
  <c r="O513" i="1"/>
  <c r="R513" i="1"/>
  <c r="S513" i="1"/>
  <c r="T513" i="1"/>
  <c r="U513" i="1"/>
  <c r="P513" i="1" s="1"/>
  <c r="V513" i="1"/>
  <c r="A514" i="1"/>
  <c r="B514" i="1"/>
  <c r="H514" i="1"/>
  <c r="I514" i="1"/>
  <c r="J514" i="1"/>
  <c r="Q514" i="1" s="1"/>
  <c r="O514" i="1"/>
  <c r="R514" i="1"/>
  <c r="S514" i="1"/>
  <c r="T514" i="1"/>
  <c r="U514" i="1"/>
  <c r="P514" i="1" s="1"/>
  <c r="V514" i="1"/>
  <c r="A515" i="1"/>
  <c r="B515" i="1"/>
  <c r="H515" i="1"/>
  <c r="I515" i="1"/>
  <c r="J515" i="1"/>
  <c r="Q515" i="1" s="1"/>
  <c r="O515" i="1"/>
  <c r="R515" i="1"/>
  <c r="S515" i="1"/>
  <c r="T515" i="1"/>
  <c r="U515" i="1"/>
  <c r="P515" i="1" s="1"/>
  <c r="V515" i="1"/>
  <c r="A516" i="1"/>
  <c r="B516" i="1"/>
  <c r="H516" i="1"/>
  <c r="I516" i="1"/>
  <c r="J516" i="1"/>
  <c r="O516" i="1"/>
  <c r="R516" i="1"/>
  <c r="S516" i="1"/>
  <c r="T516" i="1"/>
  <c r="U516" i="1"/>
  <c r="P516" i="1" s="1"/>
  <c r="V516" i="1"/>
  <c r="A517" i="1"/>
  <c r="B517" i="1"/>
  <c r="H517" i="1"/>
  <c r="I517" i="1"/>
  <c r="J517" i="1"/>
  <c r="O517" i="1"/>
  <c r="R517" i="1"/>
  <c r="S517" i="1"/>
  <c r="T517" i="1"/>
  <c r="U517" i="1"/>
  <c r="P517" i="1" s="1"/>
  <c r="V517" i="1"/>
  <c r="A518" i="1"/>
  <c r="B518" i="1"/>
  <c r="H518" i="1"/>
  <c r="I518" i="1"/>
  <c r="J518" i="1"/>
  <c r="O518" i="1"/>
  <c r="R518" i="1"/>
  <c r="S518" i="1"/>
  <c r="T518" i="1"/>
  <c r="U518" i="1"/>
  <c r="P518" i="1" s="1"/>
  <c r="V518" i="1"/>
  <c r="A519" i="1"/>
  <c r="B519" i="1"/>
  <c r="H519" i="1"/>
  <c r="I519" i="1"/>
  <c r="J519" i="1"/>
  <c r="O519" i="1"/>
  <c r="R519" i="1"/>
  <c r="S519" i="1"/>
  <c r="T519" i="1"/>
  <c r="U519" i="1"/>
  <c r="P519" i="1" s="1"/>
  <c r="V519" i="1"/>
  <c r="A520" i="1"/>
  <c r="B520" i="1"/>
  <c r="H520" i="1"/>
  <c r="I520" i="1"/>
  <c r="J520" i="1"/>
  <c r="Q520" i="1" s="1"/>
  <c r="O520" i="1"/>
  <c r="R520" i="1"/>
  <c r="S520" i="1"/>
  <c r="T520" i="1"/>
  <c r="U520" i="1"/>
  <c r="P520" i="1" s="1"/>
  <c r="V520" i="1"/>
  <c r="A521" i="1"/>
  <c r="B521" i="1"/>
  <c r="H521" i="1"/>
  <c r="I521" i="1"/>
  <c r="J521" i="1"/>
  <c r="Q521" i="1" s="1"/>
  <c r="O521" i="1"/>
  <c r="R521" i="1"/>
  <c r="S521" i="1"/>
  <c r="T521" i="1"/>
  <c r="U521" i="1"/>
  <c r="P521" i="1" s="1"/>
  <c r="V521" i="1"/>
  <c r="A522" i="1"/>
  <c r="B522" i="1"/>
  <c r="H522" i="1"/>
  <c r="I522" i="1"/>
  <c r="J522" i="1"/>
  <c r="O522" i="1"/>
  <c r="R522" i="1"/>
  <c r="S522" i="1"/>
  <c r="T522" i="1"/>
  <c r="U522" i="1"/>
  <c r="P522" i="1" s="1"/>
  <c r="V522" i="1"/>
  <c r="A523" i="1"/>
  <c r="B523" i="1"/>
  <c r="H523" i="1"/>
  <c r="I523" i="1"/>
  <c r="J523" i="1"/>
  <c r="O523" i="1"/>
  <c r="R523" i="1"/>
  <c r="S523" i="1"/>
  <c r="T523" i="1"/>
  <c r="U523" i="1"/>
  <c r="P523" i="1" s="1"/>
  <c r="V523" i="1"/>
  <c r="A524" i="1"/>
  <c r="B524" i="1"/>
  <c r="H524" i="1"/>
  <c r="I524" i="1"/>
  <c r="J524" i="1"/>
  <c r="O524" i="1"/>
  <c r="R524" i="1"/>
  <c r="S524" i="1"/>
  <c r="T524" i="1"/>
  <c r="U524" i="1"/>
  <c r="P524" i="1" s="1"/>
  <c r="V524" i="1"/>
  <c r="A525" i="1"/>
  <c r="B525" i="1"/>
  <c r="H525" i="1"/>
  <c r="I525" i="1"/>
  <c r="J525" i="1"/>
  <c r="O525" i="1"/>
  <c r="R525" i="1"/>
  <c r="S525" i="1"/>
  <c r="T525" i="1"/>
  <c r="U525" i="1"/>
  <c r="P525" i="1" s="1"/>
  <c r="V525" i="1"/>
  <c r="A526" i="1"/>
  <c r="B526" i="1"/>
  <c r="H526" i="1"/>
  <c r="I526" i="1"/>
  <c r="J526" i="1"/>
  <c r="Q526" i="1" s="1"/>
  <c r="O526" i="1"/>
  <c r="R526" i="1"/>
  <c r="S526" i="1"/>
  <c r="T526" i="1"/>
  <c r="U526" i="1"/>
  <c r="P526" i="1" s="1"/>
  <c r="V526" i="1"/>
  <c r="A527" i="1"/>
  <c r="B527" i="1"/>
  <c r="H527" i="1"/>
  <c r="I527" i="1"/>
  <c r="J527" i="1"/>
  <c r="Q527" i="1" s="1"/>
  <c r="O527" i="1"/>
  <c r="R527" i="1"/>
  <c r="S527" i="1"/>
  <c r="T527" i="1"/>
  <c r="U527" i="1"/>
  <c r="P527" i="1" s="1"/>
  <c r="V527" i="1"/>
  <c r="A528" i="1"/>
  <c r="B528" i="1"/>
  <c r="H528" i="1"/>
  <c r="I528" i="1"/>
  <c r="J528" i="1"/>
  <c r="O528" i="1"/>
  <c r="R528" i="1"/>
  <c r="S528" i="1"/>
  <c r="T528" i="1"/>
  <c r="U528" i="1"/>
  <c r="P528" i="1" s="1"/>
  <c r="V528" i="1"/>
  <c r="A529" i="1"/>
  <c r="B529" i="1"/>
  <c r="H529" i="1"/>
  <c r="I529" i="1"/>
  <c r="J529" i="1"/>
  <c r="O529" i="1"/>
  <c r="R529" i="1"/>
  <c r="S529" i="1"/>
  <c r="T529" i="1"/>
  <c r="U529" i="1"/>
  <c r="P529" i="1" s="1"/>
  <c r="V529" i="1"/>
  <c r="A530" i="1"/>
  <c r="B530" i="1"/>
  <c r="H530" i="1"/>
  <c r="I530" i="1"/>
  <c r="J530" i="1"/>
  <c r="O530" i="1"/>
  <c r="R530" i="1"/>
  <c r="S530" i="1"/>
  <c r="T530" i="1"/>
  <c r="U530" i="1"/>
  <c r="P530" i="1" s="1"/>
  <c r="V530" i="1"/>
  <c r="A531" i="1"/>
  <c r="B531" i="1"/>
  <c r="H531" i="1"/>
  <c r="I531" i="1"/>
  <c r="J531" i="1"/>
  <c r="O531" i="1"/>
  <c r="R531" i="1"/>
  <c r="S531" i="1"/>
  <c r="T531" i="1"/>
  <c r="U531" i="1"/>
  <c r="P531" i="1" s="1"/>
  <c r="V531" i="1"/>
  <c r="A532" i="1"/>
  <c r="B532" i="1"/>
  <c r="H532" i="1"/>
  <c r="I532" i="1"/>
  <c r="J532" i="1"/>
  <c r="Q532" i="1" s="1"/>
  <c r="O532" i="1"/>
  <c r="R532" i="1"/>
  <c r="S532" i="1"/>
  <c r="T532" i="1"/>
  <c r="U532" i="1"/>
  <c r="P532" i="1" s="1"/>
  <c r="V532" i="1"/>
  <c r="A533" i="1"/>
  <c r="B533" i="1"/>
  <c r="H533" i="1"/>
  <c r="I533" i="1"/>
  <c r="J533" i="1"/>
  <c r="Q533" i="1" s="1"/>
  <c r="O533" i="1"/>
  <c r="R533" i="1"/>
  <c r="S533" i="1"/>
  <c r="T533" i="1"/>
  <c r="U533" i="1"/>
  <c r="P533" i="1" s="1"/>
  <c r="V533" i="1"/>
  <c r="A534" i="1"/>
  <c r="B534" i="1"/>
  <c r="H534" i="1"/>
  <c r="I534" i="1"/>
  <c r="J534" i="1"/>
  <c r="O534" i="1"/>
  <c r="R534" i="1"/>
  <c r="S534" i="1"/>
  <c r="T534" i="1"/>
  <c r="U534" i="1"/>
  <c r="P534" i="1" s="1"/>
  <c r="V534" i="1"/>
  <c r="A535" i="1"/>
  <c r="B535" i="1"/>
  <c r="H535" i="1"/>
  <c r="I535" i="1"/>
  <c r="J535" i="1"/>
  <c r="O535" i="1"/>
  <c r="R535" i="1"/>
  <c r="S535" i="1"/>
  <c r="T535" i="1"/>
  <c r="U535" i="1"/>
  <c r="P535" i="1" s="1"/>
  <c r="V535" i="1"/>
  <c r="A536" i="1"/>
  <c r="B536" i="1"/>
  <c r="H536" i="1"/>
  <c r="I536" i="1"/>
  <c r="J536" i="1"/>
  <c r="O536" i="1"/>
  <c r="R536" i="1"/>
  <c r="S536" i="1"/>
  <c r="T536" i="1"/>
  <c r="U536" i="1"/>
  <c r="P536" i="1" s="1"/>
  <c r="V536" i="1"/>
  <c r="A537" i="1"/>
  <c r="B537" i="1"/>
  <c r="H537" i="1"/>
  <c r="I537" i="1"/>
  <c r="J537" i="1"/>
  <c r="O537" i="1"/>
  <c r="R537" i="1"/>
  <c r="S537" i="1"/>
  <c r="T537" i="1"/>
  <c r="U537" i="1"/>
  <c r="P537" i="1" s="1"/>
  <c r="V537" i="1"/>
  <c r="A538" i="1"/>
  <c r="B538" i="1"/>
  <c r="H538" i="1"/>
  <c r="I538" i="1"/>
  <c r="J538" i="1"/>
  <c r="Q538" i="1" s="1"/>
  <c r="O538" i="1"/>
  <c r="R538" i="1"/>
  <c r="S538" i="1"/>
  <c r="T538" i="1"/>
  <c r="U538" i="1"/>
  <c r="P538" i="1" s="1"/>
  <c r="V538" i="1"/>
  <c r="A539" i="1"/>
  <c r="B539" i="1"/>
  <c r="H539" i="1"/>
  <c r="I539" i="1"/>
  <c r="J539" i="1"/>
  <c r="Q539" i="1" s="1"/>
  <c r="O539" i="1"/>
  <c r="R539" i="1"/>
  <c r="S539" i="1"/>
  <c r="T539" i="1"/>
  <c r="U539" i="1"/>
  <c r="P539" i="1" s="1"/>
  <c r="V539" i="1"/>
  <c r="A540" i="1"/>
  <c r="B540" i="1"/>
  <c r="H540" i="1"/>
  <c r="I540" i="1"/>
  <c r="J540" i="1"/>
  <c r="O540" i="1"/>
  <c r="R540" i="1"/>
  <c r="S540" i="1"/>
  <c r="T540" i="1"/>
  <c r="U540" i="1"/>
  <c r="P540" i="1" s="1"/>
  <c r="V540" i="1"/>
  <c r="A541" i="1"/>
  <c r="B541" i="1"/>
  <c r="H541" i="1"/>
  <c r="I541" i="1"/>
  <c r="J541" i="1"/>
  <c r="O541" i="1"/>
  <c r="R541" i="1"/>
  <c r="S541" i="1"/>
  <c r="T541" i="1"/>
  <c r="U541" i="1"/>
  <c r="P541" i="1" s="1"/>
  <c r="V541" i="1"/>
  <c r="A542" i="1"/>
  <c r="B542" i="1"/>
  <c r="H542" i="1"/>
  <c r="I542" i="1"/>
  <c r="J542" i="1"/>
  <c r="O542" i="1"/>
  <c r="R542" i="1"/>
  <c r="S542" i="1"/>
  <c r="T542" i="1"/>
  <c r="U542" i="1"/>
  <c r="P542" i="1" s="1"/>
  <c r="V542" i="1"/>
  <c r="A543" i="1"/>
  <c r="B543" i="1"/>
  <c r="H543" i="1"/>
  <c r="I543" i="1"/>
  <c r="J543" i="1"/>
  <c r="O543" i="1"/>
  <c r="R543" i="1"/>
  <c r="S543" i="1"/>
  <c r="T543" i="1"/>
  <c r="U543" i="1"/>
  <c r="P543" i="1" s="1"/>
  <c r="V543" i="1"/>
  <c r="A544" i="1"/>
  <c r="B544" i="1"/>
  <c r="H544" i="1"/>
  <c r="I544" i="1"/>
  <c r="J544" i="1"/>
  <c r="Q544" i="1" s="1"/>
  <c r="O544" i="1"/>
  <c r="R544" i="1"/>
  <c r="S544" i="1"/>
  <c r="T544" i="1"/>
  <c r="U544" i="1"/>
  <c r="P544" i="1" s="1"/>
  <c r="V544" i="1"/>
  <c r="A545" i="1"/>
  <c r="B545" i="1"/>
  <c r="H545" i="1"/>
  <c r="I545" i="1"/>
  <c r="J545" i="1"/>
  <c r="Q545" i="1" s="1"/>
  <c r="O545" i="1"/>
  <c r="R545" i="1"/>
  <c r="S545" i="1"/>
  <c r="T545" i="1"/>
  <c r="U545" i="1"/>
  <c r="P545" i="1" s="1"/>
  <c r="V545" i="1"/>
  <c r="A546" i="1"/>
  <c r="B546" i="1"/>
  <c r="H546" i="1"/>
  <c r="I546" i="1"/>
  <c r="J546" i="1"/>
  <c r="O546" i="1"/>
  <c r="R546" i="1"/>
  <c r="S546" i="1"/>
  <c r="T546" i="1"/>
  <c r="U546" i="1"/>
  <c r="P546" i="1" s="1"/>
  <c r="V546" i="1"/>
  <c r="A547" i="1"/>
  <c r="B547" i="1"/>
  <c r="H547" i="1"/>
  <c r="I547" i="1"/>
  <c r="J547" i="1"/>
  <c r="O547" i="1"/>
  <c r="R547" i="1"/>
  <c r="S547" i="1"/>
  <c r="T547" i="1"/>
  <c r="U547" i="1"/>
  <c r="P547" i="1" s="1"/>
  <c r="V547" i="1"/>
  <c r="A548" i="1"/>
  <c r="B548" i="1"/>
  <c r="H548" i="1"/>
  <c r="I548" i="1"/>
  <c r="J548" i="1"/>
  <c r="O548" i="1"/>
  <c r="R548" i="1"/>
  <c r="S548" i="1"/>
  <c r="T548" i="1"/>
  <c r="U548" i="1"/>
  <c r="P548" i="1" s="1"/>
  <c r="V548" i="1"/>
  <c r="A549" i="1"/>
  <c r="B549" i="1"/>
  <c r="H549" i="1"/>
  <c r="I549" i="1"/>
  <c r="J549" i="1"/>
  <c r="O549" i="1"/>
  <c r="R549" i="1"/>
  <c r="S549" i="1"/>
  <c r="T549" i="1"/>
  <c r="U549" i="1"/>
  <c r="P549" i="1" s="1"/>
  <c r="V549" i="1"/>
  <c r="A550" i="1"/>
  <c r="B550" i="1"/>
  <c r="H550" i="1"/>
  <c r="I550" i="1"/>
  <c r="J550" i="1"/>
  <c r="Q550" i="1" s="1"/>
  <c r="O550" i="1"/>
  <c r="R550" i="1"/>
  <c r="S550" i="1"/>
  <c r="T550" i="1"/>
  <c r="U550" i="1"/>
  <c r="P550" i="1" s="1"/>
  <c r="V550" i="1"/>
  <c r="A551" i="1"/>
  <c r="B551" i="1"/>
  <c r="H551" i="1"/>
  <c r="I551" i="1"/>
  <c r="J551" i="1"/>
  <c r="Q551" i="1" s="1"/>
  <c r="O551" i="1"/>
  <c r="R551" i="1"/>
  <c r="S551" i="1"/>
  <c r="T551" i="1"/>
  <c r="U551" i="1"/>
  <c r="P551" i="1" s="1"/>
  <c r="V551" i="1"/>
  <c r="A552" i="1"/>
  <c r="B552" i="1"/>
  <c r="H552" i="1"/>
  <c r="I552" i="1"/>
  <c r="J552" i="1"/>
  <c r="O552" i="1"/>
  <c r="R552" i="1"/>
  <c r="S552" i="1"/>
  <c r="T552" i="1"/>
  <c r="U552" i="1"/>
  <c r="P552" i="1" s="1"/>
  <c r="V552" i="1"/>
  <c r="A553" i="1"/>
  <c r="B553" i="1"/>
  <c r="H553" i="1"/>
  <c r="I553" i="1"/>
  <c r="J553" i="1"/>
  <c r="O553" i="1"/>
  <c r="R553" i="1"/>
  <c r="S553" i="1"/>
  <c r="T553" i="1"/>
  <c r="U553" i="1"/>
  <c r="P553" i="1" s="1"/>
  <c r="V553" i="1"/>
  <c r="A554" i="1"/>
  <c r="B554" i="1"/>
  <c r="H554" i="1"/>
  <c r="I554" i="1"/>
  <c r="J554" i="1"/>
  <c r="O554" i="1"/>
  <c r="R554" i="1"/>
  <c r="S554" i="1"/>
  <c r="T554" i="1"/>
  <c r="U554" i="1"/>
  <c r="P554" i="1" s="1"/>
  <c r="V554" i="1"/>
  <c r="A555" i="1"/>
  <c r="B555" i="1"/>
  <c r="H555" i="1"/>
  <c r="I555" i="1"/>
  <c r="J555" i="1"/>
  <c r="O555" i="1"/>
  <c r="R555" i="1"/>
  <c r="S555" i="1"/>
  <c r="T555" i="1"/>
  <c r="U555" i="1"/>
  <c r="P555" i="1" s="1"/>
  <c r="V555" i="1"/>
  <c r="A556" i="1"/>
  <c r="B556" i="1"/>
  <c r="H556" i="1"/>
  <c r="I556" i="1"/>
  <c r="J556" i="1"/>
  <c r="Q556" i="1" s="1"/>
  <c r="O556" i="1"/>
  <c r="R556" i="1"/>
  <c r="S556" i="1"/>
  <c r="T556" i="1"/>
  <c r="U556" i="1"/>
  <c r="P556" i="1" s="1"/>
  <c r="V556" i="1"/>
  <c r="A557" i="1"/>
  <c r="B557" i="1"/>
  <c r="H557" i="1"/>
  <c r="I557" i="1"/>
  <c r="J557" i="1"/>
  <c r="Q557" i="1" s="1"/>
  <c r="O557" i="1"/>
  <c r="R557" i="1"/>
  <c r="S557" i="1"/>
  <c r="T557" i="1"/>
  <c r="U557" i="1"/>
  <c r="P557" i="1" s="1"/>
  <c r="V557" i="1"/>
  <c r="A558" i="1"/>
  <c r="B558" i="1"/>
  <c r="H558" i="1"/>
  <c r="I558" i="1"/>
  <c r="J558" i="1"/>
  <c r="O558" i="1"/>
  <c r="R558" i="1"/>
  <c r="S558" i="1"/>
  <c r="T558" i="1"/>
  <c r="U558" i="1"/>
  <c r="P558" i="1" s="1"/>
  <c r="V558" i="1"/>
  <c r="A559" i="1"/>
  <c r="B559" i="1"/>
  <c r="H559" i="1"/>
  <c r="I559" i="1"/>
  <c r="J559" i="1"/>
  <c r="O559" i="1"/>
  <c r="R559" i="1"/>
  <c r="S559" i="1"/>
  <c r="T559" i="1"/>
  <c r="U559" i="1"/>
  <c r="P559" i="1" s="1"/>
  <c r="V559" i="1"/>
  <c r="A560" i="1"/>
  <c r="B560" i="1"/>
  <c r="H560" i="1"/>
  <c r="I560" i="1"/>
  <c r="J560" i="1"/>
  <c r="O560" i="1"/>
  <c r="R560" i="1"/>
  <c r="S560" i="1"/>
  <c r="T560" i="1"/>
  <c r="U560" i="1"/>
  <c r="P560" i="1" s="1"/>
  <c r="V560" i="1"/>
  <c r="A561" i="1"/>
  <c r="B561" i="1"/>
  <c r="H561" i="1"/>
  <c r="I561" i="1"/>
  <c r="J561" i="1"/>
  <c r="O561" i="1"/>
  <c r="R561" i="1"/>
  <c r="S561" i="1"/>
  <c r="T561" i="1"/>
  <c r="U561" i="1"/>
  <c r="P561" i="1" s="1"/>
  <c r="V561" i="1"/>
  <c r="A562" i="1"/>
  <c r="B562" i="1"/>
  <c r="H562" i="1"/>
  <c r="I562" i="1"/>
  <c r="J562" i="1"/>
  <c r="Q562" i="1" s="1"/>
  <c r="O562" i="1"/>
  <c r="R562" i="1"/>
  <c r="S562" i="1"/>
  <c r="T562" i="1"/>
  <c r="U562" i="1"/>
  <c r="P562" i="1" s="1"/>
  <c r="V562" i="1"/>
  <c r="A563" i="1"/>
  <c r="B563" i="1"/>
  <c r="H563" i="1"/>
  <c r="I563" i="1"/>
  <c r="J563" i="1"/>
  <c r="Q563" i="1" s="1"/>
  <c r="O563" i="1"/>
  <c r="R563" i="1"/>
  <c r="S563" i="1"/>
  <c r="T563" i="1"/>
  <c r="U563" i="1"/>
  <c r="P563" i="1" s="1"/>
  <c r="V563" i="1"/>
  <c r="A564" i="1"/>
  <c r="B564" i="1"/>
  <c r="H564" i="1"/>
  <c r="I564" i="1"/>
  <c r="J564" i="1"/>
  <c r="O564" i="1"/>
  <c r="R564" i="1"/>
  <c r="S564" i="1"/>
  <c r="T564" i="1"/>
  <c r="U564" i="1"/>
  <c r="P564" i="1" s="1"/>
  <c r="V564" i="1"/>
  <c r="A565" i="1"/>
  <c r="B565" i="1"/>
  <c r="H565" i="1"/>
  <c r="I565" i="1"/>
  <c r="J565" i="1"/>
  <c r="O565" i="1"/>
  <c r="R565" i="1"/>
  <c r="S565" i="1"/>
  <c r="T565" i="1"/>
  <c r="U565" i="1"/>
  <c r="P565" i="1" s="1"/>
  <c r="V565" i="1"/>
  <c r="A566" i="1"/>
  <c r="B566" i="1"/>
  <c r="H566" i="1"/>
  <c r="I566" i="1"/>
  <c r="J566" i="1"/>
  <c r="O566" i="1"/>
  <c r="R566" i="1"/>
  <c r="S566" i="1"/>
  <c r="T566" i="1"/>
  <c r="U566" i="1"/>
  <c r="P566" i="1" s="1"/>
  <c r="V566" i="1"/>
  <c r="A567" i="1"/>
  <c r="B567" i="1"/>
  <c r="H567" i="1"/>
  <c r="I567" i="1"/>
  <c r="J567" i="1"/>
  <c r="O567" i="1"/>
  <c r="R567" i="1"/>
  <c r="S567" i="1"/>
  <c r="T567" i="1"/>
  <c r="U567" i="1"/>
  <c r="P567" i="1" s="1"/>
  <c r="V567" i="1"/>
  <c r="A568" i="1"/>
  <c r="B568" i="1"/>
  <c r="H568" i="1"/>
  <c r="I568" i="1"/>
  <c r="J568" i="1"/>
  <c r="Q568" i="1" s="1"/>
  <c r="O568" i="1"/>
  <c r="R568" i="1"/>
  <c r="S568" i="1"/>
  <c r="T568" i="1"/>
  <c r="U568" i="1"/>
  <c r="P568" i="1" s="1"/>
  <c r="V568" i="1"/>
  <c r="A569" i="1"/>
  <c r="B569" i="1"/>
  <c r="H569" i="1"/>
  <c r="I569" i="1"/>
  <c r="J569" i="1"/>
  <c r="Q569" i="1" s="1"/>
  <c r="O569" i="1"/>
  <c r="R569" i="1"/>
  <c r="S569" i="1"/>
  <c r="T569" i="1"/>
  <c r="U569" i="1"/>
  <c r="P569" i="1" s="1"/>
  <c r="V569" i="1"/>
  <c r="A570" i="1"/>
  <c r="B570" i="1"/>
  <c r="H570" i="1"/>
  <c r="I570" i="1"/>
  <c r="J570" i="1"/>
  <c r="O570" i="1"/>
  <c r="R570" i="1"/>
  <c r="S570" i="1"/>
  <c r="T570" i="1"/>
  <c r="U570" i="1"/>
  <c r="P570" i="1" s="1"/>
  <c r="V570" i="1"/>
  <c r="A571" i="1"/>
  <c r="B571" i="1"/>
  <c r="H571" i="1"/>
  <c r="I571" i="1"/>
  <c r="J571" i="1"/>
  <c r="O571" i="1"/>
  <c r="R571" i="1"/>
  <c r="S571" i="1"/>
  <c r="T571" i="1"/>
  <c r="U571" i="1"/>
  <c r="P571" i="1" s="1"/>
  <c r="V571" i="1"/>
  <c r="A572" i="1"/>
  <c r="B572" i="1"/>
  <c r="H572" i="1"/>
  <c r="I572" i="1"/>
  <c r="J572" i="1"/>
  <c r="O572" i="1"/>
  <c r="R572" i="1"/>
  <c r="S572" i="1"/>
  <c r="T572" i="1"/>
  <c r="U572" i="1"/>
  <c r="P572" i="1" s="1"/>
  <c r="V572" i="1"/>
  <c r="A573" i="1"/>
  <c r="B573" i="1"/>
  <c r="H573" i="1"/>
  <c r="I573" i="1"/>
  <c r="J573" i="1"/>
  <c r="O573" i="1"/>
  <c r="R573" i="1"/>
  <c r="S573" i="1"/>
  <c r="T573" i="1"/>
  <c r="U573" i="1"/>
  <c r="P573" i="1" s="1"/>
  <c r="V573" i="1"/>
  <c r="A574" i="1"/>
  <c r="B574" i="1"/>
  <c r="H574" i="1"/>
  <c r="I574" i="1"/>
  <c r="J574" i="1"/>
  <c r="Q574" i="1" s="1"/>
  <c r="O574" i="1"/>
  <c r="R574" i="1"/>
  <c r="S574" i="1"/>
  <c r="T574" i="1"/>
  <c r="U574" i="1"/>
  <c r="P574" i="1" s="1"/>
  <c r="V574" i="1"/>
  <c r="A575" i="1"/>
  <c r="B575" i="1"/>
  <c r="H575" i="1"/>
  <c r="I575" i="1"/>
  <c r="J575" i="1"/>
  <c r="Q575" i="1" s="1"/>
  <c r="O575" i="1"/>
  <c r="R575" i="1"/>
  <c r="S575" i="1"/>
  <c r="T575" i="1"/>
  <c r="U575" i="1"/>
  <c r="P575" i="1" s="1"/>
  <c r="V575" i="1"/>
  <c r="A576" i="1"/>
  <c r="B576" i="1"/>
  <c r="H576" i="1"/>
  <c r="I576" i="1"/>
  <c r="J576" i="1"/>
  <c r="O576" i="1"/>
  <c r="R576" i="1"/>
  <c r="S576" i="1"/>
  <c r="T576" i="1"/>
  <c r="U576" i="1"/>
  <c r="P576" i="1" s="1"/>
  <c r="V576" i="1"/>
  <c r="A577" i="1"/>
  <c r="B577" i="1"/>
  <c r="H577" i="1"/>
  <c r="I577" i="1"/>
  <c r="J577" i="1"/>
  <c r="O577" i="1"/>
  <c r="R577" i="1"/>
  <c r="S577" i="1"/>
  <c r="T577" i="1"/>
  <c r="U577" i="1"/>
  <c r="P577" i="1" s="1"/>
  <c r="V577" i="1"/>
  <c r="A578" i="1"/>
  <c r="B578" i="1"/>
  <c r="H578" i="1"/>
  <c r="I578" i="1"/>
  <c r="J578" i="1"/>
  <c r="O578" i="1"/>
  <c r="R578" i="1"/>
  <c r="S578" i="1"/>
  <c r="T578" i="1"/>
  <c r="U578" i="1"/>
  <c r="P578" i="1" s="1"/>
  <c r="V578" i="1"/>
  <c r="A579" i="1"/>
  <c r="B579" i="1"/>
  <c r="H579" i="1"/>
  <c r="I579" i="1"/>
  <c r="J579" i="1"/>
  <c r="O579" i="1"/>
  <c r="R579" i="1"/>
  <c r="S579" i="1"/>
  <c r="T579" i="1"/>
  <c r="U579" i="1"/>
  <c r="P579" i="1" s="1"/>
  <c r="V579" i="1"/>
  <c r="A580" i="1"/>
  <c r="B580" i="1"/>
  <c r="H580" i="1"/>
  <c r="I580" i="1"/>
  <c r="J580" i="1"/>
  <c r="Q580" i="1" s="1"/>
  <c r="O580" i="1"/>
  <c r="R580" i="1"/>
  <c r="S580" i="1"/>
  <c r="T580" i="1"/>
  <c r="U580" i="1"/>
  <c r="P580" i="1" s="1"/>
  <c r="V580" i="1"/>
  <c r="A581" i="1"/>
  <c r="B581" i="1"/>
  <c r="H581" i="1"/>
  <c r="I581" i="1"/>
  <c r="J581" i="1"/>
  <c r="Q581" i="1" s="1"/>
  <c r="O581" i="1"/>
  <c r="R581" i="1"/>
  <c r="S581" i="1"/>
  <c r="T581" i="1"/>
  <c r="U581" i="1"/>
  <c r="P581" i="1" s="1"/>
  <c r="V581" i="1"/>
  <c r="A582" i="1"/>
  <c r="B582" i="1"/>
  <c r="H582" i="1"/>
  <c r="I582" i="1"/>
  <c r="J582" i="1"/>
  <c r="O582" i="1"/>
  <c r="R582" i="1"/>
  <c r="S582" i="1"/>
  <c r="T582" i="1"/>
  <c r="U582" i="1"/>
  <c r="P582" i="1" s="1"/>
  <c r="V582" i="1"/>
  <c r="A583" i="1"/>
  <c r="B583" i="1"/>
  <c r="H583" i="1"/>
  <c r="I583" i="1"/>
  <c r="J583" i="1"/>
  <c r="O583" i="1"/>
  <c r="R583" i="1"/>
  <c r="S583" i="1"/>
  <c r="T583" i="1"/>
  <c r="U583" i="1"/>
  <c r="P583" i="1" s="1"/>
  <c r="V583" i="1"/>
  <c r="A584" i="1"/>
  <c r="B584" i="1"/>
  <c r="H584" i="1"/>
  <c r="I584" i="1"/>
  <c r="J584" i="1"/>
  <c r="O584" i="1"/>
  <c r="R584" i="1"/>
  <c r="S584" i="1"/>
  <c r="T584" i="1"/>
  <c r="U584" i="1"/>
  <c r="P584" i="1" s="1"/>
  <c r="V584" i="1"/>
  <c r="A585" i="1"/>
  <c r="B585" i="1"/>
  <c r="H585" i="1"/>
  <c r="I585" i="1"/>
  <c r="J585" i="1"/>
  <c r="O585" i="1"/>
  <c r="R585" i="1"/>
  <c r="S585" i="1"/>
  <c r="T585" i="1"/>
  <c r="U585" i="1"/>
  <c r="P585" i="1" s="1"/>
  <c r="V585" i="1"/>
  <c r="A586" i="1"/>
  <c r="B586" i="1"/>
  <c r="H586" i="1"/>
  <c r="I586" i="1"/>
  <c r="J586" i="1"/>
  <c r="Q586" i="1" s="1"/>
  <c r="O586" i="1"/>
  <c r="R586" i="1"/>
  <c r="S586" i="1"/>
  <c r="T586" i="1"/>
  <c r="U586" i="1"/>
  <c r="P586" i="1" s="1"/>
  <c r="V586" i="1"/>
  <c r="A587" i="1"/>
  <c r="B587" i="1"/>
  <c r="H587" i="1"/>
  <c r="I587" i="1"/>
  <c r="J587" i="1"/>
  <c r="Q587" i="1" s="1"/>
  <c r="O587" i="1"/>
  <c r="R587" i="1"/>
  <c r="S587" i="1"/>
  <c r="T587" i="1"/>
  <c r="U587" i="1"/>
  <c r="P587" i="1" s="1"/>
  <c r="V587" i="1"/>
  <c r="A588" i="1"/>
  <c r="B588" i="1"/>
  <c r="H588" i="1"/>
  <c r="I588" i="1"/>
  <c r="J588" i="1"/>
  <c r="O588" i="1"/>
  <c r="R588" i="1"/>
  <c r="S588" i="1"/>
  <c r="T588" i="1"/>
  <c r="U588" i="1"/>
  <c r="P588" i="1" s="1"/>
  <c r="V588" i="1"/>
  <c r="A589" i="1"/>
  <c r="B589" i="1"/>
  <c r="H589" i="1"/>
  <c r="I589" i="1"/>
  <c r="J589" i="1"/>
  <c r="O589" i="1"/>
  <c r="R589" i="1"/>
  <c r="S589" i="1"/>
  <c r="T589" i="1"/>
  <c r="U589" i="1"/>
  <c r="P589" i="1" s="1"/>
  <c r="V589" i="1"/>
  <c r="A590" i="1"/>
  <c r="B590" i="1"/>
  <c r="H590" i="1"/>
  <c r="I590" i="1"/>
  <c r="J590" i="1"/>
  <c r="O590" i="1"/>
  <c r="R590" i="1"/>
  <c r="S590" i="1"/>
  <c r="T590" i="1"/>
  <c r="U590" i="1"/>
  <c r="P590" i="1" s="1"/>
  <c r="V590" i="1"/>
  <c r="A591" i="1"/>
  <c r="B591" i="1"/>
  <c r="H591" i="1"/>
  <c r="I591" i="1"/>
  <c r="J591" i="1"/>
  <c r="O591" i="1"/>
  <c r="R591" i="1"/>
  <c r="S591" i="1"/>
  <c r="T591" i="1"/>
  <c r="U591" i="1"/>
  <c r="P591" i="1" s="1"/>
  <c r="V591" i="1"/>
  <c r="A592" i="1"/>
  <c r="B592" i="1"/>
  <c r="H592" i="1"/>
  <c r="I592" i="1"/>
  <c r="J592" i="1"/>
  <c r="Q592" i="1" s="1"/>
  <c r="O592" i="1"/>
  <c r="R592" i="1"/>
  <c r="S592" i="1"/>
  <c r="T592" i="1"/>
  <c r="U592" i="1"/>
  <c r="P592" i="1" s="1"/>
  <c r="V592" i="1"/>
  <c r="A593" i="1"/>
  <c r="B593" i="1"/>
  <c r="H593" i="1"/>
  <c r="I593" i="1"/>
  <c r="J593" i="1"/>
  <c r="Q593" i="1" s="1"/>
  <c r="O593" i="1"/>
  <c r="R593" i="1"/>
  <c r="S593" i="1"/>
  <c r="T593" i="1"/>
  <c r="U593" i="1"/>
  <c r="P593" i="1" s="1"/>
  <c r="V593" i="1"/>
  <c r="A594" i="1"/>
  <c r="B594" i="1"/>
  <c r="H594" i="1"/>
  <c r="I594" i="1"/>
  <c r="J594" i="1"/>
  <c r="O594" i="1"/>
  <c r="R594" i="1"/>
  <c r="S594" i="1"/>
  <c r="T594" i="1"/>
  <c r="U594" i="1"/>
  <c r="P594" i="1" s="1"/>
  <c r="V594" i="1"/>
  <c r="A595" i="1"/>
  <c r="B595" i="1"/>
  <c r="H595" i="1"/>
  <c r="I595" i="1"/>
  <c r="J595" i="1"/>
  <c r="O595" i="1"/>
  <c r="R595" i="1"/>
  <c r="S595" i="1"/>
  <c r="T595" i="1"/>
  <c r="U595" i="1"/>
  <c r="P595" i="1" s="1"/>
  <c r="V595" i="1"/>
  <c r="A596" i="1"/>
  <c r="B596" i="1"/>
  <c r="H596" i="1"/>
  <c r="I596" i="1"/>
  <c r="J596" i="1"/>
  <c r="O596" i="1"/>
  <c r="R596" i="1"/>
  <c r="S596" i="1"/>
  <c r="T596" i="1"/>
  <c r="U596" i="1"/>
  <c r="P596" i="1" s="1"/>
  <c r="V596" i="1"/>
  <c r="A597" i="1"/>
  <c r="B597" i="1"/>
  <c r="H597" i="1"/>
  <c r="I597" i="1"/>
  <c r="J597" i="1"/>
  <c r="O597" i="1"/>
  <c r="R597" i="1"/>
  <c r="S597" i="1"/>
  <c r="T597" i="1"/>
  <c r="U597" i="1"/>
  <c r="P597" i="1" s="1"/>
  <c r="V597" i="1"/>
  <c r="A598" i="1"/>
  <c r="B598" i="1"/>
  <c r="H598" i="1"/>
  <c r="I598" i="1"/>
  <c r="J598" i="1"/>
  <c r="Q598" i="1" s="1"/>
  <c r="O598" i="1"/>
  <c r="R598" i="1"/>
  <c r="S598" i="1"/>
  <c r="T598" i="1"/>
  <c r="U598" i="1"/>
  <c r="P598" i="1" s="1"/>
  <c r="V598" i="1"/>
  <c r="A599" i="1"/>
  <c r="B599" i="1"/>
  <c r="H599" i="1"/>
  <c r="I599" i="1"/>
  <c r="J599" i="1"/>
  <c r="Q599" i="1" s="1"/>
  <c r="O599" i="1"/>
  <c r="R599" i="1"/>
  <c r="S599" i="1"/>
  <c r="T599" i="1"/>
  <c r="U599" i="1"/>
  <c r="P599" i="1" s="1"/>
  <c r="V599" i="1"/>
  <c r="A600" i="1"/>
  <c r="B600" i="1"/>
  <c r="H600" i="1"/>
  <c r="I600" i="1"/>
  <c r="J600" i="1"/>
  <c r="O600" i="1"/>
  <c r="R600" i="1"/>
  <c r="S600" i="1"/>
  <c r="T600" i="1"/>
  <c r="U600" i="1"/>
  <c r="P600" i="1" s="1"/>
  <c r="V600" i="1"/>
  <c r="A601" i="1"/>
  <c r="B601" i="1"/>
  <c r="H601" i="1"/>
  <c r="I601" i="1"/>
  <c r="J601" i="1"/>
  <c r="O601" i="1"/>
  <c r="R601" i="1"/>
  <c r="S601" i="1"/>
  <c r="T601" i="1"/>
  <c r="U601" i="1"/>
  <c r="P601" i="1" s="1"/>
  <c r="V601" i="1"/>
  <c r="A602" i="1"/>
  <c r="B602" i="1"/>
  <c r="H602" i="1"/>
  <c r="I602" i="1"/>
  <c r="J602" i="1"/>
  <c r="O602" i="1"/>
  <c r="R602" i="1"/>
  <c r="S602" i="1"/>
  <c r="T602" i="1"/>
  <c r="U602" i="1"/>
  <c r="P602" i="1" s="1"/>
  <c r="V602" i="1"/>
  <c r="A603" i="1"/>
  <c r="B603" i="1"/>
  <c r="H603" i="1"/>
  <c r="I603" i="1"/>
  <c r="J603" i="1"/>
  <c r="O603" i="1"/>
  <c r="R603" i="1"/>
  <c r="S603" i="1"/>
  <c r="T603" i="1"/>
  <c r="U603" i="1"/>
  <c r="P603" i="1" s="1"/>
  <c r="V603" i="1"/>
  <c r="A604" i="1"/>
  <c r="B604" i="1"/>
  <c r="H604" i="1"/>
  <c r="I604" i="1"/>
  <c r="J604" i="1"/>
  <c r="Q604" i="1" s="1"/>
  <c r="O604" i="1"/>
  <c r="R604" i="1"/>
  <c r="S604" i="1"/>
  <c r="T604" i="1"/>
  <c r="U604" i="1"/>
  <c r="P604" i="1" s="1"/>
  <c r="V604" i="1"/>
  <c r="A605" i="1"/>
  <c r="B605" i="1"/>
  <c r="H605" i="1"/>
  <c r="I605" i="1"/>
  <c r="J605" i="1"/>
  <c r="Q605" i="1" s="1"/>
  <c r="O605" i="1"/>
  <c r="R605" i="1"/>
  <c r="S605" i="1"/>
  <c r="T605" i="1"/>
  <c r="U605" i="1"/>
  <c r="P605" i="1" s="1"/>
  <c r="V605" i="1"/>
  <c r="A606" i="1"/>
  <c r="B606" i="1"/>
  <c r="H606" i="1"/>
  <c r="I606" i="1"/>
  <c r="J606" i="1"/>
  <c r="O606" i="1"/>
  <c r="R606" i="1"/>
  <c r="S606" i="1"/>
  <c r="T606" i="1"/>
  <c r="U606" i="1"/>
  <c r="P606" i="1" s="1"/>
  <c r="V606" i="1"/>
  <c r="A607" i="1"/>
  <c r="B607" i="1"/>
  <c r="H607" i="1"/>
  <c r="I607" i="1"/>
  <c r="J607" i="1"/>
  <c r="O607" i="1"/>
  <c r="R607" i="1"/>
  <c r="S607" i="1"/>
  <c r="T607" i="1"/>
  <c r="U607" i="1"/>
  <c r="P607" i="1" s="1"/>
  <c r="V607" i="1"/>
  <c r="A608" i="1"/>
  <c r="B608" i="1"/>
  <c r="H608" i="1"/>
  <c r="I608" i="1"/>
  <c r="J608" i="1"/>
  <c r="O608" i="1"/>
  <c r="R608" i="1"/>
  <c r="S608" i="1"/>
  <c r="T608" i="1"/>
  <c r="U608" i="1"/>
  <c r="P608" i="1" s="1"/>
  <c r="V608" i="1"/>
  <c r="A609" i="1"/>
  <c r="B609" i="1"/>
  <c r="H609" i="1"/>
  <c r="I609" i="1"/>
  <c r="J609" i="1"/>
  <c r="O609" i="1"/>
  <c r="R609" i="1"/>
  <c r="S609" i="1"/>
  <c r="T609" i="1"/>
  <c r="U609" i="1"/>
  <c r="P609" i="1" s="1"/>
  <c r="V609" i="1"/>
  <c r="A610" i="1"/>
  <c r="B610" i="1"/>
  <c r="H610" i="1"/>
  <c r="I610" i="1"/>
  <c r="J610" i="1"/>
  <c r="Q610" i="1" s="1"/>
  <c r="O610" i="1"/>
  <c r="R610" i="1"/>
  <c r="S610" i="1"/>
  <c r="T610" i="1"/>
  <c r="U610" i="1"/>
  <c r="P610" i="1" s="1"/>
  <c r="V610" i="1"/>
  <c r="A611" i="1"/>
  <c r="B611" i="1"/>
  <c r="H611" i="1"/>
  <c r="I611" i="1"/>
  <c r="J611" i="1"/>
  <c r="Q611" i="1" s="1"/>
  <c r="O611" i="1"/>
  <c r="R611" i="1"/>
  <c r="S611" i="1"/>
  <c r="T611" i="1"/>
  <c r="U611" i="1"/>
  <c r="P611" i="1" s="1"/>
  <c r="V611" i="1"/>
  <c r="A612" i="1"/>
  <c r="B612" i="1"/>
  <c r="H612" i="1"/>
  <c r="I612" i="1"/>
  <c r="J612" i="1"/>
  <c r="O612" i="1"/>
  <c r="R612" i="1"/>
  <c r="S612" i="1"/>
  <c r="T612" i="1"/>
  <c r="U612" i="1"/>
  <c r="P612" i="1" s="1"/>
  <c r="V612" i="1"/>
  <c r="A613" i="1"/>
  <c r="B613" i="1"/>
  <c r="H613" i="1"/>
  <c r="I613" i="1"/>
  <c r="J613" i="1"/>
  <c r="O613" i="1"/>
  <c r="R613" i="1"/>
  <c r="S613" i="1"/>
  <c r="T613" i="1"/>
  <c r="U613" i="1"/>
  <c r="P613" i="1" s="1"/>
  <c r="V613" i="1"/>
  <c r="A614" i="1"/>
  <c r="B614" i="1"/>
  <c r="H614" i="1"/>
  <c r="I614" i="1"/>
  <c r="J614" i="1"/>
  <c r="O614" i="1"/>
  <c r="R614" i="1"/>
  <c r="S614" i="1"/>
  <c r="T614" i="1"/>
  <c r="U614" i="1"/>
  <c r="P614" i="1" s="1"/>
  <c r="V614" i="1"/>
  <c r="A615" i="1"/>
  <c r="B615" i="1"/>
  <c r="H615" i="1"/>
  <c r="I615" i="1"/>
  <c r="J615" i="1"/>
  <c r="O615" i="1"/>
  <c r="R615" i="1"/>
  <c r="S615" i="1"/>
  <c r="T615" i="1"/>
  <c r="U615" i="1"/>
  <c r="P615" i="1" s="1"/>
  <c r="V615" i="1"/>
  <c r="A616" i="1"/>
  <c r="B616" i="1"/>
  <c r="H616" i="1"/>
  <c r="I616" i="1"/>
  <c r="J616" i="1"/>
  <c r="Q616" i="1" s="1"/>
  <c r="O616" i="1"/>
  <c r="R616" i="1"/>
  <c r="S616" i="1"/>
  <c r="T616" i="1"/>
  <c r="U616" i="1"/>
  <c r="P616" i="1" s="1"/>
  <c r="V616" i="1"/>
  <c r="A617" i="1"/>
  <c r="B617" i="1"/>
  <c r="H617" i="1"/>
  <c r="I617" i="1"/>
  <c r="J617" i="1"/>
  <c r="Q617" i="1" s="1"/>
  <c r="O617" i="1"/>
  <c r="R617" i="1"/>
  <c r="S617" i="1"/>
  <c r="T617" i="1"/>
  <c r="U617" i="1"/>
  <c r="P617" i="1" s="1"/>
  <c r="V617" i="1"/>
  <c r="A618" i="1"/>
  <c r="B618" i="1"/>
  <c r="H618" i="1"/>
  <c r="I618" i="1"/>
  <c r="J618" i="1"/>
  <c r="O618" i="1"/>
  <c r="R618" i="1"/>
  <c r="S618" i="1"/>
  <c r="T618" i="1"/>
  <c r="U618" i="1"/>
  <c r="P618" i="1" s="1"/>
  <c r="V618" i="1"/>
  <c r="A619" i="1"/>
  <c r="B619" i="1"/>
  <c r="H619" i="1"/>
  <c r="I619" i="1"/>
  <c r="J619" i="1"/>
  <c r="O619" i="1"/>
  <c r="R619" i="1"/>
  <c r="S619" i="1"/>
  <c r="T619" i="1"/>
  <c r="U619" i="1"/>
  <c r="P619" i="1" s="1"/>
  <c r="V619" i="1"/>
  <c r="A620" i="1"/>
  <c r="B620" i="1"/>
  <c r="H620" i="1"/>
  <c r="I620" i="1"/>
  <c r="J620" i="1"/>
  <c r="O620" i="1"/>
  <c r="R620" i="1"/>
  <c r="S620" i="1"/>
  <c r="T620" i="1"/>
  <c r="U620" i="1"/>
  <c r="P620" i="1" s="1"/>
  <c r="V620" i="1"/>
  <c r="A621" i="1"/>
  <c r="B621" i="1"/>
  <c r="H621" i="1"/>
  <c r="I621" i="1"/>
  <c r="J621" i="1"/>
  <c r="O621" i="1"/>
  <c r="R621" i="1"/>
  <c r="S621" i="1"/>
  <c r="T621" i="1"/>
  <c r="U621" i="1"/>
  <c r="P621" i="1" s="1"/>
  <c r="V621" i="1"/>
  <c r="A622" i="1"/>
  <c r="B622" i="1"/>
  <c r="H622" i="1"/>
  <c r="I622" i="1"/>
  <c r="J622" i="1"/>
  <c r="Q622" i="1" s="1"/>
  <c r="O622" i="1"/>
  <c r="R622" i="1"/>
  <c r="S622" i="1"/>
  <c r="T622" i="1"/>
  <c r="U622" i="1"/>
  <c r="P622" i="1" s="1"/>
  <c r="V622" i="1"/>
  <c r="A623" i="1"/>
  <c r="B623" i="1"/>
  <c r="H623" i="1"/>
  <c r="I623" i="1"/>
  <c r="J623" i="1"/>
  <c r="Q623" i="1" s="1"/>
  <c r="O623" i="1"/>
  <c r="R623" i="1"/>
  <c r="S623" i="1"/>
  <c r="T623" i="1"/>
  <c r="U623" i="1"/>
  <c r="P623" i="1" s="1"/>
  <c r="V623" i="1"/>
  <c r="A624" i="1"/>
  <c r="B624" i="1"/>
  <c r="H624" i="1"/>
  <c r="I624" i="1"/>
  <c r="J624" i="1"/>
  <c r="O624" i="1"/>
  <c r="R624" i="1"/>
  <c r="S624" i="1"/>
  <c r="T624" i="1"/>
  <c r="U624" i="1"/>
  <c r="P624" i="1" s="1"/>
  <c r="V624" i="1"/>
  <c r="A625" i="1"/>
  <c r="B625" i="1"/>
  <c r="H625" i="1"/>
  <c r="I625" i="1"/>
  <c r="J625" i="1"/>
  <c r="O625" i="1"/>
  <c r="R625" i="1"/>
  <c r="S625" i="1"/>
  <c r="T625" i="1"/>
  <c r="U625" i="1"/>
  <c r="P625" i="1" s="1"/>
  <c r="V625" i="1"/>
  <c r="A626" i="1"/>
  <c r="B626" i="1"/>
  <c r="H626" i="1"/>
  <c r="I626" i="1"/>
  <c r="J626" i="1"/>
  <c r="O626" i="1"/>
  <c r="R626" i="1"/>
  <c r="S626" i="1"/>
  <c r="T626" i="1"/>
  <c r="U626" i="1"/>
  <c r="P626" i="1" s="1"/>
  <c r="V626" i="1"/>
  <c r="A627" i="1"/>
  <c r="B627" i="1"/>
  <c r="H627" i="1"/>
  <c r="I627" i="1"/>
  <c r="J627" i="1"/>
  <c r="O627" i="1"/>
  <c r="R627" i="1"/>
  <c r="S627" i="1"/>
  <c r="T627" i="1"/>
  <c r="U627" i="1"/>
  <c r="P627" i="1" s="1"/>
  <c r="V627" i="1"/>
  <c r="A628" i="1"/>
  <c r="B628" i="1"/>
  <c r="H628" i="1"/>
  <c r="I628" i="1"/>
  <c r="J628" i="1"/>
  <c r="Q628" i="1" s="1"/>
  <c r="O628" i="1"/>
  <c r="R628" i="1"/>
  <c r="S628" i="1"/>
  <c r="T628" i="1"/>
  <c r="U628" i="1"/>
  <c r="P628" i="1" s="1"/>
  <c r="V628" i="1"/>
  <c r="A629" i="1"/>
  <c r="B629" i="1"/>
  <c r="H629" i="1"/>
  <c r="I629" i="1"/>
  <c r="J629" i="1"/>
  <c r="Q629" i="1" s="1"/>
  <c r="O629" i="1"/>
  <c r="R629" i="1"/>
  <c r="S629" i="1"/>
  <c r="T629" i="1"/>
  <c r="U629" i="1"/>
  <c r="P629" i="1" s="1"/>
  <c r="V629" i="1"/>
  <c r="A630" i="1"/>
  <c r="B630" i="1"/>
  <c r="H630" i="1"/>
  <c r="I630" i="1"/>
  <c r="J630" i="1"/>
  <c r="O630" i="1"/>
  <c r="R630" i="1"/>
  <c r="S630" i="1"/>
  <c r="T630" i="1"/>
  <c r="U630" i="1"/>
  <c r="P630" i="1" s="1"/>
  <c r="V630" i="1"/>
  <c r="A631" i="1"/>
  <c r="B631" i="1"/>
  <c r="H631" i="1"/>
  <c r="I631" i="1"/>
  <c r="J631" i="1"/>
  <c r="O631" i="1"/>
  <c r="R631" i="1"/>
  <c r="S631" i="1"/>
  <c r="T631" i="1"/>
  <c r="U631" i="1"/>
  <c r="P631" i="1" s="1"/>
  <c r="V631" i="1"/>
  <c r="A632" i="1"/>
  <c r="B632" i="1"/>
  <c r="H632" i="1"/>
  <c r="I632" i="1"/>
  <c r="J632" i="1"/>
  <c r="O632" i="1"/>
  <c r="R632" i="1"/>
  <c r="S632" i="1"/>
  <c r="T632" i="1"/>
  <c r="U632" i="1"/>
  <c r="P632" i="1" s="1"/>
  <c r="V632" i="1"/>
  <c r="A633" i="1"/>
  <c r="B633" i="1"/>
  <c r="H633" i="1"/>
  <c r="I633" i="1"/>
  <c r="J633" i="1"/>
  <c r="O633" i="1"/>
  <c r="R633" i="1"/>
  <c r="S633" i="1"/>
  <c r="T633" i="1"/>
  <c r="U633" i="1"/>
  <c r="P633" i="1" s="1"/>
  <c r="V633" i="1"/>
  <c r="A634" i="1"/>
  <c r="B634" i="1"/>
  <c r="H634" i="1"/>
  <c r="I634" i="1"/>
  <c r="J634" i="1"/>
  <c r="Q634" i="1" s="1"/>
  <c r="O634" i="1"/>
  <c r="R634" i="1"/>
  <c r="S634" i="1"/>
  <c r="T634" i="1"/>
  <c r="U634" i="1"/>
  <c r="P634" i="1" s="1"/>
  <c r="V634" i="1"/>
  <c r="A635" i="1"/>
  <c r="B635" i="1"/>
  <c r="H635" i="1"/>
  <c r="I635" i="1"/>
  <c r="J635" i="1"/>
  <c r="Q635" i="1" s="1"/>
  <c r="O635" i="1"/>
  <c r="R635" i="1"/>
  <c r="S635" i="1"/>
  <c r="T635" i="1"/>
  <c r="U635" i="1"/>
  <c r="P635" i="1" s="1"/>
  <c r="V635" i="1"/>
  <c r="A636" i="1"/>
  <c r="B636" i="1"/>
  <c r="H636" i="1"/>
  <c r="I636" i="1"/>
  <c r="J636" i="1"/>
  <c r="O636" i="1"/>
  <c r="R636" i="1"/>
  <c r="S636" i="1"/>
  <c r="T636" i="1"/>
  <c r="U636" i="1"/>
  <c r="P636" i="1" s="1"/>
  <c r="V636" i="1"/>
  <c r="A637" i="1"/>
  <c r="B637" i="1"/>
  <c r="H637" i="1"/>
  <c r="I637" i="1"/>
  <c r="J637" i="1"/>
  <c r="O637" i="1"/>
  <c r="R637" i="1"/>
  <c r="S637" i="1"/>
  <c r="T637" i="1"/>
  <c r="U637" i="1"/>
  <c r="P637" i="1" s="1"/>
  <c r="V637" i="1"/>
  <c r="A638" i="1"/>
  <c r="B638" i="1"/>
  <c r="H638" i="1"/>
  <c r="I638" i="1"/>
  <c r="J638" i="1"/>
  <c r="O638" i="1"/>
  <c r="R638" i="1"/>
  <c r="S638" i="1"/>
  <c r="T638" i="1"/>
  <c r="U638" i="1"/>
  <c r="P638" i="1" s="1"/>
  <c r="V638" i="1"/>
  <c r="A639" i="1"/>
  <c r="B639" i="1"/>
  <c r="H639" i="1"/>
  <c r="I639" i="1"/>
  <c r="J639" i="1"/>
  <c r="O639" i="1"/>
  <c r="R639" i="1"/>
  <c r="S639" i="1"/>
  <c r="T639" i="1"/>
  <c r="U639" i="1"/>
  <c r="P639" i="1" s="1"/>
  <c r="V639" i="1"/>
  <c r="A640" i="1"/>
  <c r="B640" i="1"/>
  <c r="H640" i="1"/>
  <c r="I640" i="1"/>
  <c r="J640" i="1"/>
  <c r="Q640" i="1" s="1"/>
  <c r="O640" i="1"/>
  <c r="R640" i="1"/>
  <c r="S640" i="1"/>
  <c r="T640" i="1"/>
  <c r="U640" i="1"/>
  <c r="P640" i="1" s="1"/>
  <c r="V640" i="1"/>
  <c r="A641" i="1"/>
  <c r="B641" i="1"/>
  <c r="H641" i="1"/>
  <c r="I641" i="1"/>
  <c r="J641" i="1"/>
  <c r="Q641" i="1" s="1"/>
  <c r="O641" i="1"/>
  <c r="R641" i="1"/>
  <c r="S641" i="1"/>
  <c r="T641" i="1"/>
  <c r="U641" i="1"/>
  <c r="P641" i="1" s="1"/>
  <c r="V641" i="1"/>
  <c r="A642" i="1"/>
  <c r="B642" i="1"/>
  <c r="H642" i="1"/>
  <c r="I642" i="1"/>
  <c r="J642" i="1"/>
  <c r="O642" i="1"/>
  <c r="R642" i="1"/>
  <c r="S642" i="1"/>
  <c r="T642" i="1"/>
  <c r="U642" i="1"/>
  <c r="P642" i="1" s="1"/>
  <c r="V642" i="1"/>
  <c r="A643" i="1"/>
  <c r="B643" i="1"/>
  <c r="H643" i="1"/>
  <c r="I643" i="1"/>
  <c r="J643" i="1"/>
  <c r="O643" i="1"/>
  <c r="R643" i="1"/>
  <c r="S643" i="1"/>
  <c r="T643" i="1"/>
  <c r="U643" i="1"/>
  <c r="P643" i="1" s="1"/>
  <c r="V643" i="1"/>
  <c r="A644" i="1"/>
  <c r="B644" i="1"/>
  <c r="H644" i="1"/>
  <c r="I644" i="1"/>
  <c r="J644" i="1"/>
  <c r="O644" i="1"/>
  <c r="R644" i="1"/>
  <c r="S644" i="1"/>
  <c r="T644" i="1"/>
  <c r="U644" i="1"/>
  <c r="P644" i="1" s="1"/>
  <c r="V644" i="1"/>
  <c r="A645" i="1"/>
  <c r="B645" i="1"/>
  <c r="H645" i="1"/>
  <c r="I645" i="1"/>
  <c r="J645" i="1"/>
  <c r="O645" i="1"/>
  <c r="R645" i="1"/>
  <c r="S645" i="1"/>
  <c r="T645" i="1"/>
  <c r="U645" i="1"/>
  <c r="P645" i="1" s="1"/>
  <c r="V645" i="1"/>
  <c r="A646" i="1"/>
  <c r="B646" i="1"/>
  <c r="H646" i="1"/>
  <c r="I646" i="1"/>
  <c r="J646" i="1"/>
  <c r="Q646" i="1" s="1"/>
  <c r="O646" i="1"/>
  <c r="R646" i="1"/>
  <c r="S646" i="1"/>
  <c r="T646" i="1"/>
  <c r="U646" i="1"/>
  <c r="P646" i="1" s="1"/>
  <c r="V646" i="1"/>
  <c r="A647" i="1"/>
  <c r="B647" i="1"/>
  <c r="H647" i="1"/>
  <c r="I647" i="1"/>
  <c r="J647" i="1"/>
  <c r="Q647" i="1" s="1"/>
  <c r="O647" i="1"/>
  <c r="R647" i="1"/>
  <c r="S647" i="1"/>
  <c r="T647" i="1"/>
  <c r="U647" i="1"/>
  <c r="P647" i="1" s="1"/>
  <c r="V647" i="1"/>
  <c r="A648" i="1"/>
  <c r="B648" i="1"/>
  <c r="H648" i="1"/>
  <c r="I648" i="1"/>
  <c r="J648" i="1"/>
  <c r="O648" i="1"/>
  <c r="R648" i="1"/>
  <c r="S648" i="1"/>
  <c r="T648" i="1"/>
  <c r="U648" i="1"/>
  <c r="P648" i="1" s="1"/>
  <c r="V648" i="1"/>
  <c r="A649" i="1"/>
  <c r="B649" i="1"/>
  <c r="H649" i="1"/>
  <c r="I649" i="1"/>
  <c r="J649" i="1"/>
  <c r="O649" i="1"/>
  <c r="R649" i="1"/>
  <c r="S649" i="1"/>
  <c r="T649" i="1"/>
  <c r="U649" i="1"/>
  <c r="P649" i="1" s="1"/>
  <c r="V649" i="1"/>
  <c r="A650" i="1"/>
  <c r="B650" i="1"/>
  <c r="H650" i="1"/>
  <c r="I650" i="1"/>
  <c r="J650" i="1"/>
  <c r="O650" i="1"/>
  <c r="R650" i="1"/>
  <c r="S650" i="1"/>
  <c r="T650" i="1"/>
  <c r="U650" i="1"/>
  <c r="P650" i="1" s="1"/>
  <c r="V650" i="1"/>
  <c r="A651" i="1"/>
  <c r="B651" i="1"/>
  <c r="H651" i="1"/>
  <c r="I651" i="1"/>
  <c r="J651" i="1"/>
  <c r="O651" i="1"/>
  <c r="R651" i="1"/>
  <c r="S651" i="1"/>
  <c r="T651" i="1"/>
  <c r="U651" i="1"/>
  <c r="P651" i="1" s="1"/>
  <c r="V651" i="1"/>
  <c r="A652" i="1"/>
  <c r="B652" i="1"/>
  <c r="H652" i="1"/>
  <c r="I652" i="1"/>
  <c r="J652" i="1"/>
  <c r="Q652" i="1" s="1"/>
  <c r="O652" i="1"/>
  <c r="R652" i="1"/>
  <c r="S652" i="1"/>
  <c r="T652" i="1"/>
  <c r="U652" i="1"/>
  <c r="P652" i="1" s="1"/>
  <c r="V652" i="1"/>
  <c r="A653" i="1"/>
  <c r="B653" i="1"/>
  <c r="H653" i="1"/>
  <c r="I653" i="1"/>
  <c r="J653" i="1"/>
  <c r="Q653" i="1" s="1"/>
  <c r="O653" i="1"/>
  <c r="R653" i="1"/>
  <c r="S653" i="1"/>
  <c r="T653" i="1"/>
  <c r="U653" i="1"/>
  <c r="P653" i="1" s="1"/>
  <c r="V653" i="1"/>
  <c r="A654" i="1"/>
  <c r="B654" i="1"/>
  <c r="H654" i="1"/>
  <c r="I654" i="1"/>
  <c r="J654" i="1"/>
  <c r="O654" i="1"/>
  <c r="R654" i="1"/>
  <c r="S654" i="1"/>
  <c r="T654" i="1"/>
  <c r="U654" i="1"/>
  <c r="P654" i="1" s="1"/>
  <c r="V654" i="1"/>
  <c r="A655" i="1"/>
  <c r="B655" i="1"/>
  <c r="H655" i="1"/>
  <c r="I655" i="1"/>
  <c r="J655" i="1"/>
  <c r="O655" i="1"/>
  <c r="R655" i="1"/>
  <c r="S655" i="1"/>
  <c r="T655" i="1"/>
  <c r="U655" i="1"/>
  <c r="P655" i="1" s="1"/>
  <c r="V655" i="1"/>
  <c r="A656" i="1"/>
  <c r="B656" i="1"/>
  <c r="H656" i="1"/>
  <c r="I656" i="1"/>
  <c r="J656" i="1"/>
  <c r="O656" i="1"/>
  <c r="R656" i="1"/>
  <c r="S656" i="1"/>
  <c r="T656" i="1"/>
  <c r="U656" i="1"/>
  <c r="P656" i="1" s="1"/>
  <c r="V656" i="1"/>
  <c r="A657" i="1"/>
  <c r="B657" i="1"/>
  <c r="H657" i="1"/>
  <c r="I657" i="1"/>
  <c r="J657" i="1"/>
  <c r="O657" i="1"/>
  <c r="R657" i="1"/>
  <c r="S657" i="1"/>
  <c r="T657" i="1"/>
  <c r="U657" i="1"/>
  <c r="P657" i="1" s="1"/>
  <c r="V657" i="1"/>
  <c r="A658" i="1"/>
  <c r="B658" i="1"/>
  <c r="H658" i="1"/>
  <c r="I658" i="1"/>
  <c r="J658" i="1"/>
  <c r="Q658" i="1" s="1"/>
  <c r="O658" i="1"/>
  <c r="R658" i="1"/>
  <c r="S658" i="1"/>
  <c r="T658" i="1"/>
  <c r="U658" i="1"/>
  <c r="P658" i="1" s="1"/>
  <c r="V658" i="1"/>
  <c r="A659" i="1"/>
  <c r="B659" i="1"/>
  <c r="H659" i="1"/>
  <c r="I659" i="1"/>
  <c r="J659" i="1"/>
  <c r="Q659" i="1" s="1"/>
  <c r="O659" i="1"/>
  <c r="R659" i="1"/>
  <c r="S659" i="1"/>
  <c r="T659" i="1"/>
  <c r="U659" i="1"/>
  <c r="P659" i="1" s="1"/>
  <c r="V659" i="1"/>
  <c r="A660" i="1"/>
  <c r="B660" i="1"/>
  <c r="H660" i="1"/>
  <c r="I660" i="1"/>
  <c r="J660" i="1"/>
  <c r="O660" i="1"/>
  <c r="R660" i="1"/>
  <c r="S660" i="1"/>
  <c r="T660" i="1"/>
  <c r="U660" i="1"/>
  <c r="P660" i="1" s="1"/>
  <c r="V660" i="1"/>
  <c r="A661" i="1"/>
  <c r="B661" i="1"/>
  <c r="H661" i="1"/>
  <c r="I661" i="1"/>
  <c r="J661" i="1"/>
  <c r="O661" i="1"/>
  <c r="R661" i="1"/>
  <c r="S661" i="1"/>
  <c r="T661" i="1"/>
  <c r="U661" i="1"/>
  <c r="P661" i="1" s="1"/>
  <c r="V661" i="1"/>
  <c r="A662" i="1"/>
  <c r="B662" i="1"/>
  <c r="H662" i="1"/>
  <c r="I662" i="1"/>
  <c r="J662" i="1"/>
  <c r="O662" i="1"/>
  <c r="R662" i="1"/>
  <c r="S662" i="1"/>
  <c r="T662" i="1"/>
  <c r="U662" i="1"/>
  <c r="P662" i="1" s="1"/>
  <c r="V662" i="1"/>
  <c r="A663" i="1"/>
  <c r="B663" i="1"/>
  <c r="H663" i="1"/>
  <c r="I663" i="1"/>
  <c r="J663" i="1"/>
  <c r="O663" i="1"/>
  <c r="R663" i="1"/>
  <c r="S663" i="1"/>
  <c r="T663" i="1"/>
  <c r="U663" i="1"/>
  <c r="P663" i="1" s="1"/>
  <c r="V663" i="1"/>
  <c r="A664" i="1"/>
  <c r="B664" i="1"/>
  <c r="H664" i="1"/>
  <c r="I664" i="1"/>
  <c r="J664" i="1"/>
  <c r="Q664" i="1" s="1"/>
  <c r="O664" i="1"/>
  <c r="R664" i="1"/>
  <c r="S664" i="1"/>
  <c r="T664" i="1"/>
  <c r="U664" i="1"/>
  <c r="P664" i="1" s="1"/>
  <c r="V664" i="1"/>
  <c r="A665" i="1"/>
  <c r="B665" i="1"/>
  <c r="H665" i="1"/>
  <c r="I665" i="1"/>
  <c r="J665" i="1"/>
  <c r="Q665" i="1" s="1"/>
  <c r="O665" i="1"/>
  <c r="R665" i="1"/>
  <c r="S665" i="1"/>
  <c r="T665" i="1"/>
  <c r="U665" i="1"/>
  <c r="P665" i="1" s="1"/>
  <c r="V665" i="1"/>
  <c r="A666" i="1"/>
  <c r="B666" i="1"/>
  <c r="H666" i="1"/>
  <c r="I666" i="1"/>
  <c r="J666" i="1"/>
  <c r="O666" i="1"/>
  <c r="R666" i="1"/>
  <c r="S666" i="1"/>
  <c r="T666" i="1"/>
  <c r="U666" i="1"/>
  <c r="P666" i="1" s="1"/>
  <c r="V666" i="1"/>
  <c r="A667" i="1"/>
  <c r="B667" i="1"/>
  <c r="H667" i="1"/>
  <c r="I667" i="1"/>
  <c r="J667" i="1"/>
  <c r="O667" i="1"/>
  <c r="R667" i="1"/>
  <c r="S667" i="1"/>
  <c r="T667" i="1"/>
  <c r="U667" i="1"/>
  <c r="P667" i="1" s="1"/>
  <c r="V667" i="1"/>
  <c r="A668" i="1"/>
  <c r="B668" i="1"/>
  <c r="H668" i="1"/>
  <c r="I668" i="1"/>
  <c r="J668" i="1"/>
  <c r="O668" i="1"/>
  <c r="R668" i="1"/>
  <c r="S668" i="1"/>
  <c r="T668" i="1"/>
  <c r="U668" i="1"/>
  <c r="P668" i="1" s="1"/>
  <c r="V668" i="1"/>
  <c r="A669" i="1"/>
  <c r="B669" i="1"/>
  <c r="H669" i="1"/>
  <c r="I669" i="1"/>
  <c r="J669" i="1"/>
  <c r="O669" i="1"/>
  <c r="R669" i="1"/>
  <c r="S669" i="1"/>
  <c r="T669" i="1"/>
  <c r="U669" i="1"/>
  <c r="P669" i="1" s="1"/>
  <c r="V669" i="1"/>
  <c r="A670" i="1"/>
  <c r="B670" i="1"/>
  <c r="H670" i="1"/>
  <c r="I670" i="1"/>
  <c r="J670" i="1"/>
  <c r="Q670" i="1" s="1"/>
  <c r="O670" i="1"/>
  <c r="R670" i="1"/>
  <c r="S670" i="1"/>
  <c r="T670" i="1"/>
  <c r="U670" i="1"/>
  <c r="P670" i="1" s="1"/>
  <c r="V670" i="1"/>
  <c r="A671" i="1"/>
  <c r="B671" i="1"/>
  <c r="H671" i="1"/>
  <c r="I671" i="1"/>
  <c r="J671" i="1"/>
  <c r="Q671" i="1" s="1"/>
  <c r="O671" i="1"/>
  <c r="R671" i="1"/>
  <c r="S671" i="1"/>
  <c r="T671" i="1"/>
  <c r="U671" i="1"/>
  <c r="P671" i="1" s="1"/>
  <c r="V671" i="1"/>
  <c r="A672" i="1"/>
  <c r="B672" i="1"/>
  <c r="H672" i="1"/>
  <c r="I672" i="1"/>
  <c r="J672" i="1"/>
  <c r="O672" i="1"/>
  <c r="R672" i="1"/>
  <c r="S672" i="1"/>
  <c r="T672" i="1"/>
  <c r="U672" i="1"/>
  <c r="P672" i="1" s="1"/>
  <c r="V672" i="1"/>
  <c r="A673" i="1"/>
  <c r="B673" i="1"/>
  <c r="H673" i="1"/>
  <c r="I673" i="1"/>
  <c r="J673" i="1"/>
  <c r="O673" i="1"/>
  <c r="R673" i="1"/>
  <c r="S673" i="1"/>
  <c r="T673" i="1"/>
  <c r="U673" i="1"/>
  <c r="P673" i="1" s="1"/>
  <c r="V673" i="1"/>
  <c r="A674" i="1"/>
  <c r="B674" i="1"/>
  <c r="H674" i="1"/>
  <c r="I674" i="1"/>
  <c r="J674" i="1"/>
  <c r="O674" i="1"/>
  <c r="R674" i="1"/>
  <c r="S674" i="1"/>
  <c r="T674" i="1"/>
  <c r="U674" i="1"/>
  <c r="P674" i="1" s="1"/>
  <c r="V674" i="1"/>
  <c r="A675" i="1"/>
  <c r="B675" i="1"/>
  <c r="H675" i="1"/>
  <c r="I675" i="1"/>
  <c r="J675" i="1"/>
  <c r="O675" i="1"/>
  <c r="R675" i="1"/>
  <c r="S675" i="1"/>
  <c r="T675" i="1"/>
  <c r="U675" i="1"/>
  <c r="P675" i="1" s="1"/>
  <c r="V675" i="1"/>
  <c r="A676" i="1"/>
  <c r="B676" i="1"/>
  <c r="H676" i="1"/>
  <c r="I676" i="1"/>
  <c r="J676" i="1"/>
  <c r="Q676" i="1" s="1"/>
  <c r="O676" i="1"/>
  <c r="R676" i="1"/>
  <c r="S676" i="1"/>
  <c r="T676" i="1"/>
  <c r="U676" i="1"/>
  <c r="P676" i="1" s="1"/>
  <c r="V676" i="1"/>
  <c r="A677" i="1"/>
  <c r="B677" i="1"/>
  <c r="H677" i="1"/>
  <c r="I677" i="1"/>
  <c r="J677" i="1"/>
  <c r="Q677" i="1" s="1"/>
  <c r="O677" i="1"/>
  <c r="R677" i="1"/>
  <c r="S677" i="1"/>
  <c r="T677" i="1"/>
  <c r="U677" i="1"/>
  <c r="P677" i="1" s="1"/>
  <c r="V677" i="1"/>
  <c r="A678" i="1"/>
  <c r="B678" i="1"/>
  <c r="H678" i="1"/>
  <c r="I678" i="1"/>
  <c r="J678" i="1"/>
  <c r="O678" i="1"/>
  <c r="R678" i="1"/>
  <c r="S678" i="1"/>
  <c r="T678" i="1"/>
  <c r="U678" i="1"/>
  <c r="P678" i="1" s="1"/>
  <c r="V678" i="1"/>
  <c r="A679" i="1"/>
  <c r="B679" i="1"/>
  <c r="H679" i="1"/>
  <c r="I679" i="1"/>
  <c r="J679" i="1"/>
  <c r="O679" i="1"/>
  <c r="R679" i="1"/>
  <c r="S679" i="1"/>
  <c r="T679" i="1"/>
  <c r="U679" i="1"/>
  <c r="P679" i="1" s="1"/>
  <c r="V679" i="1"/>
  <c r="A680" i="1"/>
  <c r="B680" i="1"/>
  <c r="H680" i="1"/>
  <c r="I680" i="1"/>
  <c r="J680" i="1"/>
  <c r="O680" i="1"/>
  <c r="R680" i="1"/>
  <c r="S680" i="1"/>
  <c r="T680" i="1"/>
  <c r="U680" i="1"/>
  <c r="P680" i="1" s="1"/>
  <c r="V680" i="1"/>
  <c r="A681" i="1"/>
  <c r="B681" i="1"/>
  <c r="H681" i="1"/>
  <c r="I681" i="1"/>
  <c r="J681" i="1"/>
  <c r="O681" i="1"/>
  <c r="R681" i="1"/>
  <c r="S681" i="1"/>
  <c r="T681" i="1"/>
  <c r="U681" i="1"/>
  <c r="P681" i="1" s="1"/>
  <c r="V681" i="1"/>
  <c r="A682" i="1"/>
  <c r="B682" i="1"/>
  <c r="H682" i="1"/>
  <c r="I682" i="1"/>
  <c r="J682" i="1"/>
  <c r="Q682" i="1" s="1"/>
  <c r="O682" i="1"/>
  <c r="R682" i="1"/>
  <c r="S682" i="1"/>
  <c r="T682" i="1"/>
  <c r="U682" i="1"/>
  <c r="P682" i="1" s="1"/>
  <c r="V682" i="1"/>
  <c r="A683" i="1"/>
  <c r="B683" i="1"/>
  <c r="H683" i="1"/>
  <c r="I683" i="1"/>
  <c r="J683" i="1"/>
  <c r="Q683" i="1" s="1"/>
  <c r="O683" i="1"/>
  <c r="R683" i="1"/>
  <c r="S683" i="1"/>
  <c r="T683" i="1"/>
  <c r="U683" i="1"/>
  <c r="P683" i="1" s="1"/>
  <c r="V683" i="1"/>
  <c r="A684" i="1"/>
  <c r="B684" i="1"/>
  <c r="H684" i="1"/>
  <c r="I684" i="1"/>
  <c r="J684" i="1"/>
  <c r="O684" i="1"/>
  <c r="R684" i="1"/>
  <c r="S684" i="1"/>
  <c r="T684" i="1"/>
  <c r="U684" i="1"/>
  <c r="P684" i="1" s="1"/>
  <c r="V684" i="1"/>
  <c r="A685" i="1"/>
  <c r="B685" i="1"/>
  <c r="H685" i="1"/>
  <c r="I685" i="1"/>
  <c r="J685" i="1"/>
  <c r="O685" i="1"/>
  <c r="R685" i="1"/>
  <c r="S685" i="1"/>
  <c r="T685" i="1"/>
  <c r="U685" i="1"/>
  <c r="P685" i="1" s="1"/>
  <c r="V685" i="1"/>
  <c r="A686" i="1"/>
  <c r="B686" i="1"/>
  <c r="H686" i="1"/>
  <c r="I686" i="1"/>
  <c r="J686" i="1"/>
  <c r="O686" i="1"/>
  <c r="R686" i="1"/>
  <c r="S686" i="1"/>
  <c r="T686" i="1"/>
  <c r="U686" i="1"/>
  <c r="P686" i="1" s="1"/>
  <c r="V686" i="1"/>
  <c r="A687" i="1"/>
  <c r="B687" i="1"/>
  <c r="H687" i="1"/>
  <c r="I687" i="1"/>
  <c r="J687" i="1"/>
  <c r="O687" i="1"/>
  <c r="R687" i="1"/>
  <c r="S687" i="1"/>
  <c r="T687" i="1"/>
  <c r="U687" i="1"/>
  <c r="P687" i="1" s="1"/>
  <c r="V687" i="1"/>
  <c r="A688" i="1"/>
  <c r="B688" i="1"/>
  <c r="H688" i="1"/>
  <c r="I688" i="1"/>
  <c r="J688" i="1"/>
  <c r="Q688" i="1" s="1"/>
  <c r="O688" i="1"/>
  <c r="R688" i="1"/>
  <c r="S688" i="1"/>
  <c r="T688" i="1"/>
  <c r="U688" i="1"/>
  <c r="P688" i="1" s="1"/>
  <c r="V688" i="1"/>
  <c r="A689" i="1"/>
  <c r="B689" i="1"/>
  <c r="H689" i="1"/>
  <c r="I689" i="1"/>
  <c r="J689" i="1"/>
  <c r="Q689" i="1" s="1"/>
  <c r="O689" i="1"/>
  <c r="R689" i="1"/>
  <c r="S689" i="1"/>
  <c r="T689" i="1"/>
  <c r="U689" i="1"/>
  <c r="P689" i="1" s="1"/>
  <c r="V689" i="1"/>
  <c r="A690" i="1"/>
  <c r="B690" i="1"/>
  <c r="H690" i="1"/>
  <c r="I690" i="1"/>
  <c r="J690" i="1"/>
  <c r="O690" i="1"/>
  <c r="R690" i="1"/>
  <c r="S690" i="1"/>
  <c r="T690" i="1"/>
  <c r="U690" i="1"/>
  <c r="P690" i="1" s="1"/>
  <c r="V690" i="1"/>
  <c r="A691" i="1"/>
  <c r="B691" i="1"/>
  <c r="H691" i="1"/>
  <c r="I691" i="1"/>
  <c r="J691" i="1"/>
  <c r="O691" i="1"/>
  <c r="R691" i="1"/>
  <c r="S691" i="1"/>
  <c r="T691" i="1"/>
  <c r="U691" i="1"/>
  <c r="P691" i="1" s="1"/>
  <c r="V691" i="1"/>
  <c r="A692" i="1"/>
  <c r="B692" i="1"/>
  <c r="H692" i="1"/>
  <c r="I692" i="1"/>
  <c r="J692" i="1"/>
  <c r="O692" i="1"/>
  <c r="R692" i="1"/>
  <c r="S692" i="1"/>
  <c r="T692" i="1"/>
  <c r="U692" i="1"/>
  <c r="P692" i="1" s="1"/>
  <c r="V692" i="1"/>
  <c r="A693" i="1"/>
  <c r="B693" i="1"/>
  <c r="H693" i="1"/>
  <c r="I693" i="1"/>
  <c r="J693" i="1"/>
  <c r="O693" i="1"/>
  <c r="R693" i="1"/>
  <c r="S693" i="1"/>
  <c r="T693" i="1"/>
  <c r="U693" i="1"/>
  <c r="P693" i="1" s="1"/>
  <c r="V693" i="1"/>
  <c r="A694" i="1"/>
  <c r="B694" i="1"/>
  <c r="H694" i="1"/>
  <c r="I694" i="1"/>
  <c r="J694" i="1"/>
  <c r="Q694" i="1" s="1"/>
  <c r="O694" i="1"/>
  <c r="R694" i="1"/>
  <c r="S694" i="1"/>
  <c r="T694" i="1"/>
  <c r="U694" i="1"/>
  <c r="P694" i="1" s="1"/>
  <c r="V694" i="1"/>
  <c r="A695" i="1"/>
  <c r="B695" i="1"/>
  <c r="H695" i="1"/>
  <c r="I695" i="1"/>
  <c r="J695" i="1"/>
  <c r="Q695" i="1" s="1"/>
  <c r="O695" i="1"/>
  <c r="R695" i="1"/>
  <c r="S695" i="1"/>
  <c r="T695" i="1"/>
  <c r="U695" i="1"/>
  <c r="P695" i="1" s="1"/>
  <c r="V695" i="1"/>
  <c r="A696" i="1"/>
  <c r="B696" i="1"/>
  <c r="H696" i="1"/>
  <c r="I696" i="1"/>
  <c r="J696" i="1"/>
  <c r="O696" i="1"/>
  <c r="R696" i="1"/>
  <c r="S696" i="1"/>
  <c r="T696" i="1"/>
  <c r="U696" i="1"/>
  <c r="P696" i="1" s="1"/>
  <c r="V696" i="1"/>
  <c r="A697" i="1"/>
  <c r="B697" i="1"/>
  <c r="H697" i="1"/>
  <c r="I697" i="1"/>
  <c r="J697" i="1"/>
  <c r="O697" i="1"/>
  <c r="R697" i="1"/>
  <c r="S697" i="1"/>
  <c r="T697" i="1"/>
  <c r="U697" i="1"/>
  <c r="P697" i="1" s="1"/>
  <c r="V697" i="1"/>
  <c r="A698" i="1"/>
  <c r="B698" i="1"/>
  <c r="H698" i="1"/>
  <c r="I698" i="1"/>
  <c r="J698" i="1"/>
  <c r="O698" i="1"/>
  <c r="R698" i="1"/>
  <c r="S698" i="1"/>
  <c r="T698" i="1"/>
  <c r="U698" i="1"/>
  <c r="P698" i="1" s="1"/>
  <c r="V698" i="1"/>
  <c r="A699" i="1"/>
  <c r="B699" i="1"/>
  <c r="H699" i="1"/>
  <c r="I699" i="1"/>
  <c r="J699" i="1"/>
  <c r="O699" i="1"/>
  <c r="R699" i="1"/>
  <c r="S699" i="1"/>
  <c r="T699" i="1"/>
  <c r="U699" i="1"/>
  <c r="P699" i="1" s="1"/>
  <c r="V699" i="1"/>
  <c r="A700" i="1"/>
  <c r="B700" i="1"/>
  <c r="H700" i="1"/>
  <c r="I700" i="1"/>
  <c r="J700" i="1"/>
  <c r="Q700" i="1" s="1"/>
  <c r="O700" i="1"/>
  <c r="R700" i="1"/>
  <c r="S700" i="1"/>
  <c r="T700" i="1"/>
  <c r="U700" i="1"/>
  <c r="P700" i="1" s="1"/>
  <c r="V700" i="1"/>
  <c r="A701" i="1"/>
  <c r="B701" i="1"/>
  <c r="H701" i="1"/>
  <c r="I701" i="1"/>
  <c r="J701" i="1"/>
  <c r="Q701" i="1" s="1"/>
  <c r="O701" i="1"/>
  <c r="R701" i="1"/>
  <c r="S701" i="1"/>
  <c r="T701" i="1"/>
  <c r="U701" i="1"/>
  <c r="P701" i="1" s="1"/>
  <c r="V701" i="1"/>
  <c r="A702" i="1"/>
  <c r="B702" i="1"/>
  <c r="H702" i="1"/>
  <c r="I702" i="1"/>
  <c r="J702" i="1"/>
  <c r="O702" i="1"/>
  <c r="R702" i="1"/>
  <c r="S702" i="1"/>
  <c r="T702" i="1"/>
  <c r="U702" i="1"/>
  <c r="P702" i="1" s="1"/>
  <c r="V702" i="1"/>
  <c r="A703" i="1"/>
  <c r="B703" i="1"/>
  <c r="H703" i="1"/>
  <c r="I703" i="1"/>
  <c r="J703" i="1"/>
  <c r="O703" i="1"/>
  <c r="R703" i="1"/>
  <c r="S703" i="1"/>
  <c r="T703" i="1"/>
  <c r="U703" i="1"/>
  <c r="P703" i="1" s="1"/>
  <c r="V703" i="1"/>
  <c r="A704" i="1"/>
  <c r="B704" i="1"/>
  <c r="H704" i="1"/>
  <c r="I704" i="1"/>
  <c r="J704" i="1"/>
  <c r="O704" i="1"/>
  <c r="R704" i="1"/>
  <c r="S704" i="1"/>
  <c r="T704" i="1"/>
  <c r="U704" i="1"/>
  <c r="P704" i="1" s="1"/>
  <c r="V704" i="1"/>
  <c r="A705" i="1"/>
  <c r="B705" i="1"/>
  <c r="H705" i="1"/>
  <c r="I705" i="1"/>
  <c r="J705" i="1"/>
  <c r="O705" i="1"/>
  <c r="R705" i="1"/>
  <c r="S705" i="1"/>
  <c r="T705" i="1"/>
  <c r="U705" i="1"/>
  <c r="P705" i="1" s="1"/>
  <c r="V705" i="1"/>
  <c r="A706" i="1"/>
  <c r="B706" i="1"/>
  <c r="H706" i="1"/>
  <c r="I706" i="1"/>
  <c r="J706" i="1"/>
  <c r="Q706" i="1" s="1"/>
  <c r="O706" i="1"/>
  <c r="R706" i="1"/>
  <c r="S706" i="1"/>
  <c r="T706" i="1"/>
  <c r="U706" i="1"/>
  <c r="P706" i="1" s="1"/>
  <c r="V706" i="1"/>
  <c r="A707" i="1"/>
  <c r="B707" i="1"/>
  <c r="H707" i="1"/>
  <c r="I707" i="1"/>
  <c r="J707" i="1"/>
  <c r="Q707" i="1" s="1"/>
  <c r="O707" i="1"/>
  <c r="R707" i="1"/>
  <c r="S707" i="1"/>
  <c r="T707" i="1"/>
  <c r="U707" i="1"/>
  <c r="P707" i="1" s="1"/>
  <c r="V707" i="1"/>
  <c r="A708" i="1"/>
  <c r="B708" i="1"/>
  <c r="H708" i="1"/>
  <c r="I708" i="1"/>
  <c r="J708" i="1"/>
  <c r="O708" i="1"/>
  <c r="R708" i="1"/>
  <c r="S708" i="1"/>
  <c r="T708" i="1"/>
  <c r="U708" i="1"/>
  <c r="P708" i="1" s="1"/>
  <c r="V708" i="1"/>
  <c r="A709" i="1"/>
  <c r="B709" i="1"/>
  <c r="H709" i="1"/>
  <c r="I709" i="1"/>
  <c r="J709" i="1"/>
  <c r="O709" i="1"/>
  <c r="R709" i="1"/>
  <c r="S709" i="1"/>
  <c r="T709" i="1"/>
  <c r="U709" i="1"/>
  <c r="P709" i="1" s="1"/>
  <c r="V709" i="1"/>
  <c r="A710" i="1"/>
  <c r="B710" i="1"/>
  <c r="H710" i="1"/>
  <c r="I710" i="1"/>
  <c r="J710" i="1"/>
  <c r="O710" i="1"/>
  <c r="R710" i="1"/>
  <c r="S710" i="1"/>
  <c r="T710" i="1"/>
  <c r="U710" i="1"/>
  <c r="P710" i="1" s="1"/>
  <c r="V710" i="1"/>
  <c r="A711" i="1"/>
  <c r="B711" i="1"/>
  <c r="H711" i="1"/>
  <c r="I711" i="1"/>
  <c r="J711" i="1"/>
  <c r="Q711" i="1" s="1"/>
  <c r="O711" i="1"/>
  <c r="R711" i="1"/>
  <c r="S711" i="1"/>
  <c r="T711" i="1"/>
  <c r="U711" i="1"/>
  <c r="P711" i="1" s="1"/>
  <c r="V711" i="1"/>
  <c r="A712" i="1"/>
  <c r="B712" i="1"/>
  <c r="H712" i="1"/>
  <c r="I712" i="1"/>
  <c r="J712" i="1"/>
  <c r="O712" i="1"/>
  <c r="R712" i="1"/>
  <c r="S712" i="1"/>
  <c r="T712" i="1"/>
  <c r="U712" i="1"/>
  <c r="P712" i="1" s="1"/>
  <c r="V712" i="1"/>
  <c r="A713" i="1"/>
  <c r="B713" i="1"/>
  <c r="H713" i="1"/>
  <c r="I713" i="1"/>
  <c r="J713" i="1"/>
  <c r="Q713" i="1" s="1"/>
  <c r="O713" i="1"/>
  <c r="R713" i="1"/>
  <c r="S713" i="1"/>
  <c r="T713" i="1"/>
  <c r="U713" i="1"/>
  <c r="P713" i="1" s="1"/>
  <c r="V713" i="1"/>
  <c r="A714" i="1"/>
  <c r="B714" i="1"/>
  <c r="H714" i="1"/>
  <c r="I714" i="1"/>
  <c r="J714" i="1"/>
  <c r="O714" i="1"/>
  <c r="R714" i="1"/>
  <c r="S714" i="1"/>
  <c r="T714" i="1"/>
  <c r="U714" i="1"/>
  <c r="P714" i="1" s="1"/>
  <c r="V714" i="1"/>
  <c r="A715" i="1"/>
  <c r="B715" i="1"/>
  <c r="H715" i="1"/>
  <c r="I715" i="1"/>
  <c r="J715" i="1"/>
  <c r="O715" i="1"/>
  <c r="R715" i="1"/>
  <c r="S715" i="1"/>
  <c r="T715" i="1"/>
  <c r="U715" i="1"/>
  <c r="P715" i="1" s="1"/>
  <c r="V715" i="1"/>
  <c r="A716" i="1"/>
  <c r="B716" i="1"/>
  <c r="H716" i="1"/>
  <c r="I716" i="1"/>
  <c r="J716" i="1"/>
  <c r="O716" i="1"/>
  <c r="R716" i="1"/>
  <c r="S716" i="1"/>
  <c r="T716" i="1"/>
  <c r="U716" i="1"/>
  <c r="P716" i="1" s="1"/>
  <c r="V716" i="1"/>
  <c r="A717" i="1"/>
  <c r="B717" i="1"/>
  <c r="H717" i="1"/>
  <c r="I717" i="1"/>
  <c r="J717" i="1"/>
  <c r="O717" i="1"/>
  <c r="R717" i="1"/>
  <c r="S717" i="1"/>
  <c r="T717" i="1"/>
  <c r="U717" i="1"/>
  <c r="P717" i="1" s="1"/>
  <c r="V717" i="1"/>
  <c r="A718" i="1"/>
  <c r="B718" i="1"/>
  <c r="H718" i="1"/>
  <c r="I718" i="1"/>
  <c r="J718" i="1"/>
  <c r="O718" i="1"/>
  <c r="R718" i="1"/>
  <c r="S718" i="1"/>
  <c r="T718" i="1"/>
  <c r="U718" i="1"/>
  <c r="P718" i="1" s="1"/>
  <c r="V718" i="1"/>
  <c r="A719" i="1"/>
  <c r="B719" i="1"/>
  <c r="H719" i="1"/>
  <c r="I719" i="1"/>
  <c r="J719" i="1"/>
  <c r="Q719" i="1" s="1"/>
  <c r="O719" i="1"/>
  <c r="R719" i="1"/>
  <c r="S719" i="1"/>
  <c r="T719" i="1"/>
  <c r="U719" i="1"/>
  <c r="P719" i="1" s="1"/>
  <c r="V719" i="1"/>
  <c r="A720" i="1"/>
  <c r="B720" i="1"/>
  <c r="H720" i="1"/>
  <c r="I720" i="1"/>
  <c r="J720" i="1"/>
  <c r="O720" i="1"/>
  <c r="R720" i="1"/>
  <c r="S720" i="1"/>
  <c r="T720" i="1"/>
  <c r="U720" i="1"/>
  <c r="P720" i="1" s="1"/>
  <c r="V720" i="1"/>
  <c r="A721" i="1"/>
  <c r="B721" i="1"/>
  <c r="H721" i="1"/>
  <c r="I721" i="1"/>
  <c r="J721" i="1"/>
  <c r="O721" i="1"/>
  <c r="R721" i="1"/>
  <c r="S721" i="1"/>
  <c r="T721" i="1"/>
  <c r="U721" i="1"/>
  <c r="P721" i="1" s="1"/>
  <c r="V721" i="1"/>
  <c r="A722" i="1"/>
  <c r="B722" i="1"/>
  <c r="H722" i="1"/>
  <c r="I722" i="1"/>
  <c r="J722" i="1"/>
  <c r="O722" i="1"/>
  <c r="R722" i="1"/>
  <c r="S722" i="1"/>
  <c r="T722" i="1"/>
  <c r="U722" i="1"/>
  <c r="P722" i="1" s="1"/>
  <c r="V722" i="1"/>
  <c r="A723" i="1"/>
  <c r="B723" i="1"/>
  <c r="H723" i="1"/>
  <c r="I723" i="1"/>
  <c r="J723" i="1"/>
  <c r="Q723" i="1" s="1"/>
  <c r="O723" i="1"/>
  <c r="R723" i="1"/>
  <c r="S723" i="1"/>
  <c r="T723" i="1"/>
  <c r="U723" i="1"/>
  <c r="P723" i="1" s="1"/>
  <c r="V723" i="1"/>
  <c r="A724" i="1"/>
  <c r="B724" i="1"/>
  <c r="H724" i="1"/>
  <c r="I724" i="1"/>
  <c r="J724" i="1"/>
  <c r="O724" i="1"/>
  <c r="R724" i="1"/>
  <c r="S724" i="1"/>
  <c r="T724" i="1"/>
  <c r="U724" i="1"/>
  <c r="P724" i="1" s="1"/>
  <c r="V724" i="1"/>
  <c r="A725" i="1"/>
  <c r="B725" i="1"/>
  <c r="H725" i="1"/>
  <c r="I725" i="1"/>
  <c r="J725" i="1"/>
  <c r="Q725" i="1" s="1"/>
  <c r="O725" i="1"/>
  <c r="R725" i="1"/>
  <c r="S725" i="1"/>
  <c r="T725" i="1"/>
  <c r="U725" i="1"/>
  <c r="P725" i="1" s="1"/>
  <c r="V725" i="1"/>
  <c r="A726" i="1"/>
  <c r="B726" i="1"/>
  <c r="H726" i="1"/>
  <c r="I726" i="1"/>
  <c r="J726" i="1"/>
  <c r="O726" i="1"/>
  <c r="R726" i="1"/>
  <c r="S726" i="1"/>
  <c r="T726" i="1"/>
  <c r="U726" i="1"/>
  <c r="P726" i="1" s="1"/>
  <c r="V726" i="1"/>
  <c r="A727" i="1"/>
  <c r="B727" i="1"/>
  <c r="H727" i="1"/>
  <c r="I727" i="1"/>
  <c r="J727" i="1"/>
  <c r="O727" i="1"/>
  <c r="R727" i="1"/>
  <c r="S727" i="1"/>
  <c r="T727" i="1"/>
  <c r="U727" i="1"/>
  <c r="P727" i="1" s="1"/>
  <c r="V727" i="1"/>
  <c r="A728" i="1"/>
  <c r="B728" i="1"/>
  <c r="H728" i="1"/>
  <c r="I728" i="1"/>
  <c r="J728" i="1"/>
  <c r="O728" i="1"/>
  <c r="R728" i="1"/>
  <c r="S728" i="1"/>
  <c r="T728" i="1"/>
  <c r="U728" i="1"/>
  <c r="P728" i="1" s="1"/>
  <c r="V728" i="1"/>
  <c r="A729" i="1"/>
  <c r="B729" i="1"/>
  <c r="H729" i="1"/>
  <c r="I729" i="1"/>
  <c r="J729" i="1"/>
  <c r="O729" i="1"/>
  <c r="R729" i="1"/>
  <c r="S729" i="1"/>
  <c r="T729" i="1"/>
  <c r="U729" i="1"/>
  <c r="P729" i="1" s="1"/>
  <c r="V729" i="1"/>
  <c r="A730" i="1"/>
  <c r="B730" i="1"/>
  <c r="H730" i="1"/>
  <c r="I730" i="1"/>
  <c r="J730" i="1"/>
  <c r="O730" i="1"/>
  <c r="R730" i="1"/>
  <c r="S730" i="1"/>
  <c r="T730" i="1"/>
  <c r="U730" i="1"/>
  <c r="P730" i="1" s="1"/>
  <c r="V730" i="1"/>
  <c r="A731" i="1"/>
  <c r="B731" i="1"/>
  <c r="H731" i="1"/>
  <c r="I731" i="1"/>
  <c r="J731" i="1"/>
  <c r="Q731" i="1" s="1"/>
  <c r="O731" i="1"/>
  <c r="R731" i="1"/>
  <c r="S731" i="1"/>
  <c r="T731" i="1"/>
  <c r="U731" i="1"/>
  <c r="P731" i="1" s="1"/>
  <c r="V731" i="1"/>
  <c r="A732" i="1"/>
  <c r="B732" i="1"/>
  <c r="H732" i="1"/>
  <c r="I732" i="1"/>
  <c r="J732" i="1"/>
  <c r="O732" i="1"/>
  <c r="R732" i="1"/>
  <c r="S732" i="1"/>
  <c r="T732" i="1"/>
  <c r="U732" i="1"/>
  <c r="P732" i="1" s="1"/>
  <c r="V732" i="1"/>
  <c r="A733" i="1"/>
  <c r="B733" i="1"/>
  <c r="H733" i="1"/>
  <c r="I733" i="1"/>
  <c r="J733" i="1"/>
  <c r="O733" i="1"/>
  <c r="R733" i="1"/>
  <c r="S733" i="1"/>
  <c r="T733" i="1"/>
  <c r="U733" i="1"/>
  <c r="P733" i="1" s="1"/>
  <c r="V733" i="1"/>
  <c r="A734" i="1"/>
  <c r="B734" i="1"/>
  <c r="H734" i="1"/>
  <c r="I734" i="1"/>
  <c r="J734" i="1"/>
  <c r="O734" i="1"/>
  <c r="R734" i="1"/>
  <c r="S734" i="1"/>
  <c r="T734" i="1"/>
  <c r="U734" i="1"/>
  <c r="P734" i="1" s="1"/>
  <c r="V734" i="1"/>
  <c r="A735" i="1"/>
  <c r="B735" i="1"/>
  <c r="H735" i="1"/>
  <c r="I735" i="1"/>
  <c r="J735" i="1"/>
  <c r="Q735" i="1" s="1"/>
  <c r="O735" i="1"/>
  <c r="R735" i="1"/>
  <c r="S735" i="1"/>
  <c r="T735" i="1"/>
  <c r="U735" i="1"/>
  <c r="P735" i="1" s="1"/>
  <c r="V735" i="1"/>
  <c r="A736" i="1"/>
  <c r="B736" i="1"/>
  <c r="H736" i="1"/>
  <c r="I736" i="1"/>
  <c r="J736" i="1"/>
  <c r="O736" i="1"/>
  <c r="R736" i="1"/>
  <c r="S736" i="1"/>
  <c r="T736" i="1"/>
  <c r="U736" i="1"/>
  <c r="P736" i="1" s="1"/>
  <c r="V736" i="1"/>
  <c r="A737" i="1"/>
  <c r="B737" i="1"/>
  <c r="H737" i="1"/>
  <c r="I737" i="1"/>
  <c r="J737" i="1"/>
  <c r="Q737" i="1" s="1"/>
  <c r="O737" i="1"/>
  <c r="R737" i="1"/>
  <c r="S737" i="1"/>
  <c r="T737" i="1"/>
  <c r="U737" i="1"/>
  <c r="P737" i="1" s="1"/>
  <c r="V737" i="1"/>
  <c r="A738" i="1"/>
  <c r="B738" i="1"/>
  <c r="H738" i="1"/>
  <c r="I738" i="1"/>
  <c r="J738" i="1"/>
  <c r="O738" i="1"/>
  <c r="R738" i="1"/>
  <c r="S738" i="1"/>
  <c r="T738" i="1"/>
  <c r="U738" i="1"/>
  <c r="P738" i="1" s="1"/>
  <c r="V738" i="1"/>
  <c r="A739" i="1"/>
  <c r="B739" i="1"/>
  <c r="H739" i="1"/>
  <c r="I739" i="1"/>
  <c r="J739" i="1"/>
  <c r="O739" i="1"/>
  <c r="R739" i="1"/>
  <c r="S739" i="1"/>
  <c r="T739" i="1"/>
  <c r="U739" i="1"/>
  <c r="P739" i="1" s="1"/>
  <c r="V739" i="1"/>
  <c r="A740" i="1"/>
  <c r="B740" i="1"/>
  <c r="H740" i="1"/>
  <c r="I740" i="1"/>
  <c r="J740" i="1"/>
  <c r="O740" i="1"/>
  <c r="R740" i="1"/>
  <c r="S740" i="1"/>
  <c r="T740" i="1"/>
  <c r="U740" i="1"/>
  <c r="P740" i="1" s="1"/>
  <c r="V740" i="1"/>
  <c r="A741" i="1"/>
  <c r="B741" i="1"/>
  <c r="H741" i="1"/>
  <c r="I741" i="1"/>
  <c r="J741" i="1"/>
  <c r="O741" i="1"/>
  <c r="R741" i="1"/>
  <c r="S741" i="1"/>
  <c r="T741" i="1"/>
  <c r="U741" i="1"/>
  <c r="P741" i="1" s="1"/>
  <c r="V741" i="1"/>
  <c r="A742" i="1"/>
  <c r="B742" i="1"/>
  <c r="H742" i="1"/>
  <c r="I742" i="1"/>
  <c r="J742" i="1"/>
  <c r="O742" i="1"/>
  <c r="R742" i="1"/>
  <c r="S742" i="1"/>
  <c r="T742" i="1"/>
  <c r="U742" i="1"/>
  <c r="P742" i="1" s="1"/>
  <c r="V742" i="1"/>
  <c r="A743" i="1"/>
  <c r="B743" i="1"/>
  <c r="H743" i="1"/>
  <c r="I743" i="1"/>
  <c r="J743" i="1"/>
  <c r="Q743" i="1" s="1"/>
  <c r="O743" i="1"/>
  <c r="R743" i="1"/>
  <c r="S743" i="1"/>
  <c r="T743" i="1"/>
  <c r="U743" i="1"/>
  <c r="P743" i="1" s="1"/>
  <c r="V743" i="1"/>
  <c r="A744" i="1"/>
  <c r="B744" i="1"/>
  <c r="H744" i="1"/>
  <c r="I744" i="1"/>
  <c r="J744" i="1"/>
  <c r="O744" i="1"/>
  <c r="R744" i="1"/>
  <c r="S744" i="1"/>
  <c r="T744" i="1"/>
  <c r="U744" i="1"/>
  <c r="P744" i="1" s="1"/>
  <c r="V744" i="1"/>
  <c r="A745" i="1"/>
  <c r="B745" i="1"/>
  <c r="H745" i="1"/>
  <c r="I745" i="1"/>
  <c r="J745" i="1"/>
  <c r="O745" i="1"/>
  <c r="R745" i="1"/>
  <c r="S745" i="1"/>
  <c r="T745" i="1"/>
  <c r="U745" i="1"/>
  <c r="P745" i="1" s="1"/>
  <c r="V745" i="1"/>
  <c r="A746" i="1"/>
  <c r="B746" i="1"/>
  <c r="H746" i="1"/>
  <c r="I746" i="1"/>
  <c r="J746" i="1"/>
  <c r="O746" i="1"/>
  <c r="R746" i="1"/>
  <c r="S746" i="1"/>
  <c r="T746" i="1"/>
  <c r="U746" i="1"/>
  <c r="P746" i="1" s="1"/>
  <c r="V746" i="1"/>
  <c r="A747" i="1"/>
  <c r="B747" i="1"/>
  <c r="H747" i="1"/>
  <c r="I747" i="1"/>
  <c r="J747" i="1"/>
  <c r="Q747" i="1" s="1"/>
  <c r="O747" i="1"/>
  <c r="R747" i="1"/>
  <c r="S747" i="1"/>
  <c r="T747" i="1"/>
  <c r="U747" i="1"/>
  <c r="P747" i="1" s="1"/>
  <c r="V747" i="1"/>
  <c r="A748" i="1"/>
  <c r="B748" i="1"/>
  <c r="H748" i="1"/>
  <c r="I748" i="1"/>
  <c r="J748" i="1"/>
  <c r="O748" i="1"/>
  <c r="R748" i="1"/>
  <c r="S748" i="1"/>
  <c r="T748" i="1"/>
  <c r="U748" i="1"/>
  <c r="P748" i="1" s="1"/>
  <c r="V748" i="1"/>
  <c r="A749" i="1"/>
  <c r="B749" i="1"/>
  <c r="H749" i="1"/>
  <c r="I749" i="1"/>
  <c r="J749" i="1"/>
  <c r="Q749" i="1" s="1"/>
  <c r="O749" i="1"/>
  <c r="R749" i="1"/>
  <c r="S749" i="1"/>
  <c r="T749" i="1"/>
  <c r="U749" i="1"/>
  <c r="P749" i="1" s="1"/>
  <c r="V749" i="1"/>
  <c r="A750" i="1"/>
  <c r="B750" i="1"/>
  <c r="H750" i="1"/>
  <c r="I750" i="1"/>
  <c r="J750" i="1"/>
  <c r="O750" i="1"/>
  <c r="R750" i="1"/>
  <c r="S750" i="1"/>
  <c r="T750" i="1"/>
  <c r="U750" i="1"/>
  <c r="P750" i="1" s="1"/>
  <c r="V750" i="1"/>
  <c r="A751" i="1"/>
  <c r="B751" i="1"/>
  <c r="H751" i="1"/>
  <c r="I751" i="1"/>
  <c r="J751" i="1"/>
  <c r="O751" i="1"/>
  <c r="R751" i="1"/>
  <c r="S751" i="1"/>
  <c r="T751" i="1"/>
  <c r="U751" i="1"/>
  <c r="P751" i="1" s="1"/>
  <c r="V751" i="1"/>
  <c r="A752" i="1"/>
  <c r="B752" i="1"/>
  <c r="H752" i="1"/>
  <c r="I752" i="1"/>
  <c r="J752" i="1"/>
  <c r="O752" i="1"/>
  <c r="R752" i="1"/>
  <c r="S752" i="1"/>
  <c r="T752" i="1"/>
  <c r="U752" i="1"/>
  <c r="P752" i="1" s="1"/>
  <c r="V752" i="1"/>
  <c r="A753" i="1"/>
  <c r="B753" i="1"/>
  <c r="H753" i="1"/>
  <c r="I753" i="1"/>
  <c r="J753" i="1"/>
  <c r="O753" i="1"/>
  <c r="R753" i="1"/>
  <c r="S753" i="1"/>
  <c r="T753" i="1"/>
  <c r="U753" i="1"/>
  <c r="P753" i="1" s="1"/>
  <c r="V753" i="1"/>
  <c r="A754" i="1"/>
  <c r="B754" i="1"/>
  <c r="H754" i="1"/>
  <c r="I754" i="1"/>
  <c r="J754" i="1"/>
  <c r="O754" i="1"/>
  <c r="R754" i="1"/>
  <c r="S754" i="1"/>
  <c r="T754" i="1"/>
  <c r="U754" i="1"/>
  <c r="P754" i="1" s="1"/>
  <c r="V754" i="1"/>
  <c r="A755" i="1"/>
  <c r="B755" i="1"/>
  <c r="H755" i="1"/>
  <c r="I755" i="1"/>
  <c r="J755" i="1"/>
  <c r="Q755" i="1" s="1"/>
  <c r="O755" i="1"/>
  <c r="R755" i="1"/>
  <c r="S755" i="1"/>
  <c r="T755" i="1"/>
  <c r="U755" i="1"/>
  <c r="P755" i="1" s="1"/>
  <c r="V755" i="1"/>
  <c r="A756" i="1"/>
  <c r="B756" i="1"/>
  <c r="H756" i="1"/>
  <c r="I756" i="1"/>
  <c r="J756" i="1"/>
  <c r="O756" i="1"/>
  <c r="R756" i="1"/>
  <c r="S756" i="1"/>
  <c r="T756" i="1"/>
  <c r="U756" i="1"/>
  <c r="P756" i="1" s="1"/>
  <c r="V756" i="1"/>
  <c r="A757" i="1"/>
  <c r="B757" i="1"/>
  <c r="H757" i="1"/>
  <c r="I757" i="1"/>
  <c r="J757" i="1"/>
  <c r="O757" i="1"/>
  <c r="R757" i="1"/>
  <c r="S757" i="1"/>
  <c r="T757" i="1"/>
  <c r="U757" i="1"/>
  <c r="P757" i="1" s="1"/>
  <c r="V757" i="1"/>
  <c r="A758" i="1"/>
  <c r="B758" i="1"/>
  <c r="H758" i="1"/>
  <c r="I758" i="1"/>
  <c r="J758" i="1"/>
  <c r="O758" i="1"/>
  <c r="R758" i="1"/>
  <c r="S758" i="1"/>
  <c r="T758" i="1"/>
  <c r="U758" i="1"/>
  <c r="P758" i="1" s="1"/>
  <c r="V758" i="1"/>
  <c r="A759" i="1"/>
  <c r="B759" i="1"/>
  <c r="H759" i="1"/>
  <c r="I759" i="1"/>
  <c r="J759" i="1"/>
  <c r="Q759" i="1" s="1"/>
  <c r="O759" i="1"/>
  <c r="R759" i="1"/>
  <c r="S759" i="1"/>
  <c r="T759" i="1"/>
  <c r="U759" i="1"/>
  <c r="P759" i="1" s="1"/>
  <c r="V759" i="1"/>
  <c r="A760" i="1"/>
  <c r="B760" i="1"/>
  <c r="H760" i="1"/>
  <c r="I760" i="1"/>
  <c r="J760" i="1"/>
  <c r="O760" i="1"/>
  <c r="R760" i="1"/>
  <c r="S760" i="1"/>
  <c r="T760" i="1"/>
  <c r="U760" i="1"/>
  <c r="P760" i="1" s="1"/>
  <c r="V760" i="1"/>
  <c r="A761" i="1"/>
  <c r="B761" i="1"/>
  <c r="H761" i="1"/>
  <c r="I761" i="1"/>
  <c r="J761" i="1"/>
  <c r="Q761" i="1" s="1"/>
  <c r="O761" i="1"/>
  <c r="R761" i="1"/>
  <c r="S761" i="1"/>
  <c r="T761" i="1"/>
  <c r="U761" i="1"/>
  <c r="P761" i="1" s="1"/>
  <c r="V761" i="1"/>
  <c r="A762" i="1"/>
  <c r="B762" i="1"/>
  <c r="H762" i="1"/>
  <c r="I762" i="1"/>
  <c r="J762" i="1"/>
  <c r="O762" i="1"/>
  <c r="R762" i="1"/>
  <c r="S762" i="1"/>
  <c r="T762" i="1"/>
  <c r="U762" i="1"/>
  <c r="P762" i="1" s="1"/>
  <c r="V762" i="1"/>
  <c r="A763" i="1"/>
  <c r="B763" i="1"/>
  <c r="H763" i="1"/>
  <c r="I763" i="1"/>
  <c r="J763" i="1"/>
  <c r="O763" i="1"/>
  <c r="R763" i="1"/>
  <c r="S763" i="1"/>
  <c r="T763" i="1"/>
  <c r="U763" i="1"/>
  <c r="P763" i="1" s="1"/>
  <c r="V763" i="1"/>
  <c r="A764" i="1"/>
  <c r="B764" i="1"/>
  <c r="H764" i="1"/>
  <c r="I764" i="1"/>
  <c r="J764" i="1"/>
  <c r="O764" i="1"/>
  <c r="R764" i="1"/>
  <c r="S764" i="1"/>
  <c r="T764" i="1"/>
  <c r="U764" i="1"/>
  <c r="P764" i="1" s="1"/>
  <c r="V764" i="1"/>
  <c r="A765" i="1"/>
  <c r="B765" i="1"/>
  <c r="H765" i="1"/>
  <c r="I765" i="1"/>
  <c r="J765" i="1"/>
  <c r="O765" i="1"/>
  <c r="R765" i="1"/>
  <c r="S765" i="1"/>
  <c r="T765" i="1"/>
  <c r="U765" i="1"/>
  <c r="P765" i="1" s="1"/>
  <c r="V765" i="1"/>
  <c r="A766" i="1"/>
  <c r="B766" i="1"/>
  <c r="H766" i="1"/>
  <c r="I766" i="1"/>
  <c r="J766" i="1"/>
  <c r="O766" i="1"/>
  <c r="R766" i="1"/>
  <c r="S766" i="1"/>
  <c r="T766" i="1"/>
  <c r="U766" i="1"/>
  <c r="P766" i="1" s="1"/>
  <c r="V766" i="1"/>
  <c r="A767" i="1"/>
  <c r="B767" i="1"/>
  <c r="H767" i="1"/>
  <c r="I767" i="1"/>
  <c r="J767" i="1"/>
  <c r="Q767" i="1" s="1"/>
  <c r="O767" i="1"/>
  <c r="R767" i="1"/>
  <c r="S767" i="1"/>
  <c r="T767" i="1"/>
  <c r="U767" i="1"/>
  <c r="P767" i="1" s="1"/>
  <c r="V767" i="1"/>
  <c r="A768" i="1"/>
  <c r="B768" i="1"/>
  <c r="H768" i="1"/>
  <c r="I768" i="1"/>
  <c r="J768" i="1"/>
  <c r="O768" i="1"/>
  <c r="R768" i="1"/>
  <c r="S768" i="1"/>
  <c r="T768" i="1"/>
  <c r="U768" i="1"/>
  <c r="P768" i="1" s="1"/>
  <c r="V768" i="1"/>
  <c r="A769" i="1"/>
  <c r="B769" i="1"/>
  <c r="H769" i="1"/>
  <c r="I769" i="1"/>
  <c r="J769" i="1"/>
  <c r="O769" i="1"/>
  <c r="R769" i="1"/>
  <c r="S769" i="1"/>
  <c r="T769" i="1"/>
  <c r="U769" i="1"/>
  <c r="P769" i="1" s="1"/>
  <c r="V769" i="1"/>
  <c r="A770" i="1"/>
  <c r="B770" i="1"/>
  <c r="H770" i="1"/>
  <c r="I770" i="1"/>
  <c r="J770" i="1"/>
  <c r="O770" i="1"/>
  <c r="R770" i="1"/>
  <c r="S770" i="1"/>
  <c r="T770" i="1"/>
  <c r="U770" i="1"/>
  <c r="P770" i="1" s="1"/>
  <c r="V770" i="1"/>
  <c r="A771" i="1"/>
  <c r="B771" i="1"/>
  <c r="H771" i="1"/>
  <c r="I771" i="1"/>
  <c r="J771" i="1"/>
  <c r="Q771" i="1" s="1"/>
  <c r="O771" i="1"/>
  <c r="R771" i="1"/>
  <c r="S771" i="1"/>
  <c r="T771" i="1"/>
  <c r="U771" i="1"/>
  <c r="P771" i="1" s="1"/>
  <c r="V771" i="1"/>
  <c r="A772" i="1"/>
  <c r="B772" i="1"/>
  <c r="H772" i="1"/>
  <c r="I772" i="1"/>
  <c r="J772" i="1"/>
  <c r="O772" i="1"/>
  <c r="R772" i="1"/>
  <c r="S772" i="1"/>
  <c r="T772" i="1"/>
  <c r="U772" i="1"/>
  <c r="P772" i="1" s="1"/>
  <c r="V772" i="1"/>
  <c r="A773" i="1"/>
  <c r="B773" i="1"/>
  <c r="H773" i="1"/>
  <c r="I773" i="1"/>
  <c r="J773" i="1"/>
  <c r="Q773" i="1" s="1"/>
  <c r="O773" i="1"/>
  <c r="R773" i="1"/>
  <c r="S773" i="1"/>
  <c r="T773" i="1"/>
  <c r="U773" i="1"/>
  <c r="P773" i="1" s="1"/>
  <c r="V773" i="1"/>
  <c r="A774" i="1"/>
  <c r="B774" i="1"/>
  <c r="H774" i="1"/>
  <c r="I774" i="1"/>
  <c r="J774" i="1"/>
  <c r="O774" i="1"/>
  <c r="R774" i="1"/>
  <c r="S774" i="1"/>
  <c r="T774" i="1"/>
  <c r="U774" i="1"/>
  <c r="P774" i="1" s="1"/>
  <c r="V774" i="1"/>
  <c r="A775" i="1"/>
  <c r="B775" i="1"/>
  <c r="H775" i="1"/>
  <c r="I775" i="1"/>
  <c r="J775" i="1"/>
  <c r="O775" i="1"/>
  <c r="R775" i="1"/>
  <c r="S775" i="1"/>
  <c r="T775" i="1"/>
  <c r="U775" i="1"/>
  <c r="P775" i="1" s="1"/>
  <c r="V775" i="1"/>
  <c r="A776" i="1"/>
  <c r="B776" i="1"/>
  <c r="H776" i="1"/>
  <c r="I776" i="1"/>
  <c r="J776" i="1"/>
  <c r="O776" i="1"/>
  <c r="R776" i="1"/>
  <c r="S776" i="1"/>
  <c r="T776" i="1"/>
  <c r="U776" i="1"/>
  <c r="P776" i="1" s="1"/>
  <c r="V776" i="1"/>
  <c r="A777" i="1"/>
  <c r="B777" i="1"/>
  <c r="C777" i="1" s="1"/>
  <c r="H777" i="1"/>
  <c r="I777" i="1"/>
  <c r="J777" i="1"/>
  <c r="O777" i="1"/>
  <c r="R777" i="1"/>
  <c r="S777" i="1"/>
  <c r="T777" i="1"/>
  <c r="U777" i="1"/>
  <c r="P777" i="1" s="1"/>
  <c r="V777" i="1"/>
  <c r="A778" i="1"/>
  <c r="B778" i="1"/>
  <c r="H778" i="1"/>
  <c r="I778" i="1"/>
  <c r="J778" i="1"/>
  <c r="O778" i="1"/>
  <c r="R778" i="1"/>
  <c r="S778" i="1"/>
  <c r="T778" i="1"/>
  <c r="U778" i="1"/>
  <c r="P778" i="1" s="1"/>
  <c r="V778" i="1"/>
  <c r="A779" i="1"/>
  <c r="B779" i="1"/>
  <c r="H779" i="1"/>
  <c r="I779" i="1"/>
  <c r="J779" i="1"/>
  <c r="Q779" i="1" s="1"/>
  <c r="O779" i="1"/>
  <c r="R779" i="1"/>
  <c r="S779" i="1"/>
  <c r="T779" i="1"/>
  <c r="U779" i="1"/>
  <c r="P779" i="1" s="1"/>
  <c r="V779" i="1"/>
  <c r="A780" i="1"/>
  <c r="B780" i="1"/>
  <c r="H780" i="1"/>
  <c r="I780" i="1"/>
  <c r="J780" i="1"/>
  <c r="O780" i="1"/>
  <c r="R780" i="1"/>
  <c r="S780" i="1"/>
  <c r="T780" i="1"/>
  <c r="U780" i="1"/>
  <c r="P780" i="1" s="1"/>
  <c r="V780" i="1"/>
  <c r="A781" i="1"/>
  <c r="B781" i="1"/>
  <c r="H781" i="1"/>
  <c r="I781" i="1"/>
  <c r="J781" i="1"/>
  <c r="O781" i="1"/>
  <c r="R781" i="1"/>
  <c r="S781" i="1"/>
  <c r="T781" i="1"/>
  <c r="U781" i="1"/>
  <c r="P781" i="1" s="1"/>
  <c r="V781" i="1"/>
  <c r="A782" i="1"/>
  <c r="B782" i="1"/>
  <c r="H782" i="1"/>
  <c r="I782" i="1"/>
  <c r="J782" i="1"/>
  <c r="O782" i="1"/>
  <c r="R782" i="1"/>
  <c r="S782" i="1"/>
  <c r="T782" i="1"/>
  <c r="U782" i="1"/>
  <c r="P782" i="1" s="1"/>
  <c r="V782" i="1"/>
  <c r="A783" i="1"/>
  <c r="B783" i="1"/>
  <c r="H783" i="1"/>
  <c r="I783" i="1"/>
  <c r="J783" i="1"/>
  <c r="Q783" i="1" s="1"/>
  <c r="O783" i="1"/>
  <c r="R783" i="1"/>
  <c r="S783" i="1"/>
  <c r="T783" i="1"/>
  <c r="U783" i="1"/>
  <c r="P783" i="1" s="1"/>
  <c r="V783" i="1"/>
  <c r="A784" i="1"/>
  <c r="B784" i="1"/>
  <c r="H784" i="1"/>
  <c r="I784" i="1"/>
  <c r="J784" i="1"/>
  <c r="O784" i="1"/>
  <c r="R784" i="1"/>
  <c r="S784" i="1"/>
  <c r="T784" i="1"/>
  <c r="U784" i="1"/>
  <c r="P784" i="1" s="1"/>
  <c r="V784" i="1"/>
  <c r="A785" i="1"/>
  <c r="B785" i="1"/>
  <c r="H785" i="1"/>
  <c r="I785" i="1"/>
  <c r="J785" i="1"/>
  <c r="Q785" i="1" s="1"/>
  <c r="O785" i="1"/>
  <c r="R785" i="1"/>
  <c r="S785" i="1"/>
  <c r="T785" i="1"/>
  <c r="U785" i="1"/>
  <c r="P785" i="1" s="1"/>
  <c r="V785" i="1"/>
  <c r="A786" i="1"/>
  <c r="B786" i="1"/>
  <c r="H786" i="1"/>
  <c r="I786" i="1"/>
  <c r="J786" i="1"/>
  <c r="O786" i="1"/>
  <c r="R786" i="1"/>
  <c r="S786" i="1"/>
  <c r="T786" i="1"/>
  <c r="U786" i="1"/>
  <c r="P786" i="1" s="1"/>
  <c r="V786" i="1"/>
  <c r="A787" i="1"/>
  <c r="B787" i="1"/>
  <c r="H787" i="1"/>
  <c r="I787" i="1"/>
  <c r="J787" i="1"/>
  <c r="O787" i="1"/>
  <c r="R787" i="1"/>
  <c r="S787" i="1"/>
  <c r="T787" i="1"/>
  <c r="U787" i="1"/>
  <c r="P787" i="1" s="1"/>
  <c r="V787" i="1"/>
  <c r="A788" i="1"/>
  <c r="B788" i="1"/>
  <c r="C788" i="1" s="1"/>
  <c r="H788" i="1"/>
  <c r="I788" i="1"/>
  <c r="J788" i="1"/>
  <c r="O788" i="1"/>
  <c r="R788" i="1"/>
  <c r="S788" i="1"/>
  <c r="T788" i="1"/>
  <c r="U788" i="1"/>
  <c r="P788" i="1" s="1"/>
  <c r="V788" i="1"/>
  <c r="A789" i="1"/>
  <c r="B789" i="1"/>
  <c r="H789" i="1"/>
  <c r="I789" i="1"/>
  <c r="J789" i="1"/>
  <c r="O789" i="1"/>
  <c r="R789" i="1"/>
  <c r="S789" i="1"/>
  <c r="T789" i="1"/>
  <c r="U789" i="1"/>
  <c r="P789" i="1" s="1"/>
  <c r="V789" i="1"/>
  <c r="A790" i="1"/>
  <c r="B790" i="1"/>
  <c r="H790" i="1"/>
  <c r="I790" i="1"/>
  <c r="J790" i="1"/>
  <c r="O790" i="1"/>
  <c r="R790" i="1"/>
  <c r="S790" i="1"/>
  <c r="T790" i="1"/>
  <c r="U790" i="1"/>
  <c r="P790" i="1" s="1"/>
  <c r="V790" i="1"/>
  <c r="A791" i="1"/>
  <c r="B791" i="1"/>
  <c r="C791" i="1" s="1"/>
  <c r="H791" i="1"/>
  <c r="I791" i="1"/>
  <c r="J791" i="1"/>
  <c r="Q791" i="1" s="1"/>
  <c r="O791" i="1"/>
  <c r="R791" i="1"/>
  <c r="S791" i="1"/>
  <c r="T791" i="1"/>
  <c r="U791" i="1"/>
  <c r="P791" i="1" s="1"/>
  <c r="V791" i="1"/>
  <c r="A792" i="1"/>
  <c r="B792" i="1"/>
  <c r="H792" i="1"/>
  <c r="I792" i="1"/>
  <c r="J792" i="1"/>
  <c r="O792" i="1"/>
  <c r="R792" i="1"/>
  <c r="S792" i="1"/>
  <c r="T792" i="1"/>
  <c r="U792" i="1"/>
  <c r="P792" i="1" s="1"/>
  <c r="V792" i="1"/>
  <c r="A793" i="1"/>
  <c r="B793" i="1"/>
  <c r="C793" i="1" s="1"/>
  <c r="H793" i="1"/>
  <c r="I793" i="1"/>
  <c r="J793" i="1"/>
  <c r="O793" i="1"/>
  <c r="R793" i="1"/>
  <c r="S793" i="1"/>
  <c r="T793" i="1"/>
  <c r="U793" i="1"/>
  <c r="P793" i="1" s="1"/>
  <c r="V793" i="1"/>
  <c r="A794" i="1"/>
  <c r="B794" i="1"/>
  <c r="G794" i="1" s="1"/>
  <c r="H794" i="1"/>
  <c r="I794" i="1"/>
  <c r="J794" i="1"/>
  <c r="O794" i="1"/>
  <c r="R794" i="1"/>
  <c r="S794" i="1"/>
  <c r="T794" i="1"/>
  <c r="U794" i="1"/>
  <c r="P794" i="1" s="1"/>
  <c r="V794" i="1"/>
  <c r="A795" i="1"/>
  <c r="B795" i="1"/>
  <c r="E795" i="1" s="1"/>
  <c r="H795" i="1"/>
  <c r="I795" i="1"/>
  <c r="J795" i="1"/>
  <c r="Q795" i="1" s="1"/>
  <c r="O795" i="1"/>
  <c r="R795" i="1"/>
  <c r="S795" i="1"/>
  <c r="T795" i="1"/>
  <c r="U795" i="1"/>
  <c r="P795" i="1" s="1"/>
  <c r="V795" i="1"/>
  <c r="A796" i="1"/>
  <c r="B796" i="1"/>
  <c r="C796" i="1" s="1"/>
  <c r="H796" i="1"/>
  <c r="I796" i="1"/>
  <c r="J796" i="1"/>
  <c r="O796" i="1"/>
  <c r="R796" i="1"/>
  <c r="S796" i="1"/>
  <c r="T796" i="1"/>
  <c r="U796" i="1"/>
  <c r="P796" i="1" s="1"/>
  <c r="V796" i="1"/>
  <c r="A797" i="1"/>
  <c r="B797" i="1"/>
  <c r="D797" i="1" s="1"/>
  <c r="H797" i="1"/>
  <c r="I797" i="1"/>
  <c r="J797" i="1"/>
  <c r="Q797" i="1" s="1"/>
  <c r="O797" i="1"/>
  <c r="R797" i="1"/>
  <c r="S797" i="1"/>
  <c r="T797" i="1"/>
  <c r="U797" i="1"/>
  <c r="P797" i="1" s="1"/>
  <c r="V797" i="1"/>
  <c r="A798" i="1"/>
  <c r="B798" i="1"/>
  <c r="F798" i="1" s="1"/>
  <c r="H798" i="1"/>
  <c r="I798" i="1"/>
  <c r="J798" i="1"/>
  <c r="O798" i="1"/>
  <c r="R798" i="1"/>
  <c r="S798" i="1"/>
  <c r="T798" i="1"/>
  <c r="U798" i="1"/>
  <c r="P798" i="1" s="1"/>
  <c r="V798" i="1"/>
  <c r="A799" i="1"/>
  <c r="B799" i="1"/>
  <c r="D799" i="1" s="1"/>
  <c r="H799" i="1"/>
  <c r="I799" i="1"/>
  <c r="J799" i="1"/>
  <c r="O799" i="1"/>
  <c r="R799" i="1"/>
  <c r="S799" i="1"/>
  <c r="T799" i="1"/>
  <c r="U799" i="1"/>
  <c r="P799" i="1" s="1"/>
  <c r="V799" i="1"/>
  <c r="A800" i="1"/>
  <c r="B800" i="1"/>
  <c r="F800" i="1" s="1"/>
  <c r="H800" i="1"/>
  <c r="I800" i="1"/>
  <c r="J800" i="1"/>
  <c r="O800" i="1"/>
  <c r="R800" i="1"/>
  <c r="S800" i="1"/>
  <c r="T800" i="1"/>
  <c r="U800" i="1"/>
  <c r="P800" i="1" s="1"/>
  <c r="V800" i="1"/>
  <c r="A801" i="1"/>
  <c r="B801" i="1"/>
  <c r="F801" i="1" s="1"/>
  <c r="H801" i="1"/>
  <c r="I801" i="1"/>
  <c r="J801" i="1"/>
  <c r="O801" i="1"/>
  <c r="R801" i="1"/>
  <c r="S801" i="1"/>
  <c r="T801" i="1"/>
  <c r="U801" i="1"/>
  <c r="P801" i="1" s="1"/>
  <c r="V801" i="1"/>
  <c r="A802" i="1"/>
  <c r="B802" i="1"/>
  <c r="C802" i="1" s="1"/>
  <c r="H802" i="1"/>
  <c r="I802" i="1"/>
  <c r="J802" i="1"/>
  <c r="O802" i="1"/>
  <c r="R802" i="1"/>
  <c r="S802" i="1"/>
  <c r="T802" i="1"/>
  <c r="U802" i="1"/>
  <c r="P802" i="1" s="1"/>
  <c r="V802" i="1"/>
  <c r="A803" i="1"/>
  <c r="B803" i="1"/>
  <c r="E803" i="1" s="1"/>
  <c r="H803" i="1"/>
  <c r="I803" i="1"/>
  <c r="J803" i="1"/>
  <c r="Q803" i="1" s="1"/>
  <c r="O803" i="1"/>
  <c r="R803" i="1"/>
  <c r="S803" i="1"/>
  <c r="T803" i="1"/>
  <c r="U803" i="1"/>
  <c r="P803" i="1" s="1"/>
  <c r="V803" i="1"/>
  <c r="A804" i="1"/>
  <c r="B804" i="1"/>
  <c r="G804" i="1" s="1"/>
  <c r="H804" i="1"/>
  <c r="I804" i="1"/>
  <c r="J804" i="1"/>
  <c r="O804" i="1"/>
  <c r="R804" i="1"/>
  <c r="S804" i="1"/>
  <c r="T804" i="1"/>
  <c r="U804" i="1"/>
  <c r="P804" i="1" s="1"/>
  <c r="V804" i="1"/>
  <c r="A805" i="1"/>
  <c r="B805" i="1"/>
  <c r="E805" i="1" s="1"/>
  <c r="H805" i="1"/>
  <c r="I805" i="1"/>
  <c r="J805" i="1"/>
  <c r="O805" i="1"/>
  <c r="R805" i="1"/>
  <c r="S805" i="1"/>
  <c r="T805" i="1"/>
  <c r="U805" i="1"/>
  <c r="P805" i="1" s="1"/>
  <c r="V805" i="1"/>
  <c r="A806" i="1"/>
  <c r="B806" i="1"/>
  <c r="E806" i="1" s="1"/>
  <c r="H806" i="1"/>
  <c r="I806" i="1"/>
  <c r="J806" i="1"/>
  <c r="O806" i="1"/>
  <c r="R806" i="1"/>
  <c r="S806" i="1"/>
  <c r="T806" i="1"/>
  <c r="U806" i="1"/>
  <c r="P806" i="1" s="1"/>
  <c r="V806" i="1"/>
  <c r="A807" i="1"/>
  <c r="B807" i="1"/>
  <c r="F807" i="1" s="1"/>
  <c r="H807" i="1"/>
  <c r="I807" i="1"/>
  <c r="J807" i="1"/>
  <c r="Q807" i="1" s="1"/>
  <c r="O807" i="1"/>
  <c r="R807" i="1"/>
  <c r="S807" i="1"/>
  <c r="T807" i="1"/>
  <c r="U807" i="1"/>
  <c r="P807" i="1" s="1"/>
  <c r="V807" i="1"/>
  <c r="A808" i="1"/>
  <c r="B808" i="1"/>
  <c r="C808" i="1" s="1"/>
  <c r="H808" i="1"/>
  <c r="I808" i="1"/>
  <c r="J808" i="1"/>
  <c r="O808" i="1"/>
  <c r="R808" i="1"/>
  <c r="S808" i="1"/>
  <c r="T808" i="1"/>
  <c r="U808" i="1"/>
  <c r="P808" i="1" s="1"/>
  <c r="V808" i="1"/>
  <c r="A809" i="1"/>
  <c r="B809" i="1"/>
  <c r="E809" i="1" s="1"/>
  <c r="H809" i="1"/>
  <c r="I809" i="1"/>
  <c r="J809" i="1"/>
  <c r="Q809" i="1" s="1"/>
  <c r="O809" i="1"/>
  <c r="R809" i="1"/>
  <c r="S809" i="1"/>
  <c r="T809" i="1"/>
  <c r="U809" i="1"/>
  <c r="P809" i="1" s="1"/>
  <c r="V809" i="1"/>
  <c r="A810" i="1"/>
  <c r="B810" i="1"/>
  <c r="E810" i="1" s="1"/>
  <c r="H810" i="1"/>
  <c r="I810" i="1"/>
  <c r="J810" i="1"/>
  <c r="O810" i="1"/>
  <c r="R810" i="1"/>
  <c r="S810" i="1"/>
  <c r="T810" i="1"/>
  <c r="U810" i="1"/>
  <c r="P810" i="1" s="1"/>
  <c r="V810" i="1"/>
  <c r="A811" i="1"/>
  <c r="B811" i="1"/>
  <c r="E811" i="1" s="1"/>
  <c r="H811" i="1"/>
  <c r="I811" i="1"/>
  <c r="J811" i="1"/>
  <c r="O811" i="1"/>
  <c r="R811" i="1"/>
  <c r="S811" i="1"/>
  <c r="T811" i="1"/>
  <c r="U811" i="1"/>
  <c r="P811" i="1" s="1"/>
  <c r="V811" i="1"/>
  <c r="A812" i="1"/>
  <c r="B812" i="1"/>
  <c r="F812" i="1" s="1"/>
  <c r="H812" i="1"/>
  <c r="I812" i="1"/>
  <c r="J812" i="1"/>
  <c r="O812" i="1"/>
  <c r="R812" i="1"/>
  <c r="S812" i="1"/>
  <c r="T812" i="1"/>
  <c r="U812" i="1"/>
  <c r="P812" i="1" s="1"/>
  <c r="V812" i="1"/>
  <c r="A813" i="1"/>
  <c r="B813" i="1"/>
  <c r="C813" i="1" s="1"/>
  <c r="H813" i="1"/>
  <c r="I813" i="1"/>
  <c r="J813" i="1"/>
  <c r="O813" i="1"/>
  <c r="R813" i="1"/>
  <c r="S813" i="1"/>
  <c r="T813" i="1"/>
  <c r="U813" i="1"/>
  <c r="P813" i="1" s="1"/>
  <c r="V813" i="1"/>
  <c r="A814" i="1"/>
  <c r="B814" i="1"/>
  <c r="E814" i="1" s="1"/>
  <c r="H814" i="1"/>
  <c r="I814" i="1"/>
  <c r="J814" i="1"/>
  <c r="O814" i="1"/>
  <c r="R814" i="1"/>
  <c r="S814" i="1"/>
  <c r="T814" i="1"/>
  <c r="U814" i="1"/>
  <c r="P814" i="1" s="1"/>
  <c r="V814" i="1"/>
  <c r="A815" i="1"/>
  <c r="B815" i="1"/>
  <c r="E815" i="1" s="1"/>
  <c r="H815" i="1"/>
  <c r="I815" i="1"/>
  <c r="J815" i="1"/>
  <c r="Q815" i="1" s="1"/>
  <c r="O815" i="1"/>
  <c r="R815" i="1"/>
  <c r="S815" i="1"/>
  <c r="T815" i="1"/>
  <c r="U815" i="1"/>
  <c r="P815" i="1" s="1"/>
  <c r="V815" i="1"/>
  <c r="A816" i="1"/>
  <c r="B816" i="1"/>
  <c r="E816" i="1" s="1"/>
  <c r="H816" i="1"/>
  <c r="I816" i="1"/>
  <c r="J816" i="1"/>
  <c r="O816" i="1"/>
  <c r="R816" i="1"/>
  <c r="S816" i="1"/>
  <c r="T816" i="1"/>
  <c r="U816" i="1"/>
  <c r="P816" i="1" s="1"/>
  <c r="V816" i="1"/>
  <c r="A817" i="1"/>
  <c r="B817" i="1"/>
  <c r="D817" i="1" s="1"/>
  <c r="H817" i="1"/>
  <c r="I817" i="1"/>
  <c r="J817" i="1"/>
  <c r="O817" i="1"/>
  <c r="R817" i="1"/>
  <c r="S817" i="1"/>
  <c r="T817" i="1"/>
  <c r="U817" i="1"/>
  <c r="P817" i="1" s="1"/>
  <c r="V817" i="1"/>
  <c r="A818" i="1"/>
  <c r="B818" i="1"/>
  <c r="E818" i="1" s="1"/>
  <c r="H818" i="1"/>
  <c r="I818" i="1"/>
  <c r="J818" i="1"/>
  <c r="O818" i="1"/>
  <c r="R818" i="1"/>
  <c r="S818" i="1"/>
  <c r="T818" i="1"/>
  <c r="U818" i="1"/>
  <c r="P818" i="1" s="1"/>
  <c r="V818" i="1"/>
  <c r="A819" i="1"/>
  <c r="B819" i="1"/>
  <c r="E819" i="1" s="1"/>
  <c r="H819" i="1"/>
  <c r="I819" i="1"/>
  <c r="J819" i="1"/>
  <c r="Q819" i="1" s="1"/>
  <c r="O819" i="1"/>
  <c r="R819" i="1"/>
  <c r="S819" i="1"/>
  <c r="T819" i="1"/>
  <c r="U819" i="1"/>
  <c r="P819" i="1" s="1"/>
  <c r="V819" i="1"/>
  <c r="A820" i="1"/>
  <c r="B820" i="1"/>
  <c r="G820" i="1" s="1"/>
  <c r="H820" i="1"/>
  <c r="I820" i="1"/>
  <c r="J820" i="1"/>
  <c r="O820" i="1"/>
  <c r="R820" i="1"/>
  <c r="S820" i="1"/>
  <c r="T820" i="1"/>
  <c r="U820" i="1"/>
  <c r="P820" i="1" s="1"/>
  <c r="V820" i="1"/>
  <c r="A821" i="1"/>
  <c r="B821" i="1"/>
  <c r="D821" i="1" s="1"/>
  <c r="H821" i="1"/>
  <c r="I821" i="1"/>
  <c r="J821" i="1"/>
  <c r="Q821" i="1" s="1"/>
  <c r="O821" i="1"/>
  <c r="R821" i="1"/>
  <c r="S821" i="1"/>
  <c r="T821" i="1"/>
  <c r="U821" i="1"/>
  <c r="P821" i="1" s="1"/>
  <c r="V821" i="1"/>
  <c r="A822" i="1"/>
  <c r="B822" i="1"/>
  <c r="F822" i="1" s="1"/>
  <c r="H822" i="1"/>
  <c r="I822" i="1"/>
  <c r="J822" i="1"/>
  <c r="O822" i="1"/>
  <c r="R822" i="1"/>
  <c r="S822" i="1"/>
  <c r="T822" i="1"/>
  <c r="U822" i="1"/>
  <c r="P822" i="1" s="1"/>
  <c r="V822" i="1"/>
  <c r="A823" i="1"/>
  <c r="B823" i="1"/>
  <c r="F823" i="1" s="1"/>
  <c r="H823" i="1"/>
  <c r="I823" i="1"/>
  <c r="J823" i="1"/>
  <c r="O823" i="1"/>
  <c r="R823" i="1"/>
  <c r="S823" i="1"/>
  <c r="T823" i="1"/>
  <c r="U823" i="1"/>
  <c r="P823" i="1" s="1"/>
  <c r="V823" i="1"/>
  <c r="A824" i="1"/>
  <c r="B824" i="1"/>
  <c r="D824" i="1" s="1"/>
  <c r="H824" i="1"/>
  <c r="I824" i="1"/>
  <c r="J824" i="1"/>
  <c r="O824" i="1"/>
  <c r="R824" i="1"/>
  <c r="S824" i="1"/>
  <c r="T824" i="1"/>
  <c r="U824" i="1"/>
  <c r="P824" i="1" s="1"/>
  <c r="V824" i="1"/>
  <c r="A825" i="1"/>
  <c r="B825" i="1"/>
  <c r="D825" i="1" s="1"/>
  <c r="H825" i="1"/>
  <c r="I825" i="1"/>
  <c r="J825" i="1"/>
  <c r="O825" i="1"/>
  <c r="R825" i="1"/>
  <c r="S825" i="1"/>
  <c r="T825" i="1"/>
  <c r="U825" i="1"/>
  <c r="P825" i="1" s="1"/>
  <c r="V825" i="1"/>
  <c r="A826" i="1"/>
  <c r="B826" i="1"/>
  <c r="C826" i="1" s="1"/>
  <c r="H826" i="1"/>
  <c r="I826" i="1"/>
  <c r="J826" i="1"/>
  <c r="O826" i="1"/>
  <c r="R826" i="1"/>
  <c r="S826" i="1"/>
  <c r="T826" i="1"/>
  <c r="U826" i="1"/>
  <c r="P826" i="1" s="1"/>
  <c r="V826" i="1"/>
  <c r="A827" i="1"/>
  <c r="B827" i="1"/>
  <c r="H827" i="1"/>
  <c r="I827" i="1"/>
  <c r="J827" i="1"/>
  <c r="Q827" i="1" s="1"/>
  <c r="O827" i="1"/>
  <c r="R827" i="1"/>
  <c r="S827" i="1"/>
  <c r="T827" i="1"/>
  <c r="U827" i="1"/>
  <c r="P827" i="1" s="1"/>
  <c r="V827" i="1"/>
  <c r="A828" i="1"/>
  <c r="B828" i="1"/>
  <c r="C828" i="1" s="1"/>
  <c r="H828" i="1"/>
  <c r="I828" i="1"/>
  <c r="J828" i="1"/>
  <c r="O828" i="1"/>
  <c r="R828" i="1"/>
  <c r="S828" i="1"/>
  <c r="T828" i="1"/>
  <c r="U828" i="1"/>
  <c r="P828" i="1" s="1"/>
  <c r="V828" i="1"/>
  <c r="A829" i="1"/>
  <c r="B829" i="1"/>
  <c r="G829" i="1" s="1"/>
  <c r="H829" i="1"/>
  <c r="I829" i="1"/>
  <c r="J829" i="1"/>
  <c r="O829" i="1"/>
  <c r="R829" i="1"/>
  <c r="S829" i="1"/>
  <c r="T829" i="1"/>
  <c r="U829" i="1"/>
  <c r="P829" i="1" s="1"/>
  <c r="V829" i="1"/>
  <c r="A830" i="1"/>
  <c r="B830" i="1"/>
  <c r="F830" i="1" s="1"/>
  <c r="H830" i="1"/>
  <c r="I830" i="1"/>
  <c r="J830" i="1"/>
  <c r="O830" i="1"/>
  <c r="R830" i="1"/>
  <c r="S830" i="1"/>
  <c r="T830" i="1"/>
  <c r="U830" i="1"/>
  <c r="P830" i="1" s="1"/>
  <c r="V830" i="1"/>
  <c r="A831" i="1"/>
  <c r="B831" i="1"/>
  <c r="D831" i="1" s="1"/>
  <c r="H831" i="1"/>
  <c r="I831" i="1"/>
  <c r="J831" i="1"/>
  <c r="Q831" i="1" s="1"/>
  <c r="O831" i="1"/>
  <c r="R831" i="1"/>
  <c r="S831" i="1"/>
  <c r="T831" i="1"/>
  <c r="U831" i="1"/>
  <c r="P831" i="1" s="1"/>
  <c r="V831" i="1"/>
  <c r="A832" i="1"/>
  <c r="B832" i="1"/>
  <c r="E832" i="1" s="1"/>
  <c r="H832" i="1"/>
  <c r="I832" i="1"/>
  <c r="J832" i="1"/>
  <c r="O832" i="1"/>
  <c r="R832" i="1"/>
  <c r="S832" i="1"/>
  <c r="T832" i="1"/>
  <c r="U832" i="1"/>
  <c r="P832" i="1" s="1"/>
  <c r="V832" i="1"/>
  <c r="A833" i="1"/>
  <c r="B833" i="1"/>
  <c r="H833" i="1"/>
  <c r="I833" i="1"/>
  <c r="J833" i="1"/>
  <c r="Q833" i="1" s="1"/>
  <c r="O833" i="1"/>
  <c r="R833" i="1"/>
  <c r="S833" i="1"/>
  <c r="T833" i="1"/>
  <c r="U833" i="1"/>
  <c r="P833" i="1" s="1"/>
  <c r="V833" i="1"/>
  <c r="A834" i="1"/>
  <c r="B834" i="1"/>
  <c r="C834" i="1" s="1"/>
  <c r="H834" i="1"/>
  <c r="I834" i="1"/>
  <c r="J834" i="1"/>
  <c r="O834" i="1"/>
  <c r="R834" i="1"/>
  <c r="S834" i="1"/>
  <c r="T834" i="1"/>
  <c r="U834" i="1"/>
  <c r="P834" i="1" s="1"/>
  <c r="V834" i="1"/>
  <c r="A835" i="1"/>
  <c r="B835" i="1"/>
  <c r="G835" i="1" s="1"/>
  <c r="H835" i="1"/>
  <c r="I835" i="1"/>
  <c r="J835" i="1"/>
  <c r="O835" i="1"/>
  <c r="R835" i="1"/>
  <c r="S835" i="1"/>
  <c r="T835" i="1"/>
  <c r="U835" i="1"/>
  <c r="P835" i="1" s="1"/>
  <c r="V835" i="1"/>
  <c r="A836" i="1"/>
  <c r="B836" i="1"/>
  <c r="F836" i="1" s="1"/>
  <c r="H836" i="1"/>
  <c r="I836" i="1"/>
  <c r="J836" i="1"/>
  <c r="O836" i="1"/>
  <c r="R836" i="1"/>
  <c r="S836" i="1"/>
  <c r="T836" i="1"/>
  <c r="U836" i="1"/>
  <c r="P836" i="1" s="1"/>
  <c r="V836" i="1"/>
  <c r="A837" i="1"/>
  <c r="B837" i="1"/>
  <c r="E837" i="1" s="1"/>
  <c r="H837" i="1"/>
  <c r="I837" i="1"/>
  <c r="J837" i="1"/>
  <c r="O837" i="1"/>
  <c r="R837" i="1"/>
  <c r="S837" i="1"/>
  <c r="T837" i="1"/>
  <c r="U837" i="1"/>
  <c r="P837" i="1" s="1"/>
  <c r="V837" i="1"/>
  <c r="A838" i="1"/>
  <c r="B838" i="1"/>
  <c r="E838" i="1" s="1"/>
  <c r="H838" i="1"/>
  <c r="I838" i="1"/>
  <c r="J838" i="1"/>
  <c r="O838" i="1"/>
  <c r="R838" i="1"/>
  <c r="S838" i="1"/>
  <c r="T838" i="1"/>
  <c r="U838" i="1"/>
  <c r="P838" i="1" s="1"/>
  <c r="V838" i="1"/>
  <c r="A839" i="1"/>
  <c r="B839" i="1"/>
  <c r="D839" i="1" s="1"/>
  <c r="H839" i="1"/>
  <c r="I839" i="1"/>
  <c r="J839" i="1"/>
  <c r="Q839" i="1" s="1"/>
  <c r="O839" i="1"/>
  <c r="R839" i="1"/>
  <c r="S839" i="1"/>
  <c r="T839" i="1"/>
  <c r="U839" i="1"/>
  <c r="P839" i="1" s="1"/>
  <c r="V839" i="1"/>
  <c r="A840" i="1"/>
  <c r="B840" i="1"/>
  <c r="F840" i="1" s="1"/>
  <c r="H840" i="1"/>
  <c r="I840" i="1"/>
  <c r="J840" i="1"/>
  <c r="O840" i="1"/>
  <c r="R840" i="1"/>
  <c r="S840" i="1"/>
  <c r="T840" i="1"/>
  <c r="U840" i="1"/>
  <c r="P840" i="1" s="1"/>
  <c r="V840" i="1"/>
  <c r="A841" i="1"/>
  <c r="B841" i="1"/>
  <c r="G841" i="1" s="1"/>
  <c r="H841" i="1"/>
  <c r="I841" i="1"/>
  <c r="J841" i="1"/>
  <c r="O841" i="1"/>
  <c r="R841" i="1"/>
  <c r="S841" i="1"/>
  <c r="T841" i="1"/>
  <c r="U841" i="1"/>
  <c r="P841" i="1" s="1"/>
  <c r="V841" i="1"/>
  <c r="A842" i="1"/>
  <c r="B842" i="1"/>
  <c r="H842" i="1"/>
  <c r="I842" i="1"/>
  <c r="J842" i="1"/>
  <c r="O842" i="1"/>
  <c r="R842" i="1"/>
  <c r="S842" i="1"/>
  <c r="T842" i="1"/>
  <c r="U842" i="1"/>
  <c r="P842" i="1" s="1"/>
  <c r="V842" i="1"/>
  <c r="A843" i="1"/>
  <c r="B843" i="1"/>
  <c r="E843" i="1" s="1"/>
  <c r="H843" i="1"/>
  <c r="I843" i="1"/>
  <c r="J843" i="1"/>
  <c r="Q843" i="1" s="1"/>
  <c r="O843" i="1"/>
  <c r="R843" i="1"/>
  <c r="S843" i="1"/>
  <c r="T843" i="1"/>
  <c r="U843" i="1"/>
  <c r="P843" i="1" s="1"/>
  <c r="V843" i="1"/>
  <c r="A844" i="1"/>
  <c r="B844" i="1"/>
  <c r="F844" i="1" s="1"/>
  <c r="H844" i="1"/>
  <c r="I844" i="1"/>
  <c r="J844" i="1"/>
  <c r="O844" i="1"/>
  <c r="R844" i="1"/>
  <c r="S844" i="1"/>
  <c r="T844" i="1"/>
  <c r="U844" i="1"/>
  <c r="P844" i="1" s="1"/>
  <c r="V844" i="1"/>
  <c r="A845" i="1"/>
  <c r="B845" i="1"/>
  <c r="H845" i="1"/>
  <c r="I845" i="1"/>
  <c r="J845" i="1"/>
  <c r="Q845" i="1" s="1"/>
  <c r="O845" i="1"/>
  <c r="R845" i="1"/>
  <c r="S845" i="1"/>
  <c r="T845" i="1"/>
  <c r="U845" i="1"/>
  <c r="P845" i="1" s="1"/>
  <c r="V845" i="1"/>
  <c r="A846" i="1"/>
  <c r="B846" i="1"/>
  <c r="E846" i="1" s="1"/>
  <c r="H846" i="1"/>
  <c r="I846" i="1"/>
  <c r="J846" i="1"/>
  <c r="O846" i="1"/>
  <c r="R846" i="1"/>
  <c r="S846" i="1"/>
  <c r="T846" i="1"/>
  <c r="U846" i="1"/>
  <c r="P846" i="1" s="1"/>
  <c r="V846" i="1"/>
  <c r="A847" i="1"/>
  <c r="B847" i="1"/>
  <c r="E847" i="1" s="1"/>
  <c r="H847" i="1"/>
  <c r="I847" i="1"/>
  <c r="J847" i="1"/>
  <c r="O847" i="1"/>
  <c r="R847" i="1"/>
  <c r="S847" i="1"/>
  <c r="T847" i="1"/>
  <c r="U847" i="1"/>
  <c r="P847" i="1" s="1"/>
  <c r="V847" i="1"/>
  <c r="A848" i="1"/>
  <c r="B848" i="1"/>
  <c r="D848" i="1" s="1"/>
  <c r="H848" i="1"/>
  <c r="I848" i="1"/>
  <c r="J848" i="1"/>
  <c r="O848" i="1"/>
  <c r="R848" i="1"/>
  <c r="S848" i="1"/>
  <c r="T848" i="1"/>
  <c r="U848" i="1"/>
  <c r="P848" i="1" s="1"/>
  <c r="V848" i="1"/>
  <c r="A849" i="1"/>
  <c r="B849" i="1"/>
  <c r="E849" i="1" s="1"/>
  <c r="H849" i="1"/>
  <c r="I849" i="1"/>
  <c r="J849" i="1"/>
  <c r="O849" i="1"/>
  <c r="R849" i="1"/>
  <c r="S849" i="1"/>
  <c r="T849" i="1"/>
  <c r="U849" i="1"/>
  <c r="P849" i="1" s="1"/>
  <c r="V849" i="1"/>
  <c r="A850" i="1"/>
  <c r="B850" i="1"/>
  <c r="E850" i="1" s="1"/>
  <c r="H850" i="1"/>
  <c r="I850" i="1"/>
  <c r="J850" i="1"/>
  <c r="O850" i="1"/>
  <c r="R850" i="1"/>
  <c r="S850" i="1"/>
  <c r="T850" i="1"/>
  <c r="U850" i="1"/>
  <c r="P850" i="1" s="1"/>
  <c r="V850" i="1"/>
  <c r="A851" i="1"/>
  <c r="B851" i="1"/>
  <c r="E851" i="1" s="1"/>
  <c r="H851" i="1"/>
  <c r="I851" i="1"/>
  <c r="J851" i="1"/>
  <c r="Q851" i="1" s="1"/>
  <c r="O851" i="1"/>
  <c r="R851" i="1"/>
  <c r="S851" i="1"/>
  <c r="T851" i="1"/>
  <c r="U851" i="1"/>
  <c r="P851" i="1" s="1"/>
  <c r="V851" i="1"/>
  <c r="A852" i="1"/>
  <c r="B852" i="1"/>
  <c r="H852" i="1"/>
  <c r="I852" i="1"/>
  <c r="J852" i="1"/>
  <c r="O852" i="1"/>
  <c r="R852" i="1"/>
  <c r="S852" i="1"/>
  <c r="T852" i="1"/>
  <c r="U852" i="1"/>
  <c r="P852" i="1" s="1"/>
  <c r="V852" i="1"/>
  <c r="A853" i="1"/>
  <c r="B853" i="1"/>
  <c r="D853" i="1" s="1"/>
  <c r="H853" i="1"/>
  <c r="I853" i="1"/>
  <c r="J853" i="1"/>
  <c r="O853" i="1"/>
  <c r="R853" i="1"/>
  <c r="S853" i="1"/>
  <c r="T853" i="1"/>
  <c r="U853" i="1"/>
  <c r="P853" i="1" s="1"/>
  <c r="V853" i="1"/>
  <c r="A854" i="1"/>
  <c r="B854" i="1"/>
  <c r="E854" i="1" s="1"/>
  <c r="H854" i="1"/>
  <c r="I854" i="1"/>
  <c r="J854" i="1"/>
  <c r="O854" i="1"/>
  <c r="R854" i="1"/>
  <c r="S854" i="1"/>
  <c r="T854" i="1"/>
  <c r="U854" i="1"/>
  <c r="P854" i="1" s="1"/>
  <c r="V854" i="1"/>
  <c r="A855" i="1"/>
  <c r="B855" i="1"/>
  <c r="D855" i="1" s="1"/>
  <c r="H855" i="1"/>
  <c r="I855" i="1"/>
  <c r="J855" i="1"/>
  <c r="Q855" i="1" s="1"/>
  <c r="O855" i="1"/>
  <c r="R855" i="1"/>
  <c r="S855" i="1"/>
  <c r="T855" i="1"/>
  <c r="U855" i="1"/>
  <c r="P855" i="1" s="1"/>
  <c r="V855" i="1"/>
  <c r="A856" i="1"/>
  <c r="B856" i="1"/>
  <c r="H856" i="1"/>
  <c r="I856" i="1"/>
  <c r="J856" i="1"/>
  <c r="O856" i="1"/>
  <c r="R856" i="1"/>
  <c r="S856" i="1"/>
  <c r="T856" i="1"/>
  <c r="U856" i="1"/>
  <c r="P856" i="1" s="1"/>
  <c r="V856" i="1"/>
  <c r="A857" i="1"/>
  <c r="B857" i="1"/>
  <c r="C857" i="1" s="1"/>
  <c r="H857" i="1"/>
  <c r="I857" i="1"/>
  <c r="J857" i="1"/>
  <c r="Q857" i="1" s="1"/>
  <c r="O857" i="1"/>
  <c r="R857" i="1"/>
  <c r="S857" i="1"/>
  <c r="T857" i="1"/>
  <c r="U857" i="1"/>
  <c r="P857" i="1" s="1"/>
  <c r="V857" i="1"/>
  <c r="A858" i="1"/>
  <c r="B858" i="1"/>
  <c r="G858" i="1" s="1"/>
  <c r="H858" i="1"/>
  <c r="I858" i="1"/>
  <c r="J858" i="1"/>
  <c r="O858" i="1"/>
  <c r="R858" i="1"/>
  <c r="S858" i="1"/>
  <c r="T858" i="1"/>
  <c r="U858" i="1"/>
  <c r="P858" i="1" s="1"/>
  <c r="V858" i="1"/>
  <c r="A859" i="1"/>
  <c r="B859" i="1"/>
  <c r="H859" i="1"/>
  <c r="I859" i="1"/>
  <c r="J859" i="1"/>
  <c r="O859" i="1"/>
  <c r="R859" i="1"/>
  <c r="S859" i="1"/>
  <c r="T859" i="1"/>
  <c r="U859" i="1"/>
  <c r="P859" i="1" s="1"/>
  <c r="V859" i="1"/>
  <c r="A860" i="1"/>
  <c r="B860" i="1"/>
  <c r="C860" i="1" s="1"/>
  <c r="H860" i="1"/>
  <c r="I860" i="1"/>
  <c r="J860" i="1"/>
  <c r="O860" i="1"/>
  <c r="R860" i="1"/>
  <c r="S860" i="1"/>
  <c r="T860" i="1"/>
  <c r="U860" i="1"/>
  <c r="P860" i="1" s="1"/>
  <c r="V860" i="1"/>
  <c r="A861" i="1"/>
  <c r="B861" i="1"/>
  <c r="D861" i="1" s="1"/>
  <c r="H861" i="1"/>
  <c r="I861" i="1"/>
  <c r="J861" i="1"/>
  <c r="O861" i="1"/>
  <c r="R861" i="1"/>
  <c r="S861" i="1"/>
  <c r="T861" i="1"/>
  <c r="U861" i="1"/>
  <c r="P861" i="1" s="1"/>
  <c r="V861" i="1"/>
  <c r="A862" i="1"/>
  <c r="B862" i="1"/>
  <c r="F862" i="1" s="1"/>
  <c r="H862" i="1"/>
  <c r="I862" i="1"/>
  <c r="J862" i="1"/>
  <c r="O862" i="1"/>
  <c r="R862" i="1"/>
  <c r="S862" i="1"/>
  <c r="T862" i="1"/>
  <c r="U862" i="1"/>
  <c r="P862" i="1" s="1"/>
  <c r="V862" i="1"/>
  <c r="A863" i="1"/>
  <c r="B863" i="1"/>
  <c r="D863" i="1" s="1"/>
  <c r="H863" i="1"/>
  <c r="I863" i="1"/>
  <c r="J863" i="1"/>
  <c r="Q863" i="1" s="1"/>
  <c r="O863" i="1"/>
  <c r="R863" i="1"/>
  <c r="S863" i="1"/>
  <c r="T863" i="1"/>
  <c r="U863" i="1"/>
  <c r="P863" i="1" s="1"/>
  <c r="V863" i="1"/>
  <c r="A864" i="1"/>
  <c r="B864" i="1"/>
  <c r="D864" i="1" s="1"/>
  <c r="H864" i="1"/>
  <c r="I864" i="1"/>
  <c r="J864" i="1"/>
  <c r="O864" i="1"/>
  <c r="R864" i="1"/>
  <c r="S864" i="1"/>
  <c r="T864" i="1"/>
  <c r="U864" i="1"/>
  <c r="P864" i="1" s="1"/>
  <c r="V864" i="1"/>
  <c r="A865" i="1"/>
  <c r="B865" i="1"/>
  <c r="D865" i="1" s="1"/>
  <c r="H865" i="1"/>
  <c r="I865" i="1"/>
  <c r="J865" i="1"/>
  <c r="O865" i="1"/>
  <c r="R865" i="1"/>
  <c r="S865" i="1"/>
  <c r="T865" i="1"/>
  <c r="U865" i="1"/>
  <c r="P865" i="1" s="1"/>
  <c r="V865" i="1"/>
  <c r="A866" i="1"/>
  <c r="B866" i="1"/>
  <c r="C866" i="1" s="1"/>
  <c r="H866" i="1"/>
  <c r="I866" i="1"/>
  <c r="J866" i="1"/>
  <c r="O866" i="1"/>
  <c r="R866" i="1"/>
  <c r="S866" i="1"/>
  <c r="T866" i="1"/>
  <c r="U866" i="1"/>
  <c r="P866" i="1" s="1"/>
  <c r="V866" i="1"/>
  <c r="A867" i="1"/>
  <c r="B867" i="1"/>
  <c r="H867" i="1"/>
  <c r="I867" i="1"/>
  <c r="J867" i="1"/>
  <c r="Q867" i="1" s="1"/>
  <c r="O867" i="1"/>
  <c r="R867" i="1"/>
  <c r="S867" i="1"/>
  <c r="T867" i="1"/>
  <c r="U867" i="1"/>
  <c r="P867" i="1" s="1"/>
  <c r="V867" i="1"/>
  <c r="A868" i="1"/>
  <c r="B868" i="1"/>
  <c r="C868" i="1" s="1"/>
  <c r="H868" i="1"/>
  <c r="I868" i="1"/>
  <c r="J868" i="1"/>
  <c r="O868" i="1"/>
  <c r="R868" i="1"/>
  <c r="S868" i="1"/>
  <c r="T868" i="1"/>
  <c r="U868" i="1"/>
  <c r="P868" i="1" s="1"/>
  <c r="V868" i="1"/>
  <c r="A869" i="1"/>
  <c r="B869" i="1"/>
  <c r="H869" i="1"/>
  <c r="I869" i="1"/>
  <c r="J869" i="1"/>
  <c r="Q869" i="1" s="1"/>
  <c r="O869" i="1"/>
  <c r="R869" i="1"/>
  <c r="S869" i="1"/>
  <c r="T869" i="1"/>
  <c r="U869" i="1"/>
  <c r="P869" i="1" s="1"/>
  <c r="V869" i="1"/>
  <c r="A870" i="1"/>
  <c r="B870" i="1"/>
  <c r="E870" i="1" s="1"/>
  <c r="H870" i="1"/>
  <c r="I870" i="1"/>
  <c r="J870" i="1"/>
  <c r="O870" i="1"/>
  <c r="R870" i="1"/>
  <c r="S870" i="1"/>
  <c r="T870" i="1"/>
  <c r="U870" i="1"/>
  <c r="P870" i="1" s="1"/>
  <c r="V870" i="1"/>
  <c r="A871" i="1"/>
  <c r="B871" i="1"/>
  <c r="D871" i="1" s="1"/>
  <c r="H871" i="1"/>
  <c r="I871" i="1"/>
  <c r="J871" i="1"/>
  <c r="O871" i="1"/>
  <c r="R871" i="1"/>
  <c r="S871" i="1"/>
  <c r="T871" i="1"/>
  <c r="U871" i="1"/>
  <c r="P871" i="1" s="1"/>
  <c r="V871" i="1"/>
  <c r="A872" i="1"/>
  <c r="B872" i="1"/>
  <c r="F872" i="1" s="1"/>
  <c r="H872" i="1"/>
  <c r="I872" i="1"/>
  <c r="J872" i="1"/>
  <c r="O872" i="1"/>
  <c r="R872" i="1"/>
  <c r="S872" i="1"/>
  <c r="T872" i="1"/>
  <c r="U872" i="1"/>
  <c r="P872" i="1" s="1"/>
  <c r="V872" i="1"/>
  <c r="A873" i="1"/>
  <c r="B873" i="1"/>
  <c r="F873" i="1" s="1"/>
  <c r="H873" i="1"/>
  <c r="I873" i="1"/>
  <c r="J873" i="1"/>
  <c r="O873" i="1"/>
  <c r="R873" i="1"/>
  <c r="S873" i="1"/>
  <c r="T873" i="1"/>
  <c r="U873" i="1"/>
  <c r="P873" i="1" s="1"/>
  <c r="V873" i="1"/>
  <c r="A874" i="1"/>
  <c r="B874" i="1"/>
  <c r="E874" i="1" s="1"/>
  <c r="H874" i="1"/>
  <c r="I874" i="1"/>
  <c r="J874" i="1"/>
  <c r="O874" i="1"/>
  <c r="R874" i="1"/>
  <c r="S874" i="1"/>
  <c r="T874" i="1"/>
  <c r="U874" i="1"/>
  <c r="P874" i="1" s="1"/>
  <c r="V874" i="1"/>
  <c r="A875" i="1"/>
  <c r="B875" i="1"/>
  <c r="E875" i="1" s="1"/>
  <c r="H875" i="1"/>
  <c r="I875" i="1"/>
  <c r="J875" i="1"/>
  <c r="Q875" i="1" s="1"/>
  <c r="O875" i="1"/>
  <c r="R875" i="1"/>
  <c r="S875" i="1"/>
  <c r="T875" i="1"/>
  <c r="U875" i="1"/>
  <c r="P875" i="1" s="1"/>
  <c r="V875" i="1"/>
  <c r="A876" i="1"/>
  <c r="B876" i="1"/>
  <c r="F876" i="1" s="1"/>
  <c r="H876" i="1"/>
  <c r="I876" i="1"/>
  <c r="J876" i="1"/>
  <c r="O876" i="1"/>
  <c r="R876" i="1"/>
  <c r="S876" i="1"/>
  <c r="T876" i="1"/>
  <c r="U876" i="1"/>
  <c r="P876" i="1" s="1"/>
  <c r="V876" i="1"/>
  <c r="A877" i="1"/>
  <c r="B877" i="1"/>
  <c r="D877" i="1" s="1"/>
  <c r="H877" i="1"/>
  <c r="I877" i="1"/>
  <c r="J877" i="1"/>
  <c r="O877" i="1"/>
  <c r="R877" i="1"/>
  <c r="S877" i="1"/>
  <c r="T877" i="1"/>
  <c r="U877" i="1"/>
  <c r="P877" i="1" s="1"/>
  <c r="V877" i="1"/>
  <c r="A878" i="1"/>
  <c r="B878" i="1"/>
  <c r="E878" i="1" s="1"/>
  <c r="H878" i="1"/>
  <c r="I878" i="1"/>
  <c r="J878" i="1"/>
  <c r="O878" i="1"/>
  <c r="R878" i="1"/>
  <c r="S878" i="1"/>
  <c r="T878" i="1"/>
  <c r="U878" i="1"/>
  <c r="P878" i="1" s="1"/>
  <c r="V878" i="1"/>
  <c r="A879" i="1"/>
  <c r="B879" i="1"/>
  <c r="E879" i="1" s="1"/>
  <c r="H879" i="1"/>
  <c r="I879" i="1"/>
  <c r="J879" i="1"/>
  <c r="Q879" i="1" s="1"/>
  <c r="O879" i="1"/>
  <c r="R879" i="1"/>
  <c r="S879" i="1"/>
  <c r="T879" i="1"/>
  <c r="U879" i="1"/>
  <c r="P879" i="1" s="1"/>
  <c r="V879" i="1"/>
  <c r="A880" i="1"/>
  <c r="B880" i="1"/>
  <c r="C880" i="1" s="1"/>
  <c r="H880" i="1"/>
  <c r="I880" i="1"/>
  <c r="J880" i="1"/>
  <c r="O880" i="1"/>
  <c r="R880" i="1"/>
  <c r="S880" i="1"/>
  <c r="T880" i="1"/>
  <c r="U880" i="1"/>
  <c r="P880" i="1" s="1"/>
  <c r="V880" i="1"/>
  <c r="A881" i="1"/>
  <c r="B881" i="1"/>
  <c r="C881" i="1" s="1"/>
  <c r="H881" i="1"/>
  <c r="I881" i="1"/>
  <c r="J881" i="1"/>
  <c r="Q881" i="1" s="1"/>
  <c r="O881" i="1"/>
  <c r="R881" i="1"/>
  <c r="S881" i="1"/>
  <c r="T881" i="1"/>
  <c r="U881" i="1"/>
  <c r="P881" i="1" s="1"/>
  <c r="V881" i="1"/>
  <c r="A882" i="1"/>
  <c r="B882" i="1"/>
  <c r="E882" i="1" s="1"/>
  <c r="H882" i="1"/>
  <c r="I882" i="1"/>
  <c r="J882" i="1"/>
  <c r="O882" i="1"/>
  <c r="R882" i="1"/>
  <c r="S882" i="1"/>
  <c r="T882" i="1"/>
  <c r="U882" i="1"/>
  <c r="P882" i="1" s="1"/>
  <c r="V882" i="1"/>
  <c r="A883" i="1"/>
  <c r="B883" i="1"/>
  <c r="E883" i="1" s="1"/>
  <c r="H883" i="1"/>
  <c r="I883" i="1"/>
  <c r="J883" i="1"/>
  <c r="O883" i="1"/>
  <c r="R883" i="1"/>
  <c r="S883" i="1"/>
  <c r="T883" i="1"/>
  <c r="U883" i="1"/>
  <c r="P883" i="1" s="1"/>
  <c r="V883" i="1"/>
  <c r="A884" i="1"/>
  <c r="B884" i="1"/>
  <c r="H884" i="1"/>
  <c r="I884" i="1"/>
  <c r="J884" i="1"/>
  <c r="O884" i="1"/>
  <c r="R884" i="1"/>
  <c r="S884" i="1"/>
  <c r="T884" i="1"/>
  <c r="U884" i="1"/>
  <c r="P884" i="1" s="1"/>
  <c r="V884" i="1"/>
  <c r="A885" i="1"/>
  <c r="B885" i="1"/>
  <c r="D885" i="1" s="1"/>
  <c r="H885" i="1"/>
  <c r="I885" i="1"/>
  <c r="J885" i="1"/>
  <c r="O885" i="1"/>
  <c r="R885" i="1"/>
  <c r="S885" i="1"/>
  <c r="T885" i="1"/>
  <c r="U885" i="1"/>
  <c r="P885" i="1" s="1"/>
  <c r="V885" i="1"/>
  <c r="A886" i="1"/>
  <c r="B886" i="1"/>
  <c r="E886" i="1" s="1"/>
  <c r="H886" i="1"/>
  <c r="I886" i="1"/>
  <c r="J886" i="1"/>
  <c r="O886" i="1"/>
  <c r="R886" i="1"/>
  <c r="S886" i="1"/>
  <c r="T886" i="1"/>
  <c r="U886" i="1"/>
  <c r="P886" i="1" s="1"/>
  <c r="V886" i="1"/>
  <c r="A887" i="1"/>
  <c r="B887" i="1"/>
  <c r="D887" i="1" s="1"/>
  <c r="H887" i="1"/>
  <c r="I887" i="1"/>
  <c r="J887" i="1"/>
  <c r="Q887" i="1" s="1"/>
  <c r="O887" i="1"/>
  <c r="R887" i="1"/>
  <c r="S887" i="1"/>
  <c r="T887" i="1"/>
  <c r="U887" i="1"/>
  <c r="P887" i="1" s="1"/>
  <c r="V887" i="1"/>
  <c r="A888" i="1"/>
  <c r="B888" i="1"/>
  <c r="H888" i="1"/>
  <c r="I888" i="1"/>
  <c r="J888" i="1"/>
  <c r="O888" i="1"/>
  <c r="R888" i="1"/>
  <c r="S888" i="1"/>
  <c r="T888" i="1"/>
  <c r="U888" i="1"/>
  <c r="P888" i="1" s="1"/>
  <c r="V888" i="1"/>
  <c r="A889" i="1"/>
  <c r="B889" i="1"/>
  <c r="C889" i="1" s="1"/>
  <c r="H889" i="1"/>
  <c r="I889" i="1"/>
  <c r="J889" i="1"/>
  <c r="O889" i="1"/>
  <c r="R889" i="1"/>
  <c r="S889" i="1"/>
  <c r="T889" i="1"/>
  <c r="U889" i="1"/>
  <c r="P889" i="1" s="1"/>
  <c r="V889" i="1"/>
  <c r="A890" i="1"/>
  <c r="B890" i="1"/>
  <c r="C890" i="1" s="1"/>
  <c r="H890" i="1"/>
  <c r="I890" i="1"/>
  <c r="J890" i="1"/>
  <c r="O890" i="1"/>
  <c r="R890" i="1"/>
  <c r="S890" i="1"/>
  <c r="T890" i="1"/>
  <c r="U890" i="1"/>
  <c r="P890" i="1" s="1"/>
  <c r="V890" i="1"/>
  <c r="A891" i="1"/>
  <c r="B891" i="1"/>
  <c r="G891" i="1" s="1"/>
  <c r="H891" i="1"/>
  <c r="I891" i="1"/>
  <c r="J891" i="1"/>
  <c r="O891" i="1"/>
  <c r="R891" i="1"/>
  <c r="S891" i="1"/>
  <c r="T891" i="1"/>
  <c r="U891" i="1"/>
  <c r="P891" i="1" s="1"/>
  <c r="V891" i="1"/>
  <c r="A892" i="1"/>
  <c r="B892" i="1"/>
  <c r="H892" i="1"/>
  <c r="I892" i="1"/>
  <c r="J892" i="1"/>
  <c r="Q892" i="1" s="1"/>
  <c r="O892" i="1"/>
  <c r="R892" i="1"/>
  <c r="S892" i="1"/>
  <c r="T892" i="1"/>
  <c r="U892" i="1"/>
  <c r="P892" i="1" s="1"/>
  <c r="V892" i="1"/>
  <c r="A893" i="1"/>
  <c r="B893" i="1"/>
  <c r="D893" i="1" s="1"/>
  <c r="H893" i="1"/>
  <c r="I893" i="1"/>
  <c r="J893" i="1"/>
  <c r="Q893" i="1" s="1"/>
  <c r="O893" i="1"/>
  <c r="R893" i="1"/>
  <c r="S893" i="1"/>
  <c r="T893" i="1"/>
  <c r="U893" i="1"/>
  <c r="P893" i="1" s="1"/>
  <c r="V893" i="1"/>
  <c r="A894" i="1"/>
  <c r="B894" i="1"/>
  <c r="F894" i="1" s="1"/>
  <c r="H894" i="1"/>
  <c r="I894" i="1"/>
  <c r="J894" i="1"/>
  <c r="O894" i="1"/>
  <c r="R894" i="1"/>
  <c r="S894" i="1"/>
  <c r="T894" i="1"/>
  <c r="U894" i="1"/>
  <c r="P894" i="1" s="1"/>
  <c r="V894" i="1"/>
  <c r="A895" i="1"/>
  <c r="B895" i="1"/>
  <c r="H895" i="1"/>
  <c r="I895" i="1"/>
  <c r="J895" i="1"/>
  <c r="O895" i="1"/>
  <c r="R895" i="1"/>
  <c r="S895" i="1"/>
  <c r="T895" i="1"/>
  <c r="U895" i="1"/>
  <c r="P895" i="1" s="1"/>
  <c r="V895" i="1"/>
  <c r="A896" i="1"/>
  <c r="B896" i="1"/>
  <c r="E896" i="1" s="1"/>
  <c r="H896" i="1"/>
  <c r="I896" i="1"/>
  <c r="J896" i="1"/>
  <c r="O896" i="1"/>
  <c r="R896" i="1"/>
  <c r="S896" i="1"/>
  <c r="T896" i="1"/>
  <c r="U896" i="1"/>
  <c r="P896" i="1" s="1"/>
  <c r="V896" i="1"/>
  <c r="A897" i="1"/>
  <c r="B897" i="1"/>
  <c r="F897" i="1" s="1"/>
  <c r="H897" i="1"/>
  <c r="I897" i="1"/>
  <c r="J897" i="1"/>
  <c r="O897" i="1"/>
  <c r="R897" i="1"/>
  <c r="S897" i="1"/>
  <c r="T897" i="1"/>
  <c r="U897" i="1"/>
  <c r="P897" i="1" s="1"/>
  <c r="V897" i="1"/>
  <c r="A898" i="1"/>
  <c r="B898" i="1"/>
  <c r="H898" i="1"/>
  <c r="I898" i="1"/>
  <c r="J898" i="1"/>
  <c r="Q898" i="1" s="1"/>
  <c r="O898" i="1"/>
  <c r="R898" i="1"/>
  <c r="S898" i="1"/>
  <c r="T898" i="1"/>
  <c r="U898" i="1"/>
  <c r="P898" i="1" s="1"/>
  <c r="V898" i="1"/>
  <c r="A899" i="1"/>
  <c r="B899" i="1"/>
  <c r="F899" i="1" s="1"/>
  <c r="H899" i="1"/>
  <c r="I899" i="1"/>
  <c r="J899" i="1"/>
  <c r="Q899" i="1" s="1"/>
  <c r="O899" i="1"/>
  <c r="R899" i="1"/>
  <c r="S899" i="1"/>
  <c r="T899" i="1"/>
  <c r="U899" i="1"/>
  <c r="P899" i="1" s="1"/>
  <c r="V899" i="1"/>
  <c r="A900" i="1"/>
  <c r="B900" i="1"/>
  <c r="G900" i="1" s="1"/>
  <c r="H900" i="1"/>
  <c r="I900" i="1"/>
  <c r="J900" i="1"/>
  <c r="O900" i="1"/>
  <c r="R900" i="1"/>
  <c r="S900" i="1"/>
  <c r="T900" i="1"/>
  <c r="U900" i="1"/>
  <c r="P900" i="1" s="1"/>
  <c r="V900" i="1"/>
  <c r="A901" i="1"/>
  <c r="B901" i="1"/>
  <c r="D901" i="1" s="1"/>
  <c r="H901" i="1"/>
  <c r="I901" i="1"/>
  <c r="J901" i="1"/>
  <c r="O901" i="1"/>
  <c r="R901" i="1"/>
  <c r="S901" i="1"/>
  <c r="T901" i="1"/>
  <c r="U901" i="1"/>
  <c r="P901" i="1" s="1"/>
  <c r="V901" i="1"/>
  <c r="A902" i="1"/>
  <c r="B902" i="1"/>
  <c r="E902" i="1" s="1"/>
  <c r="H902" i="1"/>
  <c r="I902" i="1"/>
  <c r="J902" i="1"/>
  <c r="O902" i="1"/>
  <c r="R902" i="1"/>
  <c r="S902" i="1"/>
  <c r="T902" i="1"/>
  <c r="U902" i="1"/>
  <c r="P902" i="1" s="1"/>
  <c r="V902" i="1"/>
  <c r="A903" i="1"/>
  <c r="B903" i="1"/>
  <c r="E903" i="1" s="1"/>
  <c r="H903" i="1"/>
  <c r="I903" i="1"/>
  <c r="J903" i="1"/>
  <c r="O903" i="1"/>
  <c r="R903" i="1"/>
  <c r="S903" i="1"/>
  <c r="T903" i="1"/>
  <c r="U903" i="1"/>
  <c r="P903" i="1" s="1"/>
  <c r="V903" i="1"/>
  <c r="A904" i="1"/>
  <c r="B904" i="1"/>
  <c r="D904" i="1" s="1"/>
  <c r="H904" i="1"/>
  <c r="I904" i="1"/>
  <c r="J904" i="1"/>
  <c r="Q904" i="1" s="1"/>
  <c r="O904" i="1"/>
  <c r="R904" i="1"/>
  <c r="S904" i="1"/>
  <c r="T904" i="1"/>
  <c r="U904" i="1"/>
  <c r="P904" i="1" s="1"/>
  <c r="V904" i="1"/>
  <c r="A905" i="1"/>
  <c r="B905" i="1"/>
  <c r="C905" i="1" s="1"/>
  <c r="H905" i="1"/>
  <c r="I905" i="1"/>
  <c r="J905" i="1"/>
  <c r="Q905" i="1" s="1"/>
  <c r="O905" i="1"/>
  <c r="R905" i="1"/>
  <c r="S905" i="1"/>
  <c r="T905" i="1"/>
  <c r="U905" i="1"/>
  <c r="P905" i="1" s="1"/>
  <c r="V905" i="1"/>
  <c r="A906" i="1"/>
  <c r="B906" i="1"/>
  <c r="C906" i="1" s="1"/>
  <c r="H906" i="1"/>
  <c r="I906" i="1"/>
  <c r="J906" i="1"/>
  <c r="O906" i="1"/>
  <c r="R906" i="1"/>
  <c r="S906" i="1"/>
  <c r="T906" i="1"/>
  <c r="U906" i="1"/>
  <c r="P906" i="1" s="1"/>
  <c r="V906" i="1"/>
  <c r="A907" i="1"/>
  <c r="B907" i="1"/>
  <c r="E907" i="1" s="1"/>
  <c r="H907" i="1"/>
  <c r="I907" i="1"/>
  <c r="J907" i="1"/>
  <c r="O907" i="1"/>
  <c r="R907" i="1"/>
  <c r="S907" i="1"/>
  <c r="T907" i="1"/>
  <c r="U907" i="1"/>
  <c r="P907" i="1" s="1"/>
  <c r="V907" i="1"/>
  <c r="A908" i="1"/>
  <c r="B908" i="1"/>
  <c r="F908" i="1" s="1"/>
  <c r="H908" i="1"/>
  <c r="I908" i="1"/>
  <c r="J908" i="1"/>
  <c r="O908" i="1"/>
  <c r="R908" i="1"/>
  <c r="S908" i="1"/>
  <c r="T908" i="1"/>
  <c r="U908" i="1"/>
  <c r="P908" i="1" s="1"/>
  <c r="V908" i="1"/>
  <c r="A909" i="1"/>
  <c r="B909" i="1"/>
  <c r="D909" i="1" s="1"/>
  <c r="H909" i="1"/>
  <c r="I909" i="1"/>
  <c r="J909" i="1"/>
  <c r="O909" i="1"/>
  <c r="R909" i="1"/>
  <c r="S909" i="1"/>
  <c r="T909" i="1"/>
  <c r="U909" i="1"/>
  <c r="P909" i="1" s="1"/>
  <c r="V909" i="1"/>
  <c r="A910" i="1"/>
  <c r="B910" i="1"/>
  <c r="H910" i="1"/>
  <c r="I910" i="1"/>
  <c r="J910" i="1"/>
  <c r="Q910" i="1" s="1"/>
  <c r="O910" i="1"/>
  <c r="R910" i="1"/>
  <c r="S910" i="1"/>
  <c r="T910" i="1"/>
  <c r="U910" i="1"/>
  <c r="P910" i="1" s="1"/>
  <c r="V910" i="1"/>
  <c r="A911" i="1"/>
  <c r="B911" i="1"/>
  <c r="E911" i="1" s="1"/>
  <c r="H911" i="1"/>
  <c r="I911" i="1"/>
  <c r="J911" i="1"/>
  <c r="Q911" i="1" s="1"/>
  <c r="O911" i="1"/>
  <c r="R911" i="1"/>
  <c r="S911" i="1"/>
  <c r="T911" i="1"/>
  <c r="U911" i="1"/>
  <c r="P911" i="1" s="1"/>
  <c r="V911" i="1"/>
  <c r="A912" i="1"/>
  <c r="B912" i="1"/>
  <c r="D912" i="1" s="1"/>
  <c r="H912" i="1"/>
  <c r="I912" i="1"/>
  <c r="J912" i="1"/>
  <c r="O912" i="1"/>
  <c r="R912" i="1"/>
  <c r="S912" i="1"/>
  <c r="T912" i="1"/>
  <c r="U912" i="1"/>
  <c r="P912" i="1" s="1"/>
  <c r="V912" i="1"/>
  <c r="A913" i="1"/>
  <c r="B913" i="1"/>
  <c r="C913" i="1" s="1"/>
  <c r="H913" i="1"/>
  <c r="I913" i="1"/>
  <c r="J913" i="1"/>
  <c r="O913" i="1"/>
  <c r="R913" i="1"/>
  <c r="S913" i="1"/>
  <c r="T913" i="1"/>
  <c r="U913" i="1"/>
  <c r="P913" i="1" s="1"/>
  <c r="V913" i="1"/>
  <c r="A914" i="1"/>
  <c r="B914" i="1"/>
  <c r="E914" i="1" s="1"/>
  <c r="H914" i="1"/>
  <c r="I914" i="1"/>
  <c r="J914" i="1"/>
  <c r="O914" i="1"/>
  <c r="R914" i="1"/>
  <c r="S914" i="1"/>
  <c r="T914" i="1"/>
  <c r="U914" i="1"/>
  <c r="P914" i="1" s="1"/>
  <c r="V914" i="1"/>
  <c r="A915" i="1"/>
  <c r="B915" i="1"/>
  <c r="E915" i="1" s="1"/>
  <c r="H915" i="1"/>
  <c r="I915" i="1"/>
  <c r="J915" i="1"/>
  <c r="O915" i="1"/>
  <c r="R915" i="1"/>
  <c r="S915" i="1"/>
  <c r="T915" i="1"/>
  <c r="U915" i="1"/>
  <c r="P915" i="1" s="1"/>
  <c r="V915" i="1"/>
  <c r="A916" i="1"/>
  <c r="B916" i="1"/>
  <c r="C916" i="1" s="1"/>
  <c r="H916" i="1"/>
  <c r="I916" i="1"/>
  <c r="J916" i="1"/>
  <c r="Q916" i="1" s="1"/>
  <c r="O916" i="1"/>
  <c r="R916" i="1"/>
  <c r="S916" i="1"/>
  <c r="T916" i="1"/>
  <c r="U916" i="1"/>
  <c r="P916" i="1" s="1"/>
  <c r="V916" i="1"/>
  <c r="A917" i="1"/>
  <c r="B917" i="1"/>
  <c r="G917" i="1" s="1"/>
  <c r="H917" i="1"/>
  <c r="I917" i="1"/>
  <c r="J917" i="1"/>
  <c r="Q917" i="1" s="1"/>
  <c r="O917" i="1"/>
  <c r="R917" i="1"/>
  <c r="S917" i="1"/>
  <c r="T917" i="1"/>
  <c r="U917" i="1"/>
  <c r="P917" i="1" s="1"/>
  <c r="V917" i="1"/>
  <c r="A918" i="1"/>
  <c r="B918" i="1"/>
  <c r="G918" i="1" s="1"/>
  <c r="H918" i="1"/>
  <c r="I918" i="1"/>
  <c r="J918" i="1"/>
  <c r="O918" i="1"/>
  <c r="R918" i="1"/>
  <c r="S918" i="1"/>
  <c r="T918" i="1"/>
  <c r="U918" i="1"/>
  <c r="P918" i="1" s="1"/>
  <c r="V918" i="1"/>
  <c r="A919" i="1"/>
  <c r="B919" i="1"/>
  <c r="D919" i="1" s="1"/>
  <c r="H919" i="1"/>
  <c r="I919" i="1"/>
  <c r="J919" i="1"/>
  <c r="O919" i="1"/>
  <c r="R919" i="1"/>
  <c r="S919" i="1"/>
  <c r="T919" i="1"/>
  <c r="U919" i="1"/>
  <c r="P919" i="1" s="1"/>
  <c r="V919" i="1"/>
  <c r="A920" i="1"/>
  <c r="B920" i="1"/>
  <c r="D920" i="1" s="1"/>
  <c r="H920" i="1"/>
  <c r="I920" i="1"/>
  <c r="J920" i="1"/>
  <c r="O920" i="1"/>
  <c r="R920" i="1"/>
  <c r="S920" i="1"/>
  <c r="T920" i="1"/>
  <c r="U920" i="1"/>
  <c r="P920" i="1" s="1"/>
  <c r="V920" i="1"/>
  <c r="A921" i="1"/>
  <c r="B921" i="1"/>
  <c r="E921" i="1" s="1"/>
  <c r="H921" i="1"/>
  <c r="I921" i="1"/>
  <c r="J921" i="1"/>
  <c r="O921" i="1"/>
  <c r="R921" i="1"/>
  <c r="S921" i="1"/>
  <c r="T921" i="1"/>
  <c r="U921" i="1"/>
  <c r="P921" i="1" s="1"/>
  <c r="V921" i="1"/>
  <c r="A922" i="1"/>
  <c r="B922" i="1"/>
  <c r="C922" i="1" s="1"/>
  <c r="H922" i="1"/>
  <c r="I922" i="1"/>
  <c r="J922" i="1"/>
  <c r="Q922" i="1" s="1"/>
  <c r="O922" i="1"/>
  <c r="R922" i="1"/>
  <c r="S922" i="1"/>
  <c r="T922" i="1"/>
  <c r="U922" i="1"/>
  <c r="P922" i="1" s="1"/>
  <c r="V922" i="1"/>
  <c r="A923" i="1"/>
  <c r="B923" i="1"/>
  <c r="D923" i="1" s="1"/>
  <c r="H923" i="1"/>
  <c r="I923" i="1"/>
  <c r="J923" i="1"/>
  <c r="Q923" i="1" s="1"/>
  <c r="O923" i="1"/>
  <c r="R923" i="1"/>
  <c r="S923" i="1"/>
  <c r="T923" i="1"/>
  <c r="U923" i="1"/>
  <c r="P923" i="1" s="1"/>
  <c r="V923" i="1"/>
  <c r="A924" i="1"/>
  <c r="B924" i="1"/>
  <c r="F924" i="1" s="1"/>
  <c r="H924" i="1"/>
  <c r="I924" i="1"/>
  <c r="J924" i="1"/>
  <c r="O924" i="1"/>
  <c r="R924" i="1"/>
  <c r="S924" i="1"/>
  <c r="T924" i="1"/>
  <c r="U924" i="1"/>
  <c r="P924" i="1" s="1"/>
  <c r="V924" i="1"/>
  <c r="A925" i="1"/>
  <c r="B925" i="1"/>
  <c r="D925" i="1" s="1"/>
  <c r="H925" i="1"/>
  <c r="I925" i="1"/>
  <c r="J925" i="1"/>
  <c r="O925" i="1"/>
  <c r="R925" i="1"/>
  <c r="S925" i="1"/>
  <c r="T925" i="1"/>
  <c r="U925" i="1"/>
  <c r="P925" i="1" s="1"/>
  <c r="V925" i="1"/>
  <c r="A926" i="1"/>
  <c r="B926" i="1"/>
  <c r="F926" i="1" s="1"/>
  <c r="H926" i="1"/>
  <c r="I926" i="1"/>
  <c r="J926" i="1"/>
  <c r="O926" i="1"/>
  <c r="R926" i="1"/>
  <c r="S926" i="1"/>
  <c r="T926" i="1"/>
  <c r="U926" i="1"/>
  <c r="P926" i="1" s="1"/>
  <c r="V926" i="1"/>
  <c r="A927" i="1"/>
  <c r="B927" i="1"/>
  <c r="E927" i="1" s="1"/>
  <c r="H927" i="1"/>
  <c r="I927" i="1"/>
  <c r="J927" i="1"/>
  <c r="O927" i="1"/>
  <c r="R927" i="1"/>
  <c r="S927" i="1"/>
  <c r="T927" i="1"/>
  <c r="U927" i="1"/>
  <c r="P927" i="1" s="1"/>
  <c r="V927" i="1"/>
  <c r="A928" i="1"/>
  <c r="B928" i="1"/>
  <c r="D928" i="1" s="1"/>
  <c r="H928" i="1"/>
  <c r="I928" i="1"/>
  <c r="J928" i="1"/>
  <c r="Q928" i="1" s="1"/>
  <c r="O928" i="1"/>
  <c r="R928" i="1"/>
  <c r="S928" i="1"/>
  <c r="T928" i="1"/>
  <c r="U928" i="1"/>
  <c r="P928" i="1" s="1"/>
  <c r="V928" i="1"/>
  <c r="A929" i="1"/>
  <c r="B929" i="1"/>
  <c r="D929" i="1" s="1"/>
  <c r="H929" i="1"/>
  <c r="I929" i="1"/>
  <c r="J929" i="1"/>
  <c r="Q929" i="1" s="1"/>
  <c r="O929" i="1"/>
  <c r="R929" i="1"/>
  <c r="S929" i="1"/>
  <c r="T929" i="1"/>
  <c r="U929" i="1"/>
  <c r="P929" i="1" s="1"/>
  <c r="V929" i="1"/>
  <c r="A930" i="1"/>
  <c r="B930" i="1"/>
  <c r="E930" i="1" s="1"/>
  <c r="H930" i="1"/>
  <c r="I930" i="1"/>
  <c r="J930" i="1"/>
  <c r="O930" i="1"/>
  <c r="R930" i="1"/>
  <c r="S930" i="1"/>
  <c r="T930" i="1"/>
  <c r="U930" i="1"/>
  <c r="P930" i="1" s="1"/>
  <c r="V930" i="1"/>
  <c r="A931" i="1"/>
  <c r="B931" i="1"/>
  <c r="E931" i="1" s="1"/>
  <c r="H931" i="1"/>
  <c r="I931" i="1"/>
  <c r="J931" i="1"/>
  <c r="O931" i="1"/>
  <c r="R931" i="1"/>
  <c r="S931" i="1"/>
  <c r="T931" i="1"/>
  <c r="U931" i="1"/>
  <c r="P931" i="1" s="1"/>
  <c r="V931" i="1"/>
  <c r="A932" i="1"/>
  <c r="B932" i="1"/>
  <c r="C932" i="1" s="1"/>
  <c r="H932" i="1"/>
  <c r="I932" i="1"/>
  <c r="J932" i="1"/>
  <c r="O932" i="1"/>
  <c r="R932" i="1"/>
  <c r="S932" i="1"/>
  <c r="T932" i="1"/>
  <c r="U932" i="1"/>
  <c r="P932" i="1" s="1"/>
  <c r="V932" i="1"/>
  <c r="A933" i="1"/>
  <c r="B933" i="1"/>
  <c r="E933" i="1" s="1"/>
  <c r="H933" i="1"/>
  <c r="I933" i="1"/>
  <c r="J933" i="1"/>
  <c r="O933" i="1"/>
  <c r="R933" i="1"/>
  <c r="S933" i="1"/>
  <c r="T933" i="1"/>
  <c r="U933" i="1"/>
  <c r="P933" i="1" s="1"/>
  <c r="V933" i="1"/>
  <c r="A934" i="1"/>
  <c r="B934" i="1"/>
  <c r="D934" i="1" s="1"/>
  <c r="H934" i="1"/>
  <c r="I934" i="1"/>
  <c r="J934" i="1"/>
  <c r="Q934" i="1" s="1"/>
  <c r="O934" i="1"/>
  <c r="R934" i="1"/>
  <c r="S934" i="1"/>
  <c r="T934" i="1"/>
  <c r="U934" i="1"/>
  <c r="P934" i="1" s="1"/>
  <c r="V934" i="1"/>
  <c r="A935" i="1"/>
  <c r="B935" i="1"/>
  <c r="D935" i="1" s="1"/>
  <c r="H935" i="1"/>
  <c r="I935" i="1"/>
  <c r="J935" i="1"/>
  <c r="Q935" i="1" s="1"/>
  <c r="O935" i="1"/>
  <c r="R935" i="1"/>
  <c r="S935" i="1"/>
  <c r="T935" i="1"/>
  <c r="U935" i="1"/>
  <c r="P935" i="1" s="1"/>
  <c r="V935" i="1"/>
  <c r="A936" i="1"/>
  <c r="B936" i="1"/>
  <c r="E936" i="1" s="1"/>
  <c r="H936" i="1"/>
  <c r="I936" i="1"/>
  <c r="J936" i="1"/>
  <c r="O936" i="1"/>
  <c r="R936" i="1"/>
  <c r="S936" i="1"/>
  <c r="T936" i="1"/>
  <c r="U936" i="1"/>
  <c r="P936" i="1" s="1"/>
  <c r="V936" i="1"/>
  <c r="A937" i="1"/>
  <c r="B937" i="1"/>
  <c r="D937" i="1" s="1"/>
  <c r="H937" i="1"/>
  <c r="I937" i="1"/>
  <c r="J937" i="1"/>
  <c r="O937" i="1"/>
  <c r="R937" i="1"/>
  <c r="S937" i="1"/>
  <c r="T937" i="1"/>
  <c r="U937" i="1"/>
  <c r="P937" i="1" s="1"/>
  <c r="V937" i="1"/>
  <c r="A938" i="1"/>
  <c r="B938" i="1"/>
  <c r="D938" i="1" s="1"/>
  <c r="H938" i="1"/>
  <c r="I938" i="1"/>
  <c r="J938" i="1"/>
  <c r="O938" i="1"/>
  <c r="R938" i="1"/>
  <c r="S938" i="1"/>
  <c r="T938" i="1"/>
  <c r="U938" i="1"/>
  <c r="P938" i="1" s="1"/>
  <c r="V938" i="1"/>
  <c r="A939" i="1"/>
  <c r="B939" i="1"/>
  <c r="C939" i="1" s="1"/>
  <c r="H939" i="1"/>
  <c r="I939" i="1"/>
  <c r="J939" i="1"/>
  <c r="O939" i="1"/>
  <c r="R939" i="1"/>
  <c r="S939" i="1"/>
  <c r="T939" i="1"/>
  <c r="U939" i="1"/>
  <c r="P939" i="1" s="1"/>
  <c r="V939" i="1"/>
  <c r="A940" i="1"/>
  <c r="B940" i="1"/>
  <c r="E940" i="1" s="1"/>
  <c r="H940" i="1"/>
  <c r="I940" i="1"/>
  <c r="J940" i="1"/>
  <c r="Q940" i="1" s="1"/>
  <c r="O940" i="1"/>
  <c r="R940" i="1"/>
  <c r="S940" i="1"/>
  <c r="T940" i="1"/>
  <c r="U940" i="1"/>
  <c r="P940" i="1" s="1"/>
  <c r="V940" i="1"/>
  <c r="A941" i="1"/>
  <c r="B941" i="1"/>
  <c r="E941" i="1" s="1"/>
  <c r="H941" i="1"/>
  <c r="I941" i="1"/>
  <c r="J941" i="1"/>
  <c r="Q941" i="1" s="1"/>
  <c r="O941" i="1"/>
  <c r="R941" i="1"/>
  <c r="S941" i="1"/>
  <c r="T941" i="1"/>
  <c r="U941" i="1"/>
  <c r="P941" i="1" s="1"/>
  <c r="V941" i="1"/>
  <c r="A942" i="1"/>
  <c r="B942" i="1"/>
  <c r="C942" i="1" s="1"/>
  <c r="H942" i="1"/>
  <c r="I942" i="1"/>
  <c r="J942" i="1"/>
  <c r="O942" i="1"/>
  <c r="R942" i="1"/>
  <c r="S942" i="1"/>
  <c r="T942" i="1"/>
  <c r="U942" i="1"/>
  <c r="P942" i="1" s="1"/>
  <c r="V942" i="1"/>
  <c r="A943" i="1"/>
  <c r="B943" i="1"/>
  <c r="D943" i="1" s="1"/>
  <c r="H943" i="1"/>
  <c r="I943" i="1"/>
  <c r="J943" i="1"/>
  <c r="O943" i="1"/>
  <c r="R943" i="1"/>
  <c r="S943" i="1"/>
  <c r="T943" i="1"/>
  <c r="U943" i="1"/>
  <c r="P943" i="1" s="1"/>
  <c r="V943" i="1"/>
  <c r="A944" i="1"/>
  <c r="B944" i="1"/>
  <c r="E944" i="1" s="1"/>
  <c r="H944" i="1"/>
  <c r="I944" i="1"/>
  <c r="J944" i="1"/>
  <c r="O944" i="1"/>
  <c r="R944" i="1"/>
  <c r="S944" i="1"/>
  <c r="T944" i="1"/>
  <c r="U944" i="1"/>
  <c r="P944" i="1" s="1"/>
  <c r="V944" i="1"/>
  <c r="A945" i="1"/>
  <c r="B945" i="1"/>
  <c r="D945" i="1" s="1"/>
  <c r="H945" i="1"/>
  <c r="I945" i="1"/>
  <c r="J945" i="1"/>
  <c r="O945" i="1"/>
  <c r="R945" i="1"/>
  <c r="S945" i="1"/>
  <c r="T945" i="1"/>
  <c r="U945" i="1"/>
  <c r="P945" i="1" s="1"/>
  <c r="V945" i="1"/>
  <c r="A946" i="1"/>
  <c r="B946" i="1"/>
  <c r="D946" i="1" s="1"/>
  <c r="H946" i="1"/>
  <c r="I946" i="1"/>
  <c r="J946" i="1"/>
  <c r="Q946" i="1" s="1"/>
  <c r="O946" i="1"/>
  <c r="R946" i="1"/>
  <c r="S946" i="1"/>
  <c r="T946" i="1"/>
  <c r="U946" i="1"/>
  <c r="P946" i="1" s="1"/>
  <c r="V946" i="1"/>
  <c r="A947" i="1"/>
  <c r="B947" i="1"/>
  <c r="C947" i="1" s="1"/>
  <c r="H947" i="1"/>
  <c r="I947" i="1"/>
  <c r="J947" i="1"/>
  <c r="Q947" i="1" s="1"/>
  <c r="O947" i="1"/>
  <c r="R947" i="1"/>
  <c r="S947" i="1"/>
  <c r="T947" i="1"/>
  <c r="U947" i="1"/>
  <c r="P947" i="1" s="1"/>
  <c r="V947" i="1"/>
  <c r="A948" i="1"/>
  <c r="B948" i="1"/>
  <c r="C948" i="1" s="1"/>
  <c r="H948" i="1"/>
  <c r="I948" i="1"/>
  <c r="J948" i="1"/>
  <c r="O948" i="1"/>
  <c r="R948" i="1"/>
  <c r="S948" i="1"/>
  <c r="T948" i="1"/>
  <c r="U948" i="1"/>
  <c r="P948" i="1" s="1"/>
  <c r="V948" i="1"/>
  <c r="A949" i="1"/>
  <c r="B949" i="1"/>
  <c r="E949" i="1" s="1"/>
  <c r="H949" i="1"/>
  <c r="I949" i="1"/>
  <c r="J949" i="1"/>
  <c r="O949" i="1"/>
  <c r="R949" i="1"/>
  <c r="S949" i="1"/>
  <c r="T949" i="1"/>
  <c r="U949" i="1"/>
  <c r="P949" i="1" s="1"/>
  <c r="V949" i="1"/>
  <c r="A950" i="1"/>
  <c r="B950" i="1"/>
  <c r="C950" i="1" s="1"/>
  <c r="H950" i="1"/>
  <c r="I950" i="1"/>
  <c r="J950" i="1"/>
  <c r="O950" i="1"/>
  <c r="R950" i="1"/>
  <c r="S950" i="1"/>
  <c r="T950" i="1"/>
  <c r="U950" i="1"/>
  <c r="P950" i="1" s="1"/>
  <c r="V950" i="1"/>
  <c r="A951" i="1"/>
  <c r="B951" i="1"/>
  <c r="D951" i="1" s="1"/>
  <c r="H951" i="1"/>
  <c r="I951" i="1"/>
  <c r="J951" i="1"/>
  <c r="O951" i="1"/>
  <c r="R951" i="1"/>
  <c r="S951" i="1"/>
  <c r="T951" i="1"/>
  <c r="U951" i="1"/>
  <c r="P951" i="1" s="1"/>
  <c r="V951" i="1"/>
  <c r="A952" i="1"/>
  <c r="B952" i="1"/>
  <c r="F952" i="1" s="1"/>
  <c r="H952" i="1"/>
  <c r="I952" i="1"/>
  <c r="J952" i="1"/>
  <c r="O952" i="1"/>
  <c r="R952" i="1"/>
  <c r="S952" i="1"/>
  <c r="T952" i="1"/>
  <c r="U952" i="1"/>
  <c r="P952" i="1" s="1"/>
  <c r="V952" i="1"/>
  <c r="A953" i="1"/>
  <c r="B953" i="1"/>
  <c r="D953" i="1" s="1"/>
  <c r="H953" i="1"/>
  <c r="I953" i="1"/>
  <c r="J953" i="1"/>
  <c r="Q953" i="1" s="1"/>
  <c r="O953" i="1"/>
  <c r="R953" i="1"/>
  <c r="S953" i="1"/>
  <c r="T953" i="1"/>
  <c r="U953" i="1"/>
  <c r="P953" i="1" s="1"/>
  <c r="V953" i="1"/>
  <c r="A954" i="1"/>
  <c r="B954" i="1"/>
  <c r="D954" i="1" s="1"/>
  <c r="H954" i="1"/>
  <c r="I954" i="1"/>
  <c r="J954" i="1"/>
  <c r="O954" i="1"/>
  <c r="R954" i="1"/>
  <c r="S954" i="1"/>
  <c r="T954" i="1"/>
  <c r="U954" i="1"/>
  <c r="P954" i="1" s="1"/>
  <c r="V954" i="1"/>
  <c r="A955" i="1"/>
  <c r="B955" i="1"/>
  <c r="C955" i="1" s="1"/>
  <c r="H955" i="1"/>
  <c r="I955" i="1"/>
  <c r="J955" i="1"/>
  <c r="O955" i="1"/>
  <c r="R955" i="1"/>
  <c r="S955" i="1"/>
  <c r="T955" i="1"/>
  <c r="U955" i="1"/>
  <c r="P955" i="1" s="1"/>
  <c r="V955" i="1"/>
  <c r="A956" i="1"/>
  <c r="B956" i="1"/>
  <c r="C956" i="1" s="1"/>
  <c r="H956" i="1"/>
  <c r="I956" i="1"/>
  <c r="J956" i="1"/>
  <c r="O956" i="1"/>
  <c r="R956" i="1"/>
  <c r="S956" i="1"/>
  <c r="T956" i="1"/>
  <c r="U956" i="1"/>
  <c r="P956" i="1" s="1"/>
  <c r="V956" i="1"/>
  <c r="A957" i="1"/>
  <c r="B957" i="1"/>
  <c r="E957" i="1" s="1"/>
  <c r="H957" i="1"/>
  <c r="I957" i="1"/>
  <c r="J957" i="1"/>
  <c r="O957" i="1"/>
  <c r="R957" i="1"/>
  <c r="S957" i="1"/>
  <c r="T957" i="1"/>
  <c r="U957" i="1"/>
  <c r="P957" i="1" s="1"/>
  <c r="V957" i="1"/>
  <c r="A958" i="1"/>
  <c r="B958" i="1"/>
  <c r="C958" i="1" s="1"/>
  <c r="H958" i="1"/>
  <c r="I958" i="1"/>
  <c r="J958" i="1"/>
  <c r="O958" i="1"/>
  <c r="R958" i="1"/>
  <c r="S958" i="1"/>
  <c r="T958" i="1"/>
  <c r="U958" i="1"/>
  <c r="P958" i="1" s="1"/>
  <c r="V958" i="1"/>
  <c r="A959" i="1"/>
  <c r="B959" i="1"/>
  <c r="D959" i="1" s="1"/>
  <c r="H959" i="1"/>
  <c r="I959" i="1"/>
  <c r="J959" i="1"/>
  <c r="Q959" i="1" s="1"/>
  <c r="O959" i="1"/>
  <c r="R959" i="1"/>
  <c r="S959" i="1"/>
  <c r="T959" i="1"/>
  <c r="U959" i="1"/>
  <c r="P959" i="1" s="1"/>
  <c r="V959" i="1"/>
  <c r="A960" i="1"/>
  <c r="B960" i="1"/>
  <c r="E960" i="1" s="1"/>
  <c r="H960" i="1"/>
  <c r="I960" i="1"/>
  <c r="J960" i="1"/>
  <c r="O960" i="1"/>
  <c r="R960" i="1"/>
  <c r="S960" i="1"/>
  <c r="T960" i="1"/>
  <c r="U960" i="1"/>
  <c r="P960" i="1" s="1"/>
  <c r="V960" i="1"/>
  <c r="A961" i="1"/>
  <c r="B961" i="1"/>
  <c r="D961" i="1" s="1"/>
  <c r="H961" i="1"/>
  <c r="I961" i="1"/>
  <c r="J961" i="1"/>
  <c r="O961" i="1"/>
  <c r="R961" i="1"/>
  <c r="S961" i="1"/>
  <c r="T961" i="1"/>
  <c r="U961" i="1"/>
  <c r="P961" i="1" s="1"/>
  <c r="V961" i="1"/>
  <c r="A962" i="1"/>
  <c r="B962" i="1"/>
  <c r="D962" i="1" s="1"/>
  <c r="H962" i="1"/>
  <c r="I962" i="1"/>
  <c r="J962" i="1"/>
  <c r="O962" i="1"/>
  <c r="R962" i="1"/>
  <c r="S962" i="1"/>
  <c r="T962" i="1"/>
  <c r="U962" i="1"/>
  <c r="P962" i="1" s="1"/>
  <c r="V962" i="1"/>
  <c r="A963" i="1"/>
  <c r="B963" i="1"/>
  <c r="D963" i="1" s="1"/>
  <c r="H963" i="1"/>
  <c r="I963" i="1"/>
  <c r="J963" i="1"/>
  <c r="O963" i="1"/>
  <c r="R963" i="1"/>
  <c r="S963" i="1"/>
  <c r="T963" i="1"/>
  <c r="U963" i="1"/>
  <c r="P963" i="1" s="1"/>
  <c r="V963" i="1"/>
  <c r="A964" i="1"/>
  <c r="B964" i="1"/>
  <c r="C964" i="1" s="1"/>
  <c r="H964" i="1"/>
  <c r="I964" i="1"/>
  <c r="J964" i="1"/>
  <c r="O964" i="1"/>
  <c r="R964" i="1"/>
  <c r="S964" i="1"/>
  <c r="T964" i="1"/>
  <c r="U964" i="1"/>
  <c r="P964" i="1" s="1"/>
  <c r="V964" i="1"/>
  <c r="A965" i="1"/>
  <c r="B965" i="1"/>
  <c r="D965" i="1" s="1"/>
  <c r="H965" i="1"/>
  <c r="I965" i="1"/>
  <c r="J965" i="1"/>
  <c r="Q965" i="1" s="1"/>
  <c r="O965" i="1"/>
  <c r="R965" i="1"/>
  <c r="S965" i="1"/>
  <c r="T965" i="1"/>
  <c r="U965" i="1"/>
  <c r="P965" i="1" s="1"/>
  <c r="V965" i="1"/>
  <c r="A966" i="1"/>
  <c r="B966" i="1"/>
  <c r="D966" i="1" s="1"/>
  <c r="H966" i="1"/>
  <c r="I966" i="1"/>
  <c r="J966" i="1"/>
  <c r="O966" i="1"/>
  <c r="R966" i="1"/>
  <c r="S966" i="1"/>
  <c r="T966" i="1"/>
  <c r="U966" i="1"/>
  <c r="P966" i="1" s="1"/>
  <c r="V966" i="1"/>
  <c r="A967" i="1"/>
  <c r="B967" i="1"/>
  <c r="D967" i="1" s="1"/>
  <c r="H967" i="1"/>
  <c r="I967" i="1"/>
  <c r="J967" i="1"/>
  <c r="O967" i="1"/>
  <c r="R967" i="1"/>
  <c r="S967" i="1"/>
  <c r="T967" i="1"/>
  <c r="U967" i="1"/>
  <c r="P967" i="1" s="1"/>
  <c r="V967" i="1"/>
  <c r="A968" i="1"/>
  <c r="B968" i="1"/>
  <c r="D968" i="1" s="1"/>
  <c r="H968" i="1"/>
  <c r="I968" i="1"/>
  <c r="J968" i="1"/>
  <c r="O968" i="1"/>
  <c r="R968" i="1"/>
  <c r="S968" i="1"/>
  <c r="T968" i="1"/>
  <c r="U968" i="1"/>
  <c r="P968" i="1" s="1"/>
  <c r="V968" i="1"/>
  <c r="A969" i="1"/>
  <c r="B969" i="1"/>
  <c r="C969" i="1" s="1"/>
  <c r="H969" i="1"/>
  <c r="I969" i="1"/>
  <c r="J969" i="1"/>
  <c r="O969" i="1"/>
  <c r="R969" i="1"/>
  <c r="S969" i="1"/>
  <c r="T969" i="1"/>
  <c r="U969" i="1"/>
  <c r="P969" i="1" s="1"/>
  <c r="V969" i="1"/>
  <c r="A970" i="1"/>
  <c r="B970" i="1"/>
  <c r="D970" i="1" s="1"/>
  <c r="H970" i="1"/>
  <c r="I970" i="1"/>
  <c r="J970" i="1"/>
  <c r="O970" i="1"/>
  <c r="R970" i="1"/>
  <c r="S970" i="1"/>
  <c r="T970" i="1"/>
  <c r="U970" i="1"/>
  <c r="P970" i="1" s="1"/>
  <c r="V970" i="1"/>
  <c r="A971" i="1"/>
  <c r="B971" i="1"/>
  <c r="C971" i="1" s="1"/>
  <c r="H971" i="1"/>
  <c r="I971" i="1"/>
  <c r="J971" i="1"/>
  <c r="Q971" i="1" s="1"/>
  <c r="O971" i="1"/>
  <c r="R971" i="1"/>
  <c r="S971" i="1"/>
  <c r="T971" i="1"/>
  <c r="U971" i="1"/>
  <c r="P971" i="1" s="1"/>
  <c r="V971" i="1"/>
  <c r="A972" i="1"/>
  <c r="B972" i="1"/>
  <c r="D972" i="1" s="1"/>
  <c r="H972" i="1"/>
  <c r="I972" i="1"/>
  <c r="J972" i="1"/>
  <c r="O972" i="1"/>
  <c r="R972" i="1"/>
  <c r="S972" i="1"/>
  <c r="T972" i="1"/>
  <c r="U972" i="1"/>
  <c r="P972" i="1" s="1"/>
  <c r="V972" i="1"/>
  <c r="A973" i="1"/>
  <c r="B973" i="1"/>
  <c r="D973" i="1" s="1"/>
  <c r="H973" i="1"/>
  <c r="I973" i="1"/>
  <c r="J973" i="1"/>
  <c r="O973" i="1"/>
  <c r="R973" i="1"/>
  <c r="S973" i="1"/>
  <c r="T973" i="1"/>
  <c r="U973" i="1"/>
  <c r="P973" i="1" s="1"/>
  <c r="V973" i="1"/>
  <c r="A974" i="1"/>
  <c r="B974" i="1"/>
  <c r="D974" i="1" s="1"/>
  <c r="H974" i="1"/>
  <c r="I974" i="1"/>
  <c r="J974" i="1"/>
  <c r="O974" i="1"/>
  <c r="R974" i="1"/>
  <c r="S974" i="1"/>
  <c r="T974" i="1"/>
  <c r="U974" i="1"/>
  <c r="P974" i="1" s="1"/>
  <c r="V974" i="1"/>
  <c r="A975" i="1"/>
  <c r="B975" i="1"/>
  <c r="E975" i="1" s="1"/>
  <c r="H975" i="1"/>
  <c r="I975" i="1"/>
  <c r="J975" i="1"/>
  <c r="O975" i="1"/>
  <c r="R975" i="1"/>
  <c r="S975" i="1"/>
  <c r="T975" i="1"/>
  <c r="U975" i="1"/>
  <c r="P975" i="1" s="1"/>
  <c r="V975" i="1"/>
  <c r="A976" i="1"/>
  <c r="B976" i="1"/>
  <c r="D976" i="1" s="1"/>
  <c r="H976" i="1"/>
  <c r="I976" i="1"/>
  <c r="J976" i="1"/>
  <c r="O976" i="1"/>
  <c r="R976" i="1"/>
  <c r="S976" i="1"/>
  <c r="T976" i="1"/>
  <c r="U976" i="1"/>
  <c r="P976" i="1" s="1"/>
  <c r="V976" i="1"/>
  <c r="A977" i="1"/>
  <c r="B977" i="1"/>
  <c r="C977" i="1" s="1"/>
  <c r="H977" i="1"/>
  <c r="I977" i="1"/>
  <c r="J977" i="1"/>
  <c r="Q977" i="1" s="1"/>
  <c r="O977" i="1"/>
  <c r="R977" i="1"/>
  <c r="S977" i="1"/>
  <c r="T977" i="1"/>
  <c r="U977" i="1"/>
  <c r="P977" i="1" s="1"/>
  <c r="V977" i="1"/>
  <c r="A978" i="1"/>
  <c r="B978" i="1"/>
  <c r="D978" i="1" s="1"/>
  <c r="H978" i="1"/>
  <c r="I978" i="1"/>
  <c r="J978" i="1"/>
  <c r="O978" i="1"/>
  <c r="R978" i="1"/>
  <c r="S978" i="1"/>
  <c r="T978" i="1"/>
  <c r="U978" i="1"/>
  <c r="P978" i="1" s="1"/>
  <c r="V978" i="1"/>
  <c r="A979" i="1"/>
  <c r="B979" i="1"/>
  <c r="C979" i="1" s="1"/>
  <c r="H979" i="1"/>
  <c r="I979" i="1"/>
  <c r="J979" i="1"/>
  <c r="O979" i="1"/>
  <c r="R979" i="1"/>
  <c r="S979" i="1"/>
  <c r="T979" i="1"/>
  <c r="U979" i="1"/>
  <c r="P979" i="1" s="1"/>
  <c r="V979" i="1"/>
  <c r="A980" i="1"/>
  <c r="B980" i="1"/>
  <c r="D980" i="1" s="1"/>
  <c r="H980" i="1"/>
  <c r="I980" i="1"/>
  <c r="J980" i="1"/>
  <c r="O980" i="1"/>
  <c r="R980" i="1"/>
  <c r="S980" i="1"/>
  <c r="T980" i="1"/>
  <c r="U980" i="1"/>
  <c r="P980" i="1" s="1"/>
  <c r="V980" i="1"/>
  <c r="A981" i="1"/>
  <c r="B981" i="1"/>
  <c r="D981" i="1" s="1"/>
  <c r="H981" i="1"/>
  <c r="I981" i="1"/>
  <c r="J981" i="1"/>
  <c r="O981" i="1"/>
  <c r="R981" i="1"/>
  <c r="S981" i="1"/>
  <c r="T981" i="1"/>
  <c r="U981" i="1"/>
  <c r="P981" i="1" s="1"/>
  <c r="V981" i="1"/>
  <c r="A982" i="1"/>
  <c r="B982" i="1"/>
  <c r="D982" i="1" s="1"/>
  <c r="H982" i="1"/>
  <c r="I982" i="1"/>
  <c r="J982" i="1"/>
  <c r="O982" i="1"/>
  <c r="R982" i="1"/>
  <c r="S982" i="1"/>
  <c r="T982" i="1"/>
  <c r="U982" i="1"/>
  <c r="P982" i="1" s="1"/>
  <c r="V982" i="1"/>
  <c r="A983" i="1"/>
  <c r="B983" i="1"/>
  <c r="E983" i="1" s="1"/>
  <c r="H983" i="1"/>
  <c r="I983" i="1"/>
  <c r="J983" i="1"/>
  <c r="Q983" i="1" s="1"/>
  <c r="O983" i="1"/>
  <c r="R983" i="1"/>
  <c r="S983" i="1"/>
  <c r="T983" i="1"/>
  <c r="U983" i="1"/>
  <c r="P983" i="1" s="1"/>
  <c r="V983" i="1"/>
  <c r="A984" i="1"/>
  <c r="B984" i="1"/>
  <c r="D984" i="1" s="1"/>
  <c r="H984" i="1"/>
  <c r="I984" i="1"/>
  <c r="J984" i="1"/>
  <c r="O984" i="1"/>
  <c r="R984" i="1"/>
  <c r="S984" i="1"/>
  <c r="T984" i="1"/>
  <c r="U984" i="1"/>
  <c r="P984" i="1" s="1"/>
  <c r="V984" i="1"/>
  <c r="A985" i="1"/>
  <c r="B985" i="1"/>
  <c r="C985" i="1" s="1"/>
  <c r="H985" i="1"/>
  <c r="I985" i="1"/>
  <c r="J985" i="1"/>
  <c r="O985" i="1"/>
  <c r="R985" i="1"/>
  <c r="S985" i="1"/>
  <c r="T985" i="1"/>
  <c r="U985" i="1"/>
  <c r="P985" i="1" s="1"/>
  <c r="V985" i="1"/>
  <c r="A986" i="1"/>
  <c r="B986" i="1"/>
  <c r="D986" i="1" s="1"/>
  <c r="H986" i="1"/>
  <c r="I986" i="1"/>
  <c r="J986" i="1"/>
  <c r="O986" i="1"/>
  <c r="R986" i="1"/>
  <c r="S986" i="1"/>
  <c r="T986" i="1"/>
  <c r="U986" i="1"/>
  <c r="P986" i="1" s="1"/>
  <c r="V986" i="1"/>
  <c r="A987" i="1"/>
  <c r="B987" i="1"/>
  <c r="C987" i="1" s="1"/>
  <c r="H987" i="1"/>
  <c r="I987" i="1"/>
  <c r="J987" i="1"/>
  <c r="O987" i="1"/>
  <c r="R987" i="1"/>
  <c r="S987" i="1"/>
  <c r="T987" i="1"/>
  <c r="U987" i="1"/>
  <c r="P987" i="1" s="1"/>
  <c r="V987" i="1"/>
  <c r="A988" i="1"/>
  <c r="B988" i="1"/>
  <c r="D988" i="1" s="1"/>
  <c r="H988" i="1"/>
  <c r="I988" i="1"/>
  <c r="J988" i="1"/>
  <c r="Q988" i="1" s="1"/>
  <c r="O988" i="1"/>
  <c r="R988" i="1"/>
  <c r="S988" i="1"/>
  <c r="T988" i="1"/>
  <c r="U988" i="1"/>
  <c r="P988" i="1" s="1"/>
  <c r="V988" i="1"/>
  <c r="A989" i="1"/>
  <c r="B989" i="1"/>
  <c r="D989" i="1" s="1"/>
  <c r="H989" i="1"/>
  <c r="I989" i="1"/>
  <c r="J989" i="1"/>
  <c r="Q989" i="1" s="1"/>
  <c r="O989" i="1"/>
  <c r="R989" i="1"/>
  <c r="S989" i="1"/>
  <c r="T989" i="1"/>
  <c r="U989" i="1"/>
  <c r="P989" i="1" s="1"/>
  <c r="V989" i="1"/>
  <c r="A990" i="1"/>
  <c r="B990" i="1"/>
  <c r="D990" i="1" s="1"/>
  <c r="H990" i="1"/>
  <c r="I990" i="1"/>
  <c r="J990" i="1"/>
  <c r="O990" i="1"/>
  <c r="R990" i="1"/>
  <c r="S990" i="1"/>
  <c r="T990" i="1"/>
  <c r="U990" i="1"/>
  <c r="P990" i="1" s="1"/>
  <c r="V990" i="1"/>
  <c r="A991" i="1"/>
  <c r="B991" i="1"/>
  <c r="D991" i="1" s="1"/>
  <c r="H991" i="1"/>
  <c r="I991" i="1"/>
  <c r="J991" i="1"/>
  <c r="O991" i="1"/>
  <c r="R991" i="1"/>
  <c r="S991" i="1"/>
  <c r="T991" i="1"/>
  <c r="U991" i="1"/>
  <c r="P991" i="1" s="1"/>
  <c r="V991" i="1"/>
  <c r="A992" i="1"/>
  <c r="B992" i="1"/>
  <c r="D992" i="1" s="1"/>
  <c r="H992" i="1"/>
  <c r="I992" i="1"/>
  <c r="J992" i="1"/>
  <c r="O992" i="1"/>
  <c r="R992" i="1"/>
  <c r="S992" i="1"/>
  <c r="T992" i="1"/>
  <c r="U992" i="1"/>
  <c r="P992" i="1" s="1"/>
  <c r="V992" i="1"/>
  <c r="A993" i="1"/>
  <c r="B993" i="1"/>
  <c r="C993" i="1" s="1"/>
  <c r="H993" i="1"/>
  <c r="I993" i="1"/>
  <c r="J993" i="1"/>
  <c r="O993" i="1"/>
  <c r="R993" i="1"/>
  <c r="S993" i="1"/>
  <c r="T993" i="1"/>
  <c r="U993" i="1"/>
  <c r="P993" i="1" s="1"/>
  <c r="V993" i="1"/>
  <c r="A994" i="1"/>
  <c r="B994" i="1"/>
  <c r="D994" i="1" s="1"/>
  <c r="H994" i="1"/>
  <c r="I994" i="1"/>
  <c r="J994" i="1"/>
  <c r="Q994" i="1" s="1"/>
  <c r="O994" i="1"/>
  <c r="R994" i="1"/>
  <c r="S994" i="1"/>
  <c r="T994" i="1"/>
  <c r="U994" i="1"/>
  <c r="P994" i="1" s="1"/>
  <c r="V994" i="1"/>
  <c r="A995" i="1"/>
  <c r="B995" i="1"/>
  <c r="C995" i="1" s="1"/>
  <c r="H995" i="1"/>
  <c r="I995" i="1"/>
  <c r="J995" i="1"/>
  <c r="Q995" i="1" s="1"/>
  <c r="O995" i="1"/>
  <c r="R995" i="1"/>
  <c r="S995" i="1"/>
  <c r="T995" i="1"/>
  <c r="U995" i="1"/>
  <c r="P995" i="1" s="1"/>
  <c r="V995" i="1"/>
  <c r="A996" i="1"/>
  <c r="B996" i="1"/>
  <c r="D996" i="1" s="1"/>
  <c r="H996" i="1"/>
  <c r="I996" i="1"/>
  <c r="J996" i="1"/>
  <c r="O996" i="1"/>
  <c r="R996" i="1"/>
  <c r="S996" i="1"/>
  <c r="T996" i="1"/>
  <c r="U996" i="1"/>
  <c r="P996" i="1" s="1"/>
  <c r="V996" i="1"/>
  <c r="A997" i="1"/>
  <c r="B997" i="1"/>
  <c r="D997" i="1" s="1"/>
  <c r="H997" i="1"/>
  <c r="I997" i="1"/>
  <c r="J997" i="1"/>
  <c r="O997" i="1"/>
  <c r="R997" i="1"/>
  <c r="S997" i="1"/>
  <c r="T997" i="1"/>
  <c r="U997" i="1"/>
  <c r="P997" i="1" s="1"/>
  <c r="V997" i="1"/>
  <c r="A998" i="1"/>
  <c r="B998" i="1"/>
  <c r="D998" i="1" s="1"/>
  <c r="H998" i="1"/>
  <c r="I998" i="1"/>
  <c r="J998" i="1"/>
  <c r="O998" i="1"/>
  <c r="R998" i="1"/>
  <c r="S998" i="1"/>
  <c r="T998" i="1"/>
  <c r="U998" i="1"/>
  <c r="P998" i="1" s="1"/>
  <c r="V998" i="1"/>
  <c r="A999" i="1"/>
  <c r="B999" i="1"/>
  <c r="E999" i="1" s="1"/>
  <c r="H999" i="1"/>
  <c r="I999" i="1"/>
  <c r="J999" i="1"/>
  <c r="O999" i="1"/>
  <c r="R999" i="1"/>
  <c r="S999" i="1"/>
  <c r="T999" i="1"/>
  <c r="U999" i="1"/>
  <c r="P999" i="1" s="1"/>
  <c r="V999" i="1"/>
  <c r="A139" i="2" l="1"/>
  <c r="K171" i="1"/>
  <c r="F168" i="2" s="1"/>
  <c r="N171" i="1"/>
  <c r="I168" i="2" s="1"/>
  <c r="M171" i="1"/>
  <c r="L171" i="1"/>
  <c r="N176" i="1"/>
  <c r="I173" i="2" s="1"/>
  <c r="M176" i="1"/>
  <c r="L176" i="1"/>
  <c r="K176" i="1"/>
  <c r="F173" i="2" s="1"/>
  <c r="L173" i="1"/>
  <c r="K173" i="1"/>
  <c r="F170" i="2" s="1"/>
  <c r="M173" i="1"/>
  <c r="N173" i="1"/>
  <c r="I170" i="2" s="1"/>
  <c r="N175" i="1"/>
  <c r="I172" i="2" s="1"/>
  <c r="M175" i="1"/>
  <c r="L175" i="1"/>
  <c r="K175" i="1"/>
  <c r="F172" i="2" s="1"/>
  <c r="J174" i="1"/>
  <c r="Q175" i="1" s="1"/>
  <c r="Q172" i="1"/>
  <c r="K172" i="1"/>
  <c r="F169" i="2" s="1"/>
  <c r="L172" i="1"/>
  <c r="N172" i="1"/>
  <c r="I169" i="2" s="1"/>
  <c r="M172" i="1"/>
  <c r="L170" i="1"/>
  <c r="K170" i="1"/>
  <c r="F167" i="2" s="1"/>
  <c r="N170" i="1"/>
  <c r="I167" i="2" s="1"/>
  <c r="M170" i="1"/>
  <c r="J169" i="1"/>
  <c r="J166" i="1"/>
  <c r="J163" i="1"/>
  <c r="J160" i="1"/>
  <c r="J157" i="1"/>
  <c r="J167" i="1"/>
  <c r="J164" i="1"/>
  <c r="J161" i="1"/>
  <c r="J158" i="1"/>
  <c r="J154" i="1"/>
  <c r="Q154" i="1" s="1"/>
  <c r="L151" i="2" s="1"/>
  <c r="J151" i="1"/>
  <c r="Q151" i="1" s="1"/>
  <c r="L148" i="2" s="1"/>
  <c r="J152" i="1"/>
  <c r="Q262" i="1"/>
  <c r="Q279" i="1"/>
  <c r="Q267" i="1"/>
  <c r="Q255" i="1"/>
  <c r="J148" i="1"/>
  <c r="J145" i="1"/>
  <c r="J142" i="1"/>
  <c r="J139" i="1"/>
  <c r="N139" i="1" s="1"/>
  <c r="I136" i="2" s="1"/>
  <c r="J136" i="1"/>
  <c r="J133" i="1"/>
  <c r="M133" i="1" s="1"/>
  <c r="H130" i="2" s="1"/>
  <c r="J130" i="1"/>
  <c r="J127" i="1"/>
  <c r="M127" i="1" s="1"/>
  <c r="H124" i="2" s="1"/>
  <c r="J121" i="1"/>
  <c r="J118" i="1"/>
  <c r="J115" i="1"/>
  <c r="J149" i="1"/>
  <c r="Q215" i="1"/>
  <c r="Q203" i="1"/>
  <c r="Q191" i="1"/>
  <c r="J30" i="1"/>
  <c r="J31" i="1"/>
  <c r="Q997" i="1"/>
  <c r="Q179" i="1"/>
  <c r="Q949" i="1"/>
  <c r="Q962" i="1"/>
  <c r="Q950" i="1"/>
  <c r="Q938" i="1"/>
  <c r="Q926" i="1"/>
  <c r="Q914" i="1"/>
  <c r="Q902" i="1"/>
  <c r="Q890" i="1"/>
  <c r="Q866" i="1"/>
  <c r="Q854" i="1"/>
  <c r="Q842" i="1"/>
  <c r="Q830" i="1"/>
  <c r="Q818" i="1"/>
  <c r="Q806" i="1"/>
  <c r="Q794" i="1"/>
  <c r="Q782" i="1"/>
  <c r="Q770" i="1"/>
  <c r="Q758" i="1"/>
  <c r="Q746" i="1"/>
  <c r="Q734" i="1"/>
  <c r="Q722" i="1"/>
  <c r="Q710" i="1"/>
  <c r="Q698" i="1"/>
  <c r="Q638" i="1"/>
  <c r="Q626" i="1"/>
  <c r="Q614" i="1"/>
  <c r="Q986" i="1"/>
  <c r="Q999" i="1"/>
  <c r="Q987" i="1"/>
  <c r="Q975" i="1"/>
  <c r="Q963" i="1"/>
  <c r="Q951" i="1"/>
  <c r="Q939" i="1"/>
  <c r="Q927" i="1"/>
  <c r="Q915" i="1"/>
  <c r="Q903" i="1"/>
  <c r="Q699" i="1"/>
  <c r="Q687" i="1"/>
  <c r="Q675" i="1"/>
  <c r="Q663" i="1"/>
  <c r="Q651" i="1"/>
  <c r="Q639" i="1"/>
  <c r="Q627" i="1"/>
  <c r="Q615" i="1"/>
  <c r="Q603" i="1"/>
  <c r="Q591" i="1"/>
  <c r="Q579" i="1"/>
  <c r="Q567" i="1"/>
  <c r="Q555" i="1"/>
  <c r="Q543" i="1"/>
  <c r="Q531" i="1"/>
  <c r="Q519" i="1"/>
  <c r="Q507" i="1"/>
  <c r="Q495" i="1"/>
  <c r="Q483" i="1"/>
  <c r="Q471" i="1"/>
  <c r="Q459" i="1"/>
  <c r="Q447" i="1"/>
  <c r="Q435" i="1"/>
  <c r="Q423" i="1"/>
  <c r="Q411" i="1"/>
  <c r="Q985" i="1"/>
  <c r="Q961" i="1"/>
  <c r="Q998" i="1"/>
  <c r="Q974" i="1"/>
  <c r="Q982" i="1"/>
  <c r="Q976" i="1"/>
  <c r="Q970" i="1"/>
  <c r="Q964" i="1"/>
  <c r="Q958" i="1"/>
  <c r="Q952" i="1"/>
  <c r="Q886" i="1"/>
  <c r="Q880" i="1"/>
  <c r="Q874" i="1"/>
  <c r="Q868" i="1"/>
  <c r="Q862" i="1"/>
  <c r="Q856" i="1"/>
  <c r="Q850" i="1"/>
  <c r="Q838" i="1"/>
  <c r="Q826" i="1"/>
  <c r="Q820" i="1"/>
  <c r="Q814" i="1"/>
  <c r="Q808" i="1"/>
  <c r="Q802" i="1"/>
  <c r="Q796" i="1"/>
  <c r="Q790" i="1"/>
  <c r="Q784" i="1"/>
  <c r="Q778" i="1"/>
  <c r="Q772" i="1"/>
  <c r="Q766" i="1"/>
  <c r="Q760" i="1"/>
  <c r="Q754" i="1"/>
  <c r="Q748" i="1"/>
  <c r="Q742" i="1"/>
  <c r="Q736" i="1"/>
  <c r="Q730" i="1"/>
  <c r="Q724" i="1"/>
  <c r="Q718" i="1"/>
  <c r="Q712" i="1"/>
  <c r="Q245" i="1"/>
  <c r="Q250" i="1"/>
  <c r="Q238" i="1"/>
  <c r="Q251" i="1"/>
  <c r="Q243" i="1"/>
  <c r="J123" i="1"/>
  <c r="K123" i="1" s="1"/>
  <c r="F120" i="2" s="1"/>
  <c r="J122" i="1"/>
  <c r="Q122" i="1" s="1"/>
  <c r="L119" i="2" s="1"/>
  <c r="J105" i="1"/>
  <c r="N105" i="1" s="1"/>
  <c r="I102" i="2" s="1"/>
  <c r="J102" i="1"/>
  <c r="M102" i="1" s="1"/>
  <c r="H99" i="2" s="1"/>
  <c r="J96" i="1"/>
  <c r="N96" i="1" s="1"/>
  <c r="I93" i="2" s="1"/>
  <c r="J109" i="1"/>
  <c r="J106" i="1"/>
  <c r="D722" i="1"/>
  <c r="G722" i="1"/>
  <c r="E722" i="1"/>
  <c r="C722" i="1"/>
  <c r="D674" i="1"/>
  <c r="G674" i="1"/>
  <c r="C674" i="1"/>
  <c r="E674" i="1"/>
  <c r="G602" i="1"/>
  <c r="F602" i="1"/>
  <c r="D602" i="1"/>
  <c r="E602" i="1"/>
  <c r="C602" i="1"/>
  <c r="G446" i="1"/>
  <c r="F446" i="1"/>
  <c r="D446" i="1"/>
  <c r="E446" i="1"/>
  <c r="C446" i="1"/>
  <c r="Q906" i="1"/>
  <c r="Q894" i="1"/>
  <c r="Q810" i="1"/>
  <c r="G723" i="1"/>
  <c r="E723" i="1"/>
  <c r="C723" i="1"/>
  <c r="Q714" i="1"/>
  <c r="Q678" i="1"/>
  <c r="Q606" i="1"/>
  <c r="Q522" i="1"/>
  <c r="G519" i="1"/>
  <c r="F519" i="1"/>
  <c r="C519" i="1"/>
  <c r="D519" i="1"/>
  <c r="E519" i="1"/>
  <c r="G507" i="1"/>
  <c r="F507" i="1"/>
  <c r="C507" i="1"/>
  <c r="E507" i="1"/>
  <c r="D507" i="1"/>
  <c r="G447" i="1"/>
  <c r="C447" i="1"/>
  <c r="F447" i="1"/>
  <c r="D447" i="1"/>
  <c r="E447" i="1"/>
  <c r="Q414" i="1"/>
  <c r="Q390" i="1"/>
  <c r="G351" i="1"/>
  <c r="E351" i="1"/>
  <c r="C351" i="1"/>
  <c r="F351" i="1"/>
  <c r="D351" i="1"/>
  <c r="Q306" i="1"/>
  <c r="E231" i="1"/>
  <c r="G231" i="1"/>
  <c r="F231" i="1"/>
  <c r="C231" i="1"/>
  <c r="D231" i="1"/>
  <c r="D710" i="1"/>
  <c r="G710" i="1"/>
  <c r="E710" i="1"/>
  <c r="C710" i="1"/>
  <c r="G626" i="1"/>
  <c r="F626" i="1"/>
  <c r="D626" i="1"/>
  <c r="E626" i="1"/>
  <c r="C626" i="1"/>
  <c r="G590" i="1"/>
  <c r="F590" i="1"/>
  <c r="D590" i="1"/>
  <c r="E590" i="1"/>
  <c r="C590" i="1"/>
  <c r="G578" i="1"/>
  <c r="F578" i="1"/>
  <c r="E578" i="1"/>
  <c r="D578" i="1"/>
  <c r="C578" i="1"/>
  <c r="G566" i="1"/>
  <c r="F566" i="1"/>
  <c r="D566" i="1"/>
  <c r="E566" i="1"/>
  <c r="C566" i="1"/>
  <c r="G494" i="1"/>
  <c r="F494" i="1"/>
  <c r="D494" i="1"/>
  <c r="C494" i="1"/>
  <c r="E494" i="1"/>
  <c r="G458" i="1"/>
  <c r="F458" i="1"/>
  <c r="D458" i="1"/>
  <c r="C458" i="1"/>
  <c r="E458" i="1"/>
  <c r="G422" i="1"/>
  <c r="F422" i="1"/>
  <c r="D422" i="1"/>
  <c r="E422" i="1"/>
  <c r="C422" i="1"/>
  <c r="G350" i="1"/>
  <c r="F350" i="1"/>
  <c r="C350" i="1"/>
  <c r="D350" i="1"/>
  <c r="E350" i="1"/>
  <c r="G230" i="1"/>
  <c r="F230" i="1"/>
  <c r="E230" i="1"/>
  <c r="C230" i="1"/>
  <c r="D230" i="1"/>
  <c r="Q798" i="1"/>
  <c r="E783" i="1"/>
  <c r="C783" i="1"/>
  <c r="Q726" i="1"/>
  <c r="Q666" i="1"/>
  <c r="Q654" i="1"/>
  <c r="D651" i="1"/>
  <c r="G651" i="1"/>
  <c r="C651" i="1"/>
  <c r="E651" i="1"/>
  <c r="G627" i="1"/>
  <c r="C627" i="1"/>
  <c r="F627" i="1"/>
  <c r="E627" i="1"/>
  <c r="D627" i="1"/>
  <c r="Q498" i="1"/>
  <c r="G291" i="1"/>
  <c r="F291" i="1"/>
  <c r="C291" i="1"/>
  <c r="D291" i="1"/>
  <c r="E291" i="1"/>
  <c r="Q258" i="1"/>
  <c r="Q931" i="1"/>
  <c r="Q859" i="1"/>
  <c r="D784" i="1"/>
  <c r="C784" i="1"/>
  <c r="C772" i="1"/>
  <c r="E772" i="1"/>
  <c r="Q763" i="1"/>
  <c r="Q715" i="1"/>
  <c r="G700" i="1"/>
  <c r="E700" i="1"/>
  <c r="C700" i="1"/>
  <c r="G640" i="1"/>
  <c r="F640" i="1"/>
  <c r="E640" i="1"/>
  <c r="C640" i="1"/>
  <c r="Q631" i="1"/>
  <c r="Q571" i="1"/>
  <c r="Q535" i="1"/>
  <c r="G364" i="1"/>
  <c r="C364" i="1"/>
  <c r="F364" i="1"/>
  <c r="D364" i="1"/>
  <c r="E364" i="1"/>
  <c r="G340" i="1"/>
  <c r="C340" i="1"/>
  <c r="F340" i="1"/>
  <c r="D340" i="1"/>
  <c r="E340" i="1"/>
  <c r="Q259" i="1"/>
  <c r="Q956" i="1"/>
  <c r="Q872" i="1"/>
  <c r="Q800" i="1"/>
  <c r="E749" i="1"/>
  <c r="G749" i="1"/>
  <c r="C749" i="1"/>
  <c r="E737" i="1"/>
  <c r="G737" i="1"/>
  <c r="C737" i="1"/>
  <c r="G689" i="1"/>
  <c r="E689" i="1"/>
  <c r="C689" i="1"/>
  <c r="E593" i="1"/>
  <c r="D593" i="1"/>
  <c r="C593" i="1"/>
  <c r="F593" i="1"/>
  <c r="G593" i="1"/>
  <c r="Q548" i="1"/>
  <c r="F497" i="1"/>
  <c r="E497" i="1"/>
  <c r="G497" i="1"/>
  <c r="D497" i="1"/>
  <c r="C497" i="1"/>
  <c r="Q488" i="1"/>
  <c r="E485" i="1"/>
  <c r="F485" i="1"/>
  <c r="D485" i="1"/>
  <c r="C485" i="1"/>
  <c r="G485" i="1"/>
  <c r="G473" i="1"/>
  <c r="F473" i="1"/>
  <c r="E473" i="1"/>
  <c r="D473" i="1"/>
  <c r="C473" i="1"/>
  <c r="Q464" i="1"/>
  <c r="F389" i="1"/>
  <c r="E389" i="1"/>
  <c r="G389" i="1"/>
  <c r="C389" i="1"/>
  <c r="D389" i="1"/>
  <c r="E377" i="1"/>
  <c r="F377" i="1"/>
  <c r="D377" i="1"/>
  <c r="G377" i="1"/>
  <c r="C377" i="1"/>
  <c r="Q356" i="1"/>
  <c r="Q332" i="1"/>
  <c r="G293" i="1"/>
  <c r="E293" i="1"/>
  <c r="D293" i="1"/>
  <c r="C293" i="1"/>
  <c r="F293" i="1"/>
  <c r="E281" i="1"/>
  <c r="F281" i="1"/>
  <c r="C281" i="1"/>
  <c r="G281" i="1"/>
  <c r="D281" i="1"/>
  <c r="E233" i="1"/>
  <c r="D233" i="1"/>
  <c r="G233" i="1"/>
  <c r="F233" i="1"/>
  <c r="C233" i="1"/>
  <c r="Q993" i="1"/>
  <c r="Q981" i="1"/>
  <c r="Q969" i="1"/>
  <c r="Q957" i="1"/>
  <c r="Q945" i="1"/>
  <c r="Q933" i="1"/>
  <c r="Q921" i="1"/>
  <c r="Q909" i="1"/>
  <c r="Q897" i="1"/>
  <c r="Q885" i="1"/>
  <c r="Q873" i="1"/>
  <c r="Q861" i="1"/>
  <c r="Q849" i="1"/>
  <c r="Q837" i="1"/>
  <c r="Q825" i="1"/>
  <c r="Q813" i="1"/>
  <c r="Q801" i="1"/>
  <c r="Q789" i="1"/>
  <c r="E786" i="1"/>
  <c r="C786" i="1"/>
  <c r="Q777" i="1"/>
  <c r="F774" i="1"/>
  <c r="C774" i="1"/>
  <c r="Q765" i="1"/>
  <c r="D762" i="1"/>
  <c r="G762" i="1"/>
  <c r="E762" i="1"/>
  <c r="C762" i="1"/>
  <c r="Q753" i="1"/>
  <c r="G750" i="1"/>
  <c r="E750" i="1"/>
  <c r="C750" i="1"/>
  <c r="Q741" i="1"/>
  <c r="D738" i="1"/>
  <c r="G738" i="1"/>
  <c r="C738" i="1"/>
  <c r="E738" i="1"/>
  <c r="Q729" i="1"/>
  <c r="D726" i="1"/>
  <c r="G726" i="1"/>
  <c r="E726" i="1"/>
  <c r="C726" i="1"/>
  <c r="Q717" i="1"/>
  <c r="D714" i="1"/>
  <c r="G714" i="1"/>
  <c r="C714" i="1"/>
  <c r="E714" i="1"/>
  <c r="Q705" i="1"/>
  <c r="D702" i="1"/>
  <c r="G702" i="1"/>
  <c r="E702" i="1"/>
  <c r="C702" i="1"/>
  <c r="Q693" i="1"/>
  <c r="D690" i="1"/>
  <c r="G690" i="1"/>
  <c r="E690" i="1"/>
  <c r="C690" i="1"/>
  <c r="Q681" i="1"/>
  <c r="D678" i="1"/>
  <c r="G678" i="1"/>
  <c r="C678" i="1"/>
  <c r="E678" i="1"/>
  <c r="Q669" i="1"/>
  <c r="G666" i="1"/>
  <c r="E666" i="1"/>
  <c r="C666" i="1"/>
  <c r="Q657" i="1"/>
  <c r="D654" i="1"/>
  <c r="G654" i="1"/>
  <c r="C654" i="1"/>
  <c r="E654" i="1"/>
  <c r="Q645" i="1"/>
  <c r="F642" i="1"/>
  <c r="G642" i="1"/>
  <c r="C642" i="1"/>
  <c r="E642" i="1"/>
  <c r="Q633" i="1"/>
  <c r="F630" i="1"/>
  <c r="G630" i="1"/>
  <c r="C630" i="1"/>
  <c r="E630" i="1"/>
  <c r="D630" i="1"/>
  <c r="Q621" i="1"/>
  <c r="F618" i="1"/>
  <c r="G618" i="1"/>
  <c r="E618" i="1"/>
  <c r="C618" i="1"/>
  <c r="D618" i="1"/>
  <c r="Q609" i="1"/>
  <c r="F606" i="1"/>
  <c r="G606" i="1"/>
  <c r="E606" i="1"/>
  <c r="C606" i="1"/>
  <c r="D606" i="1"/>
  <c r="Q597" i="1"/>
  <c r="F594" i="1"/>
  <c r="G594" i="1"/>
  <c r="C594" i="1"/>
  <c r="E594" i="1"/>
  <c r="D594" i="1"/>
  <c r="Q585" i="1"/>
  <c r="F582" i="1"/>
  <c r="G582" i="1"/>
  <c r="E582" i="1"/>
  <c r="C582" i="1"/>
  <c r="D582" i="1"/>
  <c r="Q573" i="1"/>
  <c r="F570" i="1"/>
  <c r="G570" i="1"/>
  <c r="C570" i="1"/>
  <c r="D570" i="1"/>
  <c r="E570" i="1"/>
  <c r="Q561" i="1"/>
  <c r="F558" i="1"/>
  <c r="G558" i="1"/>
  <c r="E558" i="1"/>
  <c r="C558" i="1"/>
  <c r="D558" i="1"/>
  <c r="Q549" i="1"/>
  <c r="F546" i="1"/>
  <c r="G546" i="1"/>
  <c r="E546" i="1"/>
  <c r="C546" i="1"/>
  <c r="D546" i="1"/>
  <c r="Q537" i="1"/>
  <c r="F534" i="1"/>
  <c r="G534" i="1"/>
  <c r="C534" i="1"/>
  <c r="E534" i="1"/>
  <c r="D534" i="1"/>
  <c r="Q525" i="1"/>
  <c r="F522" i="1"/>
  <c r="G522" i="1"/>
  <c r="E522" i="1"/>
  <c r="C522" i="1"/>
  <c r="D522" i="1"/>
  <c r="Q513" i="1"/>
  <c r="F510" i="1"/>
  <c r="G510" i="1"/>
  <c r="C510" i="1"/>
  <c r="D510" i="1"/>
  <c r="E510" i="1"/>
  <c r="Q501" i="1"/>
  <c r="F498" i="1"/>
  <c r="G498" i="1"/>
  <c r="C498" i="1"/>
  <c r="E498" i="1"/>
  <c r="D498" i="1"/>
  <c r="Q489" i="1"/>
  <c r="F486" i="1"/>
  <c r="G486" i="1"/>
  <c r="C486" i="1"/>
  <c r="E486" i="1"/>
  <c r="D486" i="1"/>
  <c r="Q477" i="1"/>
  <c r="F474" i="1"/>
  <c r="G474" i="1"/>
  <c r="E474" i="1"/>
  <c r="C474" i="1"/>
  <c r="D474" i="1"/>
  <c r="Q465" i="1"/>
  <c r="F462" i="1"/>
  <c r="G462" i="1"/>
  <c r="E462" i="1"/>
  <c r="C462" i="1"/>
  <c r="D462" i="1"/>
  <c r="Q453" i="1"/>
  <c r="F450" i="1"/>
  <c r="G450" i="1"/>
  <c r="C450" i="1"/>
  <c r="E450" i="1"/>
  <c r="D450" i="1"/>
  <c r="Q441" i="1"/>
  <c r="F438" i="1"/>
  <c r="G438" i="1"/>
  <c r="E438" i="1"/>
  <c r="C438" i="1"/>
  <c r="D438" i="1"/>
  <c r="Q429" i="1"/>
  <c r="F426" i="1"/>
  <c r="G426" i="1"/>
  <c r="C426" i="1"/>
  <c r="E426" i="1"/>
  <c r="D426" i="1"/>
  <c r="Q417" i="1"/>
  <c r="F414" i="1"/>
  <c r="C414" i="1"/>
  <c r="G414" i="1"/>
  <c r="E414" i="1"/>
  <c r="D414" i="1"/>
  <c r="Q405" i="1"/>
  <c r="F402" i="1"/>
  <c r="C402" i="1"/>
  <c r="G402" i="1"/>
  <c r="E402" i="1"/>
  <c r="D402" i="1"/>
  <c r="Q393" i="1"/>
  <c r="F390" i="1"/>
  <c r="G390" i="1"/>
  <c r="C390" i="1"/>
  <c r="D390" i="1"/>
  <c r="E390" i="1"/>
  <c r="Q381" i="1"/>
  <c r="F378" i="1"/>
  <c r="C378" i="1"/>
  <c r="G378" i="1"/>
  <c r="E378" i="1"/>
  <c r="D378" i="1"/>
  <c r="Q369" i="1"/>
  <c r="F366" i="1"/>
  <c r="C366" i="1"/>
  <c r="G366" i="1"/>
  <c r="D366" i="1"/>
  <c r="E366" i="1"/>
  <c r="Q357" i="1"/>
  <c r="F354" i="1"/>
  <c r="G354" i="1"/>
  <c r="C354" i="1"/>
  <c r="E354" i="1"/>
  <c r="D354" i="1"/>
  <c r="Q345" i="1"/>
  <c r="F342" i="1"/>
  <c r="C342" i="1"/>
  <c r="G342" i="1"/>
  <c r="D342" i="1"/>
  <c r="E342" i="1"/>
  <c r="Q333" i="1"/>
  <c r="F330" i="1"/>
  <c r="C330" i="1"/>
  <c r="G330" i="1"/>
  <c r="E330" i="1"/>
  <c r="D330" i="1"/>
  <c r="Q321" i="1"/>
  <c r="F318" i="1"/>
  <c r="G318" i="1"/>
  <c r="C318" i="1"/>
  <c r="D318" i="1"/>
  <c r="E318" i="1"/>
  <c r="Q309" i="1"/>
  <c r="F306" i="1"/>
  <c r="C306" i="1"/>
  <c r="G306" i="1"/>
  <c r="E306" i="1"/>
  <c r="D306" i="1"/>
  <c r="Q297" i="1"/>
  <c r="F294" i="1"/>
  <c r="C294" i="1"/>
  <c r="G294" i="1"/>
  <c r="D294" i="1"/>
  <c r="E294" i="1"/>
  <c r="Q285" i="1"/>
  <c r="F282" i="1"/>
  <c r="G282" i="1"/>
  <c r="C282" i="1"/>
  <c r="E282" i="1"/>
  <c r="D282" i="1"/>
  <c r="Q273" i="1"/>
  <c r="F270" i="1"/>
  <c r="C270" i="1"/>
  <c r="G270" i="1"/>
  <c r="E270" i="1"/>
  <c r="D270" i="1"/>
  <c r="Q261" i="1"/>
  <c r="F258" i="1"/>
  <c r="C258" i="1"/>
  <c r="G258" i="1"/>
  <c r="E258" i="1"/>
  <c r="D258" i="1"/>
  <c r="Q249" i="1"/>
  <c r="F246" i="1"/>
  <c r="G246" i="1"/>
  <c r="E246" i="1"/>
  <c r="C246" i="1"/>
  <c r="D246" i="1"/>
  <c r="Q237" i="1"/>
  <c r="F234" i="1"/>
  <c r="C234" i="1"/>
  <c r="G234" i="1"/>
  <c r="D234" i="1"/>
  <c r="E234" i="1"/>
  <c r="Q169" i="1"/>
  <c r="Q166" i="1"/>
  <c r="Q163" i="1"/>
  <c r="Q160" i="1"/>
  <c r="Q157" i="1"/>
  <c r="E782" i="1"/>
  <c r="C782" i="1"/>
  <c r="F758" i="1"/>
  <c r="G758" i="1"/>
  <c r="C758" i="1"/>
  <c r="E758" i="1"/>
  <c r="G662" i="1"/>
  <c r="E662" i="1"/>
  <c r="C662" i="1"/>
  <c r="D650" i="1"/>
  <c r="G650" i="1"/>
  <c r="E650" i="1"/>
  <c r="C650" i="1"/>
  <c r="G518" i="1"/>
  <c r="F518" i="1"/>
  <c r="E518" i="1"/>
  <c r="D518" i="1"/>
  <c r="C518" i="1"/>
  <c r="G506" i="1"/>
  <c r="F506" i="1"/>
  <c r="D506" i="1"/>
  <c r="E506" i="1"/>
  <c r="C506" i="1"/>
  <c r="G470" i="1"/>
  <c r="F470" i="1"/>
  <c r="D470" i="1"/>
  <c r="E470" i="1"/>
  <c r="C470" i="1"/>
  <c r="G386" i="1"/>
  <c r="F386" i="1"/>
  <c r="C386" i="1"/>
  <c r="D386" i="1"/>
  <c r="E386" i="1"/>
  <c r="Q990" i="1"/>
  <c r="Q966" i="1"/>
  <c r="Q786" i="1"/>
  <c r="G735" i="1"/>
  <c r="C735" i="1"/>
  <c r="E735" i="1"/>
  <c r="G711" i="1"/>
  <c r="C711" i="1"/>
  <c r="E711" i="1"/>
  <c r="Q558" i="1"/>
  <c r="G531" i="1"/>
  <c r="C531" i="1"/>
  <c r="F531" i="1"/>
  <c r="E531" i="1"/>
  <c r="D531" i="1"/>
  <c r="Q510" i="1"/>
  <c r="Q474" i="1"/>
  <c r="Q462" i="1"/>
  <c r="G411" i="1"/>
  <c r="F411" i="1"/>
  <c r="C411" i="1"/>
  <c r="E411" i="1"/>
  <c r="D411" i="1"/>
  <c r="G387" i="1"/>
  <c r="F387" i="1"/>
  <c r="D387" i="1"/>
  <c r="C387" i="1"/>
  <c r="E387" i="1"/>
  <c r="G315" i="1"/>
  <c r="F315" i="1"/>
  <c r="C315" i="1"/>
  <c r="E315" i="1"/>
  <c r="D315" i="1"/>
  <c r="E279" i="1"/>
  <c r="G279" i="1"/>
  <c r="F279" i="1"/>
  <c r="C279" i="1"/>
  <c r="D279" i="1"/>
  <c r="E255" i="1"/>
  <c r="G255" i="1"/>
  <c r="F255" i="1"/>
  <c r="D255" i="1"/>
  <c r="C255" i="1"/>
  <c r="Q246" i="1"/>
  <c r="Q198" i="1"/>
  <c r="Q186" i="1"/>
  <c r="Q919" i="1"/>
  <c r="Q787" i="1"/>
  <c r="G748" i="1"/>
  <c r="E748" i="1"/>
  <c r="C748" i="1"/>
  <c r="Q703" i="1"/>
  <c r="Q619" i="1"/>
  <c r="G592" i="1"/>
  <c r="D592" i="1"/>
  <c r="C592" i="1"/>
  <c r="E592" i="1"/>
  <c r="F592" i="1"/>
  <c r="Q583" i="1"/>
  <c r="G556" i="1"/>
  <c r="F556" i="1"/>
  <c r="E556" i="1"/>
  <c r="D556" i="1"/>
  <c r="C556" i="1"/>
  <c r="G520" i="1"/>
  <c r="F520" i="1"/>
  <c r="E520" i="1"/>
  <c r="D520" i="1"/>
  <c r="C520" i="1"/>
  <c r="G448" i="1"/>
  <c r="F448" i="1"/>
  <c r="D448" i="1"/>
  <c r="C448" i="1"/>
  <c r="E448" i="1"/>
  <c r="G436" i="1"/>
  <c r="F436" i="1"/>
  <c r="D436" i="1"/>
  <c r="C436" i="1"/>
  <c r="E436" i="1"/>
  <c r="G412" i="1"/>
  <c r="F412" i="1"/>
  <c r="E412" i="1"/>
  <c r="D412" i="1"/>
  <c r="C412" i="1"/>
  <c r="Q367" i="1"/>
  <c r="Q307" i="1"/>
  <c r="Q247" i="1"/>
  <c r="Q560" i="1"/>
  <c r="E787" i="1"/>
  <c r="C787" i="1"/>
  <c r="F775" i="1"/>
  <c r="C775" i="1"/>
  <c r="E763" i="1"/>
  <c r="G763" i="1"/>
  <c r="C763" i="1"/>
  <c r="E751" i="1"/>
  <c r="G751" i="1"/>
  <c r="C751" i="1"/>
  <c r="E739" i="1"/>
  <c r="G739" i="1"/>
  <c r="C739" i="1"/>
  <c r="E727" i="1"/>
  <c r="C727" i="1"/>
  <c r="G727" i="1"/>
  <c r="E715" i="1"/>
  <c r="G715" i="1"/>
  <c r="C715" i="1"/>
  <c r="E703" i="1"/>
  <c r="G703" i="1"/>
  <c r="C703" i="1"/>
  <c r="D691" i="1"/>
  <c r="E691" i="1"/>
  <c r="C691" i="1"/>
  <c r="G691" i="1"/>
  <c r="E679" i="1"/>
  <c r="G679" i="1"/>
  <c r="C679" i="1"/>
  <c r="D667" i="1"/>
  <c r="E667" i="1"/>
  <c r="C667" i="1"/>
  <c r="G667" i="1"/>
  <c r="D655" i="1"/>
  <c r="E655" i="1"/>
  <c r="G655" i="1"/>
  <c r="C655" i="1"/>
  <c r="D643" i="1"/>
  <c r="F643" i="1"/>
  <c r="E643" i="1"/>
  <c r="G643" i="1"/>
  <c r="C643" i="1"/>
  <c r="F631" i="1"/>
  <c r="E631" i="1"/>
  <c r="G631" i="1"/>
  <c r="D631" i="1"/>
  <c r="C631" i="1"/>
  <c r="F619" i="1"/>
  <c r="E619" i="1"/>
  <c r="D619" i="1"/>
  <c r="C619" i="1"/>
  <c r="G619" i="1"/>
  <c r="F607" i="1"/>
  <c r="E607" i="1"/>
  <c r="G607" i="1"/>
  <c r="D607" i="1"/>
  <c r="C607" i="1"/>
  <c r="F595" i="1"/>
  <c r="E595" i="1"/>
  <c r="G595" i="1"/>
  <c r="D595" i="1"/>
  <c r="C595" i="1"/>
  <c r="F583" i="1"/>
  <c r="E583" i="1"/>
  <c r="D583" i="1"/>
  <c r="C583" i="1"/>
  <c r="G583" i="1"/>
  <c r="F571" i="1"/>
  <c r="E571" i="1"/>
  <c r="G571" i="1"/>
  <c r="D571" i="1"/>
  <c r="C571" i="1"/>
  <c r="F559" i="1"/>
  <c r="E559" i="1"/>
  <c r="D559" i="1"/>
  <c r="C559" i="1"/>
  <c r="G559" i="1"/>
  <c r="F547" i="1"/>
  <c r="E547" i="1"/>
  <c r="G547" i="1"/>
  <c r="D547" i="1"/>
  <c r="C547" i="1"/>
  <c r="F535" i="1"/>
  <c r="E535" i="1"/>
  <c r="G535" i="1"/>
  <c r="D535" i="1"/>
  <c r="C535" i="1"/>
  <c r="F523" i="1"/>
  <c r="E523" i="1"/>
  <c r="G523" i="1"/>
  <c r="D523" i="1"/>
  <c r="C523" i="1"/>
  <c r="F511" i="1"/>
  <c r="E511" i="1"/>
  <c r="D511" i="1"/>
  <c r="C511" i="1"/>
  <c r="G511" i="1"/>
  <c r="F499" i="1"/>
  <c r="E499" i="1"/>
  <c r="G499" i="1"/>
  <c r="D499" i="1"/>
  <c r="C499" i="1"/>
  <c r="F487" i="1"/>
  <c r="E487" i="1"/>
  <c r="G487" i="1"/>
  <c r="D487" i="1"/>
  <c r="C487" i="1"/>
  <c r="F475" i="1"/>
  <c r="E475" i="1"/>
  <c r="D475" i="1"/>
  <c r="C475" i="1"/>
  <c r="G475" i="1"/>
  <c r="F463" i="1"/>
  <c r="E463" i="1"/>
  <c r="G463" i="1"/>
  <c r="D463" i="1"/>
  <c r="C463" i="1"/>
  <c r="F451" i="1"/>
  <c r="E451" i="1"/>
  <c r="D451" i="1"/>
  <c r="C451" i="1"/>
  <c r="G451" i="1"/>
  <c r="F439" i="1"/>
  <c r="E439" i="1"/>
  <c r="G439" i="1"/>
  <c r="D439" i="1"/>
  <c r="C439" i="1"/>
  <c r="F427" i="1"/>
  <c r="E427" i="1"/>
  <c r="G427" i="1"/>
  <c r="D427" i="1"/>
  <c r="C427" i="1"/>
  <c r="F415" i="1"/>
  <c r="E415" i="1"/>
  <c r="C415" i="1"/>
  <c r="G415" i="1"/>
  <c r="D415" i="1"/>
  <c r="F403" i="1"/>
  <c r="E403" i="1"/>
  <c r="C403" i="1"/>
  <c r="D403" i="1"/>
  <c r="G403" i="1"/>
  <c r="F391" i="1"/>
  <c r="E391" i="1"/>
  <c r="G391" i="1"/>
  <c r="C391" i="1"/>
  <c r="D391" i="1"/>
  <c r="F379" i="1"/>
  <c r="E379" i="1"/>
  <c r="C379" i="1"/>
  <c r="G379" i="1"/>
  <c r="D379" i="1"/>
  <c r="F367" i="1"/>
  <c r="E367" i="1"/>
  <c r="C367" i="1"/>
  <c r="D367" i="1"/>
  <c r="G367" i="1"/>
  <c r="F355" i="1"/>
  <c r="E355" i="1"/>
  <c r="G355" i="1"/>
  <c r="C355" i="1"/>
  <c r="D355" i="1"/>
  <c r="F343" i="1"/>
  <c r="E343" i="1"/>
  <c r="C343" i="1"/>
  <c r="D343" i="1"/>
  <c r="G343" i="1"/>
  <c r="F331" i="1"/>
  <c r="E331" i="1"/>
  <c r="C331" i="1"/>
  <c r="G331" i="1"/>
  <c r="D331" i="1"/>
  <c r="F319" i="1"/>
  <c r="E319" i="1"/>
  <c r="G319" i="1"/>
  <c r="C319" i="1"/>
  <c r="D319" i="1"/>
  <c r="F307" i="1"/>
  <c r="E307" i="1"/>
  <c r="C307" i="1"/>
  <c r="G307" i="1"/>
  <c r="D307" i="1"/>
  <c r="F295" i="1"/>
  <c r="E295" i="1"/>
  <c r="C295" i="1"/>
  <c r="D295" i="1"/>
  <c r="G295" i="1"/>
  <c r="F283" i="1"/>
  <c r="G283" i="1"/>
  <c r="C283" i="1"/>
  <c r="E283" i="1"/>
  <c r="D283" i="1"/>
  <c r="F271" i="1"/>
  <c r="C271" i="1"/>
  <c r="G271" i="1"/>
  <c r="E271" i="1"/>
  <c r="D271" i="1"/>
  <c r="F259" i="1"/>
  <c r="C259" i="1"/>
  <c r="E259" i="1"/>
  <c r="D259" i="1"/>
  <c r="G259" i="1"/>
  <c r="F247" i="1"/>
  <c r="G247" i="1"/>
  <c r="E247" i="1"/>
  <c r="C247" i="1"/>
  <c r="D247" i="1"/>
  <c r="F235" i="1"/>
  <c r="C235" i="1"/>
  <c r="D235" i="1"/>
  <c r="E235" i="1"/>
  <c r="G235" i="1"/>
  <c r="D770" i="1"/>
  <c r="G770" i="1"/>
  <c r="E770" i="1"/>
  <c r="C770" i="1"/>
  <c r="G542" i="1"/>
  <c r="F542" i="1"/>
  <c r="D542" i="1"/>
  <c r="E542" i="1"/>
  <c r="C542" i="1"/>
  <c r="G530" i="1"/>
  <c r="F530" i="1"/>
  <c r="D530" i="1"/>
  <c r="C530" i="1"/>
  <c r="E530" i="1"/>
  <c r="G482" i="1"/>
  <c r="F482" i="1"/>
  <c r="D482" i="1"/>
  <c r="E482" i="1"/>
  <c r="C482" i="1"/>
  <c r="G398" i="1"/>
  <c r="F398" i="1"/>
  <c r="C398" i="1"/>
  <c r="D398" i="1"/>
  <c r="E398" i="1"/>
  <c r="G362" i="1"/>
  <c r="F362" i="1"/>
  <c r="C362" i="1"/>
  <c r="D362" i="1"/>
  <c r="E362" i="1"/>
  <c r="G314" i="1"/>
  <c r="F314" i="1"/>
  <c r="C314" i="1"/>
  <c r="D314" i="1"/>
  <c r="E314" i="1"/>
  <c r="G278" i="1"/>
  <c r="F278" i="1"/>
  <c r="E278" i="1"/>
  <c r="C278" i="1"/>
  <c r="D278" i="1"/>
  <c r="Q534" i="1"/>
  <c r="Q486" i="1"/>
  <c r="Q270" i="1"/>
  <c r="Q691" i="1"/>
  <c r="G628" i="1"/>
  <c r="F628" i="1"/>
  <c r="D628" i="1"/>
  <c r="C628" i="1"/>
  <c r="E628" i="1"/>
  <c r="G604" i="1"/>
  <c r="F604" i="1"/>
  <c r="D604" i="1"/>
  <c r="E604" i="1"/>
  <c r="C604" i="1"/>
  <c r="G568" i="1"/>
  <c r="D568" i="1"/>
  <c r="F568" i="1"/>
  <c r="C568" i="1"/>
  <c r="E568" i="1"/>
  <c r="G544" i="1"/>
  <c r="D544" i="1"/>
  <c r="C544" i="1"/>
  <c r="E544" i="1"/>
  <c r="F544" i="1"/>
  <c r="G388" i="1"/>
  <c r="F388" i="1"/>
  <c r="C388" i="1"/>
  <c r="D388" i="1"/>
  <c r="E388" i="1"/>
  <c r="Q331" i="1"/>
  <c r="Q788" i="1"/>
  <c r="Q692" i="1"/>
  <c r="E665" i="1"/>
  <c r="C665" i="1"/>
  <c r="G665" i="1"/>
  <c r="F605" i="1"/>
  <c r="E605" i="1"/>
  <c r="G605" i="1"/>
  <c r="D605" i="1"/>
  <c r="C605" i="1"/>
  <c r="F569" i="1"/>
  <c r="E569" i="1"/>
  <c r="D569" i="1"/>
  <c r="C569" i="1"/>
  <c r="G569" i="1"/>
  <c r="Q536" i="1"/>
  <c r="Q512" i="1"/>
  <c r="Q476" i="1"/>
  <c r="Q452" i="1"/>
  <c r="F425" i="1"/>
  <c r="E425" i="1"/>
  <c r="D425" i="1"/>
  <c r="G425" i="1"/>
  <c r="C425" i="1"/>
  <c r="G365" i="1"/>
  <c r="E365" i="1"/>
  <c r="C365" i="1"/>
  <c r="D365" i="1"/>
  <c r="F365" i="1"/>
  <c r="E341" i="1"/>
  <c r="D341" i="1"/>
  <c r="G341" i="1"/>
  <c r="F341" i="1"/>
  <c r="C341" i="1"/>
  <c r="G329" i="1"/>
  <c r="E329" i="1"/>
  <c r="C329" i="1"/>
  <c r="D329" i="1"/>
  <c r="F329" i="1"/>
  <c r="Q212" i="1"/>
  <c r="F776" i="1"/>
  <c r="C776" i="1"/>
  <c r="G764" i="1"/>
  <c r="E764" i="1"/>
  <c r="C764" i="1"/>
  <c r="D752" i="1"/>
  <c r="G752" i="1"/>
  <c r="E752" i="1"/>
  <c r="C752" i="1"/>
  <c r="G740" i="1"/>
  <c r="E740" i="1"/>
  <c r="C740" i="1"/>
  <c r="F728" i="1"/>
  <c r="G728" i="1"/>
  <c r="E728" i="1"/>
  <c r="C728" i="1"/>
  <c r="G716" i="1"/>
  <c r="E716" i="1"/>
  <c r="C716" i="1"/>
  <c r="D704" i="1"/>
  <c r="G704" i="1"/>
  <c r="E704" i="1"/>
  <c r="C704" i="1"/>
  <c r="G692" i="1"/>
  <c r="E692" i="1"/>
  <c r="C692" i="1"/>
  <c r="G680" i="1"/>
  <c r="E680" i="1"/>
  <c r="C680" i="1"/>
  <c r="F668" i="1"/>
  <c r="G668" i="1"/>
  <c r="E668" i="1"/>
  <c r="C668" i="1"/>
  <c r="F656" i="1"/>
  <c r="G656" i="1"/>
  <c r="E656" i="1"/>
  <c r="C656" i="1"/>
  <c r="G644" i="1"/>
  <c r="F644" i="1"/>
  <c r="E644" i="1"/>
  <c r="C644" i="1"/>
  <c r="G632" i="1"/>
  <c r="F632" i="1"/>
  <c r="D632" i="1"/>
  <c r="E632" i="1"/>
  <c r="C632" i="1"/>
  <c r="G620" i="1"/>
  <c r="F620" i="1"/>
  <c r="E620" i="1"/>
  <c r="D620" i="1"/>
  <c r="C620" i="1"/>
  <c r="G608" i="1"/>
  <c r="F608" i="1"/>
  <c r="E608" i="1"/>
  <c r="D608" i="1"/>
  <c r="C608" i="1"/>
  <c r="G596" i="1"/>
  <c r="F596" i="1"/>
  <c r="D596" i="1"/>
  <c r="E596" i="1"/>
  <c r="C596" i="1"/>
  <c r="G584" i="1"/>
  <c r="F584" i="1"/>
  <c r="E584" i="1"/>
  <c r="D584" i="1"/>
  <c r="C584" i="1"/>
  <c r="G572" i="1"/>
  <c r="F572" i="1"/>
  <c r="D572" i="1"/>
  <c r="C572" i="1"/>
  <c r="E572" i="1"/>
  <c r="G560" i="1"/>
  <c r="F560" i="1"/>
  <c r="D560" i="1"/>
  <c r="E560" i="1"/>
  <c r="C560" i="1"/>
  <c r="G548" i="1"/>
  <c r="F548" i="1"/>
  <c r="E548" i="1"/>
  <c r="D548" i="1"/>
  <c r="C548" i="1"/>
  <c r="G536" i="1"/>
  <c r="F536" i="1"/>
  <c r="E536" i="1"/>
  <c r="D536" i="1"/>
  <c r="C536" i="1"/>
  <c r="G524" i="1"/>
  <c r="F524" i="1"/>
  <c r="E524" i="1"/>
  <c r="D524" i="1"/>
  <c r="C524" i="1"/>
  <c r="G512" i="1"/>
  <c r="F512" i="1"/>
  <c r="D512" i="1"/>
  <c r="E512" i="1"/>
  <c r="C512" i="1"/>
  <c r="G500" i="1"/>
  <c r="F500" i="1"/>
  <c r="E500" i="1"/>
  <c r="D500" i="1"/>
  <c r="C500" i="1"/>
  <c r="G488" i="1"/>
  <c r="F488" i="1"/>
  <c r="D488" i="1"/>
  <c r="E488" i="1"/>
  <c r="C488" i="1"/>
  <c r="G476" i="1"/>
  <c r="F476" i="1"/>
  <c r="E476" i="1"/>
  <c r="D476" i="1"/>
  <c r="C476" i="1"/>
  <c r="G464" i="1"/>
  <c r="F464" i="1"/>
  <c r="E464" i="1"/>
  <c r="D464" i="1"/>
  <c r="C464" i="1"/>
  <c r="G452" i="1"/>
  <c r="F452" i="1"/>
  <c r="D452" i="1"/>
  <c r="E452" i="1"/>
  <c r="C452" i="1"/>
  <c r="G440" i="1"/>
  <c r="F440" i="1"/>
  <c r="E440" i="1"/>
  <c r="D440" i="1"/>
  <c r="C440" i="1"/>
  <c r="G428" i="1"/>
  <c r="F428" i="1"/>
  <c r="D428" i="1"/>
  <c r="C428" i="1"/>
  <c r="E428" i="1"/>
  <c r="G416" i="1"/>
  <c r="F416" i="1"/>
  <c r="D416" i="1"/>
  <c r="E416" i="1"/>
  <c r="C416" i="1"/>
  <c r="G404" i="1"/>
  <c r="F404" i="1"/>
  <c r="E404" i="1"/>
  <c r="D404" i="1"/>
  <c r="C404" i="1"/>
  <c r="G392" i="1"/>
  <c r="F392" i="1"/>
  <c r="E392" i="1"/>
  <c r="C392" i="1"/>
  <c r="D392" i="1"/>
  <c r="G380" i="1"/>
  <c r="F380" i="1"/>
  <c r="E380" i="1"/>
  <c r="D380" i="1"/>
  <c r="C380" i="1"/>
  <c r="G368" i="1"/>
  <c r="F368" i="1"/>
  <c r="E368" i="1"/>
  <c r="D368" i="1"/>
  <c r="C368" i="1"/>
  <c r="G356" i="1"/>
  <c r="F356" i="1"/>
  <c r="E356" i="1"/>
  <c r="C356" i="1"/>
  <c r="D356" i="1"/>
  <c r="G344" i="1"/>
  <c r="F344" i="1"/>
  <c r="E344" i="1"/>
  <c r="C344" i="1"/>
  <c r="D344" i="1"/>
  <c r="G332" i="1"/>
  <c r="F332" i="1"/>
  <c r="E332" i="1"/>
  <c r="C332" i="1"/>
  <c r="D332" i="1"/>
  <c r="G320" i="1"/>
  <c r="F320" i="1"/>
  <c r="E320" i="1"/>
  <c r="D320" i="1"/>
  <c r="C320" i="1"/>
  <c r="G308" i="1"/>
  <c r="F308" i="1"/>
  <c r="E308" i="1"/>
  <c r="C308" i="1"/>
  <c r="D308" i="1"/>
  <c r="G296" i="1"/>
  <c r="F296" i="1"/>
  <c r="E296" i="1"/>
  <c r="D296" i="1"/>
  <c r="C296" i="1"/>
  <c r="G284" i="1"/>
  <c r="F284" i="1"/>
  <c r="C284" i="1"/>
  <c r="E284" i="1"/>
  <c r="D284" i="1"/>
  <c r="G272" i="1"/>
  <c r="F272" i="1"/>
  <c r="E272" i="1"/>
  <c r="C272" i="1"/>
  <c r="D272" i="1"/>
  <c r="G260" i="1"/>
  <c r="F260" i="1"/>
  <c r="D260" i="1"/>
  <c r="E260" i="1"/>
  <c r="C260" i="1"/>
  <c r="G248" i="1"/>
  <c r="F248" i="1"/>
  <c r="E248" i="1"/>
  <c r="C248" i="1"/>
  <c r="D248" i="1"/>
  <c r="G236" i="1"/>
  <c r="F236" i="1"/>
  <c r="D236" i="1"/>
  <c r="E236" i="1"/>
  <c r="C236" i="1"/>
  <c r="G338" i="1"/>
  <c r="F338" i="1"/>
  <c r="C338" i="1"/>
  <c r="D338" i="1"/>
  <c r="E338" i="1"/>
  <c r="G326" i="1"/>
  <c r="F326" i="1"/>
  <c r="C326" i="1"/>
  <c r="D326" i="1"/>
  <c r="E326" i="1"/>
  <c r="G290" i="1"/>
  <c r="F290" i="1"/>
  <c r="C290" i="1"/>
  <c r="D290" i="1"/>
  <c r="E290" i="1"/>
  <c r="G242" i="1"/>
  <c r="F242" i="1"/>
  <c r="C242" i="1"/>
  <c r="D242" i="1"/>
  <c r="E242" i="1"/>
  <c r="Q942" i="1"/>
  <c r="Q918" i="1"/>
  <c r="Q870" i="1"/>
  <c r="Q846" i="1"/>
  <c r="Q834" i="1"/>
  <c r="Q822" i="1"/>
  <c r="Q774" i="1"/>
  <c r="Q342" i="1"/>
  <c r="Q294" i="1"/>
  <c r="Q979" i="1"/>
  <c r="Q955" i="1"/>
  <c r="Q907" i="1"/>
  <c r="Q823" i="1"/>
  <c r="Q799" i="1"/>
  <c r="G724" i="1"/>
  <c r="C724" i="1"/>
  <c r="E724" i="1"/>
  <c r="G712" i="1"/>
  <c r="C712" i="1"/>
  <c r="E712" i="1"/>
  <c r="F652" i="1"/>
  <c r="G652" i="1"/>
  <c r="C652" i="1"/>
  <c r="E652" i="1"/>
  <c r="G616" i="1"/>
  <c r="F616" i="1"/>
  <c r="D616" i="1"/>
  <c r="C616" i="1"/>
  <c r="E616" i="1"/>
  <c r="Q595" i="1"/>
  <c r="G532" i="1"/>
  <c r="F532" i="1"/>
  <c r="D532" i="1"/>
  <c r="C532" i="1"/>
  <c r="E532" i="1"/>
  <c r="Q451" i="1"/>
  <c r="Q427" i="1"/>
  <c r="G304" i="1"/>
  <c r="C304" i="1"/>
  <c r="F304" i="1"/>
  <c r="D304" i="1"/>
  <c r="E304" i="1"/>
  <c r="Q271" i="1"/>
  <c r="E244" i="1"/>
  <c r="G244" i="1"/>
  <c r="F244" i="1"/>
  <c r="C244" i="1"/>
  <c r="D244" i="1"/>
  <c r="Q896" i="1"/>
  <c r="E785" i="1"/>
  <c r="C785" i="1"/>
  <c r="Q776" i="1"/>
  <c r="Q656" i="1"/>
  <c r="Q644" i="1"/>
  <c r="Q632" i="1"/>
  <c r="Q596" i="1"/>
  <c r="F545" i="1"/>
  <c r="G545" i="1"/>
  <c r="E545" i="1"/>
  <c r="D545" i="1"/>
  <c r="C545" i="1"/>
  <c r="G401" i="1"/>
  <c r="E401" i="1"/>
  <c r="D401" i="1"/>
  <c r="C401" i="1"/>
  <c r="F401" i="1"/>
  <c r="Q368" i="1"/>
  <c r="E269" i="1"/>
  <c r="F269" i="1"/>
  <c r="D269" i="1"/>
  <c r="C269" i="1"/>
  <c r="G269" i="1"/>
  <c r="E257" i="1"/>
  <c r="G257" i="1"/>
  <c r="D257" i="1"/>
  <c r="F257" i="1"/>
  <c r="C257" i="1"/>
  <c r="Q188" i="1"/>
  <c r="Q996" i="1"/>
  <c r="Q984" i="1"/>
  <c r="Q972" i="1"/>
  <c r="Q960" i="1"/>
  <c r="Q948" i="1"/>
  <c r="Q936" i="1"/>
  <c r="Q924" i="1"/>
  <c r="Q912" i="1"/>
  <c r="Q900" i="1"/>
  <c r="Q888" i="1"/>
  <c r="Q876" i="1"/>
  <c r="Q864" i="1"/>
  <c r="Q852" i="1"/>
  <c r="Q840" i="1"/>
  <c r="Q828" i="1"/>
  <c r="Q816" i="1"/>
  <c r="Q804" i="1"/>
  <c r="Q792" i="1"/>
  <c r="D789" i="1"/>
  <c r="C789" i="1"/>
  <c r="Q780" i="1"/>
  <c r="Q768" i="1"/>
  <c r="F765" i="1"/>
  <c r="G765" i="1"/>
  <c r="E765" i="1"/>
  <c r="C765" i="1"/>
  <c r="Q756" i="1"/>
  <c r="G753" i="1"/>
  <c r="E753" i="1"/>
  <c r="C753" i="1"/>
  <c r="Q744" i="1"/>
  <c r="G741" i="1"/>
  <c r="E741" i="1"/>
  <c r="C741" i="1"/>
  <c r="Q732" i="1"/>
  <c r="G729" i="1"/>
  <c r="E729" i="1"/>
  <c r="C729" i="1"/>
  <c r="Q720" i="1"/>
  <c r="G717" i="1"/>
  <c r="E717" i="1"/>
  <c r="C717" i="1"/>
  <c r="Q708" i="1"/>
  <c r="G705" i="1"/>
  <c r="E705" i="1"/>
  <c r="C705" i="1"/>
  <c r="Q696" i="1"/>
  <c r="F693" i="1"/>
  <c r="G693" i="1"/>
  <c r="E693" i="1"/>
  <c r="C693" i="1"/>
  <c r="Q684" i="1"/>
  <c r="G681" i="1"/>
  <c r="E681" i="1"/>
  <c r="C681" i="1"/>
  <c r="Q672" i="1"/>
  <c r="G669" i="1"/>
  <c r="E669" i="1"/>
  <c r="C669" i="1"/>
  <c r="Q660" i="1"/>
  <c r="D657" i="1"/>
  <c r="G657" i="1"/>
  <c r="E657" i="1"/>
  <c r="C657" i="1"/>
  <c r="Q648" i="1"/>
  <c r="D645" i="1"/>
  <c r="G645" i="1"/>
  <c r="F645" i="1"/>
  <c r="E645" i="1"/>
  <c r="C645" i="1"/>
  <c r="Q636" i="1"/>
  <c r="G633" i="1"/>
  <c r="F633" i="1"/>
  <c r="E633" i="1"/>
  <c r="C633" i="1"/>
  <c r="D633" i="1"/>
  <c r="Q624" i="1"/>
  <c r="G621" i="1"/>
  <c r="F621" i="1"/>
  <c r="E621" i="1"/>
  <c r="D621" i="1"/>
  <c r="C621" i="1"/>
  <c r="Q612" i="1"/>
  <c r="G609" i="1"/>
  <c r="F609" i="1"/>
  <c r="E609" i="1"/>
  <c r="C609" i="1"/>
  <c r="D609" i="1"/>
  <c r="Q600" i="1"/>
  <c r="G597" i="1"/>
  <c r="F597" i="1"/>
  <c r="E597" i="1"/>
  <c r="C597" i="1"/>
  <c r="D597" i="1"/>
  <c r="Q588" i="1"/>
  <c r="G585" i="1"/>
  <c r="F585" i="1"/>
  <c r="E585" i="1"/>
  <c r="C585" i="1"/>
  <c r="D585" i="1"/>
  <c r="Q576" i="1"/>
  <c r="G573" i="1"/>
  <c r="F573" i="1"/>
  <c r="E573" i="1"/>
  <c r="C573" i="1"/>
  <c r="D573" i="1"/>
  <c r="Q564" i="1"/>
  <c r="G561" i="1"/>
  <c r="F561" i="1"/>
  <c r="E561" i="1"/>
  <c r="C561" i="1"/>
  <c r="D561" i="1"/>
  <c r="Q552" i="1"/>
  <c r="G549" i="1"/>
  <c r="F549" i="1"/>
  <c r="E549" i="1"/>
  <c r="D549" i="1"/>
  <c r="C549" i="1"/>
  <c r="Q540" i="1"/>
  <c r="G537" i="1"/>
  <c r="F537" i="1"/>
  <c r="E537" i="1"/>
  <c r="D537" i="1"/>
  <c r="C537" i="1"/>
  <c r="Q528" i="1"/>
  <c r="G525" i="1"/>
  <c r="F525" i="1"/>
  <c r="E525" i="1"/>
  <c r="C525" i="1"/>
  <c r="D525" i="1"/>
  <c r="Q516" i="1"/>
  <c r="G513" i="1"/>
  <c r="F513" i="1"/>
  <c r="E513" i="1"/>
  <c r="D513" i="1"/>
  <c r="C513" i="1"/>
  <c r="Q504" i="1"/>
  <c r="G501" i="1"/>
  <c r="F501" i="1"/>
  <c r="E501" i="1"/>
  <c r="C501" i="1"/>
  <c r="D501" i="1"/>
  <c r="Q492" i="1"/>
  <c r="G489" i="1"/>
  <c r="F489" i="1"/>
  <c r="E489" i="1"/>
  <c r="C489" i="1"/>
  <c r="D489" i="1"/>
  <c r="Q480" i="1"/>
  <c r="G477" i="1"/>
  <c r="F477" i="1"/>
  <c r="E477" i="1"/>
  <c r="D477" i="1"/>
  <c r="C477" i="1"/>
  <c r="Q468" i="1"/>
  <c r="G465" i="1"/>
  <c r="F465" i="1"/>
  <c r="E465" i="1"/>
  <c r="C465" i="1"/>
  <c r="D465" i="1"/>
  <c r="Q456" i="1"/>
  <c r="G453" i="1"/>
  <c r="F453" i="1"/>
  <c r="E453" i="1"/>
  <c r="C453" i="1"/>
  <c r="D453" i="1"/>
  <c r="Q444" i="1"/>
  <c r="G441" i="1"/>
  <c r="F441" i="1"/>
  <c r="E441" i="1"/>
  <c r="C441" i="1"/>
  <c r="D441" i="1"/>
  <c r="Q432" i="1"/>
  <c r="G429" i="1"/>
  <c r="F429" i="1"/>
  <c r="E429" i="1"/>
  <c r="C429" i="1"/>
  <c r="D429" i="1"/>
  <c r="Q420" i="1"/>
  <c r="G417" i="1"/>
  <c r="F417" i="1"/>
  <c r="E417" i="1"/>
  <c r="C417" i="1"/>
  <c r="D417" i="1"/>
  <c r="Q408" i="1"/>
  <c r="G405" i="1"/>
  <c r="F405" i="1"/>
  <c r="E405" i="1"/>
  <c r="C405" i="1"/>
  <c r="D405" i="1"/>
  <c r="G393" i="1"/>
  <c r="F393" i="1"/>
  <c r="E393" i="1"/>
  <c r="C393" i="1"/>
  <c r="D393" i="1"/>
  <c r="G381" i="1"/>
  <c r="F381" i="1"/>
  <c r="E381" i="1"/>
  <c r="C381" i="1"/>
  <c r="D381" i="1"/>
  <c r="G369" i="1"/>
  <c r="F369" i="1"/>
  <c r="E369" i="1"/>
  <c r="C369" i="1"/>
  <c r="D369" i="1"/>
  <c r="G357" i="1"/>
  <c r="F357" i="1"/>
  <c r="E357" i="1"/>
  <c r="C357" i="1"/>
  <c r="D357" i="1"/>
  <c r="G345" i="1"/>
  <c r="F345" i="1"/>
  <c r="E345" i="1"/>
  <c r="C345" i="1"/>
  <c r="D345" i="1"/>
  <c r="G333" i="1"/>
  <c r="F333" i="1"/>
  <c r="E333" i="1"/>
  <c r="C333" i="1"/>
  <c r="D333" i="1"/>
  <c r="G321" i="1"/>
  <c r="F321" i="1"/>
  <c r="E321" i="1"/>
  <c r="C321" i="1"/>
  <c r="D321" i="1"/>
  <c r="G309" i="1"/>
  <c r="F309" i="1"/>
  <c r="E309" i="1"/>
  <c r="C309" i="1"/>
  <c r="D309" i="1"/>
  <c r="G297" i="1"/>
  <c r="F297" i="1"/>
  <c r="E297" i="1"/>
  <c r="C297" i="1"/>
  <c r="D297" i="1"/>
  <c r="E285" i="1"/>
  <c r="G285" i="1"/>
  <c r="F285" i="1"/>
  <c r="C285" i="1"/>
  <c r="D285" i="1"/>
  <c r="E273" i="1"/>
  <c r="G273" i="1"/>
  <c r="F273" i="1"/>
  <c r="C273" i="1"/>
  <c r="D273" i="1"/>
  <c r="E261" i="1"/>
  <c r="G261" i="1"/>
  <c r="F261" i="1"/>
  <c r="C261" i="1"/>
  <c r="D261" i="1"/>
  <c r="E249" i="1"/>
  <c r="G249" i="1"/>
  <c r="F249" i="1"/>
  <c r="C249" i="1"/>
  <c r="D249" i="1"/>
  <c r="E237" i="1"/>
  <c r="G237" i="1"/>
  <c r="F237" i="1"/>
  <c r="C237" i="1"/>
  <c r="D237" i="1"/>
  <c r="G554" i="1"/>
  <c r="F554" i="1"/>
  <c r="D554" i="1"/>
  <c r="E554" i="1"/>
  <c r="C554" i="1"/>
  <c r="G254" i="1"/>
  <c r="F254" i="1"/>
  <c r="C254" i="1"/>
  <c r="E254" i="1"/>
  <c r="D254" i="1"/>
  <c r="Q930" i="1"/>
  <c r="G771" i="1"/>
  <c r="C771" i="1"/>
  <c r="E771" i="1"/>
  <c r="D687" i="1"/>
  <c r="G687" i="1"/>
  <c r="C687" i="1"/>
  <c r="E687" i="1"/>
  <c r="Q618" i="1"/>
  <c r="Q594" i="1"/>
  <c r="Q582" i="1"/>
  <c r="G567" i="1"/>
  <c r="F567" i="1"/>
  <c r="C567" i="1"/>
  <c r="E567" i="1"/>
  <c r="D567" i="1"/>
  <c r="G483" i="1"/>
  <c r="F483" i="1"/>
  <c r="C483" i="1"/>
  <c r="E483" i="1"/>
  <c r="D483" i="1"/>
  <c r="G471" i="1"/>
  <c r="F471" i="1"/>
  <c r="C471" i="1"/>
  <c r="E471" i="1"/>
  <c r="D471" i="1"/>
  <c r="G459" i="1"/>
  <c r="E459" i="1"/>
  <c r="C459" i="1"/>
  <c r="F459" i="1"/>
  <c r="D459" i="1"/>
  <c r="G435" i="1"/>
  <c r="F435" i="1"/>
  <c r="E435" i="1"/>
  <c r="C435" i="1"/>
  <c r="D435" i="1"/>
  <c r="Q282" i="1"/>
  <c r="Q210" i="1"/>
  <c r="Q967" i="1"/>
  <c r="Q847" i="1"/>
  <c r="Q835" i="1"/>
  <c r="Q751" i="1"/>
  <c r="Q727" i="1"/>
  <c r="G676" i="1"/>
  <c r="C676" i="1"/>
  <c r="E676" i="1"/>
  <c r="F664" i="1"/>
  <c r="G664" i="1"/>
  <c r="E664" i="1"/>
  <c r="C664" i="1"/>
  <c r="G484" i="1"/>
  <c r="F484" i="1"/>
  <c r="D484" i="1"/>
  <c r="C484" i="1"/>
  <c r="E484" i="1"/>
  <c r="G472" i="1"/>
  <c r="D472" i="1"/>
  <c r="C472" i="1"/>
  <c r="F472" i="1"/>
  <c r="E472" i="1"/>
  <c r="G460" i="1"/>
  <c r="F460" i="1"/>
  <c r="D460" i="1"/>
  <c r="E460" i="1"/>
  <c r="C460" i="1"/>
  <c r="Q415" i="1"/>
  <c r="G376" i="1"/>
  <c r="C376" i="1"/>
  <c r="F376" i="1"/>
  <c r="D376" i="1"/>
  <c r="E376" i="1"/>
  <c r="Q355" i="1"/>
  <c r="Q343" i="1"/>
  <c r="E232" i="1"/>
  <c r="G232" i="1"/>
  <c r="C232" i="1"/>
  <c r="F232" i="1"/>
  <c r="D232" i="1"/>
  <c r="Q944" i="1"/>
  <c r="Q932" i="1"/>
  <c r="Q908" i="1"/>
  <c r="Q884" i="1"/>
  <c r="Q824" i="1"/>
  <c r="G773" i="1"/>
  <c r="C773" i="1"/>
  <c r="Q764" i="1"/>
  <c r="G761" i="1"/>
  <c r="E761" i="1"/>
  <c r="C761" i="1"/>
  <c r="F725" i="1"/>
  <c r="G725" i="1"/>
  <c r="E725" i="1"/>
  <c r="C725" i="1"/>
  <c r="Q716" i="1"/>
  <c r="F713" i="1"/>
  <c r="E713" i="1"/>
  <c r="G713" i="1"/>
  <c r="C713" i="1"/>
  <c r="Q704" i="1"/>
  <c r="F701" i="1"/>
  <c r="E701" i="1"/>
  <c r="C701" i="1"/>
  <c r="G701" i="1"/>
  <c r="Q680" i="1"/>
  <c r="Q620" i="1"/>
  <c r="G581" i="1"/>
  <c r="F581" i="1"/>
  <c r="E581" i="1"/>
  <c r="D581" i="1"/>
  <c r="C581" i="1"/>
  <c r="E557" i="1"/>
  <c r="F557" i="1"/>
  <c r="D557" i="1"/>
  <c r="C557" i="1"/>
  <c r="G557" i="1"/>
  <c r="Q440" i="1"/>
  <c r="G437" i="1"/>
  <c r="E437" i="1"/>
  <c r="D437" i="1"/>
  <c r="C437" i="1"/>
  <c r="F437" i="1"/>
  <c r="E413" i="1"/>
  <c r="G413" i="1"/>
  <c r="F413" i="1"/>
  <c r="D413" i="1"/>
  <c r="C413" i="1"/>
  <c r="Q380" i="1"/>
  <c r="Q284" i="1"/>
  <c r="Q272" i="1"/>
  <c r="Q260" i="1"/>
  <c r="Q248" i="1"/>
  <c r="E245" i="1"/>
  <c r="F245" i="1"/>
  <c r="C245" i="1"/>
  <c r="D245" i="1"/>
  <c r="G245" i="1"/>
  <c r="Q176" i="1"/>
  <c r="Q973" i="1"/>
  <c r="Q937" i="1"/>
  <c r="Q925" i="1"/>
  <c r="Q913" i="1"/>
  <c r="Q901" i="1"/>
  <c r="Q889" i="1"/>
  <c r="Q877" i="1"/>
  <c r="Q865" i="1"/>
  <c r="Q853" i="1"/>
  <c r="Q841" i="1"/>
  <c r="Q829" i="1"/>
  <c r="Q817" i="1"/>
  <c r="Q805" i="1"/>
  <c r="Q793" i="1"/>
  <c r="G790" i="1"/>
  <c r="C790" i="1"/>
  <c r="Q781" i="1"/>
  <c r="G778" i="1"/>
  <c r="C778" i="1"/>
  <c r="Q769" i="1"/>
  <c r="F766" i="1"/>
  <c r="G766" i="1"/>
  <c r="E766" i="1"/>
  <c r="C766" i="1"/>
  <c r="Q757" i="1"/>
  <c r="D754" i="1"/>
  <c r="G754" i="1"/>
  <c r="E754" i="1"/>
  <c r="C754" i="1"/>
  <c r="Q745" i="1"/>
  <c r="F742" i="1"/>
  <c r="G742" i="1"/>
  <c r="E742" i="1"/>
  <c r="C742" i="1"/>
  <c r="Q733" i="1"/>
  <c r="D730" i="1"/>
  <c r="G730" i="1"/>
  <c r="E730" i="1"/>
  <c r="C730" i="1"/>
  <c r="Q721" i="1"/>
  <c r="D718" i="1"/>
  <c r="G718" i="1"/>
  <c r="E718" i="1"/>
  <c r="C718" i="1"/>
  <c r="Q709" i="1"/>
  <c r="D706" i="1"/>
  <c r="G706" i="1"/>
  <c r="E706" i="1"/>
  <c r="C706" i="1"/>
  <c r="Q697" i="1"/>
  <c r="D694" i="1"/>
  <c r="G694" i="1"/>
  <c r="E694" i="1"/>
  <c r="C694" i="1"/>
  <c r="Q685" i="1"/>
  <c r="D682" i="1"/>
  <c r="G682" i="1"/>
  <c r="E682" i="1"/>
  <c r="C682" i="1"/>
  <c r="Q673" i="1"/>
  <c r="G670" i="1"/>
  <c r="E670" i="1"/>
  <c r="C670" i="1"/>
  <c r="Q661" i="1"/>
  <c r="D658" i="1"/>
  <c r="G658" i="1"/>
  <c r="E658" i="1"/>
  <c r="C658" i="1"/>
  <c r="Q649" i="1"/>
  <c r="D646" i="1"/>
  <c r="G646" i="1"/>
  <c r="E646" i="1"/>
  <c r="F646" i="1"/>
  <c r="C646" i="1"/>
  <c r="Q637" i="1"/>
  <c r="G634" i="1"/>
  <c r="F634" i="1"/>
  <c r="E634" i="1"/>
  <c r="C634" i="1"/>
  <c r="D634" i="1"/>
  <c r="Q625" i="1"/>
  <c r="G622" i="1"/>
  <c r="E622" i="1"/>
  <c r="C622" i="1"/>
  <c r="D622" i="1"/>
  <c r="F622" i="1"/>
  <c r="Q613" i="1"/>
  <c r="G610" i="1"/>
  <c r="F610" i="1"/>
  <c r="E610" i="1"/>
  <c r="C610" i="1"/>
  <c r="D610" i="1"/>
  <c r="Q601" i="1"/>
  <c r="G598" i="1"/>
  <c r="E598" i="1"/>
  <c r="F598" i="1"/>
  <c r="C598" i="1"/>
  <c r="D598" i="1"/>
  <c r="Q589" i="1"/>
  <c r="G586" i="1"/>
  <c r="E586" i="1"/>
  <c r="F586" i="1"/>
  <c r="C586" i="1"/>
  <c r="D586" i="1"/>
  <c r="Q577" i="1"/>
  <c r="G574" i="1"/>
  <c r="E574" i="1"/>
  <c r="F574" i="1"/>
  <c r="C574" i="1"/>
  <c r="D574" i="1"/>
  <c r="Q565" i="1"/>
  <c r="G562" i="1"/>
  <c r="E562" i="1"/>
  <c r="F562" i="1"/>
  <c r="C562" i="1"/>
  <c r="D562" i="1"/>
  <c r="Q553" i="1"/>
  <c r="G550" i="1"/>
  <c r="F550" i="1"/>
  <c r="E550" i="1"/>
  <c r="C550" i="1"/>
  <c r="D550" i="1"/>
  <c r="Q541" i="1"/>
  <c r="G538" i="1"/>
  <c r="E538" i="1"/>
  <c r="C538" i="1"/>
  <c r="D538" i="1"/>
  <c r="F538" i="1"/>
  <c r="Q529" i="1"/>
  <c r="G526" i="1"/>
  <c r="F526" i="1"/>
  <c r="E526" i="1"/>
  <c r="C526" i="1"/>
  <c r="D526" i="1"/>
  <c r="Q517" i="1"/>
  <c r="G514" i="1"/>
  <c r="E514" i="1"/>
  <c r="F514" i="1"/>
  <c r="C514" i="1"/>
  <c r="D514" i="1"/>
  <c r="Q505" i="1"/>
  <c r="G502" i="1"/>
  <c r="E502" i="1"/>
  <c r="C502" i="1"/>
  <c r="D502" i="1"/>
  <c r="F502" i="1"/>
  <c r="Q493" i="1"/>
  <c r="G490" i="1"/>
  <c r="F490" i="1"/>
  <c r="E490" i="1"/>
  <c r="C490" i="1"/>
  <c r="D490" i="1"/>
  <c r="Q481" i="1"/>
  <c r="G478" i="1"/>
  <c r="E478" i="1"/>
  <c r="C478" i="1"/>
  <c r="F478" i="1"/>
  <c r="D478" i="1"/>
  <c r="Q469" i="1"/>
  <c r="G466" i="1"/>
  <c r="F466" i="1"/>
  <c r="E466" i="1"/>
  <c r="C466" i="1"/>
  <c r="D466" i="1"/>
  <c r="Q457" i="1"/>
  <c r="G454" i="1"/>
  <c r="E454" i="1"/>
  <c r="F454" i="1"/>
  <c r="C454" i="1"/>
  <c r="D454" i="1"/>
  <c r="Q445" i="1"/>
  <c r="G442" i="1"/>
  <c r="E442" i="1"/>
  <c r="F442" i="1"/>
  <c r="C442" i="1"/>
  <c r="D442" i="1"/>
  <c r="Q433" i="1"/>
  <c r="G430" i="1"/>
  <c r="F430" i="1"/>
  <c r="E430" i="1"/>
  <c r="C430" i="1"/>
  <c r="D430" i="1"/>
  <c r="Q421" i="1"/>
  <c r="G418" i="1"/>
  <c r="E418" i="1"/>
  <c r="F418" i="1"/>
  <c r="C418" i="1"/>
  <c r="D418" i="1"/>
  <c r="Q409" i="1"/>
  <c r="G406" i="1"/>
  <c r="E406" i="1"/>
  <c r="F406" i="1"/>
  <c r="C406" i="1"/>
  <c r="D406" i="1"/>
  <c r="Q397" i="1"/>
  <c r="G394" i="1"/>
  <c r="F394" i="1"/>
  <c r="E394" i="1"/>
  <c r="C394" i="1"/>
  <c r="D394" i="1"/>
  <c r="Q385" i="1"/>
  <c r="G382" i="1"/>
  <c r="E382" i="1"/>
  <c r="C382" i="1"/>
  <c r="F382" i="1"/>
  <c r="D382" i="1"/>
  <c r="Q373" i="1"/>
  <c r="G370" i="1"/>
  <c r="E370" i="1"/>
  <c r="F370" i="1"/>
  <c r="C370" i="1"/>
  <c r="D370" i="1"/>
  <c r="Q361" i="1"/>
  <c r="G358" i="1"/>
  <c r="F358" i="1"/>
  <c r="E358" i="1"/>
  <c r="C358" i="1"/>
  <c r="D358" i="1"/>
  <c r="Q349" i="1"/>
  <c r="G346" i="1"/>
  <c r="E346" i="1"/>
  <c r="C346" i="1"/>
  <c r="F346" i="1"/>
  <c r="D346" i="1"/>
  <c r="Q337" i="1"/>
  <c r="G334" i="1"/>
  <c r="E334" i="1"/>
  <c r="F334" i="1"/>
  <c r="C334" i="1"/>
  <c r="D334" i="1"/>
  <c r="Q325" i="1"/>
  <c r="G322" i="1"/>
  <c r="F322" i="1"/>
  <c r="E322" i="1"/>
  <c r="C322" i="1"/>
  <c r="D322" i="1"/>
  <c r="Q313" i="1"/>
  <c r="G310" i="1"/>
  <c r="E310" i="1"/>
  <c r="C310" i="1"/>
  <c r="F310" i="1"/>
  <c r="D310" i="1"/>
  <c r="Q301" i="1"/>
  <c r="G298" i="1"/>
  <c r="E298" i="1"/>
  <c r="F298" i="1"/>
  <c r="C298" i="1"/>
  <c r="D298" i="1"/>
  <c r="Q289" i="1"/>
  <c r="E286" i="1"/>
  <c r="G286" i="1"/>
  <c r="F286" i="1"/>
  <c r="C286" i="1"/>
  <c r="D286" i="1"/>
  <c r="Q277" i="1"/>
  <c r="E274" i="1"/>
  <c r="G274" i="1"/>
  <c r="C274" i="1"/>
  <c r="F274" i="1"/>
  <c r="D274" i="1"/>
  <c r="Q265" i="1"/>
  <c r="E262" i="1"/>
  <c r="G262" i="1"/>
  <c r="F262" i="1"/>
  <c r="C262" i="1"/>
  <c r="D262" i="1"/>
  <c r="Q253" i="1"/>
  <c r="E250" i="1"/>
  <c r="G250" i="1"/>
  <c r="F250" i="1"/>
  <c r="C250" i="1"/>
  <c r="D250" i="1"/>
  <c r="Q241" i="1"/>
  <c r="E238" i="1"/>
  <c r="G238" i="1"/>
  <c r="C238" i="1"/>
  <c r="F238" i="1"/>
  <c r="D238" i="1"/>
  <c r="G746" i="1"/>
  <c r="C746" i="1"/>
  <c r="E746" i="1"/>
  <c r="G410" i="1"/>
  <c r="F410" i="1"/>
  <c r="D410" i="1"/>
  <c r="C410" i="1"/>
  <c r="E410" i="1"/>
  <c r="G302" i="1"/>
  <c r="F302" i="1"/>
  <c r="C302" i="1"/>
  <c r="D302" i="1"/>
  <c r="E302" i="1"/>
  <c r="G266" i="1"/>
  <c r="F266" i="1"/>
  <c r="C266" i="1"/>
  <c r="D266" i="1"/>
  <c r="E266" i="1"/>
  <c r="Q954" i="1"/>
  <c r="Q882" i="1"/>
  <c r="Q858" i="1"/>
  <c r="Q762" i="1"/>
  <c r="G759" i="1"/>
  <c r="C759" i="1"/>
  <c r="E759" i="1"/>
  <c r="G747" i="1"/>
  <c r="E747" i="1"/>
  <c r="C747" i="1"/>
  <c r="Q738" i="1"/>
  <c r="D699" i="1"/>
  <c r="G699" i="1"/>
  <c r="C699" i="1"/>
  <c r="E699" i="1"/>
  <c r="Q690" i="1"/>
  <c r="G663" i="1"/>
  <c r="C663" i="1"/>
  <c r="E663" i="1"/>
  <c r="D639" i="1"/>
  <c r="G639" i="1"/>
  <c r="F639" i="1"/>
  <c r="E639" i="1"/>
  <c r="C639" i="1"/>
  <c r="Q630" i="1"/>
  <c r="G615" i="1"/>
  <c r="F615" i="1"/>
  <c r="C615" i="1"/>
  <c r="E615" i="1"/>
  <c r="D615" i="1"/>
  <c r="G603" i="1"/>
  <c r="E603" i="1"/>
  <c r="C603" i="1"/>
  <c r="D603" i="1"/>
  <c r="F603" i="1"/>
  <c r="Q570" i="1"/>
  <c r="G543" i="1"/>
  <c r="F543" i="1"/>
  <c r="C543" i="1"/>
  <c r="E543" i="1"/>
  <c r="D543" i="1"/>
  <c r="Q438" i="1"/>
  <c r="Q426" i="1"/>
  <c r="Q402" i="1"/>
  <c r="G399" i="1"/>
  <c r="F399" i="1"/>
  <c r="E399" i="1"/>
  <c r="D399" i="1"/>
  <c r="C399" i="1"/>
  <c r="G375" i="1"/>
  <c r="E375" i="1"/>
  <c r="C375" i="1"/>
  <c r="D375" i="1"/>
  <c r="F375" i="1"/>
  <c r="G363" i="1"/>
  <c r="F363" i="1"/>
  <c r="C363" i="1"/>
  <c r="D363" i="1"/>
  <c r="E363" i="1"/>
  <c r="G327" i="1"/>
  <c r="F327" i="1"/>
  <c r="E327" i="1"/>
  <c r="C327" i="1"/>
  <c r="D327" i="1"/>
  <c r="E267" i="1"/>
  <c r="G267" i="1"/>
  <c r="C267" i="1"/>
  <c r="F267" i="1"/>
  <c r="D267" i="1"/>
  <c r="E243" i="1"/>
  <c r="G243" i="1"/>
  <c r="C243" i="1"/>
  <c r="F243" i="1"/>
  <c r="D243" i="1"/>
  <c r="Q895" i="1"/>
  <c r="G688" i="1"/>
  <c r="C688" i="1"/>
  <c r="E688" i="1"/>
  <c r="Q655" i="1"/>
  <c r="Q607" i="1"/>
  <c r="Q559" i="1"/>
  <c r="Q523" i="1"/>
  <c r="G496" i="1"/>
  <c r="F496" i="1"/>
  <c r="E496" i="1"/>
  <c r="D496" i="1"/>
  <c r="C496" i="1"/>
  <c r="Q475" i="1"/>
  <c r="Q403" i="1"/>
  <c r="Q379" i="1"/>
  <c r="Q992" i="1"/>
  <c r="Q968" i="1"/>
  <c r="Q848" i="1"/>
  <c r="Q812" i="1"/>
  <c r="Q752" i="1"/>
  <c r="Q740" i="1"/>
  <c r="Q728" i="1"/>
  <c r="D641" i="1"/>
  <c r="E641" i="1"/>
  <c r="G641" i="1"/>
  <c r="C641" i="1"/>
  <c r="F641" i="1"/>
  <c r="Q608" i="1"/>
  <c r="E449" i="1"/>
  <c r="D449" i="1"/>
  <c r="C449" i="1"/>
  <c r="G449" i="1"/>
  <c r="F449" i="1"/>
  <c r="Q404" i="1"/>
  <c r="F353" i="1"/>
  <c r="E353" i="1"/>
  <c r="D353" i="1"/>
  <c r="C353" i="1"/>
  <c r="G353" i="1"/>
  <c r="Q878" i="1"/>
  <c r="D779" i="1"/>
  <c r="C779" i="1"/>
  <c r="G767" i="1"/>
  <c r="C767" i="1"/>
  <c r="E767" i="1"/>
  <c r="G755" i="1"/>
  <c r="E755" i="1"/>
  <c r="C755" i="1"/>
  <c r="F743" i="1"/>
  <c r="G743" i="1"/>
  <c r="E743" i="1"/>
  <c r="C743" i="1"/>
  <c r="G731" i="1"/>
  <c r="E731" i="1"/>
  <c r="C731" i="1"/>
  <c r="G719" i="1"/>
  <c r="E719" i="1"/>
  <c r="C719" i="1"/>
  <c r="D707" i="1"/>
  <c r="G707" i="1"/>
  <c r="E707" i="1"/>
  <c r="C707" i="1"/>
  <c r="G695" i="1"/>
  <c r="E695" i="1"/>
  <c r="C695" i="1"/>
  <c r="Q686" i="1"/>
  <c r="D683" i="1"/>
  <c r="G683" i="1"/>
  <c r="E683" i="1"/>
  <c r="C683" i="1"/>
  <c r="Q674" i="1"/>
  <c r="D671" i="1"/>
  <c r="G671" i="1"/>
  <c r="E671" i="1"/>
  <c r="C671" i="1"/>
  <c r="Q662" i="1"/>
  <c r="D659" i="1"/>
  <c r="G659" i="1"/>
  <c r="E659" i="1"/>
  <c r="C659" i="1"/>
  <c r="Q650" i="1"/>
  <c r="G647" i="1"/>
  <c r="E647" i="1"/>
  <c r="C647" i="1"/>
  <c r="G635" i="1"/>
  <c r="F635" i="1"/>
  <c r="C635" i="1"/>
  <c r="E635" i="1"/>
  <c r="G623" i="1"/>
  <c r="F623" i="1"/>
  <c r="D623" i="1"/>
  <c r="E623" i="1"/>
  <c r="C623" i="1"/>
  <c r="G611" i="1"/>
  <c r="F611" i="1"/>
  <c r="E611" i="1"/>
  <c r="D611" i="1"/>
  <c r="C611" i="1"/>
  <c r="Q602" i="1"/>
  <c r="G599" i="1"/>
  <c r="F599" i="1"/>
  <c r="E599" i="1"/>
  <c r="D599" i="1"/>
  <c r="C599" i="1"/>
  <c r="Q590" i="1"/>
  <c r="G587" i="1"/>
  <c r="E587" i="1"/>
  <c r="F587" i="1"/>
  <c r="D587" i="1"/>
  <c r="C587" i="1"/>
  <c r="Q578" i="1"/>
  <c r="G575" i="1"/>
  <c r="F575" i="1"/>
  <c r="E575" i="1"/>
  <c r="D575" i="1"/>
  <c r="C575" i="1"/>
  <c r="Q566" i="1"/>
  <c r="G563" i="1"/>
  <c r="E563" i="1"/>
  <c r="D563" i="1"/>
  <c r="C563" i="1"/>
  <c r="F563" i="1"/>
  <c r="Q554" i="1"/>
  <c r="G551" i="1"/>
  <c r="F551" i="1"/>
  <c r="D551" i="1"/>
  <c r="E551" i="1"/>
  <c r="C551" i="1"/>
  <c r="Q542" i="1"/>
  <c r="G539" i="1"/>
  <c r="E539" i="1"/>
  <c r="F539" i="1"/>
  <c r="D539" i="1"/>
  <c r="C539" i="1"/>
  <c r="Q530" i="1"/>
  <c r="G527" i="1"/>
  <c r="F527" i="1"/>
  <c r="E527" i="1"/>
  <c r="D527" i="1"/>
  <c r="C527" i="1"/>
  <c r="Q518" i="1"/>
  <c r="G515" i="1"/>
  <c r="F515" i="1"/>
  <c r="D515" i="1"/>
  <c r="E515" i="1"/>
  <c r="C515" i="1"/>
  <c r="Q506" i="1"/>
  <c r="G503" i="1"/>
  <c r="F503" i="1"/>
  <c r="E503" i="1"/>
  <c r="D503" i="1"/>
  <c r="C503" i="1"/>
  <c r="Q494" i="1"/>
  <c r="G491" i="1"/>
  <c r="F491" i="1"/>
  <c r="D491" i="1"/>
  <c r="C491" i="1"/>
  <c r="E491" i="1"/>
  <c r="Q482" i="1"/>
  <c r="G479" i="1"/>
  <c r="F479" i="1"/>
  <c r="D479" i="1"/>
  <c r="E479" i="1"/>
  <c r="C479" i="1"/>
  <c r="Q470" i="1"/>
  <c r="G467" i="1"/>
  <c r="F467" i="1"/>
  <c r="E467" i="1"/>
  <c r="D467" i="1"/>
  <c r="C467" i="1"/>
  <c r="Q458" i="1"/>
  <c r="G455" i="1"/>
  <c r="F455" i="1"/>
  <c r="E455" i="1"/>
  <c r="D455" i="1"/>
  <c r="C455" i="1"/>
  <c r="Q446" i="1"/>
  <c r="G443" i="1"/>
  <c r="F443" i="1"/>
  <c r="E443" i="1"/>
  <c r="D443" i="1"/>
  <c r="C443" i="1"/>
  <c r="Q434" i="1"/>
  <c r="G431" i="1"/>
  <c r="F431" i="1"/>
  <c r="E431" i="1"/>
  <c r="D431" i="1"/>
  <c r="C431" i="1"/>
  <c r="Q422" i="1"/>
  <c r="G419" i="1"/>
  <c r="F419" i="1"/>
  <c r="E419" i="1"/>
  <c r="D419" i="1"/>
  <c r="C419" i="1"/>
  <c r="Q410" i="1"/>
  <c r="G407" i="1"/>
  <c r="F407" i="1"/>
  <c r="C407" i="1"/>
  <c r="D407" i="1"/>
  <c r="E407" i="1"/>
  <c r="Q398" i="1"/>
  <c r="G395" i="1"/>
  <c r="F395" i="1"/>
  <c r="E395" i="1"/>
  <c r="C395" i="1"/>
  <c r="D395" i="1"/>
  <c r="Q386" i="1"/>
  <c r="G383" i="1"/>
  <c r="F383" i="1"/>
  <c r="E383" i="1"/>
  <c r="D383" i="1"/>
  <c r="C383" i="1"/>
  <c r="Q374" i="1"/>
  <c r="G371" i="1"/>
  <c r="F371" i="1"/>
  <c r="E371" i="1"/>
  <c r="C371" i="1"/>
  <c r="D371" i="1"/>
  <c r="Q362" i="1"/>
  <c r="G359" i="1"/>
  <c r="F359" i="1"/>
  <c r="E359" i="1"/>
  <c r="D359" i="1"/>
  <c r="C359" i="1"/>
  <c r="Q350" i="1"/>
  <c r="G347" i="1"/>
  <c r="F347" i="1"/>
  <c r="E347" i="1"/>
  <c r="D347" i="1"/>
  <c r="C347" i="1"/>
  <c r="Q338" i="1"/>
  <c r="G335" i="1"/>
  <c r="F335" i="1"/>
  <c r="E335" i="1"/>
  <c r="C335" i="1"/>
  <c r="D335" i="1"/>
  <c r="Q326" i="1"/>
  <c r="G323" i="1"/>
  <c r="F323" i="1"/>
  <c r="E323" i="1"/>
  <c r="C323" i="1"/>
  <c r="D323" i="1"/>
  <c r="Q314" i="1"/>
  <c r="G311" i="1"/>
  <c r="F311" i="1"/>
  <c r="C311" i="1"/>
  <c r="E311" i="1"/>
  <c r="D311" i="1"/>
  <c r="Q302" i="1"/>
  <c r="G299" i="1"/>
  <c r="F299" i="1"/>
  <c r="E299" i="1"/>
  <c r="C299" i="1"/>
  <c r="D299" i="1"/>
  <c r="Q290" i="1"/>
  <c r="E287" i="1"/>
  <c r="G287" i="1"/>
  <c r="F287" i="1"/>
  <c r="C287" i="1"/>
  <c r="D287" i="1"/>
  <c r="Q278" i="1"/>
  <c r="E275" i="1"/>
  <c r="G275" i="1"/>
  <c r="F275" i="1"/>
  <c r="D275" i="1"/>
  <c r="C275" i="1"/>
  <c r="Q266" i="1"/>
  <c r="E263" i="1"/>
  <c r="G263" i="1"/>
  <c r="F263" i="1"/>
  <c r="C263" i="1"/>
  <c r="D263" i="1"/>
  <c r="Q254" i="1"/>
  <c r="E251" i="1"/>
  <c r="G251" i="1"/>
  <c r="F251" i="1"/>
  <c r="C251" i="1"/>
  <c r="D251" i="1"/>
  <c r="Q242" i="1"/>
  <c r="E239" i="1"/>
  <c r="G239" i="1"/>
  <c r="F239" i="1"/>
  <c r="D239" i="1"/>
  <c r="C239" i="1"/>
  <c r="Q230" i="1"/>
  <c r="Q218" i="1"/>
  <c r="D698" i="1"/>
  <c r="G698" i="1"/>
  <c r="E698" i="1"/>
  <c r="C698" i="1"/>
  <c r="D638" i="1"/>
  <c r="G638" i="1"/>
  <c r="F638" i="1"/>
  <c r="C638" i="1"/>
  <c r="E638" i="1"/>
  <c r="Q978" i="1"/>
  <c r="Q750" i="1"/>
  <c r="Q702" i="1"/>
  <c r="D675" i="1"/>
  <c r="G675" i="1"/>
  <c r="C675" i="1"/>
  <c r="E675" i="1"/>
  <c r="Q642" i="1"/>
  <c r="G591" i="1"/>
  <c r="F591" i="1"/>
  <c r="C591" i="1"/>
  <c r="D591" i="1"/>
  <c r="E591" i="1"/>
  <c r="G579" i="1"/>
  <c r="F579" i="1"/>
  <c r="E579" i="1"/>
  <c r="C579" i="1"/>
  <c r="D579" i="1"/>
  <c r="G555" i="1"/>
  <c r="F555" i="1"/>
  <c r="C555" i="1"/>
  <c r="E555" i="1"/>
  <c r="D555" i="1"/>
  <c r="Q546" i="1"/>
  <c r="G495" i="1"/>
  <c r="F495" i="1"/>
  <c r="E495" i="1"/>
  <c r="C495" i="1"/>
  <c r="D495" i="1"/>
  <c r="Q450" i="1"/>
  <c r="Q330" i="1"/>
  <c r="G303" i="1"/>
  <c r="C303" i="1"/>
  <c r="F303" i="1"/>
  <c r="E303" i="1"/>
  <c r="D303" i="1"/>
  <c r="Q991" i="1"/>
  <c r="Q871" i="1"/>
  <c r="Q811" i="1"/>
  <c r="Q775" i="1"/>
  <c r="Q739" i="1"/>
  <c r="Q547" i="1"/>
  <c r="Q511" i="1"/>
  <c r="Q439" i="1"/>
  <c r="Q391" i="1"/>
  <c r="G292" i="1"/>
  <c r="C292" i="1"/>
  <c r="F292" i="1"/>
  <c r="D292" i="1"/>
  <c r="E292" i="1"/>
  <c r="E256" i="1"/>
  <c r="G256" i="1"/>
  <c r="C256" i="1"/>
  <c r="F256" i="1"/>
  <c r="D256" i="1"/>
  <c r="Q920" i="1"/>
  <c r="Q860" i="1"/>
  <c r="Q836" i="1"/>
  <c r="E629" i="1"/>
  <c r="G629" i="1"/>
  <c r="D629" i="1"/>
  <c r="F629" i="1"/>
  <c r="C629" i="1"/>
  <c r="Q584" i="1"/>
  <c r="E533" i="1"/>
  <c r="D533" i="1"/>
  <c r="G533" i="1"/>
  <c r="C533" i="1"/>
  <c r="F533" i="1"/>
  <c r="Q500" i="1"/>
  <c r="Q428" i="1"/>
  <c r="Q416" i="1"/>
  <c r="Q392" i="1"/>
  <c r="Q320" i="1"/>
  <c r="Q296" i="1"/>
  <c r="Q236" i="1"/>
  <c r="Q891" i="1"/>
  <c r="D792" i="1"/>
  <c r="C792" i="1"/>
  <c r="F780" i="1"/>
  <c r="C780" i="1"/>
  <c r="D768" i="1"/>
  <c r="G768" i="1"/>
  <c r="C768" i="1"/>
  <c r="E768" i="1"/>
  <c r="G756" i="1"/>
  <c r="C756" i="1"/>
  <c r="E756" i="1"/>
  <c r="F744" i="1"/>
  <c r="G744" i="1"/>
  <c r="C744" i="1"/>
  <c r="E744" i="1"/>
  <c r="G732" i="1"/>
  <c r="C732" i="1"/>
  <c r="E732" i="1"/>
  <c r="D720" i="1"/>
  <c r="G720" i="1"/>
  <c r="C720" i="1"/>
  <c r="E720" i="1"/>
  <c r="G708" i="1"/>
  <c r="C708" i="1"/>
  <c r="E708" i="1"/>
  <c r="D696" i="1"/>
  <c r="G696" i="1"/>
  <c r="C696" i="1"/>
  <c r="E696" i="1"/>
  <c r="G684" i="1"/>
  <c r="C684" i="1"/>
  <c r="E684" i="1"/>
  <c r="F672" i="1"/>
  <c r="G672" i="1"/>
  <c r="C672" i="1"/>
  <c r="E672" i="1"/>
  <c r="F660" i="1"/>
  <c r="G660" i="1"/>
  <c r="E660" i="1"/>
  <c r="C660" i="1"/>
  <c r="F648" i="1"/>
  <c r="G648" i="1"/>
  <c r="C648" i="1"/>
  <c r="E648" i="1"/>
  <c r="F636" i="1"/>
  <c r="G636" i="1"/>
  <c r="C636" i="1"/>
  <c r="E636" i="1"/>
  <c r="F624" i="1"/>
  <c r="G624" i="1"/>
  <c r="C624" i="1"/>
  <c r="E624" i="1"/>
  <c r="D624" i="1"/>
  <c r="F612" i="1"/>
  <c r="G612" i="1"/>
  <c r="C612" i="1"/>
  <c r="E612" i="1"/>
  <c r="D612" i="1"/>
  <c r="F600" i="1"/>
  <c r="G600" i="1"/>
  <c r="C600" i="1"/>
  <c r="E600" i="1"/>
  <c r="D600" i="1"/>
  <c r="F588" i="1"/>
  <c r="G588" i="1"/>
  <c r="C588" i="1"/>
  <c r="E588" i="1"/>
  <c r="D588" i="1"/>
  <c r="F576" i="1"/>
  <c r="G576" i="1"/>
  <c r="C576" i="1"/>
  <c r="D576" i="1"/>
  <c r="E576" i="1"/>
  <c r="F564" i="1"/>
  <c r="G564" i="1"/>
  <c r="C564" i="1"/>
  <c r="E564" i="1"/>
  <c r="D564" i="1"/>
  <c r="F552" i="1"/>
  <c r="G552" i="1"/>
  <c r="C552" i="1"/>
  <c r="E552" i="1"/>
  <c r="D552" i="1"/>
  <c r="F540" i="1"/>
  <c r="G540" i="1"/>
  <c r="C540" i="1"/>
  <c r="E540" i="1"/>
  <c r="D540" i="1"/>
  <c r="F528" i="1"/>
  <c r="G528" i="1"/>
  <c r="C528" i="1"/>
  <c r="E528" i="1"/>
  <c r="D528" i="1"/>
  <c r="F516" i="1"/>
  <c r="G516" i="1"/>
  <c r="E516" i="1"/>
  <c r="C516" i="1"/>
  <c r="D516" i="1"/>
  <c r="F504" i="1"/>
  <c r="G504" i="1"/>
  <c r="C504" i="1"/>
  <c r="E504" i="1"/>
  <c r="D504" i="1"/>
  <c r="F492" i="1"/>
  <c r="G492" i="1"/>
  <c r="C492" i="1"/>
  <c r="E492" i="1"/>
  <c r="D492" i="1"/>
  <c r="F480" i="1"/>
  <c r="G480" i="1"/>
  <c r="C480" i="1"/>
  <c r="E480" i="1"/>
  <c r="D480" i="1"/>
  <c r="F468" i="1"/>
  <c r="G468" i="1"/>
  <c r="C468" i="1"/>
  <c r="D468" i="1"/>
  <c r="E468" i="1"/>
  <c r="F456" i="1"/>
  <c r="G456" i="1"/>
  <c r="C456" i="1"/>
  <c r="E456" i="1"/>
  <c r="D456" i="1"/>
  <c r="F444" i="1"/>
  <c r="G444" i="1"/>
  <c r="C444" i="1"/>
  <c r="E444" i="1"/>
  <c r="D444" i="1"/>
  <c r="F432" i="1"/>
  <c r="G432" i="1"/>
  <c r="C432" i="1"/>
  <c r="E432" i="1"/>
  <c r="D432" i="1"/>
  <c r="F420" i="1"/>
  <c r="G420" i="1"/>
  <c r="C420" i="1"/>
  <c r="E420" i="1"/>
  <c r="D420" i="1"/>
  <c r="F408" i="1"/>
  <c r="G408" i="1"/>
  <c r="E408" i="1"/>
  <c r="D408" i="1"/>
  <c r="C408" i="1"/>
  <c r="F396" i="1"/>
  <c r="G396" i="1"/>
  <c r="C396" i="1"/>
  <c r="D396" i="1"/>
  <c r="E396" i="1"/>
  <c r="F384" i="1"/>
  <c r="G384" i="1"/>
  <c r="C384" i="1"/>
  <c r="E384" i="1"/>
  <c r="D384" i="1"/>
  <c r="F372" i="1"/>
  <c r="G372" i="1"/>
  <c r="E372" i="1"/>
  <c r="C372" i="1"/>
  <c r="D372" i="1"/>
  <c r="F360" i="1"/>
  <c r="G360" i="1"/>
  <c r="E360" i="1"/>
  <c r="C360" i="1"/>
  <c r="D360" i="1"/>
  <c r="F348" i="1"/>
  <c r="G348" i="1"/>
  <c r="E348" i="1"/>
  <c r="C348" i="1"/>
  <c r="D348" i="1"/>
  <c r="F336" i="1"/>
  <c r="G336" i="1"/>
  <c r="E336" i="1"/>
  <c r="D336" i="1"/>
  <c r="C336" i="1"/>
  <c r="F324" i="1"/>
  <c r="G324" i="1"/>
  <c r="E324" i="1"/>
  <c r="C324" i="1"/>
  <c r="D324" i="1"/>
  <c r="F312" i="1"/>
  <c r="G312" i="1"/>
  <c r="C312" i="1"/>
  <c r="E312" i="1"/>
  <c r="D312" i="1"/>
  <c r="F300" i="1"/>
  <c r="G300" i="1"/>
  <c r="E300" i="1"/>
  <c r="C300" i="1"/>
  <c r="D300" i="1"/>
  <c r="E288" i="1"/>
  <c r="F288" i="1"/>
  <c r="G288" i="1"/>
  <c r="C288" i="1"/>
  <c r="D288" i="1"/>
  <c r="E276" i="1"/>
  <c r="F276" i="1"/>
  <c r="G276" i="1"/>
  <c r="C276" i="1"/>
  <c r="D276" i="1"/>
  <c r="E264" i="1"/>
  <c r="F264" i="1"/>
  <c r="G264" i="1"/>
  <c r="D264" i="1"/>
  <c r="C264" i="1"/>
  <c r="E252" i="1"/>
  <c r="F252" i="1"/>
  <c r="G252" i="1"/>
  <c r="C252" i="1"/>
  <c r="D252" i="1"/>
  <c r="E240" i="1"/>
  <c r="F240" i="1"/>
  <c r="G240" i="1"/>
  <c r="C240" i="1"/>
  <c r="D240" i="1"/>
  <c r="F734" i="1"/>
  <c r="G734" i="1"/>
  <c r="E734" i="1"/>
  <c r="C734" i="1"/>
  <c r="D686" i="1"/>
  <c r="G686" i="1"/>
  <c r="E686" i="1"/>
  <c r="C686" i="1"/>
  <c r="G614" i="1"/>
  <c r="F614" i="1"/>
  <c r="D614" i="1"/>
  <c r="E614" i="1"/>
  <c r="C614" i="1"/>
  <c r="G434" i="1"/>
  <c r="F434" i="1"/>
  <c r="E434" i="1"/>
  <c r="D434" i="1"/>
  <c r="C434" i="1"/>
  <c r="G374" i="1"/>
  <c r="F374" i="1"/>
  <c r="C374" i="1"/>
  <c r="D374" i="1"/>
  <c r="E374" i="1"/>
  <c r="G423" i="1"/>
  <c r="C423" i="1"/>
  <c r="F423" i="1"/>
  <c r="E423" i="1"/>
  <c r="D423" i="1"/>
  <c r="Q378" i="1"/>
  <c r="Q366" i="1"/>
  <c r="Q354" i="1"/>
  <c r="G339" i="1"/>
  <c r="F339" i="1"/>
  <c r="C339" i="1"/>
  <c r="E339" i="1"/>
  <c r="D339" i="1"/>
  <c r="Q318" i="1"/>
  <c r="Q943" i="1"/>
  <c r="Q883" i="1"/>
  <c r="D760" i="1"/>
  <c r="G760" i="1"/>
  <c r="C760" i="1"/>
  <c r="E760" i="1"/>
  <c r="D736" i="1"/>
  <c r="G736" i="1"/>
  <c r="C736" i="1"/>
  <c r="E736" i="1"/>
  <c r="Q679" i="1"/>
  <c r="Q667" i="1"/>
  <c r="Q643" i="1"/>
  <c r="G580" i="1"/>
  <c r="F580" i="1"/>
  <c r="D580" i="1"/>
  <c r="C580" i="1"/>
  <c r="E580" i="1"/>
  <c r="G508" i="1"/>
  <c r="D508" i="1"/>
  <c r="F508" i="1"/>
  <c r="C508" i="1"/>
  <c r="E508" i="1"/>
  <c r="Q499" i="1"/>
  <c r="Q487" i="1"/>
  <c r="Q463" i="1"/>
  <c r="G424" i="1"/>
  <c r="F424" i="1"/>
  <c r="D424" i="1"/>
  <c r="C424" i="1"/>
  <c r="E424" i="1"/>
  <c r="G400" i="1"/>
  <c r="C400" i="1"/>
  <c r="F400" i="1"/>
  <c r="D400" i="1"/>
  <c r="E400" i="1"/>
  <c r="G352" i="1"/>
  <c r="F352" i="1"/>
  <c r="C352" i="1"/>
  <c r="D352" i="1"/>
  <c r="E352" i="1"/>
  <c r="G328" i="1"/>
  <c r="C328" i="1"/>
  <c r="F328" i="1"/>
  <c r="D328" i="1"/>
  <c r="E328" i="1"/>
  <c r="Q319" i="1"/>
  <c r="G316" i="1"/>
  <c r="F316" i="1"/>
  <c r="C316" i="1"/>
  <c r="D316" i="1"/>
  <c r="E316" i="1"/>
  <c r="Q295" i="1"/>
  <c r="Q283" i="1"/>
  <c r="E280" i="1"/>
  <c r="G280" i="1"/>
  <c r="F280" i="1"/>
  <c r="C280" i="1"/>
  <c r="D280" i="1"/>
  <c r="E268" i="1"/>
  <c r="G268" i="1"/>
  <c r="C268" i="1"/>
  <c r="F268" i="1"/>
  <c r="D268" i="1"/>
  <c r="Q980" i="1"/>
  <c r="E677" i="1"/>
  <c r="C677" i="1"/>
  <c r="G677" i="1"/>
  <c r="Q668" i="1"/>
  <c r="D653" i="1"/>
  <c r="G653" i="1"/>
  <c r="E653" i="1"/>
  <c r="C653" i="1"/>
  <c r="G617" i="1"/>
  <c r="F617" i="1"/>
  <c r="E617" i="1"/>
  <c r="D617" i="1"/>
  <c r="C617" i="1"/>
  <c r="Q572" i="1"/>
  <c r="Q524" i="1"/>
  <c r="F521" i="1"/>
  <c r="E521" i="1"/>
  <c r="G521" i="1"/>
  <c r="D521" i="1"/>
  <c r="C521" i="1"/>
  <c r="G509" i="1"/>
  <c r="E509" i="1"/>
  <c r="D509" i="1"/>
  <c r="F509" i="1"/>
  <c r="C509" i="1"/>
  <c r="F461" i="1"/>
  <c r="E461" i="1"/>
  <c r="D461" i="1"/>
  <c r="C461" i="1"/>
  <c r="G461" i="1"/>
  <c r="Q344" i="1"/>
  <c r="F317" i="1"/>
  <c r="E317" i="1"/>
  <c r="D317" i="1"/>
  <c r="G317" i="1"/>
  <c r="C317" i="1"/>
  <c r="Q308" i="1"/>
  <c r="E305" i="1"/>
  <c r="G305" i="1"/>
  <c r="F305" i="1"/>
  <c r="D305" i="1"/>
  <c r="C305" i="1"/>
  <c r="Q224" i="1"/>
  <c r="Q200" i="1"/>
  <c r="Q844" i="1"/>
  <c r="Q832" i="1"/>
  <c r="G781" i="1"/>
  <c r="C781" i="1"/>
  <c r="G769" i="1"/>
  <c r="E769" i="1"/>
  <c r="C769" i="1"/>
  <c r="G757" i="1"/>
  <c r="E757" i="1"/>
  <c r="C757" i="1"/>
  <c r="G745" i="1"/>
  <c r="E745" i="1"/>
  <c r="C745" i="1"/>
  <c r="F733" i="1"/>
  <c r="G733" i="1"/>
  <c r="E733" i="1"/>
  <c r="C733" i="1"/>
  <c r="G721" i="1"/>
  <c r="E721" i="1"/>
  <c r="C721" i="1"/>
  <c r="F709" i="1"/>
  <c r="G709" i="1"/>
  <c r="E709" i="1"/>
  <c r="C709" i="1"/>
  <c r="G697" i="1"/>
  <c r="E697" i="1"/>
  <c r="C697" i="1"/>
  <c r="G685" i="1"/>
  <c r="E685" i="1"/>
  <c r="C685" i="1"/>
  <c r="G673" i="1"/>
  <c r="E673" i="1"/>
  <c r="C673" i="1"/>
  <c r="G661" i="1"/>
  <c r="E661" i="1"/>
  <c r="C661" i="1"/>
  <c r="D649" i="1"/>
  <c r="G649" i="1"/>
  <c r="E649" i="1"/>
  <c r="C649" i="1"/>
  <c r="D637" i="1"/>
  <c r="G637" i="1"/>
  <c r="F637" i="1"/>
  <c r="E637" i="1"/>
  <c r="C637" i="1"/>
  <c r="G625" i="1"/>
  <c r="F625" i="1"/>
  <c r="E625" i="1"/>
  <c r="D625" i="1"/>
  <c r="C625" i="1"/>
  <c r="G613" i="1"/>
  <c r="F613" i="1"/>
  <c r="E613" i="1"/>
  <c r="D613" i="1"/>
  <c r="C613" i="1"/>
  <c r="G601" i="1"/>
  <c r="F601" i="1"/>
  <c r="E601" i="1"/>
  <c r="D601" i="1"/>
  <c r="C601" i="1"/>
  <c r="G589" i="1"/>
  <c r="F589" i="1"/>
  <c r="E589" i="1"/>
  <c r="D589" i="1"/>
  <c r="C589" i="1"/>
  <c r="G577" i="1"/>
  <c r="F577" i="1"/>
  <c r="E577" i="1"/>
  <c r="D577" i="1"/>
  <c r="C577" i="1"/>
  <c r="G565" i="1"/>
  <c r="F565" i="1"/>
  <c r="E565" i="1"/>
  <c r="D565" i="1"/>
  <c r="C565" i="1"/>
  <c r="G553" i="1"/>
  <c r="F553" i="1"/>
  <c r="E553" i="1"/>
  <c r="D553" i="1"/>
  <c r="C553" i="1"/>
  <c r="G541" i="1"/>
  <c r="F541" i="1"/>
  <c r="E541" i="1"/>
  <c r="D541" i="1"/>
  <c r="C541" i="1"/>
  <c r="G529" i="1"/>
  <c r="F529" i="1"/>
  <c r="E529" i="1"/>
  <c r="D529" i="1"/>
  <c r="C529" i="1"/>
  <c r="G517" i="1"/>
  <c r="F517" i="1"/>
  <c r="E517" i="1"/>
  <c r="D517" i="1"/>
  <c r="C517" i="1"/>
  <c r="G505" i="1"/>
  <c r="F505" i="1"/>
  <c r="E505" i="1"/>
  <c r="D505" i="1"/>
  <c r="C505" i="1"/>
  <c r="G493" i="1"/>
  <c r="F493" i="1"/>
  <c r="E493" i="1"/>
  <c r="D493" i="1"/>
  <c r="C493" i="1"/>
  <c r="G481" i="1"/>
  <c r="F481" i="1"/>
  <c r="E481" i="1"/>
  <c r="D481" i="1"/>
  <c r="C481" i="1"/>
  <c r="G469" i="1"/>
  <c r="F469" i="1"/>
  <c r="E469" i="1"/>
  <c r="D469" i="1"/>
  <c r="C469" i="1"/>
  <c r="G457" i="1"/>
  <c r="F457" i="1"/>
  <c r="E457" i="1"/>
  <c r="D457" i="1"/>
  <c r="C457" i="1"/>
  <c r="G445" i="1"/>
  <c r="F445" i="1"/>
  <c r="E445" i="1"/>
  <c r="D445" i="1"/>
  <c r="C445" i="1"/>
  <c r="G433" i="1"/>
  <c r="F433" i="1"/>
  <c r="E433" i="1"/>
  <c r="D433" i="1"/>
  <c r="C433" i="1"/>
  <c r="G421" i="1"/>
  <c r="F421" i="1"/>
  <c r="E421" i="1"/>
  <c r="D421" i="1"/>
  <c r="C421" i="1"/>
  <c r="G409" i="1"/>
  <c r="F409" i="1"/>
  <c r="E409" i="1"/>
  <c r="D409" i="1"/>
  <c r="C409" i="1"/>
  <c r="G397" i="1"/>
  <c r="F397" i="1"/>
  <c r="E397" i="1"/>
  <c r="D397" i="1"/>
  <c r="C397" i="1"/>
  <c r="G385" i="1"/>
  <c r="F385" i="1"/>
  <c r="E385" i="1"/>
  <c r="D385" i="1"/>
  <c r="C385" i="1"/>
  <c r="G373" i="1"/>
  <c r="F373" i="1"/>
  <c r="E373" i="1"/>
  <c r="D373" i="1"/>
  <c r="C373" i="1"/>
  <c r="G361" i="1"/>
  <c r="F361" i="1"/>
  <c r="E361" i="1"/>
  <c r="D361" i="1"/>
  <c r="C361" i="1"/>
  <c r="G349" i="1"/>
  <c r="F349" i="1"/>
  <c r="E349" i="1"/>
  <c r="D349" i="1"/>
  <c r="C349" i="1"/>
  <c r="G337" i="1"/>
  <c r="F337" i="1"/>
  <c r="E337" i="1"/>
  <c r="D337" i="1"/>
  <c r="C337" i="1"/>
  <c r="G325" i="1"/>
  <c r="F325" i="1"/>
  <c r="E325" i="1"/>
  <c r="D325" i="1"/>
  <c r="C325" i="1"/>
  <c r="G313" i="1"/>
  <c r="F313" i="1"/>
  <c r="E313" i="1"/>
  <c r="D313" i="1"/>
  <c r="C313" i="1"/>
  <c r="G301" i="1"/>
  <c r="F301" i="1"/>
  <c r="E301" i="1"/>
  <c r="C301" i="1"/>
  <c r="D301" i="1"/>
  <c r="G289" i="1"/>
  <c r="F289" i="1"/>
  <c r="E289" i="1"/>
  <c r="D289" i="1"/>
  <c r="C289" i="1"/>
  <c r="G277" i="1"/>
  <c r="F277" i="1"/>
  <c r="E277" i="1"/>
  <c r="D277" i="1"/>
  <c r="C277" i="1"/>
  <c r="G265" i="1"/>
  <c r="F265" i="1"/>
  <c r="D265" i="1"/>
  <c r="E265" i="1"/>
  <c r="C265" i="1"/>
  <c r="G253" i="1"/>
  <c r="F253" i="1"/>
  <c r="E253" i="1"/>
  <c r="D253" i="1"/>
  <c r="C253" i="1"/>
  <c r="G241" i="1"/>
  <c r="F241" i="1"/>
  <c r="E241" i="1"/>
  <c r="D241" i="1"/>
  <c r="C241" i="1"/>
  <c r="Q233" i="1"/>
  <c r="C218" i="1"/>
  <c r="D218" i="1"/>
  <c r="G218" i="1"/>
  <c r="E218" i="1"/>
  <c r="F218" i="1"/>
  <c r="Q235" i="1"/>
  <c r="Q234" i="1"/>
  <c r="F219" i="1"/>
  <c r="C219" i="1"/>
  <c r="D219" i="1"/>
  <c r="G219" i="1"/>
  <c r="E219" i="1"/>
  <c r="Q223" i="1"/>
  <c r="F220" i="1"/>
  <c r="C220" i="1"/>
  <c r="D220" i="1"/>
  <c r="G220" i="1"/>
  <c r="E220" i="1"/>
  <c r="Q211" i="1"/>
  <c r="Q199" i="1"/>
  <c r="Q187" i="1"/>
  <c r="E221" i="1"/>
  <c r="F221" i="1"/>
  <c r="C221" i="1"/>
  <c r="D221" i="1"/>
  <c r="G221" i="1"/>
  <c r="Q225" i="1"/>
  <c r="G222" i="1"/>
  <c r="E222" i="1"/>
  <c r="F222" i="1"/>
  <c r="C222" i="1"/>
  <c r="D222" i="1"/>
  <c r="Q226" i="1"/>
  <c r="G223" i="1"/>
  <c r="E223" i="1"/>
  <c r="F223" i="1"/>
  <c r="C223" i="1"/>
  <c r="D223" i="1"/>
  <c r="Q214" i="1"/>
  <c r="Q202" i="1"/>
  <c r="Q190" i="1"/>
  <c r="Q178" i="1"/>
  <c r="G224" i="1"/>
  <c r="E224" i="1"/>
  <c r="F224" i="1"/>
  <c r="C224" i="1"/>
  <c r="D224" i="1"/>
  <c r="G225" i="1"/>
  <c r="E225" i="1"/>
  <c r="F225" i="1"/>
  <c r="C225" i="1"/>
  <c r="D225" i="1"/>
  <c r="Q229" i="1"/>
  <c r="G226" i="1"/>
  <c r="E226" i="1"/>
  <c r="F226" i="1"/>
  <c r="C226" i="1"/>
  <c r="D226" i="1"/>
  <c r="Q167" i="1"/>
  <c r="Q164" i="1"/>
  <c r="Q158" i="1"/>
  <c r="Q149" i="1"/>
  <c r="L146" i="2" s="1"/>
  <c r="D227" i="1"/>
  <c r="G227" i="1"/>
  <c r="E227" i="1"/>
  <c r="F227" i="1"/>
  <c r="C227" i="1"/>
  <c r="Q206" i="1"/>
  <c r="Q194" i="1"/>
  <c r="Q182" i="1"/>
  <c r="Q170" i="1"/>
  <c r="Q231" i="1"/>
  <c r="G228" i="1"/>
  <c r="E228" i="1"/>
  <c r="F228" i="1"/>
  <c r="C228" i="1"/>
  <c r="D228" i="1"/>
  <c r="C229" i="1"/>
  <c r="D229" i="1"/>
  <c r="G229" i="1"/>
  <c r="E229" i="1"/>
  <c r="F229" i="1"/>
  <c r="C217" i="1"/>
  <c r="D217" i="1"/>
  <c r="G217" i="1"/>
  <c r="E217" i="1"/>
  <c r="F217" i="1"/>
  <c r="G28" i="1"/>
  <c r="A25" i="2" s="1"/>
  <c r="C193" i="1"/>
  <c r="G193" i="1"/>
  <c r="E193" i="1"/>
  <c r="D193" i="1"/>
  <c r="F193" i="1"/>
  <c r="Q221" i="1"/>
  <c r="Q222" i="1"/>
  <c r="Q209" i="1"/>
  <c r="C206" i="1"/>
  <c r="G206" i="1"/>
  <c r="E206" i="1"/>
  <c r="D206" i="1"/>
  <c r="F206" i="1"/>
  <c r="Q197" i="1"/>
  <c r="C194" i="1"/>
  <c r="G194" i="1"/>
  <c r="E194" i="1"/>
  <c r="D194" i="1"/>
  <c r="F194" i="1"/>
  <c r="Q185" i="1"/>
  <c r="C182" i="1"/>
  <c r="G182" i="1"/>
  <c r="E182" i="1"/>
  <c r="D182" i="1"/>
  <c r="F182" i="1"/>
  <c r="Q173" i="1"/>
  <c r="C170" i="1"/>
  <c r="G170" i="1" s="1"/>
  <c r="E170" i="1"/>
  <c r="D170" i="1"/>
  <c r="F170" i="1"/>
  <c r="Q168" i="1"/>
  <c r="E167" i="1"/>
  <c r="D167" i="1"/>
  <c r="F167" i="1"/>
  <c r="C167" i="1"/>
  <c r="G167" i="1" s="1"/>
  <c r="Q165" i="1"/>
  <c r="D164" i="1"/>
  <c r="F164" i="1"/>
  <c r="C164" i="1"/>
  <c r="E164" i="1"/>
  <c r="G164" i="1" s="1"/>
  <c r="Q162" i="1"/>
  <c r="F161" i="1"/>
  <c r="C161" i="1"/>
  <c r="G161" i="1" s="1"/>
  <c r="E161" i="1"/>
  <c r="D161" i="1"/>
  <c r="Q159" i="1"/>
  <c r="C158" i="1"/>
  <c r="G158" i="1" s="1"/>
  <c r="E158" i="1"/>
  <c r="D158" i="1"/>
  <c r="F158" i="1"/>
  <c r="Q156" i="1"/>
  <c r="E155" i="1"/>
  <c r="D155" i="1"/>
  <c r="F155" i="1"/>
  <c r="C155" i="1"/>
  <c r="G155" i="1" s="1"/>
  <c r="D152" i="1"/>
  <c r="F152" i="1"/>
  <c r="C152" i="1"/>
  <c r="E152" i="1"/>
  <c r="Q150" i="1"/>
  <c r="L147" i="2" s="1"/>
  <c r="F149" i="1"/>
  <c r="C149" i="1"/>
  <c r="E149" i="1"/>
  <c r="D149" i="1"/>
  <c r="C146" i="1"/>
  <c r="E146" i="1"/>
  <c r="D146" i="1"/>
  <c r="F146" i="1"/>
  <c r="E143" i="1"/>
  <c r="D143" i="1"/>
  <c r="F143" i="1"/>
  <c r="C143" i="1"/>
  <c r="G143" i="1" s="1"/>
  <c r="A140" i="2" s="1"/>
  <c r="D140" i="1"/>
  <c r="F140" i="1"/>
  <c r="C140" i="1"/>
  <c r="E140" i="1"/>
  <c r="F137" i="1"/>
  <c r="C137" i="1"/>
  <c r="E137" i="1"/>
  <c r="D137" i="1"/>
  <c r="C134" i="1"/>
  <c r="E134" i="1"/>
  <c r="D134" i="1"/>
  <c r="F134" i="1"/>
  <c r="E131" i="1"/>
  <c r="D131" i="1"/>
  <c r="F131" i="1"/>
  <c r="C131" i="1"/>
  <c r="D128" i="1"/>
  <c r="F128" i="1"/>
  <c r="C128" i="1"/>
  <c r="G128" i="1" s="1"/>
  <c r="A125" i="2" s="1"/>
  <c r="E128" i="1"/>
  <c r="F125" i="1"/>
  <c r="C125" i="1"/>
  <c r="E125" i="1"/>
  <c r="D125" i="1"/>
  <c r="C122" i="1"/>
  <c r="E122" i="1"/>
  <c r="D122" i="1"/>
  <c r="F122" i="1"/>
  <c r="E119" i="1"/>
  <c r="D119" i="1"/>
  <c r="F119" i="1"/>
  <c r="C119" i="1"/>
  <c r="D116" i="1"/>
  <c r="F116" i="1"/>
  <c r="C116" i="1"/>
  <c r="E116" i="1"/>
  <c r="F113" i="1"/>
  <c r="C113" i="1"/>
  <c r="E113" i="1"/>
  <c r="D113" i="1"/>
  <c r="C110" i="1"/>
  <c r="E110" i="1"/>
  <c r="D110" i="1"/>
  <c r="F110" i="1"/>
  <c r="E107" i="1"/>
  <c r="C107" i="1"/>
  <c r="D107" i="1"/>
  <c r="F107" i="1"/>
  <c r="D104" i="1"/>
  <c r="F104" i="1"/>
  <c r="C104" i="1"/>
  <c r="E104" i="1"/>
  <c r="F101" i="1"/>
  <c r="C101" i="1"/>
  <c r="E101" i="1"/>
  <c r="D101" i="1"/>
  <c r="C98" i="1"/>
  <c r="E98" i="1"/>
  <c r="D98" i="1"/>
  <c r="F98" i="1"/>
  <c r="E95" i="1"/>
  <c r="D95" i="1"/>
  <c r="F95" i="1"/>
  <c r="C95" i="1"/>
  <c r="D92" i="1"/>
  <c r="F92" i="1"/>
  <c r="C92" i="1"/>
  <c r="E92" i="1"/>
  <c r="F89" i="1"/>
  <c r="C89" i="1"/>
  <c r="E89" i="1"/>
  <c r="D89" i="1"/>
  <c r="C86" i="1"/>
  <c r="E86" i="1"/>
  <c r="D86" i="1"/>
  <c r="F86" i="1"/>
  <c r="E83" i="1"/>
  <c r="D83" i="1"/>
  <c r="F83" i="1"/>
  <c r="C83" i="1"/>
  <c r="D80" i="1"/>
  <c r="F80" i="1"/>
  <c r="C80" i="1"/>
  <c r="E80" i="1"/>
  <c r="F77" i="1"/>
  <c r="C77" i="1"/>
  <c r="E77" i="1"/>
  <c r="D77" i="1"/>
  <c r="C74" i="1"/>
  <c r="E74" i="1"/>
  <c r="D74" i="1"/>
  <c r="F74" i="1"/>
  <c r="E71" i="1"/>
  <c r="D71" i="1"/>
  <c r="F71" i="1"/>
  <c r="C71" i="1"/>
  <c r="D68" i="1"/>
  <c r="F68" i="1"/>
  <c r="C68" i="1"/>
  <c r="E68" i="1"/>
  <c r="F207" i="1"/>
  <c r="C207" i="1"/>
  <c r="G207" i="1"/>
  <c r="E207" i="1"/>
  <c r="D207" i="1"/>
  <c r="F195" i="1"/>
  <c r="C195" i="1"/>
  <c r="G195" i="1"/>
  <c r="E195" i="1"/>
  <c r="D195" i="1"/>
  <c r="F183" i="1"/>
  <c r="C183" i="1"/>
  <c r="G183" i="1"/>
  <c r="E183" i="1"/>
  <c r="D183" i="1"/>
  <c r="F171" i="1"/>
  <c r="C171" i="1"/>
  <c r="E171" i="1"/>
  <c r="D171" i="1"/>
  <c r="G171" i="1" s="1"/>
  <c r="F208" i="1"/>
  <c r="C208" i="1"/>
  <c r="G208" i="1"/>
  <c r="E208" i="1"/>
  <c r="D208" i="1"/>
  <c r="F196" i="1"/>
  <c r="C196" i="1"/>
  <c r="G196" i="1"/>
  <c r="E196" i="1"/>
  <c r="D196" i="1"/>
  <c r="F184" i="1"/>
  <c r="C184" i="1"/>
  <c r="G184" i="1"/>
  <c r="E184" i="1"/>
  <c r="D184" i="1"/>
  <c r="F172" i="1"/>
  <c r="C172" i="1"/>
  <c r="G172" i="1" s="1"/>
  <c r="E172" i="1"/>
  <c r="D172" i="1"/>
  <c r="F185" i="1"/>
  <c r="C185" i="1"/>
  <c r="G185" i="1"/>
  <c r="E185" i="1"/>
  <c r="D185" i="1"/>
  <c r="D173" i="1"/>
  <c r="F173" i="1"/>
  <c r="C173" i="1"/>
  <c r="G173" i="1" s="1"/>
  <c r="E173" i="1"/>
  <c r="F197" i="1"/>
  <c r="C197" i="1"/>
  <c r="G197" i="1"/>
  <c r="E197" i="1"/>
  <c r="D197" i="1"/>
  <c r="Q213" i="1"/>
  <c r="F210" i="1"/>
  <c r="C210" i="1"/>
  <c r="G210" i="1"/>
  <c r="E210" i="1"/>
  <c r="D210" i="1"/>
  <c r="Q201" i="1"/>
  <c r="F198" i="1"/>
  <c r="C198" i="1"/>
  <c r="G198" i="1"/>
  <c r="E198" i="1"/>
  <c r="D198" i="1"/>
  <c r="Q189" i="1"/>
  <c r="F186" i="1"/>
  <c r="C186" i="1"/>
  <c r="G186" i="1"/>
  <c r="E186" i="1"/>
  <c r="D186" i="1"/>
  <c r="Q177" i="1"/>
  <c r="F174" i="1"/>
  <c r="C174" i="1"/>
  <c r="G174" i="1" s="1"/>
  <c r="E174" i="1"/>
  <c r="D174" i="1"/>
  <c r="E168" i="1"/>
  <c r="G168" i="1" s="1"/>
  <c r="D168" i="1"/>
  <c r="F168" i="1"/>
  <c r="C168" i="1"/>
  <c r="D165" i="1"/>
  <c r="F165" i="1"/>
  <c r="C165" i="1"/>
  <c r="G165" i="1" s="1"/>
  <c r="E165" i="1"/>
  <c r="F162" i="1"/>
  <c r="C162" i="1"/>
  <c r="E162" i="1"/>
  <c r="G162" i="1" s="1"/>
  <c r="D162" i="1"/>
  <c r="F159" i="1"/>
  <c r="C159" i="1"/>
  <c r="G159" i="1" s="1"/>
  <c r="E159" i="1"/>
  <c r="D159" i="1"/>
  <c r="E156" i="1"/>
  <c r="D156" i="1"/>
  <c r="F156" i="1"/>
  <c r="C156" i="1"/>
  <c r="G156" i="1" s="1"/>
  <c r="D153" i="1"/>
  <c r="F153" i="1"/>
  <c r="C153" i="1"/>
  <c r="E153" i="1"/>
  <c r="G153" i="1" s="1"/>
  <c r="F150" i="1"/>
  <c r="C150" i="1"/>
  <c r="G150" i="1" s="1"/>
  <c r="E150" i="1"/>
  <c r="D150" i="1"/>
  <c r="F147" i="1"/>
  <c r="C147" i="1"/>
  <c r="E147" i="1"/>
  <c r="D147" i="1"/>
  <c r="E144" i="1"/>
  <c r="G144" i="1" s="1"/>
  <c r="A141" i="2" s="1"/>
  <c r="D144" i="1"/>
  <c r="F144" i="1"/>
  <c r="C144" i="1"/>
  <c r="D141" i="1"/>
  <c r="F141" i="1"/>
  <c r="C141" i="1"/>
  <c r="E141" i="1"/>
  <c r="F138" i="1"/>
  <c r="C138" i="1"/>
  <c r="E138" i="1"/>
  <c r="D138" i="1"/>
  <c r="F135" i="1"/>
  <c r="C135" i="1"/>
  <c r="E135" i="1"/>
  <c r="D135" i="1"/>
  <c r="E132" i="1"/>
  <c r="D132" i="1"/>
  <c r="F132" i="1"/>
  <c r="C132" i="1"/>
  <c r="D129" i="1"/>
  <c r="F129" i="1"/>
  <c r="C129" i="1"/>
  <c r="E129" i="1"/>
  <c r="F126" i="1"/>
  <c r="C126" i="1"/>
  <c r="E126" i="1"/>
  <c r="D126" i="1"/>
  <c r="F123" i="1"/>
  <c r="C123" i="1"/>
  <c r="E123" i="1"/>
  <c r="D123" i="1"/>
  <c r="E120" i="1"/>
  <c r="D120" i="1"/>
  <c r="F120" i="1"/>
  <c r="C120" i="1"/>
  <c r="D117" i="1"/>
  <c r="F117" i="1"/>
  <c r="C117" i="1"/>
  <c r="E117" i="1"/>
  <c r="F114" i="1"/>
  <c r="C114" i="1"/>
  <c r="E114" i="1"/>
  <c r="D114" i="1"/>
  <c r="F111" i="1"/>
  <c r="C111" i="1"/>
  <c r="E111" i="1"/>
  <c r="D111" i="1"/>
  <c r="E108" i="1"/>
  <c r="D108" i="1"/>
  <c r="F108" i="1"/>
  <c r="C108" i="1"/>
  <c r="D105" i="1"/>
  <c r="F105" i="1"/>
  <c r="C105" i="1"/>
  <c r="E105" i="1"/>
  <c r="F102" i="1"/>
  <c r="C102" i="1"/>
  <c r="E102" i="1"/>
  <c r="D102" i="1"/>
  <c r="F99" i="1"/>
  <c r="C99" i="1"/>
  <c r="E99" i="1"/>
  <c r="D99" i="1"/>
  <c r="E96" i="1"/>
  <c r="D96" i="1"/>
  <c r="F96" i="1"/>
  <c r="C96" i="1"/>
  <c r="D93" i="1"/>
  <c r="F93" i="1"/>
  <c r="C93" i="1"/>
  <c r="E93" i="1"/>
  <c r="F90" i="1"/>
  <c r="C90" i="1"/>
  <c r="E90" i="1"/>
  <c r="D90" i="1"/>
  <c r="F87" i="1"/>
  <c r="C87" i="1"/>
  <c r="E87" i="1"/>
  <c r="D87" i="1"/>
  <c r="E84" i="1"/>
  <c r="D84" i="1"/>
  <c r="F84" i="1"/>
  <c r="C84" i="1"/>
  <c r="E81" i="1"/>
  <c r="D81" i="1"/>
  <c r="F81" i="1"/>
  <c r="C81" i="1"/>
  <c r="F78" i="1"/>
  <c r="C78" i="1"/>
  <c r="E78" i="1"/>
  <c r="D78" i="1"/>
  <c r="F75" i="1"/>
  <c r="C75" i="1"/>
  <c r="E75" i="1"/>
  <c r="D75" i="1"/>
  <c r="E72" i="1"/>
  <c r="D72" i="1"/>
  <c r="F72" i="1"/>
  <c r="C72" i="1"/>
  <c r="D69" i="1"/>
  <c r="F69" i="1"/>
  <c r="C69" i="1"/>
  <c r="E69" i="1"/>
  <c r="D211" i="1"/>
  <c r="F211" i="1"/>
  <c r="C211" i="1"/>
  <c r="G211" i="1"/>
  <c r="E211" i="1"/>
  <c r="D199" i="1"/>
  <c r="F199" i="1"/>
  <c r="C199" i="1"/>
  <c r="G199" i="1"/>
  <c r="E199" i="1"/>
  <c r="D187" i="1"/>
  <c r="F187" i="1"/>
  <c r="C187" i="1"/>
  <c r="G187" i="1"/>
  <c r="E187" i="1"/>
  <c r="D175" i="1"/>
  <c r="G175" i="1" s="1"/>
  <c r="F175" i="1"/>
  <c r="C175" i="1"/>
  <c r="E175" i="1"/>
  <c r="F209" i="1"/>
  <c r="C209" i="1"/>
  <c r="G209" i="1"/>
  <c r="E209" i="1"/>
  <c r="D209" i="1"/>
  <c r="D212" i="1"/>
  <c r="F212" i="1"/>
  <c r="C212" i="1"/>
  <c r="G212" i="1"/>
  <c r="E212" i="1"/>
  <c r="D200" i="1"/>
  <c r="F200" i="1"/>
  <c r="C200" i="1"/>
  <c r="G200" i="1"/>
  <c r="E200" i="1"/>
  <c r="D188" i="1"/>
  <c r="F188" i="1"/>
  <c r="C188" i="1"/>
  <c r="G188" i="1"/>
  <c r="E188" i="1"/>
  <c r="D176" i="1"/>
  <c r="F176" i="1"/>
  <c r="C176" i="1"/>
  <c r="G176" i="1" s="1"/>
  <c r="E176" i="1"/>
  <c r="D213" i="1"/>
  <c r="F213" i="1"/>
  <c r="C213" i="1"/>
  <c r="G213" i="1"/>
  <c r="E213" i="1"/>
  <c r="D201" i="1"/>
  <c r="F201" i="1"/>
  <c r="C201" i="1"/>
  <c r="G201" i="1"/>
  <c r="E201" i="1"/>
  <c r="D189" i="1"/>
  <c r="F189" i="1"/>
  <c r="C189" i="1"/>
  <c r="G189" i="1"/>
  <c r="E189" i="1"/>
  <c r="D177" i="1"/>
  <c r="F177" i="1"/>
  <c r="C177" i="1"/>
  <c r="G177" i="1"/>
  <c r="E177" i="1"/>
  <c r="D67" i="1"/>
  <c r="F67" i="1"/>
  <c r="C67" i="1"/>
  <c r="E67" i="1"/>
  <c r="Q217" i="1"/>
  <c r="D214" i="1"/>
  <c r="F214" i="1"/>
  <c r="C214" i="1"/>
  <c r="G214" i="1"/>
  <c r="E214" i="1"/>
  <c r="Q205" i="1"/>
  <c r="D202" i="1"/>
  <c r="F202" i="1"/>
  <c r="C202" i="1"/>
  <c r="G202" i="1"/>
  <c r="E202" i="1"/>
  <c r="Q193" i="1"/>
  <c r="D190" i="1"/>
  <c r="F190" i="1"/>
  <c r="C190" i="1"/>
  <c r="G190" i="1"/>
  <c r="E190" i="1"/>
  <c r="Q181" i="1"/>
  <c r="D178" i="1"/>
  <c r="F178" i="1"/>
  <c r="C178" i="1"/>
  <c r="G178" i="1"/>
  <c r="E178" i="1"/>
  <c r="C169" i="1"/>
  <c r="G169" i="1"/>
  <c r="E169" i="1"/>
  <c r="D169" i="1"/>
  <c r="F169" i="1"/>
  <c r="D166" i="1"/>
  <c r="F166" i="1"/>
  <c r="C166" i="1"/>
  <c r="G166" i="1" s="1"/>
  <c r="E166" i="1"/>
  <c r="D163" i="1"/>
  <c r="F163" i="1"/>
  <c r="C163" i="1"/>
  <c r="G163" i="1"/>
  <c r="E163" i="1"/>
  <c r="F160" i="1"/>
  <c r="C160" i="1"/>
  <c r="E160" i="1"/>
  <c r="G160" i="1" s="1"/>
  <c r="D160" i="1"/>
  <c r="C157" i="1"/>
  <c r="G157" i="1" s="1"/>
  <c r="E157" i="1"/>
  <c r="D157" i="1"/>
  <c r="F157" i="1"/>
  <c r="D154" i="1"/>
  <c r="F154" i="1"/>
  <c r="C154" i="1"/>
  <c r="G154" i="1"/>
  <c r="E154" i="1"/>
  <c r="D151" i="1"/>
  <c r="F151" i="1"/>
  <c r="C151" i="1"/>
  <c r="E151" i="1"/>
  <c r="F148" i="1"/>
  <c r="C148" i="1"/>
  <c r="E148" i="1"/>
  <c r="D148" i="1"/>
  <c r="C145" i="1"/>
  <c r="E145" i="1"/>
  <c r="D145" i="1"/>
  <c r="F145" i="1"/>
  <c r="D142" i="1"/>
  <c r="F142" i="1"/>
  <c r="C142" i="1"/>
  <c r="G142" i="1" s="1"/>
  <c r="E142" i="1"/>
  <c r="D139" i="1"/>
  <c r="F139" i="1"/>
  <c r="C139" i="1"/>
  <c r="E139" i="1"/>
  <c r="F136" i="1"/>
  <c r="C136" i="1"/>
  <c r="E136" i="1"/>
  <c r="D136" i="1"/>
  <c r="C133" i="1"/>
  <c r="E133" i="1"/>
  <c r="D133" i="1"/>
  <c r="F133" i="1"/>
  <c r="D130" i="1"/>
  <c r="F130" i="1"/>
  <c r="C130" i="1"/>
  <c r="E130" i="1"/>
  <c r="D127" i="1"/>
  <c r="F127" i="1"/>
  <c r="C127" i="1"/>
  <c r="E127" i="1"/>
  <c r="F124" i="1"/>
  <c r="C124" i="1"/>
  <c r="E124" i="1"/>
  <c r="D124" i="1"/>
  <c r="C121" i="1"/>
  <c r="E121" i="1"/>
  <c r="D121" i="1"/>
  <c r="F121" i="1"/>
  <c r="D118" i="1"/>
  <c r="F118" i="1"/>
  <c r="C118" i="1"/>
  <c r="E118" i="1"/>
  <c r="D115" i="1"/>
  <c r="F115" i="1"/>
  <c r="C115" i="1"/>
  <c r="E115" i="1"/>
  <c r="F112" i="1"/>
  <c r="C112" i="1"/>
  <c r="E112" i="1"/>
  <c r="D112" i="1"/>
  <c r="C109" i="1"/>
  <c r="E109" i="1"/>
  <c r="D109" i="1"/>
  <c r="F109" i="1"/>
  <c r="D106" i="1"/>
  <c r="F106" i="1"/>
  <c r="C106" i="1"/>
  <c r="E106" i="1"/>
  <c r="D103" i="1"/>
  <c r="F103" i="1"/>
  <c r="C103" i="1"/>
  <c r="E103" i="1"/>
  <c r="F100" i="1"/>
  <c r="C100" i="1"/>
  <c r="E100" i="1"/>
  <c r="D100" i="1"/>
  <c r="C97" i="1"/>
  <c r="E97" i="1"/>
  <c r="F97" i="1"/>
  <c r="D97" i="1"/>
  <c r="D94" i="1"/>
  <c r="F94" i="1"/>
  <c r="C94" i="1"/>
  <c r="E94" i="1"/>
  <c r="D91" i="1"/>
  <c r="F91" i="1"/>
  <c r="C91" i="1"/>
  <c r="E91" i="1"/>
  <c r="F88" i="1"/>
  <c r="C88" i="1"/>
  <c r="E88" i="1"/>
  <c r="D88" i="1"/>
  <c r="C85" i="1"/>
  <c r="E85" i="1"/>
  <c r="D85" i="1"/>
  <c r="F85" i="1"/>
  <c r="D82" i="1"/>
  <c r="F82" i="1"/>
  <c r="C82" i="1"/>
  <c r="E82" i="1"/>
  <c r="D79" i="1"/>
  <c r="F79" i="1"/>
  <c r="C79" i="1"/>
  <c r="E79" i="1"/>
  <c r="F76" i="1"/>
  <c r="C76" i="1"/>
  <c r="E76" i="1"/>
  <c r="D76" i="1"/>
  <c r="C73" i="1"/>
  <c r="E73" i="1"/>
  <c r="D73" i="1"/>
  <c r="F73" i="1"/>
  <c r="D70" i="1"/>
  <c r="F70" i="1"/>
  <c r="C70" i="1"/>
  <c r="E70" i="1"/>
  <c r="E215" i="1"/>
  <c r="D215" i="1"/>
  <c r="F215" i="1"/>
  <c r="C215" i="1"/>
  <c r="G215" i="1"/>
  <c r="E203" i="1"/>
  <c r="D203" i="1"/>
  <c r="F203" i="1"/>
  <c r="C203" i="1"/>
  <c r="G203" i="1"/>
  <c r="E191" i="1"/>
  <c r="D191" i="1"/>
  <c r="C191" i="1"/>
  <c r="F191" i="1"/>
  <c r="G191" i="1"/>
  <c r="E179" i="1"/>
  <c r="D179" i="1"/>
  <c r="F179" i="1"/>
  <c r="C179" i="1"/>
  <c r="G179" i="1"/>
  <c r="Q219" i="1"/>
  <c r="G216" i="1"/>
  <c r="E216" i="1"/>
  <c r="D216" i="1"/>
  <c r="F216" i="1"/>
  <c r="C216" i="1"/>
  <c r="Q207" i="1"/>
  <c r="G204" i="1"/>
  <c r="E204" i="1"/>
  <c r="D204" i="1"/>
  <c r="F204" i="1"/>
  <c r="C204" i="1"/>
  <c r="Q195" i="1"/>
  <c r="G192" i="1"/>
  <c r="E192" i="1"/>
  <c r="D192" i="1"/>
  <c r="F192" i="1"/>
  <c r="C192" i="1"/>
  <c r="Q183" i="1"/>
  <c r="G180" i="1"/>
  <c r="E180" i="1"/>
  <c r="D180" i="1"/>
  <c r="F180" i="1"/>
  <c r="C180" i="1"/>
  <c r="Q171" i="1"/>
  <c r="C205" i="1"/>
  <c r="G205" i="1"/>
  <c r="E205" i="1"/>
  <c r="F205" i="1"/>
  <c r="D205" i="1"/>
  <c r="C181" i="1"/>
  <c r="G181" i="1"/>
  <c r="E181" i="1"/>
  <c r="D181" i="1"/>
  <c r="F181" i="1"/>
  <c r="C66" i="1"/>
  <c r="D66" i="1"/>
  <c r="F66" i="1"/>
  <c r="E66" i="1"/>
  <c r="F59" i="1"/>
  <c r="E59" i="1"/>
  <c r="C59" i="1"/>
  <c r="D59" i="1"/>
  <c r="D64" i="1"/>
  <c r="F64" i="1"/>
  <c r="E64" i="1"/>
  <c r="C64" i="1"/>
  <c r="F62" i="1"/>
  <c r="E62" i="1"/>
  <c r="C62" i="1"/>
  <c r="D62" i="1"/>
  <c r="F60" i="1"/>
  <c r="E60" i="1"/>
  <c r="C60" i="1"/>
  <c r="D60" i="1"/>
  <c r="F61" i="1"/>
  <c r="E61" i="1"/>
  <c r="D61" i="1"/>
  <c r="C61" i="1"/>
  <c r="C65" i="1"/>
  <c r="D65" i="1"/>
  <c r="F65" i="1"/>
  <c r="E65" i="1"/>
  <c r="D63" i="1"/>
  <c r="C63" i="1"/>
  <c r="F63" i="1"/>
  <c r="E63" i="1"/>
  <c r="E56" i="1"/>
  <c r="C56" i="1"/>
  <c r="F56" i="1"/>
  <c r="D56" i="1"/>
  <c r="E54" i="1"/>
  <c r="C54" i="1"/>
  <c r="F54" i="1"/>
  <c r="D54" i="1"/>
  <c r="D57" i="1"/>
  <c r="E57" i="1"/>
  <c r="C57" i="1"/>
  <c r="F57" i="1"/>
  <c r="E55" i="1"/>
  <c r="C55" i="1"/>
  <c r="F55" i="1"/>
  <c r="D55" i="1"/>
  <c r="E53" i="1"/>
  <c r="C53" i="1"/>
  <c r="F53" i="1"/>
  <c r="D53" i="1"/>
  <c r="D58" i="1"/>
  <c r="E58" i="1"/>
  <c r="C58" i="1"/>
  <c r="F58" i="1"/>
  <c r="D49" i="1"/>
  <c r="F49" i="1"/>
  <c r="E49" i="1"/>
  <c r="C49" i="1"/>
  <c r="E44" i="1"/>
  <c r="C44" i="1"/>
  <c r="F44" i="1"/>
  <c r="D44" i="1"/>
  <c r="E32" i="1"/>
  <c r="C32" i="1"/>
  <c r="F32" i="1"/>
  <c r="D32" i="1"/>
  <c r="F42" i="1"/>
  <c r="D42" i="1"/>
  <c r="E42" i="1"/>
  <c r="C42" i="1"/>
  <c r="F30" i="1"/>
  <c r="D30" i="1"/>
  <c r="E30" i="1"/>
  <c r="C30" i="1"/>
  <c r="E47" i="1"/>
  <c r="C47" i="1"/>
  <c r="D47" i="1"/>
  <c r="F47" i="1"/>
  <c r="D35" i="1"/>
  <c r="E35" i="1"/>
  <c r="C35" i="1"/>
  <c r="F35" i="1"/>
  <c r="F52" i="1"/>
  <c r="D52" i="1"/>
  <c r="E52" i="1"/>
  <c r="C52" i="1"/>
  <c r="F40" i="1"/>
  <c r="D40" i="1"/>
  <c r="E40" i="1"/>
  <c r="C40" i="1"/>
  <c r="E45" i="1"/>
  <c r="C45" i="1"/>
  <c r="F45" i="1"/>
  <c r="D45" i="1"/>
  <c r="E33" i="1"/>
  <c r="C33" i="1"/>
  <c r="F33" i="1"/>
  <c r="D33" i="1"/>
  <c r="F50" i="1"/>
  <c r="D50" i="1"/>
  <c r="E50" i="1"/>
  <c r="C50" i="1"/>
  <c r="F38" i="1"/>
  <c r="D38" i="1"/>
  <c r="E38" i="1"/>
  <c r="C38" i="1"/>
  <c r="C43" i="1"/>
  <c r="E43" i="1"/>
  <c r="F43" i="1"/>
  <c r="D43" i="1"/>
  <c r="C31" i="1"/>
  <c r="F31" i="1"/>
  <c r="D31" i="1"/>
  <c r="E31" i="1"/>
  <c r="D37" i="1"/>
  <c r="F37" i="1"/>
  <c r="E37" i="1"/>
  <c r="C37" i="1"/>
  <c r="D48" i="1"/>
  <c r="E48" i="1"/>
  <c r="C48" i="1"/>
  <c r="F48" i="1"/>
  <c r="D36" i="1"/>
  <c r="E36" i="1"/>
  <c r="C36" i="1"/>
  <c r="F36" i="1"/>
  <c r="F41" i="1"/>
  <c r="D41" i="1"/>
  <c r="E41" i="1"/>
  <c r="C41" i="1"/>
  <c r="F29" i="1"/>
  <c r="D29" i="1"/>
  <c r="E29" i="1"/>
  <c r="C29" i="1"/>
  <c r="E46" i="1"/>
  <c r="C46" i="1"/>
  <c r="F46" i="1"/>
  <c r="D46" i="1"/>
  <c r="E34" i="1"/>
  <c r="C34" i="1"/>
  <c r="F34" i="1"/>
  <c r="D34" i="1"/>
  <c r="F51" i="1"/>
  <c r="D51" i="1"/>
  <c r="E51" i="1"/>
  <c r="C51" i="1"/>
  <c r="F39" i="1"/>
  <c r="D39" i="1"/>
  <c r="E39" i="1"/>
  <c r="C39" i="1"/>
  <c r="E27" i="1"/>
  <c r="F27" i="1"/>
  <c r="C27" i="1"/>
  <c r="D27" i="1"/>
  <c r="F25" i="1"/>
  <c r="C25" i="1"/>
  <c r="D25" i="1"/>
  <c r="E25" i="1"/>
  <c r="F26" i="1"/>
  <c r="C26" i="1"/>
  <c r="D26" i="1"/>
  <c r="E26" i="1"/>
  <c r="J84" i="1"/>
  <c r="N84" i="1" s="1"/>
  <c r="I81" i="2" s="1"/>
  <c r="J147" i="1"/>
  <c r="L147" i="1" s="1"/>
  <c r="G144" i="2" s="1"/>
  <c r="J144" i="1"/>
  <c r="K144" i="1" s="1"/>
  <c r="F141" i="2" s="1"/>
  <c r="J141" i="1"/>
  <c r="N141" i="1" s="1"/>
  <c r="I138" i="2" s="1"/>
  <c r="J138" i="1"/>
  <c r="J135" i="1"/>
  <c r="J132" i="1"/>
  <c r="K132" i="1" s="1"/>
  <c r="F129" i="2" s="1"/>
  <c r="J129" i="1"/>
  <c r="M129" i="1" s="1"/>
  <c r="H126" i="2" s="1"/>
  <c r="J126" i="1"/>
  <c r="K126" i="1" s="1"/>
  <c r="F123" i="2" s="1"/>
  <c r="J146" i="1"/>
  <c r="N146" i="1" s="1"/>
  <c r="I143" i="2" s="1"/>
  <c r="J143" i="1"/>
  <c r="Q143" i="1" s="1"/>
  <c r="L140" i="2" s="1"/>
  <c r="J140" i="1"/>
  <c r="Q140" i="1" s="1"/>
  <c r="L137" i="2" s="1"/>
  <c r="J137" i="1"/>
  <c r="J134" i="1"/>
  <c r="J131" i="1"/>
  <c r="Q131" i="1" s="1"/>
  <c r="L128" i="2" s="1"/>
  <c r="J128" i="1"/>
  <c r="K128" i="1" s="1"/>
  <c r="F125" i="2" s="1"/>
  <c r="J125" i="1"/>
  <c r="K125" i="1" s="1"/>
  <c r="F122" i="2" s="1"/>
  <c r="J120" i="1"/>
  <c r="K120" i="1" s="1"/>
  <c r="F117" i="2" s="1"/>
  <c r="J117" i="1"/>
  <c r="Q118" i="1" s="1"/>
  <c r="L115" i="2" s="1"/>
  <c r="J114" i="1"/>
  <c r="Q115" i="1" s="1"/>
  <c r="L112" i="2" s="1"/>
  <c r="J108" i="1"/>
  <c r="K108" i="1" s="1"/>
  <c r="F105" i="2" s="1"/>
  <c r="J72" i="1"/>
  <c r="L72" i="1" s="1"/>
  <c r="G69" i="2" s="1"/>
  <c r="J112" i="1"/>
  <c r="K112" i="1" s="1"/>
  <c r="F109" i="2" s="1"/>
  <c r="J103" i="1"/>
  <c r="N103" i="1" s="1"/>
  <c r="I100" i="2" s="1"/>
  <c r="J119" i="1"/>
  <c r="Q119" i="1" s="1"/>
  <c r="L116" i="2" s="1"/>
  <c r="J116" i="1"/>
  <c r="Q116" i="1" s="1"/>
  <c r="L113" i="2" s="1"/>
  <c r="J113" i="1"/>
  <c r="M113" i="1" s="1"/>
  <c r="H110" i="2" s="1"/>
  <c r="J110" i="1"/>
  <c r="Q110" i="1" s="1"/>
  <c r="L107" i="2" s="1"/>
  <c r="J107" i="1"/>
  <c r="J104" i="1"/>
  <c r="J97" i="1"/>
  <c r="K97" i="1" s="1"/>
  <c r="F94" i="2" s="1"/>
  <c r="J94" i="1"/>
  <c r="L94" i="1" s="1"/>
  <c r="G91" i="2" s="1"/>
  <c r="J95" i="1"/>
  <c r="N95" i="1" s="1"/>
  <c r="I92" i="2" s="1"/>
  <c r="J85" i="1"/>
  <c r="N85" i="1" s="1"/>
  <c r="I82" i="2" s="1"/>
  <c r="J82" i="1"/>
  <c r="L82" i="1" s="1"/>
  <c r="G79" i="2" s="1"/>
  <c r="J89" i="1"/>
  <c r="M89" i="1" s="1"/>
  <c r="H86" i="2" s="1"/>
  <c r="J83" i="1"/>
  <c r="M83" i="1" s="1"/>
  <c r="H80" i="2" s="1"/>
  <c r="J74" i="1"/>
  <c r="M74" i="1" s="1"/>
  <c r="H71" i="2" s="1"/>
  <c r="J71" i="1"/>
  <c r="L71" i="1" s="1"/>
  <c r="G68" i="2" s="1"/>
  <c r="J70" i="1"/>
  <c r="F760" i="1"/>
  <c r="J111" i="1"/>
  <c r="J88" i="1"/>
  <c r="L88" i="1" s="1"/>
  <c r="G85" i="2" s="1"/>
  <c r="J86" i="1"/>
  <c r="J87" i="1"/>
  <c r="M87" i="1" s="1"/>
  <c r="H84" i="2" s="1"/>
  <c r="J77" i="1"/>
  <c r="L77" i="1" s="1"/>
  <c r="G74" i="2" s="1"/>
  <c r="J76" i="1"/>
  <c r="J66" i="1"/>
  <c r="J81" i="1"/>
  <c r="L81" i="1" s="1"/>
  <c r="G78" i="2" s="1"/>
  <c r="J80" i="1"/>
  <c r="N80" i="1" s="1"/>
  <c r="I77" i="2" s="1"/>
  <c r="J79" i="1"/>
  <c r="J78" i="1"/>
  <c r="N78" i="1" s="1"/>
  <c r="I75" i="2" s="1"/>
  <c r="M169" i="1"/>
  <c r="K169" i="1"/>
  <c r="F166" i="2" s="1"/>
  <c r="N169" i="1"/>
  <c r="I166" i="2" s="1"/>
  <c r="L169" i="1"/>
  <c r="N166" i="1"/>
  <c r="I163" i="2" s="1"/>
  <c r="L166" i="1"/>
  <c r="M166" i="1"/>
  <c r="K166" i="1"/>
  <c r="F163" i="2" s="1"/>
  <c r="N165" i="1"/>
  <c r="I162" i="2" s="1"/>
  <c r="L165" i="1"/>
  <c r="M165" i="1"/>
  <c r="K165" i="1"/>
  <c r="F162" i="2" s="1"/>
  <c r="M163" i="1"/>
  <c r="N163" i="1"/>
  <c r="I160" i="2" s="1"/>
  <c r="L163" i="1"/>
  <c r="K163" i="1"/>
  <c r="F160" i="2" s="1"/>
  <c r="M168" i="1"/>
  <c r="K168" i="1"/>
  <c r="F165" i="2" s="1"/>
  <c r="N168" i="1"/>
  <c r="I165" i="2" s="1"/>
  <c r="L168" i="1"/>
  <c r="K167" i="1"/>
  <c r="F164" i="2" s="1"/>
  <c r="N167" i="1"/>
  <c r="I164" i="2" s="1"/>
  <c r="L167" i="1"/>
  <c r="M167" i="1"/>
  <c r="M164" i="1"/>
  <c r="K164" i="1"/>
  <c r="F161" i="2" s="1"/>
  <c r="N164" i="1"/>
  <c r="I161" i="2" s="1"/>
  <c r="L164" i="1"/>
  <c r="N162" i="1"/>
  <c r="I159" i="2" s="1"/>
  <c r="L162" i="1"/>
  <c r="M162" i="1"/>
  <c r="K162" i="1"/>
  <c r="F159" i="2" s="1"/>
  <c r="N161" i="1"/>
  <c r="I158" i="2" s="1"/>
  <c r="L161" i="1"/>
  <c r="M161" i="1"/>
  <c r="K161" i="1"/>
  <c r="F158" i="2" s="1"/>
  <c r="N158" i="1"/>
  <c r="I155" i="2" s="1"/>
  <c r="L158" i="1"/>
  <c r="M158" i="1"/>
  <c r="K158" i="1"/>
  <c r="F155" i="2" s="1"/>
  <c r="N155" i="1"/>
  <c r="I152" i="2" s="1"/>
  <c r="L155" i="1"/>
  <c r="M155" i="1"/>
  <c r="K155" i="1"/>
  <c r="F152" i="2" s="1"/>
  <c r="M152" i="1"/>
  <c r="H149" i="2" s="1"/>
  <c r="K152" i="1"/>
  <c r="F149" i="2" s="1"/>
  <c r="N152" i="1"/>
  <c r="I149" i="2" s="1"/>
  <c r="L152" i="1"/>
  <c r="G149" i="2" s="1"/>
  <c r="K151" i="1"/>
  <c r="F148" i="2" s="1"/>
  <c r="N151" i="1"/>
  <c r="I148" i="2" s="1"/>
  <c r="L151" i="1"/>
  <c r="G148" i="2" s="1"/>
  <c r="M151" i="1"/>
  <c r="H148" i="2" s="1"/>
  <c r="L149" i="1"/>
  <c r="G146" i="2" s="1"/>
  <c r="M149" i="1"/>
  <c r="H146" i="2" s="1"/>
  <c r="K149" i="1"/>
  <c r="F146" i="2" s="1"/>
  <c r="N149" i="1"/>
  <c r="I146" i="2" s="1"/>
  <c r="M147" i="1"/>
  <c r="H144" i="2" s="1"/>
  <c r="N147" i="1"/>
  <c r="I144" i="2" s="1"/>
  <c r="M159" i="1"/>
  <c r="K159" i="1"/>
  <c r="F156" i="2" s="1"/>
  <c r="N159" i="1"/>
  <c r="I156" i="2" s="1"/>
  <c r="L159" i="1"/>
  <c r="M156" i="1"/>
  <c r="K156" i="1"/>
  <c r="F153" i="2" s="1"/>
  <c r="N156" i="1"/>
  <c r="I153" i="2" s="1"/>
  <c r="L156" i="1"/>
  <c r="M153" i="1"/>
  <c r="H150" i="2" s="1"/>
  <c r="K153" i="1"/>
  <c r="F150" i="2" s="1"/>
  <c r="N153" i="1"/>
  <c r="I150" i="2" s="1"/>
  <c r="L153" i="1"/>
  <c r="G150" i="2" s="1"/>
  <c r="N150" i="1"/>
  <c r="I147" i="2" s="1"/>
  <c r="L150" i="1"/>
  <c r="G147" i="2" s="1"/>
  <c r="M150" i="1"/>
  <c r="H147" i="2" s="1"/>
  <c r="K150" i="1"/>
  <c r="F147" i="2" s="1"/>
  <c r="M160" i="1"/>
  <c r="K160" i="1"/>
  <c r="F157" i="2" s="1"/>
  <c r="N160" i="1"/>
  <c r="I157" i="2" s="1"/>
  <c r="L160" i="1"/>
  <c r="N157" i="1"/>
  <c r="I154" i="2" s="1"/>
  <c r="M157" i="1"/>
  <c r="K157" i="1"/>
  <c r="F154" i="2" s="1"/>
  <c r="L157" i="1"/>
  <c r="N154" i="1"/>
  <c r="I151" i="2" s="1"/>
  <c r="L154" i="1"/>
  <c r="G151" i="2" s="1"/>
  <c r="M154" i="1"/>
  <c r="H151" i="2" s="1"/>
  <c r="K154" i="1"/>
  <c r="F151" i="2" s="1"/>
  <c r="M148" i="1"/>
  <c r="H145" i="2" s="1"/>
  <c r="K148" i="1"/>
  <c r="F145" i="2" s="1"/>
  <c r="N148" i="1"/>
  <c r="I145" i="2" s="1"/>
  <c r="L148" i="1"/>
  <c r="G145" i="2" s="1"/>
  <c r="J93" i="1"/>
  <c r="J90" i="1"/>
  <c r="M90" i="1" s="1"/>
  <c r="H87" i="2" s="1"/>
  <c r="J92" i="1"/>
  <c r="N92" i="1" s="1"/>
  <c r="I89" i="2" s="1"/>
  <c r="J91" i="1"/>
  <c r="J101" i="1"/>
  <c r="J100" i="1"/>
  <c r="L100" i="1" s="1"/>
  <c r="G97" i="2" s="1"/>
  <c r="J99" i="1"/>
  <c r="L99" i="1" s="1"/>
  <c r="G96" i="2" s="1"/>
  <c r="J98" i="1"/>
  <c r="J75" i="1"/>
  <c r="L145" i="1"/>
  <c r="G142" i="2" s="1"/>
  <c r="M145" i="1"/>
  <c r="H142" i="2" s="1"/>
  <c r="K145" i="1"/>
  <c r="F142" i="2" s="1"/>
  <c r="N145" i="1"/>
  <c r="I142" i="2" s="1"/>
  <c r="N142" i="1"/>
  <c r="I139" i="2" s="1"/>
  <c r="L142" i="1"/>
  <c r="G139" i="2" s="1"/>
  <c r="M142" i="1"/>
  <c r="H139" i="2" s="1"/>
  <c r="K142" i="1"/>
  <c r="F139" i="2" s="1"/>
  <c r="M141" i="1"/>
  <c r="H138" i="2" s="1"/>
  <c r="K141" i="1"/>
  <c r="F138" i="2" s="1"/>
  <c r="N138" i="1"/>
  <c r="I135" i="2" s="1"/>
  <c r="L138" i="1"/>
  <c r="G135" i="2" s="1"/>
  <c r="M138" i="1"/>
  <c r="H135" i="2" s="1"/>
  <c r="K138" i="1"/>
  <c r="F135" i="2" s="1"/>
  <c r="M136" i="1"/>
  <c r="H133" i="2" s="1"/>
  <c r="K136" i="1"/>
  <c r="F133" i="2" s="1"/>
  <c r="N136" i="1"/>
  <c r="I133" i="2" s="1"/>
  <c r="L136" i="1"/>
  <c r="G133" i="2" s="1"/>
  <c r="N135" i="1"/>
  <c r="I132" i="2" s="1"/>
  <c r="L135" i="1"/>
  <c r="G132" i="2" s="1"/>
  <c r="M135" i="1"/>
  <c r="H132" i="2" s="1"/>
  <c r="K135" i="1"/>
  <c r="F132" i="2" s="1"/>
  <c r="N134" i="1"/>
  <c r="I131" i="2" s="1"/>
  <c r="L134" i="1"/>
  <c r="G131" i="2" s="1"/>
  <c r="N133" i="1"/>
  <c r="I130" i="2" s="1"/>
  <c r="M132" i="1"/>
  <c r="H129" i="2" s="1"/>
  <c r="N132" i="1"/>
  <c r="I129" i="2" s="1"/>
  <c r="L132" i="1"/>
  <c r="G129" i="2" s="1"/>
  <c r="N131" i="1"/>
  <c r="I128" i="2" s="1"/>
  <c r="N130" i="1"/>
  <c r="I127" i="2" s="1"/>
  <c r="L130" i="1"/>
  <c r="G127" i="2" s="1"/>
  <c r="M130" i="1"/>
  <c r="H127" i="2" s="1"/>
  <c r="K130" i="1"/>
  <c r="F127" i="2" s="1"/>
  <c r="L129" i="1"/>
  <c r="G126" i="2" s="1"/>
  <c r="K129" i="1"/>
  <c r="F126" i="2" s="1"/>
  <c r="N129" i="1"/>
  <c r="I126" i="2" s="1"/>
  <c r="M128" i="1"/>
  <c r="H125" i="2" s="1"/>
  <c r="N128" i="1"/>
  <c r="I125" i="2" s="1"/>
  <c r="N126" i="1"/>
  <c r="I123" i="2" s="1"/>
  <c r="L126" i="1"/>
  <c r="G123" i="2" s="1"/>
  <c r="M126" i="1"/>
  <c r="H123" i="2" s="1"/>
  <c r="N125" i="1"/>
  <c r="I122" i="2" s="1"/>
  <c r="M125" i="1"/>
  <c r="H122" i="2" s="1"/>
  <c r="N123" i="1"/>
  <c r="I120" i="2" s="1"/>
  <c r="L123" i="1"/>
  <c r="G120" i="2" s="1"/>
  <c r="M123" i="1"/>
  <c r="H120" i="2" s="1"/>
  <c r="N122" i="1"/>
  <c r="I119" i="2" s="1"/>
  <c r="L122" i="1"/>
  <c r="G119" i="2" s="1"/>
  <c r="M122" i="1"/>
  <c r="H119" i="2" s="1"/>
  <c r="K122" i="1"/>
  <c r="F119" i="2" s="1"/>
  <c r="L121" i="1"/>
  <c r="G118" i="2" s="1"/>
  <c r="M121" i="1"/>
  <c r="H118" i="2" s="1"/>
  <c r="K121" i="1"/>
  <c r="F118" i="2" s="1"/>
  <c r="N121" i="1"/>
  <c r="I118" i="2" s="1"/>
  <c r="M120" i="1"/>
  <c r="H117" i="2" s="1"/>
  <c r="N120" i="1"/>
  <c r="I117" i="2" s="1"/>
  <c r="L120" i="1"/>
  <c r="G117" i="2" s="1"/>
  <c r="N119" i="1"/>
  <c r="I116" i="2" s="1"/>
  <c r="N118" i="1"/>
  <c r="I115" i="2" s="1"/>
  <c r="L118" i="1"/>
  <c r="G115" i="2" s="1"/>
  <c r="M118" i="1"/>
  <c r="H115" i="2" s="1"/>
  <c r="K118" i="1"/>
  <c r="F115" i="2" s="1"/>
  <c r="J124" i="1"/>
  <c r="M106" i="1"/>
  <c r="H103" i="2" s="1"/>
  <c r="K106" i="1"/>
  <c r="F103" i="2" s="1"/>
  <c r="N106" i="1"/>
  <c r="I103" i="2" s="1"/>
  <c r="L106" i="1"/>
  <c r="G103" i="2" s="1"/>
  <c r="M100" i="1"/>
  <c r="H97" i="2" s="1"/>
  <c r="N97" i="1"/>
  <c r="I94" i="2" s="1"/>
  <c r="K104" i="1"/>
  <c r="F101" i="2" s="1"/>
  <c r="L104" i="1"/>
  <c r="G101" i="2" s="1"/>
  <c r="M104" i="1"/>
  <c r="H101" i="2" s="1"/>
  <c r="N104" i="1"/>
  <c r="I101" i="2" s="1"/>
  <c r="K117" i="1"/>
  <c r="F114" i="2" s="1"/>
  <c r="L117" i="1"/>
  <c r="G114" i="2" s="1"/>
  <c r="M117" i="1"/>
  <c r="H114" i="2" s="1"/>
  <c r="L115" i="1"/>
  <c r="G112" i="2" s="1"/>
  <c r="M115" i="1"/>
  <c r="H112" i="2" s="1"/>
  <c r="N115" i="1"/>
  <c r="I112" i="2" s="1"/>
  <c r="K115" i="1"/>
  <c r="F112" i="2" s="1"/>
  <c r="L114" i="1"/>
  <c r="G111" i="2" s="1"/>
  <c r="N113" i="1"/>
  <c r="I110" i="2" s="1"/>
  <c r="K113" i="1"/>
  <c r="F110" i="2" s="1"/>
  <c r="L113" i="1"/>
  <c r="G110" i="2" s="1"/>
  <c r="L111" i="1"/>
  <c r="G108" i="2" s="1"/>
  <c r="M111" i="1"/>
  <c r="H108" i="2" s="1"/>
  <c r="N111" i="1"/>
  <c r="I108" i="2" s="1"/>
  <c r="K111" i="1"/>
  <c r="F108" i="2" s="1"/>
  <c r="M110" i="1"/>
  <c r="H107" i="2" s="1"/>
  <c r="L110" i="1"/>
  <c r="G107" i="2" s="1"/>
  <c r="N110" i="1"/>
  <c r="I107" i="2" s="1"/>
  <c r="N109" i="1"/>
  <c r="I106" i="2" s="1"/>
  <c r="K109" i="1"/>
  <c r="F106" i="2" s="1"/>
  <c r="L109" i="1"/>
  <c r="G106" i="2" s="1"/>
  <c r="M109" i="1"/>
  <c r="H106" i="2" s="1"/>
  <c r="J69" i="1"/>
  <c r="J73" i="1"/>
  <c r="N88" i="1"/>
  <c r="I85" i="2" s="1"/>
  <c r="J68" i="1"/>
  <c r="J67" i="1"/>
  <c r="J63" i="1"/>
  <c r="J62" i="1"/>
  <c r="M62" i="1" s="1"/>
  <c r="H59" i="2" s="1"/>
  <c r="J58" i="1"/>
  <c r="J39" i="1"/>
  <c r="C803" i="1"/>
  <c r="J41" i="1"/>
  <c r="F960" i="1"/>
  <c r="G959" i="1"/>
  <c r="C972" i="1"/>
  <c r="G963" i="1"/>
  <c r="E865" i="1"/>
  <c r="G776" i="1"/>
  <c r="F658" i="1"/>
  <c r="C929" i="1"/>
  <c r="G928" i="1"/>
  <c r="C915" i="1"/>
  <c r="C865" i="1"/>
  <c r="F972" i="1"/>
  <c r="G943" i="1"/>
  <c r="G893" i="1"/>
  <c r="E807" i="1"/>
  <c r="F731" i="1"/>
  <c r="J50" i="1"/>
  <c r="F937" i="1"/>
  <c r="C848" i="1"/>
  <c r="C825" i="1"/>
  <c r="G824" i="1"/>
  <c r="G800" i="1"/>
  <c r="F963" i="1"/>
  <c r="G825" i="1"/>
  <c r="C976" i="1"/>
  <c r="C963" i="1"/>
  <c r="G956" i="1"/>
  <c r="E955" i="1"/>
  <c r="E954" i="1"/>
  <c r="E925" i="1"/>
  <c r="G899" i="1"/>
  <c r="D881" i="1"/>
  <c r="G870" i="1"/>
  <c r="G865" i="1"/>
  <c r="F848" i="1"/>
  <c r="C840" i="1"/>
  <c r="F839" i="1"/>
  <c r="F825" i="1"/>
  <c r="E822" i="1"/>
  <c r="G821" i="1"/>
  <c r="G816" i="1"/>
  <c r="F685" i="1"/>
  <c r="J28" i="1"/>
  <c r="J44" i="1"/>
  <c r="J46" i="1"/>
  <c r="J59" i="1"/>
  <c r="J65" i="1"/>
  <c r="J60" i="1"/>
  <c r="J64" i="1"/>
  <c r="J61" i="1"/>
  <c r="J52" i="1"/>
  <c r="J51" i="1"/>
  <c r="J47" i="1"/>
  <c r="J49" i="1"/>
  <c r="J48" i="1"/>
  <c r="J45" i="1"/>
  <c r="E994" i="1"/>
  <c r="F993" i="1"/>
  <c r="F984" i="1"/>
  <c r="D969" i="1"/>
  <c r="F947" i="1"/>
  <c r="E913" i="1"/>
  <c r="E912" i="1"/>
  <c r="C858" i="1"/>
  <c r="F857" i="1"/>
  <c r="F737" i="1"/>
  <c r="F721" i="1"/>
  <c r="D715" i="1"/>
  <c r="F696" i="1"/>
  <c r="F683" i="1"/>
  <c r="F650" i="1"/>
  <c r="D977" i="1"/>
  <c r="G976" i="1"/>
  <c r="E956" i="1"/>
  <c r="F955" i="1"/>
  <c r="E952" i="1"/>
  <c r="G951" i="1"/>
  <c r="G950" i="1"/>
  <c r="F939" i="1"/>
  <c r="F929" i="1"/>
  <c r="C925" i="1"/>
  <c r="G923" i="1"/>
  <c r="G920" i="1"/>
  <c r="F915" i="1"/>
  <c r="C899" i="1"/>
  <c r="E881" i="1"/>
  <c r="D843" i="1"/>
  <c r="E825" i="1"/>
  <c r="G822" i="1"/>
  <c r="F819" i="1"/>
  <c r="F816" i="1"/>
  <c r="G809" i="1"/>
  <c r="F803" i="1"/>
  <c r="E800" i="1"/>
  <c r="E969" i="1"/>
  <c r="F913" i="1"/>
  <c r="C921" i="1"/>
  <c r="G909" i="1"/>
  <c r="F904" i="1"/>
  <c r="D903" i="1"/>
  <c r="G902" i="1"/>
  <c r="C900" i="1"/>
  <c r="E897" i="1"/>
  <c r="C893" i="1"/>
  <c r="F889" i="1"/>
  <c r="F877" i="1"/>
  <c r="C864" i="1"/>
  <c r="G861" i="1"/>
  <c r="F855" i="1"/>
  <c r="C836" i="1"/>
  <c r="E801" i="1"/>
  <c r="F793" i="1"/>
  <c r="G792" i="1"/>
  <c r="D769" i="1"/>
  <c r="D755" i="1"/>
  <c r="F751" i="1"/>
  <c r="D747" i="1"/>
  <c r="D746" i="1"/>
  <c r="D679" i="1"/>
  <c r="F679" i="1"/>
  <c r="D642" i="1"/>
  <c r="D712" i="1"/>
  <c r="D647" i="1"/>
  <c r="D635" i="1"/>
  <c r="E993" i="1"/>
  <c r="G989" i="1"/>
  <c r="G968" i="1"/>
  <c r="F962" i="1"/>
  <c r="G949" i="1"/>
  <c r="G921" i="1"/>
  <c r="G996" i="1"/>
  <c r="E962" i="1"/>
  <c r="F949" i="1"/>
  <c r="G946" i="1"/>
  <c r="F921" i="1"/>
  <c r="E920" i="1"/>
  <c r="F893" i="1"/>
  <c r="G864" i="1"/>
  <c r="E839" i="1"/>
  <c r="F752" i="1"/>
  <c r="D744" i="1"/>
  <c r="D713" i="1"/>
  <c r="F677" i="1"/>
  <c r="G962" i="1"/>
  <c r="D993" i="1"/>
  <c r="F989" i="1"/>
  <c r="E968" i="1"/>
  <c r="E963" i="1"/>
  <c r="G998" i="1"/>
  <c r="F996" i="1"/>
  <c r="G993" i="1"/>
  <c r="C992" i="1"/>
  <c r="E989" i="1"/>
  <c r="C988" i="1"/>
  <c r="G980" i="1"/>
  <c r="E978" i="1"/>
  <c r="E977" i="1"/>
  <c r="E973" i="1"/>
  <c r="G972" i="1"/>
  <c r="F969" i="1"/>
  <c r="C968" i="1"/>
  <c r="F967" i="1"/>
  <c r="G966" i="1"/>
  <c r="G965" i="1"/>
  <c r="C962" i="1"/>
  <c r="D949" i="1"/>
  <c r="F946" i="1"/>
  <c r="F934" i="1"/>
  <c r="G929" i="1"/>
  <c r="G925" i="1"/>
  <c r="D921" i="1"/>
  <c r="C920" i="1"/>
  <c r="G906" i="1"/>
  <c r="F905" i="1"/>
  <c r="G904" i="1"/>
  <c r="F900" i="1"/>
  <c r="E893" i="1"/>
  <c r="F881" i="1"/>
  <c r="F865" i="1"/>
  <c r="F864" i="1"/>
  <c r="F849" i="1"/>
  <c r="G848" i="1"/>
  <c r="G838" i="1"/>
  <c r="G836" i="1"/>
  <c r="G813" i="1"/>
  <c r="F804" i="1"/>
  <c r="G803" i="1"/>
  <c r="G797" i="1"/>
  <c r="F790" i="1"/>
  <c r="F784" i="1"/>
  <c r="F773" i="1"/>
  <c r="F769" i="1"/>
  <c r="F755" i="1"/>
  <c r="F747" i="1"/>
  <c r="D728" i="1"/>
  <c r="G988" i="1"/>
  <c r="F976" i="1"/>
  <c r="G973" i="1"/>
  <c r="G970" i="1"/>
  <c r="G954" i="1"/>
  <c r="E943" i="1"/>
  <c r="E929" i="1"/>
  <c r="F918" i="1"/>
  <c r="G912" i="1"/>
  <c r="F903" i="1"/>
  <c r="F896" i="1"/>
  <c r="D880" i="1"/>
  <c r="F880" i="1"/>
  <c r="D869" i="1"/>
  <c r="G869" i="1"/>
  <c r="E859" i="1"/>
  <c r="G859" i="1"/>
  <c r="D856" i="1"/>
  <c r="G856" i="1"/>
  <c r="E835" i="1"/>
  <c r="C835" i="1"/>
  <c r="D835" i="1"/>
  <c r="F835" i="1"/>
  <c r="F988" i="1"/>
  <c r="F985" i="1"/>
  <c r="G984" i="1"/>
  <c r="F977" i="1"/>
  <c r="E976" i="1"/>
  <c r="F973" i="1"/>
  <c r="E970" i="1"/>
  <c r="F968" i="1"/>
  <c r="F954" i="1"/>
  <c r="G952" i="1"/>
  <c r="C943" i="1"/>
  <c r="F942" i="1"/>
  <c r="G938" i="1"/>
  <c r="G935" i="1"/>
  <c r="G934" i="1"/>
  <c r="G931" i="1"/>
  <c r="F925" i="1"/>
  <c r="F920" i="1"/>
  <c r="E918" i="1"/>
  <c r="G915" i="1"/>
  <c r="F912" i="1"/>
  <c r="C897" i="1"/>
  <c r="D897" i="1"/>
  <c r="C884" i="1"/>
  <c r="G884" i="1"/>
  <c r="G880" i="1"/>
  <c r="C852" i="1"/>
  <c r="G852" i="1"/>
  <c r="E842" i="1"/>
  <c r="C842" i="1"/>
  <c r="G842" i="1"/>
  <c r="E841" i="1"/>
  <c r="C841" i="1"/>
  <c r="D841" i="1"/>
  <c r="F841" i="1"/>
  <c r="D896" i="1"/>
  <c r="G896" i="1"/>
  <c r="F887" i="1"/>
  <c r="E880" i="1"/>
  <c r="G877" i="1"/>
  <c r="C874" i="1"/>
  <c r="G874" i="1"/>
  <c r="C873" i="1"/>
  <c r="E873" i="1"/>
  <c r="D872" i="1"/>
  <c r="E872" i="1"/>
  <c r="G872" i="1"/>
  <c r="D833" i="1"/>
  <c r="E833" i="1"/>
  <c r="F833" i="1"/>
  <c r="F943" i="1"/>
  <c r="E899" i="1"/>
  <c r="D899" i="1"/>
  <c r="D888" i="1"/>
  <c r="G888" i="1"/>
  <c r="E867" i="1"/>
  <c r="G867" i="1"/>
  <c r="D845" i="1"/>
  <c r="F845" i="1"/>
  <c r="D829" i="1"/>
  <c r="C829" i="1"/>
  <c r="E829" i="1"/>
  <c r="F829" i="1"/>
  <c r="D849" i="1"/>
  <c r="F824" i="1"/>
  <c r="C819" i="1"/>
  <c r="G817" i="1"/>
  <c r="G811" i="1"/>
  <c r="D807" i="1"/>
  <c r="C804" i="1"/>
  <c r="D801" i="1"/>
  <c r="F797" i="1"/>
  <c r="E793" i="1"/>
  <c r="F792" i="1"/>
  <c r="E790" i="1"/>
  <c r="G789" i="1"/>
  <c r="G787" i="1"/>
  <c r="E784" i="1"/>
  <c r="F768" i="1"/>
  <c r="F761" i="1"/>
  <c r="F753" i="1"/>
  <c r="F745" i="1"/>
  <c r="F736" i="1"/>
  <c r="F720" i="1"/>
  <c r="F718" i="1"/>
  <c r="F703" i="1"/>
  <c r="F697" i="1"/>
  <c r="F695" i="1"/>
  <c r="F681" i="1"/>
  <c r="F655" i="1"/>
  <c r="F647" i="1"/>
  <c r="E824" i="1"/>
  <c r="G808" i="1"/>
  <c r="E797" i="1"/>
  <c r="D793" i="1"/>
  <c r="E792" i="1"/>
  <c r="F787" i="1"/>
  <c r="F771" i="1"/>
  <c r="F711" i="1"/>
  <c r="F707" i="1"/>
  <c r="F702" i="1"/>
  <c r="F691" i="1"/>
  <c r="F675" i="1"/>
  <c r="F654" i="1"/>
  <c r="E864" i="1"/>
  <c r="E848" i="1"/>
  <c r="G840" i="1"/>
  <c r="G826" i="1"/>
  <c r="C824" i="1"/>
  <c r="G819" i="1"/>
  <c r="F808" i="1"/>
  <c r="D803" i="1"/>
  <c r="C797" i="1"/>
  <c r="G793" i="1"/>
  <c r="F785" i="1"/>
  <c r="G784" i="1"/>
  <c r="D771" i="1"/>
  <c r="D753" i="1"/>
  <c r="D745" i="1"/>
  <c r="F729" i="1"/>
  <c r="F715" i="1"/>
  <c r="F705" i="1"/>
  <c r="D697" i="1"/>
  <c r="D695" i="1"/>
  <c r="F689" i="1"/>
  <c r="F687" i="1"/>
  <c r="F673" i="1"/>
  <c r="F671" i="1"/>
  <c r="F661" i="1"/>
  <c r="F659" i="1"/>
  <c r="F651" i="1"/>
  <c r="E997" i="1"/>
  <c r="C996" i="1"/>
  <c r="F992" i="1"/>
  <c r="C989" i="1"/>
  <c r="D987" i="1"/>
  <c r="E985" i="1"/>
  <c r="E984" i="1"/>
  <c r="F981" i="1"/>
  <c r="F980" i="1"/>
  <c r="G977" i="1"/>
  <c r="C973" i="1"/>
  <c r="F971" i="1"/>
  <c r="G969" i="1"/>
  <c r="F965" i="1"/>
  <c r="F959" i="1"/>
  <c r="D955" i="1"/>
  <c r="C954" i="1"/>
  <c r="F953" i="1"/>
  <c r="F950" i="1"/>
  <c r="C949" i="1"/>
  <c r="E947" i="1"/>
  <c r="E946" i="1"/>
  <c r="G941" i="1"/>
  <c r="E939" i="1"/>
  <c r="F938" i="1"/>
  <c r="F935" i="1"/>
  <c r="C934" i="1"/>
  <c r="G932" i="1"/>
  <c r="F931" i="1"/>
  <c r="F928" i="1"/>
  <c r="F919" i="1"/>
  <c r="G916" i="1"/>
  <c r="D913" i="1"/>
  <c r="C912" i="1"/>
  <c r="F909" i="1"/>
  <c r="E906" i="1"/>
  <c r="E905" i="1"/>
  <c r="E904" i="1"/>
  <c r="G901" i="1"/>
  <c r="G897" i="1"/>
  <c r="C896" i="1"/>
  <c r="G890" i="1"/>
  <c r="E889" i="1"/>
  <c r="F888" i="1"/>
  <c r="G886" i="1"/>
  <c r="G883" i="1"/>
  <c r="G881" i="1"/>
  <c r="C877" i="1"/>
  <c r="G875" i="1"/>
  <c r="D873" i="1"/>
  <c r="C872" i="1"/>
  <c r="F871" i="1"/>
  <c r="E869" i="1"/>
  <c r="G868" i="1"/>
  <c r="F867" i="1"/>
  <c r="F861" i="1"/>
  <c r="E857" i="1"/>
  <c r="F856" i="1"/>
  <c r="G854" i="1"/>
  <c r="G851" i="1"/>
  <c r="G849" i="1"/>
  <c r="C849" i="1"/>
  <c r="C845" i="1"/>
  <c r="G843" i="1"/>
  <c r="D837" i="1"/>
  <c r="G837" i="1"/>
  <c r="G832" i="1"/>
  <c r="E827" i="1"/>
  <c r="G827" i="1"/>
  <c r="F817" i="1"/>
  <c r="D813" i="1"/>
  <c r="F813" i="1"/>
  <c r="D811" i="1"/>
  <c r="F809" i="1"/>
  <c r="C801" i="1"/>
  <c r="G801" i="1"/>
  <c r="D791" i="1"/>
  <c r="F791" i="1"/>
  <c r="E779" i="1"/>
  <c r="G779" i="1"/>
  <c r="G777" i="1"/>
  <c r="D776" i="1"/>
  <c r="E776" i="1"/>
  <c r="G992" i="1"/>
  <c r="C997" i="1"/>
  <c r="D995" i="1"/>
  <c r="E992" i="1"/>
  <c r="G990" i="1"/>
  <c r="E986" i="1"/>
  <c r="D985" i="1"/>
  <c r="C984" i="1"/>
  <c r="E981" i="1"/>
  <c r="C980" i="1"/>
  <c r="D971" i="1"/>
  <c r="E965" i="1"/>
  <c r="C959" i="1"/>
  <c r="G957" i="1"/>
  <c r="G955" i="1"/>
  <c r="E953" i="1"/>
  <c r="E948" i="1"/>
  <c r="D947" i="1"/>
  <c r="C946" i="1"/>
  <c r="E945" i="1"/>
  <c r="D941" i="1"/>
  <c r="D939" i="1"/>
  <c r="E938" i="1"/>
  <c r="E935" i="1"/>
  <c r="F932" i="1"/>
  <c r="D931" i="1"/>
  <c r="E928" i="1"/>
  <c r="G922" i="1"/>
  <c r="G913" i="1"/>
  <c r="C909" i="1"/>
  <c r="G907" i="1"/>
  <c r="D905" i="1"/>
  <c r="C904" i="1"/>
  <c r="E901" i="1"/>
  <c r="D889" i="1"/>
  <c r="E888" i="1"/>
  <c r="F886" i="1"/>
  <c r="F883" i="1"/>
  <c r="D875" i="1"/>
  <c r="G873" i="1"/>
  <c r="E871" i="1"/>
  <c r="F868" i="1"/>
  <c r="D867" i="1"/>
  <c r="E861" i="1"/>
  <c r="D857" i="1"/>
  <c r="E856" i="1"/>
  <c r="F854" i="1"/>
  <c r="F851" i="1"/>
  <c r="C833" i="1"/>
  <c r="G833" i="1"/>
  <c r="F832" i="1"/>
  <c r="C820" i="1"/>
  <c r="E817" i="1"/>
  <c r="D816" i="1"/>
  <c r="C816" i="1"/>
  <c r="G810" i="1"/>
  <c r="D809" i="1"/>
  <c r="D808" i="1"/>
  <c r="E808" i="1"/>
  <c r="G785" i="1"/>
  <c r="D785" i="1"/>
  <c r="D781" i="1"/>
  <c r="F781" i="1"/>
  <c r="E778" i="1"/>
  <c r="F777" i="1"/>
  <c r="G997" i="1"/>
  <c r="G985" i="1"/>
  <c r="C981" i="1"/>
  <c r="D979" i="1"/>
  <c r="C965" i="1"/>
  <c r="G947" i="1"/>
  <c r="G939" i="1"/>
  <c r="C938" i="1"/>
  <c r="C935" i="1"/>
  <c r="C931" i="1"/>
  <c r="C928" i="1"/>
  <c r="D907" i="1"/>
  <c r="G905" i="1"/>
  <c r="G889" i="1"/>
  <c r="C888" i="1"/>
  <c r="G885" i="1"/>
  <c r="C883" i="1"/>
  <c r="C867" i="1"/>
  <c r="C861" i="1"/>
  <c r="G857" i="1"/>
  <c r="C856" i="1"/>
  <c r="G853" i="1"/>
  <c r="C851" i="1"/>
  <c r="G845" i="1"/>
  <c r="D840" i="1"/>
  <c r="E840" i="1"/>
  <c r="D823" i="1"/>
  <c r="C817" i="1"/>
  <c r="C810" i="1"/>
  <c r="C809" i="1"/>
  <c r="G806" i="1"/>
  <c r="D800" i="1"/>
  <c r="C800" i="1"/>
  <c r="C794" i="1"/>
  <c r="G788" i="1"/>
  <c r="F997" i="1"/>
  <c r="G981" i="1"/>
  <c r="D832" i="1"/>
  <c r="C832" i="1"/>
  <c r="D805" i="1"/>
  <c r="G805" i="1"/>
  <c r="D777" i="1"/>
  <c r="E777" i="1"/>
  <c r="G795" i="1"/>
  <c r="F763" i="1"/>
  <c r="F741" i="1"/>
  <c r="F739" i="1"/>
  <c r="D731" i="1"/>
  <c r="D729" i="1"/>
  <c r="F727" i="1"/>
  <c r="F723" i="1"/>
  <c r="F712" i="1"/>
  <c r="F710" i="1"/>
  <c r="F704" i="1"/>
  <c r="F699" i="1"/>
  <c r="F694" i="1"/>
  <c r="D669" i="1"/>
  <c r="D763" i="1"/>
  <c r="D761" i="1"/>
  <c r="D739" i="1"/>
  <c r="D737" i="1"/>
  <c r="D723" i="1"/>
  <c r="D721" i="1"/>
  <c r="F719" i="1"/>
  <c r="D705" i="1"/>
  <c r="D703" i="1"/>
  <c r="D689" i="1"/>
  <c r="D685" i="1"/>
  <c r="D681" i="1"/>
  <c r="D677" i="1"/>
  <c r="D673" i="1"/>
  <c r="F670" i="1"/>
  <c r="F726" i="1"/>
  <c r="F975" i="1"/>
  <c r="G974" i="1"/>
  <c r="D999" i="1"/>
  <c r="F995" i="1"/>
  <c r="G994" i="1"/>
  <c r="E990" i="1"/>
  <c r="F987" i="1"/>
  <c r="G986" i="1"/>
  <c r="D983" i="1"/>
  <c r="E982" i="1"/>
  <c r="F979" i="1"/>
  <c r="D975" i="1"/>
  <c r="E974" i="1"/>
  <c r="G999" i="1"/>
  <c r="C999" i="1"/>
  <c r="C998" i="1"/>
  <c r="E996" i="1"/>
  <c r="E995" i="1"/>
  <c r="F994" i="1"/>
  <c r="G991" i="1"/>
  <c r="C991" i="1"/>
  <c r="C990" i="1"/>
  <c r="E988" i="1"/>
  <c r="E987" i="1"/>
  <c r="F986" i="1"/>
  <c r="G983" i="1"/>
  <c r="C983" i="1"/>
  <c r="C982" i="1"/>
  <c r="E980" i="1"/>
  <c r="E979" i="1"/>
  <c r="F978" i="1"/>
  <c r="G975" i="1"/>
  <c r="C975" i="1"/>
  <c r="C974" i="1"/>
  <c r="E972" i="1"/>
  <c r="E971" i="1"/>
  <c r="F970" i="1"/>
  <c r="G967" i="1"/>
  <c r="C967" i="1"/>
  <c r="C966" i="1"/>
  <c r="G960" i="1"/>
  <c r="E959" i="1"/>
  <c r="C957" i="1"/>
  <c r="D956" i="1"/>
  <c r="F956" i="1"/>
  <c r="C953" i="1"/>
  <c r="G953" i="1"/>
  <c r="C951" i="1"/>
  <c r="D950" i="1"/>
  <c r="E950" i="1"/>
  <c r="G948" i="1"/>
  <c r="F945" i="1"/>
  <c r="G942" i="1"/>
  <c r="F941" i="1"/>
  <c r="C937" i="1"/>
  <c r="G937" i="1"/>
  <c r="E937" i="1"/>
  <c r="D933" i="1"/>
  <c r="C933" i="1"/>
  <c r="F933" i="1"/>
  <c r="D944" i="1"/>
  <c r="C944" i="1"/>
  <c r="D940" i="1"/>
  <c r="F940" i="1"/>
  <c r="C940" i="1"/>
  <c r="D936" i="1"/>
  <c r="C936" i="1"/>
  <c r="F936" i="1"/>
  <c r="C927" i="1"/>
  <c r="G927" i="1"/>
  <c r="F927" i="1"/>
  <c r="D927" i="1"/>
  <c r="D926" i="1"/>
  <c r="C926" i="1"/>
  <c r="E926" i="1"/>
  <c r="G926" i="1"/>
  <c r="D924" i="1"/>
  <c r="E924" i="1"/>
  <c r="G924" i="1"/>
  <c r="C924" i="1"/>
  <c r="F999" i="1"/>
  <c r="F991" i="1"/>
  <c r="F983" i="1"/>
  <c r="G982" i="1"/>
  <c r="D964" i="1"/>
  <c r="F964" i="1"/>
  <c r="C961" i="1"/>
  <c r="G961" i="1"/>
  <c r="D958" i="1"/>
  <c r="E958" i="1"/>
  <c r="F998" i="1"/>
  <c r="G995" i="1"/>
  <c r="C994" i="1"/>
  <c r="E991" i="1"/>
  <c r="F990" i="1"/>
  <c r="G987" i="1"/>
  <c r="C986" i="1"/>
  <c r="F982" i="1"/>
  <c r="G979" i="1"/>
  <c r="C978" i="1"/>
  <c r="F974" i="1"/>
  <c r="G971" i="1"/>
  <c r="C970" i="1"/>
  <c r="E967" i="1"/>
  <c r="F966" i="1"/>
  <c r="G964" i="1"/>
  <c r="F961" i="1"/>
  <c r="G958" i="1"/>
  <c r="F957" i="1"/>
  <c r="D952" i="1"/>
  <c r="C952" i="1"/>
  <c r="F951" i="1"/>
  <c r="G944" i="1"/>
  <c r="C941" i="1"/>
  <c r="G933" i="1"/>
  <c r="D917" i="1"/>
  <c r="F917" i="1"/>
  <c r="C917" i="1"/>
  <c r="E917" i="1"/>
  <c r="D910" i="1"/>
  <c r="C910" i="1"/>
  <c r="G910" i="1"/>
  <c r="E910" i="1"/>
  <c r="F910" i="1"/>
  <c r="D898" i="1"/>
  <c r="F898" i="1"/>
  <c r="G898" i="1"/>
  <c r="C898" i="1"/>
  <c r="E898" i="1"/>
  <c r="D892" i="1"/>
  <c r="E892" i="1"/>
  <c r="G892" i="1"/>
  <c r="C892" i="1"/>
  <c r="F892" i="1"/>
  <c r="E998" i="1"/>
  <c r="G978" i="1"/>
  <c r="E966" i="1"/>
  <c r="E964" i="1"/>
  <c r="E961" i="1"/>
  <c r="D960" i="1"/>
  <c r="C960" i="1"/>
  <c r="F958" i="1"/>
  <c r="D957" i="1"/>
  <c r="E951" i="1"/>
  <c r="D948" i="1"/>
  <c r="F948" i="1"/>
  <c r="C945" i="1"/>
  <c r="G945" i="1"/>
  <c r="F944" i="1"/>
  <c r="D942" i="1"/>
  <c r="E942" i="1"/>
  <c r="G940" i="1"/>
  <c r="G936" i="1"/>
  <c r="D930" i="1"/>
  <c r="F930" i="1"/>
  <c r="G930" i="1"/>
  <c r="C930" i="1"/>
  <c r="E923" i="1"/>
  <c r="F923" i="1"/>
  <c r="C923" i="1"/>
  <c r="C895" i="1"/>
  <c r="G895" i="1"/>
  <c r="F895" i="1"/>
  <c r="D895" i="1"/>
  <c r="E895" i="1"/>
  <c r="E891" i="1"/>
  <c r="F891" i="1"/>
  <c r="C891" i="1"/>
  <c r="D891" i="1"/>
  <c r="D914" i="1"/>
  <c r="F914" i="1"/>
  <c r="C911" i="1"/>
  <c r="G911" i="1"/>
  <c r="D908" i="1"/>
  <c r="E908" i="1"/>
  <c r="D894" i="1"/>
  <c r="C894" i="1"/>
  <c r="E885" i="1"/>
  <c r="D882" i="1"/>
  <c r="F882" i="1"/>
  <c r="C879" i="1"/>
  <c r="G879" i="1"/>
  <c r="F878" i="1"/>
  <c r="D876" i="1"/>
  <c r="E876" i="1"/>
  <c r="E866" i="1"/>
  <c r="E863" i="1"/>
  <c r="D862" i="1"/>
  <c r="C862" i="1"/>
  <c r="F860" i="1"/>
  <c r="D859" i="1"/>
  <c r="E853" i="1"/>
  <c r="D850" i="1"/>
  <c r="F850" i="1"/>
  <c r="C847" i="1"/>
  <c r="G847" i="1"/>
  <c r="F846" i="1"/>
  <c r="D844" i="1"/>
  <c r="E844" i="1"/>
  <c r="E834" i="1"/>
  <c r="E831" i="1"/>
  <c r="D830" i="1"/>
  <c r="C830" i="1"/>
  <c r="F828" i="1"/>
  <c r="D827" i="1"/>
  <c r="E821" i="1"/>
  <c r="D818" i="1"/>
  <c r="F818" i="1"/>
  <c r="C815" i="1"/>
  <c r="G815" i="1"/>
  <c r="F814" i="1"/>
  <c r="D812" i="1"/>
  <c r="E812" i="1"/>
  <c r="E802" i="1"/>
  <c r="E799" i="1"/>
  <c r="D798" i="1"/>
  <c r="C798" i="1"/>
  <c r="F796" i="1"/>
  <c r="D795" i="1"/>
  <c r="E789" i="1"/>
  <c r="D786" i="1"/>
  <c r="F786" i="1"/>
  <c r="G783" i="1"/>
  <c r="F782" i="1"/>
  <c r="D780" i="1"/>
  <c r="E780" i="1"/>
  <c r="G775" i="1"/>
  <c r="D775" i="1"/>
  <c r="D765" i="1"/>
  <c r="F759" i="1"/>
  <c r="D750" i="1"/>
  <c r="F749" i="1"/>
  <c r="D748" i="1"/>
  <c r="F748" i="1"/>
  <c r="D743" i="1"/>
  <c r="D733" i="1"/>
  <c r="D717" i="1"/>
  <c r="D663" i="1"/>
  <c r="F663" i="1"/>
  <c r="D922" i="1"/>
  <c r="F922" i="1"/>
  <c r="C919" i="1"/>
  <c r="G919" i="1"/>
  <c r="D916" i="1"/>
  <c r="E916" i="1"/>
  <c r="G914" i="1"/>
  <c r="F911" i="1"/>
  <c r="G908" i="1"/>
  <c r="F907" i="1"/>
  <c r="D902" i="1"/>
  <c r="C902" i="1"/>
  <c r="F901" i="1"/>
  <c r="G894" i="1"/>
  <c r="D890" i="1"/>
  <c r="F890" i="1"/>
  <c r="C887" i="1"/>
  <c r="G887" i="1"/>
  <c r="C885" i="1"/>
  <c r="D884" i="1"/>
  <c r="E884" i="1"/>
  <c r="G882" i="1"/>
  <c r="F879" i="1"/>
  <c r="G876" i="1"/>
  <c r="F875" i="1"/>
  <c r="D870" i="1"/>
  <c r="C870" i="1"/>
  <c r="F869" i="1"/>
  <c r="G862" i="1"/>
  <c r="C859" i="1"/>
  <c r="D858" i="1"/>
  <c r="F858" i="1"/>
  <c r="C855" i="1"/>
  <c r="G855" i="1"/>
  <c r="C853" i="1"/>
  <c r="D852" i="1"/>
  <c r="E852" i="1"/>
  <c r="G850" i="1"/>
  <c r="F847" i="1"/>
  <c r="G844" i="1"/>
  <c r="F843" i="1"/>
  <c r="D838" i="1"/>
  <c r="C838" i="1"/>
  <c r="F837" i="1"/>
  <c r="G830" i="1"/>
  <c r="C827" i="1"/>
  <c r="D826" i="1"/>
  <c r="F826" i="1"/>
  <c r="C823" i="1"/>
  <c r="G823" i="1"/>
  <c r="C821" i="1"/>
  <c r="D820" i="1"/>
  <c r="E820" i="1"/>
  <c r="G818" i="1"/>
  <c r="F815" i="1"/>
  <c r="G812" i="1"/>
  <c r="F811" i="1"/>
  <c r="D806" i="1"/>
  <c r="C806" i="1"/>
  <c r="F805" i="1"/>
  <c r="G798" i="1"/>
  <c r="C795" i="1"/>
  <c r="D794" i="1"/>
  <c r="F794" i="1"/>
  <c r="G791" i="1"/>
  <c r="D788" i="1"/>
  <c r="E788" i="1"/>
  <c r="G786" i="1"/>
  <c r="F783" i="1"/>
  <c r="G780" i="1"/>
  <c r="F779" i="1"/>
  <c r="D774" i="1"/>
  <c r="E774" i="1"/>
  <c r="D772" i="1"/>
  <c r="F772" i="1"/>
  <c r="D767" i="1"/>
  <c r="D757" i="1"/>
  <c r="D742" i="1"/>
  <c r="D740" i="1"/>
  <c r="F740" i="1"/>
  <c r="D735" i="1"/>
  <c r="D732" i="1"/>
  <c r="F732" i="1"/>
  <c r="D716" i="1"/>
  <c r="F716" i="1"/>
  <c r="D701" i="1"/>
  <c r="D700" i="1"/>
  <c r="F700" i="1"/>
  <c r="D878" i="1"/>
  <c r="C878" i="1"/>
  <c r="D866" i="1"/>
  <c r="F866" i="1"/>
  <c r="C863" i="1"/>
  <c r="G863" i="1"/>
  <c r="D860" i="1"/>
  <c r="E860" i="1"/>
  <c r="D846" i="1"/>
  <c r="C846" i="1"/>
  <c r="D834" i="1"/>
  <c r="F834" i="1"/>
  <c r="C831" i="1"/>
  <c r="G831" i="1"/>
  <c r="D828" i="1"/>
  <c r="E828" i="1"/>
  <c r="D814" i="1"/>
  <c r="C814" i="1"/>
  <c r="D802" i="1"/>
  <c r="F802" i="1"/>
  <c r="C799" i="1"/>
  <c r="G799" i="1"/>
  <c r="D796" i="1"/>
  <c r="E796" i="1"/>
  <c r="D782" i="1"/>
  <c r="D766" i="1"/>
  <c r="D764" i="1"/>
  <c r="F764" i="1"/>
  <c r="D759" i="1"/>
  <c r="D749" i="1"/>
  <c r="D734" i="1"/>
  <c r="D725" i="1"/>
  <c r="D666" i="1"/>
  <c r="F666" i="1"/>
  <c r="E934" i="1"/>
  <c r="D932" i="1"/>
  <c r="E932" i="1"/>
  <c r="E922" i="1"/>
  <c r="E919" i="1"/>
  <c r="D918" i="1"/>
  <c r="C918" i="1"/>
  <c r="F916" i="1"/>
  <c r="D915" i="1"/>
  <c r="C914" i="1"/>
  <c r="D911" i="1"/>
  <c r="E909" i="1"/>
  <c r="C908" i="1"/>
  <c r="C907" i="1"/>
  <c r="D906" i="1"/>
  <c r="F906" i="1"/>
  <c r="C903" i="1"/>
  <c r="G903" i="1"/>
  <c r="F902" i="1"/>
  <c r="C901" i="1"/>
  <c r="D900" i="1"/>
  <c r="E900" i="1"/>
  <c r="E894" i="1"/>
  <c r="E890" i="1"/>
  <c r="E887" i="1"/>
  <c r="D886" i="1"/>
  <c r="C886" i="1"/>
  <c r="F885" i="1"/>
  <c r="F884" i="1"/>
  <c r="D883" i="1"/>
  <c r="C882" i="1"/>
  <c r="D879" i="1"/>
  <c r="G878" i="1"/>
  <c r="E877" i="1"/>
  <c r="C876" i="1"/>
  <c r="C875" i="1"/>
  <c r="D874" i="1"/>
  <c r="F874" i="1"/>
  <c r="C871" i="1"/>
  <c r="G871" i="1"/>
  <c r="F870" i="1"/>
  <c r="C869" i="1"/>
  <c r="D868" i="1"/>
  <c r="E868" i="1"/>
  <c r="G866" i="1"/>
  <c r="F863" i="1"/>
  <c r="E862" i="1"/>
  <c r="G860" i="1"/>
  <c r="F859" i="1"/>
  <c r="E858" i="1"/>
  <c r="E855" i="1"/>
  <c r="D854" i="1"/>
  <c r="C854" i="1"/>
  <c r="F853" i="1"/>
  <c r="F852" i="1"/>
  <c r="D851" i="1"/>
  <c r="C850" i="1"/>
  <c r="D847" i="1"/>
  <c r="G846" i="1"/>
  <c r="E845" i="1"/>
  <c r="C844" i="1"/>
  <c r="C843" i="1"/>
  <c r="D842" i="1"/>
  <c r="F842" i="1"/>
  <c r="C839" i="1"/>
  <c r="G839" i="1"/>
  <c r="F838" i="1"/>
  <c r="C837" i="1"/>
  <c r="D836" i="1"/>
  <c r="E836" i="1"/>
  <c r="G834" i="1"/>
  <c r="F831" i="1"/>
  <c r="E830" i="1"/>
  <c r="G828" i="1"/>
  <c r="F827" i="1"/>
  <c r="E826" i="1"/>
  <c r="E823" i="1"/>
  <c r="D822" i="1"/>
  <c r="C822" i="1"/>
  <c r="F821" i="1"/>
  <c r="F820" i="1"/>
  <c r="D819" i="1"/>
  <c r="C818" i="1"/>
  <c r="D815" i="1"/>
  <c r="G814" i="1"/>
  <c r="E813" i="1"/>
  <c r="C812" i="1"/>
  <c r="C811" i="1"/>
  <c r="D810" i="1"/>
  <c r="F810" i="1"/>
  <c r="C807" i="1"/>
  <c r="G807" i="1"/>
  <c r="F806" i="1"/>
  <c r="C805" i="1"/>
  <c r="D804" i="1"/>
  <c r="E804" i="1"/>
  <c r="G802" i="1"/>
  <c r="F799" i="1"/>
  <c r="E798" i="1"/>
  <c r="G796" i="1"/>
  <c r="F795" i="1"/>
  <c r="E794" i="1"/>
  <c r="E791" i="1"/>
  <c r="D790" i="1"/>
  <c r="F789" i="1"/>
  <c r="F788" i="1"/>
  <c r="D787" i="1"/>
  <c r="D783" i="1"/>
  <c r="G782" i="1"/>
  <c r="E781" i="1"/>
  <c r="D778" i="1"/>
  <c r="F778" i="1"/>
  <c r="E775" i="1"/>
  <c r="G774" i="1"/>
  <c r="D773" i="1"/>
  <c r="E773" i="1"/>
  <c r="G772" i="1"/>
  <c r="F767" i="1"/>
  <c r="D758" i="1"/>
  <c r="F757" i="1"/>
  <c r="D756" i="1"/>
  <c r="F756" i="1"/>
  <c r="D751" i="1"/>
  <c r="F750" i="1"/>
  <c r="D741" i="1"/>
  <c r="F735" i="1"/>
  <c r="D724" i="1"/>
  <c r="F724" i="1"/>
  <c r="F717" i="1"/>
  <c r="D709" i="1"/>
  <c r="D708" i="1"/>
  <c r="F708" i="1"/>
  <c r="D693" i="1"/>
  <c r="D692" i="1"/>
  <c r="F692" i="1"/>
  <c r="D688" i="1"/>
  <c r="F688" i="1"/>
  <c r="D684" i="1"/>
  <c r="F684" i="1"/>
  <c r="D680" i="1"/>
  <c r="F680" i="1"/>
  <c r="D676" i="1"/>
  <c r="F676" i="1"/>
  <c r="D665" i="1"/>
  <c r="F665" i="1"/>
  <c r="D727" i="1"/>
  <c r="D719" i="1"/>
  <c r="D711" i="1"/>
  <c r="D670" i="1"/>
  <c r="D664" i="1"/>
  <c r="F662" i="1"/>
  <c r="D661" i="1"/>
  <c r="F657" i="1"/>
  <c r="F653" i="1"/>
  <c r="F649" i="1"/>
  <c r="D636" i="1"/>
  <c r="F770" i="1"/>
  <c r="F762" i="1"/>
  <c r="F754" i="1"/>
  <c r="F746" i="1"/>
  <c r="F738" i="1"/>
  <c r="F730" i="1"/>
  <c r="F722" i="1"/>
  <c r="F714" i="1"/>
  <c r="F706" i="1"/>
  <c r="F698" i="1"/>
  <c r="F690" i="1"/>
  <c r="F686" i="1"/>
  <c r="F682" i="1"/>
  <c r="F678" i="1"/>
  <c r="F674" i="1"/>
  <c r="F669" i="1"/>
  <c r="D668" i="1"/>
  <c r="F667" i="1"/>
  <c r="D672" i="1"/>
  <c r="D662" i="1"/>
  <c r="D660" i="1"/>
  <c r="D656" i="1"/>
  <c r="D652" i="1"/>
  <c r="D648" i="1"/>
  <c r="D644" i="1"/>
  <c r="D640" i="1"/>
  <c r="J42" i="1"/>
  <c r="J36" i="1"/>
  <c r="J37" i="1"/>
  <c r="J40" i="1"/>
  <c r="J38" i="1"/>
  <c r="J34" i="1"/>
  <c r="J35" i="1"/>
  <c r="J29" i="1"/>
  <c r="J33" i="1"/>
  <c r="J32" i="1"/>
  <c r="J57" i="1"/>
  <c r="J54" i="1"/>
  <c r="J53" i="1"/>
  <c r="J56" i="1"/>
  <c r="J55" i="1"/>
  <c r="J43" i="1"/>
  <c r="J27" i="1"/>
  <c r="J26" i="1"/>
  <c r="B1113" i="4"/>
  <c r="C1113" i="4" s="1"/>
  <c r="B1117" i="4"/>
  <c r="C1117" i="4" s="1"/>
  <c r="B1129" i="4"/>
  <c r="C1129" i="4" s="1"/>
  <c r="B1130" i="4"/>
  <c r="C1130" i="4" s="1"/>
  <c r="B1125" i="4"/>
  <c r="C1125" i="4" s="1"/>
  <c r="B1120" i="4"/>
  <c r="C1120" i="4" s="1"/>
  <c r="B1134" i="4"/>
  <c r="C1134" i="4" s="1"/>
  <c r="B1135" i="4"/>
  <c r="C1135" i="4" s="1"/>
  <c r="B1146" i="4"/>
  <c r="C1146" i="4" s="1"/>
  <c r="B1140" i="4"/>
  <c r="C1140" i="4" s="1"/>
  <c r="B1161" i="4"/>
  <c r="C1161" i="4" s="1"/>
  <c r="B1174" i="4"/>
  <c r="C1174" i="4" s="1"/>
  <c r="B1155" i="4"/>
  <c r="C1155" i="4" s="1"/>
  <c r="B1151" i="4"/>
  <c r="C1151" i="4" s="1"/>
  <c r="B1149" i="4"/>
  <c r="C1149" i="4" s="1"/>
  <c r="B1173" i="4"/>
  <c r="C1173" i="4" s="1"/>
  <c r="B1180" i="4"/>
  <c r="C1180" i="4" s="1"/>
  <c r="B1166" i="4"/>
  <c r="C1166" i="4" s="1"/>
  <c r="B1182" i="4"/>
  <c r="C1182" i="4" s="1"/>
  <c r="B1190" i="4"/>
  <c r="C1190" i="4" s="1"/>
  <c r="B1184" i="4"/>
  <c r="C1184" i="4" s="1"/>
  <c r="B1194" i="4"/>
  <c r="C1194" i="4" s="1"/>
  <c r="B1206" i="4"/>
  <c r="C1206" i="4" s="1"/>
  <c r="B1207" i="4"/>
  <c r="C1207" i="4" s="1"/>
  <c r="B1209" i="4"/>
  <c r="C1209" i="4" s="1"/>
  <c r="B1218" i="4"/>
  <c r="C1218" i="4" s="1"/>
  <c r="B1204" i="4"/>
  <c r="C1204" i="4" s="1"/>
  <c r="B1200" i="4"/>
  <c r="C1200" i="4" s="1"/>
  <c r="B1214" i="4"/>
  <c r="C1214" i="4" s="1"/>
  <c r="B1222" i="4"/>
  <c r="C1222" i="4" s="1"/>
  <c r="B1224" i="4"/>
  <c r="C1224" i="4" s="1"/>
  <c r="B1236" i="4"/>
  <c r="C1236" i="4" s="1"/>
  <c r="B1234" i="4"/>
  <c r="C1234" i="4" s="1"/>
  <c r="B1248" i="4"/>
  <c r="C1248" i="4" s="1"/>
  <c r="B1225" i="4"/>
  <c r="C1225" i="4" s="1"/>
  <c r="B1246" i="4"/>
  <c r="C1246" i="4" s="1"/>
  <c r="B1261" i="4"/>
  <c r="C1261" i="4" s="1"/>
  <c r="B1241" i="4"/>
  <c r="C1241" i="4" s="1"/>
  <c r="B1264" i="4"/>
  <c r="C1264" i="4" s="1"/>
  <c r="B1269" i="4"/>
  <c r="C1269" i="4" s="1"/>
  <c r="B1260" i="4"/>
  <c r="C1260" i="4" s="1"/>
  <c r="B1268" i="4"/>
  <c r="C1268" i="4" s="1"/>
  <c r="B1280" i="4"/>
  <c r="C1280" i="4" s="1"/>
  <c r="B1274" i="4"/>
  <c r="C1274" i="4" s="1"/>
  <c r="B1286" i="4"/>
  <c r="C1286" i="4" s="1"/>
  <c r="B1295" i="4"/>
  <c r="C1295" i="4" s="1"/>
  <c r="B1278" i="4"/>
  <c r="C1278" i="4" s="1"/>
  <c r="B1296" i="4"/>
  <c r="C1296" i="4" s="1"/>
  <c r="B1293" i="4"/>
  <c r="C1293" i="4" s="1"/>
  <c r="B1298" i="4"/>
  <c r="C1298" i="4" s="1"/>
  <c r="B1311" i="4"/>
  <c r="C1311" i="4" s="1"/>
  <c r="B1309" i="4"/>
  <c r="C1309" i="4" s="1"/>
  <c r="B1329" i="4"/>
  <c r="C1329" i="4" s="1"/>
  <c r="B1319" i="4"/>
  <c r="C1319" i="4" s="1"/>
  <c r="B1316" i="4"/>
  <c r="C1316" i="4" s="1"/>
  <c r="B1325" i="4"/>
  <c r="C1325" i="4" s="1"/>
  <c r="B1334" i="4"/>
  <c r="C1334" i="4" s="1"/>
  <c r="B1331" i="4"/>
  <c r="C1331" i="4" s="1"/>
  <c r="B1341" i="4"/>
  <c r="C1341" i="4" s="1"/>
  <c r="B1352" i="4"/>
  <c r="C1352" i="4" s="1"/>
  <c r="B1339" i="4"/>
  <c r="C1339" i="4" s="1"/>
  <c r="B1628" i="4"/>
  <c r="C1628" i="4" s="1"/>
  <c r="B1599" i="4"/>
  <c r="C1599" i="4" s="1"/>
  <c r="B1350" i="4"/>
  <c r="C1350" i="4" s="1"/>
  <c r="B1623" i="4"/>
  <c r="C1623" i="4" s="1"/>
  <c r="B1595" i="4"/>
  <c r="C1595" i="4" s="1"/>
  <c r="B1612" i="4"/>
  <c r="C1612" i="4" s="1"/>
  <c r="B1605" i="4"/>
  <c r="C1605" i="4" s="1"/>
  <c r="B1625" i="4"/>
  <c r="C1625" i="4" s="1"/>
  <c r="B1636" i="4"/>
  <c r="C1636" i="4" s="1"/>
  <c r="B1637" i="4"/>
  <c r="C1637" i="4" s="1"/>
  <c r="B1648" i="4"/>
  <c r="C1648" i="4" s="1"/>
  <c r="B1643" i="4"/>
  <c r="C1643" i="4" s="1"/>
  <c r="B1644" i="4"/>
  <c r="C1644" i="4" s="1"/>
  <c r="B1656" i="4"/>
  <c r="C1656" i="4" s="1"/>
  <c r="B1654" i="4"/>
  <c r="C1654" i="4" s="1"/>
  <c r="B1663" i="4"/>
  <c r="C1663" i="4" s="1"/>
  <c r="B1650" i="4"/>
  <c r="C1650" i="4" s="1"/>
  <c r="B1676" i="4"/>
  <c r="C1676" i="4" s="1"/>
  <c r="B1667" i="4"/>
  <c r="C1667" i="4" s="1"/>
  <c r="B1682" i="4"/>
  <c r="C1682" i="4" s="1"/>
  <c r="B1685" i="4"/>
  <c r="C1685" i="4" s="1"/>
  <c r="B1729" i="4"/>
  <c r="C1729" i="4" s="1"/>
  <c r="B1673" i="4"/>
  <c r="C1673" i="4" s="1"/>
  <c r="B1712" i="4"/>
  <c r="C1712" i="4" s="1"/>
  <c r="B1695" i="4"/>
  <c r="C1695" i="4" s="1"/>
  <c r="B1688" i="4"/>
  <c r="C1688" i="4" s="1"/>
  <c r="B1698" i="4"/>
  <c r="C1698" i="4" s="1"/>
  <c r="B1719" i="4"/>
  <c r="C1719" i="4" s="1"/>
  <c r="B1737" i="4"/>
  <c r="C1737" i="4" s="1"/>
  <c r="B1744" i="4"/>
  <c r="C1744" i="4" s="1"/>
  <c r="B1757" i="4"/>
  <c r="C1757" i="4" s="1"/>
  <c r="B1769" i="4"/>
  <c r="C1769" i="4" s="1"/>
  <c r="B1800" i="4"/>
  <c r="C1800" i="4" s="1"/>
  <c r="B1778" i="4"/>
  <c r="C1778" i="4" s="1"/>
  <c r="B1822" i="4"/>
  <c r="C1822" i="4" s="1"/>
  <c r="A1117" i="4"/>
  <c r="A1129" i="4"/>
  <c r="A1130" i="4"/>
  <c r="A1125" i="4"/>
  <c r="A1120" i="4"/>
  <c r="A1134" i="4"/>
  <c r="A1135" i="4"/>
  <c r="A1146" i="4"/>
  <c r="A1140" i="4"/>
  <c r="A1161" i="4"/>
  <c r="A1174" i="4"/>
  <c r="A1155" i="4"/>
  <c r="A1151" i="4"/>
  <c r="A1149" i="4"/>
  <c r="A1173" i="4"/>
  <c r="A1180" i="4"/>
  <c r="A1166" i="4"/>
  <c r="A1182" i="4"/>
  <c r="A1190" i="4"/>
  <c r="A1184" i="4"/>
  <c r="A1194" i="4"/>
  <c r="A1206" i="4"/>
  <c r="A1207" i="4"/>
  <c r="A1209" i="4"/>
  <c r="A1218" i="4"/>
  <c r="A1204" i="4"/>
  <c r="A1200" i="4"/>
  <c r="A1214" i="4"/>
  <c r="A1222" i="4"/>
  <c r="A1224" i="4"/>
  <c r="A1236" i="4"/>
  <c r="A1234" i="4"/>
  <c r="A1248" i="4"/>
  <c r="A1225" i="4"/>
  <c r="A1246" i="4"/>
  <c r="A1261" i="4"/>
  <c r="A1241" i="4"/>
  <c r="A1264" i="4"/>
  <c r="A1269" i="4"/>
  <c r="A1260" i="4"/>
  <c r="A1268" i="4"/>
  <c r="A1280" i="4"/>
  <c r="A1274" i="4"/>
  <c r="A1286" i="4"/>
  <c r="A1295" i="4"/>
  <c r="A1278" i="4"/>
  <c r="A1296" i="4"/>
  <c r="A1293" i="4"/>
  <c r="A1298" i="4"/>
  <c r="A1311" i="4"/>
  <c r="A1309" i="4"/>
  <c r="A1329" i="4"/>
  <c r="A1319" i="4"/>
  <c r="A1316" i="4"/>
  <c r="A1325" i="4"/>
  <c r="A1334" i="4"/>
  <c r="A1331" i="4"/>
  <c r="A1341" i="4"/>
  <c r="A1352" i="4"/>
  <c r="A1339" i="4"/>
  <c r="A1628" i="4"/>
  <c r="A1599" i="4"/>
  <c r="A1350" i="4"/>
  <c r="A1623" i="4"/>
  <c r="A1595" i="4"/>
  <c r="A1612" i="4"/>
  <c r="A1605" i="4"/>
  <c r="A1625" i="4"/>
  <c r="A1636" i="4"/>
  <c r="A1637" i="4"/>
  <c r="A1648" i="4"/>
  <c r="A1643" i="4"/>
  <c r="A1644" i="4"/>
  <c r="A1656" i="4"/>
  <c r="A1654" i="4"/>
  <c r="A1663" i="4"/>
  <c r="A1650" i="4"/>
  <c r="A1676" i="4"/>
  <c r="A1667" i="4"/>
  <c r="A1682" i="4"/>
  <c r="A1685" i="4"/>
  <c r="A1729" i="4"/>
  <c r="A1673" i="4"/>
  <c r="A1712" i="4"/>
  <c r="A1695" i="4"/>
  <c r="A1688" i="4"/>
  <c r="A1698" i="4"/>
  <c r="A1719" i="4"/>
  <c r="A1737" i="4"/>
  <c r="A1744" i="4"/>
  <c r="A1757" i="4"/>
  <c r="A1769" i="4"/>
  <c r="A1800" i="4"/>
  <c r="A1778" i="4"/>
  <c r="A1822" i="4"/>
  <c r="B17" i="1"/>
  <c r="C14" i="2" s="1"/>
  <c r="B6" i="1"/>
  <c r="B7" i="1"/>
  <c r="M88" i="1" l="1"/>
  <c r="H85" i="2" s="1"/>
  <c r="Q136" i="1"/>
  <c r="L133" i="2" s="1"/>
  <c r="Q152" i="1"/>
  <c r="L149" i="2" s="1"/>
  <c r="Q137" i="1"/>
  <c r="L134" i="2" s="1"/>
  <c r="S155" i="1"/>
  <c r="H152" i="2"/>
  <c r="S162" i="1"/>
  <c r="H159" i="2"/>
  <c r="S166" i="1"/>
  <c r="H163" i="2"/>
  <c r="R170" i="1"/>
  <c r="G167" i="2"/>
  <c r="S173" i="1"/>
  <c r="H170" i="2"/>
  <c r="R155" i="1"/>
  <c r="G152" i="2"/>
  <c r="R162" i="1"/>
  <c r="G159" i="2"/>
  <c r="R166" i="1"/>
  <c r="G163" i="2"/>
  <c r="S172" i="1"/>
  <c r="H169" i="2"/>
  <c r="S168" i="1"/>
  <c r="H165" i="2"/>
  <c r="R173" i="1"/>
  <c r="G170" i="2"/>
  <c r="R164" i="1"/>
  <c r="G161" i="2"/>
  <c r="R169" i="1"/>
  <c r="G166" i="2"/>
  <c r="R172" i="1"/>
  <c r="G169" i="2"/>
  <c r="S160" i="1"/>
  <c r="H157" i="2"/>
  <c r="S156" i="1"/>
  <c r="H153" i="2"/>
  <c r="S158" i="1"/>
  <c r="H155" i="2"/>
  <c r="R163" i="1"/>
  <c r="G160" i="2"/>
  <c r="R176" i="1"/>
  <c r="G173" i="2"/>
  <c r="R160" i="1"/>
  <c r="G157" i="2"/>
  <c r="R159" i="1"/>
  <c r="G156" i="2"/>
  <c r="R158" i="1"/>
  <c r="G155" i="2"/>
  <c r="S176" i="1"/>
  <c r="H173" i="2"/>
  <c r="R156" i="1"/>
  <c r="G153" i="2"/>
  <c r="S164" i="1"/>
  <c r="H161" i="2"/>
  <c r="S163" i="1"/>
  <c r="H160" i="2"/>
  <c r="S169" i="1"/>
  <c r="H166" i="2"/>
  <c r="S167" i="1"/>
  <c r="H164" i="2"/>
  <c r="R171" i="1"/>
  <c r="G168" i="2"/>
  <c r="S159" i="1"/>
  <c r="H156" i="2"/>
  <c r="S161" i="1"/>
  <c r="H158" i="2"/>
  <c r="R167" i="1"/>
  <c r="G164" i="2"/>
  <c r="S165" i="1"/>
  <c r="H162" i="2"/>
  <c r="R175" i="1"/>
  <c r="G172" i="2"/>
  <c r="S171" i="1"/>
  <c r="H168" i="2"/>
  <c r="R157" i="1"/>
  <c r="G154" i="2"/>
  <c r="R161" i="1"/>
  <c r="G158" i="2"/>
  <c r="R165" i="1"/>
  <c r="G162" i="2"/>
  <c r="S170" i="1"/>
  <c r="H167" i="2"/>
  <c r="S175" i="1"/>
  <c r="H172" i="2"/>
  <c r="S157" i="1"/>
  <c r="H154" i="2"/>
  <c r="R168" i="1"/>
  <c r="G165" i="2"/>
  <c r="S127" i="1"/>
  <c r="S133" i="1"/>
  <c r="R114" i="1"/>
  <c r="M111" i="2" s="1"/>
  <c r="R120" i="1"/>
  <c r="R123" i="1"/>
  <c r="S128" i="1"/>
  <c r="L133" i="1"/>
  <c r="G130" i="2" s="1"/>
  <c r="S153" i="1"/>
  <c r="N150" i="2" s="1"/>
  <c r="R109" i="1"/>
  <c r="S120" i="1"/>
  <c r="N117" i="2" s="1"/>
  <c r="S125" i="1"/>
  <c r="K133" i="1"/>
  <c r="F130" i="2" s="1"/>
  <c r="S145" i="1"/>
  <c r="R149" i="1"/>
  <c r="M146" i="2" s="1"/>
  <c r="S136" i="1"/>
  <c r="S115" i="1"/>
  <c r="R145" i="1"/>
  <c r="M142" i="2" s="1"/>
  <c r="S151" i="1"/>
  <c r="N148" i="2" s="1"/>
  <c r="S129" i="1"/>
  <c r="R110" i="1"/>
  <c r="M107" i="2" s="1"/>
  <c r="S138" i="1"/>
  <c r="S110" i="1"/>
  <c r="R115" i="1"/>
  <c r="M112" i="2" s="1"/>
  <c r="S126" i="1"/>
  <c r="R134" i="1"/>
  <c r="R138" i="1"/>
  <c r="S148" i="1"/>
  <c r="N145" i="2" s="1"/>
  <c r="R151" i="1"/>
  <c r="M148" i="2" s="1"/>
  <c r="S117" i="1"/>
  <c r="S121" i="1"/>
  <c r="N118" i="2" s="1"/>
  <c r="R126" i="1"/>
  <c r="S130" i="1"/>
  <c r="R148" i="1"/>
  <c r="M145" i="2" s="1"/>
  <c r="M105" i="1"/>
  <c r="H102" i="2" s="1"/>
  <c r="R117" i="1"/>
  <c r="R121" i="1"/>
  <c r="R130" i="1"/>
  <c r="S154" i="1"/>
  <c r="N151" i="2" s="1"/>
  <c r="S150" i="1"/>
  <c r="N147" i="2" s="1"/>
  <c r="R129" i="1"/>
  <c r="L105" i="1"/>
  <c r="G102" i="2" s="1"/>
  <c r="S111" i="1"/>
  <c r="K127" i="1"/>
  <c r="F124" i="2" s="1"/>
  <c r="S135" i="1"/>
  <c r="N132" i="2" s="1"/>
  <c r="S141" i="1"/>
  <c r="R154" i="1"/>
  <c r="M151" i="2" s="1"/>
  <c r="R150" i="1"/>
  <c r="M147" i="2" s="1"/>
  <c r="R152" i="1"/>
  <c r="M149" i="2" s="1"/>
  <c r="K105" i="1"/>
  <c r="F102" i="2" s="1"/>
  <c r="R111" i="1"/>
  <c r="M108" i="2" s="1"/>
  <c r="S118" i="1"/>
  <c r="S122" i="1"/>
  <c r="N119" i="2" s="1"/>
  <c r="L127" i="1"/>
  <c r="G124" i="2" s="1"/>
  <c r="R135" i="1"/>
  <c r="S113" i="1"/>
  <c r="N110" i="2" s="1"/>
  <c r="Q153" i="1"/>
  <c r="L150" i="2" s="1"/>
  <c r="S132" i="1"/>
  <c r="R113" i="1"/>
  <c r="M110" i="2" s="1"/>
  <c r="R118" i="1"/>
  <c r="R122" i="1"/>
  <c r="N127" i="1"/>
  <c r="I124" i="2" s="1"/>
  <c r="R132" i="1"/>
  <c r="S142" i="1"/>
  <c r="N139" i="2" s="1"/>
  <c r="R153" i="1"/>
  <c r="M150" i="2" s="1"/>
  <c r="R147" i="1"/>
  <c r="S123" i="1"/>
  <c r="N120" i="2" s="1"/>
  <c r="S149" i="1"/>
  <c r="N146" i="2" s="1"/>
  <c r="S109" i="1"/>
  <c r="R136" i="1"/>
  <c r="R142" i="1"/>
  <c r="M139" i="2" s="1"/>
  <c r="S147" i="1"/>
  <c r="N144" i="2" s="1"/>
  <c r="S152" i="1"/>
  <c r="N149" i="2" s="1"/>
  <c r="S102" i="1"/>
  <c r="S100" i="1"/>
  <c r="N97" i="2" s="1"/>
  <c r="K102" i="1"/>
  <c r="F99" i="2" s="1"/>
  <c r="R77" i="1"/>
  <c r="R72" i="1"/>
  <c r="N102" i="1"/>
  <c r="I99" i="2" s="1"/>
  <c r="R106" i="1"/>
  <c r="M103" i="2" s="1"/>
  <c r="S87" i="1"/>
  <c r="L102" i="1"/>
  <c r="G99" i="2" s="1"/>
  <c r="R94" i="1"/>
  <c r="R88" i="1"/>
  <c r="S89" i="1"/>
  <c r="R82" i="1"/>
  <c r="S105" i="1"/>
  <c r="S106" i="1"/>
  <c r="N103" i="2" s="1"/>
  <c r="R105" i="1"/>
  <c r="R99" i="1"/>
  <c r="M96" i="2" s="1"/>
  <c r="R100" i="1"/>
  <c r="S104" i="1"/>
  <c r="R71" i="1"/>
  <c r="S88" i="1"/>
  <c r="R104" i="1"/>
  <c r="S74" i="1"/>
  <c r="S90" i="1"/>
  <c r="R81" i="1"/>
  <c r="M78" i="2" s="1"/>
  <c r="S83" i="1"/>
  <c r="Q161" i="1"/>
  <c r="Q155" i="1"/>
  <c r="L152" i="2" s="1"/>
  <c r="Q174" i="1"/>
  <c r="M174" i="1"/>
  <c r="L174" i="1"/>
  <c r="K174" i="1"/>
  <c r="F171" i="2" s="1"/>
  <c r="N174" i="1"/>
  <c r="I171" i="2" s="1"/>
  <c r="G152" i="1"/>
  <c r="G151" i="1"/>
  <c r="G135" i="1"/>
  <c r="A132" i="2" s="1"/>
  <c r="G149" i="1"/>
  <c r="A146" i="2" s="1"/>
  <c r="N144" i="1"/>
  <c r="I141" i="2" s="1"/>
  <c r="L144" i="1"/>
  <c r="G141" i="2" s="1"/>
  <c r="G136" i="1"/>
  <c r="A133" i="2" s="1"/>
  <c r="L128" i="1"/>
  <c r="G125" i="2" s="1"/>
  <c r="K131" i="1"/>
  <c r="F128" i="2" s="1"/>
  <c r="M131" i="1"/>
  <c r="H128" i="2" s="1"/>
  <c r="G145" i="1"/>
  <c r="A142" i="2" s="1"/>
  <c r="L131" i="1"/>
  <c r="G128" i="2" s="1"/>
  <c r="G137" i="1"/>
  <c r="A134" i="2" s="1"/>
  <c r="G148" i="1"/>
  <c r="A145" i="2" s="1"/>
  <c r="G115" i="1"/>
  <c r="A112" i="2" s="1"/>
  <c r="Q134" i="1"/>
  <c r="L131" i="2" s="1"/>
  <c r="G129" i="1"/>
  <c r="A126" i="2" s="1"/>
  <c r="G138" i="1"/>
  <c r="A135" i="2" s="1"/>
  <c r="G147" i="1"/>
  <c r="A144" i="2" s="1"/>
  <c r="L125" i="1"/>
  <c r="G122" i="2" s="1"/>
  <c r="K139" i="1"/>
  <c r="F136" i="2" s="1"/>
  <c r="G130" i="1"/>
  <c r="A127" i="2" s="1"/>
  <c r="G139" i="1"/>
  <c r="A136" i="2" s="1"/>
  <c r="G132" i="1"/>
  <c r="A129" i="2" s="1"/>
  <c r="N112" i="1"/>
  <c r="I109" i="2" s="1"/>
  <c r="M139" i="1"/>
  <c r="H136" i="2" s="1"/>
  <c r="M112" i="1"/>
  <c r="H109" i="2" s="1"/>
  <c r="L139" i="1"/>
  <c r="G136" i="2" s="1"/>
  <c r="L143" i="1"/>
  <c r="G140" i="2" s="1"/>
  <c r="Q133" i="1"/>
  <c r="L130" i="2" s="1"/>
  <c r="G121" i="1"/>
  <c r="A118" i="2" s="1"/>
  <c r="G141" i="1"/>
  <c r="A138" i="2" s="1"/>
  <c r="G134" i="1"/>
  <c r="A131" i="2" s="1"/>
  <c r="L112" i="1"/>
  <c r="G109" i="2" s="1"/>
  <c r="K143" i="1"/>
  <c r="F140" i="2" s="1"/>
  <c r="L140" i="1"/>
  <c r="G137" i="2" s="1"/>
  <c r="M143" i="1"/>
  <c r="H140" i="2" s="1"/>
  <c r="Q139" i="1"/>
  <c r="L136" i="2" s="1"/>
  <c r="N140" i="1"/>
  <c r="I137" i="2" s="1"/>
  <c r="N143" i="1"/>
  <c r="I140" i="2" s="1"/>
  <c r="M140" i="1"/>
  <c r="H137" i="2" s="1"/>
  <c r="L146" i="1"/>
  <c r="G143" i="2" s="1"/>
  <c r="G133" i="1"/>
  <c r="A130" i="2" s="1"/>
  <c r="G146" i="1"/>
  <c r="A143" i="2" s="1"/>
  <c r="G131" i="1"/>
  <c r="A128" i="2" s="1"/>
  <c r="G127" i="1"/>
  <c r="A124" i="2" s="1"/>
  <c r="G140" i="1"/>
  <c r="A137" i="2" s="1"/>
  <c r="Q102" i="1"/>
  <c r="L99" i="2" s="1"/>
  <c r="G120" i="1"/>
  <c r="A117" i="2" s="1"/>
  <c r="N117" i="1"/>
  <c r="I114" i="2" s="1"/>
  <c r="M119" i="1"/>
  <c r="H116" i="2" s="1"/>
  <c r="L119" i="1"/>
  <c r="G116" i="2" s="1"/>
  <c r="M94" i="1"/>
  <c r="H91" i="2" s="1"/>
  <c r="M101" i="1"/>
  <c r="H98" i="2" s="1"/>
  <c r="L96" i="1"/>
  <c r="G93" i="2" s="1"/>
  <c r="K96" i="1"/>
  <c r="F93" i="2" s="1"/>
  <c r="G97" i="1"/>
  <c r="A94" i="2" s="1"/>
  <c r="Q128" i="1"/>
  <c r="L125" i="2" s="1"/>
  <c r="G117" i="1"/>
  <c r="A114" i="2" s="1"/>
  <c r="K140" i="1"/>
  <c r="F137" i="2" s="1"/>
  <c r="G126" i="1"/>
  <c r="A123" i="2" s="1"/>
  <c r="G116" i="1"/>
  <c r="A113" i="2" s="1"/>
  <c r="M146" i="1"/>
  <c r="H143" i="2" s="1"/>
  <c r="G125" i="1"/>
  <c r="A122" i="2" s="1"/>
  <c r="K134" i="1"/>
  <c r="F131" i="2" s="1"/>
  <c r="M134" i="1"/>
  <c r="H131" i="2" s="1"/>
  <c r="G119" i="1"/>
  <c r="A116" i="2" s="1"/>
  <c r="G124" i="1"/>
  <c r="A121" i="2" s="1"/>
  <c r="G118" i="1"/>
  <c r="A115" i="2" s="1"/>
  <c r="G114" i="1"/>
  <c r="A111" i="2" s="1"/>
  <c r="G123" i="1"/>
  <c r="A120" i="2" s="1"/>
  <c r="G113" i="1"/>
  <c r="A110" i="2" s="1"/>
  <c r="G122" i="1"/>
  <c r="A119" i="2" s="1"/>
  <c r="L101" i="1"/>
  <c r="G98" i="2" s="1"/>
  <c r="L97" i="1"/>
  <c r="G94" i="2" s="1"/>
  <c r="G96" i="1"/>
  <c r="A93" i="2" s="1"/>
  <c r="K71" i="1"/>
  <c r="F68" i="2" s="1"/>
  <c r="G110" i="1"/>
  <c r="A107" i="2" s="1"/>
  <c r="G103" i="1"/>
  <c r="A100" i="2" s="1"/>
  <c r="G112" i="1"/>
  <c r="A109" i="2" s="1"/>
  <c r="G108" i="1"/>
  <c r="A105" i="2" s="1"/>
  <c r="N108" i="1"/>
  <c r="I105" i="2" s="1"/>
  <c r="M108" i="1"/>
  <c r="H105" i="2" s="1"/>
  <c r="G98" i="1"/>
  <c r="A95" i="2" s="1"/>
  <c r="L108" i="1"/>
  <c r="G105" i="2" s="1"/>
  <c r="G111" i="1"/>
  <c r="A108" i="2" s="1"/>
  <c r="G101" i="1"/>
  <c r="A98" i="2" s="1"/>
  <c r="G109" i="1"/>
  <c r="A106" i="2" s="1"/>
  <c r="G100" i="1"/>
  <c r="A97" i="2" s="1"/>
  <c r="G105" i="1"/>
  <c r="A102" i="2" s="1"/>
  <c r="Q106" i="1"/>
  <c r="L103" i="2" s="1"/>
  <c r="Q124" i="1"/>
  <c r="L121" i="2" s="1"/>
  <c r="Q107" i="1"/>
  <c r="L104" i="2" s="1"/>
  <c r="M96" i="1"/>
  <c r="H93" i="2" s="1"/>
  <c r="K88" i="1"/>
  <c r="F85" i="2" s="1"/>
  <c r="G95" i="1"/>
  <c r="A92" i="2" s="1"/>
  <c r="N87" i="1"/>
  <c r="I84" i="2" s="1"/>
  <c r="M77" i="1"/>
  <c r="H74" i="2" s="1"/>
  <c r="Q123" i="1"/>
  <c r="L120" i="2" s="1"/>
  <c r="K110" i="1"/>
  <c r="F107" i="2" s="1"/>
  <c r="N116" i="1"/>
  <c r="I113" i="2" s="1"/>
  <c r="K101" i="1"/>
  <c r="F98" i="2" s="1"/>
  <c r="K119" i="1"/>
  <c r="F116" i="2" s="1"/>
  <c r="M116" i="1"/>
  <c r="H113" i="2" s="1"/>
  <c r="L116" i="1"/>
  <c r="G113" i="2" s="1"/>
  <c r="K116" i="1"/>
  <c r="F113" i="2" s="1"/>
  <c r="G102" i="1"/>
  <c r="A99" i="2" s="1"/>
  <c r="G104" i="1"/>
  <c r="A101" i="2" s="1"/>
  <c r="K114" i="1"/>
  <c r="F111" i="2" s="1"/>
  <c r="N114" i="1"/>
  <c r="I111" i="2" s="1"/>
  <c r="M114" i="1"/>
  <c r="H111" i="2" s="1"/>
  <c r="G107" i="1"/>
  <c r="A104" i="2" s="1"/>
  <c r="G106" i="1"/>
  <c r="A103" i="2" s="1"/>
  <c r="G91" i="1"/>
  <c r="A88" i="2" s="1"/>
  <c r="G99" i="1"/>
  <c r="A96" i="2" s="1"/>
  <c r="G94" i="1"/>
  <c r="A91" i="2" s="1"/>
  <c r="G89" i="1"/>
  <c r="A86" i="2" s="1"/>
  <c r="G64" i="1"/>
  <c r="A61" i="2" s="1"/>
  <c r="K84" i="1"/>
  <c r="F81" i="2" s="1"/>
  <c r="G85" i="1"/>
  <c r="A82" i="2" s="1"/>
  <c r="G76" i="1"/>
  <c r="A73" i="2" s="1"/>
  <c r="M84" i="1"/>
  <c r="H81" i="2" s="1"/>
  <c r="G80" i="1"/>
  <c r="A77" i="2" s="1"/>
  <c r="L84" i="1"/>
  <c r="G81" i="2" s="1"/>
  <c r="G90" i="1"/>
  <c r="A87" i="2" s="1"/>
  <c r="G84" i="1"/>
  <c r="A81" i="2" s="1"/>
  <c r="G93" i="1"/>
  <c r="A90" i="2" s="1"/>
  <c r="G86" i="1"/>
  <c r="A83" i="2" s="1"/>
  <c r="G78" i="1"/>
  <c r="A75" i="2" s="1"/>
  <c r="K89" i="1"/>
  <c r="F86" i="2" s="1"/>
  <c r="G92" i="1"/>
  <c r="A89" i="2" s="1"/>
  <c r="L83" i="1"/>
  <c r="G80" i="2" s="1"/>
  <c r="N89" i="1"/>
  <c r="I86" i="2" s="1"/>
  <c r="K83" i="1"/>
  <c r="F80" i="2" s="1"/>
  <c r="G87" i="1"/>
  <c r="A84" i="2" s="1"/>
  <c r="M85" i="1"/>
  <c r="H82" i="2" s="1"/>
  <c r="G88" i="1"/>
  <c r="A85" i="2" s="1"/>
  <c r="G81" i="1"/>
  <c r="A78" i="2" s="1"/>
  <c r="G82" i="1"/>
  <c r="A79" i="2" s="1"/>
  <c r="G83" i="1"/>
  <c r="A80" i="2" s="1"/>
  <c r="G77" i="1"/>
  <c r="A74" i="2" s="1"/>
  <c r="G79" i="1"/>
  <c r="A76" i="2" s="1"/>
  <c r="L90" i="1"/>
  <c r="G87" i="2" s="1"/>
  <c r="K90" i="1"/>
  <c r="F87" i="2" s="1"/>
  <c r="N90" i="1"/>
  <c r="I87" i="2" s="1"/>
  <c r="N101" i="1"/>
  <c r="I98" i="2" s="1"/>
  <c r="G61" i="1"/>
  <c r="A58" i="2" s="1"/>
  <c r="G72" i="1"/>
  <c r="A69" i="2" s="1"/>
  <c r="G73" i="1"/>
  <c r="A70" i="2" s="1"/>
  <c r="G75" i="1"/>
  <c r="A72" i="2" s="1"/>
  <c r="G71" i="1"/>
  <c r="A68" i="2" s="1"/>
  <c r="G70" i="1"/>
  <c r="A67" i="2" s="1"/>
  <c r="G74" i="1"/>
  <c r="A71" i="2" s="1"/>
  <c r="N72" i="1"/>
  <c r="I69" i="2" s="1"/>
  <c r="G63" i="1"/>
  <c r="A60" i="2" s="1"/>
  <c r="G69" i="1"/>
  <c r="A66" i="2" s="1"/>
  <c r="G67" i="1"/>
  <c r="A64" i="2" s="1"/>
  <c r="G68" i="1"/>
  <c r="A65" i="2" s="1"/>
  <c r="Q98" i="1"/>
  <c r="L95" i="2" s="1"/>
  <c r="G66" i="1"/>
  <c r="A63" i="2" s="1"/>
  <c r="G65" i="1"/>
  <c r="A62" i="2" s="1"/>
  <c r="G58" i="1"/>
  <c r="A55" i="2" s="1"/>
  <c r="G57" i="1"/>
  <c r="A54" i="2" s="1"/>
  <c r="G60" i="1"/>
  <c r="A57" i="2" s="1"/>
  <c r="G59" i="1"/>
  <c r="A56" i="2" s="1"/>
  <c r="G52" i="1"/>
  <c r="A49" i="2" s="1"/>
  <c r="G62" i="1"/>
  <c r="A59" i="2" s="1"/>
  <c r="G53" i="1"/>
  <c r="A50" i="2" s="1"/>
  <c r="G56" i="1"/>
  <c r="A53" i="2" s="1"/>
  <c r="G55" i="1"/>
  <c r="A52" i="2" s="1"/>
  <c r="G50" i="1"/>
  <c r="A47" i="2" s="1"/>
  <c r="G47" i="1"/>
  <c r="A44" i="2" s="1"/>
  <c r="G51" i="1"/>
  <c r="A48" i="2" s="1"/>
  <c r="G48" i="1"/>
  <c r="A45" i="2" s="1"/>
  <c r="G54" i="1"/>
  <c r="A51" i="2" s="1"/>
  <c r="Q113" i="1"/>
  <c r="L110" i="2" s="1"/>
  <c r="Q85" i="1"/>
  <c r="L82" i="2" s="1"/>
  <c r="G30" i="1"/>
  <c r="A27" i="2" s="1"/>
  <c r="G37" i="1"/>
  <c r="A34" i="2" s="1"/>
  <c r="G31" i="1"/>
  <c r="A28" i="2" s="1"/>
  <c r="G45" i="1"/>
  <c r="A42" i="2" s="1"/>
  <c r="G44" i="1"/>
  <c r="A41" i="2" s="1"/>
  <c r="G41" i="1"/>
  <c r="A38" i="2" s="1"/>
  <c r="G39" i="1"/>
  <c r="A36" i="2" s="1"/>
  <c r="G29" i="1"/>
  <c r="A26" i="2" s="1"/>
  <c r="G38" i="1"/>
  <c r="A35" i="2" s="1"/>
  <c r="Q148" i="1"/>
  <c r="L145" i="2" s="1"/>
  <c r="Q120" i="1"/>
  <c r="L117" i="2" s="1"/>
  <c r="Q92" i="1"/>
  <c r="L89" i="2" s="1"/>
  <c r="Q108" i="1"/>
  <c r="L105" i="2" s="1"/>
  <c r="Q126" i="1"/>
  <c r="L123" i="2" s="1"/>
  <c r="G33" i="1"/>
  <c r="A30" i="2" s="1"/>
  <c r="G27" i="1"/>
  <c r="A24" i="2" s="1"/>
  <c r="G34" i="1"/>
  <c r="A31" i="2" s="1"/>
  <c r="G49" i="1"/>
  <c r="A46" i="2" s="1"/>
  <c r="G42" i="1"/>
  <c r="A39" i="2" s="1"/>
  <c r="G26" i="1"/>
  <c r="A23" i="2" s="1"/>
  <c r="G35" i="1"/>
  <c r="A32" i="2" s="1"/>
  <c r="G36" i="1"/>
  <c r="A33" i="2" s="1"/>
  <c r="G46" i="1"/>
  <c r="A43" i="2" s="1"/>
  <c r="G40" i="1"/>
  <c r="A37" i="2" s="1"/>
  <c r="G32" i="1"/>
  <c r="A29" i="2" s="1"/>
  <c r="G25" i="1"/>
  <c r="A22" i="2" s="1"/>
  <c r="G43" i="1"/>
  <c r="A40" i="2" s="1"/>
  <c r="C4" i="2"/>
  <c r="E7" i="1"/>
  <c r="D7" i="1"/>
  <c r="F7" i="1"/>
  <c r="C7" i="1"/>
  <c r="C3" i="2"/>
  <c r="F6" i="1"/>
  <c r="D17" i="1"/>
  <c r="F17" i="1"/>
  <c r="C17" i="1"/>
  <c r="E17" i="1"/>
  <c r="Q104" i="1"/>
  <c r="L101" i="2" s="1"/>
  <c r="Q112" i="1"/>
  <c r="L109" i="2" s="1"/>
  <c r="K146" i="1"/>
  <c r="F143" i="2" s="1"/>
  <c r="Q146" i="1"/>
  <c r="L143" i="2" s="1"/>
  <c r="Q147" i="1"/>
  <c r="L144" i="2" s="1"/>
  <c r="Q109" i="1"/>
  <c r="L106" i="2" s="1"/>
  <c r="Q114" i="1"/>
  <c r="L111" i="2" s="1"/>
  <c r="Q129" i="1"/>
  <c r="L126" i="2" s="1"/>
  <c r="Q117" i="1"/>
  <c r="L114" i="2" s="1"/>
  <c r="Q132" i="1"/>
  <c r="L129" i="2" s="1"/>
  <c r="Q121" i="1"/>
  <c r="L118" i="2" s="1"/>
  <c r="Q111" i="1"/>
  <c r="L108" i="2" s="1"/>
  <c r="Q135" i="1"/>
  <c r="L132" i="2" s="1"/>
  <c r="Q127" i="1"/>
  <c r="L124" i="2" s="1"/>
  <c r="Q125" i="1"/>
  <c r="L122" i="2" s="1"/>
  <c r="Q138" i="1"/>
  <c r="L135" i="2" s="1"/>
  <c r="Q130" i="1"/>
  <c r="L127" i="2" s="1"/>
  <c r="L141" i="1"/>
  <c r="G138" i="2" s="1"/>
  <c r="Q141" i="1"/>
  <c r="L138" i="2" s="1"/>
  <c r="M144" i="1"/>
  <c r="H141" i="2" s="1"/>
  <c r="Q144" i="1"/>
  <c r="L141" i="2" s="1"/>
  <c r="Q142" i="1"/>
  <c r="L139" i="2" s="1"/>
  <c r="Q145" i="1"/>
  <c r="L142" i="2" s="1"/>
  <c r="Q59" i="1"/>
  <c r="L56" i="2" s="1"/>
  <c r="Q84" i="1"/>
  <c r="L81" i="2" s="1"/>
  <c r="K87" i="1"/>
  <c r="F84" i="2" s="1"/>
  <c r="L87" i="1"/>
  <c r="G84" i="2" s="1"/>
  <c r="N83" i="1"/>
  <c r="I80" i="2" s="1"/>
  <c r="N81" i="1"/>
  <c r="I78" i="2" s="1"/>
  <c r="Q88" i="1"/>
  <c r="L85" i="2" s="1"/>
  <c r="L80" i="1"/>
  <c r="G77" i="2" s="1"/>
  <c r="Q90" i="1"/>
  <c r="L87" i="2" s="1"/>
  <c r="Q76" i="1"/>
  <c r="L73" i="2" s="1"/>
  <c r="Q65" i="1"/>
  <c r="L62" i="2" s="1"/>
  <c r="Q53" i="1"/>
  <c r="L50" i="2" s="1"/>
  <c r="Q48" i="1"/>
  <c r="L45" i="2" s="1"/>
  <c r="Q64" i="1"/>
  <c r="L61" i="2" s="1"/>
  <c r="Q60" i="1"/>
  <c r="L57" i="2" s="1"/>
  <c r="Q73" i="1"/>
  <c r="L70" i="2" s="1"/>
  <c r="Q49" i="1"/>
  <c r="L46" i="2" s="1"/>
  <c r="Q93" i="1"/>
  <c r="L90" i="2" s="1"/>
  <c r="Q80" i="1"/>
  <c r="L77" i="2" s="1"/>
  <c r="Q74" i="1"/>
  <c r="L71" i="2" s="1"/>
  <c r="Q54" i="1"/>
  <c r="L51" i="2" s="1"/>
  <c r="Q66" i="1"/>
  <c r="L63" i="2" s="1"/>
  <c r="L103" i="1"/>
  <c r="G100" i="2" s="1"/>
  <c r="Q103" i="1"/>
  <c r="L100" i="2" s="1"/>
  <c r="Q82" i="1"/>
  <c r="L79" i="2" s="1"/>
  <c r="Q105" i="1"/>
  <c r="L102" i="2" s="1"/>
  <c r="M82" i="1"/>
  <c r="H79" i="2" s="1"/>
  <c r="N75" i="1"/>
  <c r="I72" i="2" s="1"/>
  <c r="Q75" i="1"/>
  <c r="L72" i="2" s="1"/>
  <c r="Q77" i="1"/>
  <c r="L74" i="2" s="1"/>
  <c r="M72" i="1"/>
  <c r="H69" i="2" s="1"/>
  <c r="Q72" i="1"/>
  <c r="L69" i="2" s="1"/>
  <c r="L92" i="1"/>
  <c r="G89" i="2" s="1"/>
  <c r="Q87" i="1"/>
  <c r="L84" i="2" s="1"/>
  <c r="M95" i="1"/>
  <c r="H92" i="2" s="1"/>
  <c r="Q95" i="1"/>
  <c r="L92" i="2" s="1"/>
  <c r="M76" i="1"/>
  <c r="H73" i="2" s="1"/>
  <c r="M99" i="1"/>
  <c r="H96" i="2" s="1"/>
  <c r="Q99" i="1"/>
  <c r="L96" i="2" s="1"/>
  <c r="Q86" i="1"/>
  <c r="L83" i="2" s="1"/>
  <c r="K94" i="1"/>
  <c r="F91" i="2" s="1"/>
  <c r="Q94" i="1"/>
  <c r="L91" i="2" s="1"/>
  <c r="L76" i="1"/>
  <c r="G73" i="2" s="1"/>
  <c r="K85" i="1"/>
  <c r="F82" i="2" s="1"/>
  <c r="Q100" i="1"/>
  <c r="L97" i="2" s="1"/>
  <c r="Q101" i="1"/>
  <c r="L98" i="2" s="1"/>
  <c r="M97" i="1"/>
  <c r="H94" i="2" s="1"/>
  <c r="Q97" i="1"/>
  <c r="L94" i="2" s="1"/>
  <c r="N76" i="1"/>
  <c r="I73" i="2" s="1"/>
  <c r="L85" i="1"/>
  <c r="G82" i="2" s="1"/>
  <c r="L95" i="1"/>
  <c r="G92" i="2" s="1"/>
  <c r="N94" i="1"/>
  <c r="I91" i="2" s="1"/>
  <c r="N91" i="1"/>
  <c r="I88" i="2" s="1"/>
  <c r="Q91" i="1"/>
  <c r="L88" i="2" s="1"/>
  <c r="Q78" i="1"/>
  <c r="L75" i="2" s="1"/>
  <c r="K76" i="1"/>
  <c r="F73" i="2" s="1"/>
  <c r="M79" i="1"/>
  <c r="H76" i="2" s="1"/>
  <c r="Q79" i="1"/>
  <c r="L76" i="2" s="1"/>
  <c r="K82" i="1"/>
  <c r="F79" i="2" s="1"/>
  <c r="Q81" i="1"/>
  <c r="L78" i="2" s="1"/>
  <c r="Q83" i="1"/>
  <c r="L80" i="2" s="1"/>
  <c r="Q96" i="1"/>
  <c r="L93" i="2" s="1"/>
  <c r="N82" i="1"/>
  <c r="I79" i="2" s="1"/>
  <c r="L89" i="1"/>
  <c r="G86" i="2" s="1"/>
  <c r="Q89" i="1"/>
  <c r="L86" i="2" s="1"/>
  <c r="L63" i="1"/>
  <c r="G60" i="2" s="1"/>
  <c r="Q63" i="1"/>
  <c r="L60" i="2" s="1"/>
  <c r="N67" i="1"/>
  <c r="I64" i="2" s="1"/>
  <c r="Q67" i="1"/>
  <c r="L64" i="2" s="1"/>
  <c r="N68" i="1"/>
  <c r="I65" i="2" s="1"/>
  <c r="Q68" i="1"/>
  <c r="L65" i="2" s="1"/>
  <c r="Q69" i="1"/>
  <c r="L66" i="2" s="1"/>
  <c r="M70" i="1"/>
  <c r="H67" i="2" s="1"/>
  <c r="Q70" i="1"/>
  <c r="L67" i="2" s="1"/>
  <c r="Q71" i="1"/>
  <c r="L68" i="2" s="1"/>
  <c r="Q45" i="1"/>
  <c r="L42" i="2" s="1"/>
  <c r="Q29" i="1"/>
  <c r="L26" i="2" s="1"/>
  <c r="Q57" i="1"/>
  <c r="L54" i="2" s="1"/>
  <c r="Q37" i="1"/>
  <c r="L34" i="2" s="1"/>
  <c r="Q40" i="1"/>
  <c r="L37" i="2" s="1"/>
  <c r="Q30" i="1"/>
  <c r="L27" i="2" s="1"/>
  <c r="Q36" i="1"/>
  <c r="L33" i="2" s="1"/>
  <c r="Q31" i="1"/>
  <c r="L28" i="2" s="1"/>
  <c r="Q32" i="1"/>
  <c r="L29" i="2" s="1"/>
  <c r="Q61" i="1"/>
  <c r="L58" i="2" s="1"/>
  <c r="Q62" i="1"/>
  <c r="L59" i="2" s="1"/>
  <c r="Q27" i="1"/>
  <c r="L24" i="2" s="1"/>
  <c r="Q35" i="1"/>
  <c r="L32" i="2" s="1"/>
  <c r="Q34" i="1"/>
  <c r="L31" i="2" s="1"/>
  <c r="Q58" i="1"/>
  <c r="L55" i="2" s="1"/>
  <c r="Q38" i="1"/>
  <c r="L35" i="2" s="1"/>
  <c r="Q47" i="1"/>
  <c r="L44" i="2" s="1"/>
  <c r="K51" i="1"/>
  <c r="F48" i="2" s="1"/>
  <c r="Q51" i="1"/>
  <c r="L48" i="2" s="1"/>
  <c r="Q46" i="1"/>
  <c r="L43" i="2" s="1"/>
  <c r="K52" i="1"/>
  <c r="F49" i="2" s="1"/>
  <c r="Q52" i="1"/>
  <c r="L49" i="2" s="1"/>
  <c r="Q44" i="1"/>
  <c r="L41" i="2" s="1"/>
  <c r="Q56" i="1"/>
  <c r="L53" i="2" s="1"/>
  <c r="Q55" i="1"/>
  <c r="L52" i="2" s="1"/>
  <c r="M50" i="1"/>
  <c r="H47" i="2" s="1"/>
  <c r="Q50" i="1"/>
  <c r="L47" i="2" s="1"/>
  <c r="L41" i="1"/>
  <c r="G38" i="2" s="1"/>
  <c r="Q41" i="1"/>
  <c r="L38" i="2" s="1"/>
  <c r="Q33" i="1"/>
  <c r="L30" i="2" s="1"/>
  <c r="Q42" i="1"/>
  <c r="L39" i="2" s="1"/>
  <c r="Q43" i="1"/>
  <c r="L40" i="2" s="1"/>
  <c r="L28" i="1"/>
  <c r="G25" i="2" s="1"/>
  <c r="Q28" i="1"/>
  <c r="L25" i="2" s="1"/>
  <c r="Q39" i="1"/>
  <c r="L36" i="2" s="1"/>
  <c r="N70" i="1"/>
  <c r="I67" i="2" s="1"/>
  <c r="K72" i="1"/>
  <c r="F69" i="2" s="1"/>
  <c r="K74" i="1"/>
  <c r="F71" i="2" s="1"/>
  <c r="L74" i="1"/>
  <c r="G71" i="2" s="1"/>
  <c r="N74" i="1"/>
  <c r="I71" i="2" s="1"/>
  <c r="L137" i="1"/>
  <c r="G134" i="2" s="1"/>
  <c r="N137" i="1"/>
  <c r="I134" i="2" s="1"/>
  <c r="K137" i="1"/>
  <c r="F134" i="2" s="1"/>
  <c r="M137" i="1"/>
  <c r="H134" i="2" s="1"/>
  <c r="K147" i="1"/>
  <c r="F144" i="2" s="1"/>
  <c r="N93" i="1"/>
  <c r="I90" i="2" s="1"/>
  <c r="K103" i="1"/>
  <c r="F100" i="2" s="1"/>
  <c r="M103" i="1"/>
  <c r="H100" i="2" s="1"/>
  <c r="K107" i="1"/>
  <c r="F104" i="2" s="1"/>
  <c r="N107" i="1"/>
  <c r="I104" i="2" s="1"/>
  <c r="M107" i="1"/>
  <c r="H104" i="2" s="1"/>
  <c r="L107" i="1"/>
  <c r="G104" i="2" s="1"/>
  <c r="L70" i="1"/>
  <c r="G67" i="2" s="1"/>
  <c r="M71" i="1"/>
  <c r="H68" i="2" s="1"/>
  <c r="M66" i="1"/>
  <c r="H63" i="2" s="1"/>
  <c r="L66" i="1"/>
  <c r="G63" i="2" s="1"/>
  <c r="M80" i="1"/>
  <c r="H77" i="2" s="1"/>
  <c r="K75" i="1"/>
  <c r="F72" i="2" s="1"/>
  <c r="L75" i="1"/>
  <c r="G72" i="2" s="1"/>
  <c r="M75" i="1"/>
  <c r="H72" i="2" s="1"/>
  <c r="M81" i="1"/>
  <c r="H78" i="2" s="1"/>
  <c r="N77" i="1"/>
  <c r="I74" i="2" s="1"/>
  <c r="K80" i="1"/>
  <c r="F77" i="2" s="1"/>
  <c r="K81" i="1"/>
  <c r="F78" i="2" s="1"/>
  <c r="K77" i="1"/>
  <c r="F74" i="2" s="1"/>
  <c r="N73" i="1"/>
  <c r="I70" i="2" s="1"/>
  <c r="K67" i="1"/>
  <c r="F64" i="2" s="1"/>
  <c r="K95" i="1"/>
  <c r="F92" i="2" s="1"/>
  <c r="K93" i="1"/>
  <c r="F90" i="2" s="1"/>
  <c r="M91" i="1"/>
  <c r="H88" i="2" s="1"/>
  <c r="L93" i="1"/>
  <c r="G90" i="2" s="1"/>
  <c r="M93" i="1"/>
  <c r="H90" i="2" s="1"/>
  <c r="K86" i="1"/>
  <c r="F83" i="2" s="1"/>
  <c r="L86" i="1"/>
  <c r="G83" i="2" s="1"/>
  <c r="N86" i="1"/>
  <c r="I83" i="2" s="1"/>
  <c r="M86" i="1"/>
  <c r="H83" i="2" s="1"/>
  <c r="N71" i="1"/>
  <c r="I68" i="2" s="1"/>
  <c r="N66" i="1"/>
  <c r="I63" i="2" s="1"/>
  <c r="K70" i="1"/>
  <c r="F67" i="2" s="1"/>
  <c r="K66" i="1"/>
  <c r="F63" i="2" s="1"/>
  <c r="K100" i="1"/>
  <c r="F97" i="2" s="1"/>
  <c r="L79" i="1"/>
  <c r="G76" i="2" s="1"/>
  <c r="N79" i="1"/>
  <c r="I76" i="2" s="1"/>
  <c r="K73" i="1"/>
  <c r="F70" i="2" s="1"/>
  <c r="M73" i="1"/>
  <c r="H70" i="2" s="1"/>
  <c r="L73" i="1"/>
  <c r="G70" i="2" s="1"/>
  <c r="K79" i="1"/>
  <c r="F76" i="2" s="1"/>
  <c r="L78" i="1"/>
  <c r="G75" i="2" s="1"/>
  <c r="K78" i="1"/>
  <c r="F75" i="2" s="1"/>
  <c r="M78" i="1"/>
  <c r="H75" i="2" s="1"/>
  <c r="L91" i="1"/>
  <c r="G88" i="2" s="1"/>
  <c r="K91" i="1"/>
  <c r="F88" i="2" s="1"/>
  <c r="K92" i="1"/>
  <c r="F89" i="2" s="1"/>
  <c r="N98" i="1"/>
  <c r="I95" i="2" s="1"/>
  <c r="M92" i="1"/>
  <c r="H89" i="2" s="1"/>
  <c r="N100" i="1"/>
  <c r="I97" i="2" s="1"/>
  <c r="M98" i="1"/>
  <c r="H95" i="2" s="1"/>
  <c r="N99" i="1"/>
  <c r="I96" i="2" s="1"/>
  <c r="K98" i="1"/>
  <c r="F95" i="2" s="1"/>
  <c r="K99" i="1"/>
  <c r="F96" i="2" s="1"/>
  <c r="L98" i="1"/>
  <c r="G95" i="2" s="1"/>
  <c r="N69" i="1"/>
  <c r="I66" i="2" s="1"/>
  <c r="K69" i="1"/>
  <c r="F66" i="2" s="1"/>
  <c r="M69" i="1"/>
  <c r="H66" i="2" s="1"/>
  <c r="K68" i="1"/>
  <c r="F65" i="2" s="1"/>
  <c r="L69" i="1"/>
  <c r="G66" i="2" s="1"/>
  <c r="M124" i="1"/>
  <c r="H121" i="2" s="1"/>
  <c r="K124" i="1"/>
  <c r="F121" i="2" s="1"/>
  <c r="N124" i="1"/>
  <c r="I121" i="2" s="1"/>
  <c r="L124" i="1"/>
  <c r="G121" i="2" s="1"/>
  <c r="L62" i="1"/>
  <c r="G59" i="2" s="1"/>
  <c r="N62" i="1"/>
  <c r="I59" i="2" s="1"/>
  <c r="M68" i="1"/>
  <c r="H65" i="2" s="1"/>
  <c r="K41" i="1"/>
  <c r="F38" i="2" s="1"/>
  <c r="M67" i="1"/>
  <c r="H64" i="2" s="1"/>
  <c r="L68" i="1"/>
  <c r="G65" i="2" s="1"/>
  <c r="M58" i="1"/>
  <c r="H55" i="2" s="1"/>
  <c r="N63" i="1"/>
  <c r="I60" i="2" s="1"/>
  <c r="K63" i="1"/>
  <c r="F60" i="2" s="1"/>
  <c r="L67" i="1"/>
  <c r="G64" i="2" s="1"/>
  <c r="M63" i="1"/>
  <c r="H60" i="2" s="1"/>
  <c r="N39" i="1"/>
  <c r="I36" i="2" s="1"/>
  <c r="L58" i="1"/>
  <c r="G55" i="2" s="1"/>
  <c r="N58" i="1"/>
  <c r="I55" i="2" s="1"/>
  <c r="K58" i="1"/>
  <c r="F55" i="2" s="1"/>
  <c r="S62" i="1"/>
  <c r="K62" i="1"/>
  <c r="F59" i="2" s="1"/>
  <c r="K39" i="1"/>
  <c r="F36" i="2" s="1"/>
  <c r="M39" i="1"/>
  <c r="H36" i="2" s="1"/>
  <c r="L39" i="1"/>
  <c r="G36" i="2" s="1"/>
  <c r="N41" i="1"/>
  <c r="I38" i="2" s="1"/>
  <c r="M41" i="1"/>
  <c r="H38" i="2" s="1"/>
  <c r="M46" i="1"/>
  <c r="H43" i="2" s="1"/>
  <c r="L50" i="1"/>
  <c r="G47" i="2" s="1"/>
  <c r="M44" i="1"/>
  <c r="H41" i="2" s="1"/>
  <c r="K44" i="1"/>
  <c r="F41" i="2" s="1"/>
  <c r="L46" i="1"/>
  <c r="G43" i="2" s="1"/>
  <c r="N46" i="1"/>
  <c r="I43" i="2" s="1"/>
  <c r="K49" i="1"/>
  <c r="F46" i="2" s="1"/>
  <c r="K46" i="1"/>
  <c r="F43" i="2" s="1"/>
  <c r="N44" i="1"/>
  <c r="I41" i="2" s="1"/>
  <c r="L52" i="1"/>
  <c r="G49" i="2" s="1"/>
  <c r="K50" i="1"/>
  <c r="F47" i="2" s="1"/>
  <c r="L51" i="1"/>
  <c r="G48" i="2" s="1"/>
  <c r="N50" i="1"/>
  <c r="I47" i="2" s="1"/>
  <c r="L44" i="1"/>
  <c r="G41" i="2" s="1"/>
  <c r="M52" i="1"/>
  <c r="H49" i="2" s="1"/>
  <c r="M28" i="1"/>
  <c r="H25" i="2" s="1"/>
  <c r="M49" i="1"/>
  <c r="H46" i="2" s="1"/>
  <c r="N52" i="1"/>
  <c r="I49" i="2" s="1"/>
  <c r="N49" i="1"/>
  <c r="I46" i="2" s="1"/>
  <c r="N47" i="1"/>
  <c r="I44" i="2" s="1"/>
  <c r="N28" i="1"/>
  <c r="I25" i="2" s="1"/>
  <c r="K28" i="1"/>
  <c r="F25" i="2" s="1"/>
  <c r="L49" i="1"/>
  <c r="G46" i="2" s="1"/>
  <c r="M61" i="1"/>
  <c r="H58" i="2" s="1"/>
  <c r="K61" i="1"/>
  <c r="F58" i="2" s="1"/>
  <c r="N61" i="1"/>
  <c r="I58" i="2" s="1"/>
  <c r="L61" i="1"/>
  <c r="G58" i="2" s="1"/>
  <c r="N65" i="1"/>
  <c r="I62" i="2" s="1"/>
  <c r="L65" i="1"/>
  <c r="G62" i="2" s="1"/>
  <c r="M65" i="1"/>
  <c r="H62" i="2" s="1"/>
  <c r="K65" i="1"/>
  <c r="F62" i="2" s="1"/>
  <c r="M60" i="1"/>
  <c r="H57" i="2" s="1"/>
  <c r="K60" i="1"/>
  <c r="F57" i="2" s="1"/>
  <c r="L60" i="1"/>
  <c r="G57" i="2" s="1"/>
  <c r="N60" i="1"/>
  <c r="I57" i="2" s="1"/>
  <c r="M64" i="1"/>
  <c r="H61" i="2" s="1"/>
  <c r="K64" i="1"/>
  <c r="F61" i="2" s="1"/>
  <c r="N64" i="1"/>
  <c r="I61" i="2" s="1"/>
  <c r="L64" i="1"/>
  <c r="G61" i="2" s="1"/>
  <c r="M59" i="1"/>
  <c r="H56" i="2" s="1"/>
  <c r="N59" i="1"/>
  <c r="I56" i="2" s="1"/>
  <c r="L59" i="1"/>
  <c r="G56" i="2" s="1"/>
  <c r="K59" i="1"/>
  <c r="F56" i="2" s="1"/>
  <c r="M47" i="1"/>
  <c r="H44" i="2" s="1"/>
  <c r="M51" i="1"/>
  <c r="H48" i="2" s="1"/>
  <c r="L47" i="1"/>
  <c r="G44" i="2" s="1"/>
  <c r="N51" i="1"/>
  <c r="I48" i="2" s="1"/>
  <c r="K47" i="1"/>
  <c r="F44" i="2" s="1"/>
  <c r="K56" i="1"/>
  <c r="F53" i="2" s="1"/>
  <c r="L56" i="1"/>
  <c r="G53" i="2" s="1"/>
  <c r="M56" i="1"/>
  <c r="H53" i="2" s="1"/>
  <c r="N56" i="1"/>
  <c r="I53" i="2" s="1"/>
  <c r="M54" i="1"/>
  <c r="H51" i="2" s="1"/>
  <c r="N54" i="1"/>
  <c r="I51" i="2" s="1"/>
  <c r="L54" i="1"/>
  <c r="G51" i="2" s="1"/>
  <c r="K54" i="1"/>
  <c r="F51" i="2" s="1"/>
  <c r="N57" i="1"/>
  <c r="I54" i="2" s="1"/>
  <c r="K57" i="1"/>
  <c r="F54" i="2" s="1"/>
  <c r="M57" i="1"/>
  <c r="H54" i="2" s="1"/>
  <c r="L57" i="1"/>
  <c r="G54" i="2" s="1"/>
  <c r="N53" i="1"/>
  <c r="I50" i="2" s="1"/>
  <c r="K53" i="1"/>
  <c r="F50" i="2" s="1"/>
  <c r="L53" i="1"/>
  <c r="G50" i="2" s="1"/>
  <c r="M53" i="1"/>
  <c r="H50" i="2" s="1"/>
  <c r="L55" i="1"/>
  <c r="G52" i="2" s="1"/>
  <c r="M55" i="1"/>
  <c r="H52" i="2" s="1"/>
  <c r="K55" i="1"/>
  <c r="F52" i="2" s="1"/>
  <c r="N55" i="1"/>
  <c r="I52" i="2" s="1"/>
  <c r="N45" i="1"/>
  <c r="I42" i="2" s="1"/>
  <c r="M45" i="1"/>
  <c r="H42" i="2" s="1"/>
  <c r="K45" i="1"/>
  <c r="F42" i="2" s="1"/>
  <c r="L45" i="1"/>
  <c r="G42" i="2" s="1"/>
  <c r="K48" i="1"/>
  <c r="F45" i="2" s="1"/>
  <c r="L48" i="1"/>
  <c r="G45" i="2" s="1"/>
  <c r="N48" i="1"/>
  <c r="I45" i="2" s="1"/>
  <c r="M48" i="1"/>
  <c r="H45" i="2" s="1"/>
  <c r="L43" i="1"/>
  <c r="G40" i="2" s="1"/>
  <c r="K43" i="1"/>
  <c r="F40" i="2" s="1"/>
  <c r="M43" i="1"/>
  <c r="H40" i="2" s="1"/>
  <c r="N43" i="1"/>
  <c r="I40" i="2" s="1"/>
  <c r="M42" i="1"/>
  <c r="H39" i="2" s="1"/>
  <c r="L42" i="1"/>
  <c r="G39" i="2" s="1"/>
  <c r="N42" i="1"/>
  <c r="I39" i="2" s="1"/>
  <c r="K42" i="1"/>
  <c r="F39" i="2" s="1"/>
  <c r="N40" i="1"/>
  <c r="I37" i="2" s="1"/>
  <c r="M40" i="1"/>
  <c r="H37" i="2" s="1"/>
  <c r="L40" i="1"/>
  <c r="G37" i="2" s="1"/>
  <c r="K40" i="1"/>
  <c r="F37" i="2" s="1"/>
  <c r="N38" i="1"/>
  <c r="I35" i="2" s="1"/>
  <c r="L38" i="1"/>
  <c r="G35" i="2" s="1"/>
  <c r="M38" i="1"/>
  <c r="H35" i="2" s="1"/>
  <c r="K38" i="1"/>
  <c r="F35" i="2" s="1"/>
  <c r="N37" i="1"/>
  <c r="I34" i="2" s="1"/>
  <c r="M37" i="1"/>
  <c r="H34" i="2" s="1"/>
  <c r="L37" i="1"/>
  <c r="G34" i="2" s="1"/>
  <c r="K37" i="1"/>
  <c r="F34" i="2" s="1"/>
  <c r="M36" i="1"/>
  <c r="H33" i="2" s="1"/>
  <c r="N36" i="1"/>
  <c r="I33" i="2" s="1"/>
  <c r="L36" i="1"/>
  <c r="G33" i="2" s="1"/>
  <c r="K36" i="1"/>
  <c r="F33" i="2" s="1"/>
  <c r="N35" i="1"/>
  <c r="I32" i="2" s="1"/>
  <c r="M35" i="1"/>
  <c r="H32" i="2" s="1"/>
  <c r="L35" i="1"/>
  <c r="G32" i="2" s="1"/>
  <c r="K35" i="1"/>
  <c r="F32" i="2" s="1"/>
  <c r="N33" i="1"/>
  <c r="I30" i="2" s="1"/>
  <c r="M33" i="1"/>
  <c r="H30" i="2" s="1"/>
  <c r="L33" i="1"/>
  <c r="G30" i="2" s="1"/>
  <c r="K33" i="1"/>
  <c r="F30" i="2" s="1"/>
  <c r="N32" i="1"/>
  <c r="I29" i="2" s="1"/>
  <c r="M32" i="1"/>
  <c r="H29" i="2" s="1"/>
  <c r="L32" i="1"/>
  <c r="G29" i="2" s="1"/>
  <c r="K32" i="1"/>
  <c r="F29" i="2" s="1"/>
  <c r="N34" i="1"/>
  <c r="I31" i="2" s="1"/>
  <c r="M34" i="1"/>
  <c r="H31" i="2" s="1"/>
  <c r="L34" i="1"/>
  <c r="G31" i="2" s="1"/>
  <c r="K34" i="1"/>
  <c r="F31" i="2" s="1"/>
  <c r="M31" i="1"/>
  <c r="H28" i="2" s="1"/>
  <c r="L31" i="1"/>
  <c r="G28" i="2" s="1"/>
  <c r="K31" i="1"/>
  <c r="F28" i="2" s="1"/>
  <c r="N31" i="1"/>
  <c r="I28" i="2" s="1"/>
  <c r="N26" i="1"/>
  <c r="I23" i="2" s="1"/>
  <c r="K26" i="1"/>
  <c r="F23" i="2" s="1"/>
  <c r="L26" i="1"/>
  <c r="G23" i="2" s="1"/>
  <c r="M26" i="1"/>
  <c r="H23" i="2" s="1"/>
  <c r="K29" i="1"/>
  <c r="F26" i="2" s="1"/>
  <c r="L29" i="1"/>
  <c r="G26" i="2" s="1"/>
  <c r="M29" i="1"/>
  <c r="H26" i="2" s="1"/>
  <c r="N29" i="1"/>
  <c r="I26" i="2" s="1"/>
  <c r="N30" i="1"/>
  <c r="I27" i="2" s="1"/>
  <c r="K30" i="1"/>
  <c r="F27" i="2" s="1"/>
  <c r="L30" i="1"/>
  <c r="G27" i="2" s="1"/>
  <c r="M30" i="1"/>
  <c r="H27" i="2" s="1"/>
  <c r="M27" i="1"/>
  <c r="H24" i="2" s="1"/>
  <c r="N27" i="1"/>
  <c r="I24" i="2" s="1"/>
  <c r="K27" i="1"/>
  <c r="F24" i="2" s="1"/>
  <c r="L27" i="1"/>
  <c r="G24" i="2" s="1"/>
  <c r="C6" i="1"/>
  <c r="N59" i="2" l="1"/>
  <c r="N166" i="2"/>
  <c r="N155" i="2"/>
  <c r="N154" i="2"/>
  <c r="N168" i="2"/>
  <c r="N173" i="2"/>
  <c r="M170" i="2"/>
  <c r="N170" i="2"/>
  <c r="N161" i="2"/>
  <c r="N152" i="2"/>
  <c r="N172" i="2"/>
  <c r="M172" i="2"/>
  <c r="N164" i="2"/>
  <c r="M155" i="2"/>
  <c r="N165" i="2"/>
  <c r="M167" i="2"/>
  <c r="N167" i="2"/>
  <c r="N162" i="2"/>
  <c r="M156" i="2"/>
  <c r="N157" i="2"/>
  <c r="N169" i="2"/>
  <c r="N163" i="2"/>
  <c r="M162" i="2"/>
  <c r="M164" i="2"/>
  <c r="N160" i="2"/>
  <c r="M157" i="2"/>
  <c r="M169" i="2"/>
  <c r="M163" i="2"/>
  <c r="M154" i="2"/>
  <c r="N156" i="2"/>
  <c r="M153" i="2"/>
  <c r="M160" i="2"/>
  <c r="M161" i="2"/>
  <c r="M152" i="2"/>
  <c r="N99" i="2"/>
  <c r="N87" i="2"/>
  <c r="N84" i="2"/>
  <c r="M165" i="2"/>
  <c r="N153" i="2"/>
  <c r="R174" i="1"/>
  <c r="G171" i="2"/>
  <c r="N138" i="2"/>
  <c r="S174" i="1"/>
  <c r="H171" i="2"/>
  <c r="M168" i="2"/>
  <c r="N159" i="2"/>
  <c r="M158" i="2"/>
  <c r="N158" i="2"/>
  <c r="M173" i="2"/>
  <c r="M166" i="2"/>
  <c r="M159" i="2"/>
  <c r="S137" i="1"/>
  <c r="S143" i="1"/>
  <c r="N140" i="2" s="1"/>
  <c r="R140" i="1"/>
  <c r="M137" i="2" s="1"/>
  <c r="R131" i="1"/>
  <c r="M128" i="2" s="1"/>
  <c r="N126" i="2"/>
  <c r="N142" i="2"/>
  <c r="N125" i="2"/>
  <c r="M127" i="2"/>
  <c r="R112" i="1"/>
  <c r="S131" i="1"/>
  <c r="N128" i="2" s="1"/>
  <c r="M120" i="2"/>
  <c r="R116" i="1"/>
  <c r="M113" i="2" s="1"/>
  <c r="M106" i="2"/>
  <c r="M135" i="2"/>
  <c r="N122" i="2"/>
  <c r="S116" i="1"/>
  <c r="N113" i="2" s="1"/>
  <c r="R125" i="1"/>
  <c r="M122" i="2" s="1"/>
  <c r="N115" i="2"/>
  <c r="R128" i="1"/>
  <c r="M125" i="2" s="1"/>
  <c r="M118" i="2"/>
  <c r="M101" i="2"/>
  <c r="M102" i="2"/>
  <c r="N108" i="2"/>
  <c r="N106" i="2"/>
  <c r="S144" i="1"/>
  <c r="N141" i="2" s="1"/>
  <c r="R137" i="1"/>
  <c r="S134" i="1"/>
  <c r="R146" i="1"/>
  <c r="M143" i="2" s="1"/>
  <c r="R144" i="1"/>
  <c r="M141" i="2" s="1"/>
  <c r="M119" i="2"/>
  <c r="N107" i="2"/>
  <c r="N112" i="2"/>
  <c r="R141" i="1"/>
  <c r="M138" i="2" s="1"/>
  <c r="M131" i="2"/>
  <c r="S140" i="1"/>
  <c r="N137" i="2" s="1"/>
  <c r="R143" i="1"/>
  <c r="M140" i="2" s="1"/>
  <c r="M133" i="2"/>
  <c r="M132" i="2"/>
  <c r="M126" i="2"/>
  <c r="R119" i="1"/>
  <c r="M116" i="2" s="1"/>
  <c r="R139" i="1"/>
  <c r="M136" i="2" s="1"/>
  <c r="M129" i="2"/>
  <c r="N102" i="2"/>
  <c r="R127" i="1"/>
  <c r="M124" i="2" s="1"/>
  <c r="M117" i="2"/>
  <c r="M144" i="2"/>
  <c r="N135" i="2"/>
  <c r="N133" i="2"/>
  <c r="N130" i="2"/>
  <c r="S124" i="1"/>
  <c r="N121" i="2" s="1"/>
  <c r="S114" i="1"/>
  <c r="N111" i="2" s="1"/>
  <c r="S146" i="1"/>
  <c r="N143" i="2" s="1"/>
  <c r="S119" i="1"/>
  <c r="N116" i="2" s="1"/>
  <c r="S112" i="1"/>
  <c r="R124" i="1"/>
  <c r="M121" i="2" s="1"/>
  <c r="N114" i="2"/>
  <c r="S139" i="1"/>
  <c r="N136" i="2" s="1"/>
  <c r="N101" i="2"/>
  <c r="M115" i="2"/>
  <c r="N127" i="2"/>
  <c r="R133" i="1"/>
  <c r="M123" i="2"/>
  <c r="N124" i="2"/>
  <c r="R91" i="1"/>
  <c r="M88" i="2" s="1"/>
  <c r="R64" i="1"/>
  <c r="M61" i="2" s="1"/>
  <c r="S107" i="1"/>
  <c r="N104" i="2" s="1"/>
  <c r="R74" i="1"/>
  <c r="M71" i="2" s="1"/>
  <c r="R63" i="1"/>
  <c r="S85" i="1"/>
  <c r="R84" i="1"/>
  <c r="M74" i="2"/>
  <c r="N80" i="2"/>
  <c r="R68" i="1"/>
  <c r="M65" i="2" s="1"/>
  <c r="R73" i="1"/>
  <c r="M70" i="2" s="1"/>
  <c r="R86" i="1"/>
  <c r="R97" i="1"/>
  <c r="M94" i="2" s="1"/>
  <c r="S63" i="1"/>
  <c r="N60" i="2" s="1"/>
  <c r="S73" i="1"/>
  <c r="R89" i="1"/>
  <c r="R87" i="1"/>
  <c r="M84" i="2" s="1"/>
  <c r="S84" i="1"/>
  <c r="N81" i="2" s="1"/>
  <c r="S77" i="1"/>
  <c r="R101" i="1"/>
  <c r="M98" i="2" s="1"/>
  <c r="M79" i="2"/>
  <c r="S60" i="1"/>
  <c r="N57" i="2" s="1"/>
  <c r="S67" i="1"/>
  <c r="N64" i="2" s="1"/>
  <c r="S98" i="1"/>
  <c r="N95" i="2" s="1"/>
  <c r="S81" i="1"/>
  <c r="N78" i="2" s="1"/>
  <c r="S64" i="1"/>
  <c r="N61" i="2" s="1"/>
  <c r="R67" i="1"/>
  <c r="S93" i="1"/>
  <c r="N90" i="2" s="1"/>
  <c r="S75" i="1"/>
  <c r="N72" i="2" s="1"/>
  <c r="S103" i="1"/>
  <c r="N100" i="2" s="1"/>
  <c r="R95" i="1"/>
  <c r="S82" i="1"/>
  <c r="N79" i="2" s="1"/>
  <c r="R108" i="1"/>
  <c r="M105" i="2" s="1"/>
  <c r="S92" i="1"/>
  <c r="N89" i="2" s="1"/>
  <c r="R93" i="1"/>
  <c r="M90" i="2" s="1"/>
  <c r="M83" i="2"/>
  <c r="R75" i="1"/>
  <c r="M72" i="2" s="1"/>
  <c r="R85" i="1"/>
  <c r="M82" i="2" s="1"/>
  <c r="S99" i="1"/>
  <c r="N96" i="2" s="1"/>
  <c r="R83" i="1"/>
  <c r="M80" i="2" s="1"/>
  <c r="M97" i="2"/>
  <c r="S70" i="1"/>
  <c r="N67" i="2" s="1"/>
  <c r="S76" i="1"/>
  <c r="N73" i="2" s="1"/>
  <c r="R90" i="1"/>
  <c r="S108" i="1"/>
  <c r="N105" i="2" s="1"/>
  <c r="R60" i="1"/>
  <c r="R69" i="1"/>
  <c r="R79" i="1"/>
  <c r="M69" i="2"/>
  <c r="S91" i="1"/>
  <c r="N88" i="2" s="1"/>
  <c r="S80" i="1"/>
  <c r="S96" i="1"/>
  <c r="N93" i="2" s="1"/>
  <c r="N71" i="2"/>
  <c r="M85" i="2"/>
  <c r="S97" i="1"/>
  <c r="N94" i="2" s="1"/>
  <c r="S95" i="1"/>
  <c r="N92" i="2" s="1"/>
  <c r="R103" i="1"/>
  <c r="M100" i="2" s="1"/>
  <c r="M91" i="2"/>
  <c r="R66" i="1"/>
  <c r="S65" i="1"/>
  <c r="N62" i="2" s="1"/>
  <c r="S79" i="1"/>
  <c r="N76" i="2" s="1"/>
  <c r="R92" i="1"/>
  <c r="M89" i="2" s="1"/>
  <c r="R96" i="1"/>
  <c r="N86" i="2"/>
  <c r="R102" i="1"/>
  <c r="M99" i="2" s="1"/>
  <c r="S78" i="1"/>
  <c r="N75" i="2" s="1"/>
  <c r="S71" i="1"/>
  <c r="R65" i="1"/>
  <c r="M62" i="2" s="1"/>
  <c r="S68" i="1"/>
  <c r="N65" i="2" s="1"/>
  <c r="R98" i="1"/>
  <c r="M95" i="2" s="1"/>
  <c r="R70" i="1"/>
  <c r="M67" i="2" s="1"/>
  <c r="R80" i="1"/>
  <c r="S101" i="1"/>
  <c r="N98" i="2" s="1"/>
  <c r="N85" i="2"/>
  <c r="S69" i="1"/>
  <c r="N66" i="2" s="1"/>
  <c r="S66" i="1"/>
  <c r="N63" i="2" s="1"/>
  <c r="R78" i="1"/>
  <c r="M68" i="2"/>
  <c r="S86" i="1"/>
  <c r="N83" i="2" s="1"/>
  <c r="R107" i="1"/>
  <c r="M104" i="2" s="1"/>
  <c r="R76" i="1"/>
  <c r="M73" i="2" s="1"/>
  <c r="S72" i="1"/>
  <c r="N69" i="2" s="1"/>
  <c r="S94" i="1"/>
  <c r="N91" i="2" s="1"/>
  <c r="S42" i="1"/>
  <c r="N39" i="2" s="1"/>
  <c r="R28" i="1"/>
  <c r="R29" i="1"/>
  <c r="R38" i="1"/>
  <c r="R41" i="1"/>
  <c r="M38" i="2" s="1"/>
  <c r="S35" i="1"/>
  <c r="R27" i="1"/>
  <c r="S48" i="1"/>
  <c r="N45" i="2" s="1"/>
  <c r="R26" i="1"/>
  <c r="R32" i="1"/>
  <c r="R36" i="1"/>
  <c r="M33" i="2" s="1"/>
  <c r="R40" i="1"/>
  <c r="S44" i="1"/>
  <c r="N41" i="2" s="1"/>
  <c r="S50" i="1"/>
  <c r="N47" i="2" s="1"/>
  <c r="R48" i="1"/>
  <c r="M45" i="2" s="1"/>
  <c r="R44" i="1"/>
  <c r="M41" i="2" s="1"/>
  <c r="R45" i="1"/>
  <c r="M42" i="2" s="1"/>
  <c r="S41" i="1"/>
  <c r="N38" i="2" s="1"/>
  <c r="S40" i="1"/>
  <c r="S46" i="1"/>
  <c r="N43" i="2" s="1"/>
  <c r="R30" i="1"/>
  <c r="R33" i="1"/>
  <c r="S32" i="1"/>
  <c r="S36" i="1"/>
  <c r="N33" i="2" s="1"/>
  <c r="R37" i="1"/>
  <c r="R31" i="1"/>
  <c r="S33" i="1"/>
  <c r="S37" i="1"/>
  <c r="N34" i="2" s="1"/>
  <c r="R42" i="1"/>
  <c r="M39" i="2" s="1"/>
  <c r="S45" i="1"/>
  <c r="N42" i="2" s="1"/>
  <c r="R47" i="1"/>
  <c r="M44" i="2" s="1"/>
  <c r="R39" i="1"/>
  <c r="S31" i="1"/>
  <c r="S47" i="1"/>
  <c r="N44" i="2" s="1"/>
  <c r="R34" i="1"/>
  <c r="M31" i="2" s="1"/>
  <c r="R35" i="1"/>
  <c r="S38" i="1"/>
  <c r="N35" i="2" s="1"/>
  <c r="S39" i="1"/>
  <c r="S34" i="1"/>
  <c r="R46" i="1"/>
  <c r="M43" i="2" s="1"/>
  <c r="S26" i="1"/>
  <c r="S27" i="1"/>
  <c r="S30" i="1"/>
  <c r="S29" i="1"/>
  <c r="N26" i="2" s="1"/>
  <c r="S28" i="1"/>
  <c r="G7" i="1"/>
  <c r="G17" i="1"/>
  <c r="S57" i="1"/>
  <c r="N54" i="2" s="1"/>
  <c r="S58" i="1"/>
  <c r="N55" i="2" s="1"/>
  <c r="R62" i="1"/>
  <c r="R58" i="1"/>
  <c r="M55" i="2" s="1"/>
  <c r="S55" i="1"/>
  <c r="N52" i="2" s="1"/>
  <c r="R56" i="1"/>
  <c r="M53" i="2" s="1"/>
  <c r="S56" i="1"/>
  <c r="N53" i="2" s="1"/>
  <c r="R54" i="1"/>
  <c r="M51" i="2" s="1"/>
  <c r="R53" i="1"/>
  <c r="M50" i="2" s="1"/>
  <c r="R61" i="1"/>
  <c r="S61" i="1"/>
  <c r="N58" i="2" s="1"/>
  <c r="S53" i="1"/>
  <c r="N50" i="2" s="1"/>
  <c r="R57" i="1"/>
  <c r="M54" i="2" s="1"/>
  <c r="S51" i="1"/>
  <c r="N48" i="2" s="1"/>
  <c r="S59" i="1"/>
  <c r="N56" i="2" s="1"/>
  <c r="R52" i="1"/>
  <c r="M49" i="2" s="1"/>
  <c r="R49" i="1"/>
  <c r="M46" i="2" s="1"/>
  <c r="R51" i="1"/>
  <c r="M48" i="2" s="1"/>
  <c r="R50" i="1"/>
  <c r="M47" i="2" s="1"/>
  <c r="R55" i="1"/>
  <c r="M52" i="2" s="1"/>
  <c r="S54" i="1"/>
  <c r="N51" i="2" s="1"/>
  <c r="R59" i="1"/>
  <c r="M56" i="2" s="1"/>
  <c r="S49" i="1"/>
  <c r="N46" i="2" s="1"/>
  <c r="S52" i="1"/>
  <c r="N49" i="2" s="1"/>
  <c r="R43" i="1"/>
  <c r="M40" i="2" s="1"/>
  <c r="S43" i="1"/>
  <c r="N40" i="2" s="1"/>
  <c r="O990" i="2"/>
  <c r="P990" i="2" s="1"/>
  <c r="O991" i="2"/>
  <c r="P991" i="2" s="1"/>
  <c r="O992" i="2"/>
  <c r="P992" i="2" s="1"/>
  <c r="O993" i="2"/>
  <c r="P993" i="2" s="1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O295" i="2"/>
  <c r="P295" i="2" s="1"/>
  <c r="O296" i="2"/>
  <c r="P296" i="2" s="1"/>
  <c r="O297" i="2"/>
  <c r="P297" i="2" s="1"/>
  <c r="O298" i="2"/>
  <c r="P298" i="2" s="1"/>
  <c r="O299" i="2"/>
  <c r="P299" i="2" s="1"/>
  <c r="O300" i="2"/>
  <c r="P300" i="2" s="1"/>
  <c r="O301" i="2"/>
  <c r="P301" i="2" s="1"/>
  <c r="O302" i="2"/>
  <c r="P302" i="2" s="1"/>
  <c r="O303" i="2"/>
  <c r="P303" i="2" s="1"/>
  <c r="O304" i="2"/>
  <c r="P304" i="2" s="1"/>
  <c r="O305" i="2"/>
  <c r="P305" i="2" s="1"/>
  <c r="O306" i="2"/>
  <c r="P306" i="2" s="1"/>
  <c r="O307" i="2"/>
  <c r="P307" i="2" s="1"/>
  <c r="O308" i="2"/>
  <c r="P308" i="2" s="1"/>
  <c r="O309" i="2"/>
  <c r="P309" i="2" s="1"/>
  <c r="O310" i="2"/>
  <c r="P310" i="2" s="1"/>
  <c r="O311" i="2"/>
  <c r="P311" i="2" s="1"/>
  <c r="O312" i="2"/>
  <c r="P312" i="2" s="1"/>
  <c r="O313" i="2"/>
  <c r="P313" i="2" s="1"/>
  <c r="O314" i="2"/>
  <c r="P314" i="2" s="1"/>
  <c r="O315" i="2"/>
  <c r="P315" i="2" s="1"/>
  <c r="O316" i="2"/>
  <c r="P316" i="2" s="1"/>
  <c r="O317" i="2"/>
  <c r="P317" i="2" s="1"/>
  <c r="O318" i="2"/>
  <c r="P318" i="2" s="1"/>
  <c r="O319" i="2"/>
  <c r="P319" i="2" s="1"/>
  <c r="O320" i="2"/>
  <c r="P320" i="2" s="1"/>
  <c r="O321" i="2"/>
  <c r="P321" i="2" s="1"/>
  <c r="O322" i="2"/>
  <c r="P322" i="2" s="1"/>
  <c r="O323" i="2"/>
  <c r="P323" i="2" s="1"/>
  <c r="O324" i="2"/>
  <c r="P324" i="2" s="1"/>
  <c r="O325" i="2"/>
  <c r="P325" i="2" s="1"/>
  <c r="O326" i="2"/>
  <c r="P326" i="2" s="1"/>
  <c r="O327" i="2"/>
  <c r="P327" i="2" s="1"/>
  <c r="O328" i="2"/>
  <c r="P328" i="2" s="1"/>
  <c r="O329" i="2"/>
  <c r="P329" i="2" s="1"/>
  <c r="O330" i="2"/>
  <c r="P330" i="2" s="1"/>
  <c r="O331" i="2"/>
  <c r="P331" i="2" s="1"/>
  <c r="O332" i="2"/>
  <c r="P332" i="2" s="1"/>
  <c r="O333" i="2"/>
  <c r="P333" i="2" s="1"/>
  <c r="O334" i="2"/>
  <c r="P334" i="2" s="1"/>
  <c r="O335" i="2"/>
  <c r="P335" i="2" s="1"/>
  <c r="O336" i="2"/>
  <c r="P336" i="2" s="1"/>
  <c r="O337" i="2"/>
  <c r="P337" i="2" s="1"/>
  <c r="O338" i="2"/>
  <c r="P338" i="2" s="1"/>
  <c r="O339" i="2"/>
  <c r="P339" i="2" s="1"/>
  <c r="O340" i="2"/>
  <c r="P340" i="2" s="1"/>
  <c r="O341" i="2"/>
  <c r="P341" i="2" s="1"/>
  <c r="O342" i="2"/>
  <c r="P342" i="2" s="1"/>
  <c r="O343" i="2"/>
  <c r="P343" i="2" s="1"/>
  <c r="O344" i="2"/>
  <c r="P344" i="2" s="1"/>
  <c r="O345" i="2"/>
  <c r="P345" i="2" s="1"/>
  <c r="O346" i="2"/>
  <c r="P346" i="2" s="1"/>
  <c r="O347" i="2"/>
  <c r="P347" i="2" s="1"/>
  <c r="O348" i="2"/>
  <c r="P348" i="2" s="1"/>
  <c r="O349" i="2"/>
  <c r="P349" i="2" s="1"/>
  <c r="O350" i="2"/>
  <c r="P350" i="2" s="1"/>
  <c r="O351" i="2"/>
  <c r="P351" i="2" s="1"/>
  <c r="O352" i="2"/>
  <c r="P352" i="2" s="1"/>
  <c r="O353" i="2"/>
  <c r="P353" i="2" s="1"/>
  <c r="O354" i="2"/>
  <c r="P354" i="2" s="1"/>
  <c r="O355" i="2"/>
  <c r="P355" i="2" s="1"/>
  <c r="O356" i="2"/>
  <c r="P356" i="2" s="1"/>
  <c r="O357" i="2"/>
  <c r="P357" i="2" s="1"/>
  <c r="O358" i="2"/>
  <c r="P358" i="2" s="1"/>
  <c r="O359" i="2"/>
  <c r="P359" i="2" s="1"/>
  <c r="O360" i="2"/>
  <c r="P360" i="2" s="1"/>
  <c r="O361" i="2"/>
  <c r="P361" i="2" s="1"/>
  <c r="O362" i="2"/>
  <c r="P362" i="2" s="1"/>
  <c r="O363" i="2"/>
  <c r="P363" i="2" s="1"/>
  <c r="O364" i="2"/>
  <c r="P364" i="2" s="1"/>
  <c r="O365" i="2"/>
  <c r="P365" i="2" s="1"/>
  <c r="O366" i="2"/>
  <c r="P366" i="2" s="1"/>
  <c r="O367" i="2"/>
  <c r="P367" i="2" s="1"/>
  <c r="O368" i="2"/>
  <c r="P368" i="2" s="1"/>
  <c r="O369" i="2"/>
  <c r="P369" i="2" s="1"/>
  <c r="O370" i="2"/>
  <c r="P370" i="2" s="1"/>
  <c r="O371" i="2"/>
  <c r="P371" i="2" s="1"/>
  <c r="O372" i="2"/>
  <c r="P372" i="2" s="1"/>
  <c r="O373" i="2"/>
  <c r="P373" i="2" s="1"/>
  <c r="O374" i="2"/>
  <c r="P374" i="2" s="1"/>
  <c r="O375" i="2"/>
  <c r="P375" i="2" s="1"/>
  <c r="O376" i="2"/>
  <c r="P376" i="2" s="1"/>
  <c r="O377" i="2"/>
  <c r="P377" i="2" s="1"/>
  <c r="O378" i="2"/>
  <c r="P378" i="2" s="1"/>
  <c r="O379" i="2"/>
  <c r="P379" i="2" s="1"/>
  <c r="O380" i="2"/>
  <c r="P380" i="2" s="1"/>
  <c r="O381" i="2"/>
  <c r="P381" i="2" s="1"/>
  <c r="O382" i="2"/>
  <c r="P382" i="2" s="1"/>
  <c r="O383" i="2"/>
  <c r="P383" i="2" s="1"/>
  <c r="O384" i="2"/>
  <c r="P384" i="2" s="1"/>
  <c r="O385" i="2"/>
  <c r="P385" i="2" s="1"/>
  <c r="O386" i="2"/>
  <c r="P386" i="2" s="1"/>
  <c r="O387" i="2"/>
  <c r="P387" i="2" s="1"/>
  <c r="O388" i="2"/>
  <c r="P388" i="2" s="1"/>
  <c r="O389" i="2"/>
  <c r="P389" i="2" s="1"/>
  <c r="O390" i="2"/>
  <c r="P390" i="2" s="1"/>
  <c r="O391" i="2"/>
  <c r="P391" i="2" s="1"/>
  <c r="O392" i="2"/>
  <c r="P392" i="2" s="1"/>
  <c r="O393" i="2"/>
  <c r="P393" i="2" s="1"/>
  <c r="O394" i="2"/>
  <c r="P394" i="2" s="1"/>
  <c r="O395" i="2"/>
  <c r="P395" i="2" s="1"/>
  <c r="O396" i="2"/>
  <c r="P396" i="2" s="1"/>
  <c r="O397" i="2"/>
  <c r="P397" i="2" s="1"/>
  <c r="O398" i="2"/>
  <c r="P398" i="2" s="1"/>
  <c r="O399" i="2"/>
  <c r="P399" i="2" s="1"/>
  <c r="O400" i="2"/>
  <c r="P400" i="2" s="1"/>
  <c r="O401" i="2"/>
  <c r="P401" i="2" s="1"/>
  <c r="O402" i="2"/>
  <c r="P402" i="2" s="1"/>
  <c r="O403" i="2"/>
  <c r="P403" i="2" s="1"/>
  <c r="O404" i="2"/>
  <c r="P404" i="2" s="1"/>
  <c r="O405" i="2"/>
  <c r="P405" i="2" s="1"/>
  <c r="O406" i="2"/>
  <c r="P406" i="2" s="1"/>
  <c r="O407" i="2"/>
  <c r="P407" i="2" s="1"/>
  <c r="O408" i="2"/>
  <c r="P408" i="2" s="1"/>
  <c r="O409" i="2"/>
  <c r="P409" i="2" s="1"/>
  <c r="O410" i="2"/>
  <c r="P410" i="2" s="1"/>
  <c r="O411" i="2"/>
  <c r="P411" i="2" s="1"/>
  <c r="O412" i="2"/>
  <c r="P412" i="2" s="1"/>
  <c r="O413" i="2"/>
  <c r="P413" i="2" s="1"/>
  <c r="O414" i="2"/>
  <c r="P414" i="2" s="1"/>
  <c r="O415" i="2"/>
  <c r="P415" i="2" s="1"/>
  <c r="O416" i="2"/>
  <c r="P416" i="2" s="1"/>
  <c r="O417" i="2"/>
  <c r="P417" i="2" s="1"/>
  <c r="O418" i="2"/>
  <c r="P418" i="2" s="1"/>
  <c r="O419" i="2"/>
  <c r="P419" i="2" s="1"/>
  <c r="O420" i="2"/>
  <c r="P420" i="2" s="1"/>
  <c r="O421" i="2"/>
  <c r="P421" i="2" s="1"/>
  <c r="O422" i="2"/>
  <c r="P422" i="2" s="1"/>
  <c r="O423" i="2"/>
  <c r="P423" i="2" s="1"/>
  <c r="O424" i="2"/>
  <c r="P424" i="2" s="1"/>
  <c r="O425" i="2"/>
  <c r="P425" i="2" s="1"/>
  <c r="O426" i="2"/>
  <c r="P426" i="2" s="1"/>
  <c r="O427" i="2"/>
  <c r="P427" i="2" s="1"/>
  <c r="O428" i="2"/>
  <c r="P428" i="2" s="1"/>
  <c r="O429" i="2"/>
  <c r="P429" i="2" s="1"/>
  <c r="O430" i="2"/>
  <c r="P430" i="2" s="1"/>
  <c r="O431" i="2"/>
  <c r="P431" i="2" s="1"/>
  <c r="O432" i="2"/>
  <c r="P432" i="2" s="1"/>
  <c r="O433" i="2"/>
  <c r="P433" i="2" s="1"/>
  <c r="O434" i="2"/>
  <c r="P434" i="2" s="1"/>
  <c r="O435" i="2"/>
  <c r="P435" i="2" s="1"/>
  <c r="O436" i="2"/>
  <c r="P436" i="2" s="1"/>
  <c r="O437" i="2"/>
  <c r="P437" i="2" s="1"/>
  <c r="O438" i="2"/>
  <c r="P438" i="2" s="1"/>
  <c r="O439" i="2"/>
  <c r="P439" i="2" s="1"/>
  <c r="O440" i="2"/>
  <c r="P440" i="2" s="1"/>
  <c r="O441" i="2"/>
  <c r="P441" i="2" s="1"/>
  <c r="O442" i="2"/>
  <c r="P442" i="2" s="1"/>
  <c r="O443" i="2"/>
  <c r="P443" i="2" s="1"/>
  <c r="O444" i="2"/>
  <c r="P444" i="2" s="1"/>
  <c r="O445" i="2"/>
  <c r="P445" i="2" s="1"/>
  <c r="O446" i="2"/>
  <c r="P446" i="2" s="1"/>
  <c r="O447" i="2"/>
  <c r="P447" i="2" s="1"/>
  <c r="O448" i="2"/>
  <c r="P448" i="2" s="1"/>
  <c r="O449" i="2"/>
  <c r="P449" i="2" s="1"/>
  <c r="O450" i="2"/>
  <c r="P450" i="2" s="1"/>
  <c r="O451" i="2"/>
  <c r="P451" i="2" s="1"/>
  <c r="O452" i="2"/>
  <c r="P452" i="2" s="1"/>
  <c r="O453" i="2"/>
  <c r="P453" i="2" s="1"/>
  <c r="O454" i="2"/>
  <c r="P454" i="2" s="1"/>
  <c r="O455" i="2"/>
  <c r="P455" i="2" s="1"/>
  <c r="O456" i="2"/>
  <c r="P456" i="2" s="1"/>
  <c r="O457" i="2"/>
  <c r="P457" i="2" s="1"/>
  <c r="O458" i="2"/>
  <c r="P458" i="2" s="1"/>
  <c r="O459" i="2"/>
  <c r="P459" i="2" s="1"/>
  <c r="O460" i="2"/>
  <c r="P460" i="2" s="1"/>
  <c r="O461" i="2"/>
  <c r="P461" i="2" s="1"/>
  <c r="O462" i="2"/>
  <c r="P462" i="2" s="1"/>
  <c r="O463" i="2"/>
  <c r="P463" i="2" s="1"/>
  <c r="O464" i="2"/>
  <c r="P464" i="2" s="1"/>
  <c r="O465" i="2"/>
  <c r="P465" i="2" s="1"/>
  <c r="O466" i="2"/>
  <c r="P466" i="2" s="1"/>
  <c r="O467" i="2"/>
  <c r="P467" i="2" s="1"/>
  <c r="O468" i="2"/>
  <c r="P468" i="2" s="1"/>
  <c r="O469" i="2"/>
  <c r="P469" i="2" s="1"/>
  <c r="O470" i="2"/>
  <c r="P470" i="2" s="1"/>
  <c r="O471" i="2"/>
  <c r="P471" i="2" s="1"/>
  <c r="O472" i="2"/>
  <c r="P472" i="2" s="1"/>
  <c r="O473" i="2"/>
  <c r="P473" i="2" s="1"/>
  <c r="O474" i="2"/>
  <c r="P474" i="2" s="1"/>
  <c r="O475" i="2"/>
  <c r="P475" i="2" s="1"/>
  <c r="O476" i="2"/>
  <c r="P476" i="2" s="1"/>
  <c r="O477" i="2"/>
  <c r="P477" i="2" s="1"/>
  <c r="O478" i="2"/>
  <c r="P478" i="2" s="1"/>
  <c r="O479" i="2"/>
  <c r="P479" i="2" s="1"/>
  <c r="O480" i="2"/>
  <c r="P480" i="2" s="1"/>
  <c r="O481" i="2"/>
  <c r="P481" i="2" s="1"/>
  <c r="O482" i="2"/>
  <c r="P482" i="2" s="1"/>
  <c r="O483" i="2"/>
  <c r="P483" i="2" s="1"/>
  <c r="O484" i="2"/>
  <c r="P484" i="2" s="1"/>
  <c r="O485" i="2"/>
  <c r="P485" i="2" s="1"/>
  <c r="O486" i="2"/>
  <c r="P486" i="2" s="1"/>
  <c r="O487" i="2"/>
  <c r="P487" i="2" s="1"/>
  <c r="O488" i="2"/>
  <c r="P488" i="2" s="1"/>
  <c r="O489" i="2"/>
  <c r="P489" i="2" s="1"/>
  <c r="O490" i="2"/>
  <c r="P490" i="2" s="1"/>
  <c r="O491" i="2"/>
  <c r="P491" i="2" s="1"/>
  <c r="O492" i="2"/>
  <c r="P492" i="2" s="1"/>
  <c r="O493" i="2"/>
  <c r="P493" i="2" s="1"/>
  <c r="O494" i="2"/>
  <c r="P494" i="2" s="1"/>
  <c r="O495" i="2"/>
  <c r="P495" i="2" s="1"/>
  <c r="O496" i="2"/>
  <c r="P496" i="2" s="1"/>
  <c r="O497" i="2"/>
  <c r="P497" i="2" s="1"/>
  <c r="O498" i="2"/>
  <c r="P498" i="2" s="1"/>
  <c r="O499" i="2"/>
  <c r="P499" i="2" s="1"/>
  <c r="O500" i="2"/>
  <c r="P500" i="2" s="1"/>
  <c r="O501" i="2"/>
  <c r="P501" i="2" s="1"/>
  <c r="O502" i="2"/>
  <c r="P502" i="2" s="1"/>
  <c r="O503" i="2"/>
  <c r="P503" i="2" s="1"/>
  <c r="O504" i="2"/>
  <c r="P504" i="2" s="1"/>
  <c r="O505" i="2"/>
  <c r="P505" i="2" s="1"/>
  <c r="O506" i="2"/>
  <c r="P506" i="2" s="1"/>
  <c r="O507" i="2"/>
  <c r="P507" i="2" s="1"/>
  <c r="O508" i="2"/>
  <c r="P508" i="2" s="1"/>
  <c r="O509" i="2"/>
  <c r="P509" i="2" s="1"/>
  <c r="O510" i="2"/>
  <c r="P510" i="2" s="1"/>
  <c r="O511" i="2"/>
  <c r="P511" i="2" s="1"/>
  <c r="O512" i="2"/>
  <c r="P512" i="2" s="1"/>
  <c r="O513" i="2"/>
  <c r="P513" i="2" s="1"/>
  <c r="O514" i="2"/>
  <c r="P514" i="2" s="1"/>
  <c r="O515" i="2"/>
  <c r="P515" i="2" s="1"/>
  <c r="O516" i="2"/>
  <c r="P516" i="2" s="1"/>
  <c r="O517" i="2"/>
  <c r="P517" i="2" s="1"/>
  <c r="O518" i="2"/>
  <c r="P518" i="2" s="1"/>
  <c r="O519" i="2"/>
  <c r="P519" i="2" s="1"/>
  <c r="O520" i="2"/>
  <c r="P520" i="2" s="1"/>
  <c r="O521" i="2"/>
  <c r="P521" i="2" s="1"/>
  <c r="O522" i="2"/>
  <c r="P522" i="2" s="1"/>
  <c r="O523" i="2"/>
  <c r="P523" i="2" s="1"/>
  <c r="O524" i="2"/>
  <c r="P524" i="2" s="1"/>
  <c r="O525" i="2"/>
  <c r="P525" i="2" s="1"/>
  <c r="O526" i="2"/>
  <c r="P526" i="2" s="1"/>
  <c r="O527" i="2"/>
  <c r="P527" i="2" s="1"/>
  <c r="O528" i="2"/>
  <c r="P528" i="2" s="1"/>
  <c r="O529" i="2"/>
  <c r="P529" i="2" s="1"/>
  <c r="O530" i="2"/>
  <c r="P530" i="2" s="1"/>
  <c r="O531" i="2"/>
  <c r="P531" i="2" s="1"/>
  <c r="O532" i="2"/>
  <c r="P532" i="2" s="1"/>
  <c r="O533" i="2"/>
  <c r="P533" i="2" s="1"/>
  <c r="O534" i="2"/>
  <c r="P534" i="2" s="1"/>
  <c r="O535" i="2"/>
  <c r="P535" i="2" s="1"/>
  <c r="O536" i="2"/>
  <c r="P536" i="2" s="1"/>
  <c r="O537" i="2"/>
  <c r="P537" i="2" s="1"/>
  <c r="O538" i="2"/>
  <c r="P538" i="2" s="1"/>
  <c r="O539" i="2"/>
  <c r="P539" i="2" s="1"/>
  <c r="O540" i="2"/>
  <c r="P540" i="2" s="1"/>
  <c r="O541" i="2"/>
  <c r="P541" i="2" s="1"/>
  <c r="O542" i="2"/>
  <c r="P542" i="2" s="1"/>
  <c r="O543" i="2"/>
  <c r="P543" i="2" s="1"/>
  <c r="O544" i="2"/>
  <c r="P544" i="2" s="1"/>
  <c r="O545" i="2"/>
  <c r="P545" i="2" s="1"/>
  <c r="O546" i="2"/>
  <c r="P546" i="2" s="1"/>
  <c r="O547" i="2"/>
  <c r="P547" i="2" s="1"/>
  <c r="O548" i="2"/>
  <c r="P548" i="2" s="1"/>
  <c r="O549" i="2"/>
  <c r="P549" i="2" s="1"/>
  <c r="O550" i="2"/>
  <c r="P550" i="2" s="1"/>
  <c r="O551" i="2"/>
  <c r="P551" i="2" s="1"/>
  <c r="O552" i="2"/>
  <c r="P552" i="2" s="1"/>
  <c r="O553" i="2"/>
  <c r="P553" i="2" s="1"/>
  <c r="O554" i="2"/>
  <c r="P554" i="2" s="1"/>
  <c r="O555" i="2"/>
  <c r="P555" i="2" s="1"/>
  <c r="O556" i="2"/>
  <c r="P556" i="2" s="1"/>
  <c r="O557" i="2"/>
  <c r="P557" i="2" s="1"/>
  <c r="O558" i="2"/>
  <c r="P558" i="2" s="1"/>
  <c r="O559" i="2"/>
  <c r="P559" i="2" s="1"/>
  <c r="O560" i="2"/>
  <c r="P560" i="2" s="1"/>
  <c r="O561" i="2"/>
  <c r="P561" i="2" s="1"/>
  <c r="O562" i="2"/>
  <c r="P562" i="2" s="1"/>
  <c r="O563" i="2"/>
  <c r="P563" i="2" s="1"/>
  <c r="O564" i="2"/>
  <c r="P564" i="2" s="1"/>
  <c r="O565" i="2"/>
  <c r="P565" i="2" s="1"/>
  <c r="O566" i="2"/>
  <c r="P566" i="2" s="1"/>
  <c r="O567" i="2"/>
  <c r="P567" i="2" s="1"/>
  <c r="O568" i="2"/>
  <c r="P568" i="2" s="1"/>
  <c r="O569" i="2"/>
  <c r="P569" i="2" s="1"/>
  <c r="O570" i="2"/>
  <c r="P570" i="2" s="1"/>
  <c r="O571" i="2"/>
  <c r="P571" i="2" s="1"/>
  <c r="O572" i="2"/>
  <c r="P572" i="2" s="1"/>
  <c r="O573" i="2"/>
  <c r="P573" i="2" s="1"/>
  <c r="O574" i="2"/>
  <c r="P574" i="2" s="1"/>
  <c r="O575" i="2"/>
  <c r="P575" i="2" s="1"/>
  <c r="O576" i="2"/>
  <c r="P576" i="2" s="1"/>
  <c r="O577" i="2"/>
  <c r="P577" i="2" s="1"/>
  <c r="O578" i="2"/>
  <c r="P578" i="2" s="1"/>
  <c r="O579" i="2"/>
  <c r="P579" i="2" s="1"/>
  <c r="O580" i="2"/>
  <c r="P580" i="2" s="1"/>
  <c r="O581" i="2"/>
  <c r="P581" i="2" s="1"/>
  <c r="O582" i="2"/>
  <c r="P582" i="2" s="1"/>
  <c r="O583" i="2"/>
  <c r="P583" i="2" s="1"/>
  <c r="O584" i="2"/>
  <c r="P584" i="2" s="1"/>
  <c r="O585" i="2"/>
  <c r="P585" i="2" s="1"/>
  <c r="O586" i="2"/>
  <c r="P586" i="2" s="1"/>
  <c r="O587" i="2"/>
  <c r="P587" i="2" s="1"/>
  <c r="O588" i="2"/>
  <c r="P588" i="2" s="1"/>
  <c r="O589" i="2"/>
  <c r="P589" i="2" s="1"/>
  <c r="O590" i="2"/>
  <c r="P590" i="2" s="1"/>
  <c r="O591" i="2"/>
  <c r="P591" i="2" s="1"/>
  <c r="O592" i="2"/>
  <c r="P592" i="2" s="1"/>
  <c r="O593" i="2"/>
  <c r="P593" i="2" s="1"/>
  <c r="O594" i="2"/>
  <c r="P594" i="2" s="1"/>
  <c r="O595" i="2"/>
  <c r="P595" i="2" s="1"/>
  <c r="O596" i="2"/>
  <c r="P596" i="2" s="1"/>
  <c r="O597" i="2"/>
  <c r="P597" i="2" s="1"/>
  <c r="O598" i="2"/>
  <c r="P598" i="2" s="1"/>
  <c r="O599" i="2"/>
  <c r="P599" i="2" s="1"/>
  <c r="O600" i="2"/>
  <c r="P600" i="2" s="1"/>
  <c r="O601" i="2"/>
  <c r="P601" i="2" s="1"/>
  <c r="O602" i="2"/>
  <c r="P602" i="2" s="1"/>
  <c r="O603" i="2"/>
  <c r="P603" i="2" s="1"/>
  <c r="O604" i="2"/>
  <c r="P604" i="2" s="1"/>
  <c r="O605" i="2"/>
  <c r="P605" i="2" s="1"/>
  <c r="O606" i="2"/>
  <c r="P606" i="2" s="1"/>
  <c r="O607" i="2"/>
  <c r="P607" i="2" s="1"/>
  <c r="O608" i="2"/>
  <c r="P608" i="2" s="1"/>
  <c r="O609" i="2"/>
  <c r="P609" i="2" s="1"/>
  <c r="O610" i="2"/>
  <c r="P610" i="2" s="1"/>
  <c r="O611" i="2"/>
  <c r="P611" i="2" s="1"/>
  <c r="O612" i="2"/>
  <c r="P612" i="2" s="1"/>
  <c r="O613" i="2"/>
  <c r="P613" i="2" s="1"/>
  <c r="O614" i="2"/>
  <c r="P614" i="2" s="1"/>
  <c r="O615" i="2"/>
  <c r="P615" i="2" s="1"/>
  <c r="O616" i="2"/>
  <c r="P616" i="2" s="1"/>
  <c r="O617" i="2"/>
  <c r="P617" i="2" s="1"/>
  <c r="O618" i="2"/>
  <c r="P618" i="2" s="1"/>
  <c r="O619" i="2"/>
  <c r="P619" i="2" s="1"/>
  <c r="O620" i="2"/>
  <c r="P620" i="2" s="1"/>
  <c r="O621" i="2"/>
  <c r="P621" i="2" s="1"/>
  <c r="O622" i="2"/>
  <c r="P622" i="2" s="1"/>
  <c r="O623" i="2"/>
  <c r="P623" i="2" s="1"/>
  <c r="O624" i="2"/>
  <c r="P624" i="2" s="1"/>
  <c r="O625" i="2"/>
  <c r="P625" i="2" s="1"/>
  <c r="O626" i="2"/>
  <c r="P626" i="2" s="1"/>
  <c r="O627" i="2"/>
  <c r="P627" i="2" s="1"/>
  <c r="O628" i="2"/>
  <c r="P628" i="2" s="1"/>
  <c r="O629" i="2"/>
  <c r="P629" i="2" s="1"/>
  <c r="O630" i="2"/>
  <c r="P630" i="2" s="1"/>
  <c r="O631" i="2"/>
  <c r="P631" i="2" s="1"/>
  <c r="O632" i="2"/>
  <c r="P632" i="2" s="1"/>
  <c r="O633" i="2"/>
  <c r="P633" i="2" s="1"/>
  <c r="O634" i="2"/>
  <c r="P634" i="2" s="1"/>
  <c r="O635" i="2"/>
  <c r="P635" i="2" s="1"/>
  <c r="O636" i="2"/>
  <c r="P636" i="2" s="1"/>
  <c r="O637" i="2"/>
  <c r="P637" i="2" s="1"/>
  <c r="O638" i="2"/>
  <c r="P638" i="2" s="1"/>
  <c r="O639" i="2"/>
  <c r="P639" i="2" s="1"/>
  <c r="O640" i="2"/>
  <c r="P640" i="2" s="1"/>
  <c r="O641" i="2"/>
  <c r="P641" i="2" s="1"/>
  <c r="O642" i="2"/>
  <c r="P642" i="2" s="1"/>
  <c r="O643" i="2"/>
  <c r="P643" i="2" s="1"/>
  <c r="O644" i="2"/>
  <c r="P644" i="2" s="1"/>
  <c r="O645" i="2"/>
  <c r="P645" i="2" s="1"/>
  <c r="O646" i="2"/>
  <c r="P646" i="2" s="1"/>
  <c r="O647" i="2"/>
  <c r="P647" i="2" s="1"/>
  <c r="O648" i="2"/>
  <c r="P648" i="2" s="1"/>
  <c r="O649" i="2"/>
  <c r="P649" i="2" s="1"/>
  <c r="O650" i="2"/>
  <c r="P650" i="2" s="1"/>
  <c r="O651" i="2"/>
  <c r="P651" i="2" s="1"/>
  <c r="O652" i="2"/>
  <c r="P652" i="2" s="1"/>
  <c r="O653" i="2"/>
  <c r="P653" i="2" s="1"/>
  <c r="O654" i="2"/>
  <c r="P654" i="2" s="1"/>
  <c r="O655" i="2"/>
  <c r="P655" i="2" s="1"/>
  <c r="O656" i="2"/>
  <c r="P656" i="2" s="1"/>
  <c r="O657" i="2"/>
  <c r="P657" i="2" s="1"/>
  <c r="O658" i="2"/>
  <c r="P658" i="2" s="1"/>
  <c r="O659" i="2"/>
  <c r="P659" i="2" s="1"/>
  <c r="O660" i="2"/>
  <c r="P660" i="2" s="1"/>
  <c r="O661" i="2"/>
  <c r="P661" i="2" s="1"/>
  <c r="O662" i="2"/>
  <c r="P662" i="2" s="1"/>
  <c r="O663" i="2"/>
  <c r="P663" i="2" s="1"/>
  <c r="O664" i="2"/>
  <c r="P664" i="2" s="1"/>
  <c r="O665" i="2"/>
  <c r="P665" i="2" s="1"/>
  <c r="O666" i="2"/>
  <c r="P666" i="2" s="1"/>
  <c r="O667" i="2"/>
  <c r="P667" i="2" s="1"/>
  <c r="O668" i="2"/>
  <c r="P668" i="2" s="1"/>
  <c r="O669" i="2"/>
  <c r="P669" i="2" s="1"/>
  <c r="O670" i="2"/>
  <c r="P670" i="2" s="1"/>
  <c r="O671" i="2"/>
  <c r="P671" i="2" s="1"/>
  <c r="O672" i="2"/>
  <c r="P672" i="2" s="1"/>
  <c r="O673" i="2"/>
  <c r="P673" i="2" s="1"/>
  <c r="O674" i="2"/>
  <c r="P674" i="2" s="1"/>
  <c r="O675" i="2"/>
  <c r="P675" i="2" s="1"/>
  <c r="O676" i="2"/>
  <c r="P676" i="2" s="1"/>
  <c r="O677" i="2"/>
  <c r="P677" i="2" s="1"/>
  <c r="O678" i="2"/>
  <c r="P678" i="2" s="1"/>
  <c r="O679" i="2"/>
  <c r="P679" i="2" s="1"/>
  <c r="O680" i="2"/>
  <c r="P680" i="2" s="1"/>
  <c r="O681" i="2"/>
  <c r="P681" i="2" s="1"/>
  <c r="O682" i="2"/>
  <c r="P682" i="2" s="1"/>
  <c r="O683" i="2"/>
  <c r="P683" i="2" s="1"/>
  <c r="O684" i="2"/>
  <c r="P684" i="2" s="1"/>
  <c r="O685" i="2"/>
  <c r="P685" i="2" s="1"/>
  <c r="O686" i="2"/>
  <c r="P686" i="2" s="1"/>
  <c r="O687" i="2"/>
  <c r="P687" i="2" s="1"/>
  <c r="O688" i="2"/>
  <c r="P688" i="2" s="1"/>
  <c r="O689" i="2"/>
  <c r="P689" i="2" s="1"/>
  <c r="O690" i="2"/>
  <c r="P690" i="2" s="1"/>
  <c r="O691" i="2"/>
  <c r="P691" i="2" s="1"/>
  <c r="O692" i="2"/>
  <c r="P692" i="2" s="1"/>
  <c r="O693" i="2"/>
  <c r="P693" i="2" s="1"/>
  <c r="O694" i="2"/>
  <c r="P694" i="2" s="1"/>
  <c r="O695" i="2"/>
  <c r="P695" i="2" s="1"/>
  <c r="O696" i="2"/>
  <c r="P696" i="2" s="1"/>
  <c r="O697" i="2"/>
  <c r="P697" i="2" s="1"/>
  <c r="O698" i="2"/>
  <c r="P698" i="2" s="1"/>
  <c r="O699" i="2"/>
  <c r="P699" i="2" s="1"/>
  <c r="O700" i="2"/>
  <c r="P700" i="2" s="1"/>
  <c r="O701" i="2"/>
  <c r="P701" i="2" s="1"/>
  <c r="O702" i="2"/>
  <c r="P702" i="2" s="1"/>
  <c r="O703" i="2"/>
  <c r="P703" i="2" s="1"/>
  <c r="O704" i="2"/>
  <c r="P704" i="2" s="1"/>
  <c r="O705" i="2"/>
  <c r="P705" i="2" s="1"/>
  <c r="O706" i="2"/>
  <c r="P706" i="2" s="1"/>
  <c r="O707" i="2"/>
  <c r="P707" i="2" s="1"/>
  <c r="O708" i="2"/>
  <c r="P708" i="2" s="1"/>
  <c r="O709" i="2"/>
  <c r="P709" i="2" s="1"/>
  <c r="O710" i="2"/>
  <c r="P710" i="2" s="1"/>
  <c r="O711" i="2"/>
  <c r="P711" i="2" s="1"/>
  <c r="O712" i="2"/>
  <c r="P712" i="2" s="1"/>
  <c r="O713" i="2"/>
  <c r="P713" i="2" s="1"/>
  <c r="O714" i="2"/>
  <c r="P714" i="2" s="1"/>
  <c r="O715" i="2"/>
  <c r="P715" i="2" s="1"/>
  <c r="O716" i="2"/>
  <c r="P716" i="2" s="1"/>
  <c r="O717" i="2"/>
  <c r="P717" i="2" s="1"/>
  <c r="O718" i="2"/>
  <c r="P718" i="2" s="1"/>
  <c r="O719" i="2"/>
  <c r="P719" i="2" s="1"/>
  <c r="O720" i="2"/>
  <c r="P720" i="2" s="1"/>
  <c r="O721" i="2"/>
  <c r="P721" i="2" s="1"/>
  <c r="O722" i="2"/>
  <c r="P722" i="2" s="1"/>
  <c r="O723" i="2"/>
  <c r="P723" i="2" s="1"/>
  <c r="O724" i="2"/>
  <c r="P724" i="2" s="1"/>
  <c r="O725" i="2"/>
  <c r="P725" i="2" s="1"/>
  <c r="O726" i="2"/>
  <c r="P726" i="2" s="1"/>
  <c r="O727" i="2"/>
  <c r="P727" i="2" s="1"/>
  <c r="O728" i="2"/>
  <c r="P728" i="2" s="1"/>
  <c r="O729" i="2"/>
  <c r="P729" i="2" s="1"/>
  <c r="O730" i="2"/>
  <c r="P730" i="2" s="1"/>
  <c r="O731" i="2"/>
  <c r="P731" i="2" s="1"/>
  <c r="O732" i="2"/>
  <c r="P732" i="2" s="1"/>
  <c r="O733" i="2"/>
  <c r="P733" i="2" s="1"/>
  <c r="O734" i="2"/>
  <c r="P734" i="2" s="1"/>
  <c r="O735" i="2"/>
  <c r="P735" i="2" s="1"/>
  <c r="O736" i="2"/>
  <c r="P736" i="2" s="1"/>
  <c r="O737" i="2"/>
  <c r="P737" i="2" s="1"/>
  <c r="O738" i="2"/>
  <c r="P738" i="2" s="1"/>
  <c r="O739" i="2"/>
  <c r="P739" i="2" s="1"/>
  <c r="O740" i="2"/>
  <c r="P740" i="2" s="1"/>
  <c r="O741" i="2"/>
  <c r="P741" i="2" s="1"/>
  <c r="O742" i="2"/>
  <c r="P742" i="2" s="1"/>
  <c r="O743" i="2"/>
  <c r="P743" i="2" s="1"/>
  <c r="O744" i="2"/>
  <c r="P744" i="2" s="1"/>
  <c r="O745" i="2"/>
  <c r="P745" i="2" s="1"/>
  <c r="O746" i="2"/>
  <c r="P746" i="2" s="1"/>
  <c r="O747" i="2"/>
  <c r="P747" i="2" s="1"/>
  <c r="O748" i="2"/>
  <c r="P748" i="2" s="1"/>
  <c r="O749" i="2"/>
  <c r="P749" i="2" s="1"/>
  <c r="O750" i="2"/>
  <c r="P750" i="2" s="1"/>
  <c r="O751" i="2"/>
  <c r="P751" i="2" s="1"/>
  <c r="O752" i="2"/>
  <c r="P752" i="2" s="1"/>
  <c r="O753" i="2"/>
  <c r="P753" i="2" s="1"/>
  <c r="O754" i="2"/>
  <c r="P754" i="2" s="1"/>
  <c r="O755" i="2"/>
  <c r="P755" i="2" s="1"/>
  <c r="O756" i="2"/>
  <c r="P756" i="2" s="1"/>
  <c r="O757" i="2"/>
  <c r="P757" i="2" s="1"/>
  <c r="O758" i="2"/>
  <c r="P758" i="2" s="1"/>
  <c r="O759" i="2"/>
  <c r="P759" i="2" s="1"/>
  <c r="O760" i="2"/>
  <c r="P760" i="2" s="1"/>
  <c r="O761" i="2"/>
  <c r="P761" i="2" s="1"/>
  <c r="O762" i="2"/>
  <c r="P762" i="2" s="1"/>
  <c r="O763" i="2"/>
  <c r="P763" i="2" s="1"/>
  <c r="O764" i="2"/>
  <c r="P764" i="2" s="1"/>
  <c r="O765" i="2"/>
  <c r="P765" i="2" s="1"/>
  <c r="O766" i="2"/>
  <c r="P766" i="2" s="1"/>
  <c r="O767" i="2"/>
  <c r="P767" i="2" s="1"/>
  <c r="O768" i="2"/>
  <c r="P768" i="2" s="1"/>
  <c r="O769" i="2"/>
  <c r="P769" i="2" s="1"/>
  <c r="O770" i="2"/>
  <c r="P770" i="2" s="1"/>
  <c r="O771" i="2"/>
  <c r="P771" i="2" s="1"/>
  <c r="O772" i="2"/>
  <c r="P772" i="2" s="1"/>
  <c r="O773" i="2"/>
  <c r="P773" i="2" s="1"/>
  <c r="O774" i="2"/>
  <c r="P774" i="2" s="1"/>
  <c r="O775" i="2"/>
  <c r="P775" i="2" s="1"/>
  <c r="O776" i="2"/>
  <c r="P776" i="2" s="1"/>
  <c r="O777" i="2"/>
  <c r="P777" i="2" s="1"/>
  <c r="O778" i="2"/>
  <c r="P778" i="2" s="1"/>
  <c r="O779" i="2"/>
  <c r="P779" i="2" s="1"/>
  <c r="O780" i="2"/>
  <c r="P780" i="2" s="1"/>
  <c r="O781" i="2"/>
  <c r="P781" i="2" s="1"/>
  <c r="O782" i="2"/>
  <c r="P782" i="2" s="1"/>
  <c r="O783" i="2"/>
  <c r="P783" i="2" s="1"/>
  <c r="O784" i="2"/>
  <c r="P784" i="2" s="1"/>
  <c r="O785" i="2"/>
  <c r="P785" i="2" s="1"/>
  <c r="O786" i="2"/>
  <c r="P786" i="2" s="1"/>
  <c r="O787" i="2"/>
  <c r="P787" i="2" s="1"/>
  <c r="O788" i="2"/>
  <c r="P788" i="2" s="1"/>
  <c r="O789" i="2"/>
  <c r="P789" i="2" s="1"/>
  <c r="O790" i="2"/>
  <c r="P790" i="2" s="1"/>
  <c r="O791" i="2"/>
  <c r="P791" i="2" s="1"/>
  <c r="O792" i="2"/>
  <c r="P792" i="2" s="1"/>
  <c r="O793" i="2"/>
  <c r="P793" i="2" s="1"/>
  <c r="O794" i="2"/>
  <c r="P794" i="2" s="1"/>
  <c r="O795" i="2"/>
  <c r="P795" i="2" s="1"/>
  <c r="O796" i="2"/>
  <c r="P796" i="2" s="1"/>
  <c r="O797" i="2"/>
  <c r="P797" i="2" s="1"/>
  <c r="O798" i="2"/>
  <c r="P798" i="2" s="1"/>
  <c r="O799" i="2"/>
  <c r="P799" i="2" s="1"/>
  <c r="O800" i="2"/>
  <c r="P800" i="2" s="1"/>
  <c r="O801" i="2"/>
  <c r="P801" i="2" s="1"/>
  <c r="O802" i="2"/>
  <c r="P802" i="2" s="1"/>
  <c r="O803" i="2"/>
  <c r="P803" i="2" s="1"/>
  <c r="O804" i="2"/>
  <c r="P804" i="2" s="1"/>
  <c r="O805" i="2"/>
  <c r="P805" i="2" s="1"/>
  <c r="O806" i="2"/>
  <c r="P806" i="2" s="1"/>
  <c r="O807" i="2"/>
  <c r="P807" i="2" s="1"/>
  <c r="O808" i="2"/>
  <c r="P808" i="2" s="1"/>
  <c r="O809" i="2"/>
  <c r="P809" i="2" s="1"/>
  <c r="O810" i="2"/>
  <c r="P810" i="2" s="1"/>
  <c r="O811" i="2"/>
  <c r="P811" i="2" s="1"/>
  <c r="O812" i="2"/>
  <c r="P812" i="2" s="1"/>
  <c r="O813" i="2"/>
  <c r="P813" i="2" s="1"/>
  <c r="O814" i="2"/>
  <c r="P814" i="2" s="1"/>
  <c r="O815" i="2"/>
  <c r="P815" i="2" s="1"/>
  <c r="O816" i="2"/>
  <c r="P816" i="2" s="1"/>
  <c r="O817" i="2"/>
  <c r="P817" i="2" s="1"/>
  <c r="O818" i="2"/>
  <c r="P818" i="2" s="1"/>
  <c r="O819" i="2"/>
  <c r="P819" i="2" s="1"/>
  <c r="O820" i="2"/>
  <c r="P820" i="2" s="1"/>
  <c r="O821" i="2"/>
  <c r="P821" i="2" s="1"/>
  <c r="O822" i="2"/>
  <c r="P822" i="2" s="1"/>
  <c r="O823" i="2"/>
  <c r="P823" i="2" s="1"/>
  <c r="O824" i="2"/>
  <c r="P824" i="2" s="1"/>
  <c r="O825" i="2"/>
  <c r="P825" i="2" s="1"/>
  <c r="O826" i="2"/>
  <c r="P826" i="2" s="1"/>
  <c r="O827" i="2"/>
  <c r="P827" i="2" s="1"/>
  <c r="O828" i="2"/>
  <c r="P828" i="2" s="1"/>
  <c r="O829" i="2"/>
  <c r="P829" i="2" s="1"/>
  <c r="O830" i="2"/>
  <c r="P830" i="2" s="1"/>
  <c r="O831" i="2"/>
  <c r="P831" i="2" s="1"/>
  <c r="O832" i="2"/>
  <c r="P832" i="2" s="1"/>
  <c r="O833" i="2"/>
  <c r="P833" i="2" s="1"/>
  <c r="O834" i="2"/>
  <c r="P834" i="2" s="1"/>
  <c r="O835" i="2"/>
  <c r="P835" i="2" s="1"/>
  <c r="O836" i="2"/>
  <c r="P836" i="2" s="1"/>
  <c r="O837" i="2"/>
  <c r="P837" i="2" s="1"/>
  <c r="O838" i="2"/>
  <c r="P838" i="2" s="1"/>
  <c r="O839" i="2"/>
  <c r="P839" i="2" s="1"/>
  <c r="O840" i="2"/>
  <c r="P840" i="2" s="1"/>
  <c r="O841" i="2"/>
  <c r="P841" i="2" s="1"/>
  <c r="O842" i="2"/>
  <c r="P842" i="2" s="1"/>
  <c r="O843" i="2"/>
  <c r="P843" i="2" s="1"/>
  <c r="O844" i="2"/>
  <c r="P844" i="2" s="1"/>
  <c r="O845" i="2"/>
  <c r="P845" i="2" s="1"/>
  <c r="O846" i="2"/>
  <c r="P846" i="2" s="1"/>
  <c r="O847" i="2"/>
  <c r="P847" i="2" s="1"/>
  <c r="O848" i="2"/>
  <c r="P848" i="2" s="1"/>
  <c r="O849" i="2"/>
  <c r="P849" i="2" s="1"/>
  <c r="O850" i="2"/>
  <c r="P850" i="2" s="1"/>
  <c r="O851" i="2"/>
  <c r="P851" i="2" s="1"/>
  <c r="O852" i="2"/>
  <c r="P852" i="2" s="1"/>
  <c r="O853" i="2"/>
  <c r="P853" i="2" s="1"/>
  <c r="O854" i="2"/>
  <c r="P854" i="2" s="1"/>
  <c r="O855" i="2"/>
  <c r="P855" i="2" s="1"/>
  <c r="O856" i="2"/>
  <c r="P856" i="2" s="1"/>
  <c r="O857" i="2"/>
  <c r="P857" i="2" s="1"/>
  <c r="O858" i="2"/>
  <c r="P858" i="2" s="1"/>
  <c r="O859" i="2"/>
  <c r="P859" i="2" s="1"/>
  <c r="O860" i="2"/>
  <c r="P860" i="2" s="1"/>
  <c r="O861" i="2"/>
  <c r="P861" i="2" s="1"/>
  <c r="O862" i="2"/>
  <c r="P862" i="2" s="1"/>
  <c r="O863" i="2"/>
  <c r="P863" i="2" s="1"/>
  <c r="O864" i="2"/>
  <c r="P864" i="2" s="1"/>
  <c r="O865" i="2"/>
  <c r="P865" i="2" s="1"/>
  <c r="O866" i="2"/>
  <c r="P866" i="2" s="1"/>
  <c r="O867" i="2"/>
  <c r="P867" i="2" s="1"/>
  <c r="O868" i="2"/>
  <c r="P868" i="2" s="1"/>
  <c r="O869" i="2"/>
  <c r="P869" i="2" s="1"/>
  <c r="O870" i="2"/>
  <c r="P870" i="2" s="1"/>
  <c r="O871" i="2"/>
  <c r="P871" i="2" s="1"/>
  <c r="O872" i="2"/>
  <c r="P872" i="2" s="1"/>
  <c r="O873" i="2"/>
  <c r="P873" i="2" s="1"/>
  <c r="O874" i="2"/>
  <c r="P874" i="2" s="1"/>
  <c r="O875" i="2"/>
  <c r="P875" i="2" s="1"/>
  <c r="O876" i="2"/>
  <c r="P876" i="2" s="1"/>
  <c r="O877" i="2"/>
  <c r="P877" i="2" s="1"/>
  <c r="O878" i="2"/>
  <c r="P878" i="2" s="1"/>
  <c r="O879" i="2"/>
  <c r="P879" i="2" s="1"/>
  <c r="O880" i="2"/>
  <c r="P880" i="2" s="1"/>
  <c r="O881" i="2"/>
  <c r="P881" i="2" s="1"/>
  <c r="O882" i="2"/>
  <c r="P882" i="2" s="1"/>
  <c r="O883" i="2"/>
  <c r="P883" i="2" s="1"/>
  <c r="O884" i="2"/>
  <c r="P884" i="2" s="1"/>
  <c r="O885" i="2"/>
  <c r="P885" i="2" s="1"/>
  <c r="O886" i="2"/>
  <c r="P886" i="2" s="1"/>
  <c r="O887" i="2"/>
  <c r="P887" i="2" s="1"/>
  <c r="O888" i="2"/>
  <c r="P888" i="2" s="1"/>
  <c r="O889" i="2"/>
  <c r="P889" i="2" s="1"/>
  <c r="O890" i="2"/>
  <c r="P890" i="2" s="1"/>
  <c r="O891" i="2"/>
  <c r="P891" i="2" s="1"/>
  <c r="O892" i="2"/>
  <c r="P892" i="2" s="1"/>
  <c r="O893" i="2"/>
  <c r="P893" i="2" s="1"/>
  <c r="O894" i="2"/>
  <c r="P894" i="2" s="1"/>
  <c r="O895" i="2"/>
  <c r="P895" i="2" s="1"/>
  <c r="O896" i="2"/>
  <c r="P896" i="2" s="1"/>
  <c r="O897" i="2"/>
  <c r="P897" i="2" s="1"/>
  <c r="O898" i="2"/>
  <c r="P898" i="2" s="1"/>
  <c r="O899" i="2"/>
  <c r="P899" i="2" s="1"/>
  <c r="O900" i="2"/>
  <c r="P900" i="2" s="1"/>
  <c r="O901" i="2"/>
  <c r="P901" i="2" s="1"/>
  <c r="O902" i="2"/>
  <c r="P902" i="2" s="1"/>
  <c r="O903" i="2"/>
  <c r="P903" i="2" s="1"/>
  <c r="O904" i="2"/>
  <c r="P904" i="2" s="1"/>
  <c r="O905" i="2"/>
  <c r="P905" i="2" s="1"/>
  <c r="O906" i="2"/>
  <c r="P906" i="2" s="1"/>
  <c r="O907" i="2"/>
  <c r="P907" i="2" s="1"/>
  <c r="O908" i="2"/>
  <c r="P908" i="2" s="1"/>
  <c r="O909" i="2"/>
  <c r="P909" i="2" s="1"/>
  <c r="O910" i="2"/>
  <c r="P910" i="2" s="1"/>
  <c r="O911" i="2"/>
  <c r="P911" i="2" s="1"/>
  <c r="O912" i="2"/>
  <c r="P912" i="2" s="1"/>
  <c r="O913" i="2"/>
  <c r="P913" i="2" s="1"/>
  <c r="O914" i="2"/>
  <c r="P914" i="2" s="1"/>
  <c r="O915" i="2"/>
  <c r="P915" i="2" s="1"/>
  <c r="O916" i="2"/>
  <c r="P916" i="2" s="1"/>
  <c r="O917" i="2"/>
  <c r="P917" i="2" s="1"/>
  <c r="O918" i="2"/>
  <c r="P918" i="2" s="1"/>
  <c r="O919" i="2"/>
  <c r="P919" i="2" s="1"/>
  <c r="O920" i="2"/>
  <c r="P920" i="2" s="1"/>
  <c r="O921" i="2"/>
  <c r="P921" i="2" s="1"/>
  <c r="O922" i="2"/>
  <c r="P922" i="2" s="1"/>
  <c r="O923" i="2"/>
  <c r="P923" i="2" s="1"/>
  <c r="O924" i="2"/>
  <c r="P924" i="2" s="1"/>
  <c r="O925" i="2"/>
  <c r="P925" i="2" s="1"/>
  <c r="O926" i="2"/>
  <c r="P926" i="2" s="1"/>
  <c r="O927" i="2"/>
  <c r="P927" i="2" s="1"/>
  <c r="O928" i="2"/>
  <c r="P928" i="2" s="1"/>
  <c r="O929" i="2"/>
  <c r="P929" i="2" s="1"/>
  <c r="O930" i="2"/>
  <c r="P930" i="2" s="1"/>
  <c r="O931" i="2"/>
  <c r="P931" i="2" s="1"/>
  <c r="O932" i="2"/>
  <c r="P932" i="2" s="1"/>
  <c r="O933" i="2"/>
  <c r="P933" i="2" s="1"/>
  <c r="O934" i="2"/>
  <c r="P934" i="2" s="1"/>
  <c r="O935" i="2"/>
  <c r="P935" i="2" s="1"/>
  <c r="O936" i="2"/>
  <c r="P936" i="2" s="1"/>
  <c r="O937" i="2"/>
  <c r="P937" i="2" s="1"/>
  <c r="O938" i="2"/>
  <c r="P938" i="2" s="1"/>
  <c r="O939" i="2"/>
  <c r="P939" i="2" s="1"/>
  <c r="O940" i="2"/>
  <c r="P940" i="2" s="1"/>
  <c r="O941" i="2"/>
  <c r="P941" i="2" s="1"/>
  <c r="O942" i="2"/>
  <c r="P942" i="2" s="1"/>
  <c r="O943" i="2"/>
  <c r="P943" i="2" s="1"/>
  <c r="O944" i="2"/>
  <c r="P944" i="2" s="1"/>
  <c r="O945" i="2"/>
  <c r="P945" i="2" s="1"/>
  <c r="O946" i="2"/>
  <c r="P946" i="2" s="1"/>
  <c r="O947" i="2"/>
  <c r="P947" i="2" s="1"/>
  <c r="O948" i="2"/>
  <c r="P948" i="2" s="1"/>
  <c r="O949" i="2"/>
  <c r="P949" i="2" s="1"/>
  <c r="O950" i="2"/>
  <c r="P950" i="2" s="1"/>
  <c r="O951" i="2"/>
  <c r="P951" i="2" s="1"/>
  <c r="O952" i="2"/>
  <c r="P952" i="2" s="1"/>
  <c r="O953" i="2"/>
  <c r="P953" i="2" s="1"/>
  <c r="O954" i="2"/>
  <c r="P954" i="2" s="1"/>
  <c r="O955" i="2"/>
  <c r="P955" i="2" s="1"/>
  <c r="O956" i="2"/>
  <c r="P956" i="2" s="1"/>
  <c r="O957" i="2"/>
  <c r="P957" i="2" s="1"/>
  <c r="O958" i="2"/>
  <c r="P958" i="2" s="1"/>
  <c r="O959" i="2"/>
  <c r="P959" i="2" s="1"/>
  <c r="O960" i="2"/>
  <c r="P960" i="2" s="1"/>
  <c r="O961" i="2"/>
  <c r="P961" i="2" s="1"/>
  <c r="O962" i="2"/>
  <c r="P962" i="2" s="1"/>
  <c r="O963" i="2"/>
  <c r="P963" i="2" s="1"/>
  <c r="O964" i="2"/>
  <c r="P964" i="2" s="1"/>
  <c r="O965" i="2"/>
  <c r="P965" i="2" s="1"/>
  <c r="O966" i="2"/>
  <c r="P966" i="2" s="1"/>
  <c r="O967" i="2"/>
  <c r="P967" i="2" s="1"/>
  <c r="O968" i="2"/>
  <c r="P968" i="2" s="1"/>
  <c r="O969" i="2"/>
  <c r="P969" i="2" s="1"/>
  <c r="O970" i="2"/>
  <c r="P970" i="2" s="1"/>
  <c r="O971" i="2"/>
  <c r="P971" i="2" s="1"/>
  <c r="O972" i="2"/>
  <c r="P972" i="2" s="1"/>
  <c r="O973" i="2"/>
  <c r="P973" i="2" s="1"/>
  <c r="O974" i="2"/>
  <c r="P974" i="2" s="1"/>
  <c r="O975" i="2"/>
  <c r="P975" i="2" s="1"/>
  <c r="O976" i="2"/>
  <c r="P976" i="2" s="1"/>
  <c r="O977" i="2"/>
  <c r="P977" i="2" s="1"/>
  <c r="O978" i="2"/>
  <c r="P978" i="2" s="1"/>
  <c r="O979" i="2"/>
  <c r="P979" i="2" s="1"/>
  <c r="O980" i="2"/>
  <c r="P980" i="2" s="1"/>
  <c r="O981" i="2"/>
  <c r="P981" i="2" s="1"/>
  <c r="O982" i="2"/>
  <c r="P982" i="2" s="1"/>
  <c r="O983" i="2"/>
  <c r="P983" i="2" s="1"/>
  <c r="O984" i="2"/>
  <c r="P984" i="2" s="1"/>
  <c r="O985" i="2"/>
  <c r="P985" i="2" s="1"/>
  <c r="O986" i="2"/>
  <c r="P986" i="2" s="1"/>
  <c r="O987" i="2"/>
  <c r="P987" i="2" s="1"/>
  <c r="O988" i="2"/>
  <c r="P988" i="2" s="1"/>
  <c r="O989" i="2"/>
  <c r="P989" i="2" s="1"/>
  <c r="N171" i="2" l="1"/>
  <c r="M171" i="2"/>
  <c r="N109" i="2"/>
  <c r="N131" i="2"/>
  <c r="N123" i="2"/>
  <c r="N129" i="2"/>
  <c r="M134" i="2"/>
  <c r="M130" i="2"/>
  <c r="M109" i="2"/>
  <c r="M114" i="2"/>
  <c r="N134" i="2"/>
  <c r="M93" i="2"/>
  <c r="N77" i="2"/>
  <c r="M75" i="2"/>
  <c r="N74" i="2"/>
  <c r="M87" i="2"/>
  <c r="M92" i="2"/>
  <c r="N82" i="2"/>
  <c r="M76" i="2"/>
  <c r="M77" i="2"/>
  <c r="M60" i="2"/>
  <c r="M63" i="2"/>
  <c r="M64" i="2"/>
  <c r="M59" i="2"/>
  <c r="N68" i="2"/>
  <c r="M66" i="2"/>
  <c r="M86" i="2"/>
  <c r="M58" i="2"/>
  <c r="M57" i="2"/>
  <c r="N70" i="2"/>
  <c r="M81" i="2"/>
  <c r="N23" i="2"/>
  <c r="N25" i="2"/>
  <c r="M27" i="2"/>
  <c r="M25" i="2"/>
  <c r="N29" i="2"/>
  <c r="M23" i="2"/>
  <c r="M28" i="2"/>
  <c r="N31" i="2"/>
  <c r="N28" i="2"/>
  <c r="N36" i="2"/>
  <c r="N27" i="2"/>
  <c r="N37" i="2"/>
  <c r="M37" i="2"/>
  <c r="N32" i="2"/>
  <c r="M35" i="2"/>
  <c r="M30" i="2"/>
  <c r="M34" i="2"/>
  <c r="N30" i="2"/>
  <c r="M29" i="2"/>
  <c r="M36" i="2"/>
  <c r="M26" i="2"/>
  <c r="N24" i="2"/>
  <c r="M32" i="2"/>
  <c r="M24" i="2"/>
  <c r="A1113" i="4"/>
  <c r="A1110" i="4"/>
  <c r="A1826" i="4"/>
  <c r="A1802" i="4"/>
  <c r="A1865" i="4"/>
  <c r="A1896" i="4"/>
  <c r="A1847" i="4"/>
  <c r="A1879" i="4"/>
  <c r="A1811" i="4"/>
  <c r="A1834" i="4"/>
  <c r="A1884" i="4"/>
  <c r="A1915" i="4"/>
  <c r="A1909" i="4"/>
  <c r="A1594" i="4"/>
  <c r="A1926" i="4"/>
  <c r="A1931" i="4"/>
  <c r="A1347" i="4"/>
  <c r="A1606" i="4"/>
  <c r="A1620" i="4"/>
  <c r="A1615" i="4"/>
  <c r="A1616" i="4"/>
  <c r="A1624" i="4"/>
  <c r="A1630" i="4"/>
  <c r="A1632" i="4"/>
  <c r="A1633" i="4"/>
  <c r="A1652" i="4"/>
  <c r="A1638" i="4"/>
  <c r="A1645" i="4"/>
  <c r="A1649" i="4"/>
  <c r="A1659" i="4"/>
  <c r="A1657" i="4"/>
  <c r="A1662" i="4"/>
  <c r="A1684" i="4"/>
  <c r="A1671" i="4"/>
  <c r="A1675" i="4"/>
  <c r="A1666" i="4"/>
  <c r="A1686" i="4"/>
  <c r="A1687" i="4"/>
  <c r="A1693" i="4"/>
  <c r="A1711" i="4"/>
  <c r="A1706" i="4"/>
  <c r="A1714" i="4"/>
  <c r="A1749" i="4"/>
  <c r="A1724" i="4"/>
  <c r="A1723" i="4"/>
  <c r="A1746" i="4"/>
  <c r="A1792" i="4"/>
  <c r="A1787" i="4"/>
  <c r="A1301" i="4"/>
  <c r="A1798" i="4"/>
  <c r="A1813" i="4"/>
  <c r="A1782" i="4"/>
  <c r="A1831" i="4"/>
  <c r="A1816" i="4"/>
  <c r="A1883" i="4"/>
  <c r="A1846" i="4"/>
  <c r="A1843" i="4"/>
  <c r="A1837" i="4"/>
  <c r="A1875" i="4"/>
  <c r="A1880" i="4"/>
  <c r="A1912" i="4"/>
  <c r="A1914" i="4"/>
  <c r="A1939" i="4"/>
  <c r="A1900" i="4"/>
  <c r="A1918" i="4"/>
  <c r="A1933" i="4"/>
  <c r="A1940" i="4"/>
  <c r="A1952" i="4"/>
  <c r="A1946" i="4"/>
  <c r="A1938" i="4"/>
  <c r="A1954" i="4"/>
  <c r="A1949" i="4"/>
  <c r="A1948" i="4"/>
  <c r="A1960" i="4"/>
  <c r="A1973" i="4"/>
  <c r="A1976" i="4"/>
  <c r="A1974" i="4"/>
  <c r="A1967" i="4"/>
  <c r="A1987" i="4"/>
  <c r="A1995" i="4"/>
  <c r="A1993" i="4"/>
  <c r="A1989" i="4"/>
  <c r="A1999" i="4"/>
  <c r="A2002" i="4"/>
  <c r="A2016" i="4"/>
  <c r="A2011" i="4"/>
  <c r="A2023" i="4"/>
  <c r="A2035" i="4"/>
  <c r="A2029" i="4"/>
  <c r="A2040" i="4"/>
  <c r="A2044" i="4"/>
  <c r="A2046" i="4"/>
  <c r="A2052" i="4"/>
  <c r="A2061" i="4"/>
  <c r="A2053" i="4"/>
  <c r="A2068" i="4"/>
  <c r="A2072" i="4"/>
  <c r="A2075" i="4"/>
  <c r="A2062" i="4"/>
  <c r="A2079" i="4"/>
  <c r="A2078" i="4"/>
  <c r="A2088" i="4"/>
  <c r="A2101" i="4"/>
  <c r="A2094" i="4"/>
  <c r="A2100" i="4"/>
  <c r="A2" i="4"/>
  <c r="A12" i="4"/>
  <c r="A2107" i="4"/>
  <c r="A2111" i="4"/>
  <c r="A17" i="4"/>
  <c r="A39" i="4"/>
  <c r="A30" i="4"/>
  <c r="A58" i="4"/>
  <c r="A1694" i="4"/>
  <c r="A44" i="4"/>
  <c r="A1717" i="4"/>
  <c r="A1708" i="4"/>
  <c r="A1728" i="4"/>
  <c r="A1709" i="4"/>
  <c r="A1699" i="4"/>
  <c r="A1740" i="4"/>
  <c r="A1742" i="4"/>
  <c r="A1755" i="4"/>
  <c r="A1760" i="4"/>
  <c r="A1759" i="4"/>
  <c r="A1766" i="4"/>
  <c r="A1774" i="4"/>
  <c r="A1789" i="4"/>
  <c r="A1777" i="4"/>
  <c r="A1788" i="4"/>
  <c r="A1806" i="4"/>
  <c r="A1795" i="4"/>
  <c r="A1580" i="4"/>
  <c r="A1805" i="4"/>
  <c r="A1591" i="4"/>
  <c r="A1585" i="4"/>
  <c r="A1017" i="4"/>
  <c r="A1013" i="4"/>
  <c r="A1029" i="4"/>
  <c r="A1001" i="4"/>
  <c r="A1061" i="4"/>
  <c r="A1062" i="4"/>
  <c r="A1041" i="4"/>
  <c r="A1046" i="4"/>
  <c r="A1066" i="4"/>
  <c r="A1078" i="4"/>
  <c r="A1095" i="4"/>
  <c r="A1079" i="4"/>
  <c r="A1097" i="4"/>
  <c r="A1102" i="4"/>
  <c r="A1107" i="4"/>
  <c r="A1145" i="4"/>
  <c r="A1136" i="4"/>
  <c r="A1153" i="4"/>
  <c r="A1127" i="4"/>
  <c r="A1147" i="4"/>
  <c r="A1159" i="4"/>
  <c r="A1160" i="4"/>
  <c r="A1168" i="4"/>
  <c r="A1163" i="4"/>
  <c r="A1167" i="4"/>
  <c r="A1177" i="4"/>
  <c r="A1176" i="4"/>
  <c r="A1188" i="4"/>
  <c r="A1186" i="4"/>
  <c r="A1198" i="4"/>
  <c r="A1187" i="4"/>
  <c r="A1208" i="4"/>
  <c r="A1227" i="4"/>
  <c r="A1220" i="4"/>
  <c r="A1196" i="4"/>
  <c r="A1197" i="4"/>
  <c r="A1223" i="4"/>
  <c r="A1213" i="4"/>
  <c r="A1240" i="4"/>
  <c r="A1229" i="4"/>
  <c r="A1232" i="4"/>
  <c r="A1239" i="4"/>
  <c r="A1255" i="4"/>
  <c r="A1242" i="4"/>
  <c r="A1244" i="4"/>
  <c r="A1253" i="4"/>
  <c r="A1254" i="4"/>
  <c r="A1263" i="4"/>
  <c r="A1259" i="4"/>
  <c r="A1271" i="4"/>
  <c r="A1288" i="4"/>
  <c r="A1282" i="4"/>
  <c r="A1283" i="4"/>
  <c r="A1304" i="4"/>
  <c r="A1292" i="4"/>
  <c r="A1299" i="4"/>
  <c r="A1955" i="4"/>
  <c r="A1302" i="4"/>
  <c r="A1959" i="4"/>
  <c r="A1991" i="4"/>
  <c r="A1965" i="4"/>
  <c r="A1971" i="4"/>
  <c r="A1962" i="4"/>
  <c r="A1978" i="4"/>
  <c r="A1988" i="4"/>
  <c r="A2009" i="4"/>
  <c r="A1990" i="4"/>
  <c r="A2001" i="4"/>
  <c r="A2015" i="4"/>
  <c r="A2020" i="4"/>
  <c r="A2014" i="4"/>
  <c r="A2008" i="4"/>
  <c r="A2021" i="4"/>
  <c r="A2045" i="4"/>
  <c r="A2039" i="4"/>
  <c r="A2030" i="4"/>
  <c r="A2038" i="4"/>
  <c r="A2041" i="4"/>
  <c r="A2050" i="4"/>
  <c r="A2055" i="4"/>
  <c r="A2065" i="4"/>
  <c r="A2070" i="4"/>
  <c r="A2064" i="4"/>
  <c r="A2076" i="4"/>
  <c r="A2089" i="4"/>
  <c r="A2080" i="4"/>
  <c r="A2087" i="4"/>
  <c r="A2083" i="4"/>
  <c r="A2103" i="4"/>
  <c r="A2086" i="4"/>
  <c r="A2106" i="4"/>
  <c r="A8" i="4"/>
  <c r="A2099" i="4"/>
  <c r="A2093" i="4"/>
  <c r="A6" i="4"/>
  <c r="A3" i="4"/>
  <c r="A20" i="4"/>
  <c r="A29" i="4"/>
  <c r="A23" i="4"/>
  <c r="A41" i="4"/>
  <c r="A26" i="4"/>
  <c r="A34" i="4"/>
  <c r="A38" i="4"/>
  <c r="A51" i="4"/>
  <c r="A45" i="4"/>
  <c r="A55" i="4"/>
  <c r="A60" i="4"/>
  <c r="A1689" i="4"/>
  <c r="A1715" i="4"/>
  <c r="A1700" i="4"/>
  <c r="A1727" i="4"/>
  <c r="A1692" i="4"/>
  <c r="A1705" i="4"/>
  <c r="A1718" i="4"/>
  <c r="A1726" i="4"/>
  <c r="A1703" i="4"/>
  <c r="A1713" i="4"/>
  <c r="A1733" i="4"/>
  <c r="A1739" i="4"/>
  <c r="A1743" i="4"/>
  <c r="A1731" i="4"/>
  <c r="A1750" i="4"/>
  <c r="A1747" i="4"/>
  <c r="A1756" i="4"/>
  <c r="A1758" i="4"/>
  <c r="A1763" i="4"/>
  <c r="A1771" i="4"/>
  <c r="A1754" i="4"/>
  <c r="A1762" i="4"/>
  <c r="A1770" i="4"/>
  <c r="A1768" i="4"/>
  <c r="A1772" i="4"/>
  <c r="A1780" i="4"/>
  <c r="A1794" i="4"/>
  <c r="A1784" i="4"/>
  <c r="A1799" i="4"/>
  <c r="A1812" i="4"/>
  <c r="A1786" i="4"/>
  <c r="A1305" i="4"/>
  <c r="A1803" i="4"/>
  <c r="A1790" i="4"/>
  <c r="A1797" i="4"/>
  <c r="A1814" i="4"/>
  <c r="A1817" i="4"/>
  <c r="A1809" i="4"/>
  <c r="A1312" i="4"/>
  <c r="A1313" i="4"/>
  <c r="A1333" i="4"/>
  <c r="A1322" i="4"/>
  <c r="A1323" i="4"/>
  <c r="A1340" i="4"/>
  <c r="A1321" i="4"/>
  <c r="A1338" i="4"/>
  <c r="A1315" i="4"/>
  <c r="A1353" i="4"/>
  <c r="A1604" i="4"/>
  <c r="A1345" i="4"/>
  <c r="A1603" i="4"/>
  <c r="A1600" i="4"/>
  <c r="A1593" i="4"/>
  <c r="A1629" i="4"/>
  <c r="A1344" i="4"/>
  <c r="A1621" i="4"/>
  <c r="A1617" i="4"/>
  <c r="A1614" i="4"/>
  <c r="A1626" i="4"/>
  <c r="A1635" i="4"/>
  <c r="A1640" i="4"/>
  <c r="A1655" i="4"/>
  <c r="A1665" i="4"/>
  <c r="A1647" i="4"/>
  <c r="A1653" i="4"/>
  <c r="A1664" i="4"/>
  <c r="A1658" i="4"/>
  <c r="A1669" i="4"/>
  <c r="A1674" i="4"/>
  <c r="A1680" i="4"/>
  <c r="A1696" i="4"/>
  <c r="A1677" i="4"/>
  <c r="A1678" i="4"/>
  <c r="A1716" i="4"/>
  <c r="A1722" i="4"/>
  <c r="A1702" i="4"/>
  <c r="A1707" i="4"/>
  <c r="A1741" i="4"/>
  <c r="A1745" i="4"/>
  <c r="A1735" i="4"/>
  <c r="A1764" i="4"/>
  <c r="A1752" i="4"/>
  <c r="A11" i="4"/>
  <c r="A1779" i="4"/>
  <c r="A18" i="4"/>
  <c r="A36" i="4"/>
  <c r="A28" i="4"/>
  <c r="A46" i="4"/>
  <c r="A1683" i="4"/>
  <c r="A1697" i="4"/>
  <c r="A1690" i="4"/>
  <c r="A1710" i="4"/>
  <c r="A1725" i="4"/>
  <c r="A1734" i="4"/>
  <c r="A1720" i="4"/>
  <c r="A1765" i="4"/>
  <c r="A1730" i="4"/>
  <c r="A1748" i="4"/>
  <c r="A1753" i="4"/>
  <c r="A1773" i="4"/>
  <c r="A1767" i="4"/>
  <c r="A1791" i="4"/>
  <c r="A1776" i="4"/>
  <c r="A1783" i="4"/>
  <c r="A1818" i="4"/>
  <c r="A1807" i="4"/>
  <c r="A1808" i="4"/>
  <c r="A1586" i="4"/>
  <c r="A1584" i="4"/>
  <c r="A1821" i="4"/>
  <c r="A1031" i="4"/>
  <c r="A1016" i="4"/>
  <c r="A1587" i="4"/>
  <c r="A1026" i="4"/>
  <c r="A1007" i="4"/>
  <c r="A1034" i="4"/>
  <c r="A1058" i="4"/>
  <c r="A1052" i="4"/>
  <c r="A1069" i="4"/>
  <c r="A1068" i="4"/>
  <c r="A1082" i="4"/>
  <c r="A1087" i="4"/>
  <c r="A1101" i="4"/>
  <c r="A1116" i="4"/>
  <c r="A1121" i="4"/>
  <c r="A1109" i="4"/>
  <c r="A1114" i="4"/>
  <c r="A1132" i="4"/>
  <c r="A1793" i="4"/>
  <c r="A1148" i="4"/>
  <c r="A1852" i="4"/>
  <c r="A1785" i="4"/>
  <c r="A1828" i="4"/>
  <c r="A1836" i="4"/>
  <c r="A1829" i="4"/>
  <c r="A1874" i="4"/>
  <c r="A1810" i="4"/>
  <c r="A1853" i="4"/>
  <c r="A1881" i="4"/>
  <c r="A1801" i="4"/>
  <c r="A1886" i="4"/>
  <c r="A1917" i="4"/>
  <c r="A1908" i="4"/>
  <c r="A1904" i="4"/>
  <c r="A1590" i="4"/>
  <c r="A1934" i="4"/>
  <c r="A1596" i="4"/>
  <c r="A1592" i="4"/>
  <c r="A1597" i="4"/>
  <c r="A1618" i="4"/>
  <c r="A1622" i="4"/>
  <c r="A1619" i="4"/>
  <c r="A1634" i="4"/>
  <c r="A1642" i="4"/>
  <c r="A1627" i="4"/>
  <c r="A1631" i="4"/>
  <c r="A1639" i="4"/>
  <c r="A1641" i="4"/>
  <c r="A1651" i="4"/>
  <c r="A1646" i="4"/>
  <c r="A1661" i="4"/>
  <c r="A1672" i="4"/>
  <c r="A1660" i="4"/>
  <c r="A1668" i="4"/>
  <c r="A1691" i="4"/>
  <c r="A1679" i="4"/>
  <c r="A1670" i="4"/>
  <c r="A1704" i="4"/>
  <c r="A1681" i="4"/>
  <c r="A1701" i="4"/>
  <c r="A1721" i="4"/>
  <c r="A1738" i="4"/>
  <c r="A1732" i="4"/>
  <c r="A1761" i="4"/>
  <c r="A1736" i="4"/>
  <c r="A1751" i="4"/>
  <c r="A1481" i="4"/>
  <c r="A1781" i="4"/>
  <c r="A1796" i="4"/>
  <c r="A1815" i="4"/>
  <c r="A1775" i="4"/>
  <c r="A1804" i="4"/>
  <c r="A1830" i="4"/>
  <c r="A1825" i="4"/>
  <c r="A1867" i="4"/>
  <c r="A1850" i="4"/>
  <c r="A1857" i="4"/>
  <c r="A1893" i="4"/>
  <c r="A1866" i="4"/>
  <c r="A1885" i="4"/>
  <c r="A1897" i="4"/>
  <c r="A1913" i="4"/>
  <c r="A1930" i="4"/>
  <c r="A1819" i="4"/>
  <c r="A1827" i="4"/>
  <c r="A1925" i="4"/>
  <c r="A1833" i="4"/>
  <c r="A1835" i="4"/>
  <c r="A1932" i="4"/>
  <c r="A1838" i="4"/>
  <c r="A1823" i="4"/>
  <c r="A1820" i="4"/>
  <c r="A1832" i="4"/>
  <c r="A1824" i="4"/>
  <c r="A1839" i="4"/>
  <c r="A1842" i="4"/>
  <c r="A1845" i="4"/>
  <c r="A1841" i="4"/>
  <c r="A1849" i="4"/>
  <c r="A1840" i="4"/>
  <c r="A1848" i="4"/>
  <c r="A1858" i="4"/>
  <c r="A1861" i="4"/>
  <c r="A1855" i="4"/>
  <c r="A1844" i="4"/>
  <c r="A1871" i="4"/>
  <c r="A1851" i="4"/>
  <c r="A1854" i="4"/>
  <c r="A1863" i="4"/>
  <c r="A1860" i="4"/>
  <c r="A1859" i="4"/>
  <c r="A1869" i="4"/>
  <c r="A1868" i="4"/>
  <c r="A1862" i="4"/>
  <c r="A1870" i="4"/>
  <c r="A1876" i="4"/>
  <c r="A1856" i="4"/>
  <c r="A1872" i="4"/>
  <c r="A1882" i="4"/>
  <c r="A1877" i="4"/>
  <c r="A1878" i="4"/>
  <c r="A1887" i="4"/>
  <c r="A1873" i="4"/>
  <c r="A1888" i="4"/>
  <c r="A1889" i="4"/>
  <c r="A1891" i="4"/>
  <c r="A1890" i="4"/>
  <c r="A1898" i="4"/>
  <c r="A1892" i="4"/>
  <c r="A1902" i="4"/>
  <c r="A1903" i="4"/>
  <c r="A1895" i="4"/>
  <c r="A1906" i="4"/>
  <c r="A1899" i="4"/>
  <c r="A1894" i="4"/>
  <c r="A1901" i="4"/>
  <c r="A1905" i="4"/>
  <c r="A1921" i="4"/>
  <c r="A1919" i="4"/>
  <c r="A1911" i="4"/>
  <c r="A1920" i="4"/>
  <c r="A1907" i="4"/>
  <c r="A1916" i="4"/>
  <c r="A1922" i="4"/>
  <c r="A1910" i="4"/>
  <c r="A1923" i="4"/>
  <c r="A1928" i="4"/>
  <c r="A1936" i="4"/>
  <c r="A1941" i="4"/>
  <c r="A1929" i="4"/>
  <c r="A1937" i="4"/>
  <c r="A1944" i="4"/>
  <c r="A1924" i="4"/>
  <c r="A1927" i="4"/>
  <c r="A1935" i="4"/>
  <c r="A1947" i="4"/>
  <c r="A1945" i="4"/>
  <c r="A1943" i="4"/>
  <c r="A1942" i="4"/>
  <c r="A1951" i="4"/>
  <c r="A1956" i="4"/>
  <c r="A1950" i="4"/>
  <c r="A1953" i="4"/>
  <c r="A1964" i="4"/>
  <c r="A1958" i="4"/>
  <c r="A1957" i="4"/>
  <c r="A1961" i="4"/>
  <c r="A1963" i="4"/>
  <c r="A1966" i="4"/>
  <c r="A1977" i="4"/>
  <c r="A1968" i="4"/>
  <c r="A1970" i="4"/>
  <c r="A1972" i="4"/>
  <c r="A1975" i="4"/>
  <c r="A1969" i="4"/>
  <c r="A1985" i="4"/>
  <c r="A1983" i="4"/>
  <c r="A1979" i="4"/>
  <c r="A1980" i="4"/>
  <c r="A1981" i="4"/>
  <c r="A1984" i="4"/>
  <c r="A1986" i="4"/>
  <c r="A1982" i="4"/>
  <c r="A1992" i="4"/>
  <c r="A1997" i="4"/>
  <c r="A1994" i="4"/>
  <c r="A2005" i="4"/>
  <c r="A2000" i="4"/>
  <c r="A1996" i="4"/>
  <c r="A2004" i="4"/>
  <c r="A2003" i="4"/>
  <c r="A1998" i="4"/>
  <c r="A2010" i="4"/>
  <c r="A2007" i="4"/>
  <c r="A2019" i="4"/>
  <c r="A2006" i="4"/>
  <c r="A2022" i="4"/>
  <c r="A2013" i="4"/>
  <c r="A2018" i="4"/>
  <c r="A2027" i="4"/>
  <c r="A2026" i="4"/>
  <c r="A2017" i="4"/>
  <c r="A2012" i="4"/>
  <c r="A2025" i="4"/>
  <c r="A2032" i="4"/>
  <c r="A2024" i="4"/>
  <c r="A2031" i="4"/>
  <c r="A2033" i="4"/>
  <c r="A2028" i="4"/>
  <c r="A2036" i="4"/>
  <c r="A2037" i="4"/>
  <c r="A2042" i="4"/>
  <c r="A2048" i="4"/>
  <c r="A2034" i="4"/>
  <c r="A2047" i="4"/>
  <c r="A2056" i="4"/>
  <c r="A2051" i="4"/>
  <c r="A2054" i="4"/>
  <c r="A2057" i="4"/>
  <c r="A2043" i="4"/>
  <c r="A2069" i="4"/>
  <c r="A2058" i="4"/>
  <c r="A2067" i="4"/>
  <c r="A2049" i="4"/>
  <c r="A2059" i="4"/>
  <c r="A2060" i="4"/>
  <c r="A2073" i="4"/>
  <c r="A2066" i="4"/>
  <c r="A2063" i="4"/>
  <c r="A2081" i="4"/>
  <c r="A2074" i="4"/>
  <c r="A2071" i="4"/>
  <c r="A2082" i="4"/>
  <c r="A2077" i="4"/>
  <c r="A2092" i="4"/>
  <c r="A2090" i="4"/>
  <c r="A2084" i="4"/>
  <c r="A2098" i="4"/>
  <c r="A2085" i="4"/>
  <c r="A2091" i="4"/>
  <c r="A2096" i="4"/>
  <c r="A2095" i="4"/>
  <c r="A2097" i="4"/>
  <c r="A2102" i="4"/>
  <c r="A5" i="4"/>
  <c r="A2110" i="4"/>
  <c r="A2104" i="4"/>
  <c r="A2108" i="4"/>
  <c r="A7" i="4"/>
  <c r="A2109" i="4"/>
  <c r="A2105" i="4"/>
  <c r="A2112" i="4"/>
  <c r="A15" i="4"/>
  <c r="A9" i="4"/>
  <c r="A10" i="4"/>
  <c r="A14" i="4"/>
  <c r="A4" i="4"/>
  <c r="A16" i="4"/>
  <c r="A19" i="4"/>
  <c r="A13" i="4"/>
  <c r="A27" i="4"/>
  <c r="A21" i="4"/>
  <c r="A22" i="4"/>
  <c r="A32" i="4"/>
  <c r="A24" i="4"/>
  <c r="A40" i="4"/>
  <c r="A25" i="4"/>
  <c r="A43" i="4"/>
  <c r="A33" i="4"/>
  <c r="A31" i="4"/>
  <c r="A35" i="4"/>
  <c r="A37" i="4"/>
  <c r="A42" i="4"/>
  <c r="A48" i="4"/>
  <c r="A49" i="4"/>
  <c r="A47" i="4"/>
  <c r="A52" i="4"/>
  <c r="A53" i="4"/>
  <c r="A50" i="4"/>
  <c r="A59" i="4"/>
  <c r="A56" i="4"/>
  <c r="A57" i="4"/>
  <c r="A64" i="4"/>
  <c r="A54" i="4"/>
  <c r="A65" i="4"/>
  <c r="A63" i="4"/>
  <c r="A71" i="4"/>
  <c r="A62" i="4"/>
  <c r="A61" i="4"/>
  <c r="A67" i="4"/>
  <c r="A73" i="4"/>
  <c r="A68" i="4"/>
  <c r="A72" i="4"/>
  <c r="A70" i="4"/>
  <c r="A79" i="4"/>
  <c r="A75" i="4"/>
  <c r="A74" i="4"/>
  <c r="A66" i="4"/>
  <c r="A78" i="4"/>
  <c r="A69" i="4"/>
  <c r="A80" i="4"/>
  <c r="A76" i="4"/>
  <c r="A77" i="4"/>
  <c r="A82" i="4"/>
  <c r="A87" i="4"/>
  <c r="A81" i="4"/>
  <c r="A83" i="4"/>
  <c r="A84" i="4"/>
  <c r="A90" i="4"/>
  <c r="A85" i="4"/>
  <c r="A92" i="4"/>
  <c r="A88" i="4"/>
  <c r="A93" i="4"/>
  <c r="A94" i="4"/>
  <c r="A86" i="4"/>
  <c r="A91" i="4"/>
  <c r="A96" i="4"/>
  <c r="A97" i="4"/>
  <c r="A99" i="4"/>
  <c r="A89" i="4"/>
  <c r="A95" i="4"/>
  <c r="A105" i="4"/>
  <c r="A103" i="4"/>
  <c r="A106" i="4"/>
  <c r="A100" i="4"/>
  <c r="A101" i="4"/>
  <c r="A107" i="4"/>
  <c r="A114" i="4"/>
  <c r="A102" i="4"/>
  <c r="A104" i="4"/>
  <c r="A98" i="4"/>
  <c r="A111" i="4"/>
  <c r="A112" i="4"/>
  <c r="A109" i="4"/>
  <c r="A108" i="4"/>
  <c r="A113" i="4"/>
  <c r="A110" i="4"/>
  <c r="A119" i="4"/>
  <c r="A115" i="4"/>
  <c r="A117" i="4"/>
  <c r="A116" i="4"/>
  <c r="A118" i="4"/>
  <c r="A122" i="4"/>
  <c r="A128" i="4"/>
  <c r="A127" i="4"/>
  <c r="A124" i="4"/>
  <c r="A123" i="4"/>
  <c r="A120" i="4"/>
  <c r="A121" i="4"/>
  <c r="A129" i="4"/>
  <c r="A131" i="4"/>
  <c r="A125" i="4"/>
  <c r="A132" i="4"/>
  <c r="A126" i="4"/>
  <c r="A133" i="4"/>
  <c r="A135" i="4"/>
  <c r="A139" i="4"/>
  <c r="A130" i="4"/>
  <c r="A136" i="4"/>
  <c r="A134" i="4"/>
  <c r="A138" i="4"/>
  <c r="A142" i="4"/>
  <c r="A141" i="4"/>
  <c r="A143" i="4"/>
  <c r="A137" i="4"/>
  <c r="A140" i="4"/>
  <c r="A147" i="4"/>
  <c r="A149" i="4"/>
  <c r="A144" i="4"/>
  <c r="A146" i="4"/>
  <c r="A145" i="4"/>
  <c r="A154" i="4"/>
  <c r="A148" i="4"/>
  <c r="A151" i="4"/>
  <c r="A155" i="4"/>
  <c r="A152" i="4"/>
  <c r="A150" i="4"/>
  <c r="A161" i="4"/>
  <c r="A156" i="4"/>
  <c r="A158" i="4"/>
  <c r="A153" i="4"/>
  <c r="A164" i="4"/>
  <c r="A159" i="4"/>
  <c r="A163" i="4"/>
  <c r="A157" i="4"/>
  <c r="A168" i="4"/>
  <c r="A162" i="4"/>
  <c r="A165" i="4"/>
  <c r="A160" i="4"/>
  <c r="A174" i="4"/>
  <c r="A169" i="4"/>
  <c r="A167" i="4"/>
  <c r="A175" i="4"/>
  <c r="A173" i="4"/>
  <c r="A166" i="4"/>
  <c r="A171" i="4"/>
  <c r="A176" i="4"/>
  <c r="A170" i="4"/>
  <c r="A172" i="4"/>
  <c r="A182" i="4"/>
  <c r="A177" i="4"/>
  <c r="A179" i="4"/>
  <c r="A181" i="4"/>
  <c r="A180" i="4"/>
  <c r="A192" i="4"/>
  <c r="A178" i="4"/>
  <c r="A183" i="4"/>
  <c r="A187" i="4"/>
  <c r="A185" i="4"/>
  <c r="A184" i="4"/>
  <c r="A195" i="4"/>
  <c r="A188" i="4"/>
  <c r="A189" i="4"/>
  <c r="A194" i="4"/>
  <c r="A186" i="4"/>
  <c r="A190" i="4"/>
  <c r="A191" i="4"/>
  <c r="A198" i="4"/>
  <c r="A193" i="4"/>
  <c r="A201" i="4"/>
  <c r="A196" i="4"/>
  <c r="A202" i="4"/>
  <c r="A211" i="4"/>
  <c r="A197" i="4"/>
  <c r="A212" i="4"/>
  <c r="A199" i="4"/>
  <c r="A209" i="4"/>
  <c r="A204" i="4"/>
  <c r="A207" i="4"/>
  <c r="A200" i="4"/>
  <c r="A203" i="4"/>
  <c r="A206" i="4"/>
  <c r="A214" i="4"/>
  <c r="A208" i="4"/>
  <c r="A213" i="4"/>
  <c r="A215" i="4"/>
  <c r="A210" i="4"/>
  <c r="A205" i="4"/>
  <c r="A217" i="4"/>
  <c r="A216" i="4"/>
  <c r="A218" i="4"/>
  <c r="A220" i="4"/>
  <c r="A219" i="4"/>
  <c r="A223" i="4"/>
  <c r="A222" i="4"/>
  <c r="A221" i="4"/>
  <c r="A224" i="4"/>
  <c r="A232" i="4"/>
  <c r="A225" i="4"/>
  <c r="A230" i="4"/>
  <c r="A228" i="4"/>
  <c r="A227" i="4"/>
  <c r="A234" i="4"/>
  <c r="A226" i="4"/>
  <c r="A233" i="4"/>
  <c r="A236" i="4"/>
  <c r="A235" i="4"/>
  <c r="A231" i="4"/>
  <c r="A242" i="4"/>
  <c r="A241" i="4"/>
  <c r="A249" i="4"/>
  <c r="A237" i="4"/>
  <c r="A239" i="4"/>
  <c r="A229" i="4"/>
  <c r="A238" i="4"/>
  <c r="A244" i="4"/>
  <c r="A243" i="4"/>
  <c r="A255" i="4"/>
  <c r="A246" i="4"/>
  <c r="A240" i="4"/>
  <c r="A245" i="4"/>
  <c r="A253" i="4"/>
  <c r="A251" i="4"/>
  <c r="A247" i="4"/>
  <c r="A256" i="4"/>
  <c r="A248" i="4"/>
  <c r="A252" i="4"/>
  <c r="A250" i="4"/>
  <c r="A257" i="4"/>
  <c r="A259" i="4"/>
  <c r="A260" i="4"/>
  <c r="A269" i="4"/>
  <c r="A254" i="4"/>
  <c r="A263" i="4"/>
  <c r="A261" i="4"/>
  <c r="A265" i="4"/>
  <c r="A262" i="4"/>
  <c r="A272" i="4"/>
  <c r="A258" i="4"/>
  <c r="A264" i="4"/>
  <c r="A266" i="4"/>
  <c r="A271" i="4"/>
  <c r="A267" i="4"/>
  <c r="A268" i="4"/>
  <c r="A274" i="4"/>
  <c r="A270" i="4"/>
  <c r="A276" i="4"/>
  <c r="A279" i="4"/>
  <c r="A273" i="4"/>
  <c r="A277" i="4"/>
  <c r="A275" i="4"/>
  <c r="A281" i="4"/>
  <c r="A280" i="4"/>
  <c r="A286" i="4"/>
  <c r="A278" i="4"/>
  <c r="A290" i="4"/>
  <c r="A287" i="4"/>
  <c r="A288" i="4"/>
  <c r="A284" i="4"/>
  <c r="A285" i="4"/>
  <c r="A283" i="4"/>
  <c r="A297" i="4"/>
  <c r="A296" i="4"/>
  <c r="A292" i="4"/>
  <c r="A291" i="4"/>
  <c r="A282" i="4"/>
  <c r="A300" i="4"/>
  <c r="A301" i="4"/>
  <c r="A295" i="4"/>
  <c r="A293" i="4"/>
  <c r="A289" i="4"/>
  <c r="A298" i="4"/>
  <c r="A299" i="4"/>
  <c r="A294" i="4"/>
  <c r="A307" i="4"/>
  <c r="A302" i="4"/>
  <c r="A305" i="4"/>
  <c r="A304" i="4"/>
  <c r="A311" i="4"/>
  <c r="A303" i="4"/>
  <c r="A306" i="4"/>
  <c r="A309" i="4"/>
  <c r="A312" i="4"/>
  <c r="A321" i="4"/>
  <c r="A310" i="4"/>
  <c r="A313" i="4"/>
  <c r="A308" i="4"/>
  <c r="A316" i="4"/>
  <c r="A314" i="4"/>
  <c r="A315" i="4"/>
  <c r="A319" i="4"/>
  <c r="A317" i="4"/>
  <c r="A318" i="4"/>
  <c r="A324" i="4"/>
  <c r="A322" i="4"/>
  <c r="A325" i="4"/>
  <c r="A320" i="4"/>
  <c r="A323" i="4"/>
  <c r="A328" i="4"/>
  <c r="A326" i="4"/>
  <c r="A330" i="4"/>
  <c r="A327" i="4"/>
  <c r="A332" i="4"/>
  <c r="A338" i="4"/>
  <c r="A334" i="4"/>
  <c r="A329" i="4"/>
  <c r="A337" i="4"/>
  <c r="A331" i="4"/>
  <c r="A333" i="4"/>
  <c r="A335" i="4"/>
  <c r="A342" i="4"/>
  <c r="A344" i="4"/>
  <c r="A336" i="4"/>
  <c r="A341" i="4"/>
  <c r="A348" i="4"/>
  <c r="A349" i="4"/>
  <c r="A345" i="4"/>
  <c r="A340" i="4"/>
  <c r="A343" i="4"/>
  <c r="A339" i="4"/>
  <c r="A346" i="4"/>
  <c r="A347" i="4"/>
  <c r="A351" i="4"/>
  <c r="A353" i="4"/>
  <c r="A361" i="4"/>
  <c r="A352" i="4"/>
  <c r="A355" i="4"/>
  <c r="A356" i="4"/>
  <c r="A350" i="4"/>
  <c r="A360" i="4"/>
  <c r="A354" i="4"/>
  <c r="A358" i="4"/>
  <c r="A365" i="4"/>
  <c r="A364" i="4"/>
  <c r="A362" i="4"/>
  <c r="A357" i="4"/>
  <c r="A366" i="4"/>
  <c r="A368" i="4"/>
  <c r="A359" i="4"/>
  <c r="A370" i="4"/>
  <c r="A374" i="4"/>
  <c r="A367" i="4"/>
  <c r="A371" i="4"/>
  <c r="A369" i="4"/>
  <c r="A363" i="4"/>
  <c r="A377" i="4"/>
  <c r="A375" i="4"/>
  <c r="A382" i="4"/>
  <c r="A372" i="4"/>
  <c r="A376" i="4"/>
  <c r="A386" i="4"/>
  <c r="A379" i="4"/>
  <c r="A373" i="4"/>
  <c r="A385" i="4"/>
  <c r="A383" i="4"/>
  <c r="A381" i="4"/>
  <c r="A389" i="4"/>
  <c r="A378" i="4"/>
  <c r="A384" i="4"/>
  <c r="A392" i="4"/>
  <c r="A390" i="4"/>
  <c r="A394" i="4"/>
  <c r="A387" i="4"/>
  <c r="A380" i="4"/>
  <c r="A395" i="4"/>
  <c r="A391" i="4"/>
  <c r="A396" i="4"/>
  <c r="A398" i="4"/>
  <c r="A397" i="4"/>
  <c r="A388" i="4"/>
  <c r="A400" i="4"/>
  <c r="A408" i="4"/>
  <c r="A393" i="4"/>
  <c r="A406" i="4"/>
  <c r="A402" i="4"/>
  <c r="A404" i="4"/>
  <c r="A399" i="4"/>
  <c r="A407" i="4"/>
  <c r="A405" i="4"/>
  <c r="A411" i="4"/>
  <c r="A410" i="4"/>
  <c r="A403" i="4"/>
  <c r="A422" i="4"/>
  <c r="A409" i="4"/>
  <c r="A416" i="4"/>
  <c r="A419" i="4"/>
  <c r="A414" i="4"/>
  <c r="A415" i="4"/>
  <c r="A401" i="4"/>
  <c r="A420" i="4"/>
  <c r="A417" i="4"/>
  <c r="A412" i="4"/>
  <c r="A413" i="4"/>
  <c r="A427" i="4"/>
  <c r="A425" i="4"/>
  <c r="A432" i="4"/>
  <c r="A424" i="4"/>
  <c r="A421" i="4"/>
  <c r="A429" i="4"/>
  <c r="A428" i="4"/>
  <c r="A418" i="4"/>
  <c r="A426" i="4"/>
  <c r="A431" i="4"/>
  <c r="A430" i="4"/>
  <c r="A433" i="4"/>
  <c r="A434" i="4"/>
  <c r="A423" i="4"/>
  <c r="A440" i="4"/>
  <c r="A435" i="4"/>
  <c r="A441" i="4"/>
  <c r="A438" i="4"/>
  <c r="A436" i="4"/>
  <c r="A442" i="4"/>
  <c r="A437" i="4"/>
  <c r="A439" i="4"/>
  <c r="A450" i="4"/>
  <c r="A443" i="4"/>
  <c r="A446" i="4"/>
  <c r="A444" i="4"/>
  <c r="A449" i="4"/>
  <c r="A452" i="4"/>
  <c r="A453" i="4"/>
  <c r="A447" i="4"/>
  <c r="A455" i="4"/>
  <c r="A445" i="4"/>
  <c r="A459" i="4"/>
  <c r="A451" i="4"/>
  <c r="A456" i="4"/>
  <c r="A448" i="4"/>
  <c r="A462" i="4"/>
  <c r="A458" i="4"/>
  <c r="A457" i="4"/>
  <c r="A460" i="4"/>
  <c r="A461" i="4"/>
  <c r="A467" i="4"/>
  <c r="A463" i="4"/>
  <c r="A469" i="4"/>
  <c r="A454" i="4"/>
  <c r="A465" i="4"/>
  <c r="A466" i="4"/>
  <c r="A472" i="4"/>
  <c r="A471" i="4"/>
  <c r="A470" i="4"/>
  <c r="A468" i="4"/>
  <c r="A474" i="4"/>
  <c r="A464" i="4"/>
  <c r="A475" i="4"/>
  <c r="A477" i="4"/>
  <c r="A473" i="4"/>
  <c r="A478" i="4"/>
  <c r="A480" i="4"/>
  <c r="A481" i="4"/>
  <c r="A476" i="4"/>
  <c r="A484" i="4"/>
  <c r="A479" i="4"/>
  <c r="A485" i="4"/>
  <c r="A483" i="4"/>
  <c r="A482" i="4"/>
  <c r="A486" i="4"/>
  <c r="A488" i="4"/>
  <c r="A490" i="4"/>
  <c r="A489" i="4"/>
  <c r="A491" i="4"/>
  <c r="A487" i="4"/>
  <c r="A493" i="4"/>
  <c r="A496" i="4"/>
  <c r="A492" i="4"/>
  <c r="A506" i="4"/>
  <c r="A499" i="4"/>
  <c r="A494" i="4"/>
  <c r="A503" i="4"/>
  <c r="A500" i="4"/>
  <c r="A507" i="4"/>
  <c r="A495" i="4"/>
  <c r="A501" i="4"/>
  <c r="A504" i="4"/>
  <c r="A498" i="4"/>
  <c r="A508" i="4"/>
  <c r="A497" i="4"/>
  <c r="A520" i="4"/>
  <c r="A511" i="4"/>
  <c r="A510" i="4"/>
  <c r="A509" i="4"/>
  <c r="A502" i="4"/>
  <c r="A505" i="4"/>
  <c r="A518" i="4"/>
  <c r="A515" i="4"/>
  <c r="A513" i="4"/>
  <c r="A514" i="4"/>
  <c r="A516" i="4"/>
  <c r="A525" i="4"/>
  <c r="A512" i="4"/>
  <c r="A526" i="4"/>
  <c r="A517" i="4"/>
  <c r="A533" i="4"/>
  <c r="A528" i="4"/>
  <c r="A524" i="4"/>
  <c r="A522" i="4"/>
  <c r="A519" i="4"/>
  <c r="A523" i="4"/>
  <c r="A527" i="4"/>
  <c r="A531" i="4"/>
  <c r="A537" i="4"/>
  <c r="A521" i="4"/>
  <c r="A530" i="4"/>
  <c r="A534" i="4"/>
  <c r="A538" i="4"/>
  <c r="A536" i="4"/>
  <c r="A535" i="4"/>
  <c r="A532" i="4"/>
  <c r="A529" i="4"/>
  <c r="A544" i="4"/>
  <c r="A539" i="4"/>
  <c r="A542" i="4"/>
  <c r="A541" i="4"/>
  <c r="A540" i="4"/>
  <c r="A548" i="4"/>
  <c r="A547" i="4"/>
  <c r="A543" i="4"/>
  <c r="A549" i="4"/>
  <c r="A545" i="4"/>
  <c r="A555" i="4"/>
  <c r="A553" i="4"/>
  <c r="A559" i="4"/>
  <c r="A551" i="4"/>
  <c r="A558" i="4"/>
  <c r="A550" i="4"/>
  <c r="A546" i="4"/>
  <c r="A569" i="4"/>
  <c r="A552" i="4"/>
  <c r="A562" i="4"/>
  <c r="A554" i="4"/>
  <c r="A556" i="4"/>
  <c r="A561" i="4"/>
  <c r="A557" i="4"/>
  <c r="A564" i="4"/>
  <c r="A567" i="4"/>
  <c r="A560" i="4"/>
  <c r="A563" i="4"/>
  <c r="A565" i="4"/>
  <c r="A568" i="4"/>
  <c r="A581" i="4"/>
  <c r="A571" i="4"/>
  <c r="A572" i="4"/>
  <c r="A577" i="4"/>
  <c r="A576" i="4"/>
  <c r="A575" i="4"/>
  <c r="A566" i="4"/>
  <c r="A579" i="4"/>
  <c r="A574" i="4"/>
  <c r="A578" i="4"/>
  <c r="A570" i="4"/>
  <c r="A573" i="4"/>
  <c r="A585" i="4"/>
  <c r="A584" i="4"/>
  <c r="A583" i="4"/>
  <c r="A580" i="4"/>
  <c r="A586" i="4"/>
  <c r="A582" i="4"/>
  <c r="A590" i="4"/>
  <c r="A588" i="4"/>
  <c r="A591" i="4"/>
  <c r="A587" i="4"/>
  <c r="A595" i="4"/>
  <c r="A589" i="4"/>
  <c r="A600" i="4"/>
  <c r="A601" i="4"/>
  <c r="A596" i="4"/>
  <c r="A597" i="4"/>
  <c r="A593" i="4"/>
  <c r="A592" i="4"/>
  <c r="A604" i="4"/>
  <c r="A609" i="4"/>
  <c r="A598" i="4"/>
  <c r="A599" i="4"/>
  <c r="A605" i="4"/>
  <c r="A613" i="4"/>
  <c r="A594" i="4"/>
  <c r="A603" i="4"/>
  <c r="A608" i="4"/>
  <c r="A610" i="4"/>
  <c r="A615" i="4"/>
  <c r="A612" i="4"/>
  <c r="A602" i="4"/>
  <c r="A614" i="4"/>
  <c r="A619" i="4"/>
  <c r="A611" i="4"/>
  <c r="A618" i="4"/>
  <c r="A606" i="4"/>
  <c r="A621" i="4"/>
  <c r="A617" i="4"/>
  <c r="A607" i="4"/>
  <c r="A624" i="4"/>
  <c r="A622" i="4"/>
  <c r="A620" i="4"/>
  <c r="A616" i="4"/>
  <c r="A626" i="4"/>
  <c r="A628" i="4"/>
  <c r="A627" i="4"/>
  <c r="A631" i="4"/>
  <c r="A633" i="4"/>
  <c r="A623" i="4"/>
  <c r="A637" i="4"/>
  <c r="A625" i="4"/>
  <c r="A630" i="4"/>
  <c r="A629" i="4"/>
  <c r="A636" i="4"/>
  <c r="A634" i="4"/>
  <c r="A632" i="4"/>
  <c r="A641" i="4"/>
  <c r="A635" i="4"/>
  <c r="A640" i="4"/>
  <c r="A644" i="4"/>
  <c r="A639" i="4"/>
  <c r="A642" i="4"/>
  <c r="A638" i="4"/>
  <c r="A649" i="4"/>
  <c r="A648" i="4"/>
  <c r="A656" i="4"/>
  <c r="A645" i="4"/>
  <c r="A643" i="4"/>
  <c r="A653" i="4"/>
  <c r="A646" i="4"/>
  <c r="A647" i="4"/>
  <c r="A651" i="4"/>
  <c r="A654" i="4"/>
  <c r="A650" i="4"/>
  <c r="A658" i="4"/>
  <c r="A652" i="4"/>
  <c r="A657" i="4"/>
  <c r="A662" i="4"/>
  <c r="A659" i="4"/>
  <c r="A667" i="4"/>
  <c r="A655" i="4"/>
  <c r="A660" i="4"/>
  <c r="A661" i="4"/>
  <c r="A665" i="4"/>
  <c r="A664" i="4"/>
  <c r="A666" i="4"/>
  <c r="A663" i="4"/>
  <c r="A671" i="4"/>
  <c r="A674" i="4"/>
  <c r="A669" i="4"/>
  <c r="A670" i="4"/>
  <c r="A676" i="4"/>
  <c r="A668" i="4"/>
  <c r="A678" i="4"/>
  <c r="A677" i="4"/>
  <c r="A672" i="4"/>
  <c r="A675" i="4"/>
  <c r="A679" i="4"/>
  <c r="A673" i="4"/>
  <c r="A688" i="4"/>
  <c r="A681" i="4"/>
  <c r="A680" i="4"/>
  <c r="A686" i="4"/>
  <c r="A685" i="4"/>
  <c r="A682" i="4"/>
  <c r="A694" i="4"/>
  <c r="A687" i="4"/>
  <c r="A683" i="4"/>
  <c r="A695" i="4"/>
  <c r="A692" i="4"/>
  <c r="A684" i="4"/>
  <c r="A690" i="4"/>
  <c r="A689" i="4"/>
  <c r="A693" i="4"/>
  <c r="A696" i="4"/>
  <c r="A697" i="4"/>
  <c r="A691" i="4"/>
  <c r="A704" i="4"/>
  <c r="A700" i="4"/>
  <c r="A703" i="4"/>
  <c r="A699" i="4"/>
  <c r="A701" i="4"/>
  <c r="A702" i="4"/>
  <c r="A698" i="4"/>
  <c r="A707" i="4"/>
  <c r="A708" i="4"/>
  <c r="A706" i="4"/>
  <c r="A705" i="4"/>
  <c r="A714" i="4"/>
  <c r="A712" i="4"/>
  <c r="A717" i="4"/>
  <c r="A709" i="4"/>
  <c r="A715" i="4"/>
  <c r="A721" i="4"/>
  <c r="A711" i="4"/>
  <c r="A718" i="4"/>
  <c r="A723" i="4"/>
  <c r="A719" i="4"/>
  <c r="A710" i="4"/>
  <c r="A713" i="4"/>
  <c r="A716" i="4"/>
  <c r="A728" i="4"/>
  <c r="A725" i="4"/>
  <c r="A722" i="4"/>
  <c r="A732" i="4"/>
  <c r="A726" i="4"/>
  <c r="A733" i="4"/>
  <c r="A730" i="4"/>
  <c r="A729" i="4"/>
  <c r="A720" i="4"/>
  <c r="A724" i="4"/>
  <c r="A731" i="4"/>
  <c r="A735" i="4"/>
  <c r="A727" i="4"/>
  <c r="A736" i="4"/>
  <c r="A740" i="4"/>
  <c r="A738" i="4"/>
  <c r="A737" i="4"/>
  <c r="A742" i="4"/>
  <c r="A745" i="4"/>
  <c r="A739" i="4"/>
  <c r="A734" i="4"/>
  <c r="A744" i="4"/>
  <c r="A743" i="4"/>
  <c r="A750" i="4"/>
  <c r="A741" i="4"/>
  <c r="A751" i="4"/>
  <c r="A748" i="4"/>
  <c r="A747" i="4"/>
  <c r="A746" i="4"/>
  <c r="A749" i="4"/>
  <c r="A754" i="4"/>
  <c r="A753" i="4"/>
  <c r="A757" i="4"/>
  <c r="A760" i="4"/>
  <c r="A755" i="4"/>
  <c r="A752" i="4"/>
  <c r="A756" i="4"/>
  <c r="A762" i="4"/>
  <c r="A759" i="4"/>
  <c r="A761" i="4"/>
  <c r="A769" i="4"/>
  <c r="A758" i="4"/>
  <c r="A768" i="4"/>
  <c r="A764" i="4"/>
  <c r="A765" i="4"/>
  <c r="A763" i="4"/>
  <c r="A767" i="4"/>
  <c r="A770" i="4"/>
  <c r="A766" i="4"/>
  <c r="A775" i="4"/>
  <c r="A777" i="4"/>
  <c r="A771" i="4"/>
  <c r="A776" i="4"/>
  <c r="A780" i="4"/>
  <c r="A772" i="4"/>
  <c r="A781" i="4"/>
  <c r="A779" i="4"/>
  <c r="A783" i="4"/>
  <c r="A773" i="4"/>
  <c r="A782" i="4"/>
  <c r="A774" i="4"/>
  <c r="A786" i="4"/>
  <c r="A789" i="4"/>
  <c r="A785" i="4"/>
  <c r="A778" i="4"/>
  <c r="A788" i="4"/>
  <c r="A793" i="4"/>
  <c r="A784" i="4"/>
  <c r="A790" i="4"/>
  <c r="A794" i="4"/>
  <c r="A787" i="4"/>
  <c r="A792" i="4"/>
  <c r="A796" i="4"/>
  <c r="A798" i="4"/>
  <c r="A791" i="4"/>
  <c r="A799" i="4"/>
  <c r="A795" i="4"/>
  <c r="A801" i="4"/>
  <c r="A797" i="4"/>
  <c r="A804" i="4"/>
  <c r="A803" i="4"/>
  <c r="A806" i="4"/>
  <c r="A807" i="4"/>
  <c r="A814" i="4"/>
  <c r="A812" i="4"/>
  <c r="A810" i="4"/>
  <c r="A805" i="4"/>
  <c r="A800" i="4"/>
  <c r="A813" i="4"/>
  <c r="A816" i="4"/>
  <c r="A808" i="4"/>
  <c r="A802" i="4"/>
  <c r="A811" i="4"/>
  <c r="A819" i="4"/>
  <c r="A815" i="4"/>
  <c r="A809" i="4"/>
  <c r="A820" i="4"/>
  <c r="A824" i="4"/>
  <c r="A825" i="4"/>
  <c r="A817" i="4"/>
  <c r="A821" i="4"/>
  <c r="A826" i="4"/>
  <c r="A828" i="4"/>
  <c r="A818" i="4"/>
  <c r="A830" i="4"/>
  <c r="A829" i="4"/>
  <c r="A822" i="4"/>
  <c r="A827" i="4"/>
  <c r="A837" i="4"/>
  <c r="A831" i="4"/>
  <c r="A823" i="4"/>
  <c r="A840" i="4"/>
  <c r="A838" i="4"/>
  <c r="A833" i="4"/>
  <c r="A834" i="4"/>
  <c r="A842" i="4"/>
  <c r="A832" i="4"/>
  <c r="A844" i="4"/>
  <c r="A836" i="4"/>
  <c r="A845" i="4"/>
  <c r="A835" i="4"/>
  <c r="A839" i="4"/>
  <c r="A847" i="4"/>
  <c r="A841" i="4"/>
  <c r="A854" i="4"/>
  <c r="A843" i="4"/>
  <c r="A853" i="4"/>
  <c r="A850" i="4"/>
  <c r="A846" i="4"/>
  <c r="A858" i="4"/>
  <c r="A848" i="4"/>
  <c r="A852" i="4"/>
  <c r="A849" i="4"/>
  <c r="A851" i="4"/>
  <c r="A856" i="4"/>
  <c r="A861" i="4"/>
  <c r="A859" i="4"/>
  <c r="A855" i="4"/>
  <c r="A863" i="4"/>
  <c r="A857" i="4"/>
  <c r="A860" i="4"/>
  <c r="A862" i="4"/>
  <c r="A867" i="4"/>
  <c r="A871" i="4"/>
  <c r="A864" i="4"/>
  <c r="A869" i="4"/>
  <c r="A874" i="4"/>
  <c r="A865" i="4"/>
  <c r="A877" i="4"/>
  <c r="A868" i="4"/>
  <c r="A870" i="4"/>
  <c r="A866" i="4"/>
  <c r="A875" i="4"/>
  <c r="A879" i="4"/>
  <c r="A873" i="4"/>
  <c r="A872" i="4"/>
  <c r="A881" i="4"/>
  <c r="A885" i="4"/>
  <c r="A882" i="4"/>
  <c r="A876" i="4"/>
  <c r="A880" i="4"/>
  <c r="A878" i="4"/>
  <c r="A883" i="4"/>
  <c r="A891" i="4"/>
  <c r="A893" i="4"/>
  <c r="A890" i="4"/>
  <c r="A887" i="4"/>
  <c r="A884" i="4"/>
  <c r="A888" i="4"/>
  <c r="A892" i="4"/>
  <c r="A889" i="4"/>
  <c r="A886" i="4"/>
  <c r="A896" i="4"/>
  <c r="A894" i="4"/>
  <c r="A900" i="4"/>
  <c r="A901" i="4"/>
  <c r="A895" i="4"/>
  <c r="A905" i="4"/>
  <c r="A902" i="4"/>
  <c r="A904" i="4"/>
  <c r="A897" i="4"/>
  <c r="A911" i="4"/>
  <c r="A899" i="4"/>
  <c r="A898" i="4"/>
  <c r="A916" i="4"/>
  <c r="A903" i="4"/>
  <c r="A909" i="4"/>
  <c r="A910" i="4"/>
  <c r="A913" i="4"/>
  <c r="A908" i="4"/>
  <c r="A912" i="4"/>
  <c r="A917" i="4"/>
  <c r="A906" i="4"/>
  <c r="A918" i="4"/>
  <c r="A914" i="4"/>
  <c r="A907" i="4"/>
  <c r="A924" i="4"/>
  <c r="A922" i="4"/>
  <c r="A927" i="4"/>
  <c r="A921" i="4"/>
  <c r="A915" i="4"/>
  <c r="A926" i="4"/>
  <c r="A919" i="4"/>
  <c r="A920" i="4"/>
  <c r="A933" i="4"/>
  <c r="A923" i="4"/>
  <c r="A930" i="4"/>
  <c r="A932" i="4"/>
  <c r="A929" i="4"/>
  <c r="A925" i="4"/>
  <c r="A928" i="4"/>
  <c r="A935" i="4"/>
  <c r="A934" i="4"/>
  <c r="A941" i="4"/>
  <c r="A936" i="4"/>
  <c r="A931" i="4"/>
  <c r="A938" i="4"/>
  <c r="A940" i="4"/>
  <c r="A937" i="4"/>
  <c r="A943" i="4"/>
  <c r="A945" i="4"/>
  <c r="A939" i="4"/>
  <c r="A946" i="4"/>
  <c r="A944" i="4"/>
  <c r="A942" i="4"/>
  <c r="A950" i="4"/>
  <c r="A948" i="4"/>
  <c r="A947" i="4"/>
  <c r="A953" i="4"/>
  <c r="A952" i="4"/>
  <c r="A955" i="4"/>
  <c r="A951" i="4"/>
  <c r="A949" i="4"/>
  <c r="A957" i="4"/>
  <c r="A961" i="4"/>
  <c r="A956" i="4"/>
  <c r="A958" i="4"/>
  <c r="A954" i="4"/>
  <c r="A962" i="4"/>
  <c r="A960" i="4"/>
  <c r="A964" i="4"/>
  <c r="A963" i="4"/>
  <c r="A966" i="4"/>
  <c r="A968" i="4"/>
  <c r="A959" i="4"/>
  <c r="A972" i="4"/>
  <c r="A965" i="4"/>
  <c r="A969" i="4"/>
  <c r="A971" i="4"/>
  <c r="A973" i="4"/>
  <c r="A976" i="4"/>
  <c r="A967" i="4"/>
  <c r="A974" i="4"/>
  <c r="A970" i="4"/>
  <c r="A980" i="4"/>
  <c r="A977" i="4"/>
  <c r="A986" i="4"/>
  <c r="A981" i="4"/>
  <c r="A979" i="4"/>
  <c r="A983" i="4"/>
  <c r="A975" i="4"/>
  <c r="A985" i="4"/>
  <c r="A978" i="4"/>
  <c r="A987" i="4"/>
  <c r="A991" i="4"/>
  <c r="A984" i="4"/>
  <c r="A990" i="4"/>
  <c r="A992" i="4"/>
  <c r="A988" i="4"/>
  <c r="A989" i="4"/>
  <c r="A993" i="4"/>
  <c r="A982" i="4"/>
  <c r="A1000" i="4"/>
  <c r="A997" i="4"/>
  <c r="A994" i="4"/>
  <c r="A999" i="4"/>
  <c r="A995" i="4"/>
  <c r="A1002" i="4"/>
  <c r="A1003" i="4"/>
  <c r="A996" i="4"/>
  <c r="A1008" i="4"/>
  <c r="A1005" i="4"/>
  <c r="A1009" i="4"/>
  <c r="A998" i="4"/>
  <c r="A1018" i="4"/>
  <c r="A1011" i="4"/>
  <c r="A1019" i="4"/>
  <c r="A1006" i="4"/>
  <c r="A1012" i="4"/>
  <c r="A1025" i="4"/>
  <c r="A1021" i="4"/>
  <c r="A1024" i="4"/>
  <c r="A1027" i="4"/>
  <c r="A1030" i="4"/>
  <c r="A1042" i="4"/>
  <c r="A1038" i="4"/>
  <c r="A1037" i="4"/>
  <c r="A1047" i="4"/>
  <c r="A1048" i="4"/>
  <c r="A1045" i="4"/>
  <c r="A1032" i="4"/>
  <c r="A1053" i="4"/>
  <c r="A1039" i="4"/>
  <c r="A1033" i="4"/>
  <c r="A1059" i="4"/>
  <c r="A1051" i="4"/>
  <c r="A1064" i="4"/>
  <c r="A1044" i="4"/>
  <c r="A1056" i="4"/>
  <c r="A1057" i="4"/>
  <c r="A1063" i="4"/>
  <c r="A1060" i="4"/>
  <c r="A1054" i="4"/>
  <c r="A1067" i="4"/>
  <c r="A1077" i="4"/>
  <c r="A1081" i="4"/>
  <c r="A1083" i="4"/>
  <c r="A1075" i="4"/>
  <c r="A1072" i="4"/>
  <c r="A1074" i="4"/>
  <c r="A1094" i="4"/>
  <c r="A1085" i="4"/>
  <c r="A1096" i="4"/>
  <c r="A1086" i="4"/>
  <c r="A1099" i="4"/>
  <c r="A1100" i="4"/>
  <c r="A1091" i="4"/>
  <c r="A1093" i="4"/>
  <c r="A1090" i="4"/>
  <c r="A1092" i="4"/>
  <c r="A1104" i="4"/>
  <c r="A1119" i="4"/>
  <c r="A1105" i="4"/>
  <c r="A1112" i="4"/>
  <c r="A1111" i="4"/>
  <c r="A1118" i="4"/>
  <c r="A1108" i="4"/>
  <c r="A1115" i="4"/>
  <c r="A1122" i="4"/>
  <c r="A1123" i="4"/>
  <c r="A1106" i="4"/>
  <c r="A1124" i="4"/>
  <c r="A1126" i="4"/>
  <c r="A1131" i="4"/>
  <c r="A1133" i="4"/>
  <c r="A1128" i="4"/>
  <c r="A1137" i="4"/>
  <c r="A1150" i="4"/>
  <c r="A1144" i="4"/>
  <c r="A1139" i="4"/>
  <c r="A1141" i="4"/>
  <c r="A1142" i="4"/>
  <c r="A1138" i="4"/>
  <c r="A1143" i="4"/>
  <c r="A1157" i="4"/>
  <c r="A1165" i="4"/>
  <c r="A1154" i="4"/>
  <c r="A1169" i="4"/>
  <c r="A1162" i="4"/>
  <c r="A1175" i="4"/>
  <c r="A1156" i="4"/>
  <c r="A1152" i="4"/>
  <c r="A1158" i="4"/>
  <c r="A1171" i="4"/>
  <c r="A1172" i="4"/>
  <c r="A1179" i="4"/>
  <c r="A1164" i="4"/>
  <c r="A1170" i="4"/>
  <c r="A1181" i="4"/>
  <c r="A1178" i="4"/>
  <c r="A1185" i="4"/>
  <c r="A1183" i="4"/>
  <c r="A1189" i="4"/>
  <c r="A1193" i="4"/>
  <c r="A1192" i="4"/>
  <c r="A1195" i="4"/>
  <c r="A1191" i="4"/>
  <c r="A1202" i="4"/>
  <c r="A1201" i="4"/>
  <c r="A1199" i="4"/>
  <c r="A1215" i="4"/>
  <c r="A1203" i="4"/>
  <c r="A1205" i="4"/>
  <c r="A1212" i="4"/>
  <c r="A1211" i="4"/>
  <c r="A1210" i="4"/>
  <c r="A1226" i="4"/>
  <c r="A1219" i="4"/>
  <c r="A1221" i="4"/>
  <c r="A1217" i="4"/>
  <c r="A1216" i="4"/>
  <c r="A1228" i="4"/>
  <c r="A1235" i="4"/>
  <c r="A1230" i="4"/>
  <c r="A1243" i="4"/>
  <c r="A1237" i="4"/>
  <c r="A1233" i="4"/>
  <c r="A1231" i="4"/>
  <c r="A1245" i="4"/>
  <c r="A1238" i="4"/>
  <c r="A1250" i="4"/>
  <c r="A1251" i="4"/>
  <c r="A1252" i="4"/>
  <c r="A1258" i="4"/>
  <c r="A1247" i="4"/>
  <c r="A1256" i="4"/>
  <c r="A1249" i="4"/>
  <c r="A1257" i="4"/>
  <c r="A1265" i="4"/>
  <c r="A1266" i="4"/>
  <c r="A1262" i="4"/>
  <c r="A1270" i="4"/>
  <c r="A1273" i="4"/>
  <c r="A1272" i="4"/>
  <c r="A1267" i="4"/>
  <c r="A1276" i="4"/>
  <c r="A1275" i="4"/>
  <c r="A1277" i="4"/>
  <c r="A1284" i="4"/>
  <c r="A1279" i="4"/>
  <c r="A1281" i="4"/>
  <c r="A1289" i="4"/>
  <c r="A1285" i="4"/>
  <c r="A1290" i="4"/>
  <c r="A1294" i="4"/>
  <c r="A1297" i="4"/>
  <c r="A1300" i="4"/>
  <c r="A1307" i="4"/>
  <c r="A1291" i="4"/>
  <c r="A1287" i="4"/>
  <c r="A1303" i="4"/>
  <c r="A1306" i="4"/>
  <c r="A1314" i="4"/>
  <c r="A1318" i="4"/>
  <c r="A1310" i="4"/>
  <c r="A1317" i="4"/>
  <c r="A1326" i="4"/>
  <c r="A1308" i="4"/>
  <c r="A1330" i="4"/>
  <c r="A1320" i="4"/>
  <c r="A1332" i="4"/>
  <c r="A1327" i="4"/>
  <c r="A1324" i="4"/>
  <c r="A1336" i="4"/>
  <c r="A1328" i="4"/>
  <c r="A1343" i="4"/>
  <c r="A1335" i="4"/>
  <c r="A1337" i="4"/>
  <c r="A1346" i="4"/>
  <c r="A1349" i="4"/>
  <c r="A1348" i="4"/>
  <c r="A1356" i="4"/>
  <c r="A1342" i="4"/>
  <c r="A1361" i="4"/>
  <c r="A1351" i="4"/>
  <c r="A1355" i="4"/>
  <c r="A1364" i="4"/>
  <c r="A1358" i="4"/>
  <c r="A1360" i="4"/>
  <c r="A1370" i="4"/>
  <c r="A1354" i="4"/>
  <c r="A1365" i="4"/>
  <c r="A1359" i="4"/>
  <c r="A1357" i="4"/>
  <c r="A1366" i="4"/>
  <c r="A1363" i="4"/>
  <c r="A1362" i="4"/>
  <c r="A1371" i="4"/>
  <c r="A1369" i="4"/>
  <c r="A1368" i="4"/>
  <c r="A1367" i="4"/>
  <c r="A1373" i="4"/>
  <c r="A1378" i="4"/>
  <c r="A1375" i="4"/>
  <c r="A1376" i="4"/>
  <c r="A1374" i="4"/>
  <c r="A1379" i="4"/>
  <c r="A1381" i="4"/>
  <c r="A1385" i="4"/>
  <c r="A1372" i="4"/>
  <c r="A1382" i="4"/>
  <c r="A1377" i="4"/>
  <c r="A1380" i="4"/>
  <c r="A1387" i="4"/>
  <c r="A1384" i="4"/>
  <c r="A1401" i="4"/>
  <c r="A1390" i="4"/>
  <c r="A1386" i="4"/>
  <c r="A1383" i="4"/>
  <c r="A1393" i="4"/>
  <c r="A1388" i="4"/>
  <c r="A1392" i="4"/>
  <c r="A1391" i="4"/>
  <c r="A1389" i="4"/>
  <c r="A1397" i="4"/>
  <c r="A1400" i="4"/>
  <c r="A1398" i="4"/>
  <c r="A1396" i="4"/>
  <c r="A1395" i="4"/>
  <c r="A1399" i="4"/>
  <c r="A1413" i="4"/>
  <c r="A1394" i="4"/>
  <c r="A1403" i="4"/>
  <c r="A1404" i="4"/>
  <c r="A1402" i="4"/>
  <c r="A1405" i="4"/>
  <c r="A1412" i="4"/>
  <c r="A1415" i="4"/>
  <c r="A1411" i="4"/>
  <c r="A1408" i="4"/>
  <c r="A1416" i="4"/>
  <c r="A1410" i="4"/>
  <c r="A1406" i="4"/>
  <c r="A1409" i="4"/>
  <c r="A1418" i="4"/>
  <c r="A1414" i="4"/>
  <c r="A1421" i="4"/>
  <c r="A1417" i="4"/>
  <c r="A1407" i="4"/>
  <c r="A1427" i="4"/>
  <c r="A1420" i="4"/>
  <c r="A1419" i="4"/>
  <c r="A1424" i="4"/>
  <c r="A1426" i="4"/>
  <c r="A1422" i="4"/>
  <c r="A1430" i="4"/>
  <c r="A1435" i="4"/>
  <c r="A1423" i="4"/>
  <c r="A1425" i="4"/>
  <c r="A1429" i="4"/>
  <c r="A1433" i="4"/>
  <c r="A1431" i="4"/>
  <c r="A1432" i="4"/>
  <c r="A1442" i="4"/>
  <c r="A1440" i="4"/>
  <c r="A1441" i="4"/>
  <c r="A1438" i="4"/>
  <c r="A1428" i="4"/>
  <c r="A1436" i="4"/>
  <c r="A1437" i="4"/>
  <c r="A1445" i="4"/>
  <c r="A1444" i="4"/>
  <c r="A1439" i="4"/>
  <c r="A1447" i="4"/>
  <c r="A1446" i="4"/>
  <c r="A1449" i="4"/>
  <c r="A1443" i="4"/>
  <c r="A1434" i="4"/>
  <c r="A1454" i="4"/>
  <c r="A1448" i="4"/>
  <c r="A1458" i="4"/>
  <c r="A1455" i="4"/>
  <c r="A1453" i="4"/>
  <c r="A1450" i="4"/>
  <c r="A1456" i="4"/>
  <c r="A1451" i="4"/>
  <c r="A1460" i="4"/>
  <c r="A1452" i="4"/>
  <c r="A1462" i="4"/>
  <c r="A1461" i="4"/>
  <c r="A1457" i="4"/>
  <c r="A1465" i="4"/>
  <c r="A1463" i="4"/>
  <c r="A1459" i="4"/>
  <c r="A1466" i="4"/>
  <c r="A1464" i="4"/>
  <c r="A1468" i="4"/>
  <c r="A1471" i="4"/>
  <c r="A1473" i="4"/>
  <c r="A1469" i="4"/>
  <c r="A1477" i="4"/>
  <c r="A1467" i="4"/>
  <c r="A1476" i="4"/>
  <c r="A1479" i="4"/>
  <c r="A1474" i="4"/>
  <c r="A1475" i="4"/>
  <c r="A1472" i="4"/>
  <c r="A1470" i="4"/>
  <c r="A1480" i="4"/>
  <c r="A1488" i="4"/>
  <c r="A1485" i="4"/>
  <c r="A1483" i="4"/>
  <c r="A1478" i="4"/>
  <c r="A1487" i="4"/>
  <c r="A1489" i="4"/>
  <c r="A1482" i="4"/>
  <c r="A1486" i="4"/>
  <c r="A1484" i="4"/>
  <c r="A1491" i="4"/>
  <c r="A1497" i="4"/>
  <c r="A1493" i="4"/>
  <c r="A1494" i="4"/>
  <c r="A1496" i="4"/>
  <c r="A1490" i="4"/>
  <c r="A1492" i="4"/>
  <c r="A1495" i="4"/>
  <c r="A1501" i="4"/>
  <c r="A1506" i="4"/>
  <c r="A1499" i="4"/>
  <c r="A1500" i="4"/>
  <c r="A1498" i="4"/>
  <c r="A1502" i="4"/>
  <c r="A1508" i="4"/>
  <c r="A1507" i="4"/>
  <c r="A1505" i="4"/>
  <c r="A1509" i="4"/>
  <c r="A1503" i="4"/>
  <c r="A1514" i="4"/>
  <c r="A1504" i="4"/>
  <c r="A1511" i="4"/>
  <c r="A1510" i="4"/>
  <c r="A1517" i="4"/>
  <c r="A1515" i="4"/>
  <c r="A1512" i="4"/>
  <c r="A1520" i="4"/>
  <c r="A1516" i="4"/>
  <c r="A1513" i="4"/>
  <c r="A1521" i="4"/>
  <c r="A1525" i="4"/>
  <c r="A1519" i="4"/>
  <c r="A1518" i="4"/>
  <c r="A1524" i="4"/>
  <c r="A1522" i="4"/>
  <c r="A1523" i="4"/>
  <c r="A1537" i="4"/>
  <c r="A1530" i="4"/>
  <c r="A1533" i="4"/>
  <c r="A1527" i="4"/>
  <c r="A1529" i="4"/>
  <c r="A1526" i="4"/>
  <c r="A1531" i="4"/>
  <c r="A1538" i="4"/>
  <c r="A1534" i="4"/>
  <c r="A1536" i="4"/>
  <c r="A1532" i="4"/>
  <c r="A1535" i="4"/>
  <c r="A1541" i="4"/>
  <c r="A1542" i="4"/>
  <c r="A1528" i="4"/>
  <c r="A1539" i="4"/>
  <c r="A1540" i="4"/>
  <c r="A1546" i="4"/>
  <c r="A1547" i="4"/>
  <c r="A1545" i="4"/>
  <c r="A1544" i="4"/>
  <c r="A1549" i="4"/>
  <c r="A1550" i="4"/>
  <c r="A1552" i="4"/>
  <c r="A1548" i="4"/>
  <c r="A1543" i="4"/>
  <c r="A1553" i="4"/>
  <c r="A1554" i="4"/>
  <c r="A1559" i="4"/>
  <c r="A1565" i="4"/>
  <c r="A1551" i="4"/>
  <c r="A1556" i="4"/>
  <c r="A1564" i="4"/>
  <c r="A1567" i="4"/>
  <c r="A1557" i="4"/>
  <c r="A1555" i="4"/>
  <c r="A1558" i="4"/>
  <c r="A1560" i="4"/>
  <c r="A1569" i="4"/>
  <c r="A1563" i="4"/>
  <c r="A1568" i="4"/>
  <c r="A1571" i="4"/>
  <c r="A1561" i="4"/>
  <c r="A1562" i="4"/>
  <c r="A1575" i="4"/>
  <c r="A1573" i="4"/>
  <c r="A1566" i="4"/>
  <c r="A1570" i="4"/>
  <c r="A1574" i="4"/>
  <c r="A1582" i="4"/>
  <c r="A1579" i="4"/>
  <c r="A1576" i="4"/>
  <c r="A1578" i="4"/>
  <c r="A1577" i="4"/>
  <c r="A1572" i="4"/>
  <c r="A1583" i="4"/>
  <c r="A1588" i="4"/>
  <c r="A1004" i="4"/>
  <c r="A1010" i="4"/>
  <c r="A1581" i="4"/>
  <c r="A1014" i="4"/>
  <c r="A1589" i="4"/>
  <c r="A1015" i="4"/>
  <c r="A1020" i="4"/>
  <c r="A1023" i="4"/>
  <c r="A1028" i="4"/>
  <c r="A1022" i="4"/>
  <c r="A1043" i="4"/>
  <c r="A1036" i="4"/>
  <c r="A1035" i="4"/>
  <c r="A1050" i="4"/>
  <c r="A1040" i="4"/>
  <c r="A1049" i="4"/>
  <c r="A1065" i="4"/>
  <c r="A1071" i="4"/>
  <c r="A1055" i="4"/>
  <c r="A1084" i="4"/>
  <c r="A1089" i="4"/>
  <c r="A1076" i="4"/>
  <c r="A1070" i="4"/>
  <c r="A1088" i="4"/>
  <c r="A1073" i="4"/>
  <c r="A1080" i="4"/>
  <c r="A1103" i="4"/>
  <c r="A1098" i="4"/>
  <c r="A1864" i="4"/>
  <c r="V61" i="1" l="1"/>
  <c r="P51" i="2" s="1"/>
  <c r="V62" i="1"/>
  <c r="P52" i="2" s="1"/>
  <c r="B1826" i="4"/>
  <c r="C1826" i="4" s="1"/>
  <c r="B1802" i="4"/>
  <c r="C1802" i="4" s="1"/>
  <c r="B1865" i="4"/>
  <c r="C1865" i="4" s="1"/>
  <c r="B1896" i="4"/>
  <c r="C1896" i="4" s="1"/>
  <c r="B1847" i="4"/>
  <c r="C1847" i="4" s="1"/>
  <c r="B1879" i="4"/>
  <c r="C1879" i="4" s="1"/>
  <c r="B1811" i="4"/>
  <c r="C1811" i="4" s="1"/>
  <c r="B1834" i="4"/>
  <c r="C1834" i="4" s="1"/>
  <c r="B1884" i="4"/>
  <c r="C1884" i="4" s="1"/>
  <c r="B1915" i="4"/>
  <c r="C1915" i="4" s="1"/>
  <c r="B1909" i="4"/>
  <c r="C1909" i="4" s="1"/>
  <c r="B1594" i="4"/>
  <c r="C1594" i="4" s="1"/>
  <c r="B1926" i="4"/>
  <c r="C1926" i="4" s="1"/>
  <c r="B1931" i="4"/>
  <c r="C1931" i="4" s="1"/>
  <c r="B1347" i="4"/>
  <c r="C1347" i="4" s="1"/>
  <c r="B1606" i="4"/>
  <c r="C1606" i="4" s="1"/>
  <c r="B1620" i="4"/>
  <c r="C1620" i="4" s="1"/>
  <c r="B1615" i="4"/>
  <c r="C1615" i="4" s="1"/>
  <c r="B1616" i="4"/>
  <c r="C1616" i="4" s="1"/>
  <c r="B1624" i="4"/>
  <c r="C1624" i="4" s="1"/>
  <c r="B1630" i="4"/>
  <c r="C1630" i="4" s="1"/>
  <c r="B1632" i="4"/>
  <c r="C1632" i="4" s="1"/>
  <c r="B1633" i="4"/>
  <c r="C1633" i="4" s="1"/>
  <c r="B1652" i="4"/>
  <c r="C1652" i="4" s="1"/>
  <c r="B1638" i="4"/>
  <c r="C1638" i="4" s="1"/>
  <c r="B1645" i="4"/>
  <c r="C1645" i="4" s="1"/>
  <c r="B1649" i="4"/>
  <c r="C1649" i="4" s="1"/>
  <c r="B1659" i="4"/>
  <c r="C1659" i="4" s="1"/>
  <c r="B1657" i="4"/>
  <c r="C1657" i="4" s="1"/>
  <c r="B1662" i="4"/>
  <c r="C1662" i="4" s="1"/>
  <c r="B1684" i="4"/>
  <c r="C1684" i="4" s="1"/>
  <c r="B1671" i="4"/>
  <c r="C1671" i="4" s="1"/>
  <c r="B1675" i="4"/>
  <c r="C1675" i="4" s="1"/>
  <c r="B1666" i="4"/>
  <c r="C1666" i="4" s="1"/>
  <c r="B1686" i="4"/>
  <c r="C1686" i="4" s="1"/>
  <c r="B1687" i="4"/>
  <c r="C1687" i="4" s="1"/>
  <c r="B1693" i="4"/>
  <c r="C1693" i="4" s="1"/>
  <c r="B1711" i="4"/>
  <c r="C1711" i="4" s="1"/>
  <c r="B1706" i="4"/>
  <c r="C1706" i="4" s="1"/>
  <c r="B1714" i="4"/>
  <c r="C1714" i="4" s="1"/>
  <c r="B1749" i="4"/>
  <c r="C1749" i="4" s="1"/>
  <c r="B1724" i="4"/>
  <c r="C1724" i="4" s="1"/>
  <c r="B1723" i="4"/>
  <c r="C1723" i="4" s="1"/>
  <c r="B1746" i="4"/>
  <c r="C1746" i="4" s="1"/>
  <c r="B1792" i="4"/>
  <c r="C1792" i="4" s="1"/>
  <c r="B1787" i="4"/>
  <c r="C1787" i="4" s="1"/>
  <c r="B1301" i="4"/>
  <c r="C1301" i="4" s="1"/>
  <c r="B1798" i="4"/>
  <c r="C1798" i="4" s="1"/>
  <c r="B1813" i="4"/>
  <c r="C1813" i="4" s="1"/>
  <c r="B1782" i="4"/>
  <c r="C1782" i="4" s="1"/>
  <c r="B1831" i="4"/>
  <c r="C1831" i="4" s="1"/>
  <c r="B1816" i="4"/>
  <c r="C1816" i="4" s="1"/>
  <c r="B1883" i="4"/>
  <c r="C1883" i="4" s="1"/>
  <c r="B1846" i="4"/>
  <c r="C1846" i="4" s="1"/>
  <c r="B1843" i="4"/>
  <c r="C1843" i="4" s="1"/>
  <c r="B1837" i="4"/>
  <c r="C1837" i="4" s="1"/>
  <c r="B1875" i="4"/>
  <c r="C1875" i="4" s="1"/>
  <c r="B1880" i="4"/>
  <c r="C1880" i="4" s="1"/>
  <c r="B1912" i="4"/>
  <c r="C1912" i="4" s="1"/>
  <c r="B1914" i="4"/>
  <c r="C1914" i="4" s="1"/>
  <c r="B1939" i="4"/>
  <c r="C1939" i="4" s="1"/>
  <c r="B1900" i="4"/>
  <c r="C1900" i="4" s="1"/>
  <c r="B1918" i="4"/>
  <c r="C1918" i="4" s="1"/>
  <c r="B1933" i="4"/>
  <c r="C1933" i="4" s="1"/>
  <c r="B1940" i="4"/>
  <c r="C1940" i="4" s="1"/>
  <c r="B1952" i="4"/>
  <c r="C1952" i="4" s="1"/>
  <c r="B1946" i="4"/>
  <c r="C1946" i="4" s="1"/>
  <c r="B1938" i="4"/>
  <c r="C1938" i="4" s="1"/>
  <c r="B1954" i="4"/>
  <c r="C1954" i="4" s="1"/>
  <c r="B1949" i="4"/>
  <c r="C1949" i="4" s="1"/>
  <c r="B1948" i="4"/>
  <c r="C1948" i="4" s="1"/>
  <c r="B1960" i="4"/>
  <c r="C1960" i="4" s="1"/>
  <c r="B1973" i="4"/>
  <c r="C1973" i="4" s="1"/>
  <c r="B1976" i="4"/>
  <c r="C1976" i="4" s="1"/>
  <c r="B1974" i="4"/>
  <c r="C1974" i="4" s="1"/>
  <c r="B1967" i="4"/>
  <c r="C1967" i="4" s="1"/>
  <c r="B1987" i="4"/>
  <c r="C1987" i="4" s="1"/>
  <c r="B1995" i="4"/>
  <c r="C1995" i="4" s="1"/>
  <c r="B1993" i="4"/>
  <c r="C1993" i="4" s="1"/>
  <c r="B1989" i="4"/>
  <c r="C1989" i="4" s="1"/>
  <c r="B1999" i="4"/>
  <c r="C1999" i="4" s="1"/>
  <c r="B2002" i="4"/>
  <c r="C2002" i="4" s="1"/>
  <c r="B2016" i="4"/>
  <c r="C2016" i="4" s="1"/>
  <c r="B2011" i="4"/>
  <c r="C2011" i="4" s="1"/>
  <c r="B2023" i="4"/>
  <c r="C2023" i="4" s="1"/>
  <c r="B2035" i="4"/>
  <c r="C2035" i="4" s="1"/>
  <c r="B2029" i="4"/>
  <c r="C2029" i="4" s="1"/>
  <c r="B2040" i="4"/>
  <c r="C2040" i="4" s="1"/>
  <c r="B2044" i="4"/>
  <c r="C2044" i="4" s="1"/>
  <c r="B2046" i="4"/>
  <c r="C2046" i="4" s="1"/>
  <c r="B2052" i="4"/>
  <c r="C2052" i="4" s="1"/>
  <c r="B2061" i="4"/>
  <c r="C2061" i="4" s="1"/>
  <c r="B2053" i="4"/>
  <c r="C2053" i="4" s="1"/>
  <c r="B2068" i="4"/>
  <c r="C2068" i="4" s="1"/>
  <c r="B2072" i="4"/>
  <c r="C2072" i="4" s="1"/>
  <c r="B2075" i="4"/>
  <c r="C2075" i="4" s="1"/>
  <c r="B2062" i="4"/>
  <c r="C2062" i="4" s="1"/>
  <c r="B2079" i="4"/>
  <c r="C2079" i="4" s="1"/>
  <c r="B2078" i="4"/>
  <c r="C2078" i="4" s="1"/>
  <c r="B2088" i="4"/>
  <c r="C2088" i="4" s="1"/>
  <c r="B2101" i="4"/>
  <c r="C2101" i="4" s="1"/>
  <c r="B2094" i="4"/>
  <c r="C2094" i="4" s="1"/>
  <c r="B2100" i="4"/>
  <c r="C2100" i="4" s="1"/>
  <c r="B2" i="4"/>
  <c r="C2" i="4" s="1"/>
  <c r="B12" i="4"/>
  <c r="C12" i="4" s="1"/>
  <c r="B2107" i="4"/>
  <c r="C2107" i="4" s="1"/>
  <c r="B2111" i="4"/>
  <c r="C2111" i="4" s="1"/>
  <c r="B17" i="4"/>
  <c r="C17" i="4" s="1"/>
  <c r="B39" i="4"/>
  <c r="C39" i="4" s="1"/>
  <c r="B30" i="4"/>
  <c r="C30" i="4" s="1"/>
  <c r="B58" i="4"/>
  <c r="C58" i="4" s="1"/>
  <c r="B1694" i="4"/>
  <c r="C1694" i="4" s="1"/>
  <c r="B44" i="4"/>
  <c r="C44" i="4" s="1"/>
  <c r="B1717" i="4"/>
  <c r="C1717" i="4" s="1"/>
  <c r="B1708" i="4"/>
  <c r="C1708" i="4" s="1"/>
  <c r="B1728" i="4"/>
  <c r="C1728" i="4" s="1"/>
  <c r="B1709" i="4"/>
  <c r="C1709" i="4" s="1"/>
  <c r="B1699" i="4"/>
  <c r="C1699" i="4" s="1"/>
  <c r="B1740" i="4"/>
  <c r="C1740" i="4" s="1"/>
  <c r="B1742" i="4"/>
  <c r="C1742" i="4" s="1"/>
  <c r="B1755" i="4"/>
  <c r="C1755" i="4" s="1"/>
  <c r="B1760" i="4"/>
  <c r="C1760" i="4" s="1"/>
  <c r="B1759" i="4"/>
  <c r="C1759" i="4" s="1"/>
  <c r="B1766" i="4"/>
  <c r="C1766" i="4" s="1"/>
  <c r="B1774" i="4"/>
  <c r="C1774" i="4" s="1"/>
  <c r="B1789" i="4"/>
  <c r="C1789" i="4" s="1"/>
  <c r="B1777" i="4"/>
  <c r="C1777" i="4" s="1"/>
  <c r="B1788" i="4"/>
  <c r="C1788" i="4" s="1"/>
  <c r="B1806" i="4"/>
  <c r="C1806" i="4" s="1"/>
  <c r="B1795" i="4"/>
  <c r="C1795" i="4" s="1"/>
  <c r="B1580" i="4"/>
  <c r="B1805" i="4"/>
  <c r="C1805" i="4" s="1"/>
  <c r="B1591" i="4"/>
  <c r="C1591" i="4" s="1"/>
  <c r="B1585" i="4"/>
  <c r="C1585" i="4" s="1"/>
  <c r="B1017" i="4"/>
  <c r="C1017" i="4" s="1"/>
  <c r="B1013" i="4"/>
  <c r="C1013" i="4" s="1"/>
  <c r="B1029" i="4"/>
  <c r="C1029" i="4" s="1"/>
  <c r="B1001" i="4"/>
  <c r="C1001" i="4" s="1"/>
  <c r="B1061" i="4"/>
  <c r="C1061" i="4" s="1"/>
  <c r="B1062" i="4"/>
  <c r="C1062" i="4" s="1"/>
  <c r="B1041" i="4"/>
  <c r="C1041" i="4" s="1"/>
  <c r="B1046" i="4"/>
  <c r="C1046" i="4" s="1"/>
  <c r="B1066" i="4"/>
  <c r="C1066" i="4" s="1"/>
  <c r="B1078" i="4"/>
  <c r="C1078" i="4" s="1"/>
  <c r="B1095" i="4"/>
  <c r="C1095" i="4" s="1"/>
  <c r="B1079" i="4"/>
  <c r="C1079" i="4" s="1"/>
  <c r="B1097" i="4"/>
  <c r="C1097" i="4" s="1"/>
  <c r="B1102" i="4"/>
  <c r="C1102" i="4" s="1"/>
  <c r="B1107" i="4"/>
  <c r="C1107" i="4" s="1"/>
  <c r="B1145" i="4"/>
  <c r="C1145" i="4" s="1"/>
  <c r="B1136" i="4"/>
  <c r="C1136" i="4" s="1"/>
  <c r="B1153" i="4"/>
  <c r="C1153" i="4" s="1"/>
  <c r="B1127" i="4"/>
  <c r="C1127" i="4" s="1"/>
  <c r="B1147" i="4"/>
  <c r="C1147" i="4" s="1"/>
  <c r="B1159" i="4"/>
  <c r="C1159" i="4" s="1"/>
  <c r="B1160" i="4"/>
  <c r="C1160" i="4" s="1"/>
  <c r="B1168" i="4"/>
  <c r="C1168" i="4" s="1"/>
  <c r="B1163" i="4"/>
  <c r="C1163" i="4" s="1"/>
  <c r="B1167" i="4"/>
  <c r="C1167" i="4" s="1"/>
  <c r="B1177" i="4"/>
  <c r="C1177" i="4" s="1"/>
  <c r="B1176" i="4"/>
  <c r="C1176" i="4" s="1"/>
  <c r="B1188" i="4"/>
  <c r="C1188" i="4" s="1"/>
  <c r="B1186" i="4"/>
  <c r="C1186" i="4" s="1"/>
  <c r="B1198" i="4"/>
  <c r="C1198" i="4" s="1"/>
  <c r="B1187" i="4"/>
  <c r="C1187" i="4" s="1"/>
  <c r="B1208" i="4"/>
  <c r="C1208" i="4" s="1"/>
  <c r="B1227" i="4"/>
  <c r="C1227" i="4" s="1"/>
  <c r="B1220" i="4"/>
  <c r="C1220" i="4" s="1"/>
  <c r="B1196" i="4"/>
  <c r="C1196" i="4" s="1"/>
  <c r="B1197" i="4"/>
  <c r="C1197" i="4" s="1"/>
  <c r="B1223" i="4"/>
  <c r="C1223" i="4" s="1"/>
  <c r="B1213" i="4"/>
  <c r="C1213" i="4" s="1"/>
  <c r="B1240" i="4"/>
  <c r="C1240" i="4" s="1"/>
  <c r="B1229" i="4"/>
  <c r="C1229" i="4" s="1"/>
  <c r="B1232" i="4"/>
  <c r="C1232" i="4" s="1"/>
  <c r="B1239" i="4"/>
  <c r="C1239" i="4" s="1"/>
  <c r="B1255" i="4"/>
  <c r="C1255" i="4" s="1"/>
  <c r="B1242" i="4"/>
  <c r="C1242" i="4" s="1"/>
  <c r="B1244" i="4"/>
  <c r="C1244" i="4" s="1"/>
  <c r="B1253" i="4"/>
  <c r="C1253" i="4" s="1"/>
  <c r="B1254" i="4"/>
  <c r="C1254" i="4" s="1"/>
  <c r="B1263" i="4"/>
  <c r="C1263" i="4" s="1"/>
  <c r="B1259" i="4"/>
  <c r="C1259" i="4" s="1"/>
  <c r="B1271" i="4"/>
  <c r="C1271" i="4" s="1"/>
  <c r="B1288" i="4"/>
  <c r="C1288" i="4" s="1"/>
  <c r="B1282" i="4"/>
  <c r="C1282" i="4" s="1"/>
  <c r="B1283" i="4"/>
  <c r="C1283" i="4" s="1"/>
  <c r="B1304" i="4"/>
  <c r="C1304" i="4" s="1"/>
  <c r="B1292" i="4"/>
  <c r="C1292" i="4" s="1"/>
  <c r="B1299" i="4"/>
  <c r="C1299" i="4" s="1"/>
  <c r="B1955" i="4"/>
  <c r="C1955" i="4" s="1"/>
  <c r="B1302" i="4"/>
  <c r="C1302" i="4" s="1"/>
  <c r="B1959" i="4"/>
  <c r="C1959" i="4" s="1"/>
  <c r="B1991" i="4"/>
  <c r="C1991" i="4" s="1"/>
  <c r="B1965" i="4"/>
  <c r="C1965" i="4" s="1"/>
  <c r="B1971" i="4"/>
  <c r="C1971" i="4" s="1"/>
  <c r="B1962" i="4"/>
  <c r="C1962" i="4" s="1"/>
  <c r="B1978" i="4"/>
  <c r="C1978" i="4" s="1"/>
  <c r="B1988" i="4"/>
  <c r="C1988" i="4" s="1"/>
  <c r="B2009" i="4"/>
  <c r="C2009" i="4" s="1"/>
  <c r="B1990" i="4"/>
  <c r="C1990" i="4" s="1"/>
  <c r="B2001" i="4"/>
  <c r="C2001" i="4" s="1"/>
  <c r="B2015" i="4"/>
  <c r="C2015" i="4" s="1"/>
  <c r="B2020" i="4"/>
  <c r="C2020" i="4" s="1"/>
  <c r="B2014" i="4"/>
  <c r="C2014" i="4" s="1"/>
  <c r="B2008" i="4"/>
  <c r="C2008" i="4" s="1"/>
  <c r="B2021" i="4"/>
  <c r="C2021" i="4" s="1"/>
  <c r="B2045" i="4"/>
  <c r="C2045" i="4" s="1"/>
  <c r="B2039" i="4"/>
  <c r="C2039" i="4" s="1"/>
  <c r="B2030" i="4"/>
  <c r="C2030" i="4" s="1"/>
  <c r="B2038" i="4"/>
  <c r="C2038" i="4" s="1"/>
  <c r="B2041" i="4"/>
  <c r="C2041" i="4" s="1"/>
  <c r="B2050" i="4"/>
  <c r="C2050" i="4" s="1"/>
  <c r="B2055" i="4"/>
  <c r="C2055" i="4" s="1"/>
  <c r="B2065" i="4"/>
  <c r="C2065" i="4" s="1"/>
  <c r="B2070" i="4"/>
  <c r="C2070" i="4" s="1"/>
  <c r="B2064" i="4"/>
  <c r="C2064" i="4" s="1"/>
  <c r="B2076" i="4"/>
  <c r="C2076" i="4" s="1"/>
  <c r="B2089" i="4"/>
  <c r="C2089" i="4" s="1"/>
  <c r="B2080" i="4"/>
  <c r="C2080" i="4" s="1"/>
  <c r="B2087" i="4"/>
  <c r="C2087" i="4" s="1"/>
  <c r="B2083" i="4"/>
  <c r="C2083" i="4" s="1"/>
  <c r="B2103" i="4"/>
  <c r="C2103" i="4" s="1"/>
  <c r="B2086" i="4"/>
  <c r="C2086" i="4" s="1"/>
  <c r="B2106" i="4"/>
  <c r="C2106" i="4" s="1"/>
  <c r="B8" i="4"/>
  <c r="C8" i="4" s="1"/>
  <c r="B2099" i="4"/>
  <c r="C2099" i="4" s="1"/>
  <c r="B2093" i="4"/>
  <c r="C2093" i="4" s="1"/>
  <c r="B6" i="4"/>
  <c r="C6" i="4" s="1"/>
  <c r="B3" i="4"/>
  <c r="C3" i="4" s="1"/>
  <c r="B20" i="4"/>
  <c r="C20" i="4" s="1"/>
  <c r="B29" i="4"/>
  <c r="C29" i="4" s="1"/>
  <c r="B23" i="4"/>
  <c r="C23" i="4" s="1"/>
  <c r="B41" i="4"/>
  <c r="C41" i="4" s="1"/>
  <c r="B26" i="4"/>
  <c r="C26" i="4" s="1"/>
  <c r="B34" i="4"/>
  <c r="C34" i="4" s="1"/>
  <c r="B38" i="4"/>
  <c r="C38" i="4" s="1"/>
  <c r="B51" i="4"/>
  <c r="C51" i="4" s="1"/>
  <c r="B45" i="4"/>
  <c r="C45" i="4" s="1"/>
  <c r="B55" i="4"/>
  <c r="C55" i="4" s="1"/>
  <c r="B60" i="4"/>
  <c r="C60" i="4" s="1"/>
  <c r="B1689" i="4"/>
  <c r="C1689" i="4" s="1"/>
  <c r="B1715" i="4"/>
  <c r="C1715" i="4" s="1"/>
  <c r="B1700" i="4"/>
  <c r="C1700" i="4" s="1"/>
  <c r="B1727" i="4"/>
  <c r="C1727" i="4" s="1"/>
  <c r="B1692" i="4"/>
  <c r="C1692" i="4" s="1"/>
  <c r="B1705" i="4"/>
  <c r="C1705" i="4" s="1"/>
  <c r="B1718" i="4"/>
  <c r="C1718" i="4" s="1"/>
  <c r="B1726" i="4"/>
  <c r="C1726" i="4" s="1"/>
  <c r="B1703" i="4"/>
  <c r="C1703" i="4" s="1"/>
  <c r="B1713" i="4"/>
  <c r="C1713" i="4" s="1"/>
  <c r="B1733" i="4"/>
  <c r="C1733" i="4" s="1"/>
  <c r="B1739" i="4"/>
  <c r="C1739" i="4" s="1"/>
  <c r="B1743" i="4"/>
  <c r="C1743" i="4" s="1"/>
  <c r="B1731" i="4"/>
  <c r="C1731" i="4" s="1"/>
  <c r="B1750" i="4"/>
  <c r="C1750" i="4" s="1"/>
  <c r="B1747" i="4"/>
  <c r="C1747" i="4" s="1"/>
  <c r="B1756" i="4"/>
  <c r="C1756" i="4" s="1"/>
  <c r="B1758" i="4"/>
  <c r="C1758" i="4" s="1"/>
  <c r="B1763" i="4"/>
  <c r="C1763" i="4" s="1"/>
  <c r="B1771" i="4"/>
  <c r="C1771" i="4" s="1"/>
  <c r="B1754" i="4"/>
  <c r="C1754" i="4" s="1"/>
  <c r="B1762" i="4"/>
  <c r="C1762" i="4" s="1"/>
  <c r="B1770" i="4"/>
  <c r="C1770" i="4" s="1"/>
  <c r="B1768" i="4"/>
  <c r="C1768" i="4" s="1"/>
  <c r="B1772" i="4"/>
  <c r="C1772" i="4" s="1"/>
  <c r="B1780" i="4"/>
  <c r="C1780" i="4" s="1"/>
  <c r="B1794" i="4"/>
  <c r="C1794" i="4" s="1"/>
  <c r="B1784" i="4"/>
  <c r="C1784" i="4" s="1"/>
  <c r="B1799" i="4"/>
  <c r="C1799" i="4" s="1"/>
  <c r="B1812" i="4"/>
  <c r="C1812" i="4" s="1"/>
  <c r="B1786" i="4"/>
  <c r="C1786" i="4" s="1"/>
  <c r="B1305" i="4"/>
  <c r="C1305" i="4" s="1"/>
  <c r="B1803" i="4"/>
  <c r="C1803" i="4" s="1"/>
  <c r="B1790" i="4"/>
  <c r="C1790" i="4" s="1"/>
  <c r="B1797" i="4"/>
  <c r="C1797" i="4" s="1"/>
  <c r="B1814" i="4"/>
  <c r="C1814" i="4" s="1"/>
  <c r="B1817" i="4"/>
  <c r="C1817" i="4" s="1"/>
  <c r="B1809" i="4"/>
  <c r="C1809" i="4" s="1"/>
  <c r="B1312" i="4"/>
  <c r="C1312" i="4" s="1"/>
  <c r="B1313" i="4"/>
  <c r="C1313" i="4" s="1"/>
  <c r="B1333" i="4"/>
  <c r="C1333" i="4" s="1"/>
  <c r="B1322" i="4"/>
  <c r="C1322" i="4" s="1"/>
  <c r="B1323" i="4"/>
  <c r="C1323" i="4" s="1"/>
  <c r="B1340" i="4"/>
  <c r="C1340" i="4" s="1"/>
  <c r="B1321" i="4"/>
  <c r="C1321" i="4" s="1"/>
  <c r="B1338" i="4"/>
  <c r="C1338" i="4" s="1"/>
  <c r="B1315" i="4"/>
  <c r="C1315" i="4" s="1"/>
  <c r="B1353" i="4"/>
  <c r="C1353" i="4" s="1"/>
  <c r="B1604" i="4"/>
  <c r="C1604" i="4" s="1"/>
  <c r="B1345" i="4"/>
  <c r="C1345" i="4" s="1"/>
  <c r="B1603" i="4"/>
  <c r="C1603" i="4" s="1"/>
  <c r="B1600" i="4"/>
  <c r="C1600" i="4" s="1"/>
  <c r="B1593" i="4"/>
  <c r="C1593" i="4" s="1"/>
  <c r="B1629" i="4"/>
  <c r="C1629" i="4" s="1"/>
  <c r="B1344" i="4"/>
  <c r="C1344" i="4" s="1"/>
  <c r="B1621" i="4"/>
  <c r="C1621" i="4" s="1"/>
  <c r="B1617" i="4"/>
  <c r="C1617" i="4" s="1"/>
  <c r="B1614" i="4"/>
  <c r="C1614" i="4" s="1"/>
  <c r="B1626" i="4"/>
  <c r="C1626" i="4" s="1"/>
  <c r="B1635" i="4"/>
  <c r="C1635" i="4" s="1"/>
  <c r="B1640" i="4"/>
  <c r="C1640" i="4" s="1"/>
  <c r="B1655" i="4"/>
  <c r="C1655" i="4" s="1"/>
  <c r="B1665" i="4"/>
  <c r="C1665" i="4" s="1"/>
  <c r="B1647" i="4"/>
  <c r="C1647" i="4" s="1"/>
  <c r="B1653" i="4"/>
  <c r="C1653" i="4" s="1"/>
  <c r="B1664" i="4"/>
  <c r="C1664" i="4" s="1"/>
  <c r="B1658" i="4"/>
  <c r="C1658" i="4" s="1"/>
  <c r="B1669" i="4"/>
  <c r="C1669" i="4" s="1"/>
  <c r="B1674" i="4"/>
  <c r="C1674" i="4" s="1"/>
  <c r="B1680" i="4"/>
  <c r="C1680" i="4" s="1"/>
  <c r="B1696" i="4"/>
  <c r="C1696" i="4" s="1"/>
  <c r="B1677" i="4"/>
  <c r="C1677" i="4" s="1"/>
  <c r="B1678" i="4"/>
  <c r="C1678" i="4" s="1"/>
  <c r="B1716" i="4"/>
  <c r="C1716" i="4" s="1"/>
  <c r="B1722" i="4"/>
  <c r="C1722" i="4" s="1"/>
  <c r="B1702" i="4"/>
  <c r="C1702" i="4" s="1"/>
  <c r="B1707" i="4"/>
  <c r="C1707" i="4" s="1"/>
  <c r="B1741" i="4"/>
  <c r="C1741" i="4" s="1"/>
  <c r="B1745" i="4"/>
  <c r="C1745" i="4" s="1"/>
  <c r="B1735" i="4"/>
  <c r="C1735" i="4" s="1"/>
  <c r="B1764" i="4"/>
  <c r="C1764" i="4" s="1"/>
  <c r="B1752" i="4"/>
  <c r="C1752" i="4" s="1"/>
  <c r="B11" i="4"/>
  <c r="C11" i="4" s="1"/>
  <c r="B1779" i="4"/>
  <c r="C1779" i="4" s="1"/>
  <c r="B18" i="4"/>
  <c r="C18" i="4" s="1"/>
  <c r="B36" i="4"/>
  <c r="C36" i="4" s="1"/>
  <c r="B28" i="4"/>
  <c r="C28" i="4" s="1"/>
  <c r="B46" i="4"/>
  <c r="C46" i="4" s="1"/>
  <c r="B1683" i="4"/>
  <c r="C1683" i="4" s="1"/>
  <c r="B1697" i="4"/>
  <c r="C1697" i="4" s="1"/>
  <c r="B1690" i="4"/>
  <c r="C1690" i="4" s="1"/>
  <c r="B1710" i="4"/>
  <c r="C1710" i="4" s="1"/>
  <c r="B1725" i="4"/>
  <c r="C1725" i="4" s="1"/>
  <c r="B1734" i="4"/>
  <c r="C1734" i="4" s="1"/>
  <c r="B1720" i="4"/>
  <c r="C1720" i="4" s="1"/>
  <c r="B1765" i="4"/>
  <c r="C1765" i="4" s="1"/>
  <c r="B1730" i="4"/>
  <c r="C1730" i="4" s="1"/>
  <c r="B1748" i="4"/>
  <c r="C1748" i="4" s="1"/>
  <c r="B1753" i="4"/>
  <c r="C1753" i="4" s="1"/>
  <c r="B1773" i="4"/>
  <c r="C1773" i="4" s="1"/>
  <c r="B1767" i="4"/>
  <c r="C1767" i="4" s="1"/>
  <c r="B1791" i="4"/>
  <c r="C1791" i="4" s="1"/>
  <c r="B1776" i="4"/>
  <c r="C1776" i="4" s="1"/>
  <c r="B1783" i="4"/>
  <c r="C1783" i="4" s="1"/>
  <c r="B1818" i="4"/>
  <c r="C1818" i="4" s="1"/>
  <c r="B1807" i="4"/>
  <c r="C1807" i="4" s="1"/>
  <c r="B1808" i="4"/>
  <c r="C1808" i="4" s="1"/>
  <c r="B1586" i="4"/>
  <c r="C1586" i="4" s="1"/>
  <c r="B1584" i="4"/>
  <c r="C1584" i="4" s="1"/>
  <c r="B1821" i="4"/>
  <c r="C1821" i="4" s="1"/>
  <c r="B1031" i="4"/>
  <c r="C1031" i="4" s="1"/>
  <c r="B1016" i="4"/>
  <c r="C1016" i="4" s="1"/>
  <c r="B1587" i="4"/>
  <c r="C1587" i="4" s="1"/>
  <c r="B1026" i="4"/>
  <c r="C1026" i="4" s="1"/>
  <c r="B1007" i="4"/>
  <c r="C1007" i="4" s="1"/>
  <c r="B1034" i="4"/>
  <c r="C1034" i="4" s="1"/>
  <c r="B1058" i="4"/>
  <c r="C1058" i="4" s="1"/>
  <c r="B1052" i="4"/>
  <c r="C1052" i="4" s="1"/>
  <c r="B1069" i="4"/>
  <c r="C1069" i="4" s="1"/>
  <c r="B1068" i="4"/>
  <c r="C1068" i="4" s="1"/>
  <c r="B1082" i="4"/>
  <c r="C1082" i="4" s="1"/>
  <c r="B1087" i="4"/>
  <c r="C1087" i="4" s="1"/>
  <c r="B1101" i="4"/>
  <c r="C1101" i="4" s="1"/>
  <c r="B1116" i="4"/>
  <c r="C1116" i="4" s="1"/>
  <c r="B1121" i="4"/>
  <c r="C1121" i="4" s="1"/>
  <c r="B1109" i="4"/>
  <c r="C1109" i="4" s="1"/>
  <c r="B1114" i="4"/>
  <c r="C1114" i="4" s="1"/>
  <c r="B1132" i="4"/>
  <c r="C1132" i="4" s="1"/>
  <c r="V60" i="1" s="1"/>
  <c r="P50" i="2" s="1"/>
  <c r="B1793" i="4"/>
  <c r="C1793" i="4" s="1"/>
  <c r="B1148" i="4"/>
  <c r="B1852" i="4"/>
  <c r="C1852" i="4" s="1"/>
  <c r="B1785" i="4"/>
  <c r="C1785" i="4" s="1"/>
  <c r="B1828" i="4"/>
  <c r="C1828" i="4" s="1"/>
  <c r="B1836" i="4"/>
  <c r="C1836" i="4" s="1"/>
  <c r="B1829" i="4"/>
  <c r="C1829" i="4" s="1"/>
  <c r="B1874" i="4"/>
  <c r="C1874" i="4" s="1"/>
  <c r="B1810" i="4"/>
  <c r="C1810" i="4" s="1"/>
  <c r="B1853" i="4"/>
  <c r="C1853" i="4" s="1"/>
  <c r="B1881" i="4"/>
  <c r="C1881" i="4" s="1"/>
  <c r="B1801" i="4"/>
  <c r="C1801" i="4" s="1"/>
  <c r="B1886" i="4"/>
  <c r="C1886" i="4" s="1"/>
  <c r="B1917" i="4"/>
  <c r="C1917" i="4" s="1"/>
  <c r="B1908" i="4"/>
  <c r="C1908" i="4" s="1"/>
  <c r="B1904" i="4"/>
  <c r="C1904" i="4" s="1"/>
  <c r="B1590" i="4"/>
  <c r="C1590" i="4" s="1"/>
  <c r="B1934" i="4"/>
  <c r="C1934" i="4" s="1"/>
  <c r="B1596" i="4"/>
  <c r="C1596" i="4" s="1"/>
  <c r="B1592" i="4"/>
  <c r="C1592" i="4" s="1"/>
  <c r="B1597" i="4"/>
  <c r="C1597" i="4" s="1"/>
  <c r="B1618" i="4"/>
  <c r="C1618" i="4" s="1"/>
  <c r="B1622" i="4"/>
  <c r="C1622" i="4" s="1"/>
  <c r="B1619" i="4"/>
  <c r="C1619" i="4" s="1"/>
  <c r="B1634" i="4"/>
  <c r="C1634" i="4" s="1"/>
  <c r="B1642" i="4"/>
  <c r="C1642" i="4" s="1"/>
  <c r="B1627" i="4"/>
  <c r="C1627" i="4" s="1"/>
  <c r="B1631" i="4"/>
  <c r="C1631" i="4" s="1"/>
  <c r="B1639" i="4"/>
  <c r="C1639" i="4" s="1"/>
  <c r="B1641" i="4"/>
  <c r="C1641" i="4" s="1"/>
  <c r="B1651" i="4"/>
  <c r="C1651" i="4" s="1"/>
  <c r="B1646" i="4"/>
  <c r="C1646" i="4" s="1"/>
  <c r="B1661" i="4"/>
  <c r="C1661" i="4" s="1"/>
  <c r="B1672" i="4"/>
  <c r="C1672" i="4" s="1"/>
  <c r="B1660" i="4"/>
  <c r="C1660" i="4" s="1"/>
  <c r="B1668" i="4"/>
  <c r="C1668" i="4" s="1"/>
  <c r="B1691" i="4"/>
  <c r="C1691" i="4" s="1"/>
  <c r="B1679" i="4"/>
  <c r="C1679" i="4" s="1"/>
  <c r="B1670" i="4"/>
  <c r="C1670" i="4" s="1"/>
  <c r="B1704" i="4"/>
  <c r="C1704" i="4" s="1"/>
  <c r="B1681" i="4"/>
  <c r="C1681" i="4" s="1"/>
  <c r="B1701" i="4"/>
  <c r="C1701" i="4" s="1"/>
  <c r="B1721" i="4"/>
  <c r="C1721" i="4" s="1"/>
  <c r="B1738" i="4"/>
  <c r="C1738" i="4" s="1"/>
  <c r="B1732" i="4"/>
  <c r="C1732" i="4" s="1"/>
  <c r="B1761" i="4"/>
  <c r="C1761" i="4" s="1"/>
  <c r="B1736" i="4"/>
  <c r="C1736" i="4" s="1"/>
  <c r="B1751" i="4"/>
  <c r="C1751" i="4" s="1"/>
  <c r="B1481" i="4"/>
  <c r="C1481" i="4" s="1"/>
  <c r="B1781" i="4"/>
  <c r="C1781" i="4" s="1"/>
  <c r="B1796" i="4"/>
  <c r="C1796" i="4" s="1"/>
  <c r="B1815" i="4"/>
  <c r="C1815" i="4" s="1"/>
  <c r="B1775" i="4"/>
  <c r="C1775" i="4" s="1"/>
  <c r="B1804" i="4"/>
  <c r="C1804" i="4" s="1"/>
  <c r="B1830" i="4"/>
  <c r="C1830" i="4" s="1"/>
  <c r="B1825" i="4"/>
  <c r="C1825" i="4" s="1"/>
  <c r="B1867" i="4"/>
  <c r="C1867" i="4" s="1"/>
  <c r="B1850" i="4"/>
  <c r="C1850" i="4" s="1"/>
  <c r="B1857" i="4"/>
  <c r="C1857" i="4" s="1"/>
  <c r="B1893" i="4"/>
  <c r="C1893" i="4" s="1"/>
  <c r="B1866" i="4"/>
  <c r="C1866" i="4" s="1"/>
  <c r="B1885" i="4"/>
  <c r="C1885" i="4" s="1"/>
  <c r="B1897" i="4"/>
  <c r="C1897" i="4" s="1"/>
  <c r="B1913" i="4"/>
  <c r="C1913" i="4" s="1"/>
  <c r="B1930" i="4"/>
  <c r="C1930" i="4" s="1"/>
  <c r="B1819" i="4"/>
  <c r="C1819" i="4" s="1"/>
  <c r="B1827" i="4"/>
  <c r="C1827" i="4" s="1"/>
  <c r="B1925" i="4"/>
  <c r="C1925" i="4" s="1"/>
  <c r="B1833" i="4"/>
  <c r="C1833" i="4" s="1"/>
  <c r="B1835" i="4"/>
  <c r="C1835" i="4" s="1"/>
  <c r="B1932" i="4"/>
  <c r="C1932" i="4" s="1"/>
  <c r="B1838" i="4"/>
  <c r="C1838" i="4" s="1"/>
  <c r="B1823" i="4"/>
  <c r="C1823" i="4" s="1"/>
  <c r="B1820" i="4"/>
  <c r="C1820" i="4" s="1"/>
  <c r="B1832" i="4"/>
  <c r="C1832" i="4" s="1"/>
  <c r="B1824" i="4"/>
  <c r="C1824" i="4" s="1"/>
  <c r="B1839" i="4"/>
  <c r="C1839" i="4" s="1"/>
  <c r="B1842" i="4"/>
  <c r="C1842" i="4" s="1"/>
  <c r="B1845" i="4"/>
  <c r="C1845" i="4" s="1"/>
  <c r="B1841" i="4"/>
  <c r="C1841" i="4" s="1"/>
  <c r="B1849" i="4"/>
  <c r="C1849" i="4" s="1"/>
  <c r="B1840" i="4"/>
  <c r="C1840" i="4" s="1"/>
  <c r="B1848" i="4"/>
  <c r="C1848" i="4" s="1"/>
  <c r="B1858" i="4"/>
  <c r="C1858" i="4" s="1"/>
  <c r="B1861" i="4"/>
  <c r="C1861" i="4" s="1"/>
  <c r="B1855" i="4"/>
  <c r="C1855" i="4" s="1"/>
  <c r="B1844" i="4"/>
  <c r="C1844" i="4" s="1"/>
  <c r="B1871" i="4"/>
  <c r="C1871" i="4" s="1"/>
  <c r="B1851" i="4"/>
  <c r="C1851" i="4" s="1"/>
  <c r="B1854" i="4"/>
  <c r="C1854" i="4" s="1"/>
  <c r="B1863" i="4"/>
  <c r="C1863" i="4" s="1"/>
  <c r="B1860" i="4"/>
  <c r="C1860" i="4" s="1"/>
  <c r="B1859" i="4"/>
  <c r="C1859" i="4" s="1"/>
  <c r="B1869" i="4"/>
  <c r="C1869" i="4" s="1"/>
  <c r="B1868" i="4"/>
  <c r="C1868" i="4" s="1"/>
  <c r="B1862" i="4"/>
  <c r="C1862" i="4" s="1"/>
  <c r="B1870" i="4"/>
  <c r="C1870" i="4" s="1"/>
  <c r="B1876" i="4"/>
  <c r="C1876" i="4" s="1"/>
  <c r="B1856" i="4"/>
  <c r="C1856" i="4" s="1"/>
  <c r="B1872" i="4"/>
  <c r="C1872" i="4" s="1"/>
  <c r="B1882" i="4"/>
  <c r="C1882" i="4" s="1"/>
  <c r="B1877" i="4"/>
  <c r="C1877" i="4" s="1"/>
  <c r="B1878" i="4"/>
  <c r="C1878" i="4" s="1"/>
  <c r="B1887" i="4"/>
  <c r="C1887" i="4" s="1"/>
  <c r="B1873" i="4"/>
  <c r="C1873" i="4" s="1"/>
  <c r="B1888" i="4"/>
  <c r="C1888" i="4" s="1"/>
  <c r="B1889" i="4"/>
  <c r="C1889" i="4" s="1"/>
  <c r="B1891" i="4"/>
  <c r="C1891" i="4" s="1"/>
  <c r="B1890" i="4"/>
  <c r="C1890" i="4" s="1"/>
  <c r="B1898" i="4"/>
  <c r="C1898" i="4" s="1"/>
  <c r="B1892" i="4"/>
  <c r="C1892" i="4" s="1"/>
  <c r="B1902" i="4"/>
  <c r="C1902" i="4" s="1"/>
  <c r="B1903" i="4"/>
  <c r="C1903" i="4" s="1"/>
  <c r="B1895" i="4"/>
  <c r="C1895" i="4" s="1"/>
  <c r="B1906" i="4"/>
  <c r="C1906" i="4" s="1"/>
  <c r="B1899" i="4"/>
  <c r="C1899" i="4" s="1"/>
  <c r="B1894" i="4"/>
  <c r="C1894" i="4" s="1"/>
  <c r="B1901" i="4"/>
  <c r="C1901" i="4" s="1"/>
  <c r="B1905" i="4"/>
  <c r="C1905" i="4" s="1"/>
  <c r="B1921" i="4"/>
  <c r="C1921" i="4" s="1"/>
  <c r="B1919" i="4"/>
  <c r="C1919" i="4" s="1"/>
  <c r="B1911" i="4"/>
  <c r="C1911" i="4" s="1"/>
  <c r="B1920" i="4"/>
  <c r="C1920" i="4" s="1"/>
  <c r="B1907" i="4"/>
  <c r="C1907" i="4" s="1"/>
  <c r="B1916" i="4"/>
  <c r="C1916" i="4" s="1"/>
  <c r="B1922" i="4"/>
  <c r="C1922" i="4" s="1"/>
  <c r="B1910" i="4"/>
  <c r="C1910" i="4" s="1"/>
  <c r="B1923" i="4"/>
  <c r="C1923" i="4" s="1"/>
  <c r="B1928" i="4"/>
  <c r="C1928" i="4" s="1"/>
  <c r="B1936" i="4"/>
  <c r="C1936" i="4" s="1"/>
  <c r="B1941" i="4"/>
  <c r="C1941" i="4" s="1"/>
  <c r="B1929" i="4"/>
  <c r="C1929" i="4" s="1"/>
  <c r="B1937" i="4"/>
  <c r="C1937" i="4" s="1"/>
  <c r="B1944" i="4"/>
  <c r="C1944" i="4" s="1"/>
  <c r="B1924" i="4"/>
  <c r="C1924" i="4" s="1"/>
  <c r="B1927" i="4"/>
  <c r="C1927" i="4" s="1"/>
  <c r="B1935" i="4"/>
  <c r="C1935" i="4" s="1"/>
  <c r="B1947" i="4"/>
  <c r="C1947" i="4" s="1"/>
  <c r="B1945" i="4"/>
  <c r="C1945" i="4" s="1"/>
  <c r="B1943" i="4"/>
  <c r="C1943" i="4" s="1"/>
  <c r="B1942" i="4"/>
  <c r="C1942" i="4" s="1"/>
  <c r="B1951" i="4"/>
  <c r="C1951" i="4" s="1"/>
  <c r="B1956" i="4"/>
  <c r="C1956" i="4" s="1"/>
  <c r="B1950" i="4"/>
  <c r="C1950" i="4" s="1"/>
  <c r="B1953" i="4"/>
  <c r="C1953" i="4" s="1"/>
  <c r="B1964" i="4"/>
  <c r="C1964" i="4" s="1"/>
  <c r="B1958" i="4"/>
  <c r="C1958" i="4" s="1"/>
  <c r="B1957" i="4"/>
  <c r="C1957" i="4" s="1"/>
  <c r="B1961" i="4"/>
  <c r="C1961" i="4" s="1"/>
  <c r="B1963" i="4"/>
  <c r="C1963" i="4" s="1"/>
  <c r="B1966" i="4"/>
  <c r="C1966" i="4" s="1"/>
  <c r="B1977" i="4"/>
  <c r="C1977" i="4" s="1"/>
  <c r="B1968" i="4"/>
  <c r="C1968" i="4" s="1"/>
  <c r="B1970" i="4"/>
  <c r="C1970" i="4" s="1"/>
  <c r="B1972" i="4"/>
  <c r="C1972" i="4" s="1"/>
  <c r="B1975" i="4"/>
  <c r="C1975" i="4" s="1"/>
  <c r="B1969" i="4"/>
  <c r="C1969" i="4" s="1"/>
  <c r="B1985" i="4"/>
  <c r="C1985" i="4" s="1"/>
  <c r="B1983" i="4"/>
  <c r="C1983" i="4" s="1"/>
  <c r="B1979" i="4"/>
  <c r="C1979" i="4" s="1"/>
  <c r="B1980" i="4"/>
  <c r="C1980" i="4" s="1"/>
  <c r="B1981" i="4"/>
  <c r="C1981" i="4" s="1"/>
  <c r="B1984" i="4"/>
  <c r="C1984" i="4" s="1"/>
  <c r="B1986" i="4"/>
  <c r="C1986" i="4" s="1"/>
  <c r="B1982" i="4"/>
  <c r="C1982" i="4" s="1"/>
  <c r="B1992" i="4"/>
  <c r="C1992" i="4" s="1"/>
  <c r="B1997" i="4"/>
  <c r="C1997" i="4" s="1"/>
  <c r="B1994" i="4"/>
  <c r="C1994" i="4" s="1"/>
  <c r="B2005" i="4"/>
  <c r="C2005" i="4" s="1"/>
  <c r="B2000" i="4"/>
  <c r="C2000" i="4" s="1"/>
  <c r="B1996" i="4"/>
  <c r="C1996" i="4" s="1"/>
  <c r="B2004" i="4"/>
  <c r="C2004" i="4" s="1"/>
  <c r="B2003" i="4"/>
  <c r="C2003" i="4" s="1"/>
  <c r="B1998" i="4"/>
  <c r="C1998" i="4" s="1"/>
  <c r="B2010" i="4"/>
  <c r="C2010" i="4" s="1"/>
  <c r="B2007" i="4"/>
  <c r="C2007" i="4" s="1"/>
  <c r="B2019" i="4"/>
  <c r="C2019" i="4" s="1"/>
  <c r="B2006" i="4"/>
  <c r="C2006" i="4" s="1"/>
  <c r="B2022" i="4"/>
  <c r="C2022" i="4" s="1"/>
  <c r="B2013" i="4"/>
  <c r="C2013" i="4" s="1"/>
  <c r="B2018" i="4"/>
  <c r="C2018" i="4" s="1"/>
  <c r="B2027" i="4"/>
  <c r="C2027" i="4" s="1"/>
  <c r="B2026" i="4"/>
  <c r="C2026" i="4" s="1"/>
  <c r="B2017" i="4"/>
  <c r="C2017" i="4" s="1"/>
  <c r="B2012" i="4"/>
  <c r="C2012" i="4" s="1"/>
  <c r="B2025" i="4"/>
  <c r="C2025" i="4" s="1"/>
  <c r="B2032" i="4"/>
  <c r="C2032" i="4" s="1"/>
  <c r="B2024" i="4"/>
  <c r="C2024" i="4" s="1"/>
  <c r="B2031" i="4"/>
  <c r="C2031" i="4" s="1"/>
  <c r="B2033" i="4"/>
  <c r="C2033" i="4" s="1"/>
  <c r="B2028" i="4"/>
  <c r="C2028" i="4" s="1"/>
  <c r="B2036" i="4"/>
  <c r="C2036" i="4" s="1"/>
  <c r="B2037" i="4"/>
  <c r="C2037" i="4" s="1"/>
  <c r="B2042" i="4"/>
  <c r="C2042" i="4" s="1"/>
  <c r="B2048" i="4"/>
  <c r="C2048" i="4" s="1"/>
  <c r="B2034" i="4"/>
  <c r="C2034" i="4" s="1"/>
  <c r="B2047" i="4"/>
  <c r="C2047" i="4" s="1"/>
  <c r="B2056" i="4"/>
  <c r="C2056" i="4" s="1"/>
  <c r="B2051" i="4"/>
  <c r="C2051" i="4" s="1"/>
  <c r="B2054" i="4"/>
  <c r="C2054" i="4" s="1"/>
  <c r="B2057" i="4"/>
  <c r="C2057" i="4" s="1"/>
  <c r="B2043" i="4"/>
  <c r="C2043" i="4" s="1"/>
  <c r="B2069" i="4"/>
  <c r="C2069" i="4" s="1"/>
  <c r="B2058" i="4"/>
  <c r="C2058" i="4" s="1"/>
  <c r="B2067" i="4"/>
  <c r="C2067" i="4" s="1"/>
  <c r="B2049" i="4"/>
  <c r="C2049" i="4" s="1"/>
  <c r="B2059" i="4"/>
  <c r="C2059" i="4" s="1"/>
  <c r="B2060" i="4"/>
  <c r="C2060" i="4" s="1"/>
  <c r="B2073" i="4"/>
  <c r="C2073" i="4" s="1"/>
  <c r="B2066" i="4"/>
  <c r="C2066" i="4" s="1"/>
  <c r="B2063" i="4"/>
  <c r="C2063" i="4" s="1"/>
  <c r="B2081" i="4"/>
  <c r="C2081" i="4" s="1"/>
  <c r="B2074" i="4"/>
  <c r="C2074" i="4" s="1"/>
  <c r="B2071" i="4"/>
  <c r="C2071" i="4" s="1"/>
  <c r="B2082" i="4"/>
  <c r="C2082" i="4" s="1"/>
  <c r="B2077" i="4"/>
  <c r="C2077" i="4" s="1"/>
  <c r="B2092" i="4"/>
  <c r="C2092" i="4" s="1"/>
  <c r="B2090" i="4"/>
  <c r="C2090" i="4" s="1"/>
  <c r="B2084" i="4"/>
  <c r="C2084" i="4" s="1"/>
  <c r="B2098" i="4"/>
  <c r="C2098" i="4" s="1"/>
  <c r="B2085" i="4"/>
  <c r="C2085" i="4" s="1"/>
  <c r="B2091" i="4"/>
  <c r="C2091" i="4" s="1"/>
  <c r="B2096" i="4"/>
  <c r="C2096" i="4" s="1"/>
  <c r="B2095" i="4"/>
  <c r="C2095" i="4" s="1"/>
  <c r="B2097" i="4"/>
  <c r="C2097" i="4" s="1"/>
  <c r="B2102" i="4"/>
  <c r="C2102" i="4" s="1"/>
  <c r="B5" i="4"/>
  <c r="C5" i="4" s="1"/>
  <c r="B2110" i="4"/>
  <c r="C2110" i="4" s="1"/>
  <c r="B2104" i="4"/>
  <c r="C2104" i="4" s="1"/>
  <c r="B2108" i="4"/>
  <c r="C2108" i="4" s="1"/>
  <c r="B7" i="4"/>
  <c r="C7" i="4" s="1"/>
  <c r="B2109" i="4"/>
  <c r="C2109" i="4" s="1"/>
  <c r="B2105" i="4"/>
  <c r="C2105" i="4" s="1"/>
  <c r="B2112" i="4"/>
  <c r="C2112" i="4" s="1"/>
  <c r="B15" i="4"/>
  <c r="C15" i="4" s="1"/>
  <c r="B9" i="4"/>
  <c r="C9" i="4" s="1"/>
  <c r="B10" i="4"/>
  <c r="C10" i="4" s="1"/>
  <c r="B14" i="4"/>
  <c r="C14" i="4" s="1"/>
  <c r="B4" i="4"/>
  <c r="C4" i="4" s="1"/>
  <c r="B16" i="4"/>
  <c r="C16" i="4" s="1"/>
  <c r="B19" i="4"/>
  <c r="C19" i="4" s="1"/>
  <c r="B13" i="4"/>
  <c r="C13" i="4" s="1"/>
  <c r="B27" i="4"/>
  <c r="C27" i="4" s="1"/>
  <c r="B21" i="4"/>
  <c r="C21" i="4" s="1"/>
  <c r="B22" i="4"/>
  <c r="C22" i="4" s="1"/>
  <c r="B32" i="4"/>
  <c r="C32" i="4" s="1"/>
  <c r="B24" i="4"/>
  <c r="C24" i="4" s="1"/>
  <c r="B40" i="4"/>
  <c r="C40" i="4" s="1"/>
  <c r="B25" i="4"/>
  <c r="C25" i="4" s="1"/>
  <c r="B43" i="4"/>
  <c r="C43" i="4" s="1"/>
  <c r="B33" i="4"/>
  <c r="C33" i="4" s="1"/>
  <c r="B31" i="4"/>
  <c r="C31" i="4" s="1"/>
  <c r="B35" i="4"/>
  <c r="C35" i="4" s="1"/>
  <c r="B37" i="4"/>
  <c r="C37" i="4" s="1"/>
  <c r="B42" i="4"/>
  <c r="C42" i="4" s="1"/>
  <c r="B48" i="4"/>
  <c r="C48" i="4" s="1"/>
  <c r="B49" i="4"/>
  <c r="C49" i="4" s="1"/>
  <c r="B47" i="4"/>
  <c r="C47" i="4" s="1"/>
  <c r="B52" i="4"/>
  <c r="C52" i="4" s="1"/>
  <c r="B53" i="4"/>
  <c r="C53" i="4" s="1"/>
  <c r="B50" i="4"/>
  <c r="C50" i="4" s="1"/>
  <c r="B59" i="4"/>
  <c r="C59" i="4" s="1"/>
  <c r="B56" i="4"/>
  <c r="C56" i="4" s="1"/>
  <c r="B57" i="4"/>
  <c r="C57" i="4" s="1"/>
  <c r="B64" i="4"/>
  <c r="C64" i="4" s="1"/>
  <c r="B54" i="4"/>
  <c r="C54" i="4" s="1"/>
  <c r="B65" i="4"/>
  <c r="C65" i="4" s="1"/>
  <c r="B63" i="4"/>
  <c r="C63" i="4" s="1"/>
  <c r="B71" i="4"/>
  <c r="C71" i="4" s="1"/>
  <c r="B62" i="4"/>
  <c r="C62" i="4" s="1"/>
  <c r="B61" i="4"/>
  <c r="C61" i="4" s="1"/>
  <c r="B67" i="4"/>
  <c r="C67" i="4" s="1"/>
  <c r="B73" i="4"/>
  <c r="C73" i="4" s="1"/>
  <c r="B68" i="4"/>
  <c r="C68" i="4" s="1"/>
  <c r="B72" i="4"/>
  <c r="C72" i="4" s="1"/>
  <c r="B70" i="4"/>
  <c r="C70" i="4" s="1"/>
  <c r="B79" i="4"/>
  <c r="C79" i="4" s="1"/>
  <c r="B75" i="4"/>
  <c r="C75" i="4" s="1"/>
  <c r="B74" i="4"/>
  <c r="C74" i="4" s="1"/>
  <c r="B66" i="4"/>
  <c r="C66" i="4" s="1"/>
  <c r="B78" i="4"/>
  <c r="C78" i="4" s="1"/>
  <c r="B69" i="4"/>
  <c r="C69" i="4" s="1"/>
  <c r="B80" i="4"/>
  <c r="C80" i="4" s="1"/>
  <c r="B76" i="4"/>
  <c r="C76" i="4" s="1"/>
  <c r="B77" i="4"/>
  <c r="C77" i="4" s="1"/>
  <c r="B82" i="4"/>
  <c r="C82" i="4" s="1"/>
  <c r="B87" i="4"/>
  <c r="C87" i="4" s="1"/>
  <c r="B81" i="4"/>
  <c r="C81" i="4" s="1"/>
  <c r="B83" i="4"/>
  <c r="C83" i="4" s="1"/>
  <c r="B84" i="4"/>
  <c r="C84" i="4" s="1"/>
  <c r="B90" i="4"/>
  <c r="C90" i="4" s="1"/>
  <c r="B85" i="4"/>
  <c r="C85" i="4" s="1"/>
  <c r="B92" i="4"/>
  <c r="C92" i="4" s="1"/>
  <c r="B88" i="4"/>
  <c r="C88" i="4" s="1"/>
  <c r="B93" i="4"/>
  <c r="C93" i="4" s="1"/>
  <c r="B94" i="4"/>
  <c r="C94" i="4" s="1"/>
  <c r="B86" i="4"/>
  <c r="C86" i="4" s="1"/>
  <c r="B91" i="4"/>
  <c r="C91" i="4" s="1"/>
  <c r="B96" i="4"/>
  <c r="C96" i="4" s="1"/>
  <c r="B97" i="4"/>
  <c r="C97" i="4" s="1"/>
  <c r="B99" i="4"/>
  <c r="C99" i="4" s="1"/>
  <c r="B89" i="4"/>
  <c r="C89" i="4" s="1"/>
  <c r="B95" i="4"/>
  <c r="C95" i="4" s="1"/>
  <c r="B105" i="4"/>
  <c r="C105" i="4" s="1"/>
  <c r="B103" i="4"/>
  <c r="C103" i="4" s="1"/>
  <c r="B106" i="4"/>
  <c r="C106" i="4" s="1"/>
  <c r="B100" i="4"/>
  <c r="C100" i="4" s="1"/>
  <c r="B101" i="4"/>
  <c r="C101" i="4" s="1"/>
  <c r="B107" i="4"/>
  <c r="C107" i="4" s="1"/>
  <c r="B114" i="4"/>
  <c r="C114" i="4" s="1"/>
  <c r="B102" i="4"/>
  <c r="C102" i="4" s="1"/>
  <c r="B104" i="4"/>
  <c r="C104" i="4" s="1"/>
  <c r="B98" i="4"/>
  <c r="C98" i="4" s="1"/>
  <c r="B111" i="4"/>
  <c r="C111" i="4" s="1"/>
  <c r="B112" i="4"/>
  <c r="C112" i="4" s="1"/>
  <c r="B109" i="4"/>
  <c r="C109" i="4" s="1"/>
  <c r="B108" i="4"/>
  <c r="C108" i="4" s="1"/>
  <c r="B113" i="4"/>
  <c r="C113" i="4" s="1"/>
  <c r="B110" i="4"/>
  <c r="C110" i="4" s="1"/>
  <c r="B119" i="4"/>
  <c r="C119" i="4" s="1"/>
  <c r="B115" i="4"/>
  <c r="C115" i="4" s="1"/>
  <c r="B117" i="4"/>
  <c r="C117" i="4" s="1"/>
  <c r="B116" i="4"/>
  <c r="C116" i="4" s="1"/>
  <c r="B118" i="4"/>
  <c r="C118" i="4" s="1"/>
  <c r="B122" i="4"/>
  <c r="C122" i="4" s="1"/>
  <c r="B128" i="4"/>
  <c r="C128" i="4" s="1"/>
  <c r="B127" i="4"/>
  <c r="C127" i="4" s="1"/>
  <c r="B124" i="4"/>
  <c r="C124" i="4" s="1"/>
  <c r="B123" i="4"/>
  <c r="C123" i="4" s="1"/>
  <c r="B120" i="4"/>
  <c r="C120" i="4" s="1"/>
  <c r="B121" i="4"/>
  <c r="C121" i="4" s="1"/>
  <c r="B129" i="4"/>
  <c r="C129" i="4" s="1"/>
  <c r="B131" i="4"/>
  <c r="C131" i="4" s="1"/>
  <c r="B125" i="4"/>
  <c r="C125" i="4" s="1"/>
  <c r="B132" i="4"/>
  <c r="C132" i="4" s="1"/>
  <c r="B126" i="4"/>
  <c r="C126" i="4" s="1"/>
  <c r="B133" i="4"/>
  <c r="C133" i="4" s="1"/>
  <c r="B135" i="4"/>
  <c r="C135" i="4" s="1"/>
  <c r="B139" i="4"/>
  <c r="C139" i="4" s="1"/>
  <c r="B130" i="4"/>
  <c r="C130" i="4" s="1"/>
  <c r="B136" i="4"/>
  <c r="C136" i="4" s="1"/>
  <c r="B134" i="4"/>
  <c r="C134" i="4" s="1"/>
  <c r="B138" i="4"/>
  <c r="C138" i="4" s="1"/>
  <c r="B142" i="4"/>
  <c r="C142" i="4" s="1"/>
  <c r="B141" i="4"/>
  <c r="C141" i="4" s="1"/>
  <c r="B143" i="4"/>
  <c r="C143" i="4" s="1"/>
  <c r="B137" i="4"/>
  <c r="C137" i="4" s="1"/>
  <c r="B140" i="4"/>
  <c r="C140" i="4" s="1"/>
  <c r="B147" i="4"/>
  <c r="C147" i="4" s="1"/>
  <c r="B149" i="4"/>
  <c r="C149" i="4" s="1"/>
  <c r="B144" i="4"/>
  <c r="C144" i="4" s="1"/>
  <c r="B146" i="4"/>
  <c r="C146" i="4" s="1"/>
  <c r="B145" i="4"/>
  <c r="C145" i="4" s="1"/>
  <c r="B154" i="4"/>
  <c r="C154" i="4" s="1"/>
  <c r="B148" i="4"/>
  <c r="C148" i="4" s="1"/>
  <c r="B151" i="4"/>
  <c r="C151" i="4" s="1"/>
  <c r="B155" i="4"/>
  <c r="C155" i="4" s="1"/>
  <c r="B152" i="4"/>
  <c r="C152" i="4" s="1"/>
  <c r="B150" i="4"/>
  <c r="C150" i="4" s="1"/>
  <c r="B161" i="4"/>
  <c r="C161" i="4" s="1"/>
  <c r="B156" i="4"/>
  <c r="C156" i="4" s="1"/>
  <c r="B158" i="4"/>
  <c r="C158" i="4" s="1"/>
  <c r="B153" i="4"/>
  <c r="C153" i="4" s="1"/>
  <c r="B164" i="4"/>
  <c r="C164" i="4" s="1"/>
  <c r="B159" i="4"/>
  <c r="C159" i="4" s="1"/>
  <c r="B163" i="4"/>
  <c r="C163" i="4" s="1"/>
  <c r="B157" i="4"/>
  <c r="C157" i="4" s="1"/>
  <c r="B168" i="4"/>
  <c r="C168" i="4" s="1"/>
  <c r="B162" i="4"/>
  <c r="C162" i="4" s="1"/>
  <c r="B165" i="4"/>
  <c r="C165" i="4" s="1"/>
  <c r="B160" i="4"/>
  <c r="C160" i="4" s="1"/>
  <c r="B174" i="4"/>
  <c r="C174" i="4" s="1"/>
  <c r="B169" i="4"/>
  <c r="C169" i="4" s="1"/>
  <c r="B167" i="4"/>
  <c r="C167" i="4" s="1"/>
  <c r="B175" i="4"/>
  <c r="C175" i="4" s="1"/>
  <c r="B173" i="4"/>
  <c r="C173" i="4" s="1"/>
  <c r="B166" i="4"/>
  <c r="C166" i="4" s="1"/>
  <c r="B171" i="4"/>
  <c r="C171" i="4" s="1"/>
  <c r="B176" i="4"/>
  <c r="C176" i="4" s="1"/>
  <c r="B170" i="4"/>
  <c r="C170" i="4" s="1"/>
  <c r="B172" i="4"/>
  <c r="C172" i="4" s="1"/>
  <c r="B182" i="4"/>
  <c r="C182" i="4" s="1"/>
  <c r="B177" i="4"/>
  <c r="C177" i="4" s="1"/>
  <c r="B179" i="4"/>
  <c r="C179" i="4" s="1"/>
  <c r="B181" i="4"/>
  <c r="C181" i="4" s="1"/>
  <c r="B180" i="4"/>
  <c r="C180" i="4" s="1"/>
  <c r="B192" i="4"/>
  <c r="C192" i="4" s="1"/>
  <c r="B178" i="4"/>
  <c r="C178" i="4" s="1"/>
  <c r="B183" i="4"/>
  <c r="C183" i="4" s="1"/>
  <c r="B187" i="4"/>
  <c r="C187" i="4" s="1"/>
  <c r="B185" i="4"/>
  <c r="C185" i="4" s="1"/>
  <c r="B184" i="4"/>
  <c r="C184" i="4" s="1"/>
  <c r="B195" i="4"/>
  <c r="C195" i="4" s="1"/>
  <c r="B188" i="4"/>
  <c r="C188" i="4" s="1"/>
  <c r="B189" i="4"/>
  <c r="C189" i="4" s="1"/>
  <c r="B194" i="4"/>
  <c r="C194" i="4" s="1"/>
  <c r="B186" i="4"/>
  <c r="C186" i="4" s="1"/>
  <c r="B190" i="4"/>
  <c r="C190" i="4" s="1"/>
  <c r="B191" i="4"/>
  <c r="C191" i="4" s="1"/>
  <c r="B198" i="4"/>
  <c r="C198" i="4" s="1"/>
  <c r="B193" i="4"/>
  <c r="C193" i="4" s="1"/>
  <c r="B201" i="4"/>
  <c r="C201" i="4" s="1"/>
  <c r="B196" i="4"/>
  <c r="C196" i="4" s="1"/>
  <c r="B202" i="4"/>
  <c r="C202" i="4" s="1"/>
  <c r="B211" i="4"/>
  <c r="C211" i="4" s="1"/>
  <c r="B197" i="4"/>
  <c r="C197" i="4" s="1"/>
  <c r="B212" i="4"/>
  <c r="C212" i="4" s="1"/>
  <c r="B199" i="4"/>
  <c r="C199" i="4" s="1"/>
  <c r="B209" i="4"/>
  <c r="C209" i="4" s="1"/>
  <c r="B204" i="4"/>
  <c r="C204" i="4" s="1"/>
  <c r="B207" i="4"/>
  <c r="C207" i="4" s="1"/>
  <c r="B200" i="4"/>
  <c r="C200" i="4" s="1"/>
  <c r="B203" i="4"/>
  <c r="C203" i="4" s="1"/>
  <c r="B206" i="4"/>
  <c r="C206" i="4" s="1"/>
  <c r="B214" i="4"/>
  <c r="C214" i="4" s="1"/>
  <c r="B208" i="4"/>
  <c r="C208" i="4" s="1"/>
  <c r="B213" i="4"/>
  <c r="C213" i="4" s="1"/>
  <c r="B215" i="4"/>
  <c r="C215" i="4" s="1"/>
  <c r="B210" i="4"/>
  <c r="C210" i="4" s="1"/>
  <c r="B205" i="4"/>
  <c r="C205" i="4" s="1"/>
  <c r="B217" i="4"/>
  <c r="C217" i="4" s="1"/>
  <c r="B216" i="4"/>
  <c r="C216" i="4" s="1"/>
  <c r="B218" i="4"/>
  <c r="C218" i="4" s="1"/>
  <c r="B220" i="4"/>
  <c r="C220" i="4" s="1"/>
  <c r="B219" i="4"/>
  <c r="C219" i="4" s="1"/>
  <c r="B223" i="4"/>
  <c r="C223" i="4" s="1"/>
  <c r="B222" i="4"/>
  <c r="C222" i="4" s="1"/>
  <c r="B221" i="4"/>
  <c r="C221" i="4" s="1"/>
  <c r="B224" i="4"/>
  <c r="C224" i="4" s="1"/>
  <c r="B232" i="4"/>
  <c r="C232" i="4" s="1"/>
  <c r="B225" i="4"/>
  <c r="C225" i="4" s="1"/>
  <c r="B230" i="4"/>
  <c r="C230" i="4" s="1"/>
  <c r="B228" i="4"/>
  <c r="C228" i="4" s="1"/>
  <c r="B227" i="4"/>
  <c r="C227" i="4" s="1"/>
  <c r="B234" i="4"/>
  <c r="C234" i="4" s="1"/>
  <c r="B226" i="4"/>
  <c r="C226" i="4" s="1"/>
  <c r="B233" i="4"/>
  <c r="C233" i="4" s="1"/>
  <c r="B236" i="4"/>
  <c r="C236" i="4" s="1"/>
  <c r="B235" i="4"/>
  <c r="C235" i="4" s="1"/>
  <c r="B231" i="4"/>
  <c r="C231" i="4" s="1"/>
  <c r="B242" i="4"/>
  <c r="C242" i="4" s="1"/>
  <c r="B241" i="4"/>
  <c r="C241" i="4" s="1"/>
  <c r="B249" i="4"/>
  <c r="C249" i="4" s="1"/>
  <c r="B237" i="4"/>
  <c r="C237" i="4" s="1"/>
  <c r="B239" i="4"/>
  <c r="C239" i="4" s="1"/>
  <c r="B229" i="4"/>
  <c r="C229" i="4" s="1"/>
  <c r="B238" i="4"/>
  <c r="C238" i="4" s="1"/>
  <c r="B244" i="4"/>
  <c r="C244" i="4" s="1"/>
  <c r="B243" i="4"/>
  <c r="C243" i="4" s="1"/>
  <c r="B255" i="4"/>
  <c r="C255" i="4" s="1"/>
  <c r="B246" i="4"/>
  <c r="C246" i="4" s="1"/>
  <c r="B240" i="4"/>
  <c r="C240" i="4" s="1"/>
  <c r="B245" i="4"/>
  <c r="C245" i="4" s="1"/>
  <c r="B253" i="4"/>
  <c r="C253" i="4" s="1"/>
  <c r="B251" i="4"/>
  <c r="C251" i="4" s="1"/>
  <c r="B247" i="4"/>
  <c r="C247" i="4" s="1"/>
  <c r="B256" i="4"/>
  <c r="C256" i="4" s="1"/>
  <c r="B248" i="4"/>
  <c r="C248" i="4" s="1"/>
  <c r="B252" i="4"/>
  <c r="C252" i="4" s="1"/>
  <c r="B250" i="4"/>
  <c r="C250" i="4" s="1"/>
  <c r="B257" i="4"/>
  <c r="C257" i="4" s="1"/>
  <c r="B259" i="4"/>
  <c r="C259" i="4" s="1"/>
  <c r="B260" i="4"/>
  <c r="C260" i="4" s="1"/>
  <c r="B269" i="4"/>
  <c r="C269" i="4" s="1"/>
  <c r="B254" i="4"/>
  <c r="C254" i="4" s="1"/>
  <c r="B263" i="4"/>
  <c r="C263" i="4" s="1"/>
  <c r="B261" i="4"/>
  <c r="C261" i="4" s="1"/>
  <c r="B265" i="4"/>
  <c r="C265" i="4" s="1"/>
  <c r="B262" i="4"/>
  <c r="C262" i="4" s="1"/>
  <c r="B272" i="4"/>
  <c r="C272" i="4" s="1"/>
  <c r="B258" i="4"/>
  <c r="C258" i="4" s="1"/>
  <c r="B264" i="4"/>
  <c r="C264" i="4" s="1"/>
  <c r="B266" i="4"/>
  <c r="C266" i="4" s="1"/>
  <c r="V48" i="1" s="1"/>
  <c r="P38" i="2" s="1"/>
  <c r="B271" i="4"/>
  <c r="C271" i="4" s="1"/>
  <c r="B267" i="4"/>
  <c r="C267" i="4" s="1"/>
  <c r="B268" i="4"/>
  <c r="C268" i="4" s="1"/>
  <c r="B274" i="4"/>
  <c r="C274" i="4" s="1"/>
  <c r="B270" i="4"/>
  <c r="C270" i="4" s="1"/>
  <c r="V54" i="1" s="1"/>
  <c r="P44" i="2" s="1"/>
  <c r="B276" i="4"/>
  <c r="C276" i="4" s="1"/>
  <c r="B279" i="4"/>
  <c r="C279" i="4" s="1"/>
  <c r="B273" i="4"/>
  <c r="C273" i="4" s="1"/>
  <c r="B277" i="4"/>
  <c r="C277" i="4" s="1"/>
  <c r="B275" i="4"/>
  <c r="C275" i="4" s="1"/>
  <c r="B281" i="4"/>
  <c r="C281" i="4" s="1"/>
  <c r="B280" i="4"/>
  <c r="C280" i="4" s="1"/>
  <c r="B286" i="4"/>
  <c r="C286" i="4" s="1"/>
  <c r="B278" i="4"/>
  <c r="C278" i="4" s="1"/>
  <c r="B290" i="4"/>
  <c r="C290" i="4" s="1"/>
  <c r="B287" i="4"/>
  <c r="C287" i="4" s="1"/>
  <c r="B288" i="4"/>
  <c r="C288" i="4" s="1"/>
  <c r="B284" i="4"/>
  <c r="C284" i="4" s="1"/>
  <c r="B285" i="4"/>
  <c r="C285" i="4" s="1"/>
  <c r="B283" i="4"/>
  <c r="C283" i="4" s="1"/>
  <c r="B297" i="4"/>
  <c r="C297" i="4" s="1"/>
  <c r="B296" i="4"/>
  <c r="C296" i="4" s="1"/>
  <c r="B292" i="4"/>
  <c r="C292" i="4" s="1"/>
  <c r="B291" i="4"/>
  <c r="C291" i="4" s="1"/>
  <c r="B282" i="4"/>
  <c r="C282" i="4" s="1"/>
  <c r="B300" i="4"/>
  <c r="C300" i="4" s="1"/>
  <c r="B301" i="4"/>
  <c r="C301" i="4" s="1"/>
  <c r="B295" i="4"/>
  <c r="C295" i="4" s="1"/>
  <c r="B293" i="4"/>
  <c r="C293" i="4" s="1"/>
  <c r="B289" i="4"/>
  <c r="C289" i="4" s="1"/>
  <c r="B298" i="4"/>
  <c r="C298" i="4" s="1"/>
  <c r="B299" i="4"/>
  <c r="C299" i="4" s="1"/>
  <c r="B294" i="4"/>
  <c r="C294" i="4" s="1"/>
  <c r="B307" i="4"/>
  <c r="C307" i="4" s="1"/>
  <c r="B302" i="4"/>
  <c r="C302" i="4" s="1"/>
  <c r="B305" i="4"/>
  <c r="C305" i="4" s="1"/>
  <c r="B304" i="4"/>
  <c r="C304" i="4" s="1"/>
  <c r="B311" i="4"/>
  <c r="C311" i="4" s="1"/>
  <c r="B303" i="4"/>
  <c r="C303" i="4" s="1"/>
  <c r="B306" i="4"/>
  <c r="C306" i="4" s="1"/>
  <c r="B309" i="4"/>
  <c r="C309" i="4" s="1"/>
  <c r="B312" i="4"/>
  <c r="C312" i="4" s="1"/>
  <c r="B321" i="4"/>
  <c r="C321" i="4" s="1"/>
  <c r="B310" i="4"/>
  <c r="C310" i="4" s="1"/>
  <c r="B313" i="4"/>
  <c r="C313" i="4" s="1"/>
  <c r="B308" i="4"/>
  <c r="C308" i="4" s="1"/>
  <c r="B316" i="4"/>
  <c r="C316" i="4" s="1"/>
  <c r="B314" i="4"/>
  <c r="C314" i="4" s="1"/>
  <c r="B315" i="4"/>
  <c r="C315" i="4" s="1"/>
  <c r="B319" i="4"/>
  <c r="C319" i="4" s="1"/>
  <c r="B317" i="4"/>
  <c r="C317" i="4" s="1"/>
  <c r="B318" i="4"/>
  <c r="C318" i="4" s="1"/>
  <c r="B324" i="4"/>
  <c r="C324" i="4" s="1"/>
  <c r="B322" i="4"/>
  <c r="C322" i="4" s="1"/>
  <c r="B325" i="4"/>
  <c r="C325" i="4" s="1"/>
  <c r="B320" i="4"/>
  <c r="C320" i="4" s="1"/>
  <c r="B323" i="4"/>
  <c r="C323" i="4" s="1"/>
  <c r="B328" i="4"/>
  <c r="C328" i="4" s="1"/>
  <c r="V64" i="1" s="1"/>
  <c r="P54" i="2" s="1"/>
  <c r="B326" i="4"/>
  <c r="C326" i="4" s="1"/>
  <c r="B330" i="4"/>
  <c r="C330" i="4" s="1"/>
  <c r="B327" i="4"/>
  <c r="C327" i="4" s="1"/>
  <c r="B332" i="4"/>
  <c r="C332" i="4" s="1"/>
  <c r="B338" i="4"/>
  <c r="C338" i="4" s="1"/>
  <c r="B334" i="4"/>
  <c r="C334" i="4" s="1"/>
  <c r="B329" i="4"/>
  <c r="C329" i="4" s="1"/>
  <c r="B337" i="4"/>
  <c r="C337" i="4" s="1"/>
  <c r="B331" i="4"/>
  <c r="C331" i="4" s="1"/>
  <c r="B333" i="4"/>
  <c r="C333" i="4" s="1"/>
  <c r="B335" i="4"/>
  <c r="C335" i="4" s="1"/>
  <c r="B342" i="4"/>
  <c r="C342" i="4" s="1"/>
  <c r="B344" i="4"/>
  <c r="C344" i="4" s="1"/>
  <c r="B336" i="4"/>
  <c r="C336" i="4" s="1"/>
  <c r="B341" i="4"/>
  <c r="C341" i="4" s="1"/>
  <c r="B348" i="4"/>
  <c r="C348" i="4" s="1"/>
  <c r="B349" i="4"/>
  <c r="C349" i="4" s="1"/>
  <c r="B345" i="4"/>
  <c r="C345" i="4" s="1"/>
  <c r="B340" i="4"/>
  <c r="C340" i="4" s="1"/>
  <c r="B343" i="4"/>
  <c r="C343" i="4" s="1"/>
  <c r="B339" i="4"/>
  <c r="C339" i="4" s="1"/>
  <c r="B346" i="4"/>
  <c r="C346" i="4" s="1"/>
  <c r="B347" i="4"/>
  <c r="C347" i="4" s="1"/>
  <c r="B351" i="4"/>
  <c r="C351" i="4" s="1"/>
  <c r="B353" i="4"/>
  <c r="C353" i="4" s="1"/>
  <c r="B361" i="4"/>
  <c r="C361" i="4" s="1"/>
  <c r="B352" i="4"/>
  <c r="C352" i="4" s="1"/>
  <c r="B355" i="4"/>
  <c r="C355" i="4" s="1"/>
  <c r="B356" i="4"/>
  <c r="C356" i="4" s="1"/>
  <c r="B350" i="4"/>
  <c r="C350" i="4" s="1"/>
  <c r="B360" i="4"/>
  <c r="C360" i="4" s="1"/>
  <c r="B354" i="4"/>
  <c r="C354" i="4" s="1"/>
  <c r="B358" i="4"/>
  <c r="C358" i="4" s="1"/>
  <c r="B365" i="4"/>
  <c r="C365" i="4" s="1"/>
  <c r="B364" i="4"/>
  <c r="C364" i="4" s="1"/>
  <c r="B362" i="4"/>
  <c r="C362" i="4" s="1"/>
  <c r="B357" i="4"/>
  <c r="C357" i="4" s="1"/>
  <c r="B366" i="4"/>
  <c r="C366" i="4" s="1"/>
  <c r="B368" i="4"/>
  <c r="C368" i="4" s="1"/>
  <c r="B359" i="4"/>
  <c r="C359" i="4" s="1"/>
  <c r="B370" i="4"/>
  <c r="C370" i="4" s="1"/>
  <c r="B374" i="4"/>
  <c r="C374" i="4" s="1"/>
  <c r="B367" i="4"/>
  <c r="C367" i="4" s="1"/>
  <c r="B371" i="4"/>
  <c r="C371" i="4" s="1"/>
  <c r="B369" i="4"/>
  <c r="C369" i="4" s="1"/>
  <c r="B363" i="4"/>
  <c r="C363" i="4" s="1"/>
  <c r="B377" i="4"/>
  <c r="C377" i="4" s="1"/>
  <c r="B375" i="4"/>
  <c r="C375" i="4" s="1"/>
  <c r="B382" i="4"/>
  <c r="C382" i="4" s="1"/>
  <c r="B372" i="4"/>
  <c r="C372" i="4" s="1"/>
  <c r="B376" i="4"/>
  <c r="C376" i="4" s="1"/>
  <c r="B386" i="4"/>
  <c r="C386" i="4" s="1"/>
  <c r="B379" i="4"/>
  <c r="C379" i="4" s="1"/>
  <c r="B373" i="4"/>
  <c r="C373" i="4" s="1"/>
  <c r="B385" i="4"/>
  <c r="C385" i="4" s="1"/>
  <c r="B383" i="4"/>
  <c r="C383" i="4" s="1"/>
  <c r="B381" i="4"/>
  <c r="C381" i="4" s="1"/>
  <c r="B389" i="4"/>
  <c r="C389" i="4" s="1"/>
  <c r="B378" i="4"/>
  <c r="C378" i="4" s="1"/>
  <c r="B384" i="4"/>
  <c r="C384" i="4" s="1"/>
  <c r="B392" i="4"/>
  <c r="C392" i="4" s="1"/>
  <c r="B390" i="4"/>
  <c r="C390" i="4" s="1"/>
  <c r="B394" i="4"/>
  <c r="C394" i="4" s="1"/>
  <c r="B387" i="4"/>
  <c r="C387" i="4" s="1"/>
  <c r="B380" i="4"/>
  <c r="C380" i="4" s="1"/>
  <c r="B395" i="4"/>
  <c r="C395" i="4" s="1"/>
  <c r="B391" i="4"/>
  <c r="C391" i="4" s="1"/>
  <c r="B396" i="4"/>
  <c r="C396" i="4" s="1"/>
  <c r="B398" i="4"/>
  <c r="C398" i="4" s="1"/>
  <c r="B397" i="4"/>
  <c r="C397" i="4" s="1"/>
  <c r="B388" i="4"/>
  <c r="C388" i="4" s="1"/>
  <c r="B400" i="4"/>
  <c r="C400" i="4" s="1"/>
  <c r="B408" i="4"/>
  <c r="C408" i="4" s="1"/>
  <c r="B393" i="4"/>
  <c r="C393" i="4" s="1"/>
  <c r="B406" i="4"/>
  <c r="C406" i="4" s="1"/>
  <c r="B402" i="4"/>
  <c r="C402" i="4" s="1"/>
  <c r="B404" i="4"/>
  <c r="C404" i="4" s="1"/>
  <c r="B399" i="4"/>
  <c r="C399" i="4" s="1"/>
  <c r="B407" i="4"/>
  <c r="C407" i="4" s="1"/>
  <c r="B405" i="4"/>
  <c r="C405" i="4" s="1"/>
  <c r="B411" i="4"/>
  <c r="C411" i="4" s="1"/>
  <c r="B410" i="4"/>
  <c r="C410" i="4" s="1"/>
  <c r="B403" i="4"/>
  <c r="C403" i="4" s="1"/>
  <c r="B422" i="4"/>
  <c r="C422" i="4" s="1"/>
  <c r="B409" i="4"/>
  <c r="C409" i="4" s="1"/>
  <c r="B416" i="4"/>
  <c r="C416" i="4" s="1"/>
  <c r="B419" i="4"/>
  <c r="C419" i="4" s="1"/>
  <c r="B414" i="4"/>
  <c r="C414" i="4" s="1"/>
  <c r="B415" i="4"/>
  <c r="C415" i="4" s="1"/>
  <c r="B401" i="4"/>
  <c r="C401" i="4" s="1"/>
  <c r="B420" i="4"/>
  <c r="C420" i="4" s="1"/>
  <c r="B417" i="4"/>
  <c r="C417" i="4" s="1"/>
  <c r="B412" i="4"/>
  <c r="C412" i="4" s="1"/>
  <c r="B413" i="4"/>
  <c r="C413" i="4" s="1"/>
  <c r="B427" i="4"/>
  <c r="C427" i="4" s="1"/>
  <c r="B425" i="4"/>
  <c r="C425" i="4" s="1"/>
  <c r="B432" i="4"/>
  <c r="C432" i="4" s="1"/>
  <c r="B424" i="4"/>
  <c r="C424" i="4" s="1"/>
  <c r="B421" i="4"/>
  <c r="C421" i="4" s="1"/>
  <c r="B429" i="4"/>
  <c r="C429" i="4" s="1"/>
  <c r="B428" i="4"/>
  <c r="C428" i="4" s="1"/>
  <c r="B418" i="4"/>
  <c r="C418" i="4" s="1"/>
  <c r="B426" i="4"/>
  <c r="C426" i="4" s="1"/>
  <c r="B431" i="4"/>
  <c r="C431" i="4" s="1"/>
  <c r="B430" i="4"/>
  <c r="C430" i="4" s="1"/>
  <c r="B433" i="4"/>
  <c r="C433" i="4" s="1"/>
  <c r="B434" i="4"/>
  <c r="C434" i="4" s="1"/>
  <c r="B423" i="4"/>
  <c r="C423" i="4" s="1"/>
  <c r="B440" i="4"/>
  <c r="C440" i="4" s="1"/>
  <c r="B435" i="4"/>
  <c r="C435" i="4" s="1"/>
  <c r="B441" i="4"/>
  <c r="C441" i="4" s="1"/>
  <c r="B438" i="4"/>
  <c r="C438" i="4" s="1"/>
  <c r="B436" i="4"/>
  <c r="C436" i="4" s="1"/>
  <c r="B442" i="4"/>
  <c r="C442" i="4" s="1"/>
  <c r="B437" i="4"/>
  <c r="C437" i="4" s="1"/>
  <c r="B439" i="4"/>
  <c r="C439" i="4" s="1"/>
  <c r="B450" i="4"/>
  <c r="C450" i="4" s="1"/>
  <c r="B443" i="4"/>
  <c r="C443" i="4" s="1"/>
  <c r="B446" i="4"/>
  <c r="C446" i="4" s="1"/>
  <c r="B444" i="4"/>
  <c r="C444" i="4" s="1"/>
  <c r="B449" i="4"/>
  <c r="C449" i="4" s="1"/>
  <c r="B452" i="4"/>
  <c r="C452" i="4" s="1"/>
  <c r="B453" i="4"/>
  <c r="C453" i="4" s="1"/>
  <c r="B447" i="4"/>
  <c r="C447" i="4" s="1"/>
  <c r="B455" i="4"/>
  <c r="C455" i="4" s="1"/>
  <c r="B445" i="4"/>
  <c r="C445" i="4" s="1"/>
  <c r="B459" i="4"/>
  <c r="C459" i="4" s="1"/>
  <c r="B451" i="4"/>
  <c r="C451" i="4" s="1"/>
  <c r="B456" i="4"/>
  <c r="C456" i="4" s="1"/>
  <c r="B448" i="4"/>
  <c r="C448" i="4" s="1"/>
  <c r="B462" i="4"/>
  <c r="C462" i="4" s="1"/>
  <c r="B458" i="4"/>
  <c r="C458" i="4" s="1"/>
  <c r="B457" i="4"/>
  <c r="C457" i="4" s="1"/>
  <c r="B460" i="4"/>
  <c r="C460" i="4" s="1"/>
  <c r="B461" i="4"/>
  <c r="C461" i="4" s="1"/>
  <c r="B467" i="4"/>
  <c r="C467" i="4" s="1"/>
  <c r="B463" i="4"/>
  <c r="C463" i="4" s="1"/>
  <c r="B469" i="4"/>
  <c r="C469" i="4" s="1"/>
  <c r="B454" i="4"/>
  <c r="C454" i="4" s="1"/>
  <c r="B465" i="4"/>
  <c r="C465" i="4" s="1"/>
  <c r="B466" i="4"/>
  <c r="C466" i="4" s="1"/>
  <c r="B472" i="4"/>
  <c r="C472" i="4" s="1"/>
  <c r="B471" i="4"/>
  <c r="C471" i="4" s="1"/>
  <c r="B470" i="4"/>
  <c r="C470" i="4" s="1"/>
  <c r="B468" i="4"/>
  <c r="C468" i="4" s="1"/>
  <c r="B474" i="4"/>
  <c r="C474" i="4" s="1"/>
  <c r="B464" i="4"/>
  <c r="C464" i="4" s="1"/>
  <c r="B475" i="4"/>
  <c r="C475" i="4" s="1"/>
  <c r="B477" i="4"/>
  <c r="C477" i="4" s="1"/>
  <c r="B473" i="4"/>
  <c r="C473" i="4" s="1"/>
  <c r="B478" i="4"/>
  <c r="C478" i="4" s="1"/>
  <c r="B480" i="4"/>
  <c r="C480" i="4" s="1"/>
  <c r="B481" i="4"/>
  <c r="C481" i="4" s="1"/>
  <c r="B476" i="4"/>
  <c r="C476" i="4" s="1"/>
  <c r="B484" i="4"/>
  <c r="C484" i="4" s="1"/>
  <c r="B479" i="4"/>
  <c r="C479" i="4" s="1"/>
  <c r="B485" i="4"/>
  <c r="C485" i="4" s="1"/>
  <c r="B483" i="4"/>
  <c r="C483" i="4" s="1"/>
  <c r="B482" i="4"/>
  <c r="C482" i="4" s="1"/>
  <c r="B486" i="4"/>
  <c r="C486" i="4" s="1"/>
  <c r="B488" i="4"/>
  <c r="C488" i="4" s="1"/>
  <c r="B490" i="4"/>
  <c r="C490" i="4" s="1"/>
  <c r="B489" i="4"/>
  <c r="C489" i="4" s="1"/>
  <c r="B491" i="4"/>
  <c r="C491" i="4" s="1"/>
  <c r="B487" i="4"/>
  <c r="C487" i="4" s="1"/>
  <c r="B493" i="4"/>
  <c r="C493" i="4" s="1"/>
  <c r="B496" i="4"/>
  <c r="C496" i="4" s="1"/>
  <c r="B492" i="4"/>
  <c r="C492" i="4" s="1"/>
  <c r="B506" i="4"/>
  <c r="C506" i="4" s="1"/>
  <c r="B499" i="4"/>
  <c r="C499" i="4" s="1"/>
  <c r="B494" i="4"/>
  <c r="C494" i="4" s="1"/>
  <c r="B503" i="4"/>
  <c r="C503" i="4" s="1"/>
  <c r="B500" i="4"/>
  <c r="C500" i="4" s="1"/>
  <c r="B507" i="4"/>
  <c r="C507" i="4" s="1"/>
  <c r="B495" i="4"/>
  <c r="C495" i="4" s="1"/>
  <c r="B501" i="4"/>
  <c r="C501" i="4" s="1"/>
  <c r="B504" i="4"/>
  <c r="C504" i="4" s="1"/>
  <c r="B498" i="4"/>
  <c r="C498" i="4" s="1"/>
  <c r="B508" i="4"/>
  <c r="C508" i="4" s="1"/>
  <c r="B497" i="4"/>
  <c r="C497" i="4" s="1"/>
  <c r="B520" i="4"/>
  <c r="C520" i="4" s="1"/>
  <c r="B511" i="4"/>
  <c r="C511" i="4" s="1"/>
  <c r="B510" i="4"/>
  <c r="C510" i="4" s="1"/>
  <c r="B509" i="4"/>
  <c r="C509" i="4" s="1"/>
  <c r="B502" i="4"/>
  <c r="C502" i="4" s="1"/>
  <c r="B505" i="4"/>
  <c r="C505" i="4" s="1"/>
  <c r="B518" i="4"/>
  <c r="C518" i="4" s="1"/>
  <c r="B515" i="4"/>
  <c r="C515" i="4" s="1"/>
  <c r="B513" i="4"/>
  <c r="C513" i="4" s="1"/>
  <c r="B514" i="4"/>
  <c r="C514" i="4" s="1"/>
  <c r="B516" i="4"/>
  <c r="C516" i="4" s="1"/>
  <c r="B525" i="4"/>
  <c r="C525" i="4" s="1"/>
  <c r="B512" i="4"/>
  <c r="C512" i="4" s="1"/>
  <c r="B526" i="4"/>
  <c r="C526" i="4" s="1"/>
  <c r="B517" i="4"/>
  <c r="C517" i="4" s="1"/>
  <c r="B533" i="4"/>
  <c r="C533" i="4" s="1"/>
  <c r="B528" i="4"/>
  <c r="C528" i="4" s="1"/>
  <c r="B524" i="4"/>
  <c r="C524" i="4" s="1"/>
  <c r="B522" i="4"/>
  <c r="C522" i="4" s="1"/>
  <c r="B519" i="4"/>
  <c r="C519" i="4" s="1"/>
  <c r="B523" i="4"/>
  <c r="C523" i="4" s="1"/>
  <c r="B527" i="4"/>
  <c r="C527" i="4" s="1"/>
  <c r="B531" i="4"/>
  <c r="C531" i="4" s="1"/>
  <c r="B537" i="4"/>
  <c r="C537" i="4" s="1"/>
  <c r="B521" i="4"/>
  <c r="C521" i="4" s="1"/>
  <c r="B530" i="4"/>
  <c r="C530" i="4" s="1"/>
  <c r="B534" i="4"/>
  <c r="C534" i="4" s="1"/>
  <c r="B538" i="4"/>
  <c r="C538" i="4" s="1"/>
  <c r="B536" i="4"/>
  <c r="C536" i="4" s="1"/>
  <c r="B535" i="4"/>
  <c r="C535" i="4" s="1"/>
  <c r="B532" i="4"/>
  <c r="C532" i="4" s="1"/>
  <c r="B529" i="4"/>
  <c r="C529" i="4" s="1"/>
  <c r="B544" i="4"/>
  <c r="C544" i="4" s="1"/>
  <c r="B539" i="4"/>
  <c r="C539" i="4" s="1"/>
  <c r="B542" i="4"/>
  <c r="C542" i="4" s="1"/>
  <c r="B541" i="4"/>
  <c r="C541" i="4" s="1"/>
  <c r="B540" i="4"/>
  <c r="C540" i="4" s="1"/>
  <c r="B548" i="4"/>
  <c r="C548" i="4" s="1"/>
  <c r="B547" i="4"/>
  <c r="C547" i="4" s="1"/>
  <c r="B543" i="4"/>
  <c r="C543" i="4" s="1"/>
  <c r="B549" i="4"/>
  <c r="C549" i="4" s="1"/>
  <c r="B545" i="4"/>
  <c r="C545" i="4" s="1"/>
  <c r="B555" i="4"/>
  <c r="C555" i="4" s="1"/>
  <c r="B553" i="4"/>
  <c r="C553" i="4" s="1"/>
  <c r="B559" i="4"/>
  <c r="C559" i="4" s="1"/>
  <c r="B551" i="4"/>
  <c r="C551" i="4" s="1"/>
  <c r="B558" i="4"/>
  <c r="C558" i="4" s="1"/>
  <c r="B550" i="4"/>
  <c r="C550" i="4" s="1"/>
  <c r="B546" i="4"/>
  <c r="C546" i="4" s="1"/>
  <c r="B569" i="4"/>
  <c r="C569" i="4" s="1"/>
  <c r="B552" i="4"/>
  <c r="C552" i="4" s="1"/>
  <c r="B562" i="4"/>
  <c r="C562" i="4" s="1"/>
  <c r="B554" i="4"/>
  <c r="C554" i="4" s="1"/>
  <c r="B556" i="4"/>
  <c r="C556" i="4" s="1"/>
  <c r="B561" i="4"/>
  <c r="C561" i="4" s="1"/>
  <c r="B557" i="4"/>
  <c r="C557" i="4" s="1"/>
  <c r="B564" i="4"/>
  <c r="C564" i="4" s="1"/>
  <c r="B567" i="4"/>
  <c r="C567" i="4" s="1"/>
  <c r="B560" i="4"/>
  <c r="C560" i="4" s="1"/>
  <c r="B563" i="4"/>
  <c r="C563" i="4" s="1"/>
  <c r="B565" i="4"/>
  <c r="C565" i="4" s="1"/>
  <c r="B568" i="4"/>
  <c r="C568" i="4" s="1"/>
  <c r="B581" i="4"/>
  <c r="C581" i="4" s="1"/>
  <c r="B571" i="4"/>
  <c r="C571" i="4" s="1"/>
  <c r="B572" i="4"/>
  <c r="C572" i="4" s="1"/>
  <c r="B577" i="4"/>
  <c r="C577" i="4" s="1"/>
  <c r="B576" i="4"/>
  <c r="C576" i="4" s="1"/>
  <c r="B575" i="4"/>
  <c r="C575" i="4" s="1"/>
  <c r="B566" i="4"/>
  <c r="C566" i="4" s="1"/>
  <c r="B579" i="4"/>
  <c r="C579" i="4" s="1"/>
  <c r="B574" i="4"/>
  <c r="C574" i="4" s="1"/>
  <c r="B578" i="4"/>
  <c r="C578" i="4" s="1"/>
  <c r="B570" i="4"/>
  <c r="C570" i="4" s="1"/>
  <c r="B573" i="4"/>
  <c r="C573" i="4" s="1"/>
  <c r="B585" i="4"/>
  <c r="C585" i="4" s="1"/>
  <c r="B584" i="4"/>
  <c r="C584" i="4" s="1"/>
  <c r="B583" i="4"/>
  <c r="C583" i="4" s="1"/>
  <c r="B580" i="4"/>
  <c r="C580" i="4" s="1"/>
  <c r="B586" i="4"/>
  <c r="C586" i="4" s="1"/>
  <c r="B582" i="4"/>
  <c r="C582" i="4" s="1"/>
  <c r="B590" i="4"/>
  <c r="C590" i="4" s="1"/>
  <c r="B588" i="4"/>
  <c r="C588" i="4" s="1"/>
  <c r="B591" i="4"/>
  <c r="C591" i="4" s="1"/>
  <c r="B587" i="4"/>
  <c r="C587" i="4" s="1"/>
  <c r="B595" i="4"/>
  <c r="C595" i="4" s="1"/>
  <c r="B589" i="4"/>
  <c r="C589" i="4" s="1"/>
  <c r="B600" i="4"/>
  <c r="C600" i="4" s="1"/>
  <c r="B601" i="4"/>
  <c r="C601" i="4" s="1"/>
  <c r="B596" i="4"/>
  <c r="C596" i="4" s="1"/>
  <c r="B597" i="4"/>
  <c r="C597" i="4" s="1"/>
  <c r="B593" i="4"/>
  <c r="C593" i="4" s="1"/>
  <c r="B592" i="4"/>
  <c r="C592" i="4" s="1"/>
  <c r="B604" i="4"/>
  <c r="C604" i="4" s="1"/>
  <c r="B609" i="4"/>
  <c r="C609" i="4" s="1"/>
  <c r="B598" i="4"/>
  <c r="C598" i="4" s="1"/>
  <c r="B599" i="4"/>
  <c r="C599" i="4" s="1"/>
  <c r="B605" i="4"/>
  <c r="C605" i="4" s="1"/>
  <c r="B613" i="4"/>
  <c r="C613" i="4" s="1"/>
  <c r="B594" i="4"/>
  <c r="C594" i="4" s="1"/>
  <c r="B603" i="4"/>
  <c r="C603" i="4" s="1"/>
  <c r="B608" i="4"/>
  <c r="C608" i="4" s="1"/>
  <c r="B610" i="4"/>
  <c r="C610" i="4" s="1"/>
  <c r="B615" i="4"/>
  <c r="C615" i="4" s="1"/>
  <c r="B612" i="4"/>
  <c r="C612" i="4" s="1"/>
  <c r="B602" i="4"/>
  <c r="C602" i="4" s="1"/>
  <c r="B614" i="4"/>
  <c r="C614" i="4" s="1"/>
  <c r="B619" i="4"/>
  <c r="C619" i="4" s="1"/>
  <c r="V58" i="1" s="1"/>
  <c r="P48" i="2" s="1"/>
  <c r="B611" i="4"/>
  <c r="C611" i="4" s="1"/>
  <c r="B618" i="4"/>
  <c r="C618" i="4" s="1"/>
  <c r="B606" i="4"/>
  <c r="C606" i="4" s="1"/>
  <c r="B621" i="4"/>
  <c r="C621" i="4" s="1"/>
  <c r="B617" i="4"/>
  <c r="C617" i="4" s="1"/>
  <c r="B607" i="4"/>
  <c r="C607" i="4" s="1"/>
  <c r="V59" i="1" s="1"/>
  <c r="P49" i="2" s="1"/>
  <c r="B624" i="4"/>
  <c r="C624" i="4" s="1"/>
  <c r="B622" i="4"/>
  <c r="C622" i="4" s="1"/>
  <c r="B620" i="4"/>
  <c r="C620" i="4" s="1"/>
  <c r="B616" i="4"/>
  <c r="C616" i="4" s="1"/>
  <c r="B626" i="4"/>
  <c r="C626" i="4" s="1"/>
  <c r="B628" i="4"/>
  <c r="C628" i="4" s="1"/>
  <c r="B627" i="4"/>
  <c r="C627" i="4" s="1"/>
  <c r="B631" i="4"/>
  <c r="C631" i="4" s="1"/>
  <c r="B633" i="4"/>
  <c r="C633" i="4" s="1"/>
  <c r="B623" i="4"/>
  <c r="C623" i="4" s="1"/>
  <c r="B637" i="4"/>
  <c r="C637" i="4" s="1"/>
  <c r="B625" i="4"/>
  <c r="C625" i="4" s="1"/>
  <c r="B630" i="4"/>
  <c r="C630" i="4" s="1"/>
  <c r="B629" i="4"/>
  <c r="C629" i="4" s="1"/>
  <c r="B636" i="4"/>
  <c r="C636" i="4" s="1"/>
  <c r="B634" i="4"/>
  <c r="C634" i="4" s="1"/>
  <c r="B632" i="4"/>
  <c r="C632" i="4" s="1"/>
  <c r="B641" i="4"/>
  <c r="C641" i="4" s="1"/>
  <c r="B635" i="4"/>
  <c r="C635" i="4" s="1"/>
  <c r="B640" i="4"/>
  <c r="C640" i="4" s="1"/>
  <c r="B644" i="4"/>
  <c r="C644" i="4" s="1"/>
  <c r="B639" i="4"/>
  <c r="C639" i="4" s="1"/>
  <c r="B642" i="4"/>
  <c r="C642" i="4" s="1"/>
  <c r="B638" i="4"/>
  <c r="C638" i="4" s="1"/>
  <c r="B649" i="4"/>
  <c r="C649" i="4" s="1"/>
  <c r="B648" i="4"/>
  <c r="C648" i="4" s="1"/>
  <c r="B656" i="4"/>
  <c r="C656" i="4" s="1"/>
  <c r="B645" i="4"/>
  <c r="C645" i="4" s="1"/>
  <c r="B643" i="4"/>
  <c r="C643" i="4" s="1"/>
  <c r="B653" i="4"/>
  <c r="C653" i="4" s="1"/>
  <c r="B646" i="4"/>
  <c r="C646" i="4" s="1"/>
  <c r="B647" i="4"/>
  <c r="C647" i="4" s="1"/>
  <c r="B651" i="4"/>
  <c r="C651" i="4" s="1"/>
  <c r="B654" i="4"/>
  <c r="C654" i="4" s="1"/>
  <c r="B650" i="4"/>
  <c r="C650" i="4" s="1"/>
  <c r="B658" i="4"/>
  <c r="C658" i="4" s="1"/>
  <c r="B652" i="4"/>
  <c r="C652" i="4" s="1"/>
  <c r="B657" i="4"/>
  <c r="C657" i="4" s="1"/>
  <c r="B662" i="4"/>
  <c r="C662" i="4" s="1"/>
  <c r="B659" i="4"/>
  <c r="C659" i="4" s="1"/>
  <c r="B667" i="4"/>
  <c r="C667" i="4" s="1"/>
  <c r="B655" i="4"/>
  <c r="C655" i="4" s="1"/>
  <c r="B660" i="4"/>
  <c r="C660" i="4" s="1"/>
  <c r="B661" i="4"/>
  <c r="C661" i="4" s="1"/>
  <c r="B665" i="4"/>
  <c r="C665" i="4" s="1"/>
  <c r="B664" i="4"/>
  <c r="C664" i="4" s="1"/>
  <c r="B666" i="4"/>
  <c r="C666" i="4" s="1"/>
  <c r="B663" i="4"/>
  <c r="C663" i="4" s="1"/>
  <c r="B671" i="4"/>
  <c r="C671" i="4" s="1"/>
  <c r="B674" i="4"/>
  <c r="C674" i="4" s="1"/>
  <c r="B669" i="4"/>
  <c r="C669" i="4" s="1"/>
  <c r="B670" i="4"/>
  <c r="C670" i="4" s="1"/>
  <c r="B676" i="4"/>
  <c r="C676" i="4" s="1"/>
  <c r="B668" i="4"/>
  <c r="C668" i="4" s="1"/>
  <c r="B678" i="4"/>
  <c r="C678" i="4" s="1"/>
  <c r="B677" i="4"/>
  <c r="C677" i="4" s="1"/>
  <c r="B672" i="4"/>
  <c r="C672" i="4" s="1"/>
  <c r="B675" i="4"/>
  <c r="C675" i="4" s="1"/>
  <c r="B679" i="4"/>
  <c r="C679" i="4" s="1"/>
  <c r="B673" i="4"/>
  <c r="C673" i="4" s="1"/>
  <c r="B688" i="4"/>
  <c r="C688" i="4" s="1"/>
  <c r="B681" i="4"/>
  <c r="C681" i="4" s="1"/>
  <c r="B680" i="4"/>
  <c r="C680" i="4" s="1"/>
  <c r="B686" i="4"/>
  <c r="C686" i="4" s="1"/>
  <c r="B685" i="4"/>
  <c r="C685" i="4" s="1"/>
  <c r="B682" i="4"/>
  <c r="C682" i="4" s="1"/>
  <c r="B694" i="4"/>
  <c r="C694" i="4" s="1"/>
  <c r="B687" i="4"/>
  <c r="C687" i="4" s="1"/>
  <c r="B683" i="4"/>
  <c r="C683" i="4" s="1"/>
  <c r="B695" i="4"/>
  <c r="C695" i="4" s="1"/>
  <c r="B692" i="4"/>
  <c r="C692" i="4" s="1"/>
  <c r="B684" i="4"/>
  <c r="C684" i="4" s="1"/>
  <c r="B690" i="4"/>
  <c r="C690" i="4" s="1"/>
  <c r="B689" i="4"/>
  <c r="C689" i="4" s="1"/>
  <c r="B693" i="4"/>
  <c r="C693" i="4" s="1"/>
  <c r="B696" i="4"/>
  <c r="C696" i="4" s="1"/>
  <c r="B697" i="4"/>
  <c r="C697" i="4" s="1"/>
  <c r="B691" i="4"/>
  <c r="C691" i="4" s="1"/>
  <c r="B704" i="4"/>
  <c r="C704" i="4" s="1"/>
  <c r="B700" i="4"/>
  <c r="C700" i="4" s="1"/>
  <c r="B703" i="4"/>
  <c r="C703" i="4" s="1"/>
  <c r="B699" i="4"/>
  <c r="C699" i="4" s="1"/>
  <c r="B701" i="4"/>
  <c r="C701" i="4" s="1"/>
  <c r="B702" i="4"/>
  <c r="C702" i="4" s="1"/>
  <c r="B698" i="4"/>
  <c r="C698" i="4" s="1"/>
  <c r="B707" i="4"/>
  <c r="C707" i="4" s="1"/>
  <c r="B708" i="4"/>
  <c r="C708" i="4" s="1"/>
  <c r="B706" i="4"/>
  <c r="C706" i="4" s="1"/>
  <c r="B705" i="4"/>
  <c r="C705" i="4" s="1"/>
  <c r="B714" i="4"/>
  <c r="C714" i="4" s="1"/>
  <c r="B712" i="4"/>
  <c r="C712" i="4" s="1"/>
  <c r="B717" i="4"/>
  <c r="C717" i="4" s="1"/>
  <c r="B709" i="4"/>
  <c r="C709" i="4" s="1"/>
  <c r="B715" i="4"/>
  <c r="C715" i="4" s="1"/>
  <c r="B721" i="4"/>
  <c r="C721" i="4" s="1"/>
  <c r="B711" i="4"/>
  <c r="C711" i="4" s="1"/>
  <c r="B718" i="4"/>
  <c r="C718" i="4" s="1"/>
  <c r="B723" i="4"/>
  <c r="C723" i="4" s="1"/>
  <c r="V65" i="1" s="1"/>
  <c r="P55" i="2" s="1"/>
  <c r="B719" i="4"/>
  <c r="C719" i="4" s="1"/>
  <c r="B710" i="4"/>
  <c r="C710" i="4" s="1"/>
  <c r="B713" i="4"/>
  <c r="C713" i="4" s="1"/>
  <c r="B716" i="4"/>
  <c r="C716" i="4" s="1"/>
  <c r="B728" i="4"/>
  <c r="C728" i="4" s="1"/>
  <c r="B725" i="4"/>
  <c r="C725" i="4" s="1"/>
  <c r="B722" i="4"/>
  <c r="C722" i="4" s="1"/>
  <c r="B732" i="4"/>
  <c r="C732" i="4" s="1"/>
  <c r="B726" i="4"/>
  <c r="C726" i="4" s="1"/>
  <c r="B733" i="4"/>
  <c r="C733" i="4" s="1"/>
  <c r="B730" i="4"/>
  <c r="C730" i="4" s="1"/>
  <c r="B729" i="4"/>
  <c r="C729" i="4" s="1"/>
  <c r="B720" i="4"/>
  <c r="C720" i="4" s="1"/>
  <c r="B724" i="4"/>
  <c r="C724" i="4" s="1"/>
  <c r="B731" i="4"/>
  <c r="C731" i="4" s="1"/>
  <c r="B735" i="4"/>
  <c r="C735" i="4" s="1"/>
  <c r="B727" i="4"/>
  <c r="C727" i="4" s="1"/>
  <c r="B736" i="4"/>
  <c r="C736" i="4" s="1"/>
  <c r="B740" i="4"/>
  <c r="C740" i="4" s="1"/>
  <c r="B738" i="4"/>
  <c r="C738" i="4" s="1"/>
  <c r="B737" i="4"/>
  <c r="C737" i="4" s="1"/>
  <c r="B742" i="4"/>
  <c r="C742" i="4" s="1"/>
  <c r="B745" i="4"/>
  <c r="C745" i="4" s="1"/>
  <c r="B739" i="4"/>
  <c r="C739" i="4" s="1"/>
  <c r="B734" i="4"/>
  <c r="C734" i="4" s="1"/>
  <c r="B744" i="4"/>
  <c r="C744" i="4" s="1"/>
  <c r="B743" i="4"/>
  <c r="C743" i="4" s="1"/>
  <c r="B750" i="4"/>
  <c r="C750" i="4" s="1"/>
  <c r="B741" i="4"/>
  <c r="C741" i="4" s="1"/>
  <c r="B751" i="4"/>
  <c r="C751" i="4" s="1"/>
  <c r="B748" i="4"/>
  <c r="C748" i="4" s="1"/>
  <c r="B747" i="4"/>
  <c r="C747" i="4" s="1"/>
  <c r="B746" i="4"/>
  <c r="C746" i="4" s="1"/>
  <c r="B749" i="4"/>
  <c r="C749" i="4" s="1"/>
  <c r="B754" i="4"/>
  <c r="C754" i="4" s="1"/>
  <c r="B753" i="4"/>
  <c r="C753" i="4" s="1"/>
  <c r="B757" i="4"/>
  <c r="C757" i="4" s="1"/>
  <c r="B760" i="4"/>
  <c r="C760" i="4" s="1"/>
  <c r="B755" i="4"/>
  <c r="C755" i="4" s="1"/>
  <c r="B752" i="4"/>
  <c r="C752" i="4" s="1"/>
  <c r="B756" i="4"/>
  <c r="C756" i="4" s="1"/>
  <c r="B762" i="4"/>
  <c r="C762" i="4" s="1"/>
  <c r="B759" i="4"/>
  <c r="C759" i="4" s="1"/>
  <c r="B761" i="4"/>
  <c r="C761" i="4" s="1"/>
  <c r="B769" i="4"/>
  <c r="C769" i="4" s="1"/>
  <c r="B758" i="4"/>
  <c r="C758" i="4" s="1"/>
  <c r="B768" i="4"/>
  <c r="C768" i="4" s="1"/>
  <c r="B764" i="4"/>
  <c r="C764" i="4" s="1"/>
  <c r="B765" i="4"/>
  <c r="C765" i="4" s="1"/>
  <c r="B763" i="4"/>
  <c r="C763" i="4" s="1"/>
  <c r="B767" i="4"/>
  <c r="C767" i="4" s="1"/>
  <c r="B770" i="4"/>
  <c r="C770" i="4" s="1"/>
  <c r="B766" i="4"/>
  <c r="C766" i="4" s="1"/>
  <c r="B775" i="4"/>
  <c r="C775" i="4" s="1"/>
  <c r="B777" i="4"/>
  <c r="C777" i="4" s="1"/>
  <c r="B771" i="4"/>
  <c r="C771" i="4" s="1"/>
  <c r="B776" i="4"/>
  <c r="C776" i="4" s="1"/>
  <c r="B780" i="4"/>
  <c r="C780" i="4" s="1"/>
  <c r="B772" i="4"/>
  <c r="C772" i="4" s="1"/>
  <c r="B781" i="4"/>
  <c r="C781" i="4" s="1"/>
  <c r="B779" i="4"/>
  <c r="C779" i="4" s="1"/>
  <c r="B783" i="4"/>
  <c r="C783" i="4" s="1"/>
  <c r="B773" i="4"/>
  <c r="B782" i="4"/>
  <c r="C782" i="4" s="1"/>
  <c r="B774" i="4"/>
  <c r="C774" i="4" s="1"/>
  <c r="B786" i="4"/>
  <c r="C786" i="4" s="1"/>
  <c r="B789" i="4"/>
  <c r="C789" i="4" s="1"/>
  <c r="B785" i="4"/>
  <c r="C785" i="4" s="1"/>
  <c r="B778" i="4"/>
  <c r="C778" i="4" s="1"/>
  <c r="B788" i="4"/>
  <c r="C788" i="4" s="1"/>
  <c r="B793" i="4"/>
  <c r="C793" i="4" s="1"/>
  <c r="B784" i="4"/>
  <c r="C784" i="4" s="1"/>
  <c r="B790" i="4"/>
  <c r="C790" i="4" s="1"/>
  <c r="B794" i="4"/>
  <c r="C794" i="4" s="1"/>
  <c r="B787" i="4"/>
  <c r="C787" i="4" s="1"/>
  <c r="B792" i="4"/>
  <c r="C792" i="4" s="1"/>
  <c r="B796" i="4"/>
  <c r="C796" i="4" s="1"/>
  <c r="B798" i="4"/>
  <c r="C798" i="4" s="1"/>
  <c r="B791" i="4"/>
  <c r="C791" i="4" s="1"/>
  <c r="B799" i="4"/>
  <c r="C799" i="4" s="1"/>
  <c r="B795" i="4"/>
  <c r="C795" i="4" s="1"/>
  <c r="B801" i="4"/>
  <c r="C801" i="4" s="1"/>
  <c r="B797" i="4"/>
  <c r="C797" i="4" s="1"/>
  <c r="B804" i="4"/>
  <c r="C804" i="4" s="1"/>
  <c r="B803" i="4"/>
  <c r="C803" i="4" s="1"/>
  <c r="B806" i="4"/>
  <c r="C806" i="4" s="1"/>
  <c r="B807" i="4"/>
  <c r="C807" i="4" s="1"/>
  <c r="B814" i="4"/>
  <c r="C814" i="4" s="1"/>
  <c r="B812" i="4"/>
  <c r="C812" i="4" s="1"/>
  <c r="B810" i="4"/>
  <c r="C810" i="4" s="1"/>
  <c r="B805" i="4"/>
  <c r="C805" i="4" s="1"/>
  <c r="B800" i="4"/>
  <c r="C800" i="4" s="1"/>
  <c r="B813" i="4"/>
  <c r="C813" i="4" s="1"/>
  <c r="B816" i="4"/>
  <c r="C816" i="4" s="1"/>
  <c r="B808" i="4"/>
  <c r="C808" i="4" s="1"/>
  <c r="B802" i="4"/>
  <c r="C802" i="4" s="1"/>
  <c r="B811" i="4"/>
  <c r="C811" i="4" s="1"/>
  <c r="B819" i="4"/>
  <c r="C819" i="4" s="1"/>
  <c r="B815" i="4"/>
  <c r="C815" i="4" s="1"/>
  <c r="B809" i="4"/>
  <c r="C809" i="4" s="1"/>
  <c r="B820" i="4"/>
  <c r="C820" i="4" s="1"/>
  <c r="B824" i="4"/>
  <c r="C824" i="4" s="1"/>
  <c r="B825" i="4"/>
  <c r="C825" i="4" s="1"/>
  <c r="B817" i="4"/>
  <c r="C817" i="4" s="1"/>
  <c r="B821" i="4"/>
  <c r="C821" i="4" s="1"/>
  <c r="B826" i="4"/>
  <c r="C826" i="4" s="1"/>
  <c r="B828" i="4"/>
  <c r="C828" i="4" s="1"/>
  <c r="B818" i="4"/>
  <c r="C818" i="4" s="1"/>
  <c r="B830" i="4"/>
  <c r="C830" i="4" s="1"/>
  <c r="B829" i="4"/>
  <c r="C829" i="4" s="1"/>
  <c r="B822" i="4"/>
  <c r="C822" i="4" s="1"/>
  <c r="B827" i="4"/>
  <c r="C827" i="4" s="1"/>
  <c r="B837" i="4"/>
  <c r="C837" i="4" s="1"/>
  <c r="B831" i="4"/>
  <c r="C831" i="4" s="1"/>
  <c r="B823" i="4"/>
  <c r="C823" i="4" s="1"/>
  <c r="B840" i="4"/>
  <c r="C840" i="4" s="1"/>
  <c r="B838" i="4"/>
  <c r="C838" i="4" s="1"/>
  <c r="B833" i="4"/>
  <c r="C833" i="4" s="1"/>
  <c r="B834" i="4"/>
  <c r="C834" i="4" s="1"/>
  <c r="B842" i="4"/>
  <c r="C842" i="4" s="1"/>
  <c r="B832" i="4"/>
  <c r="C832" i="4" s="1"/>
  <c r="B844" i="4"/>
  <c r="C844" i="4" s="1"/>
  <c r="B836" i="4"/>
  <c r="C836" i="4" s="1"/>
  <c r="B845" i="4"/>
  <c r="C845" i="4" s="1"/>
  <c r="B835" i="4"/>
  <c r="C835" i="4" s="1"/>
  <c r="B839" i="4"/>
  <c r="C839" i="4" s="1"/>
  <c r="B847" i="4"/>
  <c r="C847" i="4" s="1"/>
  <c r="B841" i="4"/>
  <c r="C841" i="4" s="1"/>
  <c r="B854" i="4"/>
  <c r="C854" i="4" s="1"/>
  <c r="B843" i="4"/>
  <c r="C843" i="4" s="1"/>
  <c r="B853" i="4"/>
  <c r="C853" i="4" s="1"/>
  <c r="B850" i="4"/>
  <c r="C850" i="4" s="1"/>
  <c r="B846" i="4"/>
  <c r="C846" i="4" s="1"/>
  <c r="B858" i="4"/>
  <c r="C858" i="4" s="1"/>
  <c r="B848" i="4"/>
  <c r="C848" i="4" s="1"/>
  <c r="B852" i="4"/>
  <c r="C852" i="4" s="1"/>
  <c r="B849" i="4"/>
  <c r="C849" i="4" s="1"/>
  <c r="B851" i="4"/>
  <c r="C851" i="4" s="1"/>
  <c r="B856" i="4"/>
  <c r="C856" i="4" s="1"/>
  <c r="B861" i="4"/>
  <c r="C861" i="4" s="1"/>
  <c r="B859" i="4"/>
  <c r="C859" i="4" s="1"/>
  <c r="B855" i="4"/>
  <c r="C855" i="4" s="1"/>
  <c r="B863" i="4"/>
  <c r="C863" i="4" s="1"/>
  <c r="B857" i="4"/>
  <c r="C857" i="4" s="1"/>
  <c r="B860" i="4"/>
  <c r="C860" i="4" s="1"/>
  <c r="B862" i="4"/>
  <c r="C862" i="4" s="1"/>
  <c r="B867" i="4"/>
  <c r="C867" i="4" s="1"/>
  <c r="B871" i="4"/>
  <c r="C871" i="4" s="1"/>
  <c r="B864" i="4"/>
  <c r="C864" i="4" s="1"/>
  <c r="B869" i="4"/>
  <c r="C869" i="4" s="1"/>
  <c r="B874" i="4"/>
  <c r="C874" i="4" s="1"/>
  <c r="B865" i="4"/>
  <c r="C865" i="4" s="1"/>
  <c r="B877" i="4"/>
  <c r="C877" i="4" s="1"/>
  <c r="B868" i="4"/>
  <c r="C868" i="4" s="1"/>
  <c r="B870" i="4"/>
  <c r="C870" i="4" s="1"/>
  <c r="B866" i="4"/>
  <c r="C866" i="4" s="1"/>
  <c r="B875" i="4"/>
  <c r="C875" i="4" s="1"/>
  <c r="B879" i="4"/>
  <c r="C879" i="4" s="1"/>
  <c r="B873" i="4"/>
  <c r="C873" i="4" s="1"/>
  <c r="B872" i="4"/>
  <c r="C872" i="4" s="1"/>
  <c r="B881" i="4"/>
  <c r="C881" i="4" s="1"/>
  <c r="B885" i="4"/>
  <c r="C885" i="4" s="1"/>
  <c r="B882" i="4"/>
  <c r="C882" i="4" s="1"/>
  <c r="B876" i="4"/>
  <c r="C876" i="4" s="1"/>
  <c r="B880" i="4"/>
  <c r="C880" i="4" s="1"/>
  <c r="B878" i="4"/>
  <c r="C878" i="4" s="1"/>
  <c r="B883" i="4"/>
  <c r="C883" i="4" s="1"/>
  <c r="B891" i="4"/>
  <c r="C891" i="4" s="1"/>
  <c r="B893" i="4"/>
  <c r="C893" i="4" s="1"/>
  <c r="B890" i="4"/>
  <c r="C890" i="4" s="1"/>
  <c r="B887" i="4"/>
  <c r="C887" i="4" s="1"/>
  <c r="B884" i="4"/>
  <c r="C884" i="4" s="1"/>
  <c r="B888" i="4"/>
  <c r="C888" i="4" s="1"/>
  <c r="B892" i="4"/>
  <c r="C892" i="4" s="1"/>
  <c r="B889" i="4"/>
  <c r="C889" i="4" s="1"/>
  <c r="B886" i="4"/>
  <c r="C886" i="4" s="1"/>
  <c r="B896" i="4"/>
  <c r="C896" i="4" s="1"/>
  <c r="B894" i="4"/>
  <c r="C894" i="4" s="1"/>
  <c r="B900" i="4"/>
  <c r="C900" i="4" s="1"/>
  <c r="B901" i="4"/>
  <c r="C901" i="4" s="1"/>
  <c r="B895" i="4"/>
  <c r="C895" i="4" s="1"/>
  <c r="B905" i="4"/>
  <c r="C905" i="4" s="1"/>
  <c r="B902" i="4"/>
  <c r="C902" i="4" s="1"/>
  <c r="B904" i="4"/>
  <c r="C904" i="4" s="1"/>
  <c r="B897" i="4"/>
  <c r="C897" i="4" s="1"/>
  <c r="B911" i="4"/>
  <c r="C911" i="4" s="1"/>
  <c r="B899" i="4"/>
  <c r="C899" i="4" s="1"/>
  <c r="B898" i="4"/>
  <c r="C898" i="4" s="1"/>
  <c r="B916" i="4"/>
  <c r="C916" i="4" s="1"/>
  <c r="B903" i="4"/>
  <c r="C903" i="4" s="1"/>
  <c r="B909" i="4"/>
  <c r="C909" i="4" s="1"/>
  <c r="B910" i="4"/>
  <c r="C910" i="4" s="1"/>
  <c r="B913" i="4"/>
  <c r="C913" i="4" s="1"/>
  <c r="B908" i="4"/>
  <c r="C908" i="4" s="1"/>
  <c r="B912" i="4"/>
  <c r="C912" i="4" s="1"/>
  <c r="B917" i="4"/>
  <c r="C917" i="4" s="1"/>
  <c r="B906" i="4"/>
  <c r="C906" i="4" s="1"/>
  <c r="B918" i="4"/>
  <c r="C918" i="4" s="1"/>
  <c r="B914" i="4"/>
  <c r="C914" i="4" s="1"/>
  <c r="B907" i="4"/>
  <c r="C907" i="4" s="1"/>
  <c r="B924" i="4"/>
  <c r="C924" i="4" s="1"/>
  <c r="B922" i="4"/>
  <c r="C922" i="4" s="1"/>
  <c r="B927" i="4"/>
  <c r="C927" i="4" s="1"/>
  <c r="B921" i="4"/>
  <c r="C921" i="4" s="1"/>
  <c r="B915" i="4"/>
  <c r="C915" i="4" s="1"/>
  <c r="B926" i="4"/>
  <c r="C926" i="4" s="1"/>
  <c r="B919" i="4"/>
  <c r="C919" i="4" s="1"/>
  <c r="B920" i="4"/>
  <c r="C920" i="4" s="1"/>
  <c r="B933" i="4"/>
  <c r="C933" i="4" s="1"/>
  <c r="B923" i="4"/>
  <c r="C923" i="4" s="1"/>
  <c r="B930" i="4"/>
  <c r="C930" i="4" s="1"/>
  <c r="B932" i="4"/>
  <c r="C932" i="4" s="1"/>
  <c r="B929" i="4"/>
  <c r="C929" i="4" s="1"/>
  <c r="B925" i="4"/>
  <c r="C925" i="4" s="1"/>
  <c r="B928" i="4"/>
  <c r="C928" i="4" s="1"/>
  <c r="B935" i="4"/>
  <c r="C935" i="4" s="1"/>
  <c r="B934" i="4"/>
  <c r="C934" i="4" s="1"/>
  <c r="B941" i="4"/>
  <c r="C941" i="4" s="1"/>
  <c r="B936" i="4"/>
  <c r="C936" i="4" s="1"/>
  <c r="B931" i="4"/>
  <c r="C931" i="4" s="1"/>
  <c r="B938" i="4"/>
  <c r="C938" i="4" s="1"/>
  <c r="B940" i="4"/>
  <c r="C940" i="4" s="1"/>
  <c r="B937" i="4"/>
  <c r="C937" i="4" s="1"/>
  <c r="B943" i="4"/>
  <c r="C943" i="4" s="1"/>
  <c r="B945" i="4"/>
  <c r="C945" i="4" s="1"/>
  <c r="B939" i="4"/>
  <c r="C939" i="4" s="1"/>
  <c r="V36" i="1" s="1"/>
  <c r="B946" i="4"/>
  <c r="C946" i="4" s="1"/>
  <c r="B944" i="4"/>
  <c r="C944" i="4" s="1"/>
  <c r="B942" i="4"/>
  <c r="C942" i="4" s="1"/>
  <c r="B950" i="4"/>
  <c r="B948" i="4"/>
  <c r="C948" i="4" s="1"/>
  <c r="B947" i="4"/>
  <c r="C947" i="4" s="1"/>
  <c r="B953" i="4"/>
  <c r="C953" i="4" s="1"/>
  <c r="B952" i="4"/>
  <c r="C952" i="4" s="1"/>
  <c r="B955" i="4"/>
  <c r="C955" i="4" s="1"/>
  <c r="B951" i="4"/>
  <c r="C951" i="4" s="1"/>
  <c r="B949" i="4"/>
  <c r="C949" i="4" s="1"/>
  <c r="B957" i="4"/>
  <c r="C957" i="4" s="1"/>
  <c r="B961" i="4"/>
  <c r="C961" i="4" s="1"/>
  <c r="B956" i="4"/>
  <c r="C956" i="4" s="1"/>
  <c r="B958" i="4"/>
  <c r="C958" i="4" s="1"/>
  <c r="B954" i="4"/>
  <c r="C954" i="4" s="1"/>
  <c r="B962" i="4"/>
  <c r="C962" i="4" s="1"/>
  <c r="B960" i="4"/>
  <c r="C960" i="4" s="1"/>
  <c r="B964" i="4"/>
  <c r="C964" i="4" s="1"/>
  <c r="B963" i="4"/>
  <c r="C963" i="4" s="1"/>
  <c r="B966" i="4"/>
  <c r="C966" i="4" s="1"/>
  <c r="B968" i="4"/>
  <c r="C968" i="4" s="1"/>
  <c r="B959" i="4"/>
  <c r="C959" i="4" s="1"/>
  <c r="B972" i="4"/>
  <c r="C972" i="4" s="1"/>
  <c r="B965" i="4"/>
  <c r="C965" i="4" s="1"/>
  <c r="B969" i="4"/>
  <c r="C969" i="4" s="1"/>
  <c r="B971" i="4"/>
  <c r="C971" i="4" s="1"/>
  <c r="B973" i="4"/>
  <c r="C973" i="4" s="1"/>
  <c r="V38" i="1" s="1"/>
  <c r="B976" i="4"/>
  <c r="C976" i="4" s="1"/>
  <c r="B967" i="4"/>
  <c r="C967" i="4" s="1"/>
  <c r="B974" i="4"/>
  <c r="C974" i="4" s="1"/>
  <c r="B970" i="4"/>
  <c r="C970" i="4" s="1"/>
  <c r="B980" i="4"/>
  <c r="C980" i="4" s="1"/>
  <c r="B977" i="4"/>
  <c r="C977" i="4" s="1"/>
  <c r="B986" i="4"/>
  <c r="C986" i="4" s="1"/>
  <c r="B981" i="4"/>
  <c r="C981" i="4" s="1"/>
  <c r="B979" i="4"/>
  <c r="C979" i="4" s="1"/>
  <c r="B983" i="4"/>
  <c r="C983" i="4" s="1"/>
  <c r="B975" i="4"/>
  <c r="C975" i="4" s="1"/>
  <c r="B985" i="4"/>
  <c r="C985" i="4" s="1"/>
  <c r="B978" i="4"/>
  <c r="C978" i="4" s="1"/>
  <c r="B987" i="4"/>
  <c r="C987" i="4" s="1"/>
  <c r="B991" i="4"/>
  <c r="C991" i="4" s="1"/>
  <c r="B984" i="4"/>
  <c r="C984" i="4" s="1"/>
  <c r="B990" i="4"/>
  <c r="C990" i="4" s="1"/>
  <c r="B992" i="4"/>
  <c r="C992" i="4" s="1"/>
  <c r="B988" i="4"/>
  <c r="C988" i="4" s="1"/>
  <c r="B989" i="4"/>
  <c r="C989" i="4" s="1"/>
  <c r="B993" i="4"/>
  <c r="C993" i="4" s="1"/>
  <c r="B982" i="4"/>
  <c r="C982" i="4" s="1"/>
  <c r="B1000" i="4"/>
  <c r="C1000" i="4" s="1"/>
  <c r="B997" i="4"/>
  <c r="C997" i="4" s="1"/>
  <c r="B994" i="4"/>
  <c r="C994" i="4" s="1"/>
  <c r="B999" i="4"/>
  <c r="C999" i="4" s="1"/>
  <c r="B995" i="4"/>
  <c r="C995" i="4" s="1"/>
  <c r="B1002" i="4"/>
  <c r="C1002" i="4" s="1"/>
  <c r="B1003" i="4"/>
  <c r="C1003" i="4" s="1"/>
  <c r="B996" i="4"/>
  <c r="C996" i="4" s="1"/>
  <c r="B1008" i="4"/>
  <c r="C1008" i="4" s="1"/>
  <c r="B1005" i="4"/>
  <c r="C1005" i="4" s="1"/>
  <c r="B1009" i="4"/>
  <c r="C1009" i="4" s="1"/>
  <c r="B998" i="4"/>
  <c r="C998" i="4" s="1"/>
  <c r="B1018" i="4"/>
  <c r="C1018" i="4" s="1"/>
  <c r="B1011" i="4"/>
  <c r="C1011" i="4" s="1"/>
  <c r="B1019" i="4"/>
  <c r="C1019" i="4" s="1"/>
  <c r="B1006" i="4"/>
  <c r="C1006" i="4" s="1"/>
  <c r="B1012" i="4"/>
  <c r="C1012" i="4" s="1"/>
  <c r="B1025" i="4"/>
  <c r="C1025" i="4" s="1"/>
  <c r="B1021" i="4"/>
  <c r="C1021" i="4" s="1"/>
  <c r="B1024" i="4"/>
  <c r="C1024" i="4" s="1"/>
  <c r="B1027" i="4"/>
  <c r="C1027" i="4" s="1"/>
  <c r="B1030" i="4"/>
  <c r="C1030" i="4" s="1"/>
  <c r="B1042" i="4"/>
  <c r="C1042" i="4" s="1"/>
  <c r="B1038" i="4"/>
  <c r="C1038" i="4" s="1"/>
  <c r="B1037" i="4"/>
  <c r="C1037" i="4" s="1"/>
  <c r="B1047" i="4"/>
  <c r="C1047" i="4" s="1"/>
  <c r="B1048" i="4"/>
  <c r="C1048" i="4" s="1"/>
  <c r="B1045" i="4"/>
  <c r="C1045" i="4" s="1"/>
  <c r="B1032" i="4"/>
  <c r="C1032" i="4" s="1"/>
  <c r="B1053" i="4"/>
  <c r="C1053" i="4" s="1"/>
  <c r="B1039" i="4"/>
  <c r="C1039" i="4" s="1"/>
  <c r="B1033" i="4"/>
  <c r="C1033" i="4" s="1"/>
  <c r="B1059" i="4"/>
  <c r="C1059" i="4" s="1"/>
  <c r="B1051" i="4"/>
  <c r="C1051" i="4" s="1"/>
  <c r="B1064" i="4"/>
  <c r="C1064" i="4" s="1"/>
  <c r="B1044" i="4"/>
  <c r="C1044" i="4" s="1"/>
  <c r="B1056" i="4"/>
  <c r="C1056" i="4" s="1"/>
  <c r="B1057" i="4"/>
  <c r="C1057" i="4" s="1"/>
  <c r="B1063" i="4"/>
  <c r="C1063" i="4" s="1"/>
  <c r="B1060" i="4"/>
  <c r="C1060" i="4" s="1"/>
  <c r="B1054" i="4"/>
  <c r="C1054" i="4" s="1"/>
  <c r="B1067" i="4"/>
  <c r="C1067" i="4" s="1"/>
  <c r="B1077" i="4"/>
  <c r="C1077" i="4" s="1"/>
  <c r="B1081" i="4"/>
  <c r="C1081" i="4" s="1"/>
  <c r="B1083" i="4"/>
  <c r="C1083" i="4" s="1"/>
  <c r="B1075" i="4"/>
  <c r="C1075" i="4" s="1"/>
  <c r="B1072" i="4"/>
  <c r="C1072" i="4" s="1"/>
  <c r="B1074" i="4"/>
  <c r="C1074" i="4" s="1"/>
  <c r="B1094" i="4"/>
  <c r="C1094" i="4" s="1"/>
  <c r="B1085" i="4"/>
  <c r="C1085" i="4" s="1"/>
  <c r="B1096" i="4"/>
  <c r="C1096" i="4" s="1"/>
  <c r="B1086" i="4"/>
  <c r="C1086" i="4" s="1"/>
  <c r="B1099" i="4"/>
  <c r="C1099" i="4" s="1"/>
  <c r="B1100" i="4"/>
  <c r="C1100" i="4" s="1"/>
  <c r="B1091" i="4"/>
  <c r="C1091" i="4" s="1"/>
  <c r="B1093" i="4"/>
  <c r="C1093" i="4" s="1"/>
  <c r="B1090" i="4"/>
  <c r="C1090" i="4" s="1"/>
  <c r="B1092" i="4"/>
  <c r="C1092" i="4" s="1"/>
  <c r="B1104" i="4"/>
  <c r="C1104" i="4" s="1"/>
  <c r="B1119" i="4"/>
  <c r="C1119" i="4" s="1"/>
  <c r="B1105" i="4"/>
  <c r="C1105" i="4" s="1"/>
  <c r="B1112" i="4"/>
  <c r="C1112" i="4" s="1"/>
  <c r="B1111" i="4"/>
  <c r="C1111" i="4" s="1"/>
  <c r="B1118" i="4"/>
  <c r="C1118" i="4" s="1"/>
  <c r="B1108" i="4"/>
  <c r="C1108" i="4" s="1"/>
  <c r="B1115" i="4"/>
  <c r="C1115" i="4" s="1"/>
  <c r="B1122" i="4"/>
  <c r="C1122" i="4" s="1"/>
  <c r="B1123" i="4"/>
  <c r="C1123" i="4" s="1"/>
  <c r="B1106" i="4"/>
  <c r="C1106" i="4" s="1"/>
  <c r="B1124" i="4"/>
  <c r="C1124" i="4" s="1"/>
  <c r="B1126" i="4"/>
  <c r="C1126" i="4" s="1"/>
  <c r="B1131" i="4"/>
  <c r="C1131" i="4" s="1"/>
  <c r="B1133" i="4"/>
  <c r="C1133" i="4" s="1"/>
  <c r="B1128" i="4"/>
  <c r="C1128" i="4" s="1"/>
  <c r="B1137" i="4"/>
  <c r="C1137" i="4" s="1"/>
  <c r="B1150" i="4"/>
  <c r="C1150" i="4" s="1"/>
  <c r="B1144" i="4"/>
  <c r="C1144" i="4" s="1"/>
  <c r="B1139" i="4"/>
  <c r="C1139" i="4" s="1"/>
  <c r="B1141" i="4"/>
  <c r="C1141" i="4" s="1"/>
  <c r="B1142" i="4"/>
  <c r="C1142" i="4" s="1"/>
  <c r="B1138" i="4"/>
  <c r="C1138" i="4" s="1"/>
  <c r="B1143" i="4"/>
  <c r="C1143" i="4" s="1"/>
  <c r="B1157" i="4"/>
  <c r="C1157" i="4" s="1"/>
  <c r="B1165" i="4"/>
  <c r="C1165" i="4" s="1"/>
  <c r="B1154" i="4"/>
  <c r="C1154" i="4" s="1"/>
  <c r="B1169" i="4"/>
  <c r="C1169" i="4" s="1"/>
  <c r="B1162" i="4"/>
  <c r="C1162" i="4" s="1"/>
  <c r="B1175" i="4"/>
  <c r="C1175" i="4" s="1"/>
  <c r="B1156" i="4"/>
  <c r="C1156" i="4" s="1"/>
  <c r="B1152" i="4"/>
  <c r="C1152" i="4" s="1"/>
  <c r="B1158" i="4"/>
  <c r="C1158" i="4" s="1"/>
  <c r="B1171" i="4"/>
  <c r="C1171" i="4" s="1"/>
  <c r="B1172" i="4"/>
  <c r="C1172" i="4" s="1"/>
  <c r="B1179" i="4"/>
  <c r="C1179" i="4" s="1"/>
  <c r="B1164" i="4"/>
  <c r="C1164" i="4" s="1"/>
  <c r="B1170" i="4"/>
  <c r="C1170" i="4" s="1"/>
  <c r="B1181" i="4"/>
  <c r="C1181" i="4" s="1"/>
  <c r="B1178" i="4"/>
  <c r="C1178" i="4" s="1"/>
  <c r="B1185" i="4"/>
  <c r="C1185" i="4" s="1"/>
  <c r="B1183" i="4"/>
  <c r="C1183" i="4" s="1"/>
  <c r="B1189" i="4"/>
  <c r="C1189" i="4" s="1"/>
  <c r="B1193" i="4"/>
  <c r="C1193" i="4" s="1"/>
  <c r="B1192" i="4"/>
  <c r="C1192" i="4" s="1"/>
  <c r="B1195" i="4"/>
  <c r="C1195" i="4" s="1"/>
  <c r="B1191" i="4"/>
  <c r="C1191" i="4" s="1"/>
  <c r="B1202" i="4"/>
  <c r="C1202" i="4" s="1"/>
  <c r="B1201" i="4"/>
  <c r="C1201" i="4" s="1"/>
  <c r="B1199" i="4"/>
  <c r="C1199" i="4" s="1"/>
  <c r="B1215" i="4"/>
  <c r="C1215" i="4" s="1"/>
  <c r="B1203" i="4"/>
  <c r="C1203" i="4" s="1"/>
  <c r="B1205" i="4"/>
  <c r="C1205" i="4" s="1"/>
  <c r="B1212" i="4"/>
  <c r="C1212" i="4" s="1"/>
  <c r="V55" i="1" s="1"/>
  <c r="P45" i="2" s="1"/>
  <c r="B1211" i="4"/>
  <c r="C1211" i="4" s="1"/>
  <c r="B1210" i="4"/>
  <c r="C1210" i="4" s="1"/>
  <c r="B1226" i="4"/>
  <c r="C1226" i="4" s="1"/>
  <c r="B1219" i="4"/>
  <c r="C1219" i="4" s="1"/>
  <c r="B1221" i="4"/>
  <c r="C1221" i="4" s="1"/>
  <c r="B1217" i="4"/>
  <c r="C1217" i="4" s="1"/>
  <c r="B1216" i="4"/>
  <c r="C1216" i="4" s="1"/>
  <c r="B1228" i="4"/>
  <c r="C1228" i="4" s="1"/>
  <c r="B1235" i="4"/>
  <c r="C1235" i="4" s="1"/>
  <c r="B1230" i="4"/>
  <c r="C1230" i="4" s="1"/>
  <c r="B1243" i="4"/>
  <c r="C1243" i="4" s="1"/>
  <c r="B1237" i="4"/>
  <c r="C1237" i="4" s="1"/>
  <c r="B1233" i="4"/>
  <c r="C1233" i="4" s="1"/>
  <c r="B1231" i="4"/>
  <c r="C1231" i="4" s="1"/>
  <c r="B1245" i="4"/>
  <c r="C1245" i="4" s="1"/>
  <c r="B1238" i="4"/>
  <c r="C1238" i="4" s="1"/>
  <c r="B1250" i="4"/>
  <c r="C1250" i="4" s="1"/>
  <c r="B1251" i="4"/>
  <c r="C1251" i="4" s="1"/>
  <c r="B1252" i="4"/>
  <c r="C1252" i="4" s="1"/>
  <c r="B1258" i="4"/>
  <c r="B1247" i="4"/>
  <c r="C1247" i="4" s="1"/>
  <c r="B1256" i="4"/>
  <c r="C1256" i="4" s="1"/>
  <c r="B1249" i="4"/>
  <c r="C1249" i="4" s="1"/>
  <c r="B1257" i="4"/>
  <c r="C1257" i="4" s="1"/>
  <c r="B1265" i="4"/>
  <c r="C1265" i="4" s="1"/>
  <c r="B1266" i="4"/>
  <c r="C1266" i="4" s="1"/>
  <c r="B1262" i="4"/>
  <c r="C1262" i="4" s="1"/>
  <c r="B1270" i="4"/>
  <c r="C1270" i="4" s="1"/>
  <c r="B1273" i="4"/>
  <c r="C1273" i="4" s="1"/>
  <c r="B1272" i="4"/>
  <c r="C1272" i="4" s="1"/>
  <c r="B1267" i="4"/>
  <c r="C1267" i="4" s="1"/>
  <c r="B1276" i="4"/>
  <c r="C1276" i="4" s="1"/>
  <c r="B1275" i="4"/>
  <c r="C1275" i="4" s="1"/>
  <c r="B1277" i="4"/>
  <c r="C1277" i="4" s="1"/>
  <c r="B1284" i="4"/>
  <c r="C1284" i="4" s="1"/>
  <c r="B1279" i="4"/>
  <c r="C1279" i="4" s="1"/>
  <c r="B1281" i="4"/>
  <c r="C1281" i="4" s="1"/>
  <c r="B1289" i="4"/>
  <c r="C1289" i="4" s="1"/>
  <c r="B1285" i="4"/>
  <c r="C1285" i="4" s="1"/>
  <c r="B1290" i="4"/>
  <c r="C1290" i="4" s="1"/>
  <c r="B1294" i="4"/>
  <c r="C1294" i="4" s="1"/>
  <c r="B1297" i="4"/>
  <c r="C1297" i="4" s="1"/>
  <c r="B1300" i="4"/>
  <c r="C1300" i="4" s="1"/>
  <c r="B1307" i="4"/>
  <c r="C1307" i="4" s="1"/>
  <c r="B1291" i="4"/>
  <c r="C1291" i="4" s="1"/>
  <c r="B1287" i="4"/>
  <c r="C1287" i="4" s="1"/>
  <c r="B1303" i="4"/>
  <c r="C1303" i="4" s="1"/>
  <c r="B1306" i="4"/>
  <c r="C1306" i="4" s="1"/>
  <c r="B1314" i="4"/>
  <c r="C1314" i="4" s="1"/>
  <c r="B1318" i="4"/>
  <c r="C1318" i="4" s="1"/>
  <c r="B1310" i="4"/>
  <c r="C1310" i="4" s="1"/>
  <c r="B1317" i="4"/>
  <c r="C1317" i="4" s="1"/>
  <c r="B1326" i="4"/>
  <c r="C1326" i="4" s="1"/>
  <c r="B1308" i="4"/>
  <c r="C1308" i="4" s="1"/>
  <c r="B1330" i="4"/>
  <c r="C1330" i="4" s="1"/>
  <c r="B1320" i="4"/>
  <c r="C1320" i="4" s="1"/>
  <c r="B1332" i="4"/>
  <c r="C1332" i="4" s="1"/>
  <c r="B1327" i="4"/>
  <c r="C1327" i="4" s="1"/>
  <c r="B1324" i="4"/>
  <c r="C1324" i="4" s="1"/>
  <c r="B1336" i="4"/>
  <c r="C1336" i="4" s="1"/>
  <c r="B1328" i="4"/>
  <c r="C1328" i="4" s="1"/>
  <c r="B1343" i="4"/>
  <c r="C1343" i="4" s="1"/>
  <c r="B1335" i="4"/>
  <c r="C1335" i="4" s="1"/>
  <c r="B1337" i="4"/>
  <c r="C1337" i="4" s="1"/>
  <c r="B1346" i="4"/>
  <c r="C1346" i="4" s="1"/>
  <c r="B1349" i="4"/>
  <c r="C1349" i="4" s="1"/>
  <c r="B1348" i="4"/>
  <c r="C1348" i="4" s="1"/>
  <c r="B1356" i="4"/>
  <c r="C1356" i="4" s="1"/>
  <c r="B1342" i="4"/>
  <c r="C1342" i="4" s="1"/>
  <c r="B1361" i="4"/>
  <c r="C1361" i="4" s="1"/>
  <c r="B1351" i="4"/>
  <c r="C1351" i="4" s="1"/>
  <c r="B1355" i="4"/>
  <c r="C1355" i="4" s="1"/>
  <c r="B1364" i="4"/>
  <c r="C1364" i="4" s="1"/>
  <c r="B1358" i="4"/>
  <c r="C1358" i="4" s="1"/>
  <c r="B1360" i="4"/>
  <c r="C1360" i="4" s="1"/>
  <c r="B1370" i="4"/>
  <c r="C1370" i="4" s="1"/>
  <c r="B1354" i="4"/>
  <c r="C1354" i="4" s="1"/>
  <c r="B1365" i="4"/>
  <c r="C1365" i="4" s="1"/>
  <c r="B1359" i="4"/>
  <c r="C1359" i="4" s="1"/>
  <c r="B1357" i="4"/>
  <c r="C1357" i="4" s="1"/>
  <c r="B1366" i="4"/>
  <c r="C1366" i="4" s="1"/>
  <c r="B1363" i="4"/>
  <c r="C1363" i="4" s="1"/>
  <c r="B1362" i="4"/>
  <c r="C1362" i="4" s="1"/>
  <c r="B1371" i="4"/>
  <c r="C1371" i="4" s="1"/>
  <c r="B1369" i="4"/>
  <c r="C1369" i="4" s="1"/>
  <c r="B1368" i="4"/>
  <c r="C1368" i="4" s="1"/>
  <c r="B1367" i="4"/>
  <c r="C1367" i="4" s="1"/>
  <c r="B1373" i="4"/>
  <c r="C1373" i="4" s="1"/>
  <c r="B1378" i="4"/>
  <c r="C1378" i="4" s="1"/>
  <c r="B1375" i="4"/>
  <c r="C1375" i="4" s="1"/>
  <c r="B1376" i="4"/>
  <c r="C1376" i="4" s="1"/>
  <c r="B1374" i="4"/>
  <c r="C1374" i="4" s="1"/>
  <c r="B1379" i="4"/>
  <c r="C1379" i="4" s="1"/>
  <c r="B1381" i="4"/>
  <c r="C1381" i="4" s="1"/>
  <c r="B1385" i="4"/>
  <c r="C1385" i="4" s="1"/>
  <c r="B1372" i="4"/>
  <c r="C1372" i="4" s="1"/>
  <c r="B1382" i="4"/>
  <c r="C1382" i="4" s="1"/>
  <c r="B1377" i="4"/>
  <c r="C1377" i="4" s="1"/>
  <c r="B1380" i="4"/>
  <c r="C1380" i="4" s="1"/>
  <c r="B1387" i="4"/>
  <c r="C1387" i="4" s="1"/>
  <c r="B1384" i="4"/>
  <c r="C1384" i="4" s="1"/>
  <c r="B1401" i="4"/>
  <c r="C1401" i="4" s="1"/>
  <c r="B1390" i="4"/>
  <c r="C1390" i="4" s="1"/>
  <c r="B1386" i="4"/>
  <c r="C1386" i="4" s="1"/>
  <c r="B1383" i="4"/>
  <c r="C1383" i="4" s="1"/>
  <c r="B1393" i="4"/>
  <c r="C1393" i="4" s="1"/>
  <c r="B1388" i="4"/>
  <c r="C1388" i="4" s="1"/>
  <c r="B1392" i="4"/>
  <c r="C1392" i="4" s="1"/>
  <c r="B1391" i="4"/>
  <c r="C1391" i="4" s="1"/>
  <c r="B1389" i="4"/>
  <c r="C1389" i="4" s="1"/>
  <c r="B1397" i="4"/>
  <c r="C1397" i="4" s="1"/>
  <c r="B1400" i="4"/>
  <c r="C1400" i="4" s="1"/>
  <c r="B1398" i="4"/>
  <c r="C1398" i="4" s="1"/>
  <c r="B1396" i="4"/>
  <c r="C1396" i="4" s="1"/>
  <c r="B1395" i="4"/>
  <c r="C1395" i="4" s="1"/>
  <c r="B1399" i="4"/>
  <c r="C1399" i="4" s="1"/>
  <c r="B1413" i="4"/>
  <c r="C1413" i="4" s="1"/>
  <c r="B1394" i="4"/>
  <c r="C1394" i="4" s="1"/>
  <c r="B1403" i="4"/>
  <c r="C1403" i="4" s="1"/>
  <c r="B1404" i="4"/>
  <c r="C1404" i="4" s="1"/>
  <c r="B1402" i="4"/>
  <c r="C1402" i="4" s="1"/>
  <c r="B1405" i="4"/>
  <c r="C1405" i="4" s="1"/>
  <c r="B1412" i="4"/>
  <c r="C1412" i="4" s="1"/>
  <c r="B1415" i="4"/>
  <c r="C1415" i="4" s="1"/>
  <c r="B1411" i="4"/>
  <c r="C1411" i="4" s="1"/>
  <c r="B1408" i="4"/>
  <c r="C1408" i="4" s="1"/>
  <c r="B1416" i="4"/>
  <c r="C1416" i="4" s="1"/>
  <c r="B1410" i="4"/>
  <c r="C1410" i="4" s="1"/>
  <c r="B1406" i="4"/>
  <c r="C1406" i="4" s="1"/>
  <c r="B1409" i="4"/>
  <c r="C1409" i="4" s="1"/>
  <c r="B1418" i="4"/>
  <c r="C1418" i="4" s="1"/>
  <c r="B1414" i="4"/>
  <c r="C1414" i="4" s="1"/>
  <c r="B1421" i="4"/>
  <c r="C1421" i="4" s="1"/>
  <c r="B1417" i="4"/>
  <c r="C1417" i="4" s="1"/>
  <c r="B1407" i="4"/>
  <c r="C1407" i="4" s="1"/>
  <c r="B1427" i="4"/>
  <c r="C1427" i="4" s="1"/>
  <c r="B1420" i="4"/>
  <c r="C1420" i="4" s="1"/>
  <c r="B1419" i="4"/>
  <c r="C1419" i="4" s="1"/>
  <c r="B1424" i="4"/>
  <c r="C1424" i="4" s="1"/>
  <c r="B1426" i="4"/>
  <c r="C1426" i="4" s="1"/>
  <c r="B1422" i="4"/>
  <c r="C1422" i="4" s="1"/>
  <c r="B1430" i="4"/>
  <c r="C1430" i="4" s="1"/>
  <c r="B1435" i="4"/>
  <c r="C1435" i="4" s="1"/>
  <c r="B1423" i="4"/>
  <c r="C1423" i="4" s="1"/>
  <c r="B1425" i="4"/>
  <c r="C1425" i="4" s="1"/>
  <c r="B1429" i="4"/>
  <c r="C1429" i="4" s="1"/>
  <c r="B1433" i="4"/>
  <c r="C1433" i="4" s="1"/>
  <c r="B1431" i="4"/>
  <c r="C1431" i="4" s="1"/>
  <c r="B1432" i="4"/>
  <c r="C1432" i="4" s="1"/>
  <c r="B1442" i="4"/>
  <c r="C1442" i="4" s="1"/>
  <c r="B1440" i="4"/>
  <c r="C1440" i="4" s="1"/>
  <c r="B1441" i="4"/>
  <c r="C1441" i="4" s="1"/>
  <c r="B1438" i="4"/>
  <c r="C1438" i="4" s="1"/>
  <c r="B1428" i="4"/>
  <c r="C1428" i="4" s="1"/>
  <c r="B1436" i="4"/>
  <c r="C1436" i="4" s="1"/>
  <c r="B1437" i="4"/>
  <c r="C1437" i="4" s="1"/>
  <c r="B1445" i="4"/>
  <c r="C1445" i="4" s="1"/>
  <c r="B1444" i="4"/>
  <c r="C1444" i="4" s="1"/>
  <c r="B1439" i="4"/>
  <c r="C1439" i="4" s="1"/>
  <c r="B1447" i="4"/>
  <c r="B1446" i="4"/>
  <c r="C1446" i="4" s="1"/>
  <c r="B1449" i="4"/>
  <c r="B1443" i="4"/>
  <c r="C1443" i="4" s="1"/>
  <c r="B1434" i="4"/>
  <c r="C1434" i="4" s="1"/>
  <c r="B1454" i="4"/>
  <c r="C1454" i="4" s="1"/>
  <c r="B1448" i="4"/>
  <c r="C1448" i="4" s="1"/>
  <c r="B1458" i="4"/>
  <c r="C1458" i="4" s="1"/>
  <c r="B1455" i="4"/>
  <c r="C1455" i="4" s="1"/>
  <c r="B1453" i="4"/>
  <c r="C1453" i="4" s="1"/>
  <c r="B1450" i="4"/>
  <c r="C1450" i="4" s="1"/>
  <c r="B1456" i="4"/>
  <c r="C1456" i="4" s="1"/>
  <c r="B1451" i="4"/>
  <c r="C1451" i="4" s="1"/>
  <c r="B1460" i="4"/>
  <c r="C1460" i="4" s="1"/>
  <c r="B1452" i="4"/>
  <c r="C1452" i="4" s="1"/>
  <c r="B1462" i="4"/>
  <c r="C1462" i="4" s="1"/>
  <c r="B1461" i="4"/>
  <c r="C1461" i="4" s="1"/>
  <c r="B1457" i="4"/>
  <c r="C1457" i="4" s="1"/>
  <c r="B1465" i="4"/>
  <c r="C1465" i="4" s="1"/>
  <c r="B1463" i="4"/>
  <c r="C1463" i="4" s="1"/>
  <c r="B1459" i="4"/>
  <c r="C1459" i="4" s="1"/>
  <c r="B1466" i="4"/>
  <c r="C1466" i="4" s="1"/>
  <c r="B1464" i="4"/>
  <c r="C1464" i="4" s="1"/>
  <c r="B1468" i="4"/>
  <c r="C1468" i="4" s="1"/>
  <c r="B1471" i="4"/>
  <c r="C1471" i="4" s="1"/>
  <c r="B1473" i="4"/>
  <c r="C1473" i="4" s="1"/>
  <c r="B1469" i="4"/>
  <c r="C1469" i="4" s="1"/>
  <c r="B1477" i="4"/>
  <c r="C1477" i="4" s="1"/>
  <c r="B1467" i="4"/>
  <c r="C1467" i="4" s="1"/>
  <c r="B1476" i="4"/>
  <c r="C1476" i="4" s="1"/>
  <c r="B1479" i="4"/>
  <c r="C1479" i="4" s="1"/>
  <c r="B1474" i="4"/>
  <c r="C1474" i="4" s="1"/>
  <c r="B1475" i="4"/>
  <c r="C1475" i="4" s="1"/>
  <c r="B1472" i="4"/>
  <c r="C1472" i="4" s="1"/>
  <c r="B1470" i="4"/>
  <c r="C1470" i="4" s="1"/>
  <c r="B1480" i="4"/>
  <c r="B1488" i="4"/>
  <c r="C1488" i="4" s="1"/>
  <c r="B1485" i="4"/>
  <c r="C1485" i="4" s="1"/>
  <c r="B1483" i="4"/>
  <c r="C1483" i="4" s="1"/>
  <c r="B1478" i="4"/>
  <c r="C1478" i="4" s="1"/>
  <c r="B1487" i="4"/>
  <c r="C1487" i="4" s="1"/>
  <c r="B1489" i="4"/>
  <c r="C1489" i="4" s="1"/>
  <c r="B1482" i="4"/>
  <c r="C1482" i="4" s="1"/>
  <c r="B1486" i="4"/>
  <c r="C1486" i="4" s="1"/>
  <c r="B1484" i="4"/>
  <c r="C1484" i="4" s="1"/>
  <c r="B1491" i="4"/>
  <c r="C1491" i="4" s="1"/>
  <c r="B1497" i="4"/>
  <c r="C1497" i="4" s="1"/>
  <c r="B1493" i="4"/>
  <c r="B1494" i="4"/>
  <c r="C1494" i="4" s="1"/>
  <c r="B1496" i="4"/>
  <c r="C1496" i="4" s="1"/>
  <c r="B1490" i="4"/>
  <c r="C1490" i="4" s="1"/>
  <c r="B1492" i="4"/>
  <c r="C1492" i="4" s="1"/>
  <c r="B1495" i="4"/>
  <c r="C1495" i="4" s="1"/>
  <c r="B1501" i="4"/>
  <c r="C1501" i="4" s="1"/>
  <c r="B1506" i="4"/>
  <c r="C1506" i="4" s="1"/>
  <c r="B1499" i="4"/>
  <c r="C1499" i="4" s="1"/>
  <c r="B1500" i="4"/>
  <c r="C1500" i="4" s="1"/>
  <c r="B1498" i="4"/>
  <c r="C1498" i="4" s="1"/>
  <c r="B1502" i="4"/>
  <c r="C1502" i="4" s="1"/>
  <c r="B1508" i="4"/>
  <c r="C1508" i="4" s="1"/>
  <c r="B1507" i="4"/>
  <c r="C1507" i="4" s="1"/>
  <c r="B1505" i="4"/>
  <c r="C1505" i="4" s="1"/>
  <c r="B1509" i="4"/>
  <c r="C1509" i="4" s="1"/>
  <c r="B1503" i="4"/>
  <c r="C1503" i="4" s="1"/>
  <c r="B1514" i="4"/>
  <c r="C1514" i="4" s="1"/>
  <c r="B1504" i="4"/>
  <c r="C1504" i="4" s="1"/>
  <c r="B1511" i="4"/>
  <c r="C1511" i="4" s="1"/>
  <c r="B1510" i="4"/>
  <c r="C1510" i="4" s="1"/>
  <c r="B1517" i="4"/>
  <c r="C1517" i="4" s="1"/>
  <c r="B1515" i="4"/>
  <c r="C1515" i="4" s="1"/>
  <c r="B1512" i="4"/>
  <c r="C1512" i="4" s="1"/>
  <c r="B1520" i="4"/>
  <c r="C1520" i="4" s="1"/>
  <c r="B1516" i="4"/>
  <c r="C1516" i="4" s="1"/>
  <c r="B1513" i="4"/>
  <c r="C1513" i="4" s="1"/>
  <c r="B1521" i="4"/>
  <c r="C1521" i="4" s="1"/>
  <c r="B1525" i="4"/>
  <c r="C1525" i="4" s="1"/>
  <c r="B1519" i="4"/>
  <c r="C1519" i="4" s="1"/>
  <c r="B1518" i="4"/>
  <c r="C1518" i="4" s="1"/>
  <c r="B1524" i="4"/>
  <c r="C1524" i="4" s="1"/>
  <c r="B1522" i="4"/>
  <c r="C1522" i="4" s="1"/>
  <c r="B1523" i="4"/>
  <c r="C1523" i="4" s="1"/>
  <c r="B1537" i="4"/>
  <c r="C1537" i="4" s="1"/>
  <c r="B1530" i="4"/>
  <c r="C1530" i="4" s="1"/>
  <c r="B1533" i="4"/>
  <c r="C1533" i="4" s="1"/>
  <c r="B1527" i="4"/>
  <c r="C1527" i="4" s="1"/>
  <c r="B1529" i="4"/>
  <c r="C1529" i="4" s="1"/>
  <c r="B1526" i="4"/>
  <c r="C1526" i="4" s="1"/>
  <c r="B1531" i="4"/>
  <c r="C1531" i="4" s="1"/>
  <c r="B1538" i="4"/>
  <c r="C1538" i="4" s="1"/>
  <c r="B1534" i="4"/>
  <c r="C1534" i="4" s="1"/>
  <c r="B1536" i="4"/>
  <c r="C1536" i="4" s="1"/>
  <c r="B1532" i="4"/>
  <c r="C1532" i="4" s="1"/>
  <c r="B1535" i="4"/>
  <c r="C1535" i="4" s="1"/>
  <c r="B1541" i="4"/>
  <c r="C1541" i="4" s="1"/>
  <c r="B1542" i="4"/>
  <c r="C1542" i="4" s="1"/>
  <c r="B1528" i="4"/>
  <c r="C1528" i="4" s="1"/>
  <c r="B1539" i="4"/>
  <c r="C1539" i="4" s="1"/>
  <c r="B1540" i="4"/>
  <c r="C1540" i="4" s="1"/>
  <c r="B1546" i="4"/>
  <c r="C1546" i="4" s="1"/>
  <c r="B1547" i="4"/>
  <c r="C1547" i="4" s="1"/>
  <c r="B1545" i="4"/>
  <c r="C1545" i="4" s="1"/>
  <c r="B1544" i="4"/>
  <c r="C1544" i="4" s="1"/>
  <c r="B1549" i="4"/>
  <c r="C1549" i="4" s="1"/>
  <c r="B1550" i="4"/>
  <c r="C1550" i="4" s="1"/>
  <c r="B1552" i="4"/>
  <c r="C1552" i="4" s="1"/>
  <c r="B1548" i="4"/>
  <c r="C1548" i="4" s="1"/>
  <c r="B1543" i="4"/>
  <c r="C1543" i="4" s="1"/>
  <c r="B1553" i="4"/>
  <c r="C1553" i="4" s="1"/>
  <c r="B1554" i="4"/>
  <c r="C1554" i="4" s="1"/>
  <c r="B1559" i="4"/>
  <c r="C1559" i="4" s="1"/>
  <c r="B1565" i="4"/>
  <c r="C1565" i="4" s="1"/>
  <c r="B1551" i="4"/>
  <c r="C1551" i="4" s="1"/>
  <c r="B1556" i="4"/>
  <c r="C1556" i="4" s="1"/>
  <c r="B1564" i="4"/>
  <c r="C1564" i="4" s="1"/>
  <c r="B1567" i="4"/>
  <c r="C1567" i="4" s="1"/>
  <c r="B1557" i="4"/>
  <c r="C1557" i="4" s="1"/>
  <c r="B1555" i="4"/>
  <c r="C1555" i="4" s="1"/>
  <c r="B1558" i="4"/>
  <c r="C1558" i="4" s="1"/>
  <c r="B1560" i="4"/>
  <c r="C1560" i="4" s="1"/>
  <c r="B1569" i="4"/>
  <c r="C1569" i="4" s="1"/>
  <c r="B1563" i="4"/>
  <c r="C1563" i="4" s="1"/>
  <c r="B1568" i="4"/>
  <c r="C1568" i="4" s="1"/>
  <c r="B1571" i="4"/>
  <c r="C1571" i="4" s="1"/>
  <c r="B1561" i="4"/>
  <c r="C1561" i="4" s="1"/>
  <c r="B1562" i="4"/>
  <c r="C1562" i="4" s="1"/>
  <c r="B1575" i="4"/>
  <c r="C1575" i="4" s="1"/>
  <c r="B1573" i="4"/>
  <c r="C1573" i="4" s="1"/>
  <c r="B1566" i="4"/>
  <c r="C1566" i="4" s="1"/>
  <c r="B1570" i="4"/>
  <c r="C1570" i="4" s="1"/>
  <c r="B1574" i="4"/>
  <c r="C1574" i="4" s="1"/>
  <c r="B1582" i="4"/>
  <c r="C1582" i="4" s="1"/>
  <c r="B1579" i="4"/>
  <c r="C1579" i="4" s="1"/>
  <c r="B1576" i="4"/>
  <c r="C1576" i="4" s="1"/>
  <c r="B1578" i="4"/>
  <c r="C1578" i="4" s="1"/>
  <c r="B1577" i="4"/>
  <c r="C1577" i="4" s="1"/>
  <c r="B1572" i="4"/>
  <c r="C1572" i="4" s="1"/>
  <c r="B1583" i="4"/>
  <c r="C1583" i="4" s="1"/>
  <c r="B1588" i="4"/>
  <c r="C1588" i="4" s="1"/>
  <c r="B1004" i="4"/>
  <c r="C1004" i="4" s="1"/>
  <c r="B1010" i="4"/>
  <c r="C1010" i="4" s="1"/>
  <c r="B1581" i="4"/>
  <c r="C1581" i="4" s="1"/>
  <c r="B1014" i="4"/>
  <c r="C1014" i="4" s="1"/>
  <c r="B1589" i="4"/>
  <c r="C1589" i="4" s="1"/>
  <c r="B1015" i="4"/>
  <c r="C1015" i="4" s="1"/>
  <c r="B1020" i="4"/>
  <c r="C1020" i="4" s="1"/>
  <c r="B1023" i="4"/>
  <c r="C1023" i="4" s="1"/>
  <c r="B1028" i="4"/>
  <c r="C1028" i="4" s="1"/>
  <c r="B1022" i="4"/>
  <c r="C1022" i="4" s="1"/>
  <c r="B1043" i="4"/>
  <c r="C1043" i="4" s="1"/>
  <c r="B1036" i="4"/>
  <c r="C1036" i="4" s="1"/>
  <c r="B1035" i="4"/>
  <c r="C1035" i="4" s="1"/>
  <c r="B1050" i="4"/>
  <c r="C1050" i="4" s="1"/>
  <c r="B1040" i="4"/>
  <c r="C1040" i="4" s="1"/>
  <c r="B1049" i="4"/>
  <c r="C1049" i="4" s="1"/>
  <c r="B1065" i="4"/>
  <c r="C1065" i="4" s="1"/>
  <c r="B1071" i="4"/>
  <c r="C1071" i="4" s="1"/>
  <c r="B1055" i="4"/>
  <c r="C1055" i="4" s="1"/>
  <c r="B1084" i="4"/>
  <c r="C1084" i="4" s="1"/>
  <c r="B1089" i="4"/>
  <c r="C1089" i="4" s="1"/>
  <c r="B1076" i="4"/>
  <c r="C1076" i="4" s="1"/>
  <c r="B1070" i="4"/>
  <c r="C1070" i="4" s="1"/>
  <c r="B1088" i="4"/>
  <c r="C1088" i="4" s="1"/>
  <c r="B1073" i="4"/>
  <c r="C1073" i="4" s="1"/>
  <c r="B1080" i="4"/>
  <c r="C1080" i="4" s="1"/>
  <c r="B1103" i="4"/>
  <c r="C1103" i="4" s="1"/>
  <c r="B1098" i="4"/>
  <c r="C1098" i="4" s="1"/>
  <c r="B1110" i="4"/>
  <c r="C1110" i="4" s="1"/>
  <c r="V28" i="1" l="1"/>
  <c r="V57" i="1"/>
  <c r="P47" i="2" s="1"/>
  <c r="V29" i="1"/>
  <c r="V40" i="1"/>
  <c r="P30" i="2" s="1"/>
  <c r="V39" i="1"/>
  <c r="P29" i="2" s="1"/>
  <c r="V27" i="1"/>
  <c r="V26" i="1"/>
  <c r="V33" i="1"/>
  <c r="P23" i="2" s="1"/>
  <c r="V34" i="1"/>
  <c r="P24" i="2" s="1"/>
  <c r="V32" i="1"/>
  <c r="P22" i="2" s="1"/>
  <c r="V31" i="1"/>
  <c r="P21" i="2" s="1"/>
  <c r="V30" i="1"/>
  <c r="P20" i="2" s="1"/>
  <c r="V25" i="1"/>
  <c r="V66" i="1"/>
  <c r="P56" i="2" s="1"/>
  <c r="V50" i="1"/>
  <c r="P40" i="2" s="1"/>
  <c r="V45" i="1"/>
  <c r="P35" i="2" s="1"/>
  <c r="V53" i="1"/>
  <c r="P43" i="2" s="1"/>
  <c r="V37" i="1"/>
  <c r="P27" i="2" s="1"/>
  <c r="V46" i="1"/>
  <c r="P36" i="2" s="1"/>
  <c r="V63" i="1"/>
  <c r="P53" i="2" s="1"/>
  <c r="V49" i="1"/>
  <c r="P39" i="2" s="1"/>
  <c r="V44" i="1"/>
  <c r="P34" i="2" s="1"/>
  <c r="V52" i="1"/>
  <c r="P42" i="2" s="1"/>
  <c r="V35" i="1"/>
  <c r="P25" i="2" s="1"/>
  <c r="P26" i="2"/>
  <c r="V67" i="1"/>
  <c r="P57" i="2" s="1"/>
  <c r="V56" i="1"/>
  <c r="P46" i="2" s="1"/>
  <c r="V43" i="1"/>
  <c r="P33" i="2" s="1"/>
  <c r="V51" i="1"/>
  <c r="P41" i="2" s="1"/>
  <c r="V42" i="1"/>
  <c r="P32" i="2" s="1"/>
  <c r="V47" i="1"/>
  <c r="P37" i="2" s="1"/>
  <c r="P28" i="2"/>
  <c r="V41" i="1"/>
  <c r="P31" i="2" s="1"/>
  <c r="V20" i="1"/>
  <c r="V19" i="1"/>
  <c r="C1447" i="4"/>
  <c r="V12" i="1"/>
  <c r="C1258" i="4"/>
  <c r="V8" i="1"/>
  <c r="C1148" i="4"/>
  <c r="V6" i="1" s="1"/>
  <c r="C1580" i="4"/>
  <c r="V16" i="1"/>
  <c r="C1493" i="4"/>
  <c r="V17" i="1"/>
  <c r="C1480" i="4"/>
  <c r="V9" i="1"/>
  <c r="C773" i="4"/>
  <c r="V14" i="1"/>
  <c r="C1449" i="4"/>
  <c r="V11" i="1"/>
  <c r="C950" i="4"/>
  <c r="V18" i="1"/>
  <c r="V15" i="1"/>
  <c r="V13" i="1"/>
  <c r="V7" i="1"/>
  <c r="V10" i="1"/>
  <c r="B1" i="3" l="1"/>
  <c r="B2" i="3" l="1"/>
  <c r="B1864" i="4"/>
  <c r="C1864" i="4" s="1"/>
  <c r="A6" i="1" l="1"/>
  <c r="B3" i="2" s="1"/>
  <c r="L990" i="2"/>
  <c r="L991" i="2"/>
  <c r="L992" i="2"/>
  <c r="L993" i="2"/>
  <c r="G990" i="2" l="1"/>
  <c r="H990" i="2"/>
  <c r="I990" i="2"/>
  <c r="J990" i="2"/>
  <c r="K990" i="2"/>
  <c r="G991" i="2"/>
  <c r="H991" i="2"/>
  <c r="I991" i="2"/>
  <c r="J991" i="2"/>
  <c r="K991" i="2"/>
  <c r="G992" i="2"/>
  <c r="H992" i="2"/>
  <c r="I992" i="2"/>
  <c r="J992" i="2"/>
  <c r="K992" i="2"/>
  <c r="G993" i="2"/>
  <c r="H993" i="2"/>
  <c r="I993" i="2"/>
  <c r="J993" i="2"/>
  <c r="K993" i="2"/>
  <c r="F990" i="2"/>
  <c r="F991" i="2"/>
  <c r="F992" i="2"/>
  <c r="F993" i="2"/>
  <c r="E990" i="2"/>
  <c r="E991" i="2"/>
  <c r="E992" i="2"/>
  <c r="E993" i="2"/>
  <c r="D990" i="2"/>
  <c r="D991" i="2"/>
  <c r="D992" i="2"/>
  <c r="D993" i="2"/>
  <c r="D4" i="2"/>
  <c r="D5" i="2"/>
  <c r="D6" i="2"/>
  <c r="H13" i="1"/>
  <c r="D10" i="2" s="1"/>
  <c r="H14" i="1"/>
  <c r="D11" i="2" s="1"/>
  <c r="H15" i="1"/>
  <c r="D12" i="2" s="1"/>
  <c r="H16" i="1"/>
  <c r="D13" i="2" s="1"/>
  <c r="H17" i="1"/>
  <c r="D14" i="2" s="1"/>
  <c r="H18" i="1"/>
  <c r="D15" i="2" s="1"/>
  <c r="H19" i="1"/>
  <c r="D16" i="2" s="1"/>
  <c r="H20" i="1"/>
  <c r="D17" i="2" s="1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3" i="2"/>
  <c r="C990" i="2"/>
  <c r="C991" i="2"/>
  <c r="C992" i="2"/>
  <c r="C993" i="2"/>
  <c r="B990" i="2"/>
  <c r="B991" i="2"/>
  <c r="B992" i="2"/>
  <c r="B993" i="2"/>
  <c r="A7" i="1"/>
  <c r="B4" i="2" s="1"/>
  <c r="I7" i="1"/>
  <c r="O7" i="1"/>
  <c r="J4" i="2" s="1"/>
  <c r="T7" i="1"/>
  <c r="U7" i="1"/>
  <c r="A8" i="1"/>
  <c r="B5" i="2" s="1"/>
  <c r="B8" i="1"/>
  <c r="I8" i="1"/>
  <c r="O8" i="1"/>
  <c r="J5" i="2" s="1"/>
  <c r="T8" i="1"/>
  <c r="U8" i="1"/>
  <c r="A9" i="1"/>
  <c r="B6" i="2" s="1"/>
  <c r="B9" i="1"/>
  <c r="I9" i="1"/>
  <c r="E6" i="2" s="1"/>
  <c r="O9" i="1"/>
  <c r="J6" i="2" s="1"/>
  <c r="T9" i="1"/>
  <c r="U9" i="1"/>
  <c r="A10" i="1"/>
  <c r="B7" i="2" s="1"/>
  <c r="B10" i="1"/>
  <c r="C7" i="2" s="1"/>
  <c r="I10" i="1"/>
  <c r="E7" i="2" s="1"/>
  <c r="O10" i="1"/>
  <c r="J7" i="2" s="1"/>
  <c r="T10" i="1"/>
  <c r="U10" i="1"/>
  <c r="A11" i="1"/>
  <c r="B8" i="2" s="1"/>
  <c r="B11" i="1"/>
  <c r="C8" i="2" s="1"/>
  <c r="I11" i="1"/>
  <c r="E8" i="2" s="1"/>
  <c r="O11" i="1"/>
  <c r="J8" i="2" s="1"/>
  <c r="T11" i="1"/>
  <c r="U11" i="1"/>
  <c r="A12" i="1"/>
  <c r="B9" i="2" s="1"/>
  <c r="B12" i="1"/>
  <c r="C9" i="2" s="1"/>
  <c r="I12" i="1"/>
  <c r="E9" i="2" s="1"/>
  <c r="O12" i="1"/>
  <c r="J9" i="2" s="1"/>
  <c r="T12" i="1"/>
  <c r="U12" i="1"/>
  <c r="A13" i="1"/>
  <c r="B10" i="2" s="1"/>
  <c r="B13" i="1"/>
  <c r="C10" i="2" s="1"/>
  <c r="I13" i="1"/>
  <c r="E10" i="2" s="1"/>
  <c r="O13" i="1"/>
  <c r="J10" i="2" s="1"/>
  <c r="T13" i="1"/>
  <c r="U13" i="1"/>
  <c r="A14" i="1"/>
  <c r="B11" i="2" s="1"/>
  <c r="B14" i="1"/>
  <c r="C11" i="2" s="1"/>
  <c r="I14" i="1"/>
  <c r="E11" i="2" s="1"/>
  <c r="O14" i="1"/>
  <c r="J11" i="2" s="1"/>
  <c r="T14" i="1"/>
  <c r="U14" i="1"/>
  <c r="A15" i="1"/>
  <c r="B12" i="2" s="1"/>
  <c r="B15" i="1"/>
  <c r="C12" i="2" s="1"/>
  <c r="I15" i="1"/>
  <c r="E12" i="2" s="1"/>
  <c r="O15" i="1"/>
  <c r="J12" i="2" s="1"/>
  <c r="T15" i="1"/>
  <c r="U15" i="1"/>
  <c r="A16" i="1"/>
  <c r="B13" i="2" s="1"/>
  <c r="B16" i="1"/>
  <c r="C13" i="2" s="1"/>
  <c r="I16" i="1"/>
  <c r="E13" i="2" s="1"/>
  <c r="O16" i="1"/>
  <c r="J13" i="2" s="1"/>
  <c r="T16" i="1"/>
  <c r="U16" i="1"/>
  <c r="A17" i="1"/>
  <c r="B14" i="2" s="1"/>
  <c r="A14" i="2" s="1"/>
  <c r="I17" i="1"/>
  <c r="E14" i="2" s="1"/>
  <c r="O17" i="1"/>
  <c r="J14" i="2" s="1"/>
  <c r="T17" i="1"/>
  <c r="U17" i="1"/>
  <c r="A18" i="1"/>
  <c r="B15" i="2" s="1"/>
  <c r="B18" i="1"/>
  <c r="C15" i="2" s="1"/>
  <c r="I18" i="1"/>
  <c r="E15" i="2" s="1"/>
  <c r="O18" i="1"/>
  <c r="J15" i="2" s="1"/>
  <c r="T18" i="1"/>
  <c r="U18" i="1"/>
  <c r="A19" i="1"/>
  <c r="B16" i="2" s="1"/>
  <c r="B19" i="1"/>
  <c r="C16" i="2" s="1"/>
  <c r="I19" i="1"/>
  <c r="E16" i="2" s="1"/>
  <c r="O19" i="1"/>
  <c r="J16" i="2" s="1"/>
  <c r="T19" i="1"/>
  <c r="U19" i="1"/>
  <c r="A20" i="1"/>
  <c r="B17" i="2" s="1"/>
  <c r="B20" i="1"/>
  <c r="C17" i="2" s="1"/>
  <c r="I20" i="1"/>
  <c r="E17" i="2" s="1"/>
  <c r="O20" i="1"/>
  <c r="J17" i="2" s="1"/>
  <c r="T20" i="1"/>
  <c r="U20" i="1"/>
  <c r="J25" i="1"/>
  <c r="B295" i="2"/>
  <c r="E295" i="2"/>
  <c r="J295" i="2"/>
  <c r="K295" i="2"/>
  <c r="B296" i="2"/>
  <c r="E296" i="2"/>
  <c r="J296" i="2"/>
  <c r="K296" i="2"/>
  <c r="B297" i="2"/>
  <c r="E297" i="2"/>
  <c r="J297" i="2"/>
  <c r="K297" i="2"/>
  <c r="B298" i="2"/>
  <c r="E298" i="2"/>
  <c r="J298" i="2"/>
  <c r="K298" i="2"/>
  <c r="B299" i="2"/>
  <c r="E299" i="2"/>
  <c r="J299" i="2"/>
  <c r="K299" i="2"/>
  <c r="B300" i="2"/>
  <c r="E300" i="2"/>
  <c r="J300" i="2"/>
  <c r="K300" i="2"/>
  <c r="B301" i="2"/>
  <c r="E301" i="2"/>
  <c r="J301" i="2"/>
  <c r="K301" i="2"/>
  <c r="B302" i="2"/>
  <c r="E302" i="2"/>
  <c r="J302" i="2"/>
  <c r="K302" i="2"/>
  <c r="B303" i="2"/>
  <c r="E303" i="2"/>
  <c r="J303" i="2"/>
  <c r="K303" i="2"/>
  <c r="B304" i="2"/>
  <c r="E304" i="2"/>
  <c r="J304" i="2"/>
  <c r="K304" i="2"/>
  <c r="B305" i="2"/>
  <c r="E305" i="2"/>
  <c r="J305" i="2"/>
  <c r="K305" i="2"/>
  <c r="B306" i="2"/>
  <c r="E306" i="2"/>
  <c r="J306" i="2"/>
  <c r="K306" i="2"/>
  <c r="B307" i="2"/>
  <c r="E307" i="2"/>
  <c r="J307" i="2"/>
  <c r="K307" i="2"/>
  <c r="B308" i="2"/>
  <c r="E308" i="2"/>
  <c r="J308" i="2"/>
  <c r="K308" i="2"/>
  <c r="B309" i="2"/>
  <c r="E309" i="2"/>
  <c r="J309" i="2"/>
  <c r="K309" i="2"/>
  <c r="B310" i="2"/>
  <c r="E310" i="2"/>
  <c r="J310" i="2"/>
  <c r="K310" i="2"/>
  <c r="B311" i="2"/>
  <c r="E311" i="2"/>
  <c r="J311" i="2"/>
  <c r="K311" i="2"/>
  <c r="B312" i="2"/>
  <c r="E312" i="2"/>
  <c r="J312" i="2"/>
  <c r="K312" i="2"/>
  <c r="B313" i="2"/>
  <c r="E313" i="2"/>
  <c r="J313" i="2"/>
  <c r="K313" i="2"/>
  <c r="B314" i="2"/>
  <c r="E314" i="2"/>
  <c r="J314" i="2"/>
  <c r="K314" i="2"/>
  <c r="B315" i="2"/>
  <c r="E315" i="2"/>
  <c r="J315" i="2"/>
  <c r="K315" i="2"/>
  <c r="B316" i="2"/>
  <c r="E316" i="2"/>
  <c r="J316" i="2"/>
  <c r="K316" i="2"/>
  <c r="B317" i="2"/>
  <c r="E317" i="2"/>
  <c r="J317" i="2"/>
  <c r="K317" i="2"/>
  <c r="B318" i="2"/>
  <c r="E318" i="2"/>
  <c r="J318" i="2"/>
  <c r="K318" i="2"/>
  <c r="B319" i="2"/>
  <c r="E319" i="2"/>
  <c r="J319" i="2"/>
  <c r="K319" i="2"/>
  <c r="B320" i="2"/>
  <c r="E320" i="2"/>
  <c r="J320" i="2"/>
  <c r="K320" i="2"/>
  <c r="B321" i="2"/>
  <c r="E321" i="2"/>
  <c r="J321" i="2"/>
  <c r="K321" i="2"/>
  <c r="B322" i="2"/>
  <c r="E322" i="2"/>
  <c r="J322" i="2"/>
  <c r="K322" i="2"/>
  <c r="B323" i="2"/>
  <c r="E323" i="2"/>
  <c r="J323" i="2"/>
  <c r="K323" i="2"/>
  <c r="B324" i="2"/>
  <c r="E324" i="2"/>
  <c r="J324" i="2"/>
  <c r="K324" i="2"/>
  <c r="B325" i="2"/>
  <c r="E325" i="2"/>
  <c r="J325" i="2"/>
  <c r="K325" i="2"/>
  <c r="B326" i="2"/>
  <c r="E326" i="2"/>
  <c r="J326" i="2"/>
  <c r="K326" i="2"/>
  <c r="B327" i="2"/>
  <c r="E327" i="2"/>
  <c r="J327" i="2"/>
  <c r="K327" i="2"/>
  <c r="B328" i="2"/>
  <c r="E328" i="2"/>
  <c r="J328" i="2"/>
  <c r="K328" i="2"/>
  <c r="B329" i="2"/>
  <c r="E329" i="2"/>
  <c r="J329" i="2"/>
  <c r="K329" i="2"/>
  <c r="B330" i="2"/>
  <c r="E330" i="2"/>
  <c r="J330" i="2"/>
  <c r="K330" i="2"/>
  <c r="B331" i="2"/>
  <c r="E331" i="2"/>
  <c r="J331" i="2"/>
  <c r="K331" i="2"/>
  <c r="B332" i="2"/>
  <c r="E332" i="2"/>
  <c r="J332" i="2"/>
  <c r="K332" i="2"/>
  <c r="B333" i="2"/>
  <c r="E333" i="2"/>
  <c r="J333" i="2"/>
  <c r="K333" i="2"/>
  <c r="B334" i="2"/>
  <c r="E334" i="2"/>
  <c r="J334" i="2"/>
  <c r="K334" i="2"/>
  <c r="B335" i="2"/>
  <c r="E335" i="2"/>
  <c r="J335" i="2"/>
  <c r="K335" i="2"/>
  <c r="B336" i="2"/>
  <c r="E336" i="2"/>
  <c r="J336" i="2"/>
  <c r="K336" i="2"/>
  <c r="B337" i="2"/>
  <c r="E337" i="2"/>
  <c r="J337" i="2"/>
  <c r="K337" i="2"/>
  <c r="B338" i="2"/>
  <c r="E338" i="2"/>
  <c r="J338" i="2"/>
  <c r="K338" i="2"/>
  <c r="B339" i="2"/>
  <c r="E339" i="2"/>
  <c r="J339" i="2"/>
  <c r="K339" i="2"/>
  <c r="B340" i="2"/>
  <c r="E340" i="2"/>
  <c r="J340" i="2"/>
  <c r="K340" i="2"/>
  <c r="B341" i="2"/>
  <c r="E341" i="2"/>
  <c r="J341" i="2"/>
  <c r="K341" i="2"/>
  <c r="B342" i="2"/>
  <c r="E342" i="2"/>
  <c r="J342" i="2"/>
  <c r="K342" i="2"/>
  <c r="B343" i="2"/>
  <c r="E343" i="2"/>
  <c r="J343" i="2"/>
  <c r="K343" i="2"/>
  <c r="B344" i="2"/>
  <c r="E344" i="2"/>
  <c r="J344" i="2"/>
  <c r="K344" i="2"/>
  <c r="B345" i="2"/>
  <c r="E345" i="2"/>
  <c r="J345" i="2"/>
  <c r="K345" i="2"/>
  <c r="B346" i="2"/>
  <c r="E346" i="2"/>
  <c r="J346" i="2"/>
  <c r="K346" i="2"/>
  <c r="B347" i="2"/>
  <c r="E347" i="2"/>
  <c r="J347" i="2"/>
  <c r="K347" i="2"/>
  <c r="B348" i="2"/>
  <c r="E348" i="2"/>
  <c r="J348" i="2"/>
  <c r="K348" i="2"/>
  <c r="B349" i="2"/>
  <c r="E349" i="2"/>
  <c r="J349" i="2"/>
  <c r="K349" i="2"/>
  <c r="B350" i="2"/>
  <c r="E350" i="2"/>
  <c r="J350" i="2"/>
  <c r="K350" i="2"/>
  <c r="B351" i="2"/>
  <c r="E351" i="2"/>
  <c r="J351" i="2"/>
  <c r="K351" i="2"/>
  <c r="B352" i="2"/>
  <c r="E352" i="2"/>
  <c r="J352" i="2"/>
  <c r="K352" i="2"/>
  <c r="B353" i="2"/>
  <c r="E353" i="2"/>
  <c r="J353" i="2"/>
  <c r="K353" i="2"/>
  <c r="B354" i="2"/>
  <c r="E354" i="2"/>
  <c r="J354" i="2"/>
  <c r="K354" i="2"/>
  <c r="B355" i="2"/>
  <c r="E355" i="2"/>
  <c r="J355" i="2"/>
  <c r="K355" i="2"/>
  <c r="B356" i="2"/>
  <c r="E356" i="2"/>
  <c r="J356" i="2"/>
  <c r="K356" i="2"/>
  <c r="B357" i="2"/>
  <c r="E357" i="2"/>
  <c r="J357" i="2"/>
  <c r="K357" i="2"/>
  <c r="B358" i="2"/>
  <c r="E358" i="2"/>
  <c r="J358" i="2"/>
  <c r="K358" i="2"/>
  <c r="B359" i="2"/>
  <c r="E359" i="2"/>
  <c r="J359" i="2"/>
  <c r="K359" i="2"/>
  <c r="B360" i="2"/>
  <c r="E360" i="2"/>
  <c r="J360" i="2"/>
  <c r="K360" i="2"/>
  <c r="B361" i="2"/>
  <c r="E361" i="2"/>
  <c r="J361" i="2"/>
  <c r="K361" i="2"/>
  <c r="B362" i="2"/>
  <c r="E362" i="2"/>
  <c r="J362" i="2"/>
  <c r="K362" i="2"/>
  <c r="B363" i="2"/>
  <c r="E363" i="2"/>
  <c r="J363" i="2"/>
  <c r="F363" i="2"/>
  <c r="K363" i="2"/>
  <c r="B364" i="2"/>
  <c r="E364" i="2"/>
  <c r="J364" i="2"/>
  <c r="K364" i="2"/>
  <c r="B365" i="2"/>
  <c r="E365" i="2"/>
  <c r="J365" i="2"/>
  <c r="K365" i="2"/>
  <c r="B366" i="2"/>
  <c r="E366" i="2"/>
  <c r="J366" i="2"/>
  <c r="K366" i="2"/>
  <c r="B367" i="2"/>
  <c r="E367" i="2"/>
  <c r="J367" i="2"/>
  <c r="K367" i="2"/>
  <c r="B368" i="2"/>
  <c r="E368" i="2"/>
  <c r="J368" i="2"/>
  <c r="K368" i="2"/>
  <c r="B369" i="2"/>
  <c r="E369" i="2"/>
  <c r="J369" i="2"/>
  <c r="K369" i="2"/>
  <c r="B370" i="2"/>
  <c r="E370" i="2"/>
  <c r="J370" i="2"/>
  <c r="I370" i="2"/>
  <c r="K370" i="2"/>
  <c r="B371" i="2"/>
  <c r="E371" i="2"/>
  <c r="J371" i="2"/>
  <c r="K371" i="2"/>
  <c r="B372" i="2"/>
  <c r="E372" i="2"/>
  <c r="J372" i="2"/>
  <c r="K372" i="2"/>
  <c r="B373" i="2"/>
  <c r="E373" i="2"/>
  <c r="J373" i="2"/>
  <c r="K373" i="2"/>
  <c r="B374" i="2"/>
  <c r="E374" i="2"/>
  <c r="I374" i="2"/>
  <c r="J374" i="2"/>
  <c r="K374" i="2"/>
  <c r="B375" i="2"/>
  <c r="E375" i="2"/>
  <c r="J375" i="2"/>
  <c r="K375" i="2"/>
  <c r="B376" i="2"/>
  <c r="E376" i="2"/>
  <c r="J376" i="2"/>
  <c r="K376" i="2"/>
  <c r="B377" i="2"/>
  <c r="E377" i="2"/>
  <c r="J377" i="2"/>
  <c r="K377" i="2"/>
  <c r="B378" i="2"/>
  <c r="E378" i="2"/>
  <c r="J378" i="2"/>
  <c r="K378" i="2"/>
  <c r="B379" i="2"/>
  <c r="E379" i="2"/>
  <c r="J379" i="2"/>
  <c r="F379" i="2"/>
  <c r="K379" i="2"/>
  <c r="B380" i="2"/>
  <c r="E380" i="2"/>
  <c r="J380" i="2"/>
  <c r="K380" i="2"/>
  <c r="B381" i="2"/>
  <c r="E381" i="2"/>
  <c r="J381" i="2"/>
  <c r="K381" i="2"/>
  <c r="B382" i="2"/>
  <c r="E382" i="2"/>
  <c r="J382" i="2"/>
  <c r="K382" i="2"/>
  <c r="B383" i="2"/>
  <c r="E383" i="2"/>
  <c r="J383" i="2"/>
  <c r="K383" i="2"/>
  <c r="B384" i="2"/>
  <c r="E384" i="2"/>
  <c r="J384" i="2"/>
  <c r="K384" i="2"/>
  <c r="B385" i="2"/>
  <c r="E385" i="2"/>
  <c r="J385" i="2"/>
  <c r="K385" i="2"/>
  <c r="B386" i="2"/>
  <c r="E386" i="2"/>
  <c r="J386" i="2"/>
  <c r="K386" i="2"/>
  <c r="B387" i="2"/>
  <c r="E387" i="2"/>
  <c r="J387" i="2"/>
  <c r="K387" i="2"/>
  <c r="B388" i="2"/>
  <c r="E388" i="2"/>
  <c r="J388" i="2"/>
  <c r="K388" i="2"/>
  <c r="B389" i="2"/>
  <c r="E389" i="2"/>
  <c r="J389" i="2"/>
  <c r="K389" i="2"/>
  <c r="B390" i="2"/>
  <c r="E390" i="2"/>
  <c r="J390" i="2"/>
  <c r="K390" i="2"/>
  <c r="B391" i="2"/>
  <c r="E391" i="2"/>
  <c r="F391" i="2"/>
  <c r="J391" i="2"/>
  <c r="K391" i="2"/>
  <c r="B392" i="2"/>
  <c r="E392" i="2"/>
  <c r="J392" i="2"/>
  <c r="K392" i="2"/>
  <c r="B393" i="2"/>
  <c r="E393" i="2"/>
  <c r="J393" i="2"/>
  <c r="K393" i="2"/>
  <c r="B394" i="2"/>
  <c r="E394" i="2"/>
  <c r="J394" i="2"/>
  <c r="K394" i="2"/>
  <c r="B395" i="2"/>
  <c r="E395" i="2"/>
  <c r="J395" i="2"/>
  <c r="K395" i="2"/>
  <c r="B396" i="2"/>
  <c r="E396" i="2"/>
  <c r="J396" i="2"/>
  <c r="K396" i="2"/>
  <c r="B397" i="2"/>
  <c r="E397" i="2"/>
  <c r="J397" i="2"/>
  <c r="K397" i="2"/>
  <c r="B398" i="2"/>
  <c r="E398" i="2"/>
  <c r="J398" i="2"/>
  <c r="K398" i="2"/>
  <c r="B399" i="2"/>
  <c r="E399" i="2"/>
  <c r="J399" i="2"/>
  <c r="K399" i="2"/>
  <c r="B400" i="2"/>
  <c r="E400" i="2"/>
  <c r="J400" i="2"/>
  <c r="K400" i="2"/>
  <c r="B401" i="2"/>
  <c r="E401" i="2"/>
  <c r="J401" i="2"/>
  <c r="K401" i="2"/>
  <c r="B402" i="2"/>
  <c r="E402" i="2"/>
  <c r="J402" i="2"/>
  <c r="K402" i="2"/>
  <c r="B403" i="2"/>
  <c r="E403" i="2"/>
  <c r="J403" i="2"/>
  <c r="K403" i="2"/>
  <c r="B404" i="2"/>
  <c r="E404" i="2"/>
  <c r="J404" i="2"/>
  <c r="K404" i="2"/>
  <c r="B405" i="2"/>
  <c r="E405" i="2"/>
  <c r="J405" i="2"/>
  <c r="K405" i="2"/>
  <c r="B406" i="2"/>
  <c r="E406" i="2"/>
  <c r="J406" i="2"/>
  <c r="K406" i="2"/>
  <c r="B407" i="2"/>
  <c r="E407" i="2"/>
  <c r="J407" i="2"/>
  <c r="K407" i="2"/>
  <c r="B408" i="2"/>
  <c r="E408" i="2"/>
  <c r="J408" i="2"/>
  <c r="K408" i="2"/>
  <c r="B409" i="2"/>
  <c r="E409" i="2"/>
  <c r="J409" i="2"/>
  <c r="K409" i="2"/>
  <c r="B410" i="2"/>
  <c r="E410" i="2"/>
  <c r="J410" i="2"/>
  <c r="K410" i="2"/>
  <c r="B411" i="2"/>
  <c r="E411" i="2"/>
  <c r="J411" i="2"/>
  <c r="K411" i="2"/>
  <c r="B412" i="2"/>
  <c r="E412" i="2"/>
  <c r="J412" i="2"/>
  <c r="K412" i="2"/>
  <c r="B413" i="2"/>
  <c r="E413" i="2"/>
  <c r="J413" i="2"/>
  <c r="K413" i="2"/>
  <c r="B414" i="2"/>
  <c r="E414" i="2"/>
  <c r="J414" i="2"/>
  <c r="K414" i="2"/>
  <c r="B415" i="2"/>
  <c r="E415" i="2"/>
  <c r="J415" i="2"/>
  <c r="K415" i="2"/>
  <c r="B416" i="2"/>
  <c r="E416" i="2"/>
  <c r="J416" i="2"/>
  <c r="K416" i="2"/>
  <c r="B417" i="2"/>
  <c r="E417" i="2"/>
  <c r="J417" i="2"/>
  <c r="K417" i="2"/>
  <c r="B418" i="2"/>
  <c r="E418" i="2"/>
  <c r="J418" i="2"/>
  <c r="K418" i="2"/>
  <c r="B419" i="2"/>
  <c r="E419" i="2"/>
  <c r="J419" i="2"/>
  <c r="K419" i="2"/>
  <c r="B420" i="2"/>
  <c r="E420" i="2"/>
  <c r="J420" i="2"/>
  <c r="K420" i="2"/>
  <c r="B421" i="2"/>
  <c r="E421" i="2"/>
  <c r="J421" i="2"/>
  <c r="K421" i="2"/>
  <c r="B422" i="2"/>
  <c r="E422" i="2"/>
  <c r="J422" i="2"/>
  <c r="K422" i="2"/>
  <c r="B423" i="2"/>
  <c r="E423" i="2"/>
  <c r="J423" i="2"/>
  <c r="K423" i="2"/>
  <c r="B424" i="2"/>
  <c r="E424" i="2"/>
  <c r="J424" i="2"/>
  <c r="F424" i="2"/>
  <c r="K424" i="2"/>
  <c r="B425" i="2"/>
  <c r="E425" i="2"/>
  <c r="J425" i="2"/>
  <c r="K425" i="2"/>
  <c r="B426" i="2"/>
  <c r="E426" i="2"/>
  <c r="J426" i="2"/>
  <c r="K426" i="2"/>
  <c r="B427" i="2"/>
  <c r="E427" i="2"/>
  <c r="J427" i="2"/>
  <c r="K427" i="2"/>
  <c r="B428" i="2"/>
  <c r="E428" i="2"/>
  <c r="J428" i="2"/>
  <c r="K428" i="2"/>
  <c r="B429" i="2"/>
  <c r="E429" i="2"/>
  <c r="J429" i="2"/>
  <c r="K429" i="2"/>
  <c r="B430" i="2"/>
  <c r="E430" i="2"/>
  <c r="J430" i="2"/>
  <c r="K430" i="2"/>
  <c r="B431" i="2"/>
  <c r="E431" i="2"/>
  <c r="J431" i="2"/>
  <c r="K431" i="2"/>
  <c r="B432" i="2"/>
  <c r="E432" i="2"/>
  <c r="J432" i="2"/>
  <c r="K432" i="2"/>
  <c r="B433" i="2"/>
  <c r="E433" i="2"/>
  <c r="J433" i="2"/>
  <c r="K433" i="2"/>
  <c r="B434" i="2"/>
  <c r="E434" i="2"/>
  <c r="J434" i="2"/>
  <c r="K434" i="2"/>
  <c r="B435" i="2"/>
  <c r="E435" i="2"/>
  <c r="J435" i="2"/>
  <c r="K435" i="2"/>
  <c r="B436" i="2"/>
  <c r="E436" i="2"/>
  <c r="J436" i="2"/>
  <c r="K436" i="2"/>
  <c r="B437" i="2"/>
  <c r="E437" i="2"/>
  <c r="J437" i="2"/>
  <c r="K437" i="2"/>
  <c r="B438" i="2"/>
  <c r="E438" i="2"/>
  <c r="J438" i="2"/>
  <c r="K438" i="2"/>
  <c r="B439" i="2"/>
  <c r="E439" i="2"/>
  <c r="J439" i="2"/>
  <c r="K439" i="2"/>
  <c r="B440" i="2"/>
  <c r="E440" i="2"/>
  <c r="J440" i="2"/>
  <c r="K440" i="2"/>
  <c r="B441" i="2"/>
  <c r="E441" i="2"/>
  <c r="J441" i="2"/>
  <c r="K441" i="2"/>
  <c r="B442" i="2"/>
  <c r="E442" i="2"/>
  <c r="J442" i="2"/>
  <c r="K442" i="2"/>
  <c r="B443" i="2"/>
  <c r="E443" i="2"/>
  <c r="J443" i="2"/>
  <c r="I443" i="2"/>
  <c r="K443" i="2"/>
  <c r="B444" i="2"/>
  <c r="E444" i="2"/>
  <c r="J444" i="2"/>
  <c r="K444" i="2"/>
  <c r="B445" i="2"/>
  <c r="E445" i="2"/>
  <c r="J445" i="2"/>
  <c r="K445" i="2"/>
  <c r="B446" i="2"/>
  <c r="E446" i="2"/>
  <c r="J446" i="2"/>
  <c r="K446" i="2"/>
  <c r="B447" i="2"/>
  <c r="E447" i="2"/>
  <c r="J447" i="2"/>
  <c r="K447" i="2"/>
  <c r="B448" i="2"/>
  <c r="E448" i="2"/>
  <c r="J448" i="2"/>
  <c r="K448" i="2"/>
  <c r="B449" i="2"/>
  <c r="E449" i="2"/>
  <c r="J449" i="2"/>
  <c r="K449" i="2"/>
  <c r="B450" i="2"/>
  <c r="E450" i="2"/>
  <c r="J450" i="2"/>
  <c r="K450" i="2"/>
  <c r="B451" i="2"/>
  <c r="E451" i="2"/>
  <c r="J451" i="2"/>
  <c r="K451" i="2"/>
  <c r="B452" i="2"/>
  <c r="E452" i="2"/>
  <c r="J452" i="2"/>
  <c r="K452" i="2"/>
  <c r="B453" i="2"/>
  <c r="E453" i="2"/>
  <c r="J453" i="2"/>
  <c r="K453" i="2"/>
  <c r="B454" i="2"/>
  <c r="E454" i="2"/>
  <c r="J454" i="2"/>
  <c r="K454" i="2"/>
  <c r="B455" i="2"/>
  <c r="E455" i="2"/>
  <c r="J455" i="2"/>
  <c r="K455" i="2"/>
  <c r="B456" i="2"/>
  <c r="E456" i="2"/>
  <c r="J456" i="2"/>
  <c r="K456" i="2"/>
  <c r="B457" i="2"/>
  <c r="E457" i="2"/>
  <c r="J457" i="2"/>
  <c r="K457" i="2"/>
  <c r="B458" i="2"/>
  <c r="E458" i="2"/>
  <c r="J458" i="2"/>
  <c r="K458" i="2"/>
  <c r="B459" i="2"/>
  <c r="E459" i="2"/>
  <c r="J459" i="2"/>
  <c r="K459" i="2"/>
  <c r="B460" i="2"/>
  <c r="E460" i="2"/>
  <c r="F460" i="2"/>
  <c r="J460" i="2"/>
  <c r="K460" i="2"/>
  <c r="B461" i="2"/>
  <c r="E461" i="2"/>
  <c r="J461" i="2"/>
  <c r="K461" i="2"/>
  <c r="B462" i="2"/>
  <c r="E462" i="2"/>
  <c r="J462" i="2"/>
  <c r="K462" i="2"/>
  <c r="B463" i="2"/>
  <c r="E463" i="2"/>
  <c r="J463" i="2"/>
  <c r="K463" i="2"/>
  <c r="B464" i="2"/>
  <c r="E464" i="2"/>
  <c r="J464" i="2"/>
  <c r="K464" i="2"/>
  <c r="B465" i="2"/>
  <c r="E465" i="2"/>
  <c r="J465" i="2"/>
  <c r="K465" i="2"/>
  <c r="B466" i="2"/>
  <c r="E466" i="2"/>
  <c r="J466" i="2"/>
  <c r="K466" i="2"/>
  <c r="B467" i="2"/>
  <c r="E467" i="2"/>
  <c r="J467" i="2"/>
  <c r="K467" i="2"/>
  <c r="B468" i="2"/>
  <c r="E468" i="2"/>
  <c r="F468" i="2"/>
  <c r="J468" i="2"/>
  <c r="K468" i="2"/>
  <c r="B469" i="2"/>
  <c r="E469" i="2"/>
  <c r="J469" i="2"/>
  <c r="K469" i="2"/>
  <c r="B470" i="2"/>
  <c r="E470" i="2"/>
  <c r="J470" i="2"/>
  <c r="K470" i="2"/>
  <c r="B471" i="2"/>
  <c r="E471" i="2"/>
  <c r="J471" i="2"/>
  <c r="K471" i="2"/>
  <c r="B472" i="2"/>
  <c r="E472" i="2"/>
  <c r="J472" i="2"/>
  <c r="K472" i="2"/>
  <c r="B473" i="2"/>
  <c r="E473" i="2"/>
  <c r="J473" i="2"/>
  <c r="K473" i="2"/>
  <c r="B474" i="2"/>
  <c r="E474" i="2"/>
  <c r="J474" i="2"/>
  <c r="K474" i="2"/>
  <c r="B475" i="2"/>
  <c r="E475" i="2"/>
  <c r="J475" i="2"/>
  <c r="K475" i="2"/>
  <c r="B476" i="2"/>
  <c r="E476" i="2"/>
  <c r="F476" i="2"/>
  <c r="J476" i="2"/>
  <c r="K476" i="2"/>
  <c r="B477" i="2"/>
  <c r="E477" i="2"/>
  <c r="J477" i="2"/>
  <c r="K477" i="2"/>
  <c r="B478" i="2"/>
  <c r="E478" i="2"/>
  <c r="J478" i="2"/>
  <c r="K478" i="2"/>
  <c r="B479" i="2"/>
  <c r="E479" i="2"/>
  <c r="J479" i="2"/>
  <c r="K479" i="2"/>
  <c r="B480" i="2"/>
  <c r="E480" i="2"/>
  <c r="J480" i="2"/>
  <c r="K480" i="2"/>
  <c r="B481" i="2"/>
  <c r="E481" i="2"/>
  <c r="J481" i="2"/>
  <c r="K481" i="2"/>
  <c r="B482" i="2"/>
  <c r="E482" i="2"/>
  <c r="J482" i="2"/>
  <c r="K482" i="2"/>
  <c r="B483" i="2"/>
  <c r="E483" i="2"/>
  <c r="J483" i="2"/>
  <c r="K483" i="2"/>
  <c r="B484" i="2"/>
  <c r="E484" i="2"/>
  <c r="F484" i="2"/>
  <c r="J484" i="2"/>
  <c r="K484" i="2"/>
  <c r="B485" i="2"/>
  <c r="E485" i="2"/>
  <c r="J485" i="2"/>
  <c r="K485" i="2"/>
  <c r="B486" i="2"/>
  <c r="E486" i="2"/>
  <c r="J486" i="2"/>
  <c r="K486" i="2"/>
  <c r="B487" i="2"/>
  <c r="E487" i="2"/>
  <c r="J487" i="2"/>
  <c r="K487" i="2"/>
  <c r="B488" i="2"/>
  <c r="E488" i="2"/>
  <c r="J488" i="2"/>
  <c r="K488" i="2"/>
  <c r="B489" i="2"/>
  <c r="E489" i="2"/>
  <c r="J489" i="2"/>
  <c r="K489" i="2"/>
  <c r="B490" i="2"/>
  <c r="E490" i="2"/>
  <c r="J490" i="2"/>
  <c r="K490" i="2"/>
  <c r="B491" i="2"/>
  <c r="E491" i="2"/>
  <c r="J491" i="2"/>
  <c r="K491" i="2"/>
  <c r="B492" i="2"/>
  <c r="E492" i="2"/>
  <c r="F492" i="2"/>
  <c r="J492" i="2"/>
  <c r="K492" i="2"/>
  <c r="B493" i="2"/>
  <c r="E493" i="2"/>
  <c r="J493" i="2"/>
  <c r="K493" i="2"/>
  <c r="B494" i="2"/>
  <c r="E494" i="2"/>
  <c r="J494" i="2"/>
  <c r="K494" i="2"/>
  <c r="B495" i="2"/>
  <c r="E495" i="2"/>
  <c r="J495" i="2"/>
  <c r="K495" i="2"/>
  <c r="B496" i="2"/>
  <c r="E496" i="2"/>
  <c r="J496" i="2"/>
  <c r="K496" i="2"/>
  <c r="B497" i="2"/>
  <c r="E497" i="2"/>
  <c r="J497" i="2"/>
  <c r="K497" i="2"/>
  <c r="B498" i="2"/>
  <c r="E498" i="2"/>
  <c r="J498" i="2"/>
  <c r="K498" i="2"/>
  <c r="B499" i="2"/>
  <c r="E499" i="2"/>
  <c r="J499" i="2"/>
  <c r="K499" i="2"/>
  <c r="B500" i="2"/>
  <c r="E500" i="2"/>
  <c r="F500" i="2"/>
  <c r="J500" i="2"/>
  <c r="K500" i="2"/>
  <c r="B501" i="2"/>
  <c r="E501" i="2"/>
  <c r="J501" i="2"/>
  <c r="K501" i="2"/>
  <c r="B502" i="2"/>
  <c r="E502" i="2"/>
  <c r="J502" i="2"/>
  <c r="K502" i="2"/>
  <c r="B503" i="2"/>
  <c r="E503" i="2"/>
  <c r="J503" i="2"/>
  <c r="K503" i="2"/>
  <c r="B504" i="2"/>
  <c r="E504" i="2"/>
  <c r="J504" i="2"/>
  <c r="K504" i="2"/>
  <c r="B505" i="2"/>
  <c r="E505" i="2"/>
  <c r="J505" i="2"/>
  <c r="K505" i="2"/>
  <c r="B506" i="2"/>
  <c r="E506" i="2"/>
  <c r="J506" i="2"/>
  <c r="K506" i="2"/>
  <c r="B507" i="2"/>
  <c r="E507" i="2"/>
  <c r="J507" i="2"/>
  <c r="K507" i="2"/>
  <c r="B508" i="2"/>
  <c r="E508" i="2"/>
  <c r="F508" i="2"/>
  <c r="J508" i="2"/>
  <c r="K508" i="2"/>
  <c r="B509" i="2"/>
  <c r="E509" i="2"/>
  <c r="J509" i="2"/>
  <c r="K509" i="2"/>
  <c r="B510" i="2"/>
  <c r="E510" i="2"/>
  <c r="J510" i="2"/>
  <c r="K510" i="2"/>
  <c r="B511" i="2"/>
  <c r="E511" i="2"/>
  <c r="J511" i="2"/>
  <c r="K511" i="2"/>
  <c r="B512" i="2"/>
  <c r="E512" i="2"/>
  <c r="J512" i="2"/>
  <c r="K512" i="2"/>
  <c r="B513" i="2"/>
  <c r="E513" i="2"/>
  <c r="J513" i="2"/>
  <c r="K513" i="2"/>
  <c r="B514" i="2"/>
  <c r="E514" i="2"/>
  <c r="J514" i="2"/>
  <c r="K514" i="2"/>
  <c r="B515" i="2"/>
  <c r="E515" i="2"/>
  <c r="J515" i="2"/>
  <c r="K515" i="2"/>
  <c r="B516" i="2"/>
  <c r="E516" i="2"/>
  <c r="F516" i="2"/>
  <c r="J516" i="2"/>
  <c r="K516" i="2"/>
  <c r="B517" i="2"/>
  <c r="E517" i="2"/>
  <c r="J517" i="2"/>
  <c r="K517" i="2"/>
  <c r="B518" i="2"/>
  <c r="E518" i="2"/>
  <c r="J518" i="2"/>
  <c r="K518" i="2"/>
  <c r="B519" i="2"/>
  <c r="E519" i="2"/>
  <c r="J519" i="2"/>
  <c r="K519" i="2"/>
  <c r="B520" i="2"/>
  <c r="E520" i="2"/>
  <c r="J520" i="2"/>
  <c r="K520" i="2"/>
  <c r="B521" i="2"/>
  <c r="E521" i="2"/>
  <c r="J521" i="2"/>
  <c r="K521" i="2"/>
  <c r="B522" i="2"/>
  <c r="E522" i="2"/>
  <c r="J522" i="2"/>
  <c r="K522" i="2"/>
  <c r="B523" i="2"/>
  <c r="E523" i="2"/>
  <c r="J523" i="2"/>
  <c r="K523" i="2"/>
  <c r="B524" i="2"/>
  <c r="E524" i="2"/>
  <c r="F524" i="2"/>
  <c r="J524" i="2"/>
  <c r="K524" i="2"/>
  <c r="B525" i="2"/>
  <c r="E525" i="2"/>
  <c r="J525" i="2"/>
  <c r="K525" i="2"/>
  <c r="B526" i="2"/>
  <c r="E526" i="2"/>
  <c r="J526" i="2"/>
  <c r="K526" i="2"/>
  <c r="B527" i="2"/>
  <c r="E527" i="2"/>
  <c r="J527" i="2"/>
  <c r="K527" i="2"/>
  <c r="B528" i="2"/>
  <c r="E528" i="2"/>
  <c r="J528" i="2"/>
  <c r="K528" i="2"/>
  <c r="B529" i="2"/>
  <c r="E529" i="2"/>
  <c r="J529" i="2"/>
  <c r="K529" i="2"/>
  <c r="B530" i="2"/>
  <c r="E530" i="2"/>
  <c r="J530" i="2"/>
  <c r="K530" i="2"/>
  <c r="B531" i="2"/>
  <c r="E531" i="2"/>
  <c r="J531" i="2"/>
  <c r="K531" i="2"/>
  <c r="B532" i="2"/>
  <c r="E532" i="2"/>
  <c r="F532" i="2"/>
  <c r="J532" i="2"/>
  <c r="K532" i="2"/>
  <c r="B533" i="2"/>
  <c r="E533" i="2"/>
  <c r="J533" i="2"/>
  <c r="K533" i="2"/>
  <c r="B534" i="2"/>
  <c r="E534" i="2"/>
  <c r="J534" i="2"/>
  <c r="K534" i="2"/>
  <c r="B535" i="2"/>
  <c r="E535" i="2"/>
  <c r="J535" i="2"/>
  <c r="K535" i="2"/>
  <c r="B536" i="2"/>
  <c r="E536" i="2"/>
  <c r="J536" i="2"/>
  <c r="K536" i="2"/>
  <c r="B537" i="2"/>
  <c r="E537" i="2"/>
  <c r="J537" i="2"/>
  <c r="K537" i="2"/>
  <c r="B538" i="2"/>
  <c r="E538" i="2"/>
  <c r="J538" i="2"/>
  <c r="K538" i="2"/>
  <c r="B539" i="2"/>
  <c r="E539" i="2"/>
  <c r="J539" i="2"/>
  <c r="K539" i="2"/>
  <c r="B540" i="2"/>
  <c r="E540" i="2"/>
  <c r="F540" i="2"/>
  <c r="J540" i="2"/>
  <c r="K540" i="2"/>
  <c r="B541" i="2"/>
  <c r="E541" i="2"/>
  <c r="J541" i="2"/>
  <c r="K541" i="2"/>
  <c r="B542" i="2"/>
  <c r="E542" i="2"/>
  <c r="J542" i="2"/>
  <c r="K542" i="2"/>
  <c r="B543" i="2"/>
  <c r="E543" i="2"/>
  <c r="J543" i="2"/>
  <c r="K543" i="2"/>
  <c r="B544" i="2"/>
  <c r="E544" i="2"/>
  <c r="J544" i="2"/>
  <c r="K544" i="2"/>
  <c r="B545" i="2"/>
  <c r="E545" i="2"/>
  <c r="J545" i="2"/>
  <c r="K545" i="2"/>
  <c r="B546" i="2"/>
  <c r="E546" i="2"/>
  <c r="J546" i="2"/>
  <c r="K546" i="2"/>
  <c r="B547" i="2"/>
  <c r="E547" i="2"/>
  <c r="J547" i="2"/>
  <c r="K547" i="2"/>
  <c r="B548" i="2"/>
  <c r="E548" i="2"/>
  <c r="F548" i="2"/>
  <c r="J548" i="2"/>
  <c r="K548" i="2"/>
  <c r="B549" i="2"/>
  <c r="E549" i="2"/>
  <c r="J549" i="2"/>
  <c r="K549" i="2"/>
  <c r="B550" i="2"/>
  <c r="E550" i="2"/>
  <c r="J550" i="2"/>
  <c r="K550" i="2"/>
  <c r="B551" i="2"/>
  <c r="E551" i="2"/>
  <c r="J551" i="2"/>
  <c r="K551" i="2"/>
  <c r="B552" i="2"/>
  <c r="E552" i="2"/>
  <c r="J552" i="2"/>
  <c r="K552" i="2"/>
  <c r="B553" i="2"/>
  <c r="E553" i="2"/>
  <c r="J553" i="2"/>
  <c r="K553" i="2"/>
  <c r="B554" i="2"/>
  <c r="E554" i="2"/>
  <c r="J554" i="2"/>
  <c r="K554" i="2"/>
  <c r="B555" i="2"/>
  <c r="E555" i="2"/>
  <c r="J555" i="2"/>
  <c r="K555" i="2"/>
  <c r="B556" i="2"/>
  <c r="E556" i="2"/>
  <c r="F556" i="2"/>
  <c r="J556" i="2"/>
  <c r="K556" i="2"/>
  <c r="B557" i="2"/>
  <c r="E557" i="2"/>
  <c r="J557" i="2"/>
  <c r="K557" i="2"/>
  <c r="B558" i="2"/>
  <c r="E558" i="2"/>
  <c r="J558" i="2"/>
  <c r="K558" i="2"/>
  <c r="B559" i="2"/>
  <c r="E559" i="2"/>
  <c r="J559" i="2"/>
  <c r="K559" i="2"/>
  <c r="B560" i="2"/>
  <c r="E560" i="2"/>
  <c r="J560" i="2"/>
  <c r="K560" i="2"/>
  <c r="B561" i="2"/>
  <c r="E561" i="2"/>
  <c r="J561" i="2"/>
  <c r="K561" i="2"/>
  <c r="B562" i="2"/>
  <c r="E562" i="2"/>
  <c r="J562" i="2"/>
  <c r="K562" i="2"/>
  <c r="B563" i="2"/>
  <c r="E563" i="2"/>
  <c r="J563" i="2"/>
  <c r="K563" i="2"/>
  <c r="B564" i="2"/>
  <c r="E564" i="2"/>
  <c r="F564" i="2"/>
  <c r="J564" i="2"/>
  <c r="K564" i="2"/>
  <c r="B565" i="2"/>
  <c r="E565" i="2"/>
  <c r="J565" i="2"/>
  <c r="K565" i="2"/>
  <c r="B566" i="2"/>
  <c r="E566" i="2"/>
  <c r="J566" i="2"/>
  <c r="K566" i="2"/>
  <c r="B567" i="2"/>
  <c r="E567" i="2"/>
  <c r="J567" i="2"/>
  <c r="K567" i="2"/>
  <c r="B568" i="2"/>
  <c r="E568" i="2"/>
  <c r="J568" i="2"/>
  <c r="K568" i="2"/>
  <c r="B569" i="2"/>
  <c r="E569" i="2"/>
  <c r="J569" i="2"/>
  <c r="K569" i="2"/>
  <c r="B570" i="2"/>
  <c r="E570" i="2"/>
  <c r="J570" i="2"/>
  <c r="K570" i="2"/>
  <c r="B571" i="2"/>
  <c r="E571" i="2"/>
  <c r="J571" i="2"/>
  <c r="K571" i="2"/>
  <c r="B572" i="2"/>
  <c r="E572" i="2"/>
  <c r="J572" i="2"/>
  <c r="K572" i="2"/>
  <c r="B573" i="2"/>
  <c r="E573" i="2"/>
  <c r="J573" i="2"/>
  <c r="K573" i="2"/>
  <c r="B574" i="2"/>
  <c r="E574" i="2"/>
  <c r="J574" i="2"/>
  <c r="K574" i="2"/>
  <c r="B575" i="2"/>
  <c r="E575" i="2"/>
  <c r="J575" i="2"/>
  <c r="K575" i="2"/>
  <c r="B576" i="2"/>
  <c r="E576" i="2"/>
  <c r="J576" i="2"/>
  <c r="K576" i="2"/>
  <c r="B577" i="2"/>
  <c r="E577" i="2"/>
  <c r="J577" i="2"/>
  <c r="K577" i="2"/>
  <c r="B578" i="2"/>
  <c r="E578" i="2"/>
  <c r="J578" i="2"/>
  <c r="K578" i="2"/>
  <c r="B579" i="2"/>
  <c r="E579" i="2"/>
  <c r="J579" i="2"/>
  <c r="K579" i="2"/>
  <c r="B580" i="2"/>
  <c r="E580" i="2"/>
  <c r="J580" i="2"/>
  <c r="K580" i="2"/>
  <c r="B581" i="2"/>
  <c r="E581" i="2"/>
  <c r="J581" i="2"/>
  <c r="K581" i="2"/>
  <c r="B582" i="2"/>
  <c r="E582" i="2"/>
  <c r="J582" i="2"/>
  <c r="K582" i="2"/>
  <c r="B583" i="2"/>
  <c r="E583" i="2"/>
  <c r="J583" i="2"/>
  <c r="K583" i="2"/>
  <c r="B584" i="2"/>
  <c r="E584" i="2"/>
  <c r="J584" i="2"/>
  <c r="K584" i="2"/>
  <c r="B585" i="2"/>
  <c r="E585" i="2"/>
  <c r="J585" i="2"/>
  <c r="K585" i="2"/>
  <c r="B586" i="2"/>
  <c r="E586" i="2"/>
  <c r="J586" i="2"/>
  <c r="K586" i="2"/>
  <c r="B587" i="2"/>
  <c r="E587" i="2"/>
  <c r="J587" i="2"/>
  <c r="K587" i="2"/>
  <c r="B588" i="2"/>
  <c r="E588" i="2"/>
  <c r="J588" i="2"/>
  <c r="F589" i="2"/>
  <c r="K588" i="2"/>
  <c r="B589" i="2"/>
  <c r="E589" i="2"/>
  <c r="J589" i="2"/>
  <c r="K589" i="2"/>
  <c r="B590" i="2"/>
  <c r="E590" i="2"/>
  <c r="J590" i="2"/>
  <c r="K590" i="2"/>
  <c r="B591" i="2"/>
  <c r="E591" i="2"/>
  <c r="J591" i="2"/>
  <c r="K591" i="2"/>
  <c r="B592" i="2"/>
  <c r="E592" i="2"/>
  <c r="J592" i="2"/>
  <c r="I592" i="2"/>
  <c r="K592" i="2"/>
  <c r="B593" i="2"/>
  <c r="E593" i="2"/>
  <c r="J593" i="2"/>
  <c r="K593" i="2"/>
  <c r="B594" i="2"/>
  <c r="E594" i="2"/>
  <c r="J594" i="2"/>
  <c r="K594" i="2"/>
  <c r="B595" i="2"/>
  <c r="E595" i="2"/>
  <c r="J595" i="2"/>
  <c r="K595" i="2"/>
  <c r="B596" i="2"/>
  <c r="E596" i="2"/>
  <c r="I596" i="2"/>
  <c r="J596" i="2"/>
  <c r="K596" i="2"/>
  <c r="B597" i="2"/>
  <c r="E597" i="2"/>
  <c r="J597" i="2"/>
  <c r="K597" i="2"/>
  <c r="B598" i="2"/>
  <c r="E598" i="2"/>
  <c r="J598" i="2"/>
  <c r="K598" i="2"/>
  <c r="B599" i="2"/>
  <c r="E599" i="2"/>
  <c r="J599" i="2"/>
  <c r="K599" i="2"/>
  <c r="B600" i="2"/>
  <c r="E600" i="2"/>
  <c r="J600" i="2"/>
  <c r="I600" i="2"/>
  <c r="K600" i="2"/>
  <c r="B601" i="2"/>
  <c r="E601" i="2"/>
  <c r="J601" i="2"/>
  <c r="K601" i="2"/>
  <c r="B602" i="2"/>
  <c r="E602" i="2"/>
  <c r="J602" i="2"/>
  <c r="I604" i="2"/>
  <c r="K602" i="2"/>
  <c r="B603" i="2"/>
  <c r="E603" i="2"/>
  <c r="J603" i="2"/>
  <c r="K603" i="2"/>
  <c r="B604" i="2"/>
  <c r="E604" i="2"/>
  <c r="J604" i="2"/>
  <c r="K604" i="2"/>
  <c r="B605" i="2"/>
  <c r="E605" i="2"/>
  <c r="J605" i="2"/>
  <c r="K605" i="2"/>
  <c r="B606" i="2"/>
  <c r="E606" i="2"/>
  <c r="J606" i="2"/>
  <c r="K606" i="2"/>
  <c r="B607" i="2"/>
  <c r="E607" i="2"/>
  <c r="J607" i="2"/>
  <c r="K607" i="2"/>
  <c r="B608" i="2"/>
  <c r="E608" i="2"/>
  <c r="J608" i="2"/>
  <c r="K608" i="2"/>
  <c r="B609" i="2"/>
  <c r="E609" i="2"/>
  <c r="J609" i="2"/>
  <c r="K609" i="2"/>
  <c r="B610" i="2"/>
  <c r="E610" i="2"/>
  <c r="J610" i="2"/>
  <c r="I612" i="2"/>
  <c r="K610" i="2"/>
  <c r="B611" i="2"/>
  <c r="E611" i="2"/>
  <c r="J611" i="2"/>
  <c r="K611" i="2"/>
  <c r="B612" i="2"/>
  <c r="E612" i="2"/>
  <c r="J612" i="2"/>
  <c r="K612" i="2"/>
  <c r="B613" i="2"/>
  <c r="E613" i="2"/>
  <c r="J613" i="2"/>
  <c r="K613" i="2"/>
  <c r="B614" i="2"/>
  <c r="E614" i="2"/>
  <c r="J614" i="2"/>
  <c r="K614" i="2"/>
  <c r="B615" i="2"/>
  <c r="E615" i="2"/>
  <c r="J615" i="2"/>
  <c r="K615" i="2"/>
  <c r="B616" i="2"/>
  <c r="E616" i="2"/>
  <c r="J616" i="2"/>
  <c r="K616" i="2"/>
  <c r="B617" i="2"/>
  <c r="E617" i="2"/>
  <c r="J617" i="2"/>
  <c r="K617" i="2"/>
  <c r="B618" i="2"/>
  <c r="E618" i="2"/>
  <c r="J618" i="2"/>
  <c r="I620" i="2"/>
  <c r="K618" i="2"/>
  <c r="B619" i="2"/>
  <c r="E619" i="2"/>
  <c r="J619" i="2"/>
  <c r="K619" i="2"/>
  <c r="B620" i="2"/>
  <c r="E620" i="2"/>
  <c r="J620" i="2"/>
  <c r="K620" i="2"/>
  <c r="B621" i="2"/>
  <c r="E621" i="2"/>
  <c r="J621" i="2"/>
  <c r="K621" i="2"/>
  <c r="B622" i="2"/>
  <c r="E622" i="2"/>
  <c r="J622" i="2"/>
  <c r="K622" i="2"/>
  <c r="B623" i="2"/>
  <c r="E623" i="2"/>
  <c r="J623" i="2"/>
  <c r="K623" i="2"/>
  <c r="B624" i="2"/>
  <c r="E624" i="2"/>
  <c r="I624" i="2"/>
  <c r="J624" i="2"/>
  <c r="K624" i="2"/>
  <c r="B625" i="2"/>
  <c r="E625" i="2"/>
  <c r="J625" i="2"/>
  <c r="K625" i="2"/>
  <c r="B626" i="2"/>
  <c r="E626" i="2"/>
  <c r="J626" i="2"/>
  <c r="K626" i="2"/>
  <c r="B627" i="2"/>
  <c r="E627" i="2"/>
  <c r="J627" i="2"/>
  <c r="F627" i="2"/>
  <c r="K627" i="2"/>
  <c r="B628" i="2"/>
  <c r="E628" i="2"/>
  <c r="J628" i="2"/>
  <c r="K628" i="2"/>
  <c r="B629" i="2"/>
  <c r="E629" i="2"/>
  <c r="J629" i="2"/>
  <c r="K629" i="2"/>
  <c r="B630" i="2"/>
  <c r="E630" i="2"/>
  <c r="J630" i="2"/>
  <c r="K630" i="2"/>
  <c r="B631" i="2"/>
  <c r="E631" i="2"/>
  <c r="J631" i="2"/>
  <c r="K631" i="2"/>
  <c r="B632" i="2"/>
  <c r="E632" i="2"/>
  <c r="J632" i="2"/>
  <c r="K632" i="2"/>
  <c r="B633" i="2"/>
  <c r="E633" i="2"/>
  <c r="J633" i="2"/>
  <c r="K633" i="2"/>
  <c r="B634" i="2"/>
  <c r="E634" i="2"/>
  <c r="J634" i="2"/>
  <c r="K634" i="2"/>
  <c r="B635" i="2"/>
  <c r="E635" i="2"/>
  <c r="J635" i="2"/>
  <c r="K635" i="2"/>
  <c r="B636" i="2"/>
  <c r="E636" i="2"/>
  <c r="J636" i="2"/>
  <c r="K636" i="2"/>
  <c r="B637" i="2"/>
  <c r="E637" i="2"/>
  <c r="J637" i="2"/>
  <c r="K637" i="2"/>
  <c r="B638" i="2"/>
  <c r="E638" i="2"/>
  <c r="J638" i="2"/>
  <c r="K638" i="2"/>
  <c r="B639" i="2"/>
  <c r="E639" i="2"/>
  <c r="J639" i="2"/>
  <c r="K639" i="2"/>
  <c r="B640" i="2"/>
  <c r="E640" i="2"/>
  <c r="J640" i="2"/>
  <c r="K640" i="2"/>
  <c r="B641" i="2"/>
  <c r="E641" i="2"/>
  <c r="J641" i="2"/>
  <c r="K641" i="2"/>
  <c r="B642" i="2"/>
  <c r="E642" i="2"/>
  <c r="J642" i="2"/>
  <c r="K642" i="2"/>
  <c r="B643" i="2"/>
  <c r="E643" i="2"/>
  <c r="J643" i="2"/>
  <c r="K643" i="2"/>
  <c r="B644" i="2"/>
  <c r="E644" i="2"/>
  <c r="J644" i="2"/>
  <c r="K644" i="2"/>
  <c r="B645" i="2"/>
  <c r="E645" i="2"/>
  <c r="J645" i="2"/>
  <c r="K645" i="2"/>
  <c r="B646" i="2"/>
  <c r="E646" i="2"/>
  <c r="J646" i="2"/>
  <c r="K646" i="2"/>
  <c r="B647" i="2"/>
  <c r="E647" i="2"/>
  <c r="J647" i="2"/>
  <c r="K647" i="2"/>
  <c r="B648" i="2"/>
  <c r="E648" i="2"/>
  <c r="J648" i="2"/>
  <c r="K648" i="2"/>
  <c r="B649" i="2"/>
  <c r="E649" i="2"/>
  <c r="J649" i="2"/>
  <c r="K649" i="2"/>
  <c r="B650" i="2"/>
  <c r="E650" i="2"/>
  <c r="J650" i="2"/>
  <c r="K650" i="2"/>
  <c r="B651" i="2"/>
  <c r="E651" i="2"/>
  <c r="J651" i="2"/>
  <c r="K651" i="2"/>
  <c r="B652" i="2"/>
  <c r="E652" i="2"/>
  <c r="J652" i="2"/>
  <c r="K652" i="2"/>
  <c r="B653" i="2"/>
  <c r="E653" i="2"/>
  <c r="J653" i="2"/>
  <c r="K653" i="2"/>
  <c r="B654" i="2"/>
  <c r="E654" i="2"/>
  <c r="J654" i="2"/>
  <c r="K654" i="2"/>
  <c r="B655" i="2"/>
  <c r="E655" i="2"/>
  <c r="J655" i="2"/>
  <c r="K655" i="2"/>
  <c r="B656" i="2"/>
  <c r="E656" i="2"/>
  <c r="J656" i="2"/>
  <c r="K656" i="2"/>
  <c r="B657" i="2"/>
  <c r="E657" i="2"/>
  <c r="J657" i="2"/>
  <c r="K657" i="2"/>
  <c r="B658" i="2"/>
  <c r="E658" i="2"/>
  <c r="J658" i="2"/>
  <c r="K658" i="2"/>
  <c r="B659" i="2"/>
  <c r="E659" i="2"/>
  <c r="J659" i="2"/>
  <c r="K659" i="2"/>
  <c r="B660" i="2"/>
  <c r="E660" i="2"/>
  <c r="J660" i="2"/>
  <c r="K660" i="2"/>
  <c r="B661" i="2"/>
  <c r="E661" i="2"/>
  <c r="J661" i="2"/>
  <c r="K661" i="2"/>
  <c r="B662" i="2"/>
  <c r="E662" i="2"/>
  <c r="J662" i="2"/>
  <c r="K662" i="2"/>
  <c r="B663" i="2"/>
  <c r="E663" i="2"/>
  <c r="J663" i="2"/>
  <c r="K663" i="2"/>
  <c r="B664" i="2"/>
  <c r="E664" i="2"/>
  <c r="J664" i="2"/>
  <c r="K664" i="2"/>
  <c r="B665" i="2"/>
  <c r="E665" i="2"/>
  <c r="J665" i="2"/>
  <c r="K665" i="2"/>
  <c r="B666" i="2"/>
  <c r="E666" i="2"/>
  <c r="J666" i="2"/>
  <c r="K666" i="2"/>
  <c r="B667" i="2"/>
  <c r="E667" i="2"/>
  <c r="J667" i="2"/>
  <c r="K667" i="2"/>
  <c r="B668" i="2"/>
  <c r="E668" i="2"/>
  <c r="J668" i="2"/>
  <c r="K668" i="2"/>
  <c r="B669" i="2"/>
  <c r="E669" i="2"/>
  <c r="J669" i="2"/>
  <c r="K669" i="2"/>
  <c r="B670" i="2"/>
  <c r="E670" i="2"/>
  <c r="J670" i="2"/>
  <c r="K670" i="2"/>
  <c r="B671" i="2"/>
  <c r="E671" i="2"/>
  <c r="J671" i="2"/>
  <c r="K671" i="2"/>
  <c r="B672" i="2"/>
  <c r="E672" i="2"/>
  <c r="J672" i="2"/>
  <c r="K672" i="2"/>
  <c r="B673" i="2"/>
  <c r="E673" i="2"/>
  <c r="J673" i="2"/>
  <c r="K673" i="2"/>
  <c r="B674" i="2"/>
  <c r="E674" i="2"/>
  <c r="J674" i="2"/>
  <c r="K674" i="2"/>
  <c r="B675" i="2"/>
  <c r="E675" i="2"/>
  <c r="J675" i="2"/>
  <c r="K675" i="2"/>
  <c r="B676" i="2"/>
  <c r="E676" i="2"/>
  <c r="J676" i="2"/>
  <c r="K676" i="2"/>
  <c r="B677" i="2"/>
  <c r="E677" i="2"/>
  <c r="J677" i="2"/>
  <c r="K677" i="2"/>
  <c r="B678" i="2"/>
  <c r="E678" i="2"/>
  <c r="J678" i="2"/>
  <c r="K678" i="2"/>
  <c r="B679" i="2"/>
  <c r="E679" i="2"/>
  <c r="J679" i="2"/>
  <c r="K679" i="2"/>
  <c r="B680" i="2"/>
  <c r="E680" i="2"/>
  <c r="J680" i="2"/>
  <c r="K680" i="2"/>
  <c r="B681" i="2"/>
  <c r="E681" i="2"/>
  <c r="J681" i="2"/>
  <c r="K681" i="2"/>
  <c r="B682" i="2"/>
  <c r="E682" i="2"/>
  <c r="J682" i="2"/>
  <c r="K682" i="2"/>
  <c r="B683" i="2"/>
  <c r="E683" i="2"/>
  <c r="J683" i="2"/>
  <c r="K683" i="2"/>
  <c r="B684" i="2"/>
  <c r="E684" i="2"/>
  <c r="J684" i="2"/>
  <c r="K684" i="2"/>
  <c r="B685" i="2"/>
  <c r="E685" i="2"/>
  <c r="J685" i="2"/>
  <c r="K685" i="2"/>
  <c r="B686" i="2"/>
  <c r="E686" i="2"/>
  <c r="J686" i="2"/>
  <c r="K686" i="2"/>
  <c r="B687" i="2"/>
  <c r="E687" i="2"/>
  <c r="J687" i="2"/>
  <c r="K687" i="2"/>
  <c r="B688" i="2"/>
  <c r="E688" i="2"/>
  <c r="J688" i="2"/>
  <c r="K688" i="2"/>
  <c r="B689" i="2"/>
  <c r="E689" i="2"/>
  <c r="J689" i="2"/>
  <c r="K689" i="2"/>
  <c r="B690" i="2"/>
  <c r="E690" i="2"/>
  <c r="J690" i="2"/>
  <c r="K690" i="2"/>
  <c r="B691" i="2"/>
  <c r="E691" i="2"/>
  <c r="J691" i="2"/>
  <c r="K691" i="2"/>
  <c r="B692" i="2"/>
  <c r="E692" i="2"/>
  <c r="J692" i="2"/>
  <c r="K692" i="2"/>
  <c r="B693" i="2"/>
  <c r="E693" i="2"/>
  <c r="J693" i="2"/>
  <c r="K693" i="2"/>
  <c r="B694" i="2"/>
  <c r="E694" i="2"/>
  <c r="J694" i="2"/>
  <c r="K694" i="2"/>
  <c r="B695" i="2"/>
  <c r="E695" i="2"/>
  <c r="J695" i="2"/>
  <c r="K695" i="2"/>
  <c r="B696" i="2"/>
  <c r="E696" i="2"/>
  <c r="J696" i="2"/>
  <c r="K696" i="2"/>
  <c r="B697" i="2"/>
  <c r="E697" i="2"/>
  <c r="J697" i="2"/>
  <c r="K697" i="2"/>
  <c r="B698" i="2"/>
  <c r="E698" i="2"/>
  <c r="J698" i="2"/>
  <c r="K698" i="2"/>
  <c r="B699" i="2"/>
  <c r="E699" i="2"/>
  <c r="J699" i="2"/>
  <c r="K699" i="2"/>
  <c r="B700" i="2"/>
  <c r="E700" i="2"/>
  <c r="J700" i="2"/>
  <c r="K700" i="2"/>
  <c r="B701" i="2"/>
  <c r="E701" i="2"/>
  <c r="J701" i="2"/>
  <c r="K701" i="2"/>
  <c r="B702" i="2"/>
  <c r="E702" i="2"/>
  <c r="J702" i="2"/>
  <c r="K702" i="2"/>
  <c r="B703" i="2"/>
  <c r="E703" i="2"/>
  <c r="J703" i="2"/>
  <c r="K703" i="2"/>
  <c r="B704" i="2"/>
  <c r="E704" i="2"/>
  <c r="J704" i="2"/>
  <c r="K704" i="2"/>
  <c r="B705" i="2"/>
  <c r="E705" i="2"/>
  <c r="J705" i="2"/>
  <c r="K705" i="2"/>
  <c r="B706" i="2"/>
  <c r="E706" i="2"/>
  <c r="J706" i="2"/>
  <c r="K706" i="2"/>
  <c r="B707" i="2"/>
  <c r="E707" i="2"/>
  <c r="J707" i="2"/>
  <c r="K707" i="2"/>
  <c r="B708" i="2"/>
  <c r="E708" i="2"/>
  <c r="J708" i="2"/>
  <c r="K708" i="2"/>
  <c r="B709" i="2"/>
  <c r="E709" i="2"/>
  <c r="J709" i="2"/>
  <c r="K709" i="2"/>
  <c r="B710" i="2"/>
  <c r="E710" i="2"/>
  <c r="J710" i="2"/>
  <c r="K710" i="2"/>
  <c r="B711" i="2"/>
  <c r="E711" i="2"/>
  <c r="J711" i="2"/>
  <c r="K711" i="2"/>
  <c r="B712" i="2"/>
  <c r="E712" i="2"/>
  <c r="J712" i="2"/>
  <c r="K712" i="2"/>
  <c r="B713" i="2"/>
  <c r="E713" i="2"/>
  <c r="J713" i="2"/>
  <c r="K713" i="2"/>
  <c r="B714" i="2"/>
  <c r="E714" i="2"/>
  <c r="J714" i="2"/>
  <c r="K714" i="2"/>
  <c r="B715" i="2"/>
  <c r="E715" i="2"/>
  <c r="J715" i="2"/>
  <c r="K715" i="2"/>
  <c r="B716" i="2"/>
  <c r="E716" i="2"/>
  <c r="J716" i="2"/>
  <c r="K716" i="2"/>
  <c r="B717" i="2"/>
  <c r="E717" i="2"/>
  <c r="J717" i="2"/>
  <c r="K717" i="2"/>
  <c r="B718" i="2"/>
  <c r="E718" i="2"/>
  <c r="J718" i="2"/>
  <c r="K718" i="2"/>
  <c r="B719" i="2"/>
  <c r="E719" i="2"/>
  <c r="J719" i="2"/>
  <c r="K719" i="2"/>
  <c r="B720" i="2"/>
  <c r="E720" i="2"/>
  <c r="J720" i="2"/>
  <c r="K720" i="2"/>
  <c r="B721" i="2"/>
  <c r="E721" i="2"/>
  <c r="J721" i="2"/>
  <c r="K721" i="2"/>
  <c r="B722" i="2"/>
  <c r="E722" i="2"/>
  <c r="J722" i="2"/>
  <c r="K722" i="2"/>
  <c r="B723" i="2"/>
  <c r="E723" i="2"/>
  <c r="J723" i="2"/>
  <c r="K723" i="2"/>
  <c r="B724" i="2"/>
  <c r="E724" i="2"/>
  <c r="J724" i="2"/>
  <c r="K724" i="2"/>
  <c r="B725" i="2"/>
  <c r="E725" i="2"/>
  <c r="J725" i="2"/>
  <c r="K725" i="2"/>
  <c r="B726" i="2"/>
  <c r="E726" i="2"/>
  <c r="J726" i="2"/>
  <c r="K726" i="2"/>
  <c r="B727" i="2"/>
  <c r="E727" i="2"/>
  <c r="J727" i="2"/>
  <c r="K727" i="2"/>
  <c r="B728" i="2"/>
  <c r="E728" i="2"/>
  <c r="J728" i="2"/>
  <c r="K728" i="2"/>
  <c r="B729" i="2"/>
  <c r="E729" i="2"/>
  <c r="J729" i="2"/>
  <c r="K729" i="2"/>
  <c r="B730" i="2"/>
  <c r="E730" i="2"/>
  <c r="J730" i="2"/>
  <c r="K730" i="2"/>
  <c r="B731" i="2"/>
  <c r="E731" i="2"/>
  <c r="J731" i="2"/>
  <c r="K731" i="2"/>
  <c r="B732" i="2"/>
  <c r="E732" i="2"/>
  <c r="J732" i="2"/>
  <c r="K732" i="2"/>
  <c r="B733" i="2"/>
  <c r="E733" i="2"/>
  <c r="J733" i="2"/>
  <c r="K733" i="2"/>
  <c r="B734" i="2"/>
  <c r="E734" i="2"/>
  <c r="J734" i="2"/>
  <c r="K734" i="2"/>
  <c r="B735" i="2"/>
  <c r="E735" i="2"/>
  <c r="J735" i="2"/>
  <c r="K735" i="2"/>
  <c r="B736" i="2"/>
  <c r="E736" i="2"/>
  <c r="J736" i="2"/>
  <c r="K736" i="2"/>
  <c r="B737" i="2"/>
  <c r="E737" i="2"/>
  <c r="J737" i="2"/>
  <c r="K737" i="2"/>
  <c r="B738" i="2"/>
  <c r="E738" i="2"/>
  <c r="J738" i="2"/>
  <c r="K738" i="2"/>
  <c r="B739" i="2"/>
  <c r="E739" i="2"/>
  <c r="J739" i="2"/>
  <c r="K739" i="2"/>
  <c r="B740" i="2"/>
  <c r="E740" i="2"/>
  <c r="J740" i="2"/>
  <c r="K740" i="2"/>
  <c r="B741" i="2"/>
  <c r="E741" i="2"/>
  <c r="J741" i="2"/>
  <c r="K741" i="2"/>
  <c r="B742" i="2"/>
  <c r="E742" i="2"/>
  <c r="J742" i="2"/>
  <c r="K742" i="2"/>
  <c r="B743" i="2"/>
  <c r="E743" i="2"/>
  <c r="J743" i="2"/>
  <c r="K743" i="2"/>
  <c r="B744" i="2"/>
  <c r="E744" i="2"/>
  <c r="J744" i="2"/>
  <c r="K744" i="2"/>
  <c r="B745" i="2"/>
  <c r="E745" i="2"/>
  <c r="J745" i="2"/>
  <c r="K745" i="2"/>
  <c r="B746" i="2"/>
  <c r="E746" i="2"/>
  <c r="J746" i="2"/>
  <c r="K746" i="2"/>
  <c r="B747" i="2"/>
  <c r="E747" i="2"/>
  <c r="J747" i="2"/>
  <c r="K747" i="2"/>
  <c r="B748" i="2"/>
  <c r="E748" i="2"/>
  <c r="J748" i="2"/>
  <c r="K748" i="2"/>
  <c r="B749" i="2"/>
  <c r="E749" i="2"/>
  <c r="J749" i="2"/>
  <c r="K749" i="2"/>
  <c r="B750" i="2"/>
  <c r="E750" i="2"/>
  <c r="J750" i="2"/>
  <c r="K750" i="2"/>
  <c r="B751" i="2"/>
  <c r="E751" i="2"/>
  <c r="J751" i="2"/>
  <c r="K751" i="2"/>
  <c r="B752" i="2"/>
  <c r="E752" i="2"/>
  <c r="J752" i="2"/>
  <c r="K752" i="2"/>
  <c r="B753" i="2"/>
  <c r="E753" i="2"/>
  <c r="J753" i="2"/>
  <c r="K753" i="2"/>
  <c r="B754" i="2"/>
  <c r="E754" i="2"/>
  <c r="J754" i="2"/>
  <c r="K754" i="2"/>
  <c r="B755" i="2"/>
  <c r="E755" i="2"/>
  <c r="J755" i="2"/>
  <c r="K755" i="2"/>
  <c r="B756" i="2"/>
  <c r="E756" i="2"/>
  <c r="J756" i="2"/>
  <c r="K756" i="2"/>
  <c r="B757" i="2"/>
  <c r="E757" i="2"/>
  <c r="J757" i="2"/>
  <c r="K757" i="2"/>
  <c r="B758" i="2"/>
  <c r="E758" i="2"/>
  <c r="J758" i="2"/>
  <c r="K758" i="2"/>
  <c r="B759" i="2"/>
  <c r="E759" i="2"/>
  <c r="J759" i="2"/>
  <c r="K759" i="2"/>
  <c r="B760" i="2"/>
  <c r="E760" i="2"/>
  <c r="J760" i="2"/>
  <c r="K760" i="2"/>
  <c r="B761" i="2"/>
  <c r="E761" i="2"/>
  <c r="J761" i="2"/>
  <c r="K761" i="2"/>
  <c r="B762" i="2"/>
  <c r="E762" i="2"/>
  <c r="J762" i="2"/>
  <c r="K762" i="2"/>
  <c r="B763" i="2"/>
  <c r="E763" i="2"/>
  <c r="J763" i="2"/>
  <c r="K763" i="2"/>
  <c r="B764" i="2"/>
  <c r="E764" i="2"/>
  <c r="J764" i="2"/>
  <c r="K764" i="2"/>
  <c r="B765" i="2"/>
  <c r="E765" i="2"/>
  <c r="J765" i="2"/>
  <c r="K765" i="2"/>
  <c r="B766" i="2"/>
  <c r="E766" i="2"/>
  <c r="J766" i="2"/>
  <c r="K766" i="2"/>
  <c r="B767" i="2"/>
  <c r="E767" i="2"/>
  <c r="J767" i="2"/>
  <c r="K767" i="2"/>
  <c r="B768" i="2"/>
  <c r="E768" i="2"/>
  <c r="J768" i="2"/>
  <c r="K768" i="2"/>
  <c r="B769" i="2"/>
  <c r="E769" i="2"/>
  <c r="J769" i="2"/>
  <c r="K769" i="2"/>
  <c r="B770" i="2"/>
  <c r="E770" i="2"/>
  <c r="J770" i="2"/>
  <c r="K770" i="2"/>
  <c r="B771" i="2"/>
  <c r="E771" i="2"/>
  <c r="J771" i="2"/>
  <c r="K771" i="2"/>
  <c r="B772" i="2"/>
  <c r="E772" i="2"/>
  <c r="J772" i="2"/>
  <c r="K772" i="2"/>
  <c r="B773" i="2"/>
  <c r="E773" i="2"/>
  <c r="J773" i="2"/>
  <c r="K773" i="2"/>
  <c r="B774" i="2"/>
  <c r="E774" i="2"/>
  <c r="J774" i="2"/>
  <c r="K774" i="2"/>
  <c r="B775" i="2"/>
  <c r="E775" i="2"/>
  <c r="J775" i="2"/>
  <c r="K775" i="2"/>
  <c r="B776" i="2"/>
  <c r="E776" i="2"/>
  <c r="J776" i="2"/>
  <c r="K776" i="2"/>
  <c r="B777" i="2"/>
  <c r="E777" i="2"/>
  <c r="J777" i="2"/>
  <c r="K777" i="2"/>
  <c r="B778" i="2"/>
  <c r="E778" i="2"/>
  <c r="J778" i="2"/>
  <c r="K778" i="2"/>
  <c r="B779" i="2"/>
  <c r="E779" i="2"/>
  <c r="J779" i="2"/>
  <c r="K779" i="2"/>
  <c r="B780" i="2"/>
  <c r="E780" i="2"/>
  <c r="J780" i="2"/>
  <c r="K780" i="2"/>
  <c r="B781" i="2"/>
  <c r="E781" i="2"/>
  <c r="J781" i="2"/>
  <c r="K781" i="2"/>
  <c r="B782" i="2"/>
  <c r="E782" i="2"/>
  <c r="J782" i="2"/>
  <c r="K782" i="2"/>
  <c r="B783" i="2"/>
  <c r="E783" i="2"/>
  <c r="J783" i="2"/>
  <c r="K783" i="2"/>
  <c r="B784" i="2"/>
  <c r="E784" i="2"/>
  <c r="J784" i="2"/>
  <c r="K784" i="2"/>
  <c r="B785" i="2"/>
  <c r="E785" i="2"/>
  <c r="J785" i="2"/>
  <c r="K785" i="2"/>
  <c r="B786" i="2"/>
  <c r="E786" i="2"/>
  <c r="J786" i="2"/>
  <c r="K786" i="2"/>
  <c r="B787" i="2"/>
  <c r="E787" i="2"/>
  <c r="J787" i="2"/>
  <c r="K787" i="2"/>
  <c r="B788" i="2"/>
  <c r="E788" i="2"/>
  <c r="J788" i="2"/>
  <c r="K788" i="2"/>
  <c r="B789" i="2"/>
  <c r="E789" i="2"/>
  <c r="J789" i="2"/>
  <c r="K789" i="2"/>
  <c r="B790" i="2"/>
  <c r="E790" i="2"/>
  <c r="J790" i="2"/>
  <c r="K790" i="2"/>
  <c r="B791" i="2"/>
  <c r="E791" i="2"/>
  <c r="J791" i="2"/>
  <c r="K791" i="2"/>
  <c r="B792" i="2"/>
  <c r="E792" i="2"/>
  <c r="J792" i="2"/>
  <c r="K792" i="2"/>
  <c r="B793" i="2"/>
  <c r="E793" i="2"/>
  <c r="J793" i="2"/>
  <c r="K793" i="2"/>
  <c r="B794" i="2"/>
  <c r="E794" i="2"/>
  <c r="J794" i="2"/>
  <c r="K794" i="2"/>
  <c r="B795" i="2"/>
  <c r="E795" i="2"/>
  <c r="J795" i="2"/>
  <c r="K795" i="2"/>
  <c r="B796" i="2"/>
  <c r="E796" i="2"/>
  <c r="J796" i="2"/>
  <c r="K796" i="2"/>
  <c r="B797" i="2"/>
  <c r="E797" i="2"/>
  <c r="J797" i="2"/>
  <c r="K797" i="2"/>
  <c r="B798" i="2"/>
  <c r="E798" i="2"/>
  <c r="J798" i="2"/>
  <c r="K798" i="2"/>
  <c r="B799" i="2"/>
  <c r="E799" i="2"/>
  <c r="J799" i="2"/>
  <c r="K799" i="2"/>
  <c r="B800" i="2"/>
  <c r="E800" i="2"/>
  <c r="J800" i="2"/>
  <c r="K800" i="2"/>
  <c r="B801" i="2"/>
  <c r="E801" i="2"/>
  <c r="J801" i="2"/>
  <c r="K801" i="2"/>
  <c r="B802" i="2"/>
  <c r="E802" i="2"/>
  <c r="J802" i="2"/>
  <c r="K802" i="2"/>
  <c r="B803" i="2"/>
  <c r="E803" i="2"/>
  <c r="J803" i="2"/>
  <c r="K803" i="2"/>
  <c r="B804" i="2"/>
  <c r="E804" i="2"/>
  <c r="J804" i="2"/>
  <c r="K804" i="2"/>
  <c r="B805" i="2"/>
  <c r="E805" i="2"/>
  <c r="J805" i="2"/>
  <c r="K805" i="2"/>
  <c r="B806" i="2"/>
  <c r="E806" i="2"/>
  <c r="J806" i="2"/>
  <c r="K806" i="2"/>
  <c r="B807" i="2"/>
  <c r="E807" i="2"/>
  <c r="J807" i="2"/>
  <c r="K807" i="2"/>
  <c r="B808" i="2"/>
  <c r="E808" i="2"/>
  <c r="J808" i="2"/>
  <c r="K808" i="2"/>
  <c r="B809" i="2"/>
  <c r="E809" i="2"/>
  <c r="J809" i="2"/>
  <c r="K809" i="2"/>
  <c r="B810" i="2"/>
  <c r="E810" i="2"/>
  <c r="J810" i="2"/>
  <c r="K810" i="2"/>
  <c r="B811" i="2"/>
  <c r="E811" i="2"/>
  <c r="J811" i="2"/>
  <c r="K811" i="2"/>
  <c r="B812" i="2"/>
  <c r="E812" i="2"/>
  <c r="J812" i="2"/>
  <c r="K812" i="2"/>
  <c r="B813" i="2"/>
  <c r="E813" i="2"/>
  <c r="J813" i="2"/>
  <c r="K813" i="2"/>
  <c r="B814" i="2"/>
  <c r="E814" i="2"/>
  <c r="J814" i="2"/>
  <c r="K814" i="2"/>
  <c r="B815" i="2"/>
  <c r="E815" i="2"/>
  <c r="J815" i="2"/>
  <c r="K815" i="2"/>
  <c r="B816" i="2"/>
  <c r="E816" i="2"/>
  <c r="J816" i="2"/>
  <c r="K816" i="2"/>
  <c r="B817" i="2"/>
  <c r="E817" i="2"/>
  <c r="J817" i="2"/>
  <c r="K817" i="2"/>
  <c r="B818" i="2"/>
  <c r="E818" i="2"/>
  <c r="J818" i="2"/>
  <c r="K818" i="2"/>
  <c r="B819" i="2"/>
  <c r="E819" i="2"/>
  <c r="J819" i="2"/>
  <c r="K819" i="2"/>
  <c r="B820" i="2"/>
  <c r="E820" i="2"/>
  <c r="J820" i="2"/>
  <c r="K820" i="2"/>
  <c r="B821" i="2"/>
  <c r="E821" i="2"/>
  <c r="J821" i="2"/>
  <c r="K821" i="2"/>
  <c r="B822" i="2"/>
  <c r="E822" i="2"/>
  <c r="J822" i="2"/>
  <c r="K822" i="2"/>
  <c r="B823" i="2"/>
  <c r="E823" i="2"/>
  <c r="J823" i="2"/>
  <c r="K823" i="2"/>
  <c r="B824" i="2"/>
  <c r="E824" i="2"/>
  <c r="J824" i="2"/>
  <c r="K824" i="2"/>
  <c r="B825" i="2"/>
  <c r="E825" i="2"/>
  <c r="J825" i="2"/>
  <c r="K825" i="2"/>
  <c r="B826" i="2"/>
  <c r="E826" i="2"/>
  <c r="J826" i="2"/>
  <c r="K826" i="2"/>
  <c r="B827" i="2"/>
  <c r="E827" i="2"/>
  <c r="J827" i="2"/>
  <c r="K827" i="2"/>
  <c r="B828" i="2"/>
  <c r="E828" i="2"/>
  <c r="J828" i="2"/>
  <c r="K828" i="2"/>
  <c r="B829" i="2"/>
  <c r="E829" i="2"/>
  <c r="J829" i="2"/>
  <c r="K829" i="2"/>
  <c r="B830" i="2"/>
  <c r="E830" i="2"/>
  <c r="J830" i="2"/>
  <c r="K830" i="2"/>
  <c r="B831" i="2"/>
  <c r="E831" i="2"/>
  <c r="J831" i="2"/>
  <c r="K831" i="2"/>
  <c r="B832" i="2"/>
  <c r="E832" i="2"/>
  <c r="J832" i="2"/>
  <c r="K832" i="2"/>
  <c r="B833" i="2"/>
  <c r="E833" i="2"/>
  <c r="J833" i="2"/>
  <c r="K833" i="2"/>
  <c r="B834" i="2"/>
  <c r="E834" i="2"/>
  <c r="J834" i="2"/>
  <c r="K834" i="2"/>
  <c r="B835" i="2"/>
  <c r="E835" i="2"/>
  <c r="J835" i="2"/>
  <c r="K835" i="2"/>
  <c r="B836" i="2"/>
  <c r="E836" i="2"/>
  <c r="J836" i="2"/>
  <c r="K836" i="2"/>
  <c r="B837" i="2"/>
  <c r="E837" i="2"/>
  <c r="J837" i="2"/>
  <c r="K837" i="2"/>
  <c r="B838" i="2"/>
  <c r="E838" i="2"/>
  <c r="J838" i="2"/>
  <c r="K838" i="2"/>
  <c r="B839" i="2"/>
  <c r="E839" i="2"/>
  <c r="J839" i="2"/>
  <c r="K839" i="2"/>
  <c r="B840" i="2"/>
  <c r="E840" i="2"/>
  <c r="J840" i="2"/>
  <c r="K840" i="2"/>
  <c r="B841" i="2"/>
  <c r="E841" i="2"/>
  <c r="J841" i="2"/>
  <c r="K841" i="2"/>
  <c r="B842" i="2"/>
  <c r="E842" i="2"/>
  <c r="J842" i="2"/>
  <c r="K842" i="2"/>
  <c r="B843" i="2"/>
  <c r="E843" i="2"/>
  <c r="J843" i="2"/>
  <c r="K843" i="2"/>
  <c r="B844" i="2"/>
  <c r="E844" i="2"/>
  <c r="J844" i="2"/>
  <c r="K844" i="2"/>
  <c r="B845" i="2"/>
  <c r="E845" i="2"/>
  <c r="J845" i="2"/>
  <c r="K845" i="2"/>
  <c r="B846" i="2"/>
  <c r="E846" i="2"/>
  <c r="J846" i="2"/>
  <c r="K846" i="2"/>
  <c r="B847" i="2"/>
  <c r="E847" i="2"/>
  <c r="J847" i="2"/>
  <c r="K847" i="2"/>
  <c r="B848" i="2"/>
  <c r="E848" i="2"/>
  <c r="J848" i="2"/>
  <c r="K848" i="2"/>
  <c r="B849" i="2"/>
  <c r="E849" i="2"/>
  <c r="J849" i="2"/>
  <c r="K849" i="2"/>
  <c r="B850" i="2"/>
  <c r="E850" i="2"/>
  <c r="J850" i="2"/>
  <c r="K850" i="2"/>
  <c r="B851" i="2"/>
  <c r="E851" i="2"/>
  <c r="J851" i="2"/>
  <c r="K851" i="2"/>
  <c r="B852" i="2"/>
  <c r="E852" i="2"/>
  <c r="J852" i="2"/>
  <c r="K852" i="2"/>
  <c r="B853" i="2"/>
  <c r="E853" i="2"/>
  <c r="J853" i="2"/>
  <c r="K853" i="2"/>
  <c r="B854" i="2"/>
  <c r="E854" i="2"/>
  <c r="J854" i="2"/>
  <c r="K854" i="2"/>
  <c r="B855" i="2"/>
  <c r="E855" i="2"/>
  <c r="J855" i="2"/>
  <c r="K855" i="2"/>
  <c r="B856" i="2"/>
  <c r="E856" i="2"/>
  <c r="J856" i="2"/>
  <c r="K856" i="2"/>
  <c r="B857" i="2"/>
  <c r="E857" i="2"/>
  <c r="J857" i="2"/>
  <c r="K857" i="2"/>
  <c r="B858" i="2"/>
  <c r="E858" i="2"/>
  <c r="J858" i="2"/>
  <c r="K858" i="2"/>
  <c r="B859" i="2"/>
  <c r="E859" i="2"/>
  <c r="J859" i="2"/>
  <c r="K859" i="2"/>
  <c r="B860" i="2"/>
  <c r="E860" i="2"/>
  <c r="J860" i="2"/>
  <c r="K860" i="2"/>
  <c r="B861" i="2"/>
  <c r="E861" i="2"/>
  <c r="J861" i="2"/>
  <c r="K861" i="2"/>
  <c r="B862" i="2"/>
  <c r="E862" i="2"/>
  <c r="J862" i="2"/>
  <c r="K862" i="2"/>
  <c r="B863" i="2"/>
  <c r="E863" i="2"/>
  <c r="J863" i="2"/>
  <c r="K863" i="2"/>
  <c r="B864" i="2"/>
  <c r="E864" i="2"/>
  <c r="J864" i="2"/>
  <c r="K864" i="2"/>
  <c r="B865" i="2"/>
  <c r="E865" i="2"/>
  <c r="J865" i="2"/>
  <c r="K865" i="2"/>
  <c r="B866" i="2"/>
  <c r="E866" i="2"/>
  <c r="J866" i="2"/>
  <c r="K866" i="2"/>
  <c r="B867" i="2"/>
  <c r="E867" i="2"/>
  <c r="J867" i="2"/>
  <c r="K867" i="2"/>
  <c r="B868" i="2"/>
  <c r="E868" i="2"/>
  <c r="J868" i="2"/>
  <c r="K868" i="2"/>
  <c r="B869" i="2"/>
  <c r="E869" i="2"/>
  <c r="J869" i="2"/>
  <c r="K869" i="2"/>
  <c r="B870" i="2"/>
  <c r="E870" i="2"/>
  <c r="J870" i="2"/>
  <c r="K870" i="2"/>
  <c r="B871" i="2"/>
  <c r="E871" i="2"/>
  <c r="J871" i="2"/>
  <c r="K871" i="2"/>
  <c r="B872" i="2"/>
  <c r="E872" i="2"/>
  <c r="J872" i="2"/>
  <c r="K872" i="2"/>
  <c r="B873" i="2"/>
  <c r="E873" i="2"/>
  <c r="J873" i="2"/>
  <c r="K873" i="2"/>
  <c r="B874" i="2"/>
  <c r="E874" i="2"/>
  <c r="J874" i="2"/>
  <c r="K874" i="2"/>
  <c r="B875" i="2"/>
  <c r="E875" i="2"/>
  <c r="J875" i="2"/>
  <c r="K875" i="2"/>
  <c r="B876" i="2"/>
  <c r="E876" i="2"/>
  <c r="J876" i="2"/>
  <c r="K876" i="2"/>
  <c r="B877" i="2"/>
  <c r="E877" i="2"/>
  <c r="J877" i="2"/>
  <c r="K877" i="2"/>
  <c r="B878" i="2"/>
  <c r="E878" i="2"/>
  <c r="J878" i="2"/>
  <c r="K878" i="2"/>
  <c r="B879" i="2"/>
  <c r="E879" i="2"/>
  <c r="J879" i="2"/>
  <c r="K879" i="2"/>
  <c r="B880" i="2"/>
  <c r="E880" i="2"/>
  <c r="J880" i="2"/>
  <c r="K880" i="2"/>
  <c r="B881" i="2"/>
  <c r="E881" i="2"/>
  <c r="J881" i="2"/>
  <c r="K881" i="2"/>
  <c r="B882" i="2"/>
  <c r="E882" i="2"/>
  <c r="J882" i="2"/>
  <c r="K882" i="2"/>
  <c r="B883" i="2"/>
  <c r="E883" i="2"/>
  <c r="J883" i="2"/>
  <c r="K883" i="2"/>
  <c r="B884" i="2"/>
  <c r="E884" i="2"/>
  <c r="J884" i="2"/>
  <c r="K884" i="2"/>
  <c r="B885" i="2"/>
  <c r="E885" i="2"/>
  <c r="J885" i="2"/>
  <c r="K885" i="2"/>
  <c r="B886" i="2"/>
  <c r="E886" i="2"/>
  <c r="J886" i="2"/>
  <c r="K886" i="2"/>
  <c r="B887" i="2"/>
  <c r="E887" i="2"/>
  <c r="J887" i="2"/>
  <c r="K887" i="2"/>
  <c r="B888" i="2"/>
  <c r="E888" i="2"/>
  <c r="J888" i="2"/>
  <c r="K888" i="2"/>
  <c r="B889" i="2"/>
  <c r="E889" i="2"/>
  <c r="J889" i="2"/>
  <c r="K889" i="2"/>
  <c r="B890" i="2"/>
  <c r="E890" i="2"/>
  <c r="J890" i="2"/>
  <c r="K890" i="2"/>
  <c r="B891" i="2"/>
  <c r="E891" i="2"/>
  <c r="J891" i="2"/>
  <c r="K891" i="2"/>
  <c r="B892" i="2"/>
  <c r="E892" i="2"/>
  <c r="J892" i="2"/>
  <c r="K892" i="2"/>
  <c r="B893" i="2"/>
  <c r="E893" i="2"/>
  <c r="J893" i="2"/>
  <c r="K893" i="2"/>
  <c r="B894" i="2"/>
  <c r="E894" i="2"/>
  <c r="J894" i="2"/>
  <c r="K894" i="2"/>
  <c r="B895" i="2"/>
  <c r="E895" i="2"/>
  <c r="J895" i="2"/>
  <c r="K895" i="2"/>
  <c r="B896" i="2"/>
  <c r="E896" i="2"/>
  <c r="J896" i="2"/>
  <c r="K896" i="2"/>
  <c r="B897" i="2"/>
  <c r="E897" i="2"/>
  <c r="J897" i="2"/>
  <c r="K897" i="2"/>
  <c r="B898" i="2"/>
  <c r="E898" i="2"/>
  <c r="J898" i="2"/>
  <c r="K898" i="2"/>
  <c r="B899" i="2"/>
  <c r="E899" i="2"/>
  <c r="J899" i="2"/>
  <c r="K899" i="2"/>
  <c r="B900" i="2"/>
  <c r="E900" i="2"/>
  <c r="J900" i="2"/>
  <c r="K900" i="2"/>
  <c r="B901" i="2"/>
  <c r="E901" i="2"/>
  <c r="J901" i="2"/>
  <c r="K901" i="2"/>
  <c r="B902" i="2"/>
  <c r="E902" i="2"/>
  <c r="J902" i="2"/>
  <c r="K902" i="2"/>
  <c r="B903" i="2"/>
  <c r="E903" i="2"/>
  <c r="J903" i="2"/>
  <c r="K903" i="2"/>
  <c r="B904" i="2"/>
  <c r="E904" i="2"/>
  <c r="J904" i="2"/>
  <c r="K904" i="2"/>
  <c r="B905" i="2"/>
  <c r="E905" i="2"/>
  <c r="J905" i="2"/>
  <c r="K905" i="2"/>
  <c r="B906" i="2"/>
  <c r="E906" i="2"/>
  <c r="J906" i="2"/>
  <c r="K906" i="2"/>
  <c r="B907" i="2"/>
  <c r="E907" i="2"/>
  <c r="J907" i="2"/>
  <c r="K907" i="2"/>
  <c r="B908" i="2"/>
  <c r="E908" i="2"/>
  <c r="J908" i="2"/>
  <c r="K908" i="2"/>
  <c r="B909" i="2"/>
  <c r="E909" i="2"/>
  <c r="J909" i="2"/>
  <c r="K909" i="2"/>
  <c r="B910" i="2"/>
  <c r="E910" i="2"/>
  <c r="J910" i="2"/>
  <c r="K910" i="2"/>
  <c r="B911" i="2"/>
  <c r="E911" i="2"/>
  <c r="J911" i="2"/>
  <c r="K911" i="2"/>
  <c r="B912" i="2"/>
  <c r="E912" i="2"/>
  <c r="F912" i="2"/>
  <c r="J912" i="2"/>
  <c r="K912" i="2"/>
  <c r="B913" i="2"/>
  <c r="E913" i="2"/>
  <c r="J913" i="2"/>
  <c r="K913" i="2"/>
  <c r="B914" i="2"/>
  <c r="E914" i="2"/>
  <c r="J914" i="2"/>
  <c r="K914" i="2"/>
  <c r="B915" i="2"/>
  <c r="E915" i="2"/>
  <c r="J915" i="2"/>
  <c r="K915" i="2"/>
  <c r="B916" i="2"/>
  <c r="E916" i="2"/>
  <c r="J916" i="2"/>
  <c r="K916" i="2"/>
  <c r="B917" i="2"/>
  <c r="E917" i="2"/>
  <c r="J917" i="2"/>
  <c r="K917" i="2"/>
  <c r="B918" i="2"/>
  <c r="E918" i="2"/>
  <c r="J918" i="2"/>
  <c r="K918" i="2"/>
  <c r="B919" i="2"/>
  <c r="E919" i="2"/>
  <c r="J919" i="2"/>
  <c r="K919" i="2"/>
  <c r="B920" i="2"/>
  <c r="E920" i="2"/>
  <c r="J920" i="2"/>
  <c r="K920" i="2"/>
  <c r="B921" i="2"/>
  <c r="E921" i="2"/>
  <c r="J921" i="2"/>
  <c r="K921" i="2"/>
  <c r="B922" i="2"/>
  <c r="E922" i="2"/>
  <c r="J922" i="2"/>
  <c r="K922" i="2"/>
  <c r="B923" i="2"/>
  <c r="E923" i="2"/>
  <c r="J923" i="2"/>
  <c r="K923" i="2"/>
  <c r="B924" i="2"/>
  <c r="E924" i="2"/>
  <c r="J924" i="2"/>
  <c r="K924" i="2"/>
  <c r="B925" i="2"/>
  <c r="E925" i="2"/>
  <c r="J925" i="2"/>
  <c r="K925" i="2"/>
  <c r="B926" i="2"/>
  <c r="E926" i="2"/>
  <c r="J926" i="2"/>
  <c r="K926" i="2"/>
  <c r="B927" i="2"/>
  <c r="E927" i="2"/>
  <c r="J927" i="2"/>
  <c r="K927" i="2"/>
  <c r="B928" i="2"/>
  <c r="E928" i="2"/>
  <c r="F928" i="2"/>
  <c r="J928" i="2"/>
  <c r="K928" i="2"/>
  <c r="B929" i="2"/>
  <c r="E929" i="2"/>
  <c r="J929" i="2"/>
  <c r="K929" i="2"/>
  <c r="B930" i="2"/>
  <c r="E930" i="2"/>
  <c r="J930" i="2"/>
  <c r="K930" i="2"/>
  <c r="B931" i="2"/>
  <c r="E931" i="2"/>
  <c r="J931" i="2"/>
  <c r="K931" i="2"/>
  <c r="B932" i="2"/>
  <c r="E932" i="2"/>
  <c r="J932" i="2"/>
  <c r="K932" i="2"/>
  <c r="B933" i="2"/>
  <c r="E933" i="2"/>
  <c r="J933" i="2"/>
  <c r="K933" i="2"/>
  <c r="B934" i="2"/>
  <c r="E934" i="2"/>
  <c r="J934" i="2"/>
  <c r="K934" i="2"/>
  <c r="B935" i="2"/>
  <c r="E935" i="2"/>
  <c r="J935" i="2"/>
  <c r="K935" i="2"/>
  <c r="B936" i="2"/>
  <c r="E936" i="2"/>
  <c r="J936" i="2"/>
  <c r="K936" i="2"/>
  <c r="B937" i="2"/>
  <c r="E937" i="2"/>
  <c r="J937" i="2"/>
  <c r="K937" i="2"/>
  <c r="B938" i="2"/>
  <c r="E938" i="2"/>
  <c r="J938" i="2"/>
  <c r="K938" i="2"/>
  <c r="B939" i="2"/>
  <c r="E939" i="2"/>
  <c r="J939" i="2"/>
  <c r="K939" i="2"/>
  <c r="B940" i="2"/>
  <c r="E940" i="2"/>
  <c r="J940" i="2"/>
  <c r="K940" i="2"/>
  <c r="B941" i="2"/>
  <c r="E941" i="2"/>
  <c r="J941" i="2"/>
  <c r="K941" i="2"/>
  <c r="B942" i="2"/>
  <c r="E942" i="2"/>
  <c r="J942" i="2"/>
  <c r="K942" i="2"/>
  <c r="B943" i="2"/>
  <c r="E943" i="2"/>
  <c r="J943" i="2"/>
  <c r="K943" i="2"/>
  <c r="B944" i="2"/>
  <c r="E944" i="2"/>
  <c r="J944" i="2"/>
  <c r="F944" i="2"/>
  <c r="K944" i="2"/>
  <c r="B945" i="2"/>
  <c r="E945" i="2"/>
  <c r="J945" i="2"/>
  <c r="K945" i="2"/>
  <c r="B946" i="2"/>
  <c r="E946" i="2"/>
  <c r="J946" i="2"/>
  <c r="K946" i="2"/>
  <c r="B947" i="2"/>
  <c r="E947" i="2"/>
  <c r="J947" i="2"/>
  <c r="K947" i="2"/>
  <c r="B948" i="2"/>
  <c r="E948" i="2"/>
  <c r="J948" i="2"/>
  <c r="K948" i="2"/>
  <c r="B949" i="2"/>
  <c r="E949" i="2"/>
  <c r="J949" i="2"/>
  <c r="K949" i="2"/>
  <c r="B950" i="2"/>
  <c r="E950" i="2"/>
  <c r="J950" i="2"/>
  <c r="K950" i="2"/>
  <c r="B951" i="2"/>
  <c r="E951" i="2"/>
  <c r="J951" i="2"/>
  <c r="K951" i="2"/>
  <c r="B952" i="2"/>
  <c r="E952" i="2"/>
  <c r="J952" i="2"/>
  <c r="K952" i="2"/>
  <c r="B953" i="2"/>
  <c r="E953" i="2"/>
  <c r="J953" i="2"/>
  <c r="K953" i="2"/>
  <c r="B954" i="2"/>
  <c r="E954" i="2"/>
  <c r="J954" i="2"/>
  <c r="K954" i="2"/>
  <c r="B955" i="2"/>
  <c r="E955" i="2"/>
  <c r="J955" i="2"/>
  <c r="K955" i="2"/>
  <c r="B956" i="2"/>
  <c r="E956" i="2"/>
  <c r="J956" i="2"/>
  <c r="K956" i="2"/>
  <c r="B957" i="2"/>
  <c r="E957" i="2"/>
  <c r="J957" i="2"/>
  <c r="K957" i="2"/>
  <c r="B958" i="2"/>
  <c r="E958" i="2"/>
  <c r="J958" i="2"/>
  <c r="K958" i="2"/>
  <c r="B959" i="2"/>
  <c r="E959" i="2"/>
  <c r="J959" i="2"/>
  <c r="K959" i="2"/>
  <c r="B960" i="2"/>
  <c r="E960" i="2"/>
  <c r="J960" i="2"/>
  <c r="K960" i="2"/>
  <c r="B961" i="2"/>
  <c r="E961" i="2"/>
  <c r="J961" i="2"/>
  <c r="K961" i="2"/>
  <c r="B962" i="2"/>
  <c r="E962" i="2"/>
  <c r="J962" i="2"/>
  <c r="K962" i="2"/>
  <c r="B963" i="2"/>
  <c r="E963" i="2"/>
  <c r="J963" i="2"/>
  <c r="K963" i="2"/>
  <c r="B964" i="2"/>
  <c r="E964" i="2"/>
  <c r="F964" i="2"/>
  <c r="J964" i="2"/>
  <c r="K964" i="2"/>
  <c r="B965" i="2"/>
  <c r="E965" i="2"/>
  <c r="J965" i="2"/>
  <c r="K965" i="2"/>
  <c r="B966" i="2"/>
  <c r="E966" i="2"/>
  <c r="J966" i="2"/>
  <c r="K966" i="2"/>
  <c r="B967" i="2"/>
  <c r="E967" i="2"/>
  <c r="J967" i="2"/>
  <c r="K967" i="2"/>
  <c r="B968" i="2"/>
  <c r="E968" i="2"/>
  <c r="J968" i="2"/>
  <c r="K968" i="2"/>
  <c r="B969" i="2"/>
  <c r="E969" i="2"/>
  <c r="J969" i="2"/>
  <c r="K969" i="2"/>
  <c r="B970" i="2"/>
  <c r="E970" i="2"/>
  <c r="J970" i="2"/>
  <c r="K970" i="2"/>
  <c r="B971" i="2"/>
  <c r="E971" i="2"/>
  <c r="J971" i="2"/>
  <c r="K971" i="2"/>
  <c r="B972" i="2"/>
  <c r="E972" i="2"/>
  <c r="J972" i="2"/>
  <c r="K972" i="2"/>
  <c r="B973" i="2"/>
  <c r="E973" i="2"/>
  <c r="J973" i="2"/>
  <c r="K973" i="2"/>
  <c r="B974" i="2"/>
  <c r="E974" i="2"/>
  <c r="J974" i="2"/>
  <c r="K974" i="2"/>
  <c r="B975" i="2"/>
  <c r="E975" i="2"/>
  <c r="J975" i="2"/>
  <c r="K975" i="2"/>
  <c r="B976" i="2"/>
  <c r="E976" i="2"/>
  <c r="J976" i="2"/>
  <c r="K976" i="2"/>
  <c r="B977" i="2"/>
  <c r="E977" i="2"/>
  <c r="J977" i="2"/>
  <c r="K977" i="2"/>
  <c r="B978" i="2"/>
  <c r="E978" i="2"/>
  <c r="J978" i="2"/>
  <c r="K978" i="2"/>
  <c r="B979" i="2"/>
  <c r="E979" i="2"/>
  <c r="J979" i="2"/>
  <c r="K979" i="2"/>
  <c r="B980" i="2"/>
  <c r="E980" i="2"/>
  <c r="J980" i="2"/>
  <c r="K980" i="2"/>
  <c r="B981" i="2"/>
  <c r="E981" i="2"/>
  <c r="J981" i="2"/>
  <c r="K981" i="2"/>
  <c r="B982" i="2"/>
  <c r="E982" i="2"/>
  <c r="J982" i="2"/>
  <c r="K982" i="2"/>
  <c r="B983" i="2"/>
  <c r="E983" i="2"/>
  <c r="J983" i="2"/>
  <c r="K983" i="2"/>
  <c r="B984" i="2"/>
  <c r="E984" i="2"/>
  <c r="F984" i="2"/>
  <c r="J984" i="2"/>
  <c r="K984" i="2"/>
  <c r="B985" i="2"/>
  <c r="E985" i="2"/>
  <c r="J985" i="2"/>
  <c r="K985" i="2"/>
  <c r="B986" i="2"/>
  <c r="E986" i="2"/>
  <c r="J986" i="2"/>
  <c r="K986" i="2"/>
  <c r="B987" i="2"/>
  <c r="E987" i="2"/>
  <c r="J987" i="2"/>
  <c r="K987" i="2"/>
  <c r="B988" i="2"/>
  <c r="E988" i="2"/>
  <c r="J988" i="2"/>
  <c r="F988" i="2"/>
  <c r="K988" i="2"/>
  <c r="B989" i="2"/>
  <c r="E989" i="2"/>
  <c r="J989" i="2"/>
  <c r="K989" i="2"/>
  <c r="J13" i="1" l="1"/>
  <c r="Q13" i="1" s="1"/>
  <c r="L10" i="2" s="1"/>
  <c r="P16" i="1"/>
  <c r="K13" i="2" s="1"/>
  <c r="P14" i="1"/>
  <c r="K11" i="2" s="1"/>
  <c r="P12" i="1"/>
  <c r="K9" i="2" s="1"/>
  <c r="P10" i="1"/>
  <c r="K7" i="2" s="1"/>
  <c r="P8" i="1"/>
  <c r="K5" i="2" s="1"/>
  <c r="P20" i="1"/>
  <c r="K17" i="2" s="1"/>
  <c r="P18" i="1"/>
  <c r="K15" i="2" s="1"/>
  <c r="P15" i="1"/>
  <c r="K12" i="2" s="1"/>
  <c r="P13" i="1"/>
  <c r="K10" i="2" s="1"/>
  <c r="P11" i="1"/>
  <c r="K8" i="2" s="1"/>
  <c r="P9" i="1"/>
  <c r="K6" i="2" s="1"/>
  <c r="P7" i="1"/>
  <c r="K4" i="2" s="1"/>
  <c r="P19" i="1"/>
  <c r="K16" i="2" s="1"/>
  <c r="P17" i="1"/>
  <c r="K14" i="2" s="1"/>
  <c r="A616" i="2"/>
  <c r="A613" i="2"/>
  <c r="A596" i="2"/>
  <c r="A593" i="2"/>
  <c r="A555" i="2"/>
  <c r="A552" i="2"/>
  <c r="A549" i="2"/>
  <c r="A523" i="2"/>
  <c r="A520" i="2"/>
  <c r="A517" i="2"/>
  <c r="A491" i="2"/>
  <c r="A488" i="2"/>
  <c r="A485" i="2"/>
  <c r="A459" i="2"/>
  <c r="A456" i="2"/>
  <c r="A453" i="2"/>
  <c r="A450" i="2"/>
  <c r="A447" i="2"/>
  <c r="A444" i="2"/>
  <c r="A379" i="2"/>
  <c r="A376" i="2"/>
  <c r="A867" i="2"/>
  <c r="A864" i="2"/>
  <c r="A861" i="2"/>
  <c r="A858" i="2"/>
  <c r="A855" i="2"/>
  <c r="A852" i="2"/>
  <c r="A849" i="2"/>
  <c r="A846" i="2"/>
  <c r="A843" i="2"/>
  <c r="A840" i="2"/>
  <c r="A837" i="2"/>
  <c r="A834" i="2"/>
  <c r="A831" i="2"/>
  <c r="A828" i="2"/>
  <c r="A825" i="2"/>
  <c r="A822" i="2"/>
  <c r="A819" i="2"/>
  <c r="A816" i="2"/>
  <c r="A813" i="2"/>
  <c r="A810" i="2"/>
  <c r="A807" i="2"/>
  <c r="A804" i="2"/>
  <c r="A801" i="2"/>
  <c r="A798" i="2"/>
  <c r="A795" i="2"/>
  <c r="A792" i="2"/>
  <c r="A789" i="2"/>
  <c r="A786" i="2"/>
  <c r="A783" i="2"/>
  <c r="A780" i="2"/>
  <c r="A777" i="2"/>
  <c r="A774" i="2"/>
  <c r="A771" i="2"/>
  <c r="A768" i="2"/>
  <c r="A765" i="2"/>
  <c r="A762" i="2"/>
  <c r="A759" i="2"/>
  <c r="A756" i="2"/>
  <c r="A753" i="2"/>
  <c r="A750" i="2"/>
  <c r="A747" i="2"/>
  <c r="A744" i="2"/>
  <c r="A741" i="2"/>
  <c r="A738" i="2"/>
  <c r="A735" i="2"/>
  <c r="A732" i="2"/>
  <c r="A729" i="2"/>
  <c r="A726" i="2"/>
  <c r="A723" i="2"/>
  <c r="A720" i="2"/>
  <c r="A717" i="2"/>
  <c r="A714" i="2"/>
  <c r="A711" i="2"/>
  <c r="A708" i="2"/>
  <c r="A705" i="2"/>
  <c r="A702" i="2"/>
  <c r="A699" i="2"/>
  <c r="A696" i="2"/>
  <c r="A693" i="2"/>
  <c r="A690" i="2"/>
  <c r="A687" i="2"/>
  <c r="A684" i="2"/>
  <c r="A681" i="2"/>
  <c r="A678" i="2"/>
  <c r="A675" i="2"/>
  <c r="A672" i="2"/>
  <c r="A669" i="2"/>
  <c r="A666" i="2"/>
  <c r="A663" i="2"/>
  <c r="A660" i="2"/>
  <c r="A657" i="2"/>
  <c r="A654" i="2"/>
  <c r="A651" i="2"/>
  <c r="A648" i="2"/>
  <c r="A645" i="2"/>
  <c r="A642" i="2"/>
  <c r="A639" i="2"/>
  <c r="A636" i="2"/>
  <c r="A633" i="2"/>
  <c r="A630" i="2"/>
  <c r="A610" i="2"/>
  <c r="A607" i="2"/>
  <c r="A604" i="2"/>
  <c r="A590" i="2"/>
  <c r="A546" i="2"/>
  <c r="A543" i="2"/>
  <c r="A514" i="2"/>
  <c r="A511" i="2"/>
  <c r="A482" i="2"/>
  <c r="A479" i="2"/>
  <c r="A441" i="2"/>
  <c r="A438" i="2"/>
  <c r="A435" i="2"/>
  <c r="A432" i="2"/>
  <c r="A429" i="2"/>
  <c r="A426" i="2"/>
  <c r="A373" i="2"/>
  <c r="A627" i="2"/>
  <c r="A601" i="2"/>
  <c r="A587" i="2"/>
  <c r="A584" i="2"/>
  <c r="A581" i="2"/>
  <c r="A578" i="2"/>
  <c r="A575" i="2"/>
  <c r="A572" i="2"/>
  <c r="A569" i="2"/>
  <c r="A566" i="2"/>
  <c r="A540" i="2"/>
  <c r="A537" i="2"/>
  <c r="A534" i="2"/>
  <c r="A508" i="2"/>
  <c r="A505" i="2"/>
  <c r="A502" i="2"/>
  <c r="A476" i="2"/>
  <c r="A473" i="2"/>
  <c r="A470" i="2"/>
  <c r="A423" i="2"/>
  <c r="A420" i="2"/>
  <c r="A417" i="2"/>
  <c r="A414" i="2"/>
  <c r="A411" i="2"/>
  <c r="A408" i="2"/>
  <c r="A405" i="2"/>
  <c r="A402" i="2"/>
  <c r="A399" i="2"/>
  <c r="A396" i="2"/>
  <c r="A393" i="2"/>
  <c r="A370" i="2"/>
  <c r="A367" i="2"/>
  <c r="A364" i="2"/>
  <c r="A624" i="2"/>
  <c r="A621" i="2"/>
  <c r="A598" i="2"/>
  <c r="A563" i="2"/>
  <c r="A560" i="2"/>
  <c r="A557" i="2"/>
  <c r="A531" i="2"/>
  <c r="A528" i="2"/>
  <c r="A525" i="2"/>
  <c r="A499" i="2"/>
  <c r="A496" i="2"/>
  <c r="A493" i="2"/>
  <c r="A467" i="2"/>
  <c r="A464" i="2"/>
  <c r="A461" i="2"/>
  <c r="A390" i="2"/>
  <c r="A387" i="2"/>
  <c r="A384" i="2"/>
  <c r="A381" i="2"/>
  <c r="A361" i="2"/>
  <c r="A358" i="2"/>
  <c r="A355" i="2"/>
  <c r="A352" i="2"/>
  <c r="A349" i="2"/>
  <c r="A346" i="2"/>
  <c r="A343" i="2"/>
  <c r="A340" i="2"/>
  <c r="A337" i="2"/>
  <c r="A334" i="2"/>
  <c r="A331" i="2"/>
  <c r="A328" i="2"/>
  <c r="A325" i="2"/>
  <c r="A322" i="2"/>
  <c r="A319" i="2"/>
  <c r="A316" i="2"/>
  <c r="A313" i="2"/>
  <c r="A310" i="2"/>
  <c r="A307" i="2"/>
  <c r="A304" i="2"/>
  <c r="A301" i="2"/>
  <c r="A298" i="2"/>
  <c r="A295" i="2"/>
  <c r="A618" i="2"/>
  <c r="A615" i="2"/>
  <c r="A612" i="2"/>
  <c r="A595" i="2"/>
  <c r="A554" i="2"/>
  <c r="A551" i="2"/>
  <c r="A522" i="2"/>
  <c r="A519" i="2"/>
  <c r="A490" i="2"/>
  <c r="A487" i="2"/>
  <c r="A458" i="2"/>
  <c r="A455" i="2"/>
  <c r="A452" i="2"/>
  <c r="A449" i="2"/>
  <c r="A446" i="2"/>
  <c r="A378" i="2"/>
  <c r="A375" i="2"/>
  <c r="A866" i="2"/>
  <c r="A863" i="2"/>
  <c r="A860" i="2"/>
  <c r="A857" i="2"/>
  <c r="A854" i="2"/>
  <c r="A851" i="2"/>
  <c r="A848" i="2"/>
  <c r="A845" i="2"/>
  <c r="A842" i="2"/>
  <c r="A839" i="2"/>
  <c r="A836" i="2"/>
  <c r="A833" i="2"/>
  <c r="A830" i="2"/>
  <c r="A827" i="2"/>
  <c r="A824" i="2"/>
  <c r="A821" i="2"/>
  <c r="A818" i="2"/>
  <c r="A815" i="2"/>
  <c r="A812" i="2"/>
  <c r="A809" i="2"/>
  <c r="A806" i="2"/>
  <c r="A803" i="2"/>
  <c r="A800" i="2"/>
  <c r="A797" i="2"/>
  <c r="A794" i="2"/>
  <c r="A791" i="2"/>
  <c r="A788" i="2"/>
  <c r="A785" i="2"/>
  <c r="A782" i="2"/>
  <c r="A779" i="2"/>
  <c r="A776" i="2"/>
  <c r="A773" i="2"/>
  <c r="A770" i="2"/>
  <c r="A767" i="2"/>
  <c r="A764" i="2"/>
  <c r="A761" i="2"/>
  <c r="A758" i="2"/>
  <c r="A755" i="2"/>
  <c r="A752" i="2"/>
  <c r="A749" i="2"/>
  <c r="A746" i="2"/>
  <c r="A743" i="2"/>
  <c r="A740" i="2"/>
  <c r="A737" i="2"/>
  <c r="A734" i="2"/>
  <c r="A731" i="2"/>
  <c r="A728" i="2"/>
  <c r="A725" i="2"/>
  <c r="A722" i="2"/>
  <c r="A719" i="2"/>
  <c r="A716" i="2"/>
  <c r="A713" i="2"/>
  <c r="A710" i="2"/>
  <c r="A707" i="2"/>
  <c r="A704" i="2"/>
  <c r="A701" i="2"/>
  <c r="A698" i="2"/>
  <c r="A695" i="2"/>
  <c r="A692" i="2"/>
  <c r="A689" i="2"/>
  <c r="A686" i="2"/>
  <c r="A683" i="2"/>
  <c r="A680" i="2"/>
  <c r="A677" i="2"/>
  <c r="A674" i="2"/>
  <c r="A671" i="2"/>
  <c r="A668" i="2"/>
  <c r="A665" i="2"/>
  <c r="A662" i="2"/>
  <c r="A659" i="2"/>
  <c r="A656" i="2"/>
  <c r="A653" i="2"/>
  <c r="A650" i="2"/>
  <c r="A647" i="2"/>
  <c r="A644" i="2"/>
  <c r="A641" i="2"/>
  <c r="A638" i="2"/>
  <c r="A635" i="2"/>
  <c r="A632" i="2"/>
  <c r="A629" i="2"/>
  <c r="A609" i="2"/>
  <c r="A606" i="2"/>
  <c r="A603" i="2"/>
  <c r="A592" i="2"/>
  <c r="A589" i="2"/>
  <c r="A548" i="2"/>
  <c r="A545" i="2"/>
  <c r="A542" i="2"/>
  <c r="A516" i="2"/>
  <c r="A513" i="2"/>
  <c r="A510" i="2"/>
  <c r="A484" i="2"/>
  <c r="A481" i="2"/>
  <c r="A478" i="2"/>
  <c r="A443" i="2"/>
  <c r="A440" i="2"/>
  <c r="A437" i="2"/>
  <c r="A434" i="2"/>
  <c r="A431" i="2"/>
  <c r="A428" i="2"/>
  <c r="A425" i="2"/>
  <c r="A372" i="2"/>
  <c r="A626" i="2"/>
  <c r="A586" i="2"/>
  <c r="A583" i="2"/>
  <c r="A580" i="2"/>
  <c r="A577" i="2"/>
  <c r="A574" i="2"/>
  <c r="A571" i="2"/>
  <c r="A568" i="2"/>
  <c r="A565" i="2"/>
  <c r="A539" i="2"/>
  <c r="A536" i="2"/>
  <c r="A533" i="2"/>
  <c r="A507" i="2"/>
  <c r="A504" i="2"/>
  <c r="A501" i="2"/>
  <c r="A475" i="2"/>
  <c r="A472" i="2"/>
  <c r="A469" i="2"/>
  <c r="A422" i="2"/>
  <c r="A419" i="2"/>
  <c r="A416" i="2"/>
  <c r="A413" i="2"/>
  <c r="A410" i="2"/>
  <c r="A407" i="2"/>
  <c r="A404" i="2"/>
  <c r="A401" i="2"/>
  <c r="A398" i="2"/>
  <c r="A395" i="2"/>
  <c r="A392" i="2"/>
  <c r="A369" i="2"/>
  <c r="A366" i="2"/>
  <c r="A623" i="2"/>
  <c r="A620" i="2"/>
  <c r="A600" i="2"/>
  <c r="A597" i="2"/>
  <c r="A562" i="2"/>
  <c r="A559" i="2"/>
  <c r="A530" i="2"/>
  <c r="A527" i="2"/>
  <c r="A498" i="2"/>
  <c r="A495" i="2"/>
  <c r="A466" i="2"/>
  <c r="A463" i="2"/>
  <c r="A389" i="2"/>
  <c r="A386" i="2"/>
  <c r="A383" i="2"/>
  <c r="A380" i="2"/>
  <c r="A363" i="2"/>
  <c r="A360" i="2"/>
  <c r="A357" i="2"/>
  <c r="A354" i="2"/>
  <c r="A351" i="2"/>
  <c r="A348" i="2"/>
  <c r="A345" i="2"/>
  <c r="A342" i="2"/>
  <c r="A339" i="2"/>
  <c r="A336" i="2"/>
  <c r="A333" i="2"/>
  <c r="A330" i="2"/>
  <c r="A327" i="2"/>
  <c r="A324" i="2"/>
  <c r="A321" i="2"/>
  <c r="A318" i="2"/>
  <c r="A315" i="2"/>
  <c r="A312" i="2"/>
  <c r="A309" i="2"/>
  <c r="A306" i="2"/>
  <c r="A303" i="2"/>
  <c r="A300" i="2"/>
  <c r="A297" i="2"/>
  <c r="A617" i="2"/>
  <c r="A614" i="2"/>
  <c r="A611" i="2"/>
  <c r="A594" i="2"/>
  <c r="A556" i="2"/>
  <c r="A553" i="2"/>
  <c r="A550" i="2"/>
  <c r="A524" i="2"/>
  <c r="A521" i="2"/>
  <c r="A518" i="2"/>
  <c r="A492" i="2"/>
  <c r="A489" i="2"/>
  <c r="A486" i="2"/>
  <c r="A460" i="2"/>
  <c r="A457" i="2"/>
  <c r="A454" i="2"/>
  <c r="A451" i="2"/>
  <c r="A448" i="2"/>
  <c r="A445" i="2"/>
  <c r="A377" i="2"/>
  <c r="A865" i="2"/>
  <c r="A862" i="2"/>
  <c r="A859" i="2"/>
  <c r="A856" i="2"/>
  <c r="A853" i="2"/>
  <c r="A850" i="2"/>
  <c r="A847" i="2"/>
  <c r="A844" i="2"/>
  <c r="A841" i="2"/>
  <c r="A838" i="2"/>
  <c r="A835" i="2"/>
  <c r="A832" i="2"/>
  <c r="A829" i="2"/>
  <c r="A826" i="2"/>
  <c r="A823" i="2"/>
  <c r="A820" i="2"/>
  <c r="A817" i="2"/>
  <c r="A814" i="2"/>
  <c r="A811" i="2"/>
  <c r="A808" i="2"/>
  <c r="A805" i="2"/>
  <c r="A802" i="2"/>
  <c r="A799" i="2"/>
  <c r="A796" i="2"/>
  <c r="A793" i="2"/>
  <c r="A790" i="2"/>
  <c r="A787" i="2"/>
  <c r="A784" i="2"/>
  <c r="A781" i="2"/>
  <c r="A778" i="2"/>
  <c r="A775" i="2"/>
  <c r="A772" i="2"/>
  <c r="A769" i="2"/>
  <c r="A766" i="2"/>
  <c r="A763" i="2"/>
  <c r="A760" i="2"/>
  <c r="A757" i="2"/>
  <c r="A754" i="2"/>
  <c r="A751" i="2"/>
  <c r="A748" i="2"/>
  <c r="A745" i="2"/>
  <c r="A742" i="2"/>
  <c r="A739" i="2"/>
  <c r="A736" i="2"/>
  <c r="A733" i="2"/>
  <c r="A730" i="2"/>
  <c r="A727" i="2"/>
  <c r="A724" i="2"/>
  <c r="A721" i="2"/>
  <c r="A718" i="2"/>
  <c r="A715" i="2"/>
  <c r="A712" i="2"/>
  <c r="A709" i="2"/>
  <c r="A706" i="2"/>
  <c r="A703" i="2"/>
  <c r="A700" i="2"/>
  <c r="A697" i="2"/>
  <c r="A694" i="2"/>
  <c r="A691" i="2"/>
  <c r="A688" i="2"/>
  <c r="A685" i="2"/>
  <c r="A682" i="2"/>
  <c r="A679" i="2"/>
  <c r="A676" i="2"/>
  <c r="A673" i="2"/>
  <c r="A670" i="2"/>
  <c r="A667" i="2"/>
  <c r="A664" i="2"/>
  <c r="A661" i="2"/>
  <c r="A658" i="2"/>
  <c r="A655" i="2"/>
  <c r="A652" i="2"/>
  <c r="A649" i="2"/>
  <c r="A646" i="2"/>
  <c r="A643" i="2"/>
  <c r="A640" i="2"/>
  <c r="A637" i="2"/>
  <c r="A634" i="2"/>
  <c r="A631" i="2"/>
  <c r="A628" i="2"/>
  <c r="A608" i="2"/>
  <c r="A605" i="2"/>
  <c r="A591" i="2"/>
  <c r="A547" i="2"/>
  <c r="A544" i="2"/>
  <c r="A541" i="2"/>
  <c r="A515" i="2"/>
  <c r="A512" i="2"/>
  <c r="A509" i="2"/>
  <c r="A483" i="2"/>
  <c r="A480" i="2"/>
  <c r="A477" i="2"/>
  <c r="A442" i="2"/>
  <c r="A439" i="2"/>
  <c r="A436" i="2"/>
  <c r="A433" i="2"/>
  <c r="A430" i="2"/>
  <c r="A427" i="2"/>
  <c r="A374" i="2"/>
  <c r="A371" i="2"/>
  <c r="A625" i="2"/>
  <c r="A602" i="2"/>
  <c r="A588" i="2"/>
  <c r="A585" i="2"/>
  <c r="A582" i="2"/>
  <c r="A579" i="2"/>
  <c r="A576" i="2"/>
  <c r="A573" i="2"/>
  <c r="A570" i="2"/>
  <c r="A567" i="2"/>
  <c r="A538" i="2"/>
  <c r="A535" i="2"/>
  <c r="A506" i="2"/>
  <c r="A503" i="2"/>
  <c r="A474" i="2"/>
  <c r="A471" i="2"/>
  <c r="A424" i="2"/>
  <c r="A421" i="2"/>
  <c r="A418" i="2"/>
  <c r="A415" i="2"/>
  <c r="A412" i="2"/>
  <c r="A409" i="2"/>
  <c r="A406" i="2"/>
  <c r="A403" i="2"/>
  <c r="A400" i="2"/>
  <c r="A397" i="2"/>
  <c r="A394" i="2"/>
  <c r="A368" i="2"/>
  <c r="A365" i="2"/>
  <c r="A4" i="2"/>
  <c r="A622" i="2"/>
  <c r="A619" i="2"/>
  <c r="A599" i="2"/>
  <c r="A564" i="2"/>
  <c r="A561" i="2"/>
  <c r="A558" i="2"/>
  <c r="A532" i="2"/>
  <c r="A529" i="2"/>
  <c r="A526" i="2"/>
  <c r="A500" i="2"/>
  <c r="A497" i="2"/>
  <c r="A494" i="2"/>
  <c r="A468" i="2"/>
  <c r="A465" i="2"/>
  <c r="A462" i="2"/>
  <c r="A391" i="2"/>
  <c r="A388" i="2"/>
  <c r="A385" i="2"/>
  <c r="A382" i="2"/>
  <c r="A362" i="2"/>
  <c r="A359" i="2"/>
  <c r="A356" i="2"/>
  <c r="A353" i="2"/>
  <c r="A350" i="2"/>
  <c r="A347" i="2"/>
  <c r="A344" i="2"/>
  <c r="A341" i="2"/>
  <c r="A338" i="2"/>
  <c r="A335" i="2"/>
  <c r="A332" i="2"/>
  <c r="A329" i="2"/>
  <c r="A326" i="2"/>
  <c r="A323" i="2"/>
  <c r="A320" i="2"/>
  <c r="A317" i="2"/>
  <c r="A314" i="2"/>
  <c r="A311" i="2"/>
  <c r="A308" i="2"/>
  <c r="A305" i="2"/>
  <c r="A302" i="2"/>
  <c r="A299" i="2"/>
  <c r="A296" i="2"/>
  <c r="F16" i="1"/>
  <c r="C16" i="1"/>
  <c r="E16" i="1"/>
  <c r="D16" i="1"/>
  <c r="F14" i="1"/>
  <c r="C14" i="1"/>
  <c r="E14" i="1"/>
  <c r="D14" i="1"/>
  <c r="F12" i="1"/>
  <c r="C12" i="1"/>
  <c r="E12" i="1"/>
  <c r="D12" i="1"/>
  <c r="F10" i="1"/>
  <c r="C10" i="1"/>
  <c r="E10" i="1"/>
  <c r="D10" i="1"/>
  <c r="C5" i="2"/>
  <c r="E8" i="1"/>
  <c r="D8" i="1"/>
  <c r="F8" i="1"/>
  <c r="C8" i="1"/>
  <c r="E20" i="1"/>
  <c r="D20" i="1"/>
  <c r="F20" i="1"/>
  <c r="C20" i="1"/>
  <c r="D18" i="1"/>
  <c r="F18" i="1"/>
  <c r="C18" i="1"/>
  <c r="E18" i="1"/>
  <c r="F15" i="1"/>
  <c r="C15" i="1"/>
  <c r="E15" i="1"/>
  <c r="D15" i="1"/>
  <c r="F13" i="1"/>
  <c r="C13" i="1"/>
  <c r="E13" i="1"/>
  <c r="D13" i="1"/>
  <c r="F11" i="1"/>
  <c r="C11" i="1"/>
  <c r="E11" i="1"/>
  <c r="D11" i="1"/>
  <c r="E9" i="1"/>
  <c r="D9" i="1"/>
  <c r="F9" i="1"/>
  <c r="C9" i="1"/>
  <c r="C19" i="1"/>
  <c r="E19" i="1"/>
  <c r="D19" i="1"/>
  <c r="F19" i="1"/>
  <c r="J14" i="1"/>
  <c r="Q14" i="1" s="1"/>
  <c r="L11" i="2" s="1"/>
  <c r="J16" i="1"/>
  <c r="J15" i="1"/>
  <c r="Q15" i="1" s="1"/>
  <c r="L12" i="2" s="1"/>
  <c r="Q26" i="1"/>
  <c r="L23" i="2" s="1"/>
  <c r="E5" i="2"/>
  <c r="E4" i="2"/>
  <c r="J23" i="1"/>
  <c r="J24" i="1"/>
  <c r="Q25" i="1" s="1"/>
  <c r="L22" i="2" s="1"/>
  <c r="J21" i="1"/>
  <c r="J22" i="1"/>
  <c r="K25" i="1"/>
  <c r="F22" i="2" s="1"/>
  <c r="L25" i="1"/>
  <c r="G22" i="2" s="1"/>
  <c r="M25" i="1"/>
  <c r="H22" i="2" s="1"/>
  <c r="N25" i="1"/>
  <c r="I22" i="2" s="1"/>
  <c r="F900" i="2"/>
  <c r="I900" i="2"/>
  <c r="F884" i="2"/>
  <c r="I884" i="2"/>
  <c r="F868" i="2"/>
  <c r="I868" i="2"/>
  <c r="F852" i="2"/>
  <c r="I852" i="2"/>
  <c r="F836" i="2"/>
  <c r="I836" i="2"/>
  <c r="F820" i="2"/>
  <c r="I820" i="2"/>
  <c r="F804" i="2"/>
  <c r="I804" i="2"/>
  <c r="F788" i="2"/>
  <c r="I788" i="2"/>
  <c r="F772" i="2"/>
  <c r="I772" i="2"/>
  <c r="F756" i="2"/>
  <c r="I756" i="2"/>
  <c r="F972" i="2"/>
  <c r="F924" i="2"/>
  <c r="I608" i="2"/>
  <c r="F588" i="2"/>
  <c r="I588" i="2"/>
  <c r="F480" i="2"/>
  <c r="I480" i="2"/>
  <c r="F936" i="2"/>
  <c r="F932" i="2"/>
  <c r="F904" i="2"/>
  <c r="I904" i="2"/>
  <c r="F888" i="2"/>
  <c r="I888" i="2"/>
  <c r="F872" i="2"/>
  <c r="I872" i="2"/>
  <c r="F856" i="2"/>
  <c r="I856" i="2"/>
  <c r="F840" i="2"/>
  <c r="I840" i="2"/>
  <c r="F824" i="2"/>
  <c r="I824" i="2"/>
  <c r="F808" i="2"/>
  <c r="I808" i="2"/>
  <c r="F792" i="2"/>
  <c r="I792" i="2"/>
  <c r="F776" i="2"/>
  <c r="I776" i="2"/>
  <c r="F760" i="2"/>
  <c r="I760" i="2"/>
  <c r="F736" i="2"/>
  <c r="I736" i="2"/>
  <c r="F704" i="2"/>
  <c r="I704" i="2"/>
  <c r="F672" i="2"/>
  <c r="I672" i="2"/>
  <c r="F580" i="2"/>
  <c r="I580" i="2"/>
  <c r="F472" i="2"/>
  <c r="I472" i="2"/>
  <c r="F441" i="2"/>
  <c r="F408" i="2"/>
  <c r="I408" i="2"/>
  <c r="I980" i="2"/>
  <c r="F960" i="2"/>
  <c r="F952" i="2"/>
  <c r="F908" i="2"/>
  <c r="F572" i="2"/>
  <c r="I572" i="2"/>
  <c r="F464" i="2"/>
  <c r="I464" i="2"/>
  <c r="I976" i="2"/>
  <c r="F968" i="2"/>
  <c r="F956" i="2"/>
  <c r="F920" i="2"/>
  <c r="F916" i="2"/>
  <c r="I616" i="2"/>
  <c r="F488" i="2"/>
  <c r="I488" i="2"/>
  <c r="F456" i="2"/>
  <c r="I456" i="2"/>
  <c r="F358" i="2"/>
  <c r="I358" i="2"/>
  <c r="F350" i="2"/>
  <c r="I350" i="2"/>
  <c r="F342" i="2"/>
  <c r="I342" i="2"/>
  <c r="I332" i="2"/>
  <c r="I324" i="2"/>
  <c r="I316" i="2"/>
  <c r="F440" i="2"/>
  <c r="I378" i="2"/>
  <c r="L320" i="2"/>
  <c r="L878" i="2"/>
  <c r="L846" i="2"/>
  <c r="L814" i="2"/>
  <c r="L782" i="2"/>
  <c r="I639" i="2"/>
  <c r="F605" i="2"/>
  <c r="F597" i="2"/>
  <c r="L568" i="2"/>
  <c r="L536" i="2"/>
  <c r="I435" i="2"/>
  <c r="L380" i="2"/>
  <c r="L348" i="2"/>
  <c r="F621" i="2"/>
  <c r="F613" i="2"/>
  <c r="L578" i="2"/>
  <c r="I564" i="2"/>
  <c r="I556" i="2"/>
  <c r="I548" i="2"/>
  <c r="I540" i="2"/>
  <c r="I532" i="2"/>
  <c r="I524" i="2"/>
  <c r="I516" i="2"/>
  <c r="I508" i="2"/>
  <c r="I500" i="2"/>
  <c r="I492" i="2"/>
  <c r="I484" i="2"/>
  <c r="I476" i="2"/>
  <c r="I468" i="2"/>
  <c r="I460" i="2"/>
  <c r="I451" i="2"/>
  <c r="I419" i="2"/>
  <c r="I407" i="2"/>
  <c r="F387" i="2"/>
  <c r="L308" i="2"/>
  <c r="M992" i="2"/>
  <c r="N992" i="2"/>
  <c r="M991" i="2"/>
  <c r="N991" i="2"/>
  <c r="M990" i="2"/>
  <c r="N990" i="2"/>
  <c r="M993" i="2"/>
  <c r="N993" i="2"/>
  <c r="I978" i="2"/>
  <c r="F978" i="2"/>
  <c r="I974" i="2"/>
  <c r="F974" i="2"/>
  <c r="I986" i="2"/>
  <c r="F986" i="2"/>
  <c r="I979" i="2"/>
  <c r="F979" i="2"/>
  <c r="I970" i="2"/>
  <c r="F970" i="2"/>
  <c r="F969" i="2"/>
  <c r="I969" i="2"/>
  <c r="I963" i="2"/>
  <c r="F963" i="2"/>
  <c r="I954" i="2"/>
  <c r="F954" i="2"/>
  <c r="F953" i="2"/>
  <c r="I953" i="2"/>
  <c r="I943" i="2"/>
  <c r="F943" i="2"/>
  <c r="I938" i="2"/>
  <c r="F938" i="2"/>
  <c r="F937" i="2"/>
  <c r="I937" i="2"/>
  <c r="I931" i="2"/>
  <c r="F931" i="2"/>
  <c r="I922" i="2"/>
  <c r="F922" i="2"/>
  <c r="I921" i="2"/>
  <c r="F921" i="2"/>
  <c r="I915" i="2"/>
  <c r="F915" i="2"/>
  <c r="I906" i="2"/>
  <c r="F906" i="2"/>
  <c r="I903" i="2"/>
  <c r="F903" i="2"/>
  <c r="F901" i="2"/>
  <c r="I901" i="2"/>
  <c r="I898" i="2"/>
  <c r="F898" i="2"/>
  <c r="I895" i="2"/>
  <c r="F895" i="2"/>
  <c r="F893" i="2"/>
  <c r="I893" i="2"/>
  <c r="I890" i="2"/>
  <c r="F890" i="2"/>
  <c r="I887" i="2"/>
  <c r="F887" i="2"/>
  <c r="F885" i="2"/>
  <c r="I885" i="2"/>
  <c r="I882" i="2"/>
  <c r="F882" i="2"/>
  <c r="I879" i="2"/>
  <c r="F879" i="2"/>
  <c r="F877" i="2"/>
  <c r="I877" i="2"/>
  <c r="I874" i="2"/>
  <c r="F874" i="2"/>
  <c r="I871" i="2"/>
  <c r="F871" i="2"/>
  <c r="F869" i="2"/>
  <c r="I869" i="2"/>
  <c r="I866" i="2"/>
  <c r="F866" i="2"/>
  <c r="I863" i="2"/>
  <c r="F863" i="2"/>
  <c r="F861" i="2"/>
  <c r="I861" i="2"/>
  <c r="I858" i="2"/>
  <c r="F858" i="2"/>
  <c r="I855" i="2"/>
  <c r="F855" i="2"/>
  <c r="F853" i="2"/>
  <c r="I853" i="2"/>
  <c r="I850" i="2"/>
  <c r="F850" i="2"/>
  <c r="I847" i="2"/>
  <c r="F847" i="2"/>
  <c r="F845" i="2"/>
  <c r="I845" i="2"/>
  <c r="I842" i="2"/>
  <c r="F842" i="2"/>
  <c r="I839" i="2"/>
  <c r="F839" i="2"/>
  <c r="F837" i="2"/>
  <c r="I837" i="2"/>
  <c r="I834" i="2"/>
  <c r="F834" i="2"/>
  <c r="I831" i="2"/>
  <c r="F831" i="2"/>
  <c r="F829" i="2"/>
  <c r="I829" i="2"/>
  <c r="I826" i="2"/>
  <c r="F826" i="2"/>
  <c r="I823" i="2"/>
  <c r="F823" i="2"/>
  <c r="F821" i="2"/>
  <c r="I821" i="2"/>
  <c r="I818" i="2"/>
  <c r="F818" i="2"/>
  <c r="I815" i="2"/>
  <c r="F815" i="2"/>
  <c r="F813" i="2"/>
  <c r="I813" i="2"/>
  <c r="I810" i="2"/>
  <c r="F810" i="2"/>
  <c r="I807" i="2"/>
  <c r="F807" i="2"/>
  <c r="F805" i="2"/>
  <c r="I805" i="2"/>
  <c r="I802" i="2"/>
  <c r="F802" i="2"/>
  <c r="I799" i="2"/>
  <c r="F799" i="2"/>
  <c r="F797" i="2"/>
  <c r="I797" i="2"/>
  <c r="I794" i="2"/>
  <c r="F794" i="2"/>
  <c r="I791" i="2"/>
  <c r="F791" i="2"/>
  <c r="F789" i="2"/>
  <c r="I789" i="2"/>
  <c r="I786" i="2"/>
  <c r="F786" i="2"/>
  <c r="I783" i="2"/>
  <c r="F783" i="2"/>
  <c r="F781" i="2"/>
  <c r="I781" i="2"/>
  <c r="I778" i="2"/>
  <c r="F778" i="2"/>
  <c r="I775" i="2"/>
  <c r="F775" i="2"/>
  <c r="F773" i="2"/>
  <c r="I773" i="2"/>
  <c r="I770" i="2"/>
  <c r="F770" i="2"/>
  <c r="I767" i="2"/>
  <c r="F767" i="2"/>
  <c r="F765" i="2"/>
  <c r="I765" i="2"/>
  <c r="I762" i="2"/>
  <c r="F762" i="2"/>
  <c r="I759" i="2"/>
  <c r="F759" i="2"/>
  <c r="F757" i="2"/>
  <c r="I757" i="2"/>
  <c r="I754" i="2"/>
  <c r="F754" i="2"/>
  <c r="I751" i="2"/>
  <c r="F751" i="2"/>
  <c r="F749" i="2"/>
  <c r="I749" i="2"/>
  <c r="I746" i="2"/>
  <c r="F746" i="2"/>
  <c r="I743" i="2"/>
  <c r="F743" i="2"/>
  <c r="F741" i="2"/>
  <c r="I741" i="2"/>
  <c r="I738" i="2"/>
  <c r="F738" i="2"/>
  <c r="I735" i="2"/>
  <c r="F735" i="2"/>
  <c r="F733" i="2"/>
  <c r="I733" i="2"/>
  <c r="I730" i="2"/>
  <c r="F730" i="2"/>
  <c r="I727" i="2"/>
  <c r="F727" i="2"/>
  <c r="F725" i="2"/>
  <c r="I725" i="2"/>
  <c r="I722" i="2"/>
  <c r="F722" i="2"/>
  <c r="I719" i="2"/>
  <c r="F719" i="2"/>
  <c r="F717" i="2"/>
  <c r="I717" i="2"/>
  <c r="I714" i="2"/>
  <c r="F714" i="2"/>
  <c r="I711" i="2"/>
  <c r="F711" i="2"/>
  <c r="F709" i="2"/>
  <c r="I709" i="2"/>
  <c r="I706" i="2"/>
  <c r="F706" i="2"/>
  <c r="I703" i="2"/>
  <c r="F703" i="2"/>
  <c r="F701" i="2"/>
  <c r="I701" i="2"/>
  <c r="I698" i="2"/>
  <c r="F698" i="2"/>
  <c r="I695" i="2"/>
  <c r="F695" i="2"/>
  <c r="F693" i="2"/>
  <c r="I693" i="2"/>
  <c r="I690" i="2"/>
  <c r="F690" i="2"/>
  <c r="I687" i="2"/>
  <c r="F687" i="2"/>
  <c r="F685" i="2"/>
  <c r="I685" i="2"/>
  <c r="I682" i="2"/>
  <c r="F682" i="2"/>
  <c r="I679" i="2"/>
  <c r="F679" i="2"/>
  <c r="F677" i="2"/>
  <c r="I677" i="2"/>
  <c r="I674" i="2"/>
  <c r="F674" i="2"/>
  <c r="I671" i="2"/>
  <c r="F671" i="2"/>
  <c r="F669" i="2"/>
  <c r="I669" i="2"/>
  <c r="I666" i="2"/>
  <c r="F666" i="2"/>
  <c r="I663" i="2"/>
  <c r="F663" i="2"/>
  <c r="F661" i="2"/>
  <c r="I661" i="2"/>
  <c r="I658" i="2"/>
  <c r="F658" i="2"/>
  <c r="I655" i="2"/>
  <c r="F655" i="2"/>
  <c r="F653" i="2"/>
  <c r="I653" i="2"/>
  <c r="I650" i="2"/>
  <c r="F650" i="2"/>
  <c r="I647" i="2"/>
  <c r="F647" i="2"/>
  <c r="F645" i="2"/>
  <c r="I645" i="2"/>
  <c r="I642" i="2"/>
  <c r="F642" i="2"/>
  <c r="F640" i="2"/>
  <c r="I640" i="2"/>
  <c r="I982" i="2"/>
  <c r="F982" i="2"/>
  <c r="I975" i="2"/>
  <c r="F975" i="2"/>
  <c r="I966" i="2"/>
  <c r="F966" i="2"/>
  <c r="F965" i="2"/>
  <c r="I965" i="2"/>
  <c r="I959" i="2"/>
  <c r="F959" i="2"/>
  <c r="I950" i="2"/>
  <c r="F950" i="2"/>
  <c r="I949" i="2"/>
  <c r="F949" i="2"/>
  <c r="I946" i="2"/>
  <c r="F946" i="2"/>
  <c r="I945" i="2"/>
  <c r="F945" i="2"/>
  <c r="I934" i="2"/>
  <c r="F934" i="2"/>
  <c r="I933" i="2"/>
  <c r="F933" i="2"/>
  <c r="I927" i="2"/>
  <c r="F927" i="2"/>
  <c r="I918" i="2"/>
  <c r="F918" i="2"/>
  <c r="F917" i="2"/>
  <c r="I917" i="2"/>
  <c r="I911" i="2"/>
  <c r="F911" i="2"/>
  <c r="I909" i="2"/>
  <c r="F909" i="2"/>
  <c r="F634" i="2"/>
  <c r="I634" i="2"/>
  <c r="I971" i="2"/>
  <c r="F971" i="2"/>
  <c r="I962" i="2"/>
  <c r="F962" i="2"/>
  <c r="F961" i="2"/>
  <c r="I961" i="2"/>
  <c r="I955" i="2"/>
  <c r="F955" i="2"/>
  <c r="I942" i="2"/>
  <c r="F942" i="2"/>
  <c r="F941" i="2"/>
  <c r="I941" i="2"/>
  <c r="I939" i="2"/>
  <c r="F939" i="2"/>
  <c r="I930" i="2"/>
  <c r="F930" i="2"/>
  <c r="F929" i="2"/>
  <c r="I929" i="2"/>
  <c r="I923" i="2"/>
  <c r="F923" i="2"/>
  <c r="I914" i="2"/>
  <c r="F914" i="2"/>
  <c r="I913" i="2"/>
  <c r="F913" i="2"/>
  <c r="I907" i="2"/>
  <c r="F907" i="2"/>
  <c r="I905" i="2"/>
  <c r="F905" i="2"/>
  <c r="I902" i="2"/>
  <c r="F902" i="2"/>
  <c r="I899" i="2"/>
  <c r="F899" i="2"/>
  <c r="F897" i="2"/>
  <c r="I897" i="2"/>
  <c r="I894" i="2"/>
  <c r="F894" i="2"/>
  <c r="I891" i="2"/>
  <c r="F891" i="2"/>
  <c r="F889" i="2"/>
  <c r="I889" i="2"/>
  <c r="I886" i="2"/>
  <c r="F886" i="2"/>
  <c r="I883" i="2"/>
  <c r="F883" i="2"/>
  <c r="F881" i="2"/>
  <c r="I881" i="2"/>
  <c r="I878" i="2"/>
  <c r="F878" i="2"/>
  <c r="I875" i="2"/>
  <c r="F875" i="2"/>
  <c r="F873" i="2"/>
  <c r="I873" i="2"/>
  <c r="I870" i="2"/>
  <c r="F870" i="2"/>
  <c r="I867" i="2"/>
  <c r="F867" i="2"/>
  <c r="F865" i="2"/>
  <c r="I865" i="2"/>
  <c r="I862" i="2"/>
  <c r="F862" i="2"/>
  <c r="I859" i="2"/>
  <c r="F859" i="2"/>
  <c r="F857" i="2"/>
  <c r="I857" i="2"/>
  <c r="I854" i="2"/>
  <c r="F854" i="2"/>
  <c r="I851" i="2"/>
  <c r="F851" i="2"/>
  <c r="F849" i="2"/>
  <c r="I849" i="2"/>
  <c r="I846" i="2"/>
  <c r="F846" i="2"/>
  <c r="I843" i="2"/>
  <c r="F843" i="2"/>
  <c r="F841" i="2"/>
  <c r="I841" i="2"/>
  <c r="I838" i="2"/>
  <c r="F838" i="2"/>
  <c r="I835" i="2"/>
  <c r="F835" i="2"/>
  <c r="F833" i="2"/>
  <c r="I833" i="2"/>
  <c r="I830" i="2"/>
  <c r="F830" i="2"/>
  <c r="I827" i="2"/>
  <c r="F827" i="2"/>
  <c r="F825" i="2"/>
  <c r="I825" i="2"/>
  <c r="I822" i="2"/>
  <c r="F822" i="2"/>
  <c r="I819" i="2"/>
  <c r="F819" i="2"/>
  <c r="F817" i="2"/>
  <c r="I817" i="2"/>
  <c r="I814" i="2"/>
  <c r="F814" i="2"/>
  <c r="I811" i="2"/>
  <c r="F811" i="2"/>
  <c r="F809" i="2"/>
  <c r="I809" i="2"/>
  <c r="I806" i="2"/>
  <c r="F806" i="2"/>
  <c r="I803" i="2"/>
  <c r="F803" i="2"/>
  <c r="F801" i="2"/>
  <c r="I801" i="2"/>
  <c r="I798" i="2"/>
  <c r="F798" i="2"/>
  <c r="I795" i="2"/>
  <c r="F795" i="2"/>
  <c r="F793" i="2"/>
  <c r="I793" i="2"/>
  <c r="I790" i="2"/>
  <c r="F790" i="2"/>
  <c r="I787" i="2"/>
  <c r="F787" i="2"/>
  <c r="F785" i="2"/>
  <c r="I785" i="2"/>
  <c r="I782" i="2"/>
  <c r="F782" i="2"/>
  <c r="I779" i="2"/>
  <c r="F779" i="2"/>
  <c r="F777" i="2"/>
  <c r="I777" i="2"/>
  <c r="I774" i="2"/>
  <c r="F774" i="2"/>
  <c r="I771" i="2"/>
  <c r="F771" i="2"/>
  <c r="F769" i="2"/>
  <c r="I769" i="2"/>
  <c r="I766" i="2"/>
  <c r="F766" i="2"/>
  <c r="I763" i="2"/>
  <c r="F763" i="2"/>
  <c r="F761" i="2"/>
  <c r="I761" i="2"/>
  <c r="I758" i="2"/>
  <c r="F758" i="2"/>
  <c r="I755" i="2"/>
  <c r="F755" i="2"/>
  <c r="F753" i="2"/>
  <c r="I753" i="2"/>
  <c r="I750" i="2"/>
  <c r="F750" i="2"/>
  <c r="I747" i="2"/>
  <c r="F747" i="2"/>
  <c r="F745" i="2"/>
  <c r="I745" i="2"/>
  <c r="I742" i="2"/>
  <c r="F742" i="2"/>
  <c r="I739" i="2"/>
  <c r="F739" i="2"/>
  <c r="F737" i="2"/>
  <c r="I737" i="2"/>
  <c r="I734" i="2"/>
  <c r="F734" i="2"/>
  <c r="I731" i="2"/>
  <c r="F731" i="2"/>
  <c r="F729" i="2"/>
  <c r="I729" i="2"/>
  <c r="I726" i="2"/>
  <c r="F726" i="2"/>
  <c r="I723" i="2"/>
  <c r="F723" i="2"/>
  <c r="F721" i="2"/>
  <c r="I721" i="2"/>
  <c r="I718" i="2"/>
  <c r="F718" i="2"/>
  <c r="I715" i="2"/>
  <c r="F715" i="2"/>
  <c r="F713" i="2"/>
  <c r="I713" i="2"/>
  <c r="I710" i="2"/>
  <c r="F710" i="2"/>
  <c r="I707" i="2"/>
  <c r="F707" i="2"/>
  <c r="F705" i="2"/>
  <c r="I705" i="2"/>
  <c r="I702" i="2"/>
  <c r="F702" i="2"/>
  <c r="I699" i="2"/>
  <c r="F699" i="2"/>
  <c r="F697" i="2"/>
  <c r="I697" i="2"/>
  <c r="I694" i="2"/>
  <c r="F694" i="2"/>
  <c r="I691" i="2"/>
  <c r="F691" i="2"/>
  <c r="F689" i="2"/>
  <c r="I689" i="2"/>
  <c r="I686" i="2"/>
  <c r="F686" i="2"/>
  <c r="I683" i="2"/>
  <c r="F683" i="2"/>
  <c r="F681" i="2"/>
  <c r="I681" i="2"/>
  <c r="I678" i="2"/>
  <c r="F678" i="2"/>
  <c r="I675" i="2"/>
  <c r="F675" i="2"/>
  <c r="F673" i="2"/>
  <c r="I673" i="2"/>
  <c r="I670" i="2"/>
  <c r="F670" i="2"/>
  <c r="I667" i="2"/>
  <c r="F667" i="2"/>
  <c r="F665" i="2"/>
  <c r="I665" i="2"/>
  <c r="I662" i="2"/>
  <c r="F662" i="2"/>
  <c r="I659" i="2"/>
  <c r="F659" i="2"/>
  <c r="F657" i="2"/>
  <c r="I657" i="2"/>
  <c r="I654" i="2"/>
  <c r="F654" i="2"/>
  <c r="I651" i="2"/>
  <c r="F651" i="2"/>
  <c r="F649" i="2"/>
  <c r="I649" i="2"/>
  <c r="I646" i="2"/>
  <c r="F646" i="2"/>
  <c r="I643" i="2"/>
  <c r="F643" i="2"/>
  <c r="F641" i="2"/>
  <c r="I641" i="2"/>
  <c r="F630" i="2"/>
  <c r="I630" i="2"/>
  <c r="F626" i="2"/>
  <c r="I626" i="2"/>
  <c r="I987" i="2"/>
  <c r="F987" i="2"/>
  <c r="I977" i="2"/>
  <c r="F977" i="2"/>
  <c r="I983" i="2"/>
  <c r="F983" i="2"/>
  <c r="F973" i="2"/>
  <c r="I973" i="2"/>
  <c r="I967" i="2"/>
  <c r="F967" i="2"/>
  <c r="I958" i="2"/>
  <c r="F958" i="2"/>
  <c r="F957" i="2"/>
  <c r="I957" i="2"/>
  <c r="I951" i="2"/>
  <c r="F951" i="2"/>
  <c r="I947" i="2"/>
  <c r="F947" i="2"/>
  <c r="I935" i="2"/>
  <c r="F935" i="2"/>
  <c r="I926" i="2"/>
  <c r="F926" i="2"/>
  <c r="F925" i="2"/>
  <c r="I925" i="2"/>
  <c r="I919" i="2"/>
  <c r="F919" i="2"/>
  <c r="I910" i="2"/>
  <c r="F910" i="2"/>
  <c r="I968" i="2"/>
  <c r="I936" i="2"/>
  <c r="I932" i="2"/>
  <c r="I928" i="2"/>
  <c r="I920" i="2"/>
  <c r="I916" i="2"/>
  <c r="I912" i="2"/>
  <c r="I908" i="2"/>
  <c r="I637" i="2"/>
  <c r="L633" i="2"/>
  <c r="L632" i="2"/>
  <c r="F620" i="2"/>
  <c r="L609" i="2"/>
  <c r="L607" i="2"/>
  <c r="F604" i="2"/>
  <c r="L602" i="2"/>
  <c r="I438" i="2"/>
  <c r="F438" i="2"/>
  <c r="F436" i="2"/>
  <c r="I436" i="2"/>
  <c r="I434" i="2"/>
  <c r="F434" i="2"/>
  <c r="I988" i="2"/>
  <c r="I984" i="2"/>
  <c r="I972" i="2"/>
  <c r="I964" i="2"/>
  <c r="I944" i="2"/>
  <c r="I924" i="2"/>
  <c r="L638" i="2"/>
  <c r="I631" i="2"/>
  <c r="I621" i="2"/>
  <c r="I619" i="2"/>
  <c r="F619" i="2"/>
  <c r="F616" i="2"/>
  <c r="I614" i="2"/>
  <c r="F614" i="2"/>
  <c r="I605" i="2"/>
  <c r="I603" i="2"/>
  <c r="F603" i="2"/>
  <c r="F600" i="2"/>
  <c r="I598" i="2"/>
  <c r="F598" i="2"/>
  <c r="I589" i="2"/>
  <c r="I587" i="2"/>
  <c r="F587" i="2"/>
  <c r="I582" i="2"/>
  <c r="F582" i="2"/>
  <c r="F581" i="2"/>
  <c r="I581" i="2"/>
  <c r="I579" i="2"/>
  <c r="F579" i="2"/>
  <c r="I574" i="2"/>
  <c r="F574" i="2"/>
  <c r="F573" i="2"/>
  <c r="I573" i="2"/>
  <c r="I571" i="2"/>
  <c r="F571" i="2"/>
  <c r="I566" i="2"/>
  <c r="F566" i="2"/>
  <c r="F565" i="2"/>
  <c r="I565" i="2"/>
  <c r="I563" i="2"/>
  <c r="F563" i="2"/>
  <c r="I558" i="2"/>
  <c r="F558" i="2"/>
  <c r="F557" i="2"/>
  <c r="I557" i="2"/>
  <c r="I555" i="2"/>
  <c r="F555" i="2"/>
  <c r="I550" i="2"/>
  <c r="F550" i="2"/>
  <c r="F549" i="2"/>
  <c r="I549" i="2"/>
  <c r="I547" i="2"/>
  <c r="F547" i="2"/>
  <c r="I542" i="2"/>
  <c r="F542" i="2"/>
  <c r="F541" i="2"/>
  <c r="I541" i="2"/>
  <c r="I539" i="2"/>
  <c r="F539" i="2"/>
  <c r="I534" i="2"/>
  <c r="F534" i="2"/>
  <c r="F533" i="2"/>
  <c r="I533" i="2"/>
  <c r="I531" i="2"/>
  <c r="F531" i="2"/>
  <c r="I526" i="2"/>
  <c r="F526" i="2"/>
  <c r="F525" i="2"/>
  <c r="I525" i="2"/>
  <c r="I523" i="2"/>
  <c r="F523" i="2"/>
  <c r="I518" i="2"/>
  <c r="F518" i="2"/>
  <c r="F517" i="2"/>
  <c r="I517" i="2"/>
  <c r="I515" i="2"/>
  <c r="F515" i="2"/>
  <c r="I510" i="2"/>
  <c r="F510" i="2"/>
  <c r="F509" i="2"/>
  <c r="I509" i="2"/>
  <c r="I507" i="2"/>
  <c r="F507" i="2"/>
  <c r="I502" i="2"/>
  <c r="F502" i="2"/>
  <c r="F501" i="2"/>
  <c r="I501" i="2"/>
  <c r="I499" i="2"/>
  <c r="F499" i="2"/>
  <c r="I494" i="2"/>
  <c r="F494" i="2"/>
  <c r="F493" i="2"/>
  <c r="I493" i="2"/>
  <c r="I491" i="2"/>
  <c r="F491" i="2"/>
  <c r="I486" i="2"/>
  <c r="F486" i="2"/>
  <c r="F485" i="2"/>
  <c r="I485" i="2"/>
  <c r="I483" i="2"/>
  <c r="F483" i="2"/>
  <c r="I478" i="2"/>
  <c r="F478" i="2"/>
  <c r="F477" i="2"/>
  <c r="I477" i="2"/>
  <c r="I475" i="2"/>
  <c r="F475" i="2"/>
  <c r="I470" i="2"/>
  <c r="F470" i="2"/>
  <c r="F469" i="2"/>
  <c r="I469" i="2"/>
  <c r="I467" i="2"/>
  <c r="F467" i="2"/>
  <c r="I462" i="2"/>
  <c r="F462" i="2"/>
  <c r="F461" i="2"/>
  <c r="I461" i="2"/>
  <c r="I459" i="2"/>
  <c r="F459" i="2"/>
  <c r="I454" i="2"/>
  <c r="F454" i="2"/>
  <c r="F452" i="2"/>
  <c r="I452" i="2"/>
  <c r="F432" i="2"/>
  <c r="I432" i="2"/>
  <c r="F430" i="2"/>
  <c r="I430" i="2"/>
  <c r="I429" i="2"/>
  <c r="F429" i="2"/>
  <c r="I422" i="2"/>
  <c r="F422" i="2"/>
  <c r="F420" i="2"/>
  <c r="I420" i="2"/>
  <c r="I418" i="2"/>
  <c r="F418" i="2"/>
  <c r="F406" i="2"/>
  <c r="I406" i="2"/>
  <c r="F402" i="2"/>
  <c r="I402" i="2"/>
  <c r="F390" i="2"/>
  <c r="I390" i="2"/>
  <c r="F386" i="2"/>
  <c r="I386" i="2"/>
  <c r="I960" i="2"/>
  <c r="I956" i="2"/>
  <c r="I952" i="2"/>
  <c r="F980" i="2"/>
  <c r="F976" i="2"/>
  <c r="F637" i="2"/>
  <c r="L635" i="2"/>
  <c r="L615" i="2"/>
  <c r="F612" i="2"/>
  <c r="L610" i="2"/>
  <c r="L601" i="2"/>
  <c r="F596" i="2"/>
  <c r="F448" i="2"/>
  <c r="I448" i="2"/>
  <c r="I445" i="2"/>
  <c r="F445" i="2"/>
  <c r="F416" i="2"/>
  <c r="I416" i="2"/>
  <c r="F414" i="2"/>
  <c r="I414" i="2"/>
  <c r="I413" i="2"/>
  <c r="F413" i="2"/>
  <c r="F639" i="2"/>
  <c r="I627" i="2"/>
  <c r="F624" i="2"/>
  <c r="I622" i="2"/>
  <c r="F622" i="2"/>
  <c r="I613" i="2"/>
  <c r="I611" i="2"/>
  <c r="F611" i="2"/>
  <c r="F608" i="2"/>
  <c r="I606" i="2"/>
  <c r="F606" i="2"/>
  <c r="I597" i="2"/>
  <c r="I595" i="2"/>
  <c r="F595" i="2"/>
  <c r="F592" i="2"/>
  <c r="I590" i="2"/>
  <c r="F590" i="2"/>
  <c r="I586" i="2"/>
  <c r="F586" i="2"/>
  <c r="F585" i="2"/>
  <c r="I585" i="2"/>
  <c r="I583" i="2"/>
  <c r="F583" i="2"/>
  <c r="I578" i="2"/>
  <c r="F578" i="2"/>
  <c r="F577" i="2"/>
  <c r="I577" i="2"/>
  <c r="I575" i="2"/>
  <c r="F575" i="2"/>
  <c r="I570" i="2"/>
  <c r="F570" i="2"/>
  <c r="F569" i="2"/>
  <c r="I569" i="2"/>
  <c r="I567" i="2"/>
  <c r="F567" i="2"/>
  <c r="I562" i="2"/>
  <c r="F562" i="2"/>
  <c r="F561" i="2"/>
  <c r="I561" i="2"/>
  <c r="I559" i="2"/>
  <c r="F559" i="2"/>
  <c r="I554" i="2"/>
  <c r="F554" i="2"/>
  <c r="F553" i="2"/>
  <c r="I553" i="2"/>
  <c r="I551" i="2"/>
  <c r="F551" i="2"/>
  <c r="I546" i="2"/>
  <c r="F546" i="2"/>
  <c r="F545" i="2"/>
  <c r="I545" i="2"/>
  <c r="I543" i="2"/>
  <c r="F543" i="2"/>
  <c r="I538" i="2"/>
  <c r="F538" i="2"/>
  <c r="F537" i="2"/>
  <c r="I537" i="2"/>
  <c r="I535" i="2"/>
  <c r="F535" i="2"/>
  <c r="I530" i="2"/>
  <c r="F530" i="2"/>
  <c r="F529" i="2"/>
  <c r="I529" i="2"/>
  <c r="I527" i="2"/>
  <c r="F527" i="2"/>
  <c r="I522" i="2"/>
  <c r="F522" i="2"/>
  <c r="F521" i="2"/>
  <c r="I521" i="2"/>
  <c r="I519" i="2"/>
  <c r="F519" i="2"/>
  <c r="I514" i="2"/>
  <c r="F514" i="2"/>
  <c r="F513" i="2"/>
  <c r="I513" i="2"/>
  <c r="I511" i="2"/>
  <c r="F511" i="2"/>
  <c r="I506" i="2"/>
  <c r="F506" i="2"/>
  <c r="F505" i="2"/>
  <c r="I505" i="2"/>
  <c r="I503" i="2"/>
  <c r="F503" i="2"/>
  <c r="I498" i="2"/>
  <c r="F498" i="2"/>
  <c r="F497" i="2"/>
  <c r="I497" i="2"/>
  <c r="I495" i="2"/>
  <c r="F495" i="2"/>
  <c r="I490" i="2"/>
  <c r="F490" i="2"/>
  <c r="F489" i="2"/>
  <c r="I489" i="2"/>
  <c r="I487" i="2"/>
  <c r="F487" i="2"/>
  <c r="I482" i="2"/>
  <c r="F482" i="2"/>
  <c r="F481" i="2"/>
  <c r="I481" i="2"/>
  <c r="I479" i="2"/>
  <c r="F479" i="2"/>
  <c r="I474" i="2"/>
  <c r="F474" i="2"/>
  <c r="F473" i="2"/>
  <c r="I473" i="2"/>
  <c r="I471" i="2"/>
  <c r="F471" i="2"/>
  <c r="I466" i="2"/>
  <c r="F466" i="2"/>
  <c r="F465" i="2"/>
  <c r="I465" i="2"/>
  <c r="I463" i="2"/>
  <c r="F463" i="2"/>
  <c r="I458" i="2"/>
  <c r="F458" i="2"/>
  <c r="F457" i="2"/>
  <c r="I457" i="2"/>
  <c r="I455" i="2"/>
  <c r="F455" i="2"/>
  <c r="F398" i="2"/>
  <c r="I398" i="2"/>
  <c r="F394" i="2"/>
  <c r="I394" i="2"/>
  <c r="L453" i="2"/>
  <c r="I449" i="2"/>
  <c r="L444" i="2"/>
  <c r="I442" i="2"/>
  <c r="I440" i="2"/>
  <c r="L437" i="2"/>
  <c r="I433" i="2"/>
  <c r="I426" i="2"/>
  <c r="I424" i="2"/>
  <c r="L421" i="2"/>
  <c r="I417" i="2"/>
  <c r="I410" i="2"/>
  <c r="F407" i="2"/>
  <c r="I401" i="2"/>
  <c r="I393" i="2"/>
  <c r="L392" i="2"/>
  <c r="F382" i="2"/>
  <c r="I380" i="2"/>
  <c r="F380" i="2"/>
  <c r="I375" i="2"/>
  <c r="I369" i="2"/>
  <c r="F369" i="2"/>
  <c r="F366" i="2"/>
  <c r="I364" i="2"/>
  <c r="F364" i="2"/>
  <c r="I360" i="2"/>
  <c r="F360" i="2"/>
  <c r="I357" i="2"/>
  <c r="F357" i="2"/>
  <c r="F355" i="2"/>
  <c r="I355" i="2"/>
  <c r="I352" i="2"/>
  <c r="F352" i="2"/>
  <c r="I349" i="2"/>
  <c r="F349" i="2"/>
  <c r="F347" i="2"/>
  <c r="I347" i="2"/>
  <c r="I344" i="2"/>
  <c r="F344" i="2"/>
  <c r="I341" i="2"/>
  <c r="F341" i="2"/>
  <c r="F339" i="2"/>
  <c r="I339" i="2"/>
  <c r="I337" i="2"/>
  <c r="F337" i="2"/>
  <c r="I334" i="2"/>
  <c r="F334" i="2"/>
  <c r="F331" i="2"/>
  <c r="I331" i="2"/>
  <c r="I329" i="2"/>
  <c r="F329" i="2"/>
  <c r="I326" i="2"/>
  <c r="F326" i="2"/>
  <c r="F323" i="2"/>
  <c r="I323" i="2"/>
  <c r="I321" i="2"/>
  <c r="F321" i="2"/>
  <c r="I318" i="2"/>
  <c r="F318" i="2"/>
  <c r="F315" i="2"/>
  <c r="I315" i="2"/>
  <c r="I313" i="2"/>
  <c r="F313" i="2"/>
  <c r="I310" i="2"/>
  <c r="F310" i="2"/>
  <c r="I309" i="2"/>
  <c r="F309" i="2"/>
  <c r="F307" i="2"/>
  <c r="I307" i="2"/>
  <c r="I302" i="2"/>
  <c r="F302" i="2"/>
  <c r="I301" i="2"/>
  <c r="F301" i="2"/>
  <c r="F299" i="2"/>
  <c r="I299" i="2"/>
  <c r="F443" i="2"/>
  <c r="F427" i="2"/>
  <c r="L425" i="2"/>
  <c r="I399" i="2"/>
  <c r="I391" i="2"/>
  <c r="F378" i="2"/>
  <c r="I376" i="2"/>
  <c r="F376" i="2"/>
  <c r="F449" i="2"/>
  <c r="F442" i="2"/>
  <c r="I441" i="2"/>
  <c r="F433" i="2"/>
  <c r="F426" i="2"/>
  <c r="F417" i="2"/>
  <c r="F410" i="2"/>
  <c r="L404" i="2"/>
  <c r="L389" i="2"/>
  <c r="I377" i="2"/>
  <c r="F377" i="2"/>
  <c r="F375" i="2"/>
  <c r="F374" i="2"/>
  <c r="I372" i="2"/>
  <c r="F372" i="2"/>
  <c r="I361" i="2"/>
  <c r="F361" i="2"/>
  <c r="F359" i="2"/>
  <c r="I359" i="2"/>
  <c r="I356" i="2"/>
  <c r="F356" i="2"/>
  <c r="I353" i="2"/>
  <c r="F353" i="2"/>
  <c r="F351" i="2"/>
  <c r="I351" i="2"/>
  <c r="I348" i="2"/>
  <c r="F348" i="2"/>
  <c r="I345" i="2"/>
  <c r="F345" i="2"/>
  <c r="F343" i="2"/>
  <c r="I343" i="2"/>
  <c r="I340" i="2"/>
  <c r="F340" i="2"/>
  <c r="I338" i="2"/>
  <c r="F338" i="2"/>
  <c r="F335" i="2"/>
  <c r="I335" i="2"/>
  <c r="I333" i="2"/>
  <c r="F333" i="2"/>
  <c r="I330" i="2"/>
  <c r="F330" i="2"/>
  <c r="F327" i="2"/>
  <c r="I327" i="2"/>
  <c r="I325" i="2"/>
  <c r="F325" i="2"/>
  <c r="I322" i="2"/>
  <c r="F322" i="2"/>
  <c r="F319" i="2"/>
  <c r="I319" i="2"/>
  <c r="I317" i="2"/>
  <c r="F317" i="2"/>
  <c r="I314" i="2"/>
  <c r="F314" i="2"/>
  <c r="F311" i="2"/>
  <c r="I311" i="2"/>
  <c r="I306" i="2"/>
  <c r="F306" i="2"/>
  <c r="I305" i="2"/>
  <c r="F305" i="2"/>
  <c r="F303" i="2"/>
  <c r="I303" i="2"/>
  <c r="I298" i="2"/>
  <c r="F298" i="2"/>
  <c r="I297" i="2"/>
  <c r="F297" i="2"/>
  <c r="I295" i="2"/>
  <c r="F295" i="2"/>
  <c r="F451" i="2"/>
  <c r="F435" i="2"/>
  <c r="F419" i="2"/>
  <c r="F401" i="2"/>
  <c r="F393" i="2"/>
  <c r="I387" i="2"/>
  <c r="L384" i="2"/>
  <c r="I382" i="2"/>
  <c r="I379" i="2"/>
  <c r="I373" i="2"/>
  <c r="F373" i="2"/>
  <c r="F370" i="2"/>
  <c r="I368" i="2"/>
  <c r="F368" i="2"/>
  <c r="I366" i="2"/>
  <c r="I363" i="2"/>
  <c r="F336" i="2"/>
  <c r="F332" i="2"/>
  <c r="F328" i="2"/>
  <c r="F324" i="2"/>
  <c r="F320" i="2"/>
  <c r="F316" i="2"/>
  <c r="F312" i="2"/>
  <c r="F308" i="2"/>
  <c r="F304" i="2"/>
  <c r="F300" i="2"/>
  <c r="L928" i="2"/>
  <c r="L924" i="2"/>
  <c r="L912" i="2"/>
  <c r="L888" i="2"/>
  <c r="L856" i="2"/>
  <c r="L848" i="2"/>
  <c r="L844" i="2"/>
  <c r="L840" i="2"/>
  <c r="L824" i="2"/>
  <c r="L812" i="2"/>
  <c r="L808" i="2"/>
  <c r="L732" i="2"/>
  <c r="L680" i="2"/>
  <c r="L660" i="2"/>
  <c r="L648" i="2"/>
  <c r="L640" i="2"/>
  <c r="L636" i="2"/>
  <c r="L628" i="2"/>
  <c r="L624" i="2"/>
  <c r="L608" i="2"/>
  <c r="L604" i="2"/>
  <c r="L592" i="2"/>
  <c r="L588" i="2"/>
  <c r="L584" i="2"/>
  <c r="L580" i="2"/>
  <c r="L576" i="2"/>
  <c r="L564" i="2"/>
  <c r="L560" i="2"/>
  <c r="L556" i="2"/>
  <c r="L544" i="2"/>
  <c r="L540" i="2"/>
  <c r="L532" i="2"/>
  <c r="L528" i="2"/>
  <c r="L524" i="2"/>
  <c r="L512" i="2"/>
  <c r="L500" i="2"/>
  <c r="L488" i="2"/>
  <c r="L480" i="2"/>
  <c r="L476" i="2"/>
  <c r="L472" i="2"/>
  <c r="L468" i="2"/>
  <c r="L464" i="2"/>
  <c r="L460" i="2"/>
  <c r="L456" i="2"/>
  <c r="L452" i="2"/>
  <c r="L448" i="2"/>
  <c r="L440" i="2"/>
  <c r="L436" i="2"/>
  <c r="L432" i="2"/>
  <c r="L428" i="2"/>
  <c r="L424" i="2"/>
  <c r="L420" i="2"/>
  <c r="L416" i="2"/>
  <c r="L412" i="2"/>
  <c r="L408" i="2"/>
  <c r="L400" i="2"/>
  <c r="L396" i="2"/>
  <c r="L388" i="2"/>
  <c r="L376" i="2"/>
  <c r="L368" i="2"/>
  <c r="L364" i="2"/>
  <c r="L360" i="2"/>
  <c r="L356" i="2"/>
  <c r="L352" i="2"/>
  <c r="L344" i="2"/>
  <c r="L340" i="2"/>
  <c r="L336" i="2"/>
  <c r="L332" i="2"/>
  <c r="L328" i="2"/>
  <c r="L324" i="2"/>
  <c r="L316" i="2"/>
  <c r="L976" i="2"/>
  <c r="L932" i="2"/>
  <c r="L916" i="2"/>
  <c r="L900" i="2"/>
  <c r="L872" i="2"/>
  <c r="L852" i="2"/>
  <c r="L832" i="2"/>
  <c r="L828" i="2"/>
  <c r="L820" i="2"/>
  <c r="L800" i="2"/>
  <c r="L796" i="2"/>
  <c r="L788" i="2"/>
  <c r="L784" i="2"/>
  <c r="L780" i="2"/>
  <c r="L764" i="2"/>
  <c r="L760" i="2"/>
  <c r="L756" i="2"/>
  <c r="L748" i="2"/>
  <c r="L728" i="2"/>
  <c r="L724" i="2"/>
  <c r="L720" i="2"/>
  <c r="L700" i="2"/>
  <c r="L696" i="2"/>
  <c r="L692" i="2"/>
  <c r="L676" i="2"/>
  <c r="L672" i="2"/>
  <c r="L668" i="2"/>
  <c r="L664" i="2"/>
  <c r="L656" i="2"/>
  <c r="L652" i="2"/>
  <c r="L644" i="2"/>
  <c r="L620" i="2"/>
  <c r="L616" i="2"/>
  <c r="L612" i="2"/>
  <c r="L600" i="2"/>
  <c r="L596" i="2"/>
  <c r="L572" i="2"/>
  <c r="L552" i="2"/>
  <c r="L548" i="2"/>
  <c r="L520" i="2"/>
  <c r="L516" i="2"/>
  <c r="L508" i="2"/>
  <c r="L504" i="2"/>
  <c r="L496" i="2"/>
  <c r="L492" i="2"/>
  <c r="L484" i="2"/>
  <c r="L989" i="2"/>
  <c r="L985" i="2"/>
  <c r="L981" i="2"/>
  <c r="L977" i="2"/>
  <c r="L973" i="2"/>
  <c r="L969" i="2"/>
  <c r="L965" i="2"/>
  <c r="L961" i="2"/>
  <c r="L957" i="2"/>
  <c r="L953" i="2"/>
  <c r="L949" i="2"/>
  <c r="L945" i="2"/>
  <c r="L941" i="2"/>
  <c r="L937" i="2"/>
  <c r="L933" i="2"/>
  <c r="L929" i="2"/>
  <c r="L925" i="2"/>
  <c r="L921" i="2"/>
  <c r="L917" i="2"/>
  <c r="L913" i="2"/>
  <c r="L909" i="2"/>
  <c r="L905" i="2"/>
  <c r="L901" i="2"/>
  <c r="L897" i="2"/>
  <c r="L893" i="2"/>
  <c r="L889" i="2"/>
  <c r="L885" i="2"/>
  <c r="L881" i="2"/>
  <c r="L877" i="2"/>
  <c r="L873" i="2"/>
  <c r="L869" i="2"/>
  <c r="L865" i="2"/>
  <c r="L861" i="2"/>
  <c r="L857" i="2"/>
  <c r="L853" i="2"/>
  <c r="L849" i="2"/>
  <c r="L845" i="2"/>
  <c r="L841" i="2"/>
  <c r="L837" i="2"/>
  <c r="L833" i="2"/>
  <c r="L829" i="2"/>
  <c r="L825" i="2"/>
  <c r="L821" i="2"/>
  <c r="L817" i="2"/>
  <c r="L813" i="2"/>
  <c r="L809" i="2"/>
  <c r="L805" i="2"/>
  <c r="L801" i="2"/>
  <c r="L797" i="2"/>
  <c r="L793" i="2"/>
  <c r="L789" i="2"/>
  <c r="L785" i="2"/>
  <c r="L781" i="2"/>
  <c r="L777" i="2"/>
  <c r="L773" i="2"/>
  <c r="L769" i="2"/>
  <c r="L765" i="2"/>
  <c r="L761" i="2"/>
  <c r="L757" i="2"/>
  <c r="L753" i="2"/>
  <c r="L749" i="2"/>
  <c r="L745" i="2"/>
  <c r="L741" i="2"/>
  <c r="L737" i="2"/>
  <c r="L733" i="2"/>
  <c r="L729" i="2"/>
  <c r="L725" i="2"/>
  <c r="L721" i="2"/>
  <c r="L717" i="2"/>
  <c r="L713" i="2"/>
  <c r="L709" i="2"/>
  <c r="L705" i="2"/>
  <c r="L701" i="2"/>
  <c r="L697" i="2"/>
  <c r="L693" i="2"/>
  <c r="L689" i="2"/>
  <c r="L685" i="2"/>
  <c r="L681" i="2"/>
  <c r="L677" i="2"/>
  <c r="L673" i="2"/>
  <c r="L669" i="2"/>
  <c r="L665" i="2"/>
  <c r="L661" i="2"/>
  <c r="L657" i="2"/>
  <c r="L653" i="2"/>
  <c r="L649" i="2"/>
  <c r="L645" i="2"/>
  <c r="L641" i="2"/>
  <c r="L637" i="2"/>
  <c r="L629" i="2"/>
  <c r="L625" i="2"/>
  <c r="L621" i="2"/>
  <c r="L617" i="2"/>
  <c r="L613" i="2"/>
  <c r="L605" i="2"/>
  <c r="L597" i="2"/>
  <c r="L593" i="2"/>
  <c r="L589" i="2"/>
  <c r="L585" i="2"/>
  <c r="L581" i="2"/>
  <c r="L577" i="2"/>
  <c r="L573" i="2"/>
  <c r="L569" i="2"/>
  <c r="L565" i="2"/>
  <c r="L561" i="2"/>
  <c r="L557" i="2"/>
  <c r="L553" i="2"/>
  <c r="L549" i="2"/>
  <c r="L545" i="2"/>
  <c r="L541" i="2"/>
  <c r="L537" i="2"/>
  <c r="L533" i="2"/>
  <c r="L529" i="2"/>
  <c r="L525" i="2"/>
  <c r="L521" i="2"/>
  <c r="L517" i="2"/>
  <c r="L513" i="2"/>
  <c r="L509" i="2"/>
  <c r="L505" i="2"/>
  <c r="L501" i="2"/>
  <c r="L497" i="2"/>
  <c r="L493" i="2"/>
  <c r="L489" i="2"/>
  <c r="L485" i="2"/>
  <c r="L481" i="2"/>
  <c r="L477" i="2"/>
  <c r="L948" i="2"/>
  <c r="L936" i="2"/>
  <c r="L920" i="2"/>
  <c r="L864" i="2"/>
  <c r="L860" i="2"/>
  <c r="L816" i="2"/>
  <c r="L804" i="2"/>
  <c r="L768" i="2"/>
  <c r="L688" i="2"/>
  <c r="L966" i="2"/>
  <c r="L946" i="2"/>
  <c r="L930" i="2"/>
  <c r="L926" i="2"/>
  <c r="L922" i="2"/>
  <c r="L918" i="2"/>
  <c r="L914" i="2"/>
  <c r="L910" i="2"/>
  <c r="L906" i="2"/>
  <c r="L898" i="2"/>
  <c r="L874" i="2"/>
  <c r="L866" i="2"/>
  <c r="L862" i="2"/>
  <c r="L854" i="2"/>
  <c r="L850" i="2"/>
  <c r="L842" i="2"/>
  <c r="L838" i="2"/>
  <c r="L834" i="2"/>
  <c r="L830" i="2"/>
  <c r="L826" i="2"/>
  <c r="L822" i="2"/>
  <c r="L818" i="2"/>
  <c r="L810" i="2"/>
  <c r="L806" i="2"/>
  <c r="L802" i="2"/>
  <c r="L798" i="2"/>
  <c r="L794" i="2"/>
  <c r="L790" i="2"/>
  <c r="L786" i="2"/>
  <c r="L778" i="2"/>
  <c r="L774" i="2"/>
  <c r="L770" i="2"/>
  <c r="L766" i="2"/>
  <c r="L762" i="2"/>
  <c r="L758" i="2"/>
  <c r="L754" i="2"/>
  <c r="L750" i="2"/>
  <c r="L746" i="2"/>
  <c r="L742" i="2"/>
  <c r="L738" i="2"/>
  <c r="L734" i="2"/>
  <c r="L730" i="2"/>
  <c r="L726" i="2"/>
  <c r="L722" i="2"/>
  <c r="L718" i="2"/>
  <c r="L714" i="2"/>
  <c r="L710" i="2"/>
  <c r="L706" i="2"/>
  <c r="L702" i="2"/>
  <c r="L698" i="2"/>
  <c r="L694" i="2"/>
  <c r="L690" i="2"/>
  <c r="L686" i="2"/>
  <c r="L682" i="2"/>
  <c r="L678" i="2"/>
  <c r="L674" i="2"/>
  <c r="L670" i="2"/>
  <c r="L666" i="2"/>
  <c r="L662" i="2"/>
  <c r="L658" i="2"/>
  <c r="L654" i="2"/>
  <c r="L650" i="2"/>
  <c r="L646" i="2"/>
  <c r="L642" i="2"/>
  <c r="L634" i="2"/>
  <c r="L630" i="2"/>
  <c r="L626" i="2"/>
  <c r="L618" i="2"/>
  <c r="L614" i="2"/>
  <c r="L606" i="2"/>
  <c r="L598" i="2"/>
  <c r="L594" i="2"/>
  <c r="L590" i="2"/>
  <c r="L586" i="2"/>
  <c r="L582" i="2"/>
  <c r="L574" i="2"/>
  <c r="L570" i="2"/>
  <c r="L566" i="2"/>
  <c r="L562" i="2"/>
  <c r="L558" i="2"/>
  <c r="L554" i="2"/>
  <c r="L550" i="2"/>
  <c r="L546" i="2"/>
  <c r="L542" i="2"/>
  <c r="L538" i="2"/>
  <c r="L534" i="2"/>
  <c r="L530" i="2"/>
  <c r="L526" i="2"/>
  <c r="L522" i="2"/>
  <c r="L518" i="2"/>
  <c r="L514" i="2"/>
  <c r="L510" i="2"/>
  <c r="L988" i="2"/>
  <c r="L984" i="2"/>
  <c r="L980" i="2"/>
  <c r="L972" i="2"/>
  <c r="L968" i="2"/>
  <c r="L964" i="2"/>
  <c r="L960" i="2"/>
  <c r="L956" i="2"/>
  <c r="L952" i="2"/>
  <c r="L944" i="2"/>
  <c r="L940" i="2"/>
  <c r="L904" i="2"/>
  <c r="L896" i="2"/>
  <c r="L892" i="2"/>
  <c r="L884" i="2"/>
  <c r="L880" i="2"/>
  <c r="L876" i="2"/>
  <c r="L868" i="2"/>
  <c r="L836" i="2"/>
  <c r="L792" i="2"/>
  <c r="L776" i="2"/>
  <c r="L772" i="2"/>
  <c r="L752" i="2"/>
  <c r="L744" i="2"/>
  <c r="L740" i="2"/>
  <c r="L736" i="2"/>
  <c r="L716" i="2"/>
  <c r="L712" i="2"/>
  <c r="L708" i="2"/>
  <c r="L704" i="2"/>
  <c r="L684" i="2"/>
  <c r="L986" i="2"/>
  <c r="L982" i="2"/>
  <c r="L978" i="2"/>
  <c r="L974" i="2"/>
  <c r="L970" i="2"/>
  <c r="L962" i="2"/>
  <c r="L958" i="2"/>
  <c r="L954" i="2"/>
  <c r="L950" i="2"/>
  <c r="L942" i="2"/>
  <c r="L938" i="2"/>
  <c r="L934" i="2"/>
  <c r="L902" i="2"/>
  <c r="L894" i="2"/>
  <c r="L890" i="2"/>
  <c r="L886" i="2"/>
  <c r="L882" i="2"/>
  <c r="L870" i="2"/>
  <c r="L858" i="2"/>
  <c r="L987" i="2"/>
  <c r="L983" i="2"/>
  <c r="L979" i="2"/>
  <c r="L975" i="2"/>
  <c r="L971" i="2"/>
  <c r="L967" i="2"/>
  <c r="L963" i="2"/>
  <c r="L959" i="2"/>
  <c r="L955" i="2"/>
  <c r="L951" i="2"/>
  <c r="L947" i="2"/>
  <c r="L943" i="2"/>
  <c r="L939" i="2"/>
  <c r="L935" i="2"/>
  <c r="L931" i="2"/>
  <c r="L927" i="2"/>
  <c r="L923" i="2"/>
  <c r="L919" i="2"/>
  <c r="L915" i="2"/>
  <c r="L911" i="2"/>
  <c r="L907" i="2"/>
  <c r="L903" i="2"/>
  <c r="L899" i="2"/>
  <c r="L895" i="2"/>
  <c r="L891" i="2"/>
  <c r="L887" i="2"/>
  <c r="L883" i="2"/>
  <c r="L879" i="2"/>
  <c r="L875" i="2"/>
  <c r="L871" i="2"/>
  <c r="L867" i="2"/>
  <c r="L863" i="2"/>
  <c r="L859" i="2"/>
  <c r="L855" i="2"/>
  <c r="L851" i="2"/>
  <c r="L847" i="2"/>
  <c r="L843" i="2"/>
  <c r="L839" i="2"/>
  <c r="L835" i="2"/>
  <c r="L831" i="2"/>
  <c r="L827" i="2"/>
  <c r="L823" i="2"/>
  <c r="L819" i="2"/>
  <c r="L815" i="2"/>
  <c r="L811" i="2"/>
  <c r="L807" i="2"/>
  <c r="L803" i="2"/>
  <c r="L799" i="2"/>
  <c r="L795" i="2"/>
  <c r="L791" i="2"/>
  <c r="L787" i="2"/>
  <c r="L783" i="2"/>
  <c r="L779" i="2"/>
  <c r="L775" i="2"/>
  <c r="L771" i="2"/>
  <c r="L767" i="2"/>
  <c r="L763" i="2"/>
  <c r="L759" i="2"/>
  <c r="L755" i="2"/>
  <c r="L751" i="2"/>
  <c r="L747" i="2"/>
  <c r="L743" i="2"/>
  <c r="L739" i="2"/>
  <c r="L735" i="2"/>
  <c r="L731" i="2"/>
  <c r="L727" i="2"/>
  <c r="L723" i="2"/>
  <c r="L719" i="2"/>
  <c r="L715" i="2"/>
  <c r="L711" i="2"/>
  <c r="L707" i="2"/>
  <c r="L703" i="2"/>
  <c r="L699" i="2"/>
  <c r="L695" i="2"/>
  <c r="L691" i="2"/>
  <c r="L687" i="2"/>
  <c r="L683" i="2"/>
  <c r="L679" i="2"/>
  <c r="L675" i="2"/>
  <c r="L671" i="2"/>
  <c r="L667" i="2"/>
  <c r="L663" i="2"/>
  <c r="L659" i="2"/>
  <c r="L655" i="2"/>
  <c r="L651" i="2"/>
  <c r="L647" i="2"/>
  <c r="L643" i="2"/>
  <c r="L639" i="2"/>
  <c r="L631" i="2"/>
  <c r="L627" i="2"/>
  <c r="L623" i="2"/>
  <c r="L619" i="2"/>
  <c r="L611" i="2"/>
  <c r="L603" i="2"/>
  <c r="L599" i="2"/>
  <c r="L595" i="2"/>
  <c r="L591" i="2"/>
  <c r="L587" i="2"/>
  <c r="L583" i="2"/>
  <c r="L579" i="2"/>
  <c r="L575" i="2"/>
  <c r="L571" i="2"/>
  <c r="L567" i="2"/>
  <c r="L563" i="2"/>
  <c r="L559" i="2"/>
  <c r="L555" i="2"/>
  <c r="L551" i="2"/>
  <c r="L547" i="2"/>
  <c r="L543" i="2"/>
  <c r="L539" i="2"/>
  <c r="L535" i="2"/>
  <c r="L531" i="2"/>
  <c r="L527" i="2"/>
  <c r="L523" i="2"/>
  <c r="L519" i="2"/>
  <c r="L312" i="2"/>
  <c r="L304" i="2"/>
  <c r="L300" i="2"/>
  <c r="L296" i="2"/>
  <c r="L473" i="2"/>
  <c r="L469" i="2"/>
  <c r="L465" i="2"/>
  <c r="L461" i="2"/>
  <c r="L457" i="2"/>
  <c r="L449" i="2"/>
  <c r="L445" i="2"/>
  <c r="L441" i="2"/>
  <c r="L433" i="2"/>
  <c r="L429" i="2"/>
  <c r="L417" i="2"/>
  <c r="L413" i="2"/>
  <c r="L409" i="2"/>
  <c r="L405" i="2"/>
  <c r="L401" i="2"/>
  <c r="L397" i="2"/>
  <c r="L393" i="2"/>
  <c r="L385" i="2"/>
  <c r="L381" i="2"/>
  <c r="L377" i="2"/>
  <c r="L373" i="2"/>
  <c r="L369" i="2"/>
  <c r="L365" i="2"/>
  <c r="L361" i="2"/>
  <c r="L357" i="2"/>
  <c r="L353" i="2"/>
  <c r="L349" i="2"/>
  <c r="L345" i="2"/>
  <c r="L341" i="2"/>
  <c r="L337" i="2"/>
  <c r="L333" i="2"/>
  <c r="L329" i="2"/>
  <c r="L325" i="2"/>
  <c r="L321" i="2"/>
  <c r="L317" i="2"/>
  <c r="L313" i="2"/>
  <c r="L309" i="2"/>
  <c r="L305" i="2"/>
  <c r="L301" i="2"/>
  <c r="L297" i="2"/>
  <c r="L506" i="2"/>
  <c r="L502" i="2"/>
  <c r="L498" i="2"/>
  <c r="L494" i="2"/>
  <c r="L490" i="2"/>
  <c r="L486" i="2"/>
  <c r="L482" i="2"/>
  <c r="L478" i="2"/>
  <c r="L474" i="2"/>
  <c r="L470" i="2"/>
  <c r="L466" i="2"/>
  <c r="L462" i="2"/>
  <c r="L458" i="2"/>
  <c r="L454" i="2"/>
  <c r="L450" i="2"/>
  <c r="L446" i="2"/>
  <c r="L442" i="2"/>
  <c r="L438" i="2"/>
  <c r="L434" i="2"/>
  <c r="L430" i="2"/>
  <c r="L426" i="2"/>
  <c r="L422" i="2"/>
  <c r="L418" i="2"/>
  <c r="L414" i="2"/>
  <c r="L410" i="2"/>
  <c r="L406" i="2"/>
  <c r="L402" i="2"/>
  <c r="L398" i="2"/>
  <c r="L394" i="2"/>
  <c r="L390" i="2"/>
  <c r="L386" i="2"/>
  <c r="L382" i="2"/>
  <c r="L378" i="2"/>
  <c r="L374" i="2"/>
  <c r="L370" i="2"/>
  <c r="L366" i="2"/>
  <c r="L362" i="2"/>
  <c r="L358" i="2"/>
  <c r="L354" i="2"/>
  <c r="L350" i="2"/>
  <c r="L346" i="2"/>
  <c r="L342" i="2"/>
  <c r="L338" i="2"/>
  <c r="L334" i="2"/>
  <c r="L330" i="2"/>
  <c r="L326" i="2"/>
  <c r="L322" i="2"/>
  <c r="L318" i="2"/>
  <c r="L314" i="2"/>
  <c r="L310" i="2"/>
  <c r="L306" i="2"/>
  <c r="L302" i="2"/>
  <c r="L298" i="2"/>
  <c r="L515" i="2"/>
  <c r="L511" i="2"/>
  <c r="L507" i="2"/>
  <c r="L503" i="2"/>
  <c r="L499" i="2"/>
  <c r="L495" i="2"/>
  <c r="L491" i="2"/>
  <c r="L487" i="2"/>
  <c r="L483" i="2"/>
  <c r="L479" i="2"/>
  <c r="L475" i="2"/>
  <c r="L471" i="2"/>
  <c r="L467" i="2"/>
  <c r="L463" i="2"/>
  <c r="L459" i="2"/>
  <c r="L455" i="2"/>
  <c r="L451" i="2"/>
  <c r="L447" i="2"/>
  <c r="L443" i="2"/>
  <c r="L439" i="2"/>
  <c r="L435" i="2"/>
  <c r="L431" i="2"/>
  <c r="L427" i="2"/>
  <c r="L423" i="2"/>
  <c r="L419" i="2"/>
  <c r="L415" i="2"/>
  <c r="L411" i="2"/>
  <c r="L407" i="2"/>
  <c r="L403" i="2"/>
  <c r="L399" i="2"/>
  <c r="L395" i="2"/>
  <c r="L391" i="2"/>
  <c r="L387" i="2"/>
  <c r="L383" i="2"/>
  <c r="L379" i="2"/>
  <c r="L375" i="2"/>
  <c r="L371" i="2"/>
  <c r="L367" i="2"/>
  <c r="L363" i="2"/>
  <c r="L359" i="2"/>
  <c r="L355" i="2"/>
  <c r="L351" i="2"/>
  <c r="L347" i="2"/>
  <c r="L343" i="2"/>
  <c r="L339" i="2"/>
  <c r="L335" i="2"/>
  <c r="L331" i="2"/>
  <c r="L327" i="2"/>
  <c r="L323" i="2"/>
  <c r="L319" i="2"/>
  <c r="L315" i="2"/>
  <c r="L311" i="2"/>
  <c r="L307" i="2"/>
  <c r="L303" i="2"/>
  <c r="L299" i="2"/>
  <c r="L295" i="2"/>
  <c r="C981" i="2"/>
  <c r="C978" i="2"/>
  <c r="C975" i="2"/>
  <c r="C970" i="2"/>
  <c r="C967" i="2"/>
  <c r="C966" i="2"/>
  <c r="C963" i="2"/>
  <c r="C960" i="2"/>
  <c r="C959" i="2"/>
  <c r="C956" i="2"/>
  <c r="C952" i="2"/>
  <c r="C945" i="2"/>
  <c r="C942" i="2"/>
  <c r="C939" i="2"/>
  <c r="C936" i="2"/>
  <c r="C933" i="2"/>
  <c r="C930" i="2"/>
  <c r="C927" i="2"/>
  <c r="C919" i="2"/>
  <c r="C918" i="2"/>
  <c r="C909" i="2"/>
  <c r="C908" i="2"/>
  <c r="C905" i="2"/>
  <c r="C896" i="2"/>
  <c r="C893" i="2"/>
  <c r="C989" i="2"/>
  <c r="C986" i="2"/>
  <c r="C983" i="2"/>
  <c r="C980" i="2"/>
  <c r="C973" i="2"/>
  <c r="C961" i="2"/>
  <c r="C958" i="2"/>
  <c r="C955" i="2"/>
  <c r="C951" i="2"/>
  <c r="C950" i="2"/>
  <c r="C949" i="2"/>
  <c r="C946" i="2"/>
  <c r="C937" i="2"/>
  <c r="C934" i="2"/>
  <c r="C931" i="2"/>
  <c r="C928" i="2"/>
  <c r="C925" i="2"/>
  <c r="C920" i="2"/>
  <c r="C917" i="2"/>
  <c r="C912" i="2"/>
  <c r="C906" i="2"/>
  <c r="C903" i="2"/>
  <c r="C900" i="2"/>
  <c r="C897" i="2"/>
  <c r="C894" i="2"/>
  <c r="C889" i="2"/>
  <c r="C888" i="2"/>
  <c r="C886" i="2"/>
  <c r="C988" i="2"/>
  <c r="C985" i="2"/>
  <c r="C982" i="2"/>
  <c r="C977" i="2"/>
  <c r="C976" i="2"/>
  <c r="C972" i="2"/>
  <c r="C971" i="2"/>
  <c r="C968" i="2"/>
  <c r="C965" i="2"/>
  <c r="C962" i="2"/>
  <c r="C954" i="2"/>
  <c r="C947" i="2"/>
  <c r="C944" i="2"/>
  <c r="C941" i="2"/>
  <c r="C940" i="2"/>
  <c r="C932" i="2"/>
  <c r="C929" i="2"/>
  <c r="C924" i="2"/>
  <c r="C923" i="2"/>
  <c r="C922" i="2"/>
  <c r="C915" i="2"/>
  <c r="C914" i="2"/>
  <c r="C911" i="2"/>
  <c r="C910" i="2"/>
  <c r="C907" i="2"/>
  <c r="C902" i="2"/>
  <c r="C901" i="2"/>
  <c r="C898" i="2"/>
  <c r="C895" i="2"/>
  <c r="C892" i="2"/>
  <c r="C891" i="2"/>
  <c r="C887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987" i="2"/>
  <c r="C984" i="2"/>
  <c r="C979" i="2"/>
  <c r="C974" i="2"/>
  <c r="C969" i="2"/>
  <c r="C964" i="2"/>
  <c r="C957" i="2"/>
  <c r="C953" i="2"/>
  <c r="C948" i="2"/>
  <c r="C943" i="2"/>
  <c r="C938" i="2"/>
  <c r="C935" i="2"/>
  <c r="C926" i="2"/>
  <c r="C921" i="2"/>
  <c r="C916" i="2"/>
  <c r="C913" i="2"/>
  <c r="C904" i="2"/>
  <c r="C899" i="2"/>
  <c r="C890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77" i="2"/>
  <c r="C373" i="2"/>
  <c r="C369" i="2"/>
  <c r="C365" i="2"/>
  <c r="C361" i="2"/>
  <c r="C357" i="2"/>
  <c r="C353" i="2"/>
  <c r="C349" i="2"/>
  <c r="C345" i="2"/>
  <c r="C341" i="2"/>
  <c r="C337" i="2"/>
  <c r="C333" i="2"/>
  <c r="C329" i="2"/>
  <c r="C325" i="2"/>
  <c r="C321" i="2"/>
  <c r="C317" i="2"/>
  <c r="C313" i="2"/>
  <c r="C309" i="2"/>
  <c r="C305" i="2"/>
  <c r="C378" i="2"/>
  <c r="C374" i="2"/>
  <c r="C370" i="2"/>
  <c r="C366" i="2"/>
  <c r="C362" i="2"/>
  <c r="C358" i="2"/>
  <c r="C354" i="2"/>
  <c r="C350" i="2"/>
  <c r="C346" i="2"/>
  <c r="C342" i="2"/>
  <c r="C338" i="2"/>
  <c r="C334" i="2"/>
  <c r="C330" i="2"/>
  <c r="C326" i="2"/>
  <c r="C322" i="2"/>
  <c r="C318" i="2"/>
  <c r="C314" i="2"/>
  <c r="C310" i="2"/>
  <c r="C306" i="2"/>
  <c r="C6" i="2"/>
  <c r="C379" i="2"/>
  <c r="C375" i="2"/>
  <c r="C371" i="2"/>
  <c r="C367" i="2"/>
  <c r="C363" i="2"/>
  <c r="C359" i="2"/>
  <c r="C355" i="2"/>
  <c r="C351" i="2"/>
  <c r="C347" i="2"/>
  <c r="C343" i="2"/>
  <c r="C339" i="2"/>
  <c r="C335" i="2"/>
  <c r="C331" i="2"/>
  <c r="C327" i="2"/>
  <c r="C323" i="2"/>
  <c r="C319" i="2"/>
  <c r="C315" i="2"/>
  <c r="C311" i="2"/>
  <c r="C307" i="2"/>
  <c r="C380" i="2"/>
  <c r="C376" i="2"/>
  <c r="C372" i="2"/>
  <c r="C368" i="2"/>
  <c r="C364" i="2"/>
  <c r="C360" i="2"/>
  <c r="C356" i="2"/>
  <c r="C352" i="2"/>
  <c r="C348" i="2"/>
  <c r="C344" i="2"/>
  <c r="C340" i="2"/>
  <c r="C336" i="2"/>
  <c r="C332" i="2"/>
  <c r="C328" i="2"/>
  <c r="C324" i="2"/>
  <c r="C320" i="2"/>
  <c r="C316" i="2"/>
  <c r="C312" i="2"/>
  <c r="C308" i="2"/>
  <c r="C304" i="2"/>
  <c r="C303" i="2"/>
  <c r="C302" i="2"/>
  <c r="C301" i="2"/>
  <c r="C300" i="2"/>
  <c r="C299" i="2"/>
  <c r="C298" i="2"/>
  <c r="C297" i="2"/>
  <c r="C296" i="2"/>
  <c r="C295" i="2"/>
  <c r="J11" i="1"/>
  <c r="J19" i="1"/>
  <c r="J17" i="1"/>
  <c r="J12" i="1"/>
  <c r="J20" i="1"/>
  <c r="J18" i="1"/>
  <c r="O6" i="1"/>
  <c r="J3" i="2" s="1"/>
  <c r="I6" i="1"/>
  <c r="E3" i="2" s="1"/>
  <c r="T6" i="1"/>
  <c r="J7" i="1" s="1"/>
  <c r="R25" i="1" l="1"/>
  <c r="M22" i="2" s="1"/>
  <c r="S25" i="1"/>
  <c r="N22" i="2" s="1"/>
  <c r="G10" i="1"/>
  <c r="A7" i="2" s="1"/>
  <c r="G9" i="1"/>
  <c r="A6" i="2" s="1"/>
  <c r="G8" i="1"/>
  <c r="A5" i="2" s="1"/>
  <c r="G12" i="1"/>
  <c r="A9" i="2" s="1"/>
  <c r="G11" i="1"/>
  <c r="A8" i="2" s="1"/>
  <c r="Q11" i="1"/>
  <c r="L8" i="2" s="1"/>
  <c r="M11" i="1"/>
  <c r="H8" i="2" s="1"/>
  <c r="N11" i="1"/>
  <c r="I8" i="2" s="1"/>
  <c r="Q7" i="1"/>
  <c r="L4" i="2" s="1"/>
  <c r="N7" i="1"/>
  <c r="I4" i="2" s="1"/>
  <c r="M7" i="1"/>
  <c r="H4" i="2" s="1"/>
  <c r="Q12" i="1"/>
  <c r="L9" i="2" s="1"/>
  <c r="M12" i="1"/>
  <c r="H9" i="2" s="1"/>
  <c r="L12" i="1"/>
  <c r="G9" i="2" s="1"/>
  <c r="G16" i="1"/>
  <c r="A13" i="2" s="1"/>
  <c r="G18" i="1"/>
  <c r="A15" i="2" s="1"/>
  <c r="G13" i="1"/>
  <c r="A10" i="2" s="1"/>
  <c r="G15" i="1"/>
  <c r="A12" i="2" s="1"/>
  <c r="G14" i="1"/>
  <c r="A11" i="2" s="1"/>
  <c r="G19" i="1"/>
  <c r="A16" i="2" s="1"/>
  <c r="G20" i="1"/>
  <c r="A17" i="2" s="1"/>
  <c r="Q24" i="1"/>
  <c r="L21" i="2" s="1"/>
  <c r="Q22" i="1"/>
  <c r="L19" i="2" s="1"/>
  <c r="Q23" i="1"/>
  <c r="L20" i="2" s="1"/>
  <c r="Q16" i="1"/>
  <c r="L13" i="2" s="1"/>
  <c r="Q21" i="1"/>
  <c r="L18" i="2" s="1"/>
  <c r="Q20" i="1"/>
  <c r="L17" i="2" s="1"/>
  <c r="Q18" i="1"/>
  <c r="L15" i="2" s="1"/>
  <c r="Q19" i="1"/>
  <c r="L16" i="2" s="1"/>
  <c r="Q17" i="1"/>
  <c r="L14" i="2" s="1"/>
  <c r="N24" i="1"/>
  <c r="I21" i="2" s="1"/>
  <c r="K24" i="1"/>
  <c r="F21" i="2" s="1"/>
  <c r="L24" i="1"/>
  <c r="G21" i="2" s="1"/>
  <c r="M24" i="1"/>
  <c r="H21" i="2" s="1"/>
  <c r="M23" i="1"/>
  <c r="H20" i="2" s="1"/>
  <c r="K23" i="1"/>
  <c r="F20" i="2" s="1"/>
  <c r="L23" i="1"/>
  <c r="G20" i="2" s="1"/>
  <c r="N23" i="1"/>
  <c r="I20" i="2" s="1"/>
  <c r="K22" i="1"/>
  <c r="F19" i="2" s="1"/>
  <c r="M22" i="1"/>
  <c r="H19" i="2" s="1"/>
  <c r="L22" i="1"/>
  <c r="G19" i="2" s="1"/>
  <c r="N22" i="1"/>
  <c r="I19" i="2" s="1"/>
  <c r="N21" i="1"/>
  <c r="I18" i="2" s="1"/>
  <c r="M21" i="1"/>
  <c r="H18" i="2" s="1"/>
  <c r="L21" i="1"/>
  <c r="G18" i="2" s="1"/>
  <c r="K21" i="1"/>
  <c r="F18" i="2" s="1"/>
  <c r="N16" i="1"/>
  <c r="I13" i="2" s="1"/>
  <c r="M16" i="1"/>
  <c r="H13" i="2" s="1"/>
  <c r="L16" i="1"/>
  <c r="G13" i="2" s="1"/>
  <c r="K16" i="1"/>
  <c r="F13" i="2" s="1"/>
  <c r="N18" i="1"/>
  <c r="I15" i="2" s="1"/>
  <c r="M18" i="1"/>
  <c r="H15" i="2" s="1"/>
  <c r="L18" i="1"/>
  <c r="G15" i="2" s="1"/>
  <c r="K18" i="1"/>
  <c r="F15" i="2" s="1"/>
  <c r="N13" i="1"/>
  <c r="I10" i="2" s="1"/>
  <c r="M13" i="1"/>
  <c r="H10" i="2" s="1"/>
  <c r="L13" i="1"/>
  <c r="G10" i="2" s="1"/>
  <c r="K13" i="1"/>
  <c r="F10" i="2" s="1"/>
  <c r="N19" i="1"/>
  <c r="I16" i="2" s="1"/>
  <c r="M19" i="1"/>
  <c r="H16" i="2" s="1"/>
  <c r="L19" i="1"/>
  <c r="G16" i="2" s="1"/>
  <c r="K19" i="1"/>
  <c r="F16" i="2" s="1"/>
  <c r="L11" i="1"/>
  <c r="G8" i="2" s="1"/>
  <c r="K11" i="1"/>
  <c r="F8" i="2" s="1"/>
  <c r="N12" i="1"/>
  <c r="I9" i="2" s="1"/>
  <c r="K12" i="1"/>
  <c r="F9" i="2" s="1"/>
  <c r="N15" i="1"/>
  <c r="I12" i="2" s="1"/>
  <c r="K15" i="1"/>
  <c r="F12" i="2" s="1"/>
  <c r="M15" i="1"/>
  <c r="H12" i="2" s="1"/>
  <c r="L15" i="1"/>
  <c r="G12" i="2" s="1"/>
  <c r="N17" i="1"/>
  <c r="I14" i="2" s="1"/>
  <c r="M17" i="1"/>
  <c r="H14" i="2" s="1"/>
  <c r="L17" i="1"/>
  <c r="G14" i="2" s="1"/>
  <c r="K17" i="1"/>
  <c r="F14" i="2" s="1"/>
  <c r="N14" i="1"/>
  <c r="I11" i="2" s="1"/>
  <c r="M14" i="1"/>
  <c r="H11" i="2" s="1"/>
  <c r="L14" i="1"/>
  <c r="G11" i="2" s="1"/>
  <c r="K14" i="1"/>
  <c r="F11" i="2" s="1"/>
  <c r="N20" i="1"/>
  <c r="I17" i="2" s="1"/>
  <c r="M20" i="1"/>
  <c r="H17" i="2" s="1"/>
  <c r="L20" i="1"/>
  <c r="G17" i="2" s="1"/>
  <c r="K20" i="1"/>
  <c r="F17" i="2" s="1"/>
  <c r="L7" i="1"/>
  <c r="G4" i="2" s="1"/>
  <c r="K7" i="1"/>
  <c r="F4" i="2" s="1"/>
  <c r="L372" i="2"/>
  <c r="L622" i="2"/>
  <c r="L908" i="2"/>
  <c r="F496" i="2"/>
  <c r="I496" i="2"/>
  <c r="F528" i="2"/>
  <c r="I528" i="2"/>
  <c r="F560" i="2"/>
  <c r="I560" i="2"/>
  <c r="F504" i="2"/>
  <c r="I504" i="2"/>
  <c r="F536" i="2"/>
  <c r="I536" i="2"/>
  <c r="F568" i="2"/>
  <c r="I568" i="2"/>
  <c r="I320" i="2"/>
  <c r="I300" i="2"/>
  <c r="F399" i="2"/>
  <c r="F512" i="2"/>
  <c r="I512" i="2"/>
  <c r="F544" i="2"/>
  <c r="I544" i="2"/>
  <c r="F576" i="2"/>
  <c r="I576" i="2"/>
  <c r="I308" i="2"/>
  <c r="I427" i="2"/>
  <c r="F631" i="2"/>
  <c r="F520" i="2"/>
  <c r="I520" i="2"/>
  <c r="F552" i="2"/>
  <c r="I552" i="2"/>
  <c r="F584" i="2"/>
  <c r="I584" i="2"/>
  <c r="I304" i="2"/>
  <c r="I336" i="2"/>
  <c r="F354" i="2"/>
  <c r="I354" i="2"/>
  <c r="I328" i="2"/>
  <c r="F346" i="2"/>
  <c r="I346" i="2"/>
  <c r="F720" i="2"/>
  <c r="I720" i="2"/>
  <c r="F664" i="2"/>
  <c r="I664" i="2"/>
  <c r="F696" i="2"/>
  <c r="I696" i="2"/>
  <c r="F728" i="2"/>
  <c r="I728" i="2"/>
  <c r="F796" i="2"/>
  <c r="I796" i="2"/>
  <c r="F860" i="2"/>
  <c r="I860" i="2"/>
  <c r="F648" i="2"/>
  <c r="I648" i="2"/>
  <c r="F680" i="2"/>
  <c r="I680" i="2"/>
  <c r="F712" i="2"/>
  <c r="I712" i="2"/>
  <c r="F744" i="2"/>
  <c r="I744" i="2"/>
  <c r="F688" i="2"/>
  <c r="I688" i="2"/>
  <c r="F724" i="2"/>
  <c r="I724" i="2"/>
  <c r="F768" i="2"/>
  <c r="I768" i="2"/>
  <c r="F800" i="2"/>
  <c r="I800" i="2"/>
  <c r="F832" i="2"/>
  <c r="I832" i="2"/>
  <c r="F864" i="2"/>
  <c r="I864" i="2"/>
  <c r="F896" i="2"/>
  <c r="I896" i="2"/>
  <c r="F668" i="2"/>
  <c r="I668" i="2"/>
  <c r="F700" i="2"/>
  <c r="I700" i="2"/>
  <c r="F732" i="2"/>
  <c r="I732" i="2"/>
  <c r="F812" i="2"/>
  <c r="I812" i="2"/>
  <c r="F876" i="2"/>
  <c r="I876" i="2"/>
  <c r="F940" i="2"/>
  <c r="I940" i="2"/>
  <c r="F652" i="2"/>
  <c r="I652" i="2"/>
  <c r="F684" i="2"/>
  <c r="I684" i="2"/>
  <c r="F716" i="2"/>
  <c r="I716" i="2"/>
  <c r="F748" i="2"/>
  <c r="I748" i="2"/>
  <c r="I312" i="2"/>
  <c r="F362" i="2"/>
  <c r="I362" i="2"/>
  <c r="F656" i="2"/>
  <c r="I656" i="2"/>
  <c r="F692" i="2"/>
  <c r="I692" i="2"/>
  <c r="F764" i="2"/>
  <c r="I764" i="2"/>
  <c r="F828" i="2"/>
  <c r="I828" i="2"/>
  <c r="F892" i="2"/>
  <c r="I892" i="2"/>
  <c r="F660" i="2"/>
  <c r="I660" i="2"/>
  <c r="F752" i="2"/>
  <c r="I752" i="2"/>
  <c r="F784" i="2"/>
  <c r="I784" i="2"/>
  <c r="F816" i="2"/>
  <c r="I816" i="2"/>
  <c r="F848" i="2"/>
  <c r="I848" i="2"/>
  <c r="F880" i="2"/>
  <c r="I880" i="2"/>
  <c r="F780" i="2"/>
  <c r="I780" i="2"/>
  <c r="F844" i="2"/>
  <c r="I844" i="2"/>
  <c r="F644" i="2"/>
  <c r="I644" i="2"/>
  <c r="F676" i="2"/>
  <c r="I676" i="2"/>
  <c r="F708" i="2"/>
  <c r="I708" i="2"/>
  <c r="F740" i="2"/>
  <c r="I740" i="2"/>
  <c r="E6" i="1"/>
  <c r="M324" i="2"/>
  <c r="N441" i="2"/>
  <c r="M441" i="2"/>
  <c r="M372" i="2"/>
  <c r="M590" i="2"/>
  <c r="M368" i="2"/>
  <c r="M614" i="2"/>
  <c r="M598" i="2"/>
  <c r="M637" i="2"/>
  <c r="M622" i="2"/>
  <c r="M606" i="2"/>
  <c r="I384" i="2"/>
  <c r="F384" i="2"/>
  <c r="I395" i="2"/>
  <c r="F395" i="2"/>
  <c r="F388" i="2"/>
  <c r="I388" i="2"/>
  <c r="F396" i="2"/>
  <c r="I396" i="2"/>
  <c r="F404" i="2"/>
  <c r="I404" i="2"/>
  <c r="I409" i="2"/>
  <c r="F409" i="2"/>
  <c r="N442" i="2"/>
  <c r="N449" i="2"/>
  <c r="N382" i="2"/>
  <c r="F444" i="2"/>
  <c r="I444" i="2"/>
  <c r="F453" i="2"/>
  <c r="I453" i="2"/>
  <c r="N590" i="2"/>
  <c r="N595" i="2"/>
  <c r="N606" i="2"/>
  <c r="N611" i="2"/>
  <c r="N622" i="2"/>
  <c r="F628" i="2"/>
  <c r="I628" i="2"/>
  <c r="G980" i="2"/>
  <c r="N429" i="2"/>
  <c r="N614" i="2"/>
  <c r="N637" i="2"/>
  <c r="G732" i="2"/>
  <c r="G740" i="2"/>
  <c r="G748" i="2"/>
  <c r="G756" i="2"/>
  <c r="G764" i="2"/>
  <c r="G772" i="2"/>
  <c r="G780" i="2"/>
  <c r="G788" i="2"/>
  <c r="G796" i="2"/>
  <c r="G804" i="2"/>
  <c r="G812" i="2"/>
  <c r="G820" i="2"/>
  <c r="G828" i="2"/>
  <c r="G836" i="2"/>
  <c r="G844" i="2"/>
  <c r="G852" i="2"/>
  <c r="G860" i="2"/>
  <c r="G868" i="2"/>
  <c r="G876" i="2"/>
  <c r="G884" i="2"/>
  <c r="G892" i="2"/>
  <c r="G900" i="2"/>
  <c r="G908" i="2"/>
  <c r="G916" i="2"/>
  <c r="G924" i="2"/>
  <c r="G932" i="2"/>
  <c r="G940" i="2"/>
  <c r="G984" i="2"/>
  <c r="I602" i="2"/>
  <c r="F602" i="2"/>
  <c r="I607" i="2"/>
  <c r="F607" i="2"/>
  <c r="I625" i="2"/>
  <c r="F625" i="2"/>
  <c r="H952" i="2"/>
  <c r="H960" i="2"/>
  <c r="H968" i="2"/>
  <c r="H976" i="2"/>
  <c r="H910" i="2"/>
  <c r="G957" i="2"/>
  <c r="H977" i="2"/>
  <c r="H987" i="2"/>
  <c r="N649" i="2"/>
  <c r="N665" i="2"/>
  <c r="N681" i="2"/>
  <c r="N697" i="2"/>
  <c r="N713" i="2"/>
  <c r="G729" i="2"/>
  <c r="N729" i="2" s="1"/>
  <c r="G737" i="2"/>
  <c r="G745" i="2"/>
  <c r="N745" i="2" s="1"/>
  <c r="G753" i="2"/>
  <c r="G761" i="2"/>
  <c r="N761" i="2" s="1"/>
  <c r="G769" i="2"/>
  <c r="G777" i="2"/>
  <c r="N777" i="2" s="1"/>
  <c r="G785" i="2"/>
  <c r="H790" i="2"/>
  <c r="G793" i="2"/>
  <c r="N793" i="2" s="1"/>
  <c r="H798" i="2"/>
  <c r="G801" i="2"/>
  <c r="H806" i="2"/>
  <c r="G809" i="2"/>
  <c r="N809" i="2" s="1"/>
  <c r="H814" i="2"/>
  <c r="G817" i="2"/>
  <c r="H822" i="2"/>
  <c r="G825" i="2"/>
  <c r="N825" i="2" s="1"/>
  <c r="H830" i="2"/>
  <c r="G833" i="2"/>
  <c r="H838" i="2"/>
  <c r="G841" i="2"/>
  <c r="N841" i="2" s="1"/>
  <c r="H846" i="2"/>
  <c r="G849" i="2"/>
  <c r="H854" i="2"/>
  <c r="G857" i="2"/>
  <c r="N857" i="2" s="1"/>
  <c r="H862" i="2"/>
  <c r="G865" i="2"/>
  <c r="H870" i="2"/>
  <c r="G873" i="2"/>
  <c r="N873" i="2" s="1"/>
  <c r="H878" i="2"/>
  <c r="G881" i="2"/>
  <c r="H886" i="2"/>
  <c r="G889" i="2"/>
  <c r="N889" i="2" s="1"/>
  <c r="H894" i="2"/>
  <c r="G897" i="2"/>
  <c r="H902" i="2"/>
  <c r="H905" i="2"/>
  <c r="H913" i="2"/>
  <c r="H939" i="2"/>
  <c r="G941" i="2"/>
  <c r="H911" i="2"/>
  <c r="G927" i="2"/>
  <c r="G946" i="2"/>
  <c r="G959" i="2"/>
  <c r="G966" i="2"/>
  <c r="G975" i="2"/>
  <c r="N655" i="2"/>
  <c r="N671" i="2"/>
  <c r="N687" i="2"/>
  <c r="N703" i="2"/>
  <c r="N719" i="2"/>
  <c r="G727" i="2"/>
  <c r="G735" i="2"/>
  <c r="N735" i="2" s="1"/>
  <c r="G743" i="2"/>
  <c r="G751" i="2"/>
  <c r="N751" i="2" s="1"/>
  <c r="G759" i="2"/>
  <c r="G767" i="2"/>
  <c r="N767" i="2" s="1"/>
  <c r="G775" i="2"/>
  <c r="G783" i="2"/>
  <c r="N783" i="2" s="1"/>
  <c r="G791" i="2"/>
  <c r="G799" i="2"/>
  <c r="N799" i="2" s="1"/>
  <c r="G807" i="2"/>
  <c r="G815" i="2"/>
  <c r="N815" i="2" s="1"/>
  <c r="G823" i="2"/>
  <c r="G831" i="2"/>
  <c r="N831" i="2" s="1"/>
  <c r="G839" i="2"/>
  <c r="G847" i="2"/>
  <c r="N847" i="2" s="1"/>
  <c r="G855" i="2"/>
  <c r="G863" i="2"/>
  <c r="N863" i="2" s="1"/>
  <c r="G871" i="2"/>
  <c r="G879" i="2"/>
  <c r="N879" i="2" s="1"/>
  <c r="G887" i="2"/>
  <c r="G895" i="2"/>
  <c r="N895" i="2" s="1"/>
  <c r="G903" i="2"/>
  <c r="H915" i="2"/>
  <c r="G931" i="2"/>
  <c r="G943" i="2"/>
  <c r="N943" i="2" s="1"/>
  <c r="G954" i="2"/>
  <c r="G963" i="2"/>
  <c r="N963" i="2" s="1"/>
  <c r="G979" i="2"/>
  <c r="G986" i="2"/>
  <c r="F296" i="2"/>
  <c r="I296" i="2"/>
  <c r="M316" i="2"/>
  <c r="M332" i="2"/>
  <c r="M376" i="2"/>
  <c r="I385" i="2"/>
  <c r="F385" i="2"/>
  <c r="I403" i="2"/>
  <c r="F403" i="2"/>
  <c r="M433" i="2"/>
  <c r="M449" i="2"/>
  <c r="I367" i="2"/>
  <c r="F367" i="2"/>
  <c r="I389" i="2"/>
  <c r="F389" i="2"/>
  <c r="I397" i="2"/>
  <c r="F397" i="2"/>
  <c r="I405" i="2"/>
  <c r="F405" i="2"/>
  <c r="I365" i="2"/>
  <c r="F365" i="2"/>
  <c r="N410" i="2"/>
  <c r="N417" i="2"/>
  <c r="I425" i="2"/>
  <c r="F425" i="2"/>
  <c r="I450" i="2"/>
  <c r="F450" i="2"/>
  <c r="F437" i="2"/>
  <c r="I437" i="2"/>
  <c r="F446" i="2"/>
  <c r="I446" i="2"/>
  <c r="I610" i="2"/>
  <c r="F610" i="2"/>
  <c r="I615" i="2"/>
  <c r="F615" i="2"/>
  <c r="I629" i="2"/>
  <c r="F629" i="2"/>
  <c r="G952" i="2"/>
  <c r="G968" i="2"/>
  <c r="I638" i="2"/>
  <c r="F638" i="2"/>
  <c r="G972" i="2"/>
  <c r="G988" i="2"/>
  <c r="H988" i="2"/>
  <c r="I591" i="2"/>
  <c r="F591" i="2"/>
  <c r="I609" i="2"/>
  <c r="F609" i="2"/>
  <c r="H792" i="2"/>
  <c r="H800" i="2"/>
  <c r="H808" i="2"/>
  <c r="H816" i="2"/>
  <c r="H824" i="2"/>
  <c r="H832" i="2"/>
  <c r="H840" i="2"/>
  <c r="H848" i="2"/>
  <c r="H856" i="2"/>
  <c r="H864" i="2"/>
  <c r="H872" i="2"/>
  <c r="H880" i="2"/>
  <c r="H888" i="2"/>
  <c r="H896" i="2"/>
  <c r="H904" i="2"/>
  <c r="H912" i="2"/>
  <c r="H920" i="2"/>
  <c r="H928" i="2"/>
  <c r="H936" i="2"/>
  <c r="H944" i="2"/>
  <c r="G910" i="2"/>
  <c r="G925" i="2"/>
  <c r="H926" i="2"/>
  <c r="H947" i="2"/>
  <c r="H958" i="2"/>
  <c r="G973" i="2"/>
  <c r="G977" i="2"/>
  <c r="G726" i="2"/>
  <c r="G734" i="2"/>
  <c r="G742" i="2"/>
  <c r="G750" i="2"/>
  <c r="G758" i="2"/>
  <c r="G766" i="2"/>
  <c r="G774" i="2"/>
  <c r="G782" i="2"/>
  <c r="H787" i="2"/>
  <c r="G790" i="2"/>
  <c r="H795" i="2"/>
  <c r="G798" i="2"/>
  <c r="H803" i="2"/>
  <c r="G806" i="2"/>
  <c r="H811" i="2"/>
  <c r="G814" i="2"/>
  <c r="H819" i="2"/>
  <c r="G822" i="2"/>
  <c r="H827" i="2"/>
  <c r="G830" i="2"/>
  <c r="H835" i="2"/>
  <c r="G838" i="2"/>
  <c r="H843" i="2"/>
  <c r="G846" i="2"/>
  <c r="H851" i="2"/>
  <c r="G854" i="2"/>
  <c r="H859" i="2"/>
  <c r="G862" i="2"/>
  <c r="H867" i="2"/>
  <c r="G870" i="2"/>
  <c r="H875" i="2"/>
  <c r="G878" i="2"/>
  <c r="H883" i="2"/>
  <c r="G886" i="2"/>
  <c r="H891" i="2"/>
  <c r="G894" i="2"/>
  <c r="H899" i="2"/>
  <c r="G902" i="2"/>
  <c r="G905" i="2"/>
  <c r="H907" i="2"/>
  <c r="G913" i="2"/>
  <c r="H914" i="2"/>
  <c r="G929" i="2"/>
  <c r="H930" i="2"/>
  <c r="H942" i="2"/>
  <c r="G961" i="2"/>
  <c r="H962" i="2"/>
  <c r="H971" i="2"/>
  <c r="G911" i="2"/>
  <c r="H917" i="2"/>
  <c r="G918" i="2"/>
  <c r="G934" i="2"/>
  <c r="G950" i="2"/>
  <c r="H965" i="2"/>
  <c r="G982" i="2"/>
  <c r="H789" i="2"/>
  <c r="H797" i="2"/>
  <c r="H805" i="2"/>
  <c r="H813" i="2"/>
  <c r="H821" i="2"/>
  <c r="H829" i="2"/>
  <c r="H837" i="2"/>
  <c r="H845" i="2"/>
  <c r="H853" i="2"/>
  <c r="H861" i="2"/>
  <c r="H869" i="2"/>
  <c r="H877" i="2"/>
  <c r="H885" i="2"/>
  <c r="H893" i="2"/>
  <c r="H901" i="2"/>
  <c r="G915" i="2"/>
  <c r="G922" i="2"/>
  <c r="H931" i="2"/>
  <c r="H953" i="2"/>
  <c r="H969" i="2"/>
  <c r="G970" i="2"/>
  <c r="H979" i="2"/>
  <c r="G978" i="2"/>
  <c r="N316" i="2"/>
  <c r="N324" i="2"/>
  <c r="N332" i="2"/>
  <c r="N368" i="2"/>
  <c r="N373" i="2"/>
  <c r="N372" i="2"/>
  <c r="I415" i="2"/>
  <c r="F415" i="2"/>
  <c r="I431" i="2"/>
  <c r="F431" i="2"/>
  <c r="I371" i="2"/>
  <c r="F371" i="2"/>
  <c r="N376" i="2"/>
  <c r="I381" i="2"/>
  <c r="F381" i="2"/>
  <c r="N391" i="2"/>
  <c r="I411" i="2"/>
  <c r="F411" i="2"/>
  <c r="N426" i="2"/>
  <c r="N433" i="2"/>
  <c r="F421" i="2"/>
  <c r="I421" i="2"/>
  <c r="F428" i="2"/>
  <c r="I428" i="2"/>
  <c r="I439" i="2"/>
  <c r="F439" i="2"/>
  <c r="I594" i="2"/>
  <c r="F594" i="2"/>
  <c r="I599" i="2"/>
  <c r="F599" i="2"/>
  <c r="I617" i="2"/>
  <c r="F617" i="2"/>
  <c r="G956" i="2"/>
  <c r="G728" i="2"/>
  <c r="G736" i="2"/>
  <c r="G744" i="2"/>
  <c r="G752" i="2"/>
  <c r="G760" i="2"/>
  <c r="G768" i="2"/>
  <c r="G776" i="2"/>
  <c r="G784" i="2"/>
  <c r="G792" i="2"/>
  <c r="G800" i="2"/>
  <c r="G808" i="2"/>
  <c r="G816" i="2"/>
  <c r="G824" i="2"/>
  <c r="G832" i="2"/>
  <c r="G840" i="2"/>
  <c r="G848" i="2"/>
  <c r="G856" i="2"/>
  <c r="G864" i="2"/>
  <c r="G872" i="2"/>
  <c r="G880" i="2"/>
  <c r="G888" i="2"/>
  <c r="G896" i="2"/>
  <c r="G904" i="2"/>
  <c r="G912" i="2"/>
  <c r="G920" i="2"/>
  <c r="G928" i="2"/>
  <c r="G936" i="2"/>
  <c r="G944" i="2"/>
  <c r="G960" i="2"/>
  <c r="G976" i="2"/>
  <c r="H984" i="2"/>
  <c r="I593" i="2"/>
  <c r="F593" i="2"/>
  <c r="F632" i="2"/>
  <c r="I632" i="2"/>
  <c r="H956" i="2"/>
  <c r="H964" i="2"/>
  <c r="H972" i="2"/>
  <c r="H980" i="2"/>
  <c r="G919" i="2"/>
  <c r="G935" i="2"/>
  <c r="G947" i="2"/>
  <c r="H951" i="2"/>
  <c r="G958" i="2"/>
  <c r="G967" i="2"/>
  <c r="H983" i="2"/>
  <c r="G987" i="2"/>
  <c r="G731" i="2"/>
  <c r="G739" i="2"/>
  <c r="G747" i="2"/>
  <c r="G755" i="2"/>
  <c r="G763" i="2"/>
  <c r="G771" i="2"/>
  <c r="G779" i="2"/>
  <c r="G787" i="2"/>
  <c r="G795" i="2"/>
  <c r="G803" i="2"/>
  <c r="G811" i="2"/>
  <c r="G819" i="2"/>
  <c r="G827" i="2"/>
  <c r="G835" i="2"/>
  <c r="G843" i="2"/>
  <c r="G851" i="2"/>
  <c r="G859" i="2"/>
  <c r="G867" i="2"/>
  <c r="G875" i="2"/>
  <c r="G883" i="2"/>
  <c r="G891" i="2"/>
  <c r="G899" i="2"/>
  <c r="G907" i="2"/>
  <c r="G923" i="2"/>
  <c r="G939" i="2"/>
  <c r="G955" i="2"/>
  <c r="G962" i="2"/>
  <c r="G971" i="2"/>
  <c r="H909" i="2"/>
  <c r="H927" i="2"/>
  <c r="H933" i="2"/>
  <c r="H945" i="2"/>
  <c r="H949" i="2"/>
  <c r="G965" i="2"/>
  <c r="H975" i="2"/>
  <c r="G733" i="2"/>
  <c r="G741" i="2"/>
  <c r="G749" i="2"/>
  <c r="G757" i="2"/>
  <c r="G765" i="2"/>
  <c r="G773" i="2"/>
  <c r="G781" i="2"/>
  <c r="G789" i="2"/>
  <c r="H794" i="2"/>
  <c r="G797" i="2"/>
  <c r="H802" i="2"/>
  <c r="G805" i="2"/>
  <c r="H810" i="2"/>
  <c r="G813" i="2"/>
  <c r="H818" i="2"/>
  <c r="G821" i="2"/>
  <c r="H826" i="2"/>
  <c r="G829" i="2"/>
  <c r="H834" i="2"/>
  <c r="G837" i="2"/>
  <c r="H842" i="2"/>
  <c r="G845" i="2"/>
  <c r="H850" i="2"/>
  <c r="G853" i="2"/>
  <c r="H858" i="2"/>
  <c r="G861" i="2"/>
  <c r="H866" i="2"/>
  <c r="G869" i="2"/>
  <c r="H874" i="2"/>
  <c r="G877" i="2"/>
  <c r="H882" i="2"/>
  <c r="G885" i="2"/>
  <c r="H890" i="2"/>
  <c r="G893" i="2"/>
  <c r="H898" i="2"/>
  <c r="H903" i="2"/>
  <c r="H906" i="2"/>
  <c r="H921" i="2"/>
  <c r="H937" i="2"/>
  <c r="G938" i="2"/>
  <c r="G953" i="2"/>
  <c r="H963" i="2"/>
  <c r="G969" i="2"/>
  <c r="H974" i="2"/>
  <c r="M417" i="2"/>
  <c r="N377" i="2"/>
  <c r="I383" i="2"/>
  <c r="F383" i="2"/>
  <c r="N408" i="2"/>
  <c r="I447" i="2"/>
  <c r="F447" i="2"/>
  <c r="F392" i="2"/>
  <c r="I392" i="2"/>
  <c r="F400" i="2"/>
  <c r="I400" i="2"/>
  <c r="F412" i="2"/>
  <c r="I412" i="2"/>
  <c r="I423" i="2"/>
  <c r="F423" i="2"/>
  <c r="N443" i="2"/>
  <c r="I601" i="2"/>
  <c r="F601" i="2"/>
  <c r="I635" i="2"/>
  <c r="F635" i="2"/>
  <c r="F989" i="2"/>
  <c r="I989" i="2"/>
  <c r="N598" i="2"/>
  <c r="F636" i="2"/>
  <c r="I636" i="2"/>
  <c r="G964" i="2"/>
  <c r="F985" i="2"/>
  <c r="I985" i="2"/>
  <c r="I618" i="2"/>
  <c r="F618" i="2"/>
  <c r="I623" i="2"/>
  <c r="F623" i="2"/>
  <c r="I633" i="2"/>
  <c r="F633" i="2"/>
  <c r="H788" i="2"/>
  <c r="H796" i="2"/>
  <c r="H804" i="2"/>
  <c r="H812" i="2"/>
  <c r="H820" i="2"/>
  <c r="H828" i="2"/>
  <c r="H836" i="2"/>
  <c r="H844" i="2"/>
  <c r="H852" i="2"/>
  <c r="H860" i="2"/>
  <c r="H868" i="2"/>
  <c r="H876" i="2"/>
  <c r="H884" i="2"/>
  <c r="H892" i="2"/>
  <c r="H900" i="2"/>
  <c r="H908" i="2"/>
  <c r="H916" i="2"/>
  <c r="H924" i="2"/>
  <c r="H932" i="2"/>
  <c r="H940" i="2"/>
  <c r="I981" i="2"/>
  <c r="F981" i="2"/>
  <c r="F948" i="2"/>
  <c r="I948" i="2"/>
  <c r="H919" i="2"/>
  <c r="H925" i="2"/>
  <c r="G926" i="2"/>
  <c r="H935" i="2"/>
  <c r="G951" i="2"/>
  <c r="H957" i="2"/>
  <c r="H967" i="2"/>
  <c r="H973" i="2"/>
  <c r="G983" i="2"/>
  <c r="H793" i="2"/>
  <c r="H801" i="2"/>
  <c r="H809" i="2"/>
  <c r="H817" i="2"/>
  <c r="H825" i="2"/>
  <c r="H833" i="2"/>
  <c r="H841" i="2"/>
  <c r="H849" i="2"/>
  <c r="H857" i="2"/>
  <c r="H865" i="2"/>
  <c r="H873" i="2"/>
  <c r="H881" i="2"/>
  <c r="H889" i="2"/>
  <c r="H897" i="2"/>
  <c r="G914" i="2"/>
  <c r="H923" i="2"/>
  <c r="H929" i="2"/>
  <c r="G930" i="2"/>
  <c r="H941" i="2"/>
  <c r="G942" i="2"/>
  <c r="H955" i="2"/>
  <c r="H961" i="2"/>
  <c r="G909" i="2"/>
  <c r="G917" i="2"/>
  <c r="H918" i="2"/>
  <c r="G933" i="2"/>
  <c r="H934" i="2"/>
  <c r="G945" i="2"/>
  <c r="H946" i="2"/>
  <c r="G949" i="2"/>
  <c r="H950" i="2"/>
  <c r="H959" i="2"/>
  <c r="H966" i="2"/>
  <c r="H982" i="2"/>
  <c r="G730" i="2"/>
  <c r="G738" i="2"/>
  <c r="G746" i="2"/>
  <c r="G754" i="2"/>
  <c r="G762" i="2"/>
  <c r="G770" i="2"/>
  <c r="G778" i="2"/>
  <c r="G786" i="2"/>
  <c r="H791" i="2"/>
  <c r="G794" i="2"/>
  <c r="H799" i="2"/>
  <c r="G802" i="2"/>
  <c r="H807" i="2"/>
  <c r="G810" i="2"/>
  <c r="H815" i="2"/>
  <c r="G818" i="2"/>
  <c r="H823" i="2"/>
  <c r="G826" i="2"/>
  <c r="H831" i="2"/>
  <c r="G834" i="2"/>
  <c r="H839" i="2"/>
  <c r="G842" i="2"/>
  <c r="H847" i="2"/>
  <c r="G850" i="2"/>
  <c r="H855" i="2"/>
  <c r="G858" i="2"/>
  <c r="H863" i="2"/>
  <c r="G866" i="2"/>
  <c r="H871" i="2"/>
  <c r="G874" i="2"/>
  <c r="H879" i="2"/>
  <c r="G882" i="2"/>
  <c r="H887" i="2"/>
  <c r="G890" i="2"/>
  <c r="H895" i="2"/>
  <c r="G898" i="2"/>
  <c r="G901" i="2"/>
  <c r="G906" i="2"/>
  <c r="G921" i="2"/>
  <c r="H922" i="2"/>
  <c r="G937" i="2"/>
  <c r="H938" i="2"/>
  <c r="H943" i="2"/>
  <c r="H954" i="2"/>
  <c r="H970" i="2"/>
  <c r="H986" i="2"/>
  <c r="G974" i="2"/>
  <c r="H978" i="2"/>
  <c r="D6" i="1"/>
  <c r="J8" i="1"/>
  <c r="J9" i="1"/>
  <c r="J10" i="1"/>
  <c r="J6" i="1"/>
  <c r="U6" i="1"/>
  <c r="P6" i="1" s="1"/>
  <c r="K3" i="2" s="1"/>
  <c r="S20" i="1" l="1"/>
  <c r="N17" i="2" s="1"/>
  <c r="S21" i="1"/>
  <c r="N18" i="2" s="1"/>
  <c r="R18" i="1"/>
  <c r="M15" i="2" s="1"/>
  <c r="R22" i="1"/>
  <c r="M19" i="2" s="1"/>
  <c r="R21" i="1"/>
  <c r="M18" i="2" s="1"/>
  <c r="S18" i="1"/>
  <c r="N15" i="2" s="1"/>
  <c r="S22" i="1"/>
  <c r="N19" i="2" s="1"/>
  <c r="R24" i="1"/>
  <c r="M21" i="2" s="1"/>
  <c r="R17" i="1"/>
  <c r="M14" i="2" s="1"/>
  <c r="R19" i="1"/>
  <c r="M16" i="2" s="1"/>
  <c r="R16" i="1"/>
  <c r="M13" i="2" s="1"/>
  <c r="R23" i="1"/>
  <c r="M20" i="2" s="1"/>
  <c r="R20" i="1"/>
  <c r="M17" i="2" s="1"/>
  <c r="S17" i="1"/>
  <c r="N14" i="2" s="1"/>
  <c r="S19" i="1"/>
  <c r="N16" i="2" s="1"/>
  <c r="S16" i="1"/>
  <c r="N13" i="2" s="1"/>
  <c r="S23" i="1"/>
  <c r="N20" i="2" s="1"/>
  <c r="S24" i="1"/>
  <c r="N21" i="2" s="1"/>
  <c r="S7" i="1"/>
  <c r="S11" i="1"/>
  <c r="N8" i="2" s="1"/>
  <c r="G6" i="1"/>
  <c r="A3" i="2" s="1"/>
  <c r="Q10" i="1"/>
  <c r="L7" i="2" s="1"/>
  <c r="M10" i="1"/>
  <c r="H7" i="2" s="1"/>
  <c r="N10" i="1"/>
  <c r="I7" i="2" s="1"/>
  <c r="R13" i="1"/>
  <c r="M10" i="2" s="1"/>
  <c r="Q9" i="1"/>
  <c r="L6" i="2" s="1"/>
  <c r="N9" i="1"/>
  <c r="I6" i="2" s="1"/>
  <c r="M9" i="1"/>
  <c r="H6" i="2" s="1"/>
  <c r="R14" i="1"/>
  <c r="M11" i="2" s="1"/>
  <c r="S13" i="1"/>
  <c r="N10" i="2" s="1"/>
  <c r="R15" i="1"/>
  <c r="M12" i="2" s="1"/>
  <c r="Q8" i="1"/>
  <c r="L5" i="2" s="1"/>
  <c r="N8" i="1"/>
  <c r="I5" i="2" s="1"/>
  <c r="M8" i="1"/>
  <c r="H5" i="2" s="1"/>
  <c r="S14" i="1"/>
  <c r="N11" i="2" s="1"/>
  <c r="S15" i="1"/>
  <c r="N12" i="2" s="1"/>
  <c r="R12" i="1"/>
  <c r="M9" i="2" s="1"/>
  <c r="S12" i="1"/>
  <c r="N9" i="2" s="1"/>
  <c r="R7" i="1"/>
  <c r="R11" i="1"/>
  <c r="M8" i="2" s="1"/>
  <c r="Q6" i="1"/>
  <c r="L3" i="2" s="1"/>
  <c r="M6" i="1"/>
  <c r="H3" i="2" s="1"/>
  <c r="N6" i="1"/>
  <c r="I3" i="2" s="1"/>
  <c r="L10" i="1"/>
  <c r="G7" i="2" s="1"/>
  <c r="K10" i="1"/>
  <c r="F7" i="2" s="1"/>
  <c r="K6" i="1"/>
  <c r="F3" i="2" s="1"/>
  <c r="L6" i="1"/>
  <c r="G3" i="2" s="1"/>
  <c r="L9" i="1"/>
  <c r="G6" i="2" s="1"/>
  <c r="K9" i="1"/>
  <c r="F6" i="2" s="1"/>
  <c r="L8" i="1"/>
  <c r="G5" i="2" s="1"/>
  <c r="K8" i="1"/>
  <c r="F5" i="2" s="1"/>
  <c r="N336" i="2"/>
  <c r="N304" i="2"/>
  <c r="N300" i="2"/>
  <c r="N399" i="2"/>
  <c r="N308" i="2"/>
  <c r="N631" i="2"/>
  <c r="N312" i="2"/>
  <c r="N328" i="2"/>
  <c r="N320" i="2"/>
  <c r="N938" i="2"/>
  <c r="N305" i="2"/>
  <c r="N980" i="2"/>
  <c r="N984" i="2"/>
  <c r="M373" i="2"/>
  <c r="N955" i="2"/>
  <c r="N986" i="2"/>
  <c r="N966" i="2"/>
  <c r="N946" i="2"/>
  <c r="N897" i="2"/>
  <c r="N881" i="2"/>
  <c r="N865" i="2"/>
  <c r="N849" i="2"/>
  <c r="N833" i="2"/>
  <c r="N817" i="2"/>
  <c r="N801" i="2"/>
  <c r="N785" i="2"/>
  <c r="N769" i="2"/>
  <c r="N753" i="2"/>
  <c r="N737" i="2"/>
  <c r="N721" i="2"/>
  <c r="N705" i="2"/>
  <c r="N689" i="2"/>
  <c r="N673" i="2"/>
  <c r="N657" i="2"/>
  <c r="N641" i="2"/>
  <c r="N932" i="2"/>
  <c r="N916" i="2"/>
  <c r="N900" i="2"/>
  <c r="N884" i="2"/>
  <c r="N868" i="2"/>
  <c r="N852" i="2"/>
  <c r="N836" i="2"/>
  <c r="N820" i="2"/>
  <c r="N804" i="2"/>
  <c r="N788" i="2"/>
  <c r="N772" i="2"/>
  <c r="N756" i="2"/>
  <c r="N740" i="2"/>
  <c r="N724" i="2"/>
  <c r="N708" i="2"/>
  <c r="N692" i="2"/>
  <c r="N676" i="2"/>
  <c r="N660" i="2"/>
  <c r="N644" i="2"/>
  <c r="N605" i="2"/>
  <c r="N386" i="2"/>
  <c r="N401" i="2"/>
  <c r="N353" i="2"/>
  <c r="N297" i="2"/>
  <c r="N331" i="2"/>
  <c r="N315" i="2"/>
  <c r="N299" i="2"/>
  <c r="N445" i="2"/>
  <c r="N413" i="2"/>
  <c r="N887" i="2"/>
  <c r="N871" i="2"/>
  <c r="N855" i="2"/>
  <c r="N839" i="2"/>
  <c r="N823" i="2"/>
  <c r="N807" i="2"/>
  <c r="N791" i="2"/>
  <c r="N775" i="2"/>
  <c r="N759" i="2"/>
  <c r="N743" i="2"/>
  <c r="N727" i="2"/>
  <c r="N711" i="2"/>
  <c r="N695" i="2"/>
  <c r="N679" i="2"/>
  <c r="N663" i="2"/>
  <c r="N647" i="2"/>
  <c r="N959" i="2"/>
  <c r="N941" i="2"/>
  <c r="N957" i="2"/>
  <c r="N940" i="2"/>
  <c r="N924" i="2"/>
  <c r="N908" i="2"/>
  <c r="N892" i="2"/>
  <c r="N876" i="2"/>
  <c r="N860" i="2"/>
  <c r="N844" i="2"/>
  <c r="N828" i="2"/>
  <c r="N812" i="2"/>
  <c r="N796" i="2"/>
  <c r="N780" i="2"/>
  <c r="N764" i="2"/>
  <c r="N748" i="2"/>
  <c r="N732" i="2"/>
  <c r="N716" i="2"/>
  <c r="N700" i="2"/>
  <c r="N684" i="2"/>
  <c r="N668" i="2"/>
  <c r="N652" i="2"/>
  <c r="N627" i="2"/>
  <c r="N596" i="2"/>
  <c r="N393" i="2"/>
  <c r="N374" i="2"/>
  <c r="N325" i="2"/>
  <c r="N347" i="2"/>
  <c r="N903" i="2"/>
  <c r="N975" i="2"/>
  <c r="N954" i="2"/>
  <c r="N582" i="2"/>
  <c r="N574" i="2"/>
  <c r="N566" i="2"/>
  <c r="N558" i="2"/>
  <c r="N550" i="2"/>
  <c r="N542" i="2"/>
  <c r="N534" i="2"/>
  <c r="N526" i="2"/>
  <c r="N518" i="2"/>
  <c r="N510" i="2"/>
  <c r="N502" i="2"/>
  <c r="N494" i="2"/>
  <c r="N486" i="2"/>
  <c r="N478" i="2"/>
  <c r="N470" i="2"/>
  <c r="N462" i="2"/>
  <c r="N454" i="2"/>
  <c r="N361" i="2"/>
  <c r="N345" i="2"/>
  <c r="N333" i="2"/>
  <c r="N317" i="2"/>
  <c r="N979" i="2"/>
  <c r="N931" i="2"/>
  <c r="N586" i="2"/>
  <c r="N578" i="2"/>
  <c r="N570" i="2"/>
  <c r="N562" i="2"/>
  <c r="N554" i="2"/>
  <c r="N546" i="2"/>
  <c r="N538" i="2"/>
  <c r="N530" i="2"/>
  <c r="N522" i="2"/>
  <c r="N514" i="2"/>
  <c r="N506" i="2"/>
  <c r="N498" i="2"/>
  <c r="N490" i="2"/>
  <c r="N482" i="2"/>
  <c r="N474" i="2"/>
  <c r="N466" i="2"/>
  <c r="N458" i="2"/>
  <c r="N375" i="2"/>
  <c r="N355" i="2"/>
  <c r="N339" i="2"/>
  <c r="N323" i="2"/>
  <c r="N307" i="2"/>
  <c r="N927" i="2"/>
  <c r="N634" i="2"/>
  <c r="N929" i="2"/>
  <c r="N973" i="2"/>
  <c r="N925" i="2"/>
  <c r="N432" i="2"/>
  <c r="N406" i="2"/>
  <c r="N416" i="2"/>
  <c r="M363" i="2"/>
  <c r="M986" i="2"/>
  <c r="M963" i="2"/>
  <c r="M943" i="2"/>
  <c r="M895" i="2"/>
  <c r="M879" i="2"/>
  <c r="M863" i="2"/>
  <c r="M847" i="2"/>
  <c r="M831" i="2"/>
  <c r="M815" i="2"/>
  <c r="M799" i="2"/>
  <c r="M783" i="2"/>
  <c r="M767" i="2"/>
  <c r="M751" i="2"/>
  <c r="M735" i="2"/>
  <c r="M719" i="2"/>
  <c r="M703" i="2"/>
  <c r="M687" i="2"/>
  <c r="M671" i="2"/>
  <c r="M655" i="2"/>
  <c r="M966" i="2"/>
  <c r="M946" i="2"/>
  <c r="M897" i="2"/>
  <c r="M889" i="2"/>
  <c r="M881" i="2"/>
  <c r="M873" i="2"/>
  <c r="M865" i="2"/>
  <c r="M857" i="2"/>
  <c r="M849" i="2"/>
  <c r="M841" i="2"/>
  <c r="M833" i="2"/>
  <c r="M825" i="2"/>
  <c r="M817" i="2"/>
  <c r="M809" i="2"/>
  <c r="M801" i="2"/>
  <c r="M793" i="2"/>
  <c r="M785" i="2"/>
  <c r="M777" i="2"/>
  <c r="M769" i="2"/>
  <c r="M761" i="2"/>
  <c r="M753" i="2"/>
  <c r="M745" i="2"/>
  <c r="M737" i="2"/>
  <c r="M729" i="2"/>
  <c r="M721" i="2"/>
  <c r="M713" i="2"/>
  <c r="M705" i="2"/>
  <c r="M697" i="2"/>
  <c r="M689" i="2"/>
  <c r="M681" i="2"/>
  <c r="M673" i="2"/>
  <c r="M665" i="2"/>
  <c r="M657" i="2"/>
  <c r="M649" i="2"/>
  <c r="M641" i="2"/>
  <c r="M984" i="2"/>
  <c r="M932" i="2"/>
  <c r="M916" i="2"/>
  <c r="M900" i="2"/>
  <c r="M884" i="2"/>
  <c r="M868" i="2"/>
  <c r="M852" i="2"/>
  <c r="M836" i="2"/>
  <c r="M820" i="2"/>
  <c r="M804" i="2"/>
  <c r="M788" i="2"/>
  <c r="M772" i="2"/>
  <c r="M756" i="2"/>
  <c r="M740" i="2"/>
  <c r="M724" i="2"/>
  <c r="M708" i="2"/>
  <c r="M692" i="2"/>
  <c r="M676" i="2"/>
  <c r="M660" i="2"/>
  <c r="M644" i="2"/>
  <c r="M631" i="2"/>
  <c r="M619" i="2"/>
  <c r="M605" i="2"/>
  <c r="M980" i="2"/>
  <c r="M445" i="2"/>
  <c r="M413" i="2"/>
  <c r="M906" i="2"/>
  <c r="M890" i="2"/>
  <c r="M882" i="2"/>
  <c r="M874" i="2"/>
  <c r="M866" i="2"/>
  <c r="M850" i="2"/>
  <c r="M842" i="2"/>
  <c r="M778" i="2"/>
  <c r="M770" i="2"/>
  <c r="M754" i="2"/>
  <c r="M730" i="2"/>
  <c r="M722" i="2"/>
  <c r="M698" i="2"/>
  <c r="M682" i="2"/>
  <c r="M666" i="2"/>
  <c r="M658" i="2"/>
  <c r="M650" i="2"/>
  <c r="N934" i="2"/>
  <c r="M909" i="2"/>
  <c r="M930" i="2"/>
  <c r="M983" i="2"/>
  <c r="N919" i="2"/>
  <c r="M964" i="2"/>
  <c r="N978" i="2"/>
  <c r="N918" i="2"/>
  <c r="N961" i="2"/>
  <c r="M974" i="2"/>
  <c r="N970" i="2"/>
  <c r="M937" i="2"/>
  <c r="M921" i="2"/>
  <c r="M901" i="2"/>
  <c r="N982" i="2"/>
  <c r="N935" i="2"/>
  <c r="N390" i="2"/>
  <c r="M935" i="2"/>
  <c r="N922" i="2"/>
  <c r="N950" i="2"/>
  <c r="N967" i="2"/>
  <c r="M979" i="2"/>
  <c r="M954" i="2"/>
  <c r="M931" i="2"/>
  <c r="M903" i="2"/>
  <c r="M887" i="2"/>
  <c r="M871" i="2"/>
  <c r="M855" i="2"/>
  <c r="M839" i="2"/>
  <c r="M823" i="2"/>
  <c r="M807" i="2"/>
  <c r="M791" i="2"/>
  <c r="M775" i="2"/>
  <c r="M759" i="2"/>
  <c r="M743" i="2"/>
  <c r="M727" i="2"/>
  <c r="M711" i="2"/>
  <c r="M695" i="2"/>
  <c r="M679" i="2"/>
  <c r="M663" i="2"/>
  <c r="M647" i="2"/>
  <c r="M975" i="2"/>
  <c r="M959" i="2"/>
  <c r="M927" i="2"/>
  <c r="M941" i="2"/>
  <c r="M957" i="2"/>
  <c r="M940" i="2"/>
  <c r="M924" i="2"/>
  <c r="M908" i="2"/>
  <c r="M892" i="2"/>
  <c r="M876" i="2"/>
  <c r="M860" i="2"/>
  <c r="M844" i="2"/>
  <c r="M828" i="2"/>
  <c r="M812" i="2"/>
  <c r="M796" i="2"/>
  <c r="M780" i="2"/>
  <c r="M764" i="2"/>
  <c r="M748" i="2"/>
  <c r="M732" i="2"/>
  <c r="M716" i="2"/>
  <c r="M700" i="2"/>
  <c r="M684" i="2"/>
  <c r="M668" i="2"/>
  <c r="M652" i="2"/>
  <c r="M582" i="2"/>
  <c r="M574" i="2"/>
  <c r="M566" i="2"/>
  <c r="M558" i="2"/>
  <c r="M550" i="2"/>
  <c r="M542" i="2"/>
  <c r="M534" i="2"/>
  <c r="M526" i="2"/>
  <c r="M518" i="2"/>
  <c r="M510" i="2"/>
  <c r="M502" i="2"/>
  <c r="M494" i="2"/>
  <c r="M486" i="2"/>
  <c r="M478" i="2"/>
  <c r="M470" i="2"/>
  <c r="M462" i="2"/>
  <c r="M454" i="2"/>
  <c r="M429" i="2"/>
  <c r="M596" i="2"/>
  <c r="M586" i="2"/>
  <c r="M506" i="2"/>
  <c r="M498" i="2"/>
  <c r="M490" i="2"/>
  <c r="M393" i="2"/>
  <c r="M323" i="2"/>
  <c r="M307" i="2"/>
  <c r="M585" i="2"/>
  <c r="M577" i="2"/>
  <c r="M569" i="2"/>
  <c r="M561" i="2"/>
  <c r="M553" i="2"/>
  <c r="M545" i="2"/>
  <c r="M537" i="2"/>
  <c r="M529" i="2"/>
  <c r="M521" i="2"/>
  <c r="M513" i="2"/>
  <c r="M505" i="2"/>
  <c r="M497" i="2"/>
  <c r="M489" i="2"/>
  <c r="M481" i="2"/>
  <c r="M473" i="2"/>
  <c r="M465" i="2"/>
  <c r="M457" i="2"/>
  <c r="N394" i="2"/>
  <c r="M366" i="2"/>
  <c r="M334" i="2"/>
  <c r="M326" i="2"/>
  <c r="M318" i="2"/>
  <c r="M310" i="2"/>
  <c r="M302" i="2"/>
  <c r="M387" i="2"/>
  <c r="N350" i="2"/>
  <c r="M354" i="2"/>
  <c r="M938" i="2"/>
  <c r="M893" i="2"/>
  <c r="M885" i="2"/>
  <c r="M877" i="2"/>
  <c r="M869" i="2"/>
  <c r="M861" i="2"/>
  <c r="M853" i="2"/>
  <c r="M845" i="2"/>
  <c r="M837" i="2"/>
  <c r="M829" i="2"/>
  <c r="M821" i="2"/>
  <c r="M813" i="2"/>
  <c r="M805" i="2"/>
  <c r="M797" i="2"/>
  <c r="M789" i="2"/>
  <c r="M781" i="2"/>
  <c r="M773" i="2"/>
  <c r="M765" i="2"/>
  <c r="M757" i="2"/>
  <c r="M749" i="2"/>
  <c r="M741" i="2"/>
  <c r="M733" i="2"/>
  <c r="N576" i="2"/>
  <c r="N560" i="2"/>
  <c r="N544" i="2"/>
  <c r="N528" i="2"/>
  <c r="N512" i="2"/>
  <c r="N496" i="2"/>
  <c r="N480" i="2"/>
  <c r="N464" i="2"/>
  <c r="N369" i="2"/>
  <c r="N923" i="2"/>
  <c r="N402" i="2"/>
  <c r="N448" i="2"/>
  <c r="N398" i="2"/>
  <c r="M443" i="2"/>
  <c r="N435" i="2"/>
  <c r="N378" i="2"/>
  <c r="M407" i="2"/>
  <c r="N370" i="2"/>
  <c r="N358" i="2"/>
  <c r="N342" i="2"/>
  <c r="M362" i="2"/>
  <c r="M346" i="2"/>
  <c r="M969" i="2"/>
  <c r="M953" i="2"/>
  <c r="N972" i="2"/>
  <c r="N956" i="2"/>
  <c r="N584" i="2"/>
  <c r="N568" i="2"/>
  <c r="N552" i="2"/>
  <c r="N536" i="2"/>
  <c r="N520" i="2"/>
  <c r="N504" i="2"/>
  <c r="N488" i="2"/>
  <c r="N472" i="2"/>
  <c r="N456" i="2"/>
  <c r="N364" i="2"/>
  <c r="M945" i="2"/>
  <c r="M933" i="2"/>
  <c r="M917" i="2"/>
  <c r="M525" i="2"/>
  <c r="N974" i="2"/>
  <c r="N921" i="2"/>
  <c r="M725" i="2"/>
  <c r="M717" i="2"/>
  <c r="M709" i="2"/>
  <c r="M701" i="2"/>
  <c r="M693" i="2"/>
  <c r="M685" i="2"/>
  <c r="M677" i="2"/>
  <c r="M669" i="2"/>
  <c r="M661" i="2"/>
  <c r="M653" i="2"/>
  <c r="M645" i="2"/>
  <c r="N933" i="2"/>
  <c r="N909" i="2"/>
  <c r="M962" i="2"/>
  <c r="M939" i="2"/>
  <c r="M907" i="2"/>
  <c r="M891" i="2"/>
  <c r="M875" i="2"/>
  <c r="M859" i="2"/>
  <c r="M843" i="2"/>
  <c r="M827" i="2"/>
  <c r="M811" i="2"/>
  <c r="M795" i="2"/>
  <c r="N937" i="2"/>
  <c r="N906" i="2"/>
  <c r="N890" i="2"/>
  <c r="N882" i="2"/>
  <c r="N874" i="2"/>
  <c r="N866" i="2"/>
  <c r="N850" i="2"/>
  <c r="N842" i="2"/>
  <c r="N778" i="2"/>
  <c r="N770" i="2"/>
  <c r="N754" i="2"/>
  <c r="N730" i="2"/>
  <c r="N722" i="2"/>
  <c r="N698" i="2"/>
  <c r="N682" i="2"/>
  <c r="N666" i="2"/>
  <c r="N658" i="2"/>
  <c r="N650" i="2"/>
  <c r="M965" i="2"/>
  <c r="N945" i="2"/>
  <c r="M971" i="2"/>
  <c r="M955" i="2"/>
  <c r="M923" i="2"/>
  <c r="M779" i="2"/>
  <c r="M763" i="2"/>
  <c r="M747" i="2"/>
  <c r="M731" i="2"/>
  <c r="M715" i="2"/>
  <c r="M699" i="2"/>
  <c r="M683" i="2"/>
  <c r="M667" i="2"/>
  <c r="M651" i="2"/>
  <c r="M630" i="2"/>
  <c r="N964" i="2"/>
  <c r="M604" i="2"/>
  <c r="M960" i="2"/>
  <c r="M936" i="2"/>
  <c r="M920" i="2"/>
  <c r="M904" i="2"/>
  <c r="M888" i="2"/>
  <c r="M872" i="2"/>
  <c r="M856" i="2"/>
  <c r="M840" i="2"/>
  <c r="M824" i="2"/>
  <c r="M808" i="2"/>
  <c r="M792" i="2"/>
  <c r="M776" i="2"/>
  <c r="M760" i="2"/>
  <c r="M744" i="2"/>
  <c r="M728" i="2"/>
  <c r="M712" i="2"/>
  <c r="M696" i="2"/>
  <c r="M680" i="2"/>
  <c r="M664" i="2"/>
  <c r="M648" i="2"/>
  <c r="M616" i="2"/>
  <c r="M452" i="2"/>
  <c r="M420" i="2"/>
  <c r="M386" i="2"/>
  <c r="M624" i="2"/>
  <c r="M592" i="2"/>
  <c r="N497" i="2"/>
  <c r="M394" i="2"/>
  <c r="N380" i="2"/>
  <c r="M357" i="2"/>
  <c r="M341" i="2"/>
  <c r="N326" i="2"/>
  <c r="M580" i="2"/>
  <c r="M564" i="2"/>
  <c r="M548" i="2"/>
  <c r="M532" i="2"/>
  <c r="M516" i="2"/>
  <c r="M500" i="2"/>
  <c r="M484" i="2"/>
  <c r="M468" i="2"/>
  <c r="M426" i="2"/>
  <c r="M391" i="2"/>
  <c r="M419" i="2"/>
  <c r="M380" i="2"/>
  <c r="M327" i="2"/>
  <c r="M311" i="2"/>
  <c r="M978" i="2"/>
  <c r="M970" i="2"/>
  <c r="M922" i="2"/>
  <c r="N901" i="2"/>
  <c r="N869" i="2"/>
  <c r="N821" i="2"/>
  <c r="N805" i="2"/>
  <c r="N741" i="2"/>
  <c r="N709" i="2"/>
  <c r="N677" i="2"/>
  <c r="M950" i="2"/>
  <c r="N983" i="2"/>
  <c r="M899" i="2"/>
  <c r="M883" i="2"/>
  <c r="M867" i="2"/>
  <c r="M851" i="2"/>
  <c r="M835" i="2"/>
  <c r="M819" i="2"/>
  <c r="M803" i="2"/>
  <c r="M787" i="2"/>
  <c r="M771" i="2"/>
  <c r="M755" i="2"/>
  <c r="M739" i="2"/>
  <c r="M723" i="2"/>
  <c r="M707" i="2"/>
  <c r="M691" i="2"/>
  <c r="M675" i="2"/>
  <c r="M659" i="2"/>
  <c r="M643" i="2"/>
  <c r="M436" i="2"/>
  <c r="M976" i="2"/>
  <c r="M944" i="2"/>
  <c r="M928" i="2"/>
  <c r="M912" i="2"/>
  <c r="M896" i="2"/>
  <c r="M880" i="2"/>
  <c r="M864" i="2"/>
  <c r="M848" i="2"/>
  <c r="M832" i="2"/>
  <c r="M816" i="2"/>
  <c r="M800" i="2"/>
  <c r="M784" i="2"/>
  <c r="M768" i="2"/>
  <c r="M752" i="2"/>
  <c r="M736" i="2"/>
  <c r="M720" i="2"/>
  <c r="M704" i="2"/>
  <c r="M688" i="2"/>
  <c r="M672" i="2"/>
  <c r="M656" i="2"/>
  <c r="N525" i="2"/>
  <c r="M430" i="2"/>
  <c r="M402" i="2"/>
  <c r="M956" i="2"/>
  <c r="M414" i="2"/>
  <c r="M608" i="2"/>
  <c r="N505" i="2"/>
  <c r="N457" i="2"/>
  <c r="M349" i="2"/>
  <c r="M337" i="2"/>
  <c r="M329" i="2"/>
  <c r="M321" i="2"/>
  <c r="M313" i="2"/>
  <c r="M309" i="2"/>
  <c r="M301" i="2"/>
  <c r="M588" i="2"/>
  <c r="M572" i="2"/>
  <c r="M556" i="2"/>
  <c r="M540" i="2"/>
  <c r="M524" i="2"/>
  <c r="M508" i="2"/>
  <c r="M492" i="2"/>
  <c r="M476" i="2"/>
  <c r="M460" i="2"/>
  <c r="N419" i="2"/>
  <c r="M435" i="2"/>
  <c r="M359" i="2"/>
  <c r="M351" i="2"/>
  <c r="M343" i="2"/>
  <c r="M335" i="2"/>
  <c r="M319" i="2"/>
  <c r="M303" i="2"/>
  <c r="N893" i="2"/>
  <c r="N877" i="2"/>
  <c r="N813" i="2"/>
  <c r="N765" i="2"/>
  <c r="N749" i="2"/>
  <c r="N717" i="2"/>
  <c r="N653" i="2"/>
  <c r="M640" i="2"/>
  <c r="N917" i="2"/>
  <c r="N962" i="2"/>
  <c r="M913" i="2"/>
  <c r="M905" i="2"/>
  <c r="N891" i="2"/>
  <c r="N875" i="2"/>
  <c r="N867" i="2"/>
  <c r="N859" i="2"/>
  <c r="N827" i="2"/>
  <c r="N819" i="2"/>
  <c r="N803" i="2"/>
  <c r="N779" i="2"/>
  <c r="N771" i="2"/>
  <c r="N755" i="2"/>
  <c r="N731" i="2"/>
  <c r="N699" i="2"/>
  <c r="N675" i="2"/>
  <c r="N667" i="2"/>
  <c r="N659" i="2"/>
  <c r="M925" i="2"/>
  <c r="N896" i="2"/>
  <c r="N864" i="2"/>
  <c r="N832" i="2"/>
  <c r="N816" i="2"/>
  <c r="N800" i="2"/>
  <c r="N704" i="2"/>
  <c r="M587" i="2"/>
  <c r="M507" i="2"/>
  <c r="M968" i="2"/>
  <c r="N608" i="2"/>
  <c r="M575" i="2"/>
  <c r="M495" i="2"/>
  <c r="N341" i="2"/>
  <c r="N329" i="2"/>
  <c r="M399" i="2"/>
  <c r="N359" i="2"/>
  <c r="N343" i="2"/>
  <c r="N327" i="2"/>
  <c r="M576" i="2"/>
  <c r="M560" i="2"/>
  <c r="M544" i="2"/>
  <c r="M528" i="2"/>
  <c r="M512" i="2"/>
  <c r="M496" i="2"/>
  <c r="M480" i="2"/>
  <c r="M464" i="2"/>
  <c r="M378" i="2"/>
  <c r="M364" i="2"/>
  <c r="M353" i="2"/>
  <c r="N330" i="2"/>
  <c r="M305" i="2"/>
  <c r="M297" i="2"/>
  <c r="N913" i="2"/>
  <c r="N894" i="2"/>
  <c r="N886" i="2"/>
  <c r="N870" i="2"/>
  <c r="N862" i="2"/>
  <c r="N854" i="2"/>
  <c r="N838" i="2"/>
  <c r="N822" i="2"/>
  <c r="N806" i="2"/>
  <c r="N798" i="2"/>
  <c r="N774" i="2"/>
  <c r="N766" i="2"/>
  <c r="N758" i="2"/>
  <c r="N750" i="2"/>
  <c r="N742" i="2"/>
  <c r="N710" i="2"/>
  <c r="N670" i="2"/>
  <c r="N654" i="2"/>
  <c r="N646" i="2"/>
  <c r="N960" i="2"/>
  <c r="N621" i="2"/>
  <c r="N619" i="2"/>
  <c r="N492" i="2"/>
  <c r="M918" i="2"/>
  <c r="N930" i="2"/>
  <c r="N907" i="2"/>
  <c r="M894" i="2"/>
  <c r="M886" i="2"/>
  <c r="M870" i="2"/>
  <c r="M862" i="2"/>
  <c r="M854" i="2"/>
  <c r="M838" i="2"/>
  <c r="M822" i="2"/>
  <c r="M806" i="2"/>
  <c r="M798" i="2"/>
  <c r="M774" i="2"/>
  <c r="M766" i="2"/>
  <c r="M758" i="2"/>
  <c r="M750" i="2"/>
  <c r="M742" i="2"/>
  <c r="M710" i="2"/>
  <c r="M670" i="2"/>
  <c r="M654" i="2"/>
  <c r="M646" i="2"/>
  <c r="M977" i="2"/>
  <c r="M910" i="2"/>
  <c r="N936" i="2"/>
  <c r="N920" i="2"/>
  <c r="N872" i="2"/>
  <c r="N856" i="2"/>
  <c r="N824" i="2"/>
  <c r="N776" i="2"/>
  <c r="N760" i="2"/>
  <c r="N712" i="2"/>
  <c r="N696" i="2"/>
  <c r="N664" i="2"/>
  <c r="N648" i="2"/>
  <c r="M621" i="2"/>
  <c r="M579" i="2"/>
  <c r="M563" i="2"/>
  <c r="M547" i="2"/>
  <c r="M535" i="2"/>
  <c r="M503" i="2"/>
  <c r="M369" i="2"/>
  <c r="M360" i="2"/>
  <c r="M352" i="2"/>
  <c r="M344" i="2"/>
  <c r="N321" i="2"/>
  <c r="N309" i="2"/>
  <c r="M410" i="2"/>
  <c r="N351" i="2"/>
  <c r="M338" i="2"/>
  <c r="M330" i="2"/>
  <c r="M322" i="2"/>
  <c r="M314" i="2"/>
  <c r="M306" i="2"/>
  <c r="M298" i="2"/>
  <c r="M342" i="2"/>
  <c r="M584" i="2"/>
  <c r="M568" i="2"/>
  <c r="M552" i="2"/>
  <c r="M536" i="2"/>
  <c r="M520" i="2"/>
  <c r="M504" i="2"/>
  <c r="M488" i="2"/>
  <c r="M472" i="2"/>
  <c r="M456" i="2"/>
  <c r="M442" i="2"/>
  <c r="M374" i="2"/>
  <c r="M361" i="2"/>
  <c r="M345" i="2"/>
  <c r="M333" i="2"/>
  <c r="M325" i="2"/>
  <c r="M317" i="2"/>
  <c r="N640" i="2"/>
  <c r="N905" i="2"/>
  <c r="N977" i="2"/>
  <c r="N910" i="2"/>
  <c r="N968" i="2"/>
  <c r="N587" i="2"/>
  <c r="N579" i="2"/>
  <c r="N563" i="2"/>
  <c r="N547" i="2"/>
  <c r="N507" i="2"/>
  <c r="N575" i="2"/>
  <c r="N535" i="2"/>
  <c r="N503" i="2"/>
  <c r="N495" i="2"/>
  <c r="N516" i="2"/>
  <c r="G981" i="2"/>
  <c r="H985" i="2"/>
  <c r="N898" i="2"/>
  <c r="N858" i="2"/>
  <c r="N834" i="2"/>
  <c r="N826" i="2"/>
  <c r="N818" i="2"/>
  <c r="N810" i="2"/>
  <c r="N802" i="2"/>
  <c r="N794" i="2"/>
  <c r="N786" i="2"/>
  <c r="N762" i="2"/>
  <c r="N746" i="2"/>
  <c r="N738" i="2"/>
  <c r="N714" i="2"/>
  <c r="N706" i="2"/>
  <c r="N690" i="2"/>
  <c r="N674" i="2"/>
  <c r="N642" i="2"/>
  <c r="N639" i="2"/>
  <c r="N589" i="2"/>
  <c r="N573" i="2"/>
  <c r="N557" i="2"/>
  <c r="N541" i="2"/>
  <c r="N509" i="2"/>
  <c r="N493" i="2"/>
  <c r="N477" i="2"/>
  <c r="N461" i="2"/>
  <c r="N585" i="2"/>
  <c r="N569" i="2"/>
  <c r="N553" i="2"/>
  <c r="N537" i="2"/>
  <c r="N521" i="2"/>
  <c r="N489" i="2"/>
  <c r="N473" i="2"/>
  <c r="N366" i="2"/>
  <c r="N407" i="2"/>
  <c r="N953" i="2"/>
  <c r="N885" i="2"/>
  <c r="N853" i="2"/>
  <c r="N837" i="2"/>
  <c r="N789" i="2"/>
  <c r="N773" i="2"/>
  <c r="N757" i="2"/>
  <c r="N725" i="2"/>
  <c r="N693" i="2"/>
  <c r="N661" i="2"/>
  <c r="N645" i="2"/>
  <c r="M982" i="2"/>
  <c r="M911" i="2"/>
  <c r="N971" i="2"/>
  <c r="M961" i="2"/>
  <c r="N914" i="2"/>
  <c r="M902" i="2"/>
  <c r="M878" i="2"/>
  <c r="M846" i="2"/>
  <c r="M830" i="2"/>
  <c r="M814" i="2"/>
  <c r="M790" i="2"/>
  <c r="M782" i="2"/>
  <c r="M734" i="2"/>
  <c r="M726" i="2"/>
  <c r="M718" i="2"/>
  <c r="M702" i="2"/>
  <c r="M694" i="2"/>
  <c r="M686" i="2"/>
  <c r="M678" i="2"/>
  <c r="M662" i="2"/>
  <c r="N630" i="2"/>
  <c r="N958" i="2"/>
  <c r="N926" i="2"/>
  <c r="N904" i="2"/>
  <c r="N888" i="2"/>
  <c r="N840" i="2"/>
  <c r="N808" i="2"/>
  <c r="N792" i="2"/>
  <c r="N744" i="2"/>
  <c r="N728" i="2"/>
  <c r="N680" i="2"/>
  <c r="N604" i="2"/>
  <c r="N436" i="2"/>
  <c r="M988" i="2"/>
  <c r="M600" i="2"/>
  <c r="M531" i="2"/>
  <c r="M515" i="2"/>
  <c r="M499" i="2"/>
  <c r="M483" i="2"/>
  <c r="M467" i="2"/>
  <c r="N452" i="2"/>
  <c r="N420" i="2"/>
  <c r="M390" i="2"/>
  <c r="M952" i="2"/>
  <c r="M613" i="2"/>
  <c r="M597" i="2"/>
  <c r="M583" i="2"/>
  <c r="M567" i="2"/>
  <c r="M551" i="2"/>
  <c r="M519" i="2"/>
  <c r="M487" i="2"/>
  <c r="M471" i="2"/>
  <c r="M455" i="2"/>
  <c r="M379" i="2"/>
  <c r="N354" i="2"/>
  <c r="M350" i="2"/>
  <c r="N424" i="2"/>
  <c r="N338" i="2"/>
  <c r="N322" i="2"/>
  <c r="N314" i="2"/>
  <c r="M949" i="2"/>
  <c r="M914" i="2"/>
  <c r="M626" i="2"/>
  <c r="M434" i="2"/>
  <c r="M603" i="2"/>
  <c r="M589" i="2"/>
  <c r="M581" i="2"/>
  <c r="M573" i="2"/>
  <c r="M565" i="2"/>
  <c r="M557" i="2"/>
  <c r="M549" i="2"/>
  <c r="M541" i="2"/>
  <c r="M533" i="2"/>
  <c r="M517" i="2"/>
  <c r="M509" i="2"/>
  <c r="M501" i="2"/>
  <c r="M493" i="2"/>
  <c r="M485" i="2"/>
  <c r="M477" i="2"/>
  <c r="M469" i="2"/>
  <c r="M461" i="2"/>
  <c r="M639" i="2"/>
  <c r="M440" i="2"/>
  <c r="M408" i="2"/>
  <c r="M356" i="2"/>
  <c r="M348" i="2"/>
  <c r="M340" i="2"/>
  <c r="M295" i="2"/>
  <c r="M987" i="2"/>
  <c r="M967" i="2"/>
  <c r="N951" i="2"/>
  <c r="N421" i="2"/>
  <c r="N337" i="2"/>
  <c r="N440" i="2"/>
  <c r="N296" i="2"/>
  <c r="N902" i="2"/>
  <c r="N878" i="2"/>
  <c r="N846" i="2"/>
  <c r="N830" i="2"/>
  <c r="N814" i="2"/>
  <c r="N790" i="2"/>
  <c r="N782" i="2"/>
  <c r="N734" i="2"/>
  <c r="N726" i="2"/>
  <c r="N718" i="2"/>
  <c r="N702" i="2"/>
  <c r="N694" i="2"/>
  <c r="N686" i="2"/>
  <c r="N678" i="2"/>
  <c r="N662" i="2"/>
  <c r="N987" i="2"/>
  <c r="N976" i="2"/>
  <c r="N620" i="2"/>
  <c r="N434" i="2"/>
  <c r="N600" i="2"/>
  <c r="N418" i="2"/>
  <c r="N414" i="2"/>
  <c r="M627" i="2"/>
  <c r="M611" i="2"/>
  <c r="N603" i="2"/>
  <c r="M595" i="2"/>
  <c r="M578" i="2"/>
  <c r="M570" i="2"/>
  <c r="M562" i="2"/>
  <c r="M554" i="2"/>
  <c r="M546" i="2"/>
  <c r="M538" i="2"/>
  <c r="M530" i="2"/>
  <c r="M522" i="2"/>
  <c r="M514" i="2"/>
  <c r="M482" i="2"/>
  <c r="M474" i="2"/>
  <c r="M466" i="2"/>
  <c r="M458" i="2"/>
  <c r="N588" i="2"/>
  <c r="N572" i="2"/>
  <c r="N556" i="2"/>
  <c r="N540" i="2"/>
  <c r="N524" i="2"/>
  <c r="N508" i="2"/>
  <c r="N476" i="2"/>
  <c r="N460" i="2"/>
  <c r="M375" i="2"/>
  <c r="M355" i="2"/>
  <c r="M347" i="2"/>
  <c r="M339" i="2"/>
  <c r="M370" i="2"/>
  <c r="H948" i="2"/>
  <c r="G985" i="2"/>
  <c r="H989" i="2"/>
  <c r="N949" i="2"/>
  <c r="N581" i="2"/>
  <c r="N565" i="2"/>
  <c r="N549" i="2"/>
  <c r="N533" i="2"/>
  <c r="N517" i="2"/>
  <c r="N501" i="2"/>
  <c r="N485" i="2"/>
  <c r="N469" i="2"/>
  <c r="N612" i="2"/>
  <c r="N577" i="2"/>
  <c r="N561" i="2"/>
  <c r="N545" i="2"/>
  <c r="N529" i="2"/>
  <c r="N513" i="2"/>
  <c r="N481" i="2"/>
  <c r="N465" i="2"/>
  <c r="N334" i="2"/>
  <c r="N318" i="2"/>
  <c r="N310" i="2"/>
  <c r="N302" i="2"/>
  <c r="N451" i="2"/>
  <c r="N356" i="2"/>
  <c r="N348" i="2"/>
  <c r="N340" i="2"/>
  <c r="N969" i="2"/>
  <c r="M915" i="2"/>
  <c r="N861" i="2"/>
  <c r="N845" i="2"/>
  <c r="N829" i="2"/>
  <c r="N797" i="2"/>
  <c r="N781" i="2"/>
  <c r="N733" i="2"/>
  <c r="N701" i="2"/>
  <c r="N685" i="2"/>
  <c r="N669" i="2"/>
  <c r="N965" i="2"/>
  <c r="M934" i="2"/>
  <c r="M634" i="2"/>
  <c r="N942" i="2"/>
  <c r="M929" i="2"/>
  <c r="N899" i="2"/>
  <c r="N883" i="2"/>
  <c r="N851" i="2"/>
  <c r="N843" i="2"/>
  <c r="N835" i="2"/>
  <c r="N811" i="2"/>
  <c r="N795" i="2"/>
  <c r="N787" i="2"/>
  <c r="N763" i="2"/>
  <c r="N747" i="2"/>
  <c r="N739" i="2"/>
  <c r="N723" i="2"/>
  <c r="N715" i="2"/>
  <c r="N707" i="2"/>
  <c r="N691" i="2"/>
  <c r="N683" i="2"/>
  <c r="N651" i="2"/>
  <c r="N643" i="2"/>
  <c r="N626" i="2"/>
  <c r="M973" i="2"/>
  <c r="N947" i="2"/>
  <c r="N944" i="2"/>
  <c r="N928" i="2"/>
  <c r="N912" i="2"/>
  <c r="N880" i="2"/>
  <c r="N848" i="2"/>
  <c r="N784" i="2"/>
  <c r="N768" i="2"/>
  <c r="N752" i="2"/>
  <c r="N736" i="2"/>
  <c r="N720" i="2"/>
  <c r="N688" i="2"/>
  <c r="N672" i="2"/>
  <c r="N656" i="2"/>
  <c r="M620" i="2"/>
  <c r="M438" i="2"/>
  <c r="N988" i="2"/>
  <c r="M972" i="2"/>
  <c r="N616" i="2"/>
  <c r="M571" i="2"/>
  <c r="M555" i="2"/>
  <c r="M539" i="2"/>
  <c r="M523" i="2"/>
  <c r="M491" i="2"/>
  <c r="M475" i="2"/>
  <c r="M459" i="2"/>
  <c r="M432" i="2"/>
  <c r="M422" i="2"/>
  <c r="M406" i="2"/>
  <c r="M448" i="2"/>
  <c r="M416" i="2"/>
  <c r="N624" i="2"/>
  <c r="N592" i="2"/>
  <c r="M559" i="2"/>
  <c r="M543" i="2"/>
  <c r="M527" i="2"/>
  <c r="M511" i="2"/>
  <c r="M479" i="2"/>
  <c r="M463" i="2"/>
  <c r="M398" i="2"/>
  <c r="N362" i="2"/>
  <c r="N346" i="2"/>
  <c r="M358" i="2"/>
  <c r="N628" i="2"/>
  <c r="N387" i="2"/>
  <c r="N306" i="2"/>
  <c r="N298" i="2"/>
  <c r="N295" i="2"/>
  <c r="M898" i="2"/>
  <c r="M858" i="2"/>
  <c r="M834" i="2"/>
  <c r="M826" i="2"/>
  <c r="M818" i="2"/>
  <c r="M810" i="2"/>
  <c r="M802" i="2"/>
  <c r="M794" i="2"/>
  <c r="M786" i="2"/>
  <c r="M762" i="2"/>
  <c r="M746" i="2"/>
  <c r="M738" i="2"/>
  <c r="M714" i="2"/>
  <c r="M706" i="2"/>
  <c r="M690" i="2"/>
  <c r="M674" i="2"/>
  <c r="M642" i="2"/>
  <c r="M942" i="2"/>
  <c r="M951" i="2"/>
  <c r="M926" i="2"/>
  <c r="G948" i="2"/>
  <c r="H981" i="2"/>
  <c r="M418" i="2"/>
  <c r="G989" i="2"/>
  <c r="M612" i="2"/>
  <c r="M451" i="2"/>
  <c r="M424" i="2"/>
  <c r="M377" i="2"/>
  <c r="M958" i="2"/>
  <c r="M947" i="2"/>
  <c r="M919" i="2"/>
  <c r="N357" i="2"/>
  <c r="N349" i="2"/>
  <c r="N313" i="2"/>
  <c r="N301" i="2"/>
  <c r="N335" i="2"/>
  <c r="N319" i="2"/>
  <c r="N311" i="2"/>
  <c r="N303" i="2"/>
  <c r="N915" i="2"/>
  <c r="N911" i="2"/>
  <c r="N939" i="2"/>
  <c r="N952" i="2"/>
  <c r="N438" i="2"/>
  <c r="N571" i="2"/>
  <c r="N555" i="2"/>
  <c r="N539" i="2"/>
  <c r="N531" i="2"/>
  <c r="N523" i="2"/>
  <c r="N515" i="2"/>
  <c r="N499" i="2"/>
  <c r="N491" i="2"/>
  <c r="N483" i="2"/>
  <c r="N475" i="2"/>
  <c r="N467" i="2"/>
  <c r="N459" i="2"/>
  <c r="N430" i="2"/>
  <c r="N422" i="2"/>
  <c r="N613" i="2"/>
  <c r="N597" i="2"/>
  <c r="N583" i="2"/>
  <c r="N567" i="2"/>
  <c r="N559" i="2"/>
  <c r="N551" i="2"/>
  <c r="N543" i="2"/>
  <c r="N527" i="2"/>
  <c r="N519" i="2"/>
  <c r="N511" i="2"/>
  <c r="N487" i="2"/>
  <c r="N479" i="2"/>
  <c r="N471" i="2"/>
  <c r="N463" i="2"/>
  <c r="N455" i="2"/>
  <c r="N580" i="2"/>
  <c r="N564" i="2"/>
  <c r="N548" i="2"/>
  <c r="N532" i="2"/>
  <c r="N500" i="2"/>
  <c r="N484" i="2"/>
  <c r="N468" i="2"/>
  <c r="M401" i="2"/>
  <c r="M382" i="2"/>
  <c r="N360" i="2"/>
  <c r="N352" i="2"/>
  <c r="N344" i="2"/>
  <c r="M331" i="2"/>
  <c r="M315" i="2"/>
  <c r="M299" i="2"/>
  <c r="N379" i="2"/>
  <c r="N363" i="2"/>
  <c r="N4" i="2" l="1"/>
  <c r="S9" i="1"/>
  <c r="S10" i="1"/>
  <c r="N7" i="2" s="1"/>
  <c r="S8" i="1"/>
  <c r="R9" i="1"/>
  <c r="R8" i="1"/>
  <c r="R10" i="1"/>
  <c r="M7" i="2" s="1"/>
  <c r="M4" i="2"/>
  <c r="S6" i="1"/>
  <c r="N3" i="2" s="1"/>
  <c r="M336" i="2"/>
  <c r="M320" i="2"/>
  <c r="M427" i="2"/>
  <c r="M312" i="2"/>
  <c r="M300" i="2"/>
  <c r="N427" i="2"/>
  <c r="M308" i="2"/>
  <c r="M304" i="2"/>
  <c r="M328" i="2"/>
  <c r="M385" i="2"/>
  <c r="M389" i="2"/>
  <c r="M405" i="2"/>
  <c r="M636" i="2"/>
  <c r="M594" i="2"/>
  <c r="M412" i="2"/>
  <c r="M601" i="2"/>
  <c r="M633" i="2"/>
  <c r="N395" i="2"/>
  <c r="M383" i="2"/>
  <c r="M623" i="2"/>
  <c r="N397" i="2"/>
  <c r="N446" i="2"/>
  <c r="N423" i="2"/>
  <c r="N981" i="2"/>
  <c r="N635" i="2"/>
  <c r="M395" i="2"/>
  <c r="M610" i="2"/>
  <c r="N629" i="2"/>
  <c r="M411" i="2"/>
  <c r="M447" i="2"/>
  <c r="M985" i="2"/>
  <c r="M296" i="2"/>
  <c r="M397" i="2"/>
  <c r="M446" i="2"/>
  <c r="M629" i="2"/>
  <c r="M415" i="2"/>
  <c r="M381" i="2"/>
  <c r="M599" i="2"/>
  <c r="M423" i="2"/>
  <c r="M635" i="2"/>
  <c r="M981" i="2"/>
  <c r="N428" i="2"/>
  <c r="N607" i="2"/>
  <c r="N389" i="2"/>
  <c r="N405" i="2"/>
  <c r="N594" i="2"/>
  <c r="N412" i="2"/>
  <c r="N601" i="2"/>
  <c r="N636" i="2"/>
  <c r="N403" i="2"/>
  <c r="N638" i="2"/>
  <c r="N439" i="2"/>
  <c r="N625" i="2"/>
  <c r="M602" i="2"/>
  <c r="M437" i="2"/>
  <c r="M615" i="2"/>
  <c r="M591" i="2"/>
  <c r="M431" i="2"/>
  <c r="M632" i="2"/>
  <c r="M392" i="2"/>
  <c r="M948" i="2"/>
  <c r="M618" i="2"/>
  <c r="N633" i="2"/>
  <c r="M450" i="2"/>
  <c r="M609" i="2"/>
  <c r="M593" i="2"/>
  <c r="M400" i="2"/>
  <c r="M367" i="2"/>
  <c r="M425" i="2"/>
  <c r="N593" i="2"/>
  <c r="M453" i="2"/>
  <c r="M607" i="2"/>
  <c r="N609" i="2"/>
  <c r="N367" i="2"/>
  <c r="N392" i="2"/>
  <c r="N411" i="2"/>
  <c r="N618" i="2"/>
  <c r="N453" i="2"/>
  <c r="N632" i="2"/>
  <c r="N431" i="2"/>
  <c r="N425" i="2"/>
  <c r="N985" i="2"/>
  <c r="N948" i="2"/>
  <c r="N365" i="2"/>
  <c r="N409" i="2"/>
  <c r="N371" i="2"/>
  <c r="N599" i="2"/>
  <c r="M396" i="2"/>
  <c r="M989" i="2"/>
  <c r="N602" i="2"/>
  <c r="M403" i="2"/>
  <c r="M365" i="2"/>
  <c r="M638" i="2"/>
  <c r="N388" i="2"/>
  <c r="N404" i="2"/>
  <c r="M444" i="2"/>
  <c r="M625" i="2"/>
  <c r="N450" i="2"/>
  <c r="M439" i="2"/>
  <c r="N384" i="2"/>
  <c r="N615" i="2"/>
  <c r="N591" i="2"/>
  <c r="N989" i="2"/>
  <c r="N437" i="2"/>
  <c r="N610" i="2"/>
  <c r="M371" i="2"/>
  <c r="M421" i="2"/>
  <c r="M617" i="2"/>
  <c r="N383" i="2"/>
  <c r="N447" i="2"/>
  <c r="N400" i="2"/>
  <c r="N415" i="2"/>
  <c r="N381" i="2"/>
  <c r="N617" i="2"/>
  <c r="M384" i="2"/>
  <c r="M388" i="2"/>
  <c r="M404" i="2"/>
  <c r="M628" i="2"/>
  <c r="N396" i="2"/>
  <c r="M409" i="2"/>
  <c r="N623" i="2"/>
  <c r="N444" i="2"/>
  <c r="N385" i="2"/>
  <c r="M428" i="2"/>
  <c r="R6" i="1"/>
  <c r="M3" i="2" s="1"/>
  <c r="N6" i="2" l="1"/>
  <c r="N5" i="2"/>
  <c r="M5" i="2"/>
  <c r="M6" i="2"/>
</calcChain>
</file>

<file path=xl/sharedStrings.xml><?xml version="1.0" encoding="utf-8"?>
<sst xmlns="http://schemas.openxmlformats.org/spreadsheetml/2006/main" count="9079" uniqueCount="506">
  <si>
    <t>soubassement MOULURE siena 2 faces  28MM</t>
  </si>
  <si>
    <t>soubassement mouluré blanc 28MM</t>
  </si>
  <si>
    <t>soubassement MOUL ALU LAQ 1 FACE POUR PE 28MM</t>
  </si>
  <si>
    <t>soubassement mouluré ALU LAQUE 1 FACES 28 MM</t>
  </si>
  <si>
    <t>soubassement MOUL7016 1 FACE POUR PE 28MM</t>
  </si>
  <si>
    <t>soubassement CONGES  blanc POUR PE 28MM</t>
  </si>
  <si>
    <t>CIMAISE ALU LAQUEE 1 FACE</t>
  </si>
  <si>
    <t>N° de commande</t>
  </si>
  <si>
    <t>Position</t>
  </si>
  <si>
    <t>Quantité</t>
  </si>
  <si>
    <t>Extension</t>
  </si>
  <si>
    <t>Dénomination</t>
  </si>
  <si>
    <t>Forme de panneau</t>
  </si>
  <si>
    <t>Couleur int</t>
  </si>
  <si>
    <t>Couleur ext</t>
  </si>
  <si>
    <t>Epaisseur (mm)</t>
  </si>
  <si>
    <t>CIMAISE 216 MOULURE 28 1 FACE</t>
  </si>
  <si>
    <t>Type 3</t>
  </si>
  <si>
    <t>PVC blanc</t>
  </si>
  <si>
    <t>Plaxé 7016 / 7016 05-167</t>
  </si>
  <si>
    <t>CIMAISE 216 MOULURE 28 2 FACE</t>
  </si>
  <si>
    <t>CIMAISE BLANC MOULURE 24</t>
  </si>
  <si>
    <t>CIMAISE BLANC MOULURE 28</t>
  </si>
  <si>
    <t>CIMAISE CHENE DORE MOULURE 28 1 FACE</t>
  </si>
  <si>
    <t>Plaxé chêne doré / 2178 001-167</t>
  </si>
  <si>
    <t>CIMAISE CHENE DORE MOULURE 28 2 FACES</t>
  </si>
  <si>
    <t>CIMAISE CHENE IRLANDAIS MOULURE 28 1 FACE</t>
  </si>
  <si>
    <t>Plaxé chêne irlandais / 3211 005-148</t>
  </si>
  <si>
    <t>CIMAISE CHENE IRLANDAIS MOULURE 28 2 FACES</t>
  </si>
  <si>
    <t>Type 2</t>
  </si>
  <si>
    <t>ALU blanc</t>
  </si>
  <si>
    <t>CIMAISE ALU LAQUEE 2 FACES</t>
  </si>
  <si>
    <t>CIMAISE ALU LAQUEE 1 FACE/EXCLUSIVE INT</t>
  </si>
  <si>
    <t>CIMAISE SCIENA MOULURE 28 1 FACE</t>
  </si>
  <si>
    <t>Plaxé siéna / PR49233</t>
  </si>
  <si>
    <t>CIMAISE SIENA MOULURE 28 2 FACES</t>
  </si>
  <si>
    <t>Type 4</t>
  </si>
  <si>
    <t>CIMAISE ALU CHENE DORE / LAQUE 1 FACE</t>
  </si>
  <si>
    <t>CIMAISE ALU BLANC CERUSE / LAQUE 1 FACE</t>
  </si>
  <si>
    <t>Plaxé blanc cérusé / F4565057</t>
  </si>
  <si>
    <t>CIMAISE ALU TECK DE BRUNEO / LAQUE 1 FACE</t>
  </si>
  <si>
    <t>Plaxé teck de brunéo / 9.32.41002</t>
  </si>
  <si>
    <t>CIMAISE ALU CHENE IRLANDAIS / LAQUE 1 FACE</t>
  </si>
  <si>
    <t>CIMAISE ALU TECK DE JAVA / LAQUE 1 FACE</t>
  </si>
  <si>
    <t>Plaxé teck de java / F4563081</t>
  </si>
  <si>
    <t>CIMAISE ALU SIENA / LAQUE 1 FACE</t>
  </si>
  <si>
    <t>CIMAISE BLANC VEINE OWX MOULURE 28 2 FACES</t>
  </si>
  <si>
    <t>Plaxé blanc veiné / 02.20.91.000001</t>
  </si>
  <si>
    <t>soubassement CONGES 7016 2 FACES POUR PE 28MM</t>
  </si>
  <si>
    <t>soubassement CONGES CHEN DORE 2 FACES POUR PE 28MM</t>
  </si>
  <si>
    <t>soubassement CONGES CH IRLAND 2 FACES POUR PE 28MM</t>
  </si>
  <si>
    <t>soubassement CONGES SIENA 2  FACES POUR PE 28MM</t>
  </si>
  <si>
    <t>soubassement CONGES 7016 1 FACE POUR PE 28MM</t>
  </si>
  <si>
    <t>soubassement  CONGES CHEN DORE 1 FACE POUR PE 28MM</t>
  </si>
  <si>
    <t>soubassement CONGES CH IRLAND 1 FACE POUR PE 28MM</t>
  </si>
  <si>
    <t>soubassement CONGES SIENA 1 FACE POUR PE 28MM</t>
  </si>
  <si>
    <t>soubassement CONGES IVOIRE 607 POUR PE 28MM</t>
  </si>
  <si>
    <t>Laqué sur PVC RAL9001</t>
  </si>
  <si>
    <t>soubassement MOULURE  blanc POUR PE 28MM</t>
  </si>
  <si>
    <t>Type 1</t>
  </si>
  <si>
    <t>soubassement MOUL7016 2 FACES POUR PE 28MM</t>
  </si>
  <si>
    <t>soubassement MOUL CHENE DORE 2 FACES POUR PE 28MM</t>
  </si>
  <si>
    <t>soubassement MOUL CH IRLANDAI 2 FACES POUR PE 28MM</t>
  </si>
  <si>
    <t>soubassement MOUL SIENA 2  FACES POUR PE 28MM</t>
  </si>
  <si>
    <t>soubassement MOUL CHENE DORE 1 FACE POUR PE 28MM</t>
  </si>
  <si>
    <t>soubassement MOUL CH IRLANDAIS 1 FACE POUR PE 28MM</t>
  </si>
  <si>
    <t>soubassement MOUL SIENA 1 FACE POUR PE 28MM</t>
  </si>
  <si>
    <t>soubassement MOUL IVOIRE POUR PE 28MM</t>
  </si>
  <si>
    <t>Type 1 A</t>
  </si>
  <si>
    <t>soubassement MOUL ALU LAQ 2 FACES POUR PE 28MM</t>
  </si>
  <si>
    <t>soubassement MOUL ALULAQ1F/EXCLUSIVE  POUR PE 28MM</t>
  </si>
  <si>
    <t>soubassement MOUL ALU 016 LAQ2 FACES POUR PE 28MM</t>
  </si>
  <si>
    <t>soubassement MOUL ALU 232 LAQ1 FACE POUR PE 28MM</t>
  </si>
  <si>
    <t>soubassement MOUL ALU BLCER LAQ 1FACE POUR PE 28MM</t>
  </si>
  <si>
    <t>soubassement MOUL ALU TECKBRU LAQ1FACE POUR PE28MM</t>
  </si>
  <si>
    <t>soubassement MOUL ALU TECKJAV LAQ1FACE POUR PE28MM</t>
  </si>
  <si>
    <t>soubassement MOULURE PLAXE 7016 2 faces  28MM</t>
  </si>
  <si>
    <t>soubassement MOULURE PLAXE 7016 2 FACES/LQ 1F 28MM</t>
  </si>
  <si>
    <t>soubassement CHENE DORE MOULURE 2 FACES 24MM</t>
  </si>
  <si>
    <t>soubassement CHENE DORE MOULURE 28</t>
  </si>
  <si>
    <t>soubassement MOULURE CHENE DORE 2 FACES/LQ 1F 28MM</t>
  </si>
  <si>
    <t>soubassement MOULURE CHENE DORE 2 FACES/LQ 2F 28MM</t>
  </si>
  <si>
    <t>soubassement MOULURE CHENE IRLANDAIS 2 faces  28MM</t>
  </si>
  <si>
    <t>soubassement MOULURE PLAXE 7016 1 face  28MM</t>
  </si>
  <si>
    <t>soubassement MOULURE ALU PLAXE 7016 1F/LQ 1F 28MM</t>
  </si>
  <si>
    <t>soubassement CHENE DORE MOULURE 1 FACE 24MM</t>
  </si>
  <si>
    <t>soubassement CHENE DORE MOULURE 28 1 FACE</t>
  </si>
  <si>
    <t>soubassement MOULURE ALU CHENE DORE 1F/LQ 1F 28MM</t>
  </si>
  <si>
    <t>soubassement MOULURE CHENE IRLANDAIS 1 face  28MM</t>
  </si>
  <si>
    <t>soubassement MOULURE ALU CHENE IRLAN 1F/LQ 1F 28MM</t>
  </si>
  <si>
    <t>soubassement SCIENA MOULURE 28 1 FACE</t>
  </si>
  <si>
    <t>soubassement MOULURE IVOIRE 28 MM</t>
  </si>
  <si>
    <t>soubassement mouluré blanc 24MM</t>
  </si>
  <si>
    <t>soubassement moul ALU LAQUE 1 FACES 24MM</t>
  </si>
  <si>
    <t>soubassement mouluré ALU LAQUE 2 FACES 24MM</t>
  </si>
  <si>
    <t>soubassement mouluré ALU LAQUE 2 FACES 28 MM</t>
  </si>
  <si>
    <t>soubassement MOUL ALU PLAXE BLANC CERUSE 1F  28MM</t>
  </si>
  <si>
    <t>soubassement MOUL ALU PLAXE TECK DE BRUNEO 1F 28MM</t>
  </si>
  <si>
    <t>soubassement MOUL ALU PLAXE TECK DE JAVA 1F  28MM</t>
  </si>
  <si>
    <t>soubassement MOUL BLANC VEINE 2FACES POUR PE 28MM</t>
  </si>
  <si>
    <t>Type</t>
  </si>
  <si>
    <t>Couleur intérieure</t>
  </si>
  <si>
    <t>Couleur Extérieure</t>
  </si>
  <si>
    <t>Recalcul dénomination</t>
  </si>
  <si>
    <t>Epaisseur</t>
  </si>
  <si>
    <t>Hauteur calcul 1</t>
  </si>
  <si>
    <t>Hauteur</t>
  </si>
  <si>
    <t>Largeur</t>
  </si>
  <si>
    <t>Laquage ext</t>
  </si>
  <si>
    <t>Laquage int</t>
  </si>
  <si>
    <t>Laquage</t>
  </si>
  <si>
    <t>Laquage face alu</t>
  </si>
  <si>
    <t>RAL intèrieur</t>
  </si>
  <si>
    <t>RAL extèrieur</t>
  </si>
  <si>
    <t>N° Cmde (Commande)</t>
  </si>
  <si>
    <t>Extension (Commande)</t>
  </si>
  <si>
    <t>Date théorique de livraison (Champs libres)</t>
  </si>
  <si>
    <t>jour de liv (Champs libres)</t>
  </si>
  <si>
    <t>Etat de production (Commande)</t>
  </si>
  <si>
    <t>0P0</t>
  </si>
  <si>
    <t>Libre</t>
  </si>
  <si>
    <t>HP0</t>
  </si>
  <si>
    <t>H00</t>
  </si>
  <si>
    <t>0D0</t>
  </si>
  <si>
    <t>V6</t>
  </si>
  <si>
    <t>N00</t>
  </si>
  <si>
    <t>NV0</t>
  </si>
  <si>
    <t>V1</t>
  </si>
  <si>
    <t>HPL</t>
  </si>
  <si>
    <t>HP1</t>
  </si>
  <si>
    <t>Y00</t>
  </si>
  <si>
    <t>U00</t>
  </si>
  <si>
    <t>Y01</t>
  </si>
  <si>
    <t>N0L</t>
  </si>
  <si>
    <t>Modifier</t>
  </si>
  <si>
    <t>Z01</t>
  </si>
  <si>
    <t>UP0</t>
  </si>
  <si>
    <t>NF0</t>
  </si>
  <si>
    <t>HP2</t>
  </si>
  <si>
    <t>V3</t>
  </si>
  <si>
    <t>ZP3</t>
  </si>
  <si>
    <t>ZP1</t>
  </si>
  <si>
    <t>V2</t>
  </si>
  <si>
    <t>UPL</t>
  </si>
  <si>
    <t>Y02</t>
  </si>
  <si>
    <t>H01</t>
  </si>
  <si>
    <t>T01</t>
  </si>
  <si>
    <t>C00</t>
  </si>
  <si>
    <t>CP0</t>
  </si>
  <si>
    <t>U02</t>
  </si>
  <si>
    <t>U01</t>
  </si>
  <si>
    <t>ZP2</t>
  </si>
  <si>
    <t>ZO3</t>
  </si>
  <si>
    <t>Z03</t>
  </si>
  <si>
    <t>NM0</t>
  </si>
  <si>
    <t>V4</t>
  </si>
  <si>
    <t>H02</t>
  </si>
  <si>
    <t>Y0D</t>
  </si>
  <si>
    <t>Z00</t>
  </si>
  <si>
    <t>T00</t>
  </si>
  <si>
    <t>UP2</t>
  </si>
  <si>
    <t>X01</t>
  </si>
  <si>
    <t>NML</t>
  </si>
  <si>
    <t>-</t>
  </si>
  <si>
    <t>UP1</t>
  </si>
  <si>
    <t>NQ0</t>
  </si>
  <si>
    <t>X02</t>
  </si>
  <si>
    <t>U03</t>
  </si>
  <si>
    <t>ZO2</t>
  </si>
  <si>
    <t>NS0</t>
  </si>
  <si>
    <t>T02</t>
  </si>
  <si>
    <t>NS1</t>
  </si>
  <si>
    <t>PFI</t>
  </si>
  <si>
    <t>Y0L</t>
  </si>
  <si>
    <t>0S0</t>
  </si>
  <si>
    <t>DES</t>
  </si>
  <si>
    <t>ALY3T</t>
  </si>
  <si>
    <t>Etat de commande (Commande)</t>
  </si>
  <si>
    <t>BLOQ pre-serie</t>
  </si>
  <si>
    <t>BLOQ VR</t>
  </si>
  <si>
    <t>lancer en prod</t>
  </si>
  <si>
    <t>XP0</t>
  </si>
  <si>
    <t>ZPL</t>
  </si>
  <si>
    <t>cde VR</t>
  </si>
  <si>
    <t>TP0</t>
  </si>
  <si>
    <t>NI0</t>
  </si>
  <si>
    <t>NJ1</t>
  </si>
  <si>
    <t>pfi</t>
  </si>
  <si>
    <t>pré planif</t>
  </si>
  <si>
    <t>cde Planifiée</t>
  </si>
  <si>
    <t>cde Déplanifiée</t>
  </si>
  <si>
    <t>confirm cde</t>
  </si>
  <si>
    <t>BLOQ CC</t>
  </si>
  <si>
    <t>devis</t>
  </si>
  <si>
    <t>pré-série</t>
  </si>
  <si>
    <t>Date réelle de chargement commande</t>
  </si>
  <si>
    <t>Date :</t>
  </si>
  <si>
    <t>Semaine :</t>
  </si>
  <si>
    <t>Date réelle de livraison</t>
  </si>
  <si>
    <t>Information à noter sur étiquette</t>
  </si>
  <si>
    <t>Secteur ligne vitrage alu</t>
  </si>
  <si>
    <t>Secteur ligne vitrage textural</t>
  </si>
  <si>
    <t>soubassement MOULURE ALU SIENA 1F/LQ 1F 28MM</t>
  </si>
  <si>
    <t>Soubassement mouluré PVC et plaxé</t>
  </si>
  <si>
    <t>Soubassement mouluré Aluminium</t>
  </si>
  <si>
    <t>Cimaise aluminium</t>
  </si>
  <si>
    <t>Cimaise PVC et plaxé</t>
  </si>
  <si>
    <t>Congé PVC et plaxé</t>
  </si>
  <si>
    <t>NSB</t>
  </si>
  <si>
    <t>TP1</t>
  </si>
  <si>
    <t>soubassement MOULURE ALU IVOIRE/LQ 1F 28MM</t>
  </si>
  <si>
    <t>Type plate bande</t>
  </si>
  <si>
    <t>Code Proferm</t>
  </si>
  <si>
    <t>Code Volma</t>
  </si>
  <si>
    <t>Correspondance</t>
  </si>
  <si>
    <t>Correspondance plate bande</t>
  </si>
  <si>
    <t>Jour de chargement</t>
  </si>
  <si>
    <t>Fichier commande plate bande edi :</t>
  </si>
  <si>
    <t>Secteur ligne vitrage pe</t>
  </si>
  <si>
    <t>Secteur negoce / sav</t>
  </si>
  <si>
    <t>Nombre de jours pour réception plate bande avant date réelle livraison commande</t>
  </si>
  <si>
    <t>Nombre de jours pour appro ligne plate bande avant date réelle livraison commande</t>
  </si>
  <si>
    <t>BLOQ lanc prod</t>
  </si>
  <si>
    <t>Y03</t>
  </si>
  <si>
    <t>BLOQ SOUB</t>
  </si>
  <si>
    <t>X00</t>
  </si>
  <si>
    <t>Z0E</t>
  </si>
  <si>
    <t xml:space="preserve"> </t>
  </si>
  <si>
    <t>V0</t>
  </si>
  <si>
    <t>HC0</t>
  </si>
  <si>
    <t>RELI</t>
  </si>
  <si>
    <t>soubassement PLAT PLAXE BLANC VEINE 2 F 28MM</t>
  </si>
  <si>
    <t>soubassement PLAT BLANC VEINE 2FACES POUR PE 28MM</t>
  </si>
  <si>
    <t>XP2</t>
  </si>
  <si>
    <t>XP1</t>
  </si>
  <si>
    <t>ACCORD COMPTA</t>
  </si>
  <si>
    <t>soubassement MOULURE PLAXE BLANC VEINE 2 F 28MM</t>
  </si>
  <si>
    <t>00L</t>
  </si>
  <si>
    <t>0P1</t>
  </si>
  <si>
    <t>Type 5</t>
  </si>
  <si>
    <t>Soubassement plat plaxé (sans moulure lisse 2 faces)</t>
  </si>
  <si>
    <t>Type 1 / modèle 451</t>
  </si>
  <si>
    <t>Type 1 A / modèle 451</t>
  </si>
  <si>
    <t>Type 2 / modèle 871</t>
  </si>
  <si>
    <t>Type 3 / modèle 872</t>
  </si>
  <si>
    <t>Type 4 / modèle 352</t>
  </si>
  <si>
    <t>Type 5 / modèle 450</t>
  </si>
  <si>
    <t>HS0</t>
  </si>
  <si>
    <t>T0L</t>
  </si>
  <si>
    <t>soubassement MOUL ALU 607 LAQ1FACE POUR PE28MM</t>
  </si>
  <si>
    <t>CIMAISE ALU 607 / LAQUE 1 FACE</t>
  </si>
  <si>
    <t>Laqué RAL9001 idem Laqué sur PVC RAL9001</t>
  </si>
  <si>
    <t>ZP0</t>
  </si>
  <si>
    <t>NJ2</t>
  </si>
  <si>
    <t>ZJ1</t>
  </si>
  <si>
    <t>K01</t>
  </si>
  <si>
    <t>HS2</t>
  </si>
  <si>
    <t>K00</t>
  </si>
  <si>
    <t>NJB</t>
  </si>
  <si>
    <t>NQL</t>
  </si>
  <si>
    <t>Z02</t>
  </si>
  <si>
    <t>H0L</t>
  </si>
  <si>
    <t>NOL</t>
  </si>
  <si>
    <t>U0L</t>
  </si>
  <si>
    <t>00R</t>
  </si>
  <si>
    <t>TP2</t>
  </si>
  <si>
    <t>cde vitrage</t>
  </si>
  <si>
    <t>YJ1</t>
  </si>
  <si>
    <t>NJ0</t>
  </si>
  <si>
    <t>HS1</t>
  </si>
  <si>
    <t>KP0</t>
  </si>
  <si>
    <t>WS0</t>
  </si>
  <si>
    <t>CS2</t>
  </si>
  <si>
    <t>YS1</t>
  </si>
  <si>
    <t>0J1</t>
  </si>
  <si>
    <t>YS0</t>
  </si>
  <si>
    <t>US0</t>
  </si>
  <si>
    <t>UJ0</t>
  </si>
  <si>
    <t>0JB</t>
  </si>
  <si>
    <t>US1</t>
  </si>
  <si>
    <t>NS2</t>
  </si>
  <si>
    <t>RELIQ</t>
  </si>
  <si>
    <t>HSB</t>
  </si>
  <si>
    <t>SAVE2</t>
  </si>
  <si>
    <t>UP3</t>
  </si>
  <si>
    <t>KP1</t>
  </si>
  <si>
    <t>TP3</t>
  </si>
  <si>
    <t>Y0E</t>
  </si>
  <si>
    <t>TPL</t>
  </si>
  <si>
    <t>B00</t>
  </si>
  <si>
    <t>CIMAISE 016 MOULURE 28 2 FACE</t>
  </si>
  <si>
    <t>J4</t>
  </si>
  <si>
    <t>XJ0</t>
  </si>
  <si>
    <t>YS2</t>
  </si>
  <si>
    <t>XSE</t>
  </si>
  <si>
    <t>J5</t>
  </si>
  <si>
    <t>X03</t>
  </si>
  <si>
    <t>T03</t>
  </si>
  <si>
    <t>ZO0</t>
  </si>
  <si>
    <t>YJ2</t>
  </si>
  <si>
    <t>HJ1</t>
  </si>
  <si>
    <t>TS1</t>
  </si>
  <si>
    <t>UJ1</t>
  </si>
  <si>
    <t>YS9</t>
  </si>
  <si>
    <t>HSL</t>
  </si>
  <si>
    <t>ZS3</t>
  </si>
  <si>
    <t>J6</t>
  </si>
  <si>
    <t>YJ0</t>
  </si>
  <si>
    <t>V7</t>
  </si>
  <si>
    <t>G00</t>
  </si>
  <si>
    <t>OP0</t>
  </si>
  <si>
    <t>X0L</t>
  </si>
  <si>
    <t>Z0L</t>
  </si>
  <si>
    <t>ZO1</t>
  </si>
  <si>
    <t>ZOL</t>
  </si>
  <si>
    <t>soubassement MOUL ALU 2IO LAQ1 FACE POUR PE 28MM</t>
  </si>
  <si>
    <t>soubassement ACAJOU MOULURE 28 1 FACE</t>
  </si>
  <si>
    <t>Plaxé acajou / 9.2065 321 - 116700</t>
  </si>
  <si>
    <t>soubassement MOUL ALU PLAXE TECK DE JAVA 1F  24MM</t>
  </si>
  <si>
    <t>PE</t>
  </si>
  <si>
    <t>soubassement plat ACAJOU 1 FACE POUR PE 28MM</t>
  </si>
  <si>
    <t>soubassement plat ACAJOU 1 FACE 28 MM</t>
  </si>
  <si>
    <t>soubassement MOULURE PLAXE BLANC VEINE 1 F 28MM</t>
  </si>
  <si>
    <t>soubassement PLAT7016 GRANITE 2 FACES POUR PE 28MM</t>
  </si>
  <si>
    <t>soubassement PLAT7016 SATINE 2 FACES POUR PE 28MM</t>
  </si>
  <si>
    <t>soubassement PLAT7016 GRANITE 1 FACE POUR PE 28MM</t>
  </si>
  <si>
    <t>soubassement PLAT7016 SATINE 1 FACE POUR PE 28MM</t>
  </si>
  <si>
    <t>soubassement MOUL SIENA 1 F/LQ 1F POUR PE 28MM</t>
  </si>
  <si>
    <t>soubassement PLAT YANCH 330 CHAMPAGNE ANO 2F 24MM</t>
  </si>
  <si>
    <t>LAQUE YANCH (code poudre AE20101000220)</t>
  </si>
  <si>
    <t>soubassement CONGES CHENE NAT 2 FACES PR PE 28MM</t>
  </si>
  <si>
    <t>soubassement MOUL CHENE NAT 1F/ LQ 1F 28 MM PR PE</t>
  </si>
  <si>
    <t>soubassement MOUL CHENE NAT 2 FACES POUR PE 28MM</t>
  </si>
  <si>
    <t>soubassement MOULURE CHENE NAT 2 FACES 28 MM</t>
  </si>
  <si>
    <t>soubassement MOULURE CHENE NAT 1F/ LQ 1 FACE 28 MM</t>
  </si>
  <si>
    <t>soubassement PLAT CHENE NAT 2 FACES 28MM</t>
  </si>
  <si>
    <t>soubassement PLAT CHENE NAT 1F/ LQ 1 FACE 28 MM</t>
  </si>
  <si>
    <t>soubassement PLAT CHENE NAT 1F/ LQ 1F 28 MM PR PE</t>
  </si>
  <si>
    <t>soubassement PLAT CHENE NAT 2 FACES 28 MM POUR PE</t>
  </si>
  <si>
    <t>Plaxé tuner oak / F4703001</t>
  </si>
  <si>
    <t>CIMAISE ALU CHENE NAT 1F / LAQUE 1 FACE</t>
  </si>
  <si>
    <t>CIMAISE CHENE NAT MOULURE 28 MM 2 FACES</t>
  </si>
  <si>
    <t>soub MOUL GRIS ANTHRACITE MAT 1F 28 MM PR PE</t>
  </si>
  <si>
    <t>soub PLAT GRIS ANTHRACITE MAT 1F EXT FACE 28 MM</t>
  </si>
  <si>
    <t>soub CONGES GRIS ANTHRACITE MAT 2 FACES PR PE 28MM</t>
  </si>
  <si>
    <t>soub CONGES GRIS ANTHRACITE MAT 1F EXT PR PE 28MM</t>
  </si>
  <si>
    <t>soub MOUL GRIS ANTHRACITE MAT 2 FACES POUR PE 28MM</t>
  </si>
  <si>
    <t>soub MOULURE GRIS ANTHRACITE MAT 1F EXT 28 MM</t>
  </si>
  <si>
    <t>soub PLAT GRIS ANTHRACITE MAT 2F 28 MM POUR PE</t>
  </si>
  <si>
    <t>Plaxé gris anthracite mat lisse/F4366003</t>
  </si>
  <si>
    <t>soubassement MOUL ALU PLAXE CH IRLANDAIS 1F  28MM</t>
  </si>
  <si>
    <t>soubassement plat TECK DE JAVA 1F/LQ 1F 28MM</t>
  </si>
  <si>
    <t>soubassement plat BLANC CERUSE 1F/LQ 1F 28MM</t>
  </si>
  <si>
    <t>soubassement plat TECK DE JAVA / LQ 1F 28MM PR PE</t>
  </si>
  <si>
    <t>soubassement plat BLANC CERUSE 1F/ LQ 1F 28MM PR PE</t>
  </si>
  <si>
    <t>CIMAISE ALU LAQUEE 1 FACE 24 MM</t>
  </si>
  <si>
    <t>CIMAISE ALU LAQUEE 2 FACES 24 MM</t>
  </si>
  <si>
    <t>soubassement PLAT 7016 GRANITE 1 face 28MM</t>
  </si>
  <si>
    <t>soubassement PLAT 7016 GRANITE 2 faces 28MM</t>
  </si>
  <si>
    <t>soubassement PLAT 7016 SATINE 1 face 28MM</t>
  </si>
  <si>
    <t>soubassement PLAT 7016 SATINE 2 faces 28MM</t>
  </si>
  <si>
    <t>CIMAISE GRIS ANTHRACITE MAT MOULURE 28 1 FACE</t>
  </si>
  <si>
    <t>CIMAISE GRIS ANTHRACITE MAT MOULURE 28 2 FACES</t>
  </si>
  <si>
    <t>SOUB PLAT 7016 SATINE 2 FACES POUR PE 24MM</t>
  </si>
  <si>
    <t>SOUB PLAT 7016 GRANITE 1 FACE POUR PE 24MM</t>
  </si>
  <si>
    <t>SOUB PLAT 7016 SATINE 1 FACE POUR PE 24MM</t>
  </si>
  <si>
    <t>SOUB PLAT 7016 GRANITE 2 FACES POUR PE 24MM</t>
  </si>
  <si>
    <t>SOUB PLAT 7016 GRANITE 2 FACES 24MM</t>
  </si>
  <si>
    <t>SOUB PLAT 7016 SATINE 2 FACES 24MM</t>
  </si>
  <si>
    <t>SOUB PLAT 7016 GRANITE 1 FACE 24MM</t>
  </si>
  <si>
    <t>SOUB PLAT 7016 SATINE 1 FACE 24MM</t>
  </si>
  <si>
    <t>soub PLAT GRIS ANTHRACITE MAT 1F EXT 28 MM PR PE</t>
  </si>
  <si>
    <t>soub PLAT GRIS ANTRACITE MAT 2 FACES 28MM</t>
  </si>
  <si>
    <t>soub MOUL GRIS ANTHRACITE MAT 1F EXT 28 MM</t>
  </si>
  <si>
    <t>soub MOUL GRIS ANTHRACITE MAT 2 FACES 28 MM</t>
  </si>
  <si>
    <t>soubassement MOULURE blanc mat 916.SD PR PE 28MM</t>
  </si>
  <si>
    <t>soubassement mouluré blanc mat 916.SD 28 MM</t>
  </si>
  <si>
    <t>soubassement plat blanc mat 916.SD 28 MM</t>
  </si>
  <si>
    <t>soubassement plat blanc mat 916.SD POUR PE 28MM</t>
  </si>
  <si>
    <t>soubassement MOUL CHENE DORE 1F/LQ 1F 28 MM PR PE</t>
  </si>
  <si>
    <t>Soub Askey plat yanch 1F/916.SD 28 MM</t>
  </si>
  <si>
    <t>Soub Askey plat yanch 2Faces 28 MM</t>
  </si>
  <si>
    <t>Soub Askey plat yanat 1F/916.SD 28 MM</t>
  </si>
  <si>
    <t>Soub Askey plat yanat 2Faces 28 MM</t>
  </si>
  <si>
    <t>Soub Askey plat 9005 texturé 1F/916.SD 28 MM</t>
  </si>
  <si>
    <t>Soub Askey plat 9005 texturé 2Faces 28 MM</t>
  </si>
  <si>
    <t>Soub Askey plat 8019 texturé 1F/916.SD 28 MM</t>
  </si>
  <si>
    <t>Soub Askey plat 8019 texturé 2Faces 28 MM</t>
  </si>
  <si>
    <t>Soub Askey plat 7039 texturé 1F/916.SD 28 MM</t>
  </si>
  <si>
    <t>Soub Askey plat 7039 texturé 2Faces 28 MM</t>
  </si>
  <si>
    <t>Soub Askey plat 7035 texturé 1F/916.SD 28 MM</t>
  </si>
  <si>
    <t>Soub Askey plat 7035 texturé 2Faces 28 MM</t>
  </si>
  <si>
    <t>Soub Askey plat 7016 texturé 1F/916.SD 28 MM</t>
  </si>
  <si>
    <t>Soub Askey plat 7016 texturé 2Faces 28 MM</t>
  </si>
  <si>
    <t>Soub Askey plat 7016 mat 1F/916.SD 28 MM</t>
  </si>
  <si>
    <t>Soub Askey plat 7016 mat 2Faces 28 MM</t>
  </si>
  <si>
    <t>Soub Askey plat 3004 texturé 1F/916.SD 28 MM</t>
  </si>
  <si>
    <t>Soub Askey plat 3004 texturé 2Faces 28 MM</t>
  </si>
  <si>
    <t>Soubt Askey plat noir 2100 1F/916.SD 28 MM</t>
  </si>
  <si>
    <t>Soub Askey plat noir 2100 2Faces 28 MM</t>
  </si>
  <si>
    <t>Soub Askey plat blanc mat 916.SD 28 MM</t>
  </si>
  <si>
    <t>Soub Askey plat gris 2900 2Faces 28 MM</t>
  </si>
  <si>
    <t>Soub Askey plat gris 2900 1F/916.SD 28 MM</t>
  </si>
  <si>
    <t>soubassement MOULURE ACAJOU 1F/ LQ 1 FACE 28 MM</t>
  </si>
  <si>
    <t>LAQUE YANAT (code poudre SD201C7333721)</t>
  </si>
  <si>
    <t>soubassement MOULURE blanc mat 916.SD PR PE 24MM</t>
  </si>
  <si>
    <t>soubassement mouluré blanc mat 916.SD 24 MM</t>
  </si>
  <si>
    <t>soubassement plat blanc mat 916.SD 24 MM</t>
  </si>
  <si>
    <t>soubassement plat blanc mat 916.SD POUR PE 24MM</t>
  </si>
  <si>
    <t>soubassement PLAT GRIS ARGENT 1F/LQ 1F 28 MM</t>
  </si>
  <si>
    <t>Plaxé Gris Argent (code poudre 022071000007116700)</t>
  </si>
  <si>
    <t>Jour de livraison souhaité</t>
  </si>
  <si>
    <t>QTE:</t>
  </si>
  <si>
    <t>Soub plat noir 2100 1F/916.SD 24 MM</t>
  </si>
  <si>
    <t>Soub plat gris 2900 1F/916.SD 24 MM</t>
  </si>
  <si>
    <t>Soub plat 3004 texturé 1F/916.SD 24 MM</t>
  </si>
  <si>
    <t>Soub plat 7016 mat 1F/916.SD 24 MM</t>
  </si>
  <si>
    <t>Soub plat 7016 texturé 1F/916.SD 24 MM</t>
  </si>
  <si>
    <t>Soub plat 7035 texturé 1F/916.SD 24 MM</t>
  </si>
  <si>
    <t>Soub plat 7039 texturé 1F/916.SD 24 MM</t>
  </si>
  <si>
    <t>Soub plat 8019 texturé 1F/916.SD 24 MM</t>
  </si>
  <si>
    <t>Soub plat 9005 texturé 1F/916.SD 24 MM</t>
  </si>
  <si>
    <t>Soub plat yanat 1F/916.SD 24 MM</t>
  </si>
  <si>
    <t>Soub plat yanch 1F/916.SD 24 MM</t>
  </si>
  <si>
    <t xml:space="preserve"> * 786</t>
  </si>
  <si>
    <t xml:space="preserve"> * 220</t>
  </si>
  <si>
    <t xml:space="preserve"> * 602</t>
  </si>
  <si>
    <t xml:space="preserve"> * 881</t>
  </si>
  <si>
    <t>2510410.U04</t>
  </si>
  <si>
    <t xml:space="preserve"> * 731</t>
  </si>
  <si>
    <t xml:space="preserve"> * 687</t>
  </si>
  <si>
    <t xml:space="preserve"> * 501</t>
  </si>
  <si>
    <t>2510419.U04</t>
  </si>
  <si>
    <t xml:space="preserve"> * 1903</t>
  </si>
  <si>
    <t>2511361.Z00</t>
  </si>
  <si>
    <t xml:space="preserve"> * 410</t>
  </si>
  <si>
    <t>2511843.HO0</t>
  </si>
  <si>
    <t xml:space="preserve"> * 376</t>
  </si>
  <si>
    <t xml:space="preserve"> * 336</t>
  </si>
  <si>
    <t>2511847.Z01</t>
  </si>
  <si>
    <t xml:space="preserve"> * 237</t>
  </si>
  <si>
    <t>S3009</t>
  </si>
  <si>
    <t>2508656.HP2</t>
  </si>
  <si>
    <t xml:space="preserve"> * 886</t>
  </si>
  <si>
    <t>G9005</t>
  </si>
  <si>
    <t>2510413.XP0</t>
  </si>
  <si>
    <t xml:space="preserve"> * 1960</t>
  </si>
  <si>
    <t>2510416.XP0</t>
  </si>
  <si>
    <t>2510419.XP0</t>
  </si>
  <si>
    <t>2510489.HP0</t>
  </si>
  <si>
    <t xml:space="preserve"> * 766</t>
  </si>
  <si>
    <t>2510912.XP0</t>
  </si>
  <si>
    <t xml:space="preserve"> * 860</t>
  </si>
  <si>
    <t>2511217.XP0</t>
  </si>
  <si>
    <t>2511271.HP0</t>
  </si>
  <si>
    <t xml:space="preserve"> * 230</t>
  </si>
  <si>
    <t xml:space="preserve"> * 586</t>
  </si>
  <si>
    <t>2511284.HP0</t>
  </si>
  <si>
    <t xml:space="preserve"> * 607</t>
  </si>
  <si>
    <t>2511528.XP0</t>
  </si>
  <si>
    <t>2511688.HP0</t>
  </si>
  <si>
    <t>2511775.HP2</t>
  </si>
  <si>
    <t>G7016</t>
  </si>
  <si>
    <t>2511813.HP0</t>
  </si>
  <si>
    <t>2511824.0P0</t>
  </si>
  <si>
    <t>2511859.HP0</t>
  </si>
  <si>
    <t>2511931.HP0</t>
  </si>
  <si>
    <t xml:space="preserve"> * 865</t>
  </si>
  <si>
    <t>2511942.XP0</t>
  </si>
  <si>
    <t>2511969.XP0</t>
  </si>
  <si>
    <t xml:space="preserve"> * 619</t>
  </si>
  <si>
    <t>2512008.0P0</t>
  </si>
  <si>
    <t>2512009.HPL</t>
  </si>
  <si>
    <t>2512095.HP0</t>
  </si>
  <si>
    <t>2511495.000</t>
  </si>
  <si>
    <t xml:space="preserve"> * 355</t>
  </si>
  <si>
    <t>2511558.X00</t>
  </si>
  <si>
    <t xml:space="preserve"> * 1868</t>
  </si>
  <si>
    <t>2511789.X04</t>
  </si>
  <si>
    <t>soub MOULURE GRIS ANTHRACITE MAT 2 FACES 28 MM</t>
  </si>
  <si>
    <t xml:space="preserve"> * 761</t>
  </si>
  <si>
    <t xml:space="preserve"> * 661</t>
  </si>
  <si>
    <t>2511824.000</t>
  </si>
  <si>
    <t xml:space="preserve"> * 294</t>
  </si>
  <si>
    <t xml:space="preserve"> * 781</t>
  </si>
  <si>
    <t xml:space="preserve"> * 681</t>
  </si>
  <si>
    <t>2511856.X00</t>
  </si>
  <si>
    <t>soubassement CHENE DORE 2 FACES MOULURE 28</t>
  </si>
  <si>
    <t xml:space="preserve"> * 281</t>
  </si>
  <si>
    <t>2511870.000</t>
  </si>
  <si>
    <t xml:space="preserve"> * 1481</t>
  </si>
  <si>
    <t>2511888.004</t>
  </si>
  <si>
    <t xml:space="preserve"> * 411</t>
  </si>
  <si>
    <t>2511935.X04</t>
  </si>
  <si>
    <t xml:space="preserve"> * 2330</t>
  </si>
  <si>
    <t xml:space="preserve"> * 2325</t>
  </si>
  <si>
    <t xml:space="preserve"> * 2045</t>
  </si>
  <si>
    <t xml:space="preserve"> * 2195</t>
  </si>
  <si>
    <t>2511940.X00</t>
  </si>
  <si>
    <t xml:space="preserve"> * 181</t>
  </si>
  <si>
    <t xml:space="preserve"> * 250</t>
  </si>
  <si>
    <t>2511942.X00</t>
  </si>
  <si>
    <t>2511977.000</t>
  </si>
  <si>
    <t xml:space="preserve"> * 270</t>
  </si>
  <si>
    <t>2512019.004</t>
  </si>
  <si>
    <t xml:space="preserve"> * 611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</si>
</sst>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2"/>
      <color rgb="FF222222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E9E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5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14" fontId="0" fillId="0" borderId="0" xfId="0" applyNumberFormat="1"/>
    <xf numFmtId="14" fontId="0" fillId="3" borderId="0" xfId="0" applyNumberFormat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14" fontId="0" fillId="4" borderId="0" xfId="0" applyNumberFormat="1" applyFill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2" fillId="0" borderId="0" xfId="1"/>
    <xf numFmtId="0" fontId="2" fillId="0" borderId="0" xfId="1" applyAlignment="1">
      <alignment horizontal="center" vertical="center" wrapText="1"/>
    </xf>
    <xf numFmtId="0" fontId="2" fillId="0" borderId="0" xfId="1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2" fillId="0" borderId="1" xfId="1" applyBorder="1" applyAlignment="1">
      <alignment horizontal="center" vertical="center" wrapText="1"/>
    </xf>
    <xf numFmtId="0" fontId="2" fillId="0" borderId="1" xfId="1" applyBorder="1" applyAlignment="1">
      <alignment horizontal="center"/>
    </xf>
    <xf numFmtId="14" fontId="1" fillId="0" borderId="0" xfId="0" applyNumberFormat="1" applyFo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1" applyFont="1"/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0" fontId="0" fillId="11" borderId="1" xfId="0" applyFill="1" applyBorder="1"/>
    <xf numFmtId="0" fontId="0" fillId="11" borderId="1" xfId="0" applyFill="1" applyBorder="1" applyAlignment="1">
      <alignment horizontal="center"/>
    </xf>
    <xf numFmtId="0" fontId="0" fillId="12" borderId="1" xfId="0" applyFill="1" applyBorder="1"/>
    <xf numFmtId="0" fontId="0" fillId="12" borderId="1" xfId="0" applyFill="1" applyBorder="1" applyAlignment="1">
      <alignment horizontal="center"/>
    </xf>
    <xf numFmtId="0" fontId="0" fillId="13" borderId="1" xfId="0" applyFill="1" applyBorder="1"/>
    <xf numFmtId="0" fontId="0" fillId="13" borderId="1" xfId="0" applyFill="1" applyBorder="1" applyAlignment="1">
      <alignment horizontal="center"/>
    </xf>
    <xf numFmtId="0" fontId="6" fillId="0" borderId="1" xfId="0" applyFont="1" applyBorder="1"/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0" fillId="0" borderId="0" xfId="0" applyAlignment="1">
      <alignment horizontal="center"/>
    </xf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2" fillId="0" borderId="1" xfId="1" applyBorder="1"/>
    <xf numFmtId="0" fontId="3" fillId="0" borderId="1" xfId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FF5050"/>
      <color rgb="FFFFCCFF"/>
      <color rgb="FFFFE9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47625</xdr:rowOff>
        </xdr:from>
        <xdr:to>
          <xdr:col>6</xdr:col>
          <xdr:colOff>1952625</xdr:colOff>
          <xdr:row>0</xdr:row>
          <xdr:rowOff>247650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Trier les N° commande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476375" y="1428750"/>
    <xdr:ext cx="848520" cy="1607400"/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 l="20398" t="5750" r="19486" b="5750"/>
        <a:stretch>
          <a:fillRect/>
        </a:stretch>
      </xdr:blipFill>
      <xdr:spPr>
        <a:xfrm>
          <a:off x="1476375" y="1428750"/>
          <a:ext cx="848520" cy="1607400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1400175" y="3181350"/>
    <xdr:ext cx="1005839" cy="486720"/>
    <xdr:pic>
      <xdr:nvPicPr>
        <xdr:cNvPr id="10" name="Image 6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lum/>
          <a:alphaModFix/>
        </a:blip>
        <a:srcRect l="19359" t="17107" r="12080" b="37006"/>
        <a:stretch>
          <a:fillRect/>
        </a:stretch>
      </xdr:blipFill>
      <xdr:spPr>
        <a:xfrm>
          <a:off x="1400175" y="3181350"/>
          <a:ext cx="1005839" cy="486720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2762250" y="1447800"/>
    <xdr:ext cx="762120" cy="1740239"/>
    <xdr:pic>
      <xdr:nvPicPr>
        <xdr:cNvPr id="11" name="Image 5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lum/>
          <a:alphaModFix/>
        </a:blip>
        <a:srcRect l="22147" t="1479" r="24550" b="3941"/>
        <a:stretch>
          <a:fillRect/>
        </a:stretch>
      </xdr:blipFill>
      <xdr:spPr>
        <a:xfrm>
          <a:off x="2762250" y="1447800"/>
          <a:ext cx="762120" cy="1740239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3790950" y="1381125"/>
    <xdr:ext cx="719640" cy="2045520"/>
    <xdr:pic>
      <xdr:nvPicPr>
        <xdr:cNvPr id="12" name="Image 7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lum/>
          <a:alphaModFix/>
        </a:blip>
        <a:srcRect l="28719" r="26523" b="1156"/>
        <a:stretch>
          <a:fillRect/>
        </a:stretch>
      </xdr:blipFill>
      <xdr:spPr>
        <a:xfrm>
          <a:off x="3790950" y="1381125"/>
          <a:ext cx="719640" cy="2045520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4743450" y="1381125"/>
    <xdr:ext cx="534960" cy="2118240"/>
    <xdr:pic>
      <xdr:nvPicPr>
        <xdr:cNvPr id="13" name="Image 1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lum/>
          <a:alphaModFix/>
        </a:blip>
        <a:srcRect l="34646" t="4445" r="35740" b="4432"/>
        <a:stretch>
          <a:fillRect/>
        </a:stretch>
      </xdr:blipFill>
      <xdr:spPr>
        <a:xfrm>
          <a:off x="4743450" y="1381125"/>
          <a:ext cx="534960" cy="2118240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5619750" y="1381125"/>
    <xdr:ext cx="857520" cy="1548000"/>
    <xdr:pic>
      <xdr:nvPicPr>
        <xdr:cNvPr id="14" name="Image 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lum/>
          <a:alphaModFix/>
        </a:blip>
        <a:srcRect l="9656" t="2959" r="8753" b="8715"/>
        <a:stretch>
          <a:fillRect/>
        </a:stretch>
      </xdr:blipFill>
      <xdr:spPr>
        <a:xfrm>
          <a:off x="5619750" y="1381125"/>
          <a:ext cx="857520" cy="1548000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5553075" y="3067050"/>
    <xdr:ext cx="997920" cy="584640"/>
    <xdr:pic>
      <xdr:nvPicPr>
        <xdr:cNvPr id="15" name="Image 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lum/>
          <a:alphaModFix/>
        </a:blip>
        <a:srcRect l="4315" t="36881" r="48700" b="25039"/>
        <a:stretch>
          <a:fillRect/>
        </a:stretch>
      </xdr:blipFill>
      <xdr:spPr>
        <a:xfrm>
          <a:off x="5553075" y="3067050"/>
          <a:ext cx="997920" cy="584640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6781799" y="1504949"/>
    <xdr:ext cx="775813" cy="1724026"/>
    <xdr:pic>
      <xdr:nvPicPr>
        <xdr:cNvPr id="16" name="Image 3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lum/>
          <a:alphaModFix/>
        </a:blip>
        <a:srcRect l="28687" t="18720" r="22373" b="16063"/>
        <a:stretch/>
      </xdr:blipFill>
      <xdr:spPr>
        <a:xfrm>
          <a:off x="6781799" y="1504949"/>
          <a:ext cx="775813" cy="1724026"/>
        </a:xfrm>
        <a:prstGeom prst="rect">
          <a:avLst/>
        </a:prstGeom>
        <a:noFill/>
        <a:ln>
          <a:noFill/>
        </a:ln>
      </xdr:spPr>
    </xdr:pic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F999"/>
  <sheetViews>
    <sheetView tabSelected="1" topLeftCell="W34" zoomScaleNormal="100" workbookViewId="0">
      <selection activeCell="W52" sqref="W52:AE91"/>
    </sheetView>
  </sheetViews>
  <sheetFormatPr baseColWidth="10" defaultColWidth="9.140625" defaultRowHeight="15" outlineLevelRow="1" outlineLevelCol="1" x14ac:dyDescent="0.25"/>
  <cols>
    <col min="1" max="1" width="16.7109375" style="1" customWidth="1" outlineLevel="1"/>
    <col min="2" max="2" width="10" style="1" customWidth="1" outlineLevel="1"/>
    <col min="3" max="3" width="20.85546875" style="1" customWidth="1" outlineLevel="1"/>
    <col min="4" max="4" width="22.7109375" style="1" customWidth="1" outlineLevel="1"/>
    <col min="5" max="5" width="23.7109375" style="1" customWidth="1" outlineLevel="1"/>
    <col min="6" max="6" width="27.85546875" style="1" customWidth="1" outlineLevel="1"/>
    <col min="7" max="7" width="24.85546875" style="1" customWidth="1" outlineLevel="1"/>
    <col min="8" max="8" width="10" style="1" customWidth="1" outlineLevel="1"/>
    <col min="9" max="9" width="9.28515625" style="1" customWidth="1" outlineLevel="1"/>
    <col min="10" max="10" width="52.140625" bestFit="1" customWidth="1" outlineLevel="1"/>
    <col min="11" max="11" width="11.28515625" customWidth="1" outlineLevel="1"/>
    <col min="12" max="13" width="39.140625" bestFit="1" customWidth="1" outlineLevel="1"/>
    <col min="14" max="14" width="10.28515625" style="1" customWidth="1" outlineLevel="1"/>
    <col min="15" max="16" width="10" customWidth="1" outlineLevel="1"/>
    <col min="17" max="17" width="13.42578125" customWidth="1" outlineLevel="1"/>
    <col min="18" max="19" width="21.85546875" customWidth="1" outlineLevel="1"/>
    <col min="20" max="20" width="34.85546875" style="4" customWidth="1" outlineLevel="1"/>
    <col min="21" max="21" width="16.7109375" style="5" customWidth="1" outlineLevel="1"/>
    <col min="22" max="22" width="27" style="5" customWidth="1" outlineLevel="1"/>
    <col min="23" max="23" width="13.85546875" bestFit="1" customWidth="1"/>
    <col min="24" max="24" width="5.7109375" bestFit="1" customWidth="1"/>
    <col min="25" max="25" width="5.140625" bestFit="1" customWidth="1"/>
    <col min="26" max="26" width="2" bestFit="1" customWidth="1"/>
    <col min="27" max="27" width="55.42578125" bestFit="1" customWidth="1"/>
    <col min="28" max="28" width="6.140625" bestFit="1" customWidth="1"/>
    <col min="29" max="32" width="12.140625" bestFit="1" customWidth="1"/>
    <col min="33" max="33" width="5.85546875" bestFit="1" customWidth="1"/>
    <col min="34" max="34" width="6.28515625" bestFit="1" customWidth="1"/>
    <col min="35" max="36" width="12.140625" bestFit="1" customWidth="1"/>
  </cols>
  <sheetData>
    <row r="1" spans="1:31" s="4" customFormat="1" outlineLevel="1" x14ac:dyDescent="0.25">
      <c r="A1" s="5"/>
      <c r="B1" s="5"/>
      <c r="C1" s="5"/>
      <c r="D1" s="5"/>
      <c r="E1" s="5"/>
      <c r="F1" s="5"/>
      <c r="G1" s="5"/>
      <c r="H1" s="5"/>
      <c r="I1" s="5"/>
      <c r="N1" s="5"/>
      <c r="U1" s="5"/>
      <c r="V1" s="5"/>
    </row>
    <row r="2" spans="1:31" s="4" customFormat="1" outlineLevel="1" x14ac:dyDescent="0.25">
      <c r="A2" s="5"/>
      <c r="B2" s="5"/>
      <c r="C2" s="5"/>
      <c r="D2" s="5"/>
      <c r="E2" s="5"/>
      <c r="F2" s="5"/>
      <c r="G2" s="5"/>
      <c r="H2" s="5"/>
      <c r="I2" s="5"/>
      <c r="N2" s="5"/>
      <c r="U2" s="5"/>
      <c r="V2" s="5"/>
    </row>
    <row r="3" spans="1:31" s="4" customFormat="1" outlineLevel="1" x14ac:dyDescent="0.25">
      <c r="A3" s="5"/>
      <c r="B3" s="5"/>
      <c r="C3" s="5"/>
      <c r="D3" s="5"/>
      <c r="E3" s="5"/>
      <c r="F3" s="5"/>
      <c r="G3" s="3" t="str">
        <f t="shared" ref="G3:G12" si="0">IF(B3="","",IF(C3="SAV","NEG/RELI/SAV",IF(C3="NEGOCE","NEG/RELI/SAV",IF(C3="RELI","NEG/RELI/SAV",IF(E3="ALU","ALU",IF(D3="PE","PE",IF(F3="TEX","TEX","STD")))))))</f>
        <v/>
      </c>
      <c r="H3" s="3" t="str">
        <f t="shared" ref="H3:H12" si="1">IF(W3="","",X3)</f>
        <v/>
      </c>
      <c r="I3" s="5"/>
      <c r="M3" s="2" t="str">
        <f>IF(W3="","",LOOKUP('Extraction edi'!J3,Paramètrage!$A$6:$A$179,Paramètrage!$D$6:$D$179))</f>
        <v/>
      </c>
      <c r="N3" s="3" t="str">
        <f>IF(W3="","",LOOKUP('Extraction edi'!J3,Paramètrage!$A$6:$A$179,Paramètrage!$E$6:$E$179))</f>
        <v/>
      </c>
      <c r="U3" s="5"/>
      <c r="V3" s="5"/>
    </row>
    <row r="4" spans="1:31" s="4" customFormat="1" outlineLevel="1" x14ac:dyDescent="0.25">
      <c r="A4" s="5"/>
      <c r="B4" s="5"/>
      <c r="C4" s="5"/>
      <c r="D4" s="5"/>
      <c r="E4" s="5"/>
      <c r="F4" s="5"/>
      <c r="G4" s="3" t="str">
        <f t="shared" si="0"/>
        <v/>
      </c>
      <c r="H4" s="3" t="str">
        <f t="shared" si="1"/>
        <v/>
      </c>
      <c r="I4" s="5"/>
      <c r="M4" s="2" t="str">
        <f>IF(W4="","",LOOKUP('Extraction edi'!J4,Paramètrage!$A$6:$A$179,Paramètrage!$D$6:$D$179))</f>
        <v/>
      </c>
      <c r="N4" s="3" t="str">
        <f>IF(W4="","",LOOKUP('Extraction edi'!J4,Paramètrage!$A$6:$A$179,Paramètrage!$E$6:$E$179))</f>
        <v/>
      </c>
      <c r="U4" s="5"/>
      <c r="V4" s="5"/>
    </row>
    <row r="5" spans="1:31" s="4" customFormat="1" outlineLevel="1" x14ac:dyDescent="0.25">
      <c r="A5" s="5" t="s">
        <v>7</v>
      </c>
      <c r="B5" s="5" t="s">
        <v>10</v>
      </c>
      <c r="C5" s="5" t="s">
        <v>219</v>
      </c>
      <c r="D5" s="5" t="s">
        <v>218</v>
      </c>
      <c r="E5" s="5" t="s">
        <v>200</v>
      </c>
      <c r="F5" s="5" t="s">
        <v>201</v>
      </c>
      <c r="G5" s="3" t="str">
        <f t="shared" si="0"/>
        <v>STD</v>
      </c>
      <c r="H5" s="3" t="str">
        <f t="shared" si="1"/>
        <v/>
      </c>
      <c r="I5" s="5" t="s">
        <v>9</v>
      </c>
      <c r="J5" s="4" t="s">
        <v>11</v>
      </c>
      <c r="K5" s="4" t="s">
        <v>100</v>
      </c>
      <c r="L5" s="4" t="s">
        <v>101</v>
      </c>
      <c r="M5" s="2" t="str">
        <f>IF(W5="","",LOOKUP('Extraction edi'!J5,Paramètrage!$A$6:$A$179,Paramètrage!$D$6:$D$179))</f>
        <v/>
      </c>
      <c r="N5" s="3" t="str">
        <f>IF(W5="","",LOOKUP('Extraction edi'!J5,Paramètrage!$A$6:$A$179,Paramètrage!$E$6:$E$179))</f>
        <v/>
      </c>
      <c r="O5" s="5" t="s">
        <v>107</v>
      </c>
      <c r="P5" s="5" t="s">
        <v>106</v>
      </c>
      <c r="Q5" s="5" t="s">
        <v>110</v>
      </c>
      <c r="R5" s="5" t="s">
        <v>109</v>
      </c>
      <c r="S5" s="5" t="s">
        <v>108</v>
      </c>
      <c r="T5" s="4" t="s">
        <v>103</v>
      </c>
      <c r="U5" s="5" t="s">
        <v>105</v>
      </c>
      <c r="V5" s="5" t="s">
        <v>198</v>
      </c>
    </row>
    <row r="6" spans="1:31" x14ac:dyDescent="0.25">
      <c r="A6" s="3" t="str">
        <f>IF(W6="","",LEFT(W6,7))</f>
        <v>2510410</v>
      </c>
      <c r="B6" s="3" t="str">
        <f>IF(W6="","",RIGHT(W6,3))</f>
        <v>U04</v>
      </c>
      <c r="C6" s="3" t="str">
        <f>IF(ISERROR(SEARCH("ELI",B6))=FALSE,"RELIQUAT",IF(ISERROR(SEARCH("N",B6))=FALSE,"NEGOCE",IF(ISERROR(SEARCH("S",B6))=FALSE,"SAV",IF(ISERROR(SEARCH("J",B6)),"","SAV"))))</f>
        <v/>
      </c>
      <c r="D6" s="3" t="str">
        <f t="shared" ref="D6:D69" si="2">IF(ISERROR(SEARCH("P",B6)),"","PE")</f>
        <v/>
      </c>
      <c r="E6" s="3" t="str">
        <f t="shared" ref="E6:E69" si="3">IF(ISERROR(SEARCH("U",B6))=FALSE,"ALU",IF(ISERROR(SEARCH("Y",B6)),"","ALU"))</f>
        <v>ALU</v>
      </c>
      <c r="F6" s="3" t="str">
        <f t="shared" ref="F6:F69" si="4">IF(ISERROR(SEARCH("H",B6))=FALSE,"TEX",IF(ISERROR(SEARCH("Z",B6)),IF(ISERROR(SEARCH("X",B6)),"","TEX")))</f>
        <v/>
      </c>
      <c r="G6" s="3" t="str">
        <f t="shared" si="0"/>
        <v>ALU</v>
      </c>
      <c r="H6" s="3">
        <f t="shared" si="1"/>
        <v>1</v>
      </c>
      <c r="I6" s="3">
        <f>IF(W6="","",Z6)</f>
        <v>1</v>
      </c>
      <c r="J6" s="2" t="str">
        <f>IF(W6="","",IF(AND(T6=FALSE,T5=FALSE,T4=FALSE,T3=FALSE,T2=FALSE),AA1,IF(AND(T6=FALSE,T5=FALSE,T4=FALSE,T3=FALSE),AA2,IF(AND(T6=FALSE,T5=FALSE,T4=FALSE),AA3,IF(AND(T6=FALSE,T5=FALSE),AA4,IF(T6=FALSE,AA5,AA6))))))</f>
        <v>Soub Askey plat 7016 texturé 2Faces 28 MM</v>
      </c>
      <c r="K6" s="2" t="str">
        <f>IF(W6="","",LOOKUP('Extraction edi'!J6,Paramètrage!$A$6:$A$179,Paramètrage!$B$6:$B$179))</f>
        <v>Type 5 / modèle 450</v>
      </c>
      <c r="L6" s="2" t="str">
        <f>IF(W6="","",LOOKUP('Extraction edi'!J6,Paramètrage!$A$6:$A$179,Paramètrage!$C$6:$C$179))</f>
        <v>ALU blanc</v>
      </c>
      <c r="M6" s="2" t="str">
        <f>IF(W6="","",LOOKUP('Extraction edi'!J6,Paramètrage!$A$6:$A$179,Paramètrage!$D$6:$D$179))</f>
        <v>ALU blanc</v>
      </c>
      <c r="N6" s="3">
        <f>IF(W6="","",LOOKUP('Extraction edi'!J6,Paramètrage!$A$6:$A$179,Paramètrage!$E$6:$E$179))</f>
        <v>28</v>
      </c>
      <c r="O6" s="3">
        <f>IF(W6="","",IF(LEFT(AA6,4)="soub",AB6,IF(LEFT(AA6,3)="cim",AB6,AA6)))</f>
        <v>422</v>
      </c>
      <c r="P6" s="3" t="str">
        <f t="shared" ref="P6:P23" si="5">IF(LEFT(U6,1)="N",SUBSTITUTE(AB6,"*",""),IF(LEFT(U6,1)="S",SUBSTITUTE(AB6,"*",""),IF(LEFT(U6,1)="G",SUBSTITUTE(AB6,"*",""),IF(LEN(U6)=11,SUBSTITUTE(AB6,"*",""),U6))))</f>
        <v xml:space="preserve">  731</v>
      </c>
      <c r="Q6" s="3" t="str">
        <f t="shared" ref="Q6:Q12" si="6">IF(ISERROR(SEARCH("laq",J6))=FALSE,"laquage RAL :",IF(ISERROR(SEARCH("lq",J6))=FALSE,"laquage RAL :",IF(ISERROR(SEARCH("ANO",J6))=FALSE,"laquage RAL :",IF(ISERROR(SEARCH("IVOI",J6)),"","laquage RAL :"))))</f>
        <v/>
      </c>
      <c r="R6" s="3" t="str">
        <f>IF(W6="","",IF(RIGHT(L6,7)="RAL9001",L6,IF(LEFT(AE6,1)="N",AE6,IF(LEFT(AE6,1)="S",AE6,IF(LEFT(AE6,1)="G",AE6,"")))))</f>
        <v/>
      </c>
      <c r="S6" s="3" t="str">
        <f>IF(W6="","",IF(RIGHT(M6,7)="RAL9001",M6,IF(LEFT(AC6,1)="N",AC6,IF(LEFT(AC6,1)="S",AC6,IF(LEFT(AC6,1)="G",AC6,IF(LEFT(AD6,1)="N",AD6,IF(LEFT(AD6,1)="S",AD6,IF(LEFT(AD6,1)="G",AD6,""))))))))</f>
        <v/>
      </c>
      <c r="T6" s="4" t="str">
        <f>IF(W6="","",IF(LEFT(AA6,4)&lt;&gt;"soub",IF(LEFT(AA6,3)&lt;&gt;"cim"=FALSE,AA6),AA6))</f>
        <v>Soub Askey plat 7016 texturé 2Faces 28 MM</v>
      </c>
      <c r="U6" s="5" t="str">
        <f>SUBSTITUTE(AC6,"*","")</f>
        <v xml:space="preserve">  731</v>
      </c>
      <c r="V6" s="7" t="str">
        <f>IF(W6="","",IF(LOOKUP(W6,'Extration 3E date commande'!$A$6:$A$10000)=W6,LOOKUP(W6,'Extration 3E date commande'!$A$6:$A$10000,'Extration 3E date commande'!$C$6:$C$10000),"PAS DE DATE"))</f>
        <v>PAS DE DATE</v>
      </c>
      <c r="W6" t="s">
        <v>428</v>
      </c>
      <c r="X6">
        <v>1</v>
      </c>
      <c r="Y6" t="s">
        <v>412</v>
      </c>
      <c r="Z6">
        <v>1</v>
      </c>
      <c r="AA6" t="s">
        <v>393</v>
      </c>
      <c r="AB6">
        <v>422</v>
      </c>
      <c r="AC6" t="s">
        <v>429</v>
      </c>
      <c r="AD6" t="s">
        <v>428</v>
      </c>
    </row>
    <row r="7" spans="1:31" x14ac:dyDescent="0.25">
      <c r="A7" s="3" t="str">
        <f t="shared" ref="A7:A20" si="7">IF(W7="","",LEFT(W7,7))</f>
        <v>2510410</v>
      </c>
      <c r="B7" s="3" t="str">
        <f t="shared" ref="B7:B20" si="8">IF(W7="","",RIGHT(W7,3))</f>
        <v>U04</v>
      </c>
      <c r="C7" s="3" t="str">
        <f t="shared" ref="C7:C70" si="9">IF(ISERROR(SEARCH("ELI",B7))=FALSE,"RELIQUAT",IF(ISERROR(SEARCH("N",B7))=FALSE,"NEGOCE",IF(ISERROR(SEARCH("S",B7))=FALSE,"SAV",IF(ISERROR(SEARCH("J",B7)),"","SAV"))))</f>
        <v/>
      </c>
      <c r="D7" s="3" t="str">
        <f t="shared" si="2"/>
        <v/>
      </c>
      <c r="E7" s="3" t="str">
        <f t="shared" si="3"/>
        <v>ALU</v>
      </c>
      <c r="F7" s="3" t="str">
        <f t="shared" si="4"/>
        <v/>
      </c>
      <c r="G7" s="3" t="str">
        <f t="shared" si="0"/>
        <v>ALU</v>
      </c>
      <c r="H7" s="3">
        <f t="shared" si="1"/>
        <v>1</v>
      </c>
      <c r="I7" s="3">
        <f t="shared" ref="I7:I20" si="10">IF(W7="","",Z7)</f>
        <v>1</v>
      </c>
      <c r="J7" s="2" t="str">
        <f>IF(W7="","",IF(AND(T7=FALSE,T6=FALSE,T5=FALSE,T4=FALSE,T3=FALSE),AA2,IF(AND(T7=FALSE,T6=FALSE,T5=FALSE,T4=FALSE),AA3,IF(AND(T7=FALSE,T6=FALSE,T5=FALSE),AA4,IF(AND(T7=FALSE,T6=FALSE),AA5,IF(T7=FALSE,AA6,AA7))))))</f>
        <v>Soub Askey plat 7016 texturé 2Faces 28 MM</v>
      </c>
      <c r="K7" s="2" t="str">
        <f>IF(W7="","",LOOKUP('Extraction edi'!J7,Paramètrage!$A$6:$A$179,Paramètrage!$B$6:$B$179))</f>
        <v>Type 5 / modèle 450</v>
      </c>
      <c r="L7" s="2" t="str">
        <f>IF(W7="","",LOOKUP('Extraction edi'!J7,Paramètrage!$A$6:$A$179,Paramètrage!$C$6:$C$179))</f>
        <v>ALU blanc</v>
      </c>
      <c r="M7" s="2" t="str">
        <f>IF(W7="","",LOOKUP('Extraction edi'!J7,Paramètrage!$A$6:$A$179,Paramètrage!$D$6:$D$179))</f>
        <v>ALU blanc</v>
      </c>
      <c r="N7" s="3">
        <f>IF(W7="","",LOOKUP('Extraction edi'!J7,Paramètrage!$A$6:$A$179,Paramètrage!$E$6:$E$179))</f>
        <v>28</v>
      </c>
      <c r="O7" s="3">
        <f t="shared" ref="O7:O20" si="11">IF(W7="","",IF(LEFT(AA7,4)="soub",AB7,IF(LEFT(AA7,3)="cim",AB7,AA7)))</f>
        <v>422</v>
      </c>
      <c r="P7" s="3" t="str">
        <f t="shared" si="5"/>
        <v xml:space="preserve">  731</v>
      </c>
      <c r="Q7" s="3" t="str">
        <f t="shared" si="6"/>
        <v/>
      </c>
      <c r="R7" s="3" t="str">
        <f t="shared" ref="R7:R23" si="12">IF(W7="","",IF(RIGHT(L7,7)="RAL9001",L7,IF(LEFT(AE7,1)="N",AE7,IF(LEFT(AE7,1)="S",AE7,IF(LEFT(AE7,1)="G",AE7,"")))))</f>
        <v/>
      </c>
      <c r="S7" s="3" t="str">
        <f t="shared" ref="S7:S22" si="13">IF(W7="","",IF(RIGHT(M7,7)="RAL9001",M7,IF(LEFT(AC7,1)="N",AC7,IF(LEFT(AC7,1)="S",AC7,IF(LEFT(AC7,1)="G",AC7,IF(LEFT(AD7,1)="N",AD7,IF(LEFT(AD7,1)="S",AD7,IF(LEFT(AD7,1)="G",AD7,""))))))))</f>
        <v/>
      </c>
      <c r="T7" s="4" t="b">
        <f t="shared" ref="T7:T20" si="14">IF(W7="","",IF(LEFT(AA7,4)&lt;&gt;"soub",IF(LEFT(AA7,3)&lt;&gt;"cim"=FALSE,AA7),AA7))</f>
        <v>0</v>
      </c>
      <c r="U7" s="5" t="str">
        <f t="shared" ref="U7:U20" si="15">SUBSTITUTE(AC7,"*","")</f>
        <v>2510410.U04</v>
      </c>
      <c r="V7" s="7" t="str">
        <f>IF(W7="","",IF(LOOKUP(W7,'Extration 3E date commande'!$A$6:$A$10000)=W7,LOOKUP(W7,'Extration 3E date commande'!$A$6:$A$10000,'Extration 3E date commande'!$C$6:$C$10000),"PAS DE DATE"))</f>
        <v>PAS DE DATE</v>
      </c>
      <c r="W7" t="s">
        <v>428</v>
      </c>
      <c r="X7">
        <v>1</v>
      </c>
      <c r="Y7" t="s">
        <v>412</v>
      </c>
      <c r="Z7">
        <v>1</v>
      </c>
      <c r="AA7">
        <v>422</v>
      </c>
      <c r="AB7" t="s">
        <v>429</v>
      </c>
      <c r="AC7" t="s">
        <v>428</v>
      </c>
    </row>
    <row r="8" spans="1:31" x14ac:dyDescent="0.25">
      <c r="A8" s="3" t="str">
        <f t="shared" si="7"/>
        <v>2510410</v>
      </c>
      <c r="B8" s="3" t="str">
        <f t="shared" si="8"/>
        <v>U04</v>
      </c>
      <c r="C8" s="3" t="str">
        <f t="shared" si="9"/>
        <v/>
      </c>
      <c r="D8" s="3" t="str">
        <f t="shared" si="2"/>
        <v/>
      </c>
      <c r="E8" s="3" t="str">
        <f t="shared" si="3"/>
        <v>ALU</v>
      </c>
      <c r="F8" s="3" t="str">
        <f t="shared" si="4"/>
        <v/>
      </c>
      <c r="G8" s="3" t="str">
        <f t="shared" si="0"/>
        <v>ALU</v>
      </c>
      <c r="H8" s="3">
        <f t="shared" si="1"/>
        <v>1</v>
      </c>
      <c r="I8" s="3">
        <f t="shared" si="10"/>
        <v>1</v>
      </c>
      <c r="J8" s="2" t="str">
        <f>IF(W8="","",IF(AND(T8=FALSE,T7=FALSE,T6=FALSE,T5=FALSE,T4=FALSE),AA3,IF(AND(T8=FALSE,T7=FALSE,T6=FALSE,T5=FALSE),AA4,IF(AND(T8=FALSE,T7=FALSE,T6=FALSE),AA5,IF(AND(T8=FALSE,T7=FALSE),AA6,IF(T8=FALSE,AA7,AA8))))))</f>
        <v>Soub Askey plat 7016 texturé 2Faces 28 MM</v>
      </c>
      <c r="K8" s="2" t="str">
        <f>IF(W8="","",LOOKUP('Extraction edi'!J8,Paramètrage!$A$6:$A$179,Paramètrage!$B$6:$B$179))</f>
        <v>Type 5 / modèle 450</v>
      </c>
      <c r="L8" s="2" t="str">
        <f>IF(W8="","",LOOKUP('Extraction edi'!J8,Paramètrage!$A$6:$A$179,Paramètrage!$C$6:$C$179))</f>
        <v>ALU blanc</v>
      </c>
      <c r="M8" s="2" t="str">
        <f>IF(W8="","",LOOKUP('Extraction edi'!J8,Paramètrage!$A$6:$A$179,Paramètrage!$D$6:$D$179))</f>
        <v>ALU blanc</v>
      </c>
      <c r="N8" s="3">
        <f>IF(W8="","",LOOKUP('Extraction edi'!J8,Paramètrage!$A$6:$A$179,Paramètrage!$E$6:$E$179))</f>
        <v>28</v>
      </c>
      <c r="O8" s="3">
        <f t="shared" si="11"/>
        <v>776</v>
      </c>
      <c r="P8" s="3" t="str">
        <f t="shared" si="5"/>
        <v xml:space="preserve">  687</v>
      </c>
      <c r="Q8" s="3" t="str">
        <f t="shared" si="6"/>
        <v/>
      </c>
      <c r="R8" s="3" t="str">
        <f t="shared" si="12"/>
        <v/>
      </c>
      <c r="S8" s="3" t="str">
        <f t="shared" si="13"/>
        <v/>
      </c>
      <c r="T8" s="4" t="b">
        <f t="shared" si="14"/>
        <v>0</v>
      </c>
      <c r="U8" s="5" t="str">
        <f t="shared" si="15"/>
        <v>2510410.U04</v>
      </c>
      <c r="V8" s="7" t="str">
        <f>IF(W8="","",IF(LOOKUP(W8,'Extration 3E date commande'!$A$6:$A$10000)=W8,LOOKUP(W8,'Extration 3E date commande'!$A$6:$A$10000,'Extration 3E date commande'!$C$6:$C$10000),"PAS DE DATE"))</f>
        <v>PAS DE DATE</v>
      </c>
      <c r="W8" t="s">
        <v>428</v>
      </c>
      <c r="X8">
        <v>1</v>
      </c>
      <c r="Y8" t="s">
        <v>412</v>
      </c>
      <c r="Z8">
        <v>1</v>
      </c>
      <c r="AA8">
        <v>776</v>
      </c>
      <c r="AB8" t="s">
        <v>430</v>
      </c>
      <c r="AC8" t="s">
        <v>428</v>
      </c>
    </row>
    <row r="9" spans="1:31" x14ac:dyDescent="0.25">
      <c r="A9" s="3" t="str">
        <f t="shared" si="7"/>
        <v>2510410</v>
      </c>
      <c r="B9" s="3" t="str">
        <f t="shared" si="8"/>
        <v>U04</v>
      </c>
      <c r="C9" s="3" t="str">
        <f t="shared" si="9"/>
        <v/>
      </c>
      <c r="D9" s="3" t="str">
        <f t="shared" si="2"/>
        <v/>
      </c>
      <c r="E9" s="3" t="str">
        <f t="shared" si="3"/>
        <v>ALU</v>
      </c>
      <c r="F9" s="3" t="str">
        <f t="shared" si="4"/>
        <v/>
      </c>
      <c r="G9" s="3" t="str">
        <f t="shared" si="0"/>
        <v>ALU</v>
      </c>
      <c r="H9" s="3">
        <f t="shared" si="1"/>
        <v>3</v>
      </c>
      <c r="I9" s="3">
        <f t="shared" si="10"/>
        <v>1</v>
      </c>
      <c r="J9" s="2" t="str">
        <f>IF(W9="","",IF(AND(T9=FALSE,T8=FALSE,T7=FALSE,T6=FALSE,T5=FALSE),AA4,IF(AND(T9=FALSE,T8=FALSE,T7=FALSE,T6=FALSE),AA5,IF(AND(T9=FALSE,T8=FALSE,T7=FALSE),AA6,IF(AND(T9=FALSE,T8=FALSE),AA7,IF(T9=FALSE,AA8,AA9))))))</f>
        <v>Soub Askey plat 7016 texturé 2Faces 28 MM</v>
      </c>
      <c r="K9" s="2" t="str">
        <f>IF(W9="","",LOOKUP('Extraction edi'!J9,Paramètrage!$A$6:$A$179,Paramètrage!$B$6:$B$179))</f>
        <v>Type 5 / modèle 450</v>
      </c>
      <c r="L9" s="2" t="str">
        <f>IF(W9="","",LOOKUP('Extraction edi'!J9,Paramètrage!$A$6:$A$179,Paramètrage!$C$6:$C$179))</f>
        <v>ALU blanc</v>
      </c>
      <c r="M9" s="2" t="str">
        <f>IF(W9="","",LOOKUP('Extraction edi'!J9,Paramètrage!$A$6:$A$179,Paramètrage!$D$6:$D$179))</f>
        <v>ALU blanc</v>
      </c>
      <c r="N9" s="3">
        <f>IF(W9="","",LOOKUP('Extraction edi'!J9,Paramètrage!$A$6:$A$179,Paramètrage!$E$6:$E$179))</f>
        <v>28</v>
      </c>
      <c r="O9" s="3">
        <f t="shared" si="11"/>
        <v>886</v>
      </c>
      <c r="P9" s="3" t="str">
        <f t="shared" si="5"/>
        <v xml:space="preserve">  501</v>
      </c>
      <c r="Q9" s="3" t="str">
        <f t="shared" si="6"/>
        <v/>
      </c>
      <c r="R9" s="3" t="str">
        <f t="shared" si="12"/>
        <v/>
      </c>
      <c r="S9" s="3" t="str">
        <f t="shared" si="13"/>
        <v/>
      </c>
      <c r="T9" s="4" t="b">
        <f t="shared" si="14"/>
        <v>0</v>
      </c>
      <c r="U9" s="5" t="str">
        <f t="shared" si="15"/>
        <v>2510410.U04</v>
      </c>
      <c r="V9" s="7" t="str">
        <f>IF(W9="","",IF(LOOKUP(W9,'Extration 3E date commande'!$A$6:$A$10000)=W9,LOOKUP(W9,'Extration 3E date commande'!$A$6:$A$10000,'Extration 3E date commande'!$C$6:$C$10000),"PAS DE DATE"))</f>
        <v>PAS DE DATE</v>
      </c>
      <c r="W9" t="s">
        <v>428</v>
      </c>
      <c r="X9">
        <v>3</v>
      </c>
      <c r="Y9" t="s">
        <v>412</v>
      </c>
      <c r="Z9">
        <v>1</v>
      </c>
      <c r="AA9">
        <v>886</v>
      </c>
      <c r="AB9" t="s">
        <v>431</v>
      </c>
      <c r="AC9" t="s">
        <v>428</v>
      </c>
    </row>
    <row r="10" spans="1:31" x14ac:dyDescent="0.25">
      <c r="A10" s="3" t="str">
        <f t="shared" ref="A10:A16" si="16">IF(W10="","",LEFT(W10,7))</f>
        <v>2510419</v>
      </c>
      <c r="B10" s="3" t="str">
        <f t="shared" ref="B10:B16" si="17">IF(W10="","",RIGHT(W10,3))</f>
        <v>U04</v>
      </c>
      <c r="C10" s="3" t="str">
        <f t="shared" si="9"/>
        <v/>
      </c>
      <c r="D10" s="3" t="str">
        <f t="shared" si="2"/>
        <v/>
      </c>
      <c r="E10" s="3" t="str">
        <f t="shared" si="3"/>
        <v>ALU</v>
      </c>
      <c r="F10" s="3" t="str">
        <f t="shared" si="4"/>
        <v/>
      </c>
      <c r="G10" s="3" t="str">
        <f t="shared" si="0"/>
        <v>ALU</v>
      </c>
      <c r="H10" s="3">
        <f t="shared" si="1"/>
        <v>1</v>
      </c>
      <c r="I10" s="3">
        <f t="shared" ref="I10:I16" si="18">IF(W10="","",Z10)</f>
        <v>1</v>
      </c>
      <c r="J10" s="2" t="str">
        <f t="shared" ref="J10:J20" si="19">IF(W10="","",IF(AND(T10=FALSE,T9=FALSE,T8=FALSE,T7=FALSE,T6=FALSE),AA5,IF(AND(T10=FALSE,T9=FALSE,T8=FALSE,T7=FALSE),AA6,IF(AND(T10=FALSE,T9=FALSE,T8=FALSE),AA7,IF(AND(T10=FALSE,T9=FALSE),AA8,IF(T10=FALSE,AA9,AA10))))))</f>
        <v>Soub Askey plat 7016 texturé 2Faces 28 MM</v>
      </c>
      <c r="K10" s="2" t="str">
        <f>IF(W10="","",LOOKUP('Extraction edi'!J10,Paramètrage!$A$6:$A$179,Paramètrage!$B$6:$B$179))</f>
        <v>Type 5 / modèle 450</v>
      </c>
      <c r="L10" s="2" t="str">
        <f>IF(W10="","",LOOKUP('Extraction edi'!J10,Paramètrage!$A$6:$A$179,Paramètrage!$C$6:$C$179))</f>
        <v>ALU blanc</v>
      </c>
      <c r="M10" s="2" t="str">
        <f>IF(W10="","",LOOKUP('Extraction edi'!J10,Paramètrage!$A$6:$A$179,Paramètrage!$D$6:$D$179))</f>
        <v>ALU blanc</v>
      </c>
      <c r="N10" s="3">
        <f>IF(W10="","",LOOKUP('Extraction edi'!J10,Paramètrage!$A$6:$A$179,Paramètrage!$E$6:$E$179))</f>
        <v>28</v>
      </c>
      <c r="O10" s="3">
        <f t="shared" ref="O10:O16" si="20">IF(W10="","",IF(LEFT(AA10,4)="soub",AB10,IF(LEFT(AA10,3)="cim",AB10,AA10)))</f>
        <v>726</v>
      </c>
      <c r="P10" s="3" t="str">
        <f t="shared" si="5"/>
        <v xml:space="preserve">  1903</v>
      </c>
      <c r="Q10" s="3" t="str">
        <f t="shared" si="6"/>
        <v/>
      </c>
      <c r="R10" s="3" t="str">
        <f t="shared" si="12"/>
        <v/>
      </c>
      <c r="S10" s="3" t="str">
        <f t="shared" si="13"/>
        <v/>
      </c>
      <c r="T10" s="4" t="str">
        <f t="shared" ref="T10:T16" si="21">IF(W10="","",IF(LEFT(AA10,4)&lt;&gt;"soub",IF(LEFT(AA10,3)&lt;&gt;"cim"=FALSE,AA10),AA10))</f>
        <v>Soub Askey plat 7016 texturé 2Faces 28 MM</v>
      </c>
      <c r="U10" s="5" t="str">
        <f t="shared" ref="U10:U16" si="22">SUBSTITUTE(AC10,"*","")</f>
        <v xml:space="preserve">  1903</v>
      </c>
      <c r="V10" s="7" t="str">
        <f>IF(W10="","",IF(LOOKUP(W10,'Extration 3E date commande'!$A$6:$A$10000)=W10,LOOKUP(W10,'Extration 3E date commande'!$A$6:$A$10000,'Extration 3E date commande'!$C$6:$C$10000),"PAS DE DATE"))</f>
        <v>PAS DE DATE</v>
      </c>
      <c r="W10" t="s">
        <v>432</v>
      </c>
      <c r="X10">
        <v>1</v>
      </c>
      <c r="Y10" t="s">
        <v>412</v>
      </c>
      <c r="Z10">
        <v>1</v>
      </c>
      <c r="AA10" t="s">
        <v>393</v>
      </c>
      <c r="AB10">
        <v>726</v>
      </c>
      <c r="AC10" t="s">
        <v>433</v>
      </c>
      <c r="AD10" t="s">
        <v>432</v>
      </c>
    </row>
    <row r="11" spans="1:31" x14ac:dyDescent="0.25">
      <c r="A11" s="3" t="str">
        <f t="shared" si="16"/>
        <v>2511361</v>
      </c>
      <c r="B11" s="3" t="str">
        <f t="shared" si="17"/>
        <v>Z00</v>
      </c>
      <c r="C11" s="3" t="str">
        <f t="shared" si="9"/>
        <v/>
      </c>
      <c r="D11" s="3" t="str">
        <f t="shared" si="2"/>
        <v/>
      </c>
      <c r="E11" s="3" t="str">
        <f t="shared" si="3"/>
        <v/>
      </c>
      <c r="F11" s="3" t="b">
        <f t="shared" si="4"/>
        <v>0</v>
      </c>
      <c r="G11" s="3" t="str">
        <f t="shared" si="0"/>
        <v>STD</v>
      </c>
      <c r="H11" s="3">
        <f t="shared" si="1"/>
        <v>2</v>
      </c>
      <c r="I11" s="3">
        <f t="shared" si="18"/>
        <v>2</v>
      </c>
      <c r="J11" s="2" t="str">
        <f t="shared" si="19"/>
        <v>soubassement MOULURE CHENE NAT 1F/ LQ 1 FACE 28 MM</v>
      </c>
      <c r="K11" s="2" t="str">
        <f>IF(W11="","",LOOKUP('Extraction edi'!J11,Paramètrage!$A$6:$A$179,Paramètrage!$B$6:$B$179))</f>
        <v>Type 1 / modèle 451</v>
      </c>
      <c r="L11" s="2" t="str">
        <f>IF(W11="","",LOOKUP('Extraction edi'!J11,Paramètrage!$A$6:$A$179,Paramètrage!$C$6:$C$179))</f>
        <v>Plaxé tuner oak / F4703001</v>
      </c>
      <c r="M11" s="2" t="str">
        <f>IF(W11="","",LOOKUP('Extraction edi'!J11,Paramètrage!$A$6:$A$179,Paramètrage!$D$6:$D$179))</f>
        <v>ALU blanc</v>
      </c>
      <c r="N11" s="3">
        <f>IF(W11="","",LOOKUP('Extraction edi'!J11,Paramètrage!$A$6:$A$179,Paramètrage!$E$6:$E$179))</f>
        <v>28</v>
      </c>
      <c r="O11" s="3">
        <f t="shared" si="20"/>
        <v>506</v>
      </c>
      <c r="P11" s="3" t="str">
        <f t="shared" si="5"/>
        <v xml:space="preserve">  410</v>
      </c>
      <c r="Q11" s="3" t="str">
        <f t="shared" si="6"/>
        <v>laquage RAL :</v>
      </c>
      <c r="R11" s="3" t="str">
        <f t="shared" si="12"/>
        <v/>
      </c>
      <c r="S11" s="3" t="str">
        <f t="shared" si="13"/>
        <v/>
      </c>
      <c r="T11" s="4" t="str">
        <f t="shared" si="21"/>
        <v>soubassement MOULURE CHENE NAT 1F/ LQ 1 FACE 28 MM</v>
      </c>
      <c r="U11" s="5" t="str">
        <f t="shared" si="22"/>
        <v xml:space="preserve">  410</v>
      </c>
      <c r="V11" s="7" t="str">
        <f>IF(W11="","",IF(LOOKUP(W11,'Extration 3E date commande'!$A$6:$A$10000)=W11,LOOKUP(W11,'Extration 3E date commande'!$A$6:$A$10000,'Extration 3E date commande'!$C$6:$C$10000),"PAS DE DATE"))</f>
        <v>PAS DE DATE</v>
      </c>
      <c r="W11" t="s">
        <v>434</v>
      </c>
      <c r="X11">
        <v>2</v>
      </c>
      <c r="Y11" t="s">
        <v>412</v>
      </c>
      <c r="Z11">
        <v>2</v>
      </c>
      <c r="AA11" t="s">
        <v>334</v>
      </c>
      <c r="AB11">
        <v>506</v>
      </c>
      <c r="AC11" t="s">
        <v>435</v>
      </c>
      <c r="AD11" t="s">
        <v>434</v>
      </c>
    </row>
    <row r="12" spans="1:31" x14ac:dyDescent="0.25">
      <c r="A12" s="3" t="str">
        <f t="shared" si="16"/>
        <v>2511361</v>
      </c>
      <c r="B12" s="3" t="str">
        <f t="shared" si="17"/>
        <v>Z00</v>
      </c>
      <c r="C12" s="3" t="str">
        <f t="shared" si="9"/>
        <v/>
      </c>
      <c r="D12" s="3" t="str">
        <f t="shared" si="2"/>
        <v/>
      </c>
      <c r="E12" s="3" t="str">
        <f t="shared" si="3"/>
        <v/>
      </c>
      <c r="F12" s="3" t="b">
        <f t="shared" si="4"/>
        <v>0</v>
      </c>
      <c r="G12" s="3" t="str">
        <f t="shared" si="0"/>
        <v>STD</v>
      </c>
      <c r="H12" s="3">
        <f t="shared" si="1"/>
        <v>2</v>
      </c>
      <c r="I12" s="3">
        <f t="shared" si="18"/>
        <v>2</v>
      </c>
      <c r="J12" s="2" t="str">
        <f t="shared" si="19"/>
        <v>soubassement MOULURE CHENE NAT 1F/ LQ 1 FACE 28 MM</v>
      </c>
      <c r="K12" s="2" t="str">
        <f>IF(W12="","",LOOKUP('Extraction edi'!J12,Paramètrage!$A$6:$A$179,Paramètrage!$B$6:$B$179))</f>
        <v>Type 1 / modèle 451</v>
      </c>
      <c r="L12" s="2" t="str">
        <f>IF(W12="","",LOOKUP('Extraction edi'!J12,Paramètrage!$A$6:$A$179,Paramètrage!$C$6:$C$179))</f>
        <v>Plaxé tuner oak / F4703001</v>
      </c>
      <c r="M12" s="2" t="str">
        <f>IF(W12="","",LOOKUP('Extraction edi'!J12,Paramètrage!$A$6:$A$179,Paramètrage!$D$6:$D$179))</f>
        <v>ALU blanc</v>
      </c>
      <c r="N12" s="3">
        <f>IF(W12="","",LOOKUP('Extraction edi'!J12,Paramètrage!$A$6:$A$179,Paramètrage!$E$6:$E$179))</f>
        <v>28</v>
      </c>
      <c r="O12" s="3">
        <f t="shared" si="20"/>
        <v>506</v>
      </c>
      <c r="P12" s="3" t="str">
        <f t="shared" si="5"/>
        <v xml:space="preserve">  410</v>
      </c>
      <c r="Q12" s="3" t="str">
        <f t="shared" si="6"/>
        <v>laquage RAL :</v>
      </c>
      <c r="R12" s="3" t="str">
        <f t="shared" si="12"/>
        <v/>
      </c>
      <c r="S12" s="3" t="str">
        <f t="shared" si="13"/>
        <v/>
      </c>
      <c r="T12" s="4" t="b">
        <f t="shared" si="21"/>
        <v>0</v>
      </c>
      <c r="U12" s="5" t="str">
        <f t="shared" si="22"/>
        <v>2511361.Z00</v>
      </c>
      <c r="V12" s="7" t="str">
        <f>IF(W12="","",IF(LOOKUP(W12,'Extration 3E date commande'!$A$6:$A$10000)=W12,LOOKUP(W12,'Extration 3E date commande'!$A$6:$A$10000,'Extration 3E date commande'!$C$6:$C$10000),"PAS DE DATE"))</f>
        <v>PAS DE DATE</v>
      </c>
      <c r="W12" t="s">
        <v>434</v>
      </c>
      <c r="X12">
        <v>2</v>
      </c>
      <c r="Y12" t="s">
        <v>412</v>
      </c>
      <c r="Z12">
        <v>2</v>
      </c>
      <c r="AA12">
        <v>506</v>
      </c>
      <c r="AB12" t="s">
        <v>435</v>
      </c>
      <c r="AC12" t="s">
        <v>434</v>
      </c>
    </row>
    <row r="13" spans="1:31" x14ac:dyDescent="0.25">
      <c r="A13" s="3" t="str">
        <f t="shared" si="16"/>
        <v>2511843</v>
      </c>
      <c r="B13" s="3" t="str">
        <f t="shared" si="17"/>
        <v>HO0</v>
      </c>
      <c r="C13" s="3" t="str">
        <f t="shared" si="9"/>
        <v/>
      </c>
      <c r="D13" s="3" t="str">
        <f t="shared" si="2"/>
        <v/>
      </c>
      <c r="E13" s="3" t="str">
        <f t="shared" si="3"/>
        <v/>
      </c>
      <c r="F13" s="3" t="str">
        <f t="shared" si="4"/>
        <v>TEX</v>
      </c>
      <c r="G13" s="3" t="str">
        <f t="shared" ref="G13:G69" si="23">IF(B13="","",IF(C13="SAV","NEG/RELI/SAV",IF(C13="NEGOCE","NEG/RELI/SAV",IF(C13="RELI","NEG/RELI/SAV",IF(E13="ALU","ALU",IF(D13="PE","PE",IF(F13="TEX","TEX","STD")))))))</f>
        <v>TEX</v>
      </c>
      <c r="H13" s="3">
        <f t="shared" ref="H13:H28" si="24">IF(W13="","",X13)</f>
        <v>1</v>
      </c>
      <c r="I13" s="3">
        <f t="shared" si="18"/>
        <v>1</v>
      </c>
      <c r="J13" s="2" t="str">
        <f t="shared" si="19"/>
        <v>soubassement mouluré ALU LAQUE 1 FACES 28 MM</v>
      </c>
      <c r="K13" s="2" t="str">
        <f>IF(W13="","",LOOKUP('Extraction edi'!J13,Paramètrage!$A$6:$A$179,Paramètrage!$B$6:$B$179))</f>
        <v>Type 1 A / modèle 451</v>
      </c>
      <c r="L13" s="2" t="str">
        <f>IF(W13="","",LOOKUP('Extraction edi'!J13,Paramètrage!$A$6:$A$179,Paramètrage!$C$6:$C$179))</f>
        <v>ALU blanc</v>
      </c>
      <c r="M13" s="2" t="str">
        <f>IF(W13="","",LOOKUP('Extraction edi'!J13,Paramètrage!$A$6:$A$179,Paramètrage!$D$6:$D$179))</f>
        <v>ALU blanc</v>
      </c>
      <c r="N13" s="3">
        <f>IF(W13="","",LOOKUP('Extraction edi'!J13,Paramètrage!$A$6:$A$179,Paramètrage!$E$6:$E$179))</f>
        <v>28</v>
      </c>
      <c r="O13" s="3">
        <f t="shared" si="20"/>
        <v>911</v>
      </c>
      <c r="P13" s="3" t="str">
        <f t="shared" si="5"/>
        <v xml:space="preserve">  376</v>
      </c>
      <c r="Q13" s="3" t="str">
        <f>IF(ISERROR(SEARCH("laq",J13))=FALSE,"laquage RAL :",IF(ISERROR(SEARCH("lq",J13))=FALSE,"laquage RAL :",IF(ISERROR(SEARCH("ANO",J13))=FALSE,"laquage RAL :",IF(ISERROR(SEARCH("IVOI",J13)),"","laquage RAL :"))))</f>
        <v>laquage RAL :</v>
      </c>
      <c r="R13" s="3" t="str">
        <f t="shared" si="12"/>
        <v/>
      </c>
      <c r="S13" s="3" t="str">
        <f t="shared" si="13"/>
        <v/>
      </c>
      <c r="T13" s="4" t="str">
        <f t="shared" si="21"/>
        <v>soubassement mouluré ALU LAQUE 1 FACES 28 MM</v>
      </c>
      <c r="U13" s="5" t="str">
        <f t="shared" si="22"/>
        <v xml:space="preserve">  376</v>
      </c>
      <c r="V13" s="7" t="str">
        <f>IF(W13="","",IF(LOOKUP(W13,'Extration 3E date commande'!$A$6:$A$10000)=W13,LOOKUP(W13,'Extration 3E date commande'!$A$6:$A$10000,'Extration 3E date commande'!$C$6:$C$10000),"PAS DE DATE"))</f>
        <v>PAS DE DATE</v>
      </c>
      <c r="W13" t="s">
        <v>436</v>
      </c>
      <c r="X13">
        <v>1</v>
      </c>
      <c r="Y13" t="s">
        <v>412</v>
      </c>
      <c r="Z13">
        <v>1</v>
      </c>
      <c r="AA13" t="s">
        <v>3</v>
      </c>
      <c r="AB13">
        <v>911</v>
      </c>
      <c r="AC13" t="s">
        <v>437</v>
      </c>
      <c r="AD13" t="s">
        <v>436</v>
      </c>
    </row>
    <row r="14" spans="1:31" x14ac:dyDescent="0.25">
      <c r="A14" s="3" t="str">
        <f t="shared" si="16"/>
        <v>2511843</v>
      </c>
      <c r="B14" s="3" t="str">
        <f t="shared" si="17"/>
        <v>HO0</v>
      </c>
      <c r="C14" s="3" t="str">
        <f t="shared" si="9"/>
        <v/>
      </c>
      <c r="D14" s="3" t="str">
        <f t="shared" si="2"/>
        <v/>
      </c>
      <c r="E14" s="3" t="str">
        <f t="shared" si="3"/>
        <v/>
      </c>
      <c r="F14" s="3" t="str">
        <f t="shared" si="4"/>
        <v>TEX</v>
      </c>
      <c r="G14" s="3" t="str">
        <f t="shared" si="23"/>
        <v>TEX</v>
      </c>
      <c r="H14" s="3">
        <f t="shared" si="24"/>
        <v>2</v>
      </c>
      <c r="I14" s="3">
        <f t="shared" si="18"/>
        <v>1</v>
      </c>
      <c r="J14" s="2" t="str">
        <f t="shared" si="19"/>
        <v>soubassement mouluré ALU LAQUE 1 FACES 28 MM</v>
      </c>
      <c r="K14" s="2" t="str">
        <f>IF(W14="","",LOOKUP('Extraction edi'!J14,Paramètrage!$A$6:$A$179,Paramètrage!$B$6:$B$179))</f>
        <v>Type 1 A / modèle 451</v>
      </c>
      <c r="L14" s="2" t="str">
        <f>IF(W14="","",LOOKUP('Extraction edi'!J14,Paramètrage!$A$6:$A$179,Paramètrage!$C$6:$C$179))</f>
        <v>ALU blanc</v>
      </c>
      <c r="M14" s="2" t="str">
        <f>IF(W14="","",LOOKUP('Extraction edi'!J14,Paramètrage!$A$6:$A$179,Paramètrage!$D$6:$D$179))</f>
        <v>ALU blanc</v>
      </c>
      <c r="N14" s="3">
        <f>IF(W14="","",LOOKUP('Extraction edi'!J14,Paramètrage!$A$6:$A$179,Paramètrage!$E$6:$E$179))</f>
        <v>28</v>
      </c>
      <c r="O14" s="3">
        <f t="shared" si="20"/>
        <v>911</v>
      </c>
      <c r="P14" s="3" t="str">
        <f t="shared" si="5"/>
        <v xml:space="preserve">  336</v>
      </c>
      <c r="Q14" s="3" t="str">
        <f>IF(ISERROR(SEARCH("laq",J14))=FALSE,"laquage RAL :",IF(ISERROR(SEARCH("lq",J14))=FALSE,"laquage RAL :",IF(ISERROR(SEARCH("ANO",J14))=FALSE,"laquage RAL :",IF(ISERROR(SEARCH("IVOI",J14)),"","laquage RAL :"))))</f>
        <v>laquage RAL :</v>
      </c>
      <c r="R14" s="3" t="str">
        <f t="shared" si="12"/>
        <v/>
      </c>
      <c r="S14" s="3" t="str">
        <f t="shared" si="13"/>
        <v/>
      </c>
      <c r="T14" s="4" t="b">
        <f t="shared" si="21"/>
        <v>0</v>
      </c>
      <c r="U14" s="5" t="str">
        <f t="shared" si="22"/>
        <v>2511843.HO0</v>
      </c>
      <c r="V14" s="7" t="str">
        <f>IF(W14="","",IF(LOOKUP(W14,'Extration 3E date commande'!$A$6:$A$10000)=W14,LOOKUP(W14,'Extration 3E date commande'!$A$6:$A$10000,'Extration 3E date commande'!$C$6:$C$10000),"PAS DE DATE"))</f>
        <v>PAS DE DATE</v>
      </c>
      <c r="W14" t="s">
        <v>436</v>
      </c>
      <c r="X14">
        <v>2</v>
      </c>
      <c r="Y14" t="s">
        <v>412</v>
      </c>
      <c r="Z14">
        <v>1</v>
      </c>
      <c r="AA14">
        <v>911</v>
      </c>
      <c r="AB14" t="s">
        <v>438</v>
      </c>
      <c r="AC14" t="s">
        <v>436</v>
      </c>
    </row>
    <row r="15" spans="1:31" x14ac:dyDescent="0.25">
      <c r="A15" s="3" t="str">
        <f t="shared" si="16"/>
        <v>2511847</v>
      </c>
      <c r="B15" s="3" t="str">
        <f t="shared" si="17"/>
        <v>Z01</v>
      </c>
      <c r="C15" s="3" t="str">
        <f t="shared" si="9"/>
        <v/>
      </c>
      <c r="D15" s="3" t="str">
        <f t="shared" si="2"/>
        <v/>
      </c>
      <c r="E15" s="3" t="str">
        <f t="shared" si="3"/>
        <v/>
      </c>
      <c r="F15" s="3" t="b">
        <f t="shared" si="4"/>
        <v>0</v>
      </c>
      <c r="G15" s="3" t="str">
        <f t="shared" si="23"/>
        <v>STD</v>
      </c>
      <c r="H15" s="3">
        <f t="shared" si="24"/>
        <v>1</v>
      </c>
      <c r="I15" s="3">
        <f t="shared" si="18"/>
        <v>1</v>
      </c>
      <c r="J15" s="2" t="str">
        <f t="shared" si="19"/>
        <v>soubassement MOULURE ALU CHENE IRLAN 1F/LQ 1F 28MM</v>
      </c>
      <c r="K15" s="2" t="str">
        <f>IF(W15="","",LOOKUP('Extraction edi'!J15,Paramètrage!$A$6:$A$179,Paramètrage!$B$6:$B$179))</f>
        <v>Type 1 A / modèle 451</v>
      </c>
      <c r="L15" s="2" t="str">
        <f>IF(W15="","",LOOKUP('Extraction edi'!J15,Paramètrage!$A$6:$A$179,Paramètrage!$C$6:$C$179))</f>
        <v>Plaxé chêne irlandais / 3211 005-148</v>
      </c>
      <c r="M15" s="2" t="str">
        <f>IF(W15="","",LOOKUP('Extraction edi'!J15,Paramètrage!$A$6:$A$179,Paramètrage!$D$6:$D$179))</f>
        <v>ALU blanc</v>
      </c>
      <c r="N15" s="3">
        <f>IF(W15="","",LOOKUP('Extraction edi'!J15,Paramètrage!$A$6:$A$179,Paramètrage!$E$6:$E$179))</f>
        <v>28</v>
      </c>
      <c r="O15" s="3">
        <f t="shared" si="20"/>
        <v>1164</v>
      </c>
      <c r="P15" s="3" t="str">
        <f t="shared" si="5"/>
        <v xml:space="preserve">  237</v>
      </c>
      <c r="Q15" s="3" t="str">
        <f>IF(ISERROR(SEARCH("laq",J15))=FALSE,"laquage RAL :",IF(ISERROR(SEARCH("lq",J15))=FALSE,"laquage RAL :",IF(ISERROR(SEARCH("ANO",J15))=FALSE,"laquage RAL :",IF(ISERROR(SEARCH("IVOI",J15)),"","laquage RAL :"))))</f>
        <v>laquage RAL :</v>
      </c>
      <c r="R15" s="3" t="str">
        <f t="shared" si="12"/>
        <v/>
      </c>
      <c r="S15" s="3" t="str">
        <f t="shared" si="13"/>
        <v>S3009</v>
      </c>
      <c r="T15" s="4" t="str">
        <f t="shared" si="21"/>
        <v>soubassement MOULURE ALU CHENE IRLAN 1F/LQ 1F 28MM</v>
      </c>
      <c r="U15" s="5" t="str">
        <f t="shared" si="22"/>
        <v xml:space="preserve">  237</v>
      </c>
      <c r="V15" s="7" t="str">
        <f>IF(W15="","",IF(LOOKUP(W15,'Extration 3E date commande'!$A$6:$A$10000)=W15,LOOKUP(W15,'Extration 3E date commande'!$A$6:$A$10000,'Extration 3E date commande'!$C$6:$C$10000),"PAS DE DATE"))</f>
        <v>PAS DE DATE</v>
      </c>
      <c r="W15" t="s">
        <v>439</v>
      </c>
      <c r="X15">
        <v>1</v>
      </c>
      <c r="Y15" t="s">
        <v>412</v>
      </c>
      <c r="Z15">
        <v>1</v>
      </c>
      <c r="AA15" t="s">
        <v>89</v>
      </c>
      <c r="AB15">
        <v>1164</v>
      </c>
      <c r="AC15" t="s">
        <v>440</v>
      </c>
      <c r="AD15" t="s">
        <v>441</v>
      </c>
      <c r="AE15" t="s">
        <v>439</v>
      </c>
    </row>
    <row r="16" spans="1:31" x14ac:dyDescent="0.25">
      <c r="A16" s="3" t="str">
        <f t="shared" si="16"/>
        <v>2511847</v>
      </c>
      <c r="B16" s="3" t="str">
        <f t="shared" si="17"/>
        <v>Z01</v>
      </c>
      <c r="C16" s="3" t="str">
        <f t="shared" si="9"/>
        <v/>
      </c>
      <c r="D16" s="3" t="str">
        <f t="shared" si="2"/>
        <v/>
      </c>
      <c r="E16" s="3" t="str">
        <f t="shared" si="3"/>
        <v/>
      </c>
      <c r="F16" s="3" t="b">
        <f t="shared" si="4"/>
        <v>0</v>
      </c>
      <c r="G16" s="3" t="str">
        <f t="shared" si="23"/>
        <v>STD</v>
      </c>
      <c r="H16" s="3">
        <f t="shared" si="24"/>
        <v>1</v>
      </c>
      <c r="I16" s="3">
        <f t="shared" si="18"/>
        <v>1</v>
      </c>
      <c r="J16" s="2" t="str">
        <f t="shared" si="19"/>
        <v>soubassement MOULURE ALU CHENE IRLAN 1F/LQ 1F 28MM</v>
      </c>
      <c r="K16" s="2" t="str">
        <f>IF(W16="","",LOOKUP('Extraction edi'!J16,Paramètrage!$A$6:$A$179,Paramètrage!$B$6:$B$179))</f>
        <v>Type 1 A / modèle 451</v>
      </c>
      <c r="L16" s="2" t="str">
        <f>IF(W16="","",LOOKUP('Extraction edi'!J16,Paramètrage!$A$6:$A$179,Paramètrage!$C$6:$C$179))</f>
        <v>Plaxé chêne irlandais / 3211 005-148</v>
      </c>
      <c r="M16" s="2" t="str">
        <f>IF(W16="","",LOOKUP('Extraction edi'!J16,Paramètrage!$A$6:$A$179,Paramètrage!$D$6:$D$179))</f>
        <v>ALU blanc</v>
      </c>
      <c r="N16" s="3">
        <f>IF(W16="","",LOOKUP('Extraction edi'!J16,Paramètrage!$A$6:$A$179,Paramètrage!$E$6:$E$179))</f>
        <v>28</v>
      </c>
      <c r="O16" s="3">
        <f t="shared" si="20"/>
        <v>1164</v>
      </c>
      <c r="P16" s="3" t="str">
        <f t="shared" si="5"/>
        <v xml:space="preserve">  237</v>
      </c>
      <c r="Q16" s="3" t="str">
        <f t="shared" ref="Q16:Q78" si="25">IF(ISERROR(SEARCH("laq",J16))=FALSE,"laquage RAL :",IF(ISERROR(SEARCH("lq",J16))=FALSE,"laquage RAL :",IF(ISERROR(SEARCH("ANO",J15))=FALSE,"laquage RAL :",IF(ISERROR(SEARCH("IVOI",J16)),"","laquage RAL :"))))</f>
        <v>laquage RAL :</v>
      </c>
      <c r="R16" s="3" t="str">
        <f t="shared" si="12"/>
        <v/>
      </c>
      <c r="S16" s="3" t="str">
        <f t="shared" si="13"/>
        <v>S3009</v>
      </c>
      <c r="T16" s="4" t="b">
        <f t="shared" si="21"/>
        <v>0</v>
      </c>
      <c r="U16" s="5" t="str">
        <f t="shared" si="22"/>
        <v>S3009</v>
      </c>
      <c r="V16" s="7" t="str">
        <f>IF(W16="","",IF(LOOKUP(W16,'Extration 3E date commande'!$A$6:$A$10000)=W16,LOOKUP(W16,'Extration 3E date commande'!$A$6:$A$10000,'Extration 3E date commande'!$C$6:$C$10000),"PAS DE DATE"))</f>
        <v>PAS DE DATE</v>
      </c>
      <c r="W16" t="s">
        <v>439</v>
      </c>
      <c r="X16">
        <v>1</v>
      </c>
      <c r="Y16" t="s">
        <v>412</v>
      </c>
      <c r="Z16">
        <v>1</v>
      </c>
      <c r="AA16">
        <v>1164</v>
      </c>
      <c r="AB16" t="s">
        <v>440</v>
      </c>
      <c r="AC16" t="s">
        <v>441</v>
      </c>
      <c r="AD16" t="s">
        <v>439</v>
      </c>
    </row>
    <row r="17" spans="1:32" x14ac:dyDescent="0.25">
      <c r="A17" s="3" t="str">
        <f t="shared" si="7"/>
        <v>2508656</v>
      </c>
      <c r="B17" s="3" t="str">
        <f t="shared" si="8"/>
        <v>HP2</v>
      </c>
      <c r="C17" s="3" t="str">
        <f t="shared" si="9"/>
        <v/>
      </c>
      <c r="D17" s="3" t="str">
        <f t="shared" si="2"/>
        <v>PE</v>
      </c>
      <c r="E17" s="3" t="str">
        <f t="shared" si="3"/>
        <v/>
      </c>
      <c r="F17" s="3" t="str">
        <f t="shared" si="4"/>
        <v>TEX</v>
      </c>
      <c r="G17" s="3" t="str">
        <f t="shared" si="23"/>
        <v>PE</v>
      </c>
      <c r="H17" s="3">
        <f t="shared" si="24"/>
        <v>1</v>
      </c>
      <c r="I17" s="3">
        <f t="shared" si="10"/>
        <v>1</v>
      </c>
      <c r="J17" s="2" t="str">
        <f>IF(W17="","",IF(AND(T17=FALSE,T16=FALSE,T15=FALSE,T14=FALSE,T13=FALSE),#REF!,IF(AND(T17=FALSE,T16=FALSE,T15=FALSE,T14=FALSE),AA13,IF(AND(T17=FALSE,T16=FALSE,T15=FALSE),AA14,IF(AND(T17=FALSE,T16=FALSE),AA15,IF(T17=FALSE,AA16,AA17))))))</f>
        <v>soubassement MOUL ALU LAQ 2 FACES POUR PE 28MM</v>
      </c>
      <c r="K17" s="2" t="str">
        <f>IF(W17="","",LOOKUP('Extraction edi'!J17,Paramètrage!$A$6:$A$179,Paramètrage!$B$6:$B$179))</f>
        <v>Type 1 A / modèle 451</v>
      </c>
      <c r="L17" s="2" t="str">
        <f>IF(W17="","",LOOKUP('Extraction edi'!J17,Paramètrage!$A$6:$A$179,Paramètrage!$C$6:$C$179))</f>
        <v>ALU blanc</v>
      </c>
      <c r="M17" s="2" t="str">
        <f>IF(W17="","",LOOKUP('Extraction edi'!J17,Paramètrage!$A$6:$A$179,Paramètrage!$D$6:$D$179))</f>
        <v>ALU blanc</v>
      </c>
      <c r="N17" s="3">
        <f>IF(W17="","",LOOKUP('Extraction edi'!J17,Paramètrage!$A$6:$A$179,Paramètrage!$E$6:$E$179))</f>
        <v>28</v>
      </c>
      <c r="O17" s="3">
        <f t="shared" si="11"/>
        <v>768</v>
      </c>
      <c r="P17" s="3" t="str">
        <f t="shared" si="5"/>
        <v xml:space="preserve">  886</v>
      </c>
      <c r="Q17" s="3" t="str">
        <f t="shared" si="25"/>
        <v>laquage RAL :</v>
      </c>
      <c r="R17" s="3" t="str">
        <f t="shared" si="12"/>
        <v>G9005</v>
      </c>
      <c r="S17" s="3" t="str">
        <f t="shared" si="13"/>
        <v>G9005</v>
      </c>
      <c r="T17" s="4" t="str">
        <f t="shared" si="14"/>
        <v>soubassement MOUL ALU LAQ 2 FACES POUR PE 28MM</v>
      </c>
      <c r="U17" s="5" t="str">
        <f t="shared" si="15"/>
        <v xml:space="preserve">  886</v>
      </c>
      <c r="V17" s="7" t="str">
        <f>IF(W17="","",IF(LOOKUP(W17,'Extration 3E date commande'!$A$6:$A$10000)=W17,LOOKUP(W17,'Extration 3E date commande'!$A$6:$A$10000,'Extration 3E date commande'!$C$6:$C$10000),"PAS DE DATE"))</f>
        <v>PAS DE DATE</v>
      </c>
      <c r="W17" t="s">
        <v>442</v>
      </c>
      <c r="X17">
        <v>1</v>
      </c>
      <c r="Y17" t="s">
        <v>412</v>
      </c>
      <c r="Z17">
        <v>1</v>
      </c>
      <c r="AA17" t="s">
        <v>69</v>
      </c>
      <c r="AB17">
        <v>768</v>
      </c>
      <c r="AC17" t="s">
        <v>443</v>
      </c>
      <c r="AD17" t="s">
        <v>444</v>
      </c>
      <c r="AE17" t="s">
        <v>444</v>
      </c>
      <c r="AF17" t="s">
        <v>442</v>
      </c>
    </row>
    <row r="18" spans="1:32" x14ac:dyDescent="0.25">
      <c r="A18" s="3" t="str">
        <f t="shared" si="7"/>
        <v>2510413</v>
      </c>
      <c r="B18" s="3" t="str">
        <f t="shared" si="8"/>
        <v>XP0</v>
      </c>
      <c r="C18" s="3" t="str">
        <f t="shared" si="9"/>
        <v/>
      </c>
      <c r="D18" s="3" t="str">
        <f t="shared" si="2"/>
        <v>PE</v>
      </c>
      <c r="E18" s="3" t="str">
        <f t="shared" si="3"/>
        <v/>
      </c>
      <c r="F18" s="3" t="str">
        <f t="shared" si="4"/>
        <v>TEX</v>
      </c>
      <c r="G18" s="3" t="str">
        <f t="shared" si="23"/>
        <v>PE</v>
      </c>
      <c r="H18" s="3">
        <f t="shared" si="24"/>
        <v>1</v>
      </c>
      <c r="I18" s="3">
        <f t="shared" si="10"/>
        <v>1</v>
      </c>
      <c r="J18" s="2" t="str">
        <f t="shared" si="19"/>
        <v>soub PLAT GRIS ANTHRACITE MAT 2F 28 MM POUR PE</v>
      </c>
      <c r="K18" s="2" t="str">
        <f>IF(W18="","",LOOKUP('Extraction edi'!J18,Paramètrage!$A$6:$A$179,Paramètrage!$B$6:$B$179))</f>
        <v>Type 5 / modèle 450</v>
      </c>
      <c r="L18" s="2" t="str">
        <f>IF(W18="","",LOOKUP('Extraction edi'!J18,Paramètrage!$A$6:$A$179,Paramètrage!$C$6:$C$179))</f>
        <v>Plaxé gris anthracite mat lisse/F4366003</v>
      </c>
      <c r="M18" s="2" t="str">
        <f>IF(W18="","",LOOKUP('Extraction edi'!J18,Paramètrage!$A$6:$A$179,Paramètrage!$D$6:$D$179))</f>
        <v>Plaxé gris anthracite mat lisse/F4366003</v>
      </c>
      <c r="N18" s="3">
        <f>IF(W18="","",LOOKUP('Extraction edi'!J18,Paramètrage!$A$6:$A$179,Paramètrage!$E$6:$E$179))</f>
        <v>28</v>
      </c>
      <c r="O18" s="3">
        <f t="shared" si="11"/>
        <v>789</v>
      </c>
      <c r="P18" s="3" t="str">
        <f t="shared" si="5"/>
        <v xml:space="preserve">  1960</v>
      </c>
      <c r="Q18" s="3" t="str">
        <f t="shared" si="25"/>
        <v/>
      </c>
      <c r="R18" s="3" t="str">
        <f t="shared" si="12"/>
        <v/>
      </c>
      <c r="S18" s="3" t="str">
        <f t="shared" si="13"/>
        <v/>
      </c>
      <c r="T18" s="4" t="str">
        <f t="shared" si="14"/>
        <v>soub PLAT GRIS ANTHRACITE MAT 2F 28 MM POUR PE</v>
      </c>
      <c r="U18" s="5" t="str">
        <f t="shared" si="15"/>
        <v xml:space="preserve">  1960</v>
      </c>
      <c r="V18" s="7" t="str">
        <f>IF(W18="","",IF(LOOKUP(W18,'Extration 3E date commande'!$A$6:$A$10000)=W18,LOOKUP(W18,'Extration 3E date commande'!$A$6:$A$10000,'Extration 3E date commande'!$C$6:$C$10000),"PAS DE DATE"))</f>
        <v>PAS DE DATE</v>
      </c>
      <c r="W18" t="s">
        <v>445</v>
      </c>
      <c r="X18">
        <v>1</v>
      </c>
      <c r="Y18" t="s">
        <v>412</v>
      </c>
      <c r="Z18">
        <v>1</v>
      </c>
      <c r="AA18" t="s">
        <v>348</v>
      </c>
      <c r="AB18">
        <v>789</v>
      </c>
      <c r="AC18" t="s">
        <v>446</v>
      </c>
      <c r="AD18" t="s">
        <v>445</v>
      </c>
    </row>
    <row r="19" spans="1:32" x14ac:dyDescent="0.25">
      <c r="A19" s="3" t="str">
        <f t="shared" si="7"/>
        <v>2510416</v>
      </c>
      <c r="B19" s="3" t="str">
        <f t="shared" si="8"/>
        <v>XP0</v>
      </c>
      <c r="C19" s="3" t="str">
        <f t="shared" si="9"/>
        <v/>
      </c>
      <c r="D19" s="3" t="str">
        <f t="shared" si="2"/>
        <v>PE</v>
      </c>
      <c r="E19" s="3" t="str">
        <f t="shared" si="3"/>
        <v/>
      </c>
      <c r="F19" s="3" t="str">
        <f t="shared" si="4"/>
        <v>TEX</v>
      </c>
      <c r="G19" s="3" t="str">
        <f t="shared" si="23"/>
        <v>PE</v>
      </c>
      <c r="H19" s="3">
        <f t="shared" si="24"/>
        <v>1</v>
      </c>
      <c r="I19" s="3">
        <f t="shared" si="10"/>
        <v>1</v>
      </c>
      <c r="J19" s="2" t="str">
        <f t="shared" si="19"/>
        <v>soub PLAT GRIS ANTHRACITE MAT 2F 28 MM POUR PE</v>
      </c>
      <c r="K19" s="2" t="str">
        <f>IF(W19="","",LOOKUP('Extraction edi'!J19,Paramètrage!$A$6:$A$179,Paramètrage!$B$6:$B$179))</f>
        <v>Type 5 / modèle 450</v>
      </c>
      <c r="L19" s="2" t="str">
        <f>IF(W19="","",LOOKUP('Extraction edi'!J19,Paramètrage!$A$6:$A$179,Paramètrage!$C$6:$C$179))</f>
        <v>Plaxé gris anthracite mat lisse/F4366003</v>
      </c>
      <c r="M19" s="2" t="str">
        <f>IF(W19="","",LOOKUP('Extraction edi'!J19,Paramètrage!$A$6:$A$179,Paramètrage!$D$6:$D$179))</f>
        <v>Plaxé gris anthracite mat lisse/F4366003</v>
      </c>
      <c r="N19" s="3">
        <f>IF(W19="","",LOOKUP('Extraction edi'!J19,Paramètrage!$A$6:$A$179,Paramètrage!$E$6:$E$179))</f>
        <v>28</v>
      </c>
      <c r="O19" s="3">
        <f t="shared" si="11"/>
        <v>789</v>
      </c>
      <c r="P19" s="3" t="str">
        <f t="shared" si="5"/>
        <v xml:space="preserve">  1960</v>
      </c>
      <c r="Q19" s="3" t="str">
        <f t="shared" si="25"/>
        <v/>
      </c>
      <c r="R19" s="3" t="str">
        <f t="shared" si="12"/>
        <v/>
      </c>
      <c r="S19" s="3" t="str">
        <f t="shared" si="13"/>
        <v/>
      </c>
      <c r="T19" s="4" t="str">
        <f t="shared" si="14"/>
        <v>soub PLAT GRIS ANTHRACITE MAT 2F 28 MM POUR PE</v>
      </c>
      <c r="U19" s="5" t="str">
        <f t="shared" si="15"/>
        <v xml:space="preserve">  1960</v>
      </c>
      <c r="V19" s="7" t="str">
        <f>IF(W19="","",IF(LOOKUP(W19,'Extration 3E date commande'!$A$6:$A$10000)=W19,LOOKUP(W19,'Extration 3E date commande'!$A$6:$A$10000,'Extration 3E date commande'!$C$6:$C$10000),"PAS DE DATE"))</f>
        <v>PAS DE DATE</v>
      </c>
      <c r="W19" t="s">
        <v>447</v>
      </c>
      <c r="X19">
        <v>1</v>
      </c>
      <c r="Y19" t="s">
        <v>412</v>
      </c>
      <c r="Z19">
        <v>1</v>
      </c>
      <c r="AA19" t="s">
        <v>348</v>
      </c>
      <c r="AB19">
        <v>789</v>
      </c>
      <c r="AC19" t="s">
        <v>446</v>
      </c>
      <c r="AD19" t="s">
        <v>447</v>
      </c>
    </row>
    <row r="20" spans="1:32" x14ac:dyDescent="0.25">
      <c r="A20" s="3" t="str">
        <f t="shared" si="7"/>
        <v>2510419</v>
      </c>
      <c r="B20" s="3" t="str">
        <f t="shared" si="8"/>
        <v>XP0</v>
      </c>
      <c r="C20" s="3" t="str">
        <f t="shared" si="9"/>
        <v/>
      </c>
      <c r="D20" s="3" t="str">
        <f t="shared" si="2"/>
        <v>PE</v>
      </c>
      <c r="E20" s="3" t="str">
        <f t="shared" si="3"/>
        <v/>
      </c>
      <c r="F20" s="3" t="str">
        <f t="shared" si="4"/>
        <v>TEX</v>
      </c>
      <c r="G20" s="3" t="str">
        <f t="shared" si="23"/>
        <v>PE</v>
      </c>
      <c r="H20" s="3">
        <f t="shared" si="24"/>
        <v>1</v>
      </c>
      <c r="I20" s="3">
        <f t="shared" si="10"/>
        <v>1</v>
      </c>
      <c r="J20" s="2" t="str">
        <f t="shared" si="19"/>
        <v>soub PLAT GRIS ANTHRACITE MAT 2F 28 MM POUR PE</v>
      </c>
      <c r="K20" s="2" t="str">
        <f>IF(W20="","",LOOKUP('Extraction edi'!J20,Paramètrage!$A$6:$A$179,Paramètrage!$B$6:$B$179))</f>
        <v>Type 5 / modèle 450</v>
      </c>
      <c r="L20" s="2" t="str">
        <f>IF(W20="","",LOOKUP('Extraction edi'!J20,Paramètrage!$A$6:$A$179,Paramètrage!$C$6:$C$179))</f>
        <v>Plaxé gris anthracite mat lisse/F4366003</v>
      </c>
      <c r="M20" s="2" t="str">
        <f>IF(W20="","",LOOKUP('Extraction edi'!J20,Paramètrage!$A$6:$A$179,Paramètrage!$D$6:$D$179))</f>
        <v>Plaxé gris anthracite mat lisse/F4366003</v>
      </c>
      <c r="N20" s="3">
        <f>IF(W20="","",LOOKUP('Extraction edi'!J20,Paramètrage!$A$6:$A$179,Paramètrage!$E$6:$E$179))</f>
        <v>28</v>
      </c>
      <c r="O20" s="3">
        <f t="shared" si="11"/>
        <v>789</v>
      </c>
      <c r="P20" s="3" t="str">
        <f t="shared" si="5"/>
        <v xml:space="preserve">  1960</v>
      </c>
      <c r="Q20" s="3" t="str">
        <f t="shared" si="25"/>
        <v/>
      </c>
      <c r="R20" s="3" t="str">
        <f t="shared" si="12"/>
        <v/>
      </c>
      <c r="S20" s="3" t="str">
        <f t="shared" si="13"/>
        <v/>
      </c>
      <c r="T20" s="4" t="str">
        <f t="shared" si="14"/>
        <v>soub PLAT GRIS ANTHRACITE MAT 2F 28 MM POUR PE</v>
      </c>
      <c r="U20" s="5" t="str">
        <f t="shared" si="15"/>
        <v xml:space="preserve">  1960</v>
      </c>
      <c r="V20" s="7" t="str">
        <f>IF(W20="","",IF(LOOKUP(W20,'Extration 3E date commande'!$A$6:$A$10000)=W20,LOOKUP(W20,'Extration 3E date commande'!$A$6:$A$10000,'Extration 3E date commande'!$C$6:$C$10000),"PAS DE DATE"))</f>
        <v>PAS DE DATE</v>
      </c>
      <c r="W20" t="s">
        <v>448</v>
      </c>
      <c r="X20">
        <v>1</v>
      </c>
      <c r="Y20" t="s">
        <v>412</v>
      </c>
      <c r="Z20">
        <v>1</v>
      </c>
      <c r="AA20" t="s">
        <v>348</v>
      </c>
      <c r="AB20">
        <v>789</v>
      </c>
      <c r="AC20" t="s">
        <v>446</v>
      </c>
      <c r="AD20" t="s">
        <v>448</v>
      </c>
    </row>
    <row r="21" spans="1:32" x14ac:dyDescent="0.25">
      <c r="A21" s="3" t="str">
        <f t="shared" ref="A21:A28" si="26">IF(W21="","",LEFT(W21,7))</f>
        <v>2510489</v>
      </c>
      <c r="B21" s="3" t="str">
        <f t="shared" ref="B21:B28" si="27">IF(W21="","",RIGHT(W21,3))</f>
        <v>HP0</v>
      </c>
      <c r="C21" s="3" t="str">
        <f t="shared" si="9"/>
        <v/>
      </c>
      <c r="D21" s="3" t="str">
        <f t="shared" si="2"/>
        <v>PE</v>
      </c>
      <c r="E21" s="3" t="str">
        <f t="shared" si="3"/>
        <v/>
      </c>
      <c r="F21" s="3" t="str">
        <f t="shared" si="4"/>
        <v>TEX</v>
      </c>
      <c r="G21" s="3" t="str">
        <f t="shared" si="23"/>
        <v>PE</v>
      </c>
      <c r="H21" s="3">
        <f t="shared" si="24"/>
        <v>1</v>
      </c>
      <c r="I21" s="3">
        <f t="shared" ref="I21:I28" si="28">IF(W21="","",Z21)</f>
        <v>1</v>
      </c>
      <c r="J21" s="2" t="str">
        <f>IF(W21="","",IF(AND(T21=FALSE,T20=FALSE,T19=FALSE,T18=FALSE,T17=FALSE),AA16,IF(AND(T21=FALSE,T20=FALSE,T19=FALSE,T18=FALSE),AA17,IF(AND(T21=FALSE,T20=FALSE,T19=FALSE),AA18,IF(AND(T21=FALSE,T20=FALSE),AA19,IF(T21=FALSE,AA20,AA21))))))</f>
        <v>soubassement MOUL ALU LAQ 1 FACE POUR PE 28MM</v>
      </c>
      <c r="K21" s="2" t="str">
        <f>IF(W21="","",LOOKUP('Extraction edi'!J21,Paramètrage!$A$6:$A$179,Paramètrage!$B$6:$B$179))</f>
        <v>Type 1 A / modèle 451</v>
      </c>
      <c r="L21" s="2" t="str">
        <f>IF(W21="","",LOOKUP('Extraction edi'!J21,Paramètrage!$A$6:$A$179,Paramètrage!$C$6:$C$179))</f>
        <v>ALU blanc</v>
      </c>
      <c r="M21" s="2" t="str">
        <f>IF(W21="","",LOOKUP('Extraction edi'!J21,Paramètrage!$A$6:$A$179,Paramètrage!$D$6:$D$179))</f>
        <v>ALU blanc</v>
      </c>
      <c r="N21" s="3">
        <f>IF(W21="","",LOOKUP('Extraction edi'!J21,Paramètrage!$A$6:$A$179,Paramètrage!$E$6:$E$179))</f>
        <v>28</v>
      </c>
      <c r="O21" s="3">
        <f t="shared" ref="O21:O28" si="29">IF(W21="","",IF(LEFT(AA21,4)="soub",AB21,IF(LEFT(AA21,3)="cim",AB21,AA21)))</f>
        <v>713</v>
      </c>
      <c r="P21" s="3" t="str">
        <f t="shared" si="5"/>
        <v xml:space="preserve">  766</v>
      </c>
      <c r="Q21" s="3" t="str">
        <f t="shared" si="25"/>
        <v>laquage RAL :</v>
      </c>
      <c r="R21" s="3" t="str">
        <f t="shared" si="12"/>
        <v/>
      </c>
      <c r="S21" s="3" t="str">
        <f t="shared" si="13"/>
        <v/>
      </c>
      <c r="T21" s="4" t="str">
        <f t="shared" ref="T21:T28" si="30">IF(W21="","",IF(LEFT(AA21,4)&lt;&gt;"soub",IF(LEFT(AA21,3)&lt;&gt;"cim"=FALSE,AA21),AA21))</f>
        <v>soubassement MOUL ALU LAQ 1 FACE POUR PE 28MM</v>
      </c>
      <c r="U21" s="5" t="str">
        <f t="shared" ref="U21:U28" si="31">SUBSTITUTE(AC21,"*","")</f>
        <v xml:space="preserve">  766</v>
      </c>
      <c r="V21" s="7" t="str">
        <f>IF(W21="","",IF(LOOKUP(W21,'Extration 3E date commande'!$A$6:$A$10000)=W21,LOOKUP(W21,'Extration 3E date commande'!$A$6:$A$10000,'Extration 3E date commande'!$C$6:$C$10000),"PAS DE DATE"))</f>
        <v>PAS DE DATE</v>
      </c>
      <c r="W21" t="s">
        <v>449</v>
      </c>
      <c r="X21">
        <v>1</v>
      </c>
      <c r="Y21" t="s">
        <v>412</v>
      </c>
      <c r="Z21">
        <v>1</v>
      </c>
      <c r="AA21" t="s">
        <v>2</v>
      </c>
      <c r="AB21">
        <v>713</v>
      </c>
      <c r="AC21" t="s">
        <v>450</v>
      </c>
      <c r="AD21" t="s">
        <v>449</v>
      </c>
    </row>
    <row r="22" spans="1:32" x14ac:dyDescent="0.25">
      <c r="A22" s="3" t="str">
        <f t="shared" si="26"/>
        <v>2510912</v>
      </c>
      <c r="B22" s="3" t="str">
        <f t="shared" si="27"/>
        <v>XP0</v>
      </c>
      <c r="C22" s="3" t="str">
        <f t="shared" si="9"/>
        <v/>
      </c>
      <c r="D22" s="3" t="str">
        <f t="shared" si="2"/>
        <v>PE</v>
      </c>
      <c r="E22" s="3" t="str">
        <f t="shared" si="3"/>
        <v/>
      </c>
      <c r="F22" s="3" t="str">
        <f t="shared" si="4"/>
        <v>TEX</v>
      </c>
      <c r="G22" s="3" t="str">
        <f t="shared" si="23"/>
        <v>PE</v>
      </c>
      <c r="H22" s="3">
        <f t="shared" si="24"/>
        <v>1</v>
      </c>
      <c r="I22" s="3">
        <f t="shared" si="28"/>
        <v>1</v>
      </c>
      <c r="J22" s="2" t="str">
        <f>IF(W22="","",IF(AND(T22=FALSE,T21=FALSE,T20=FALSE,T19=FALSE,T18=FALSE),AA17,IF(AND(T22=FALSE,T21=FALSE,T20=FALSE,T19=FALSE),AA18,IF(AND(T22=FALSE,T21=FALSE,T20=FALSE),AA19,IF(AND(T22=FALSE,T21=FALSE),AA20,IF(T22=FALSE,AA21,AA22))))))</f>
        <v>soub PLAT GRIS ANTHRACITE MAT 1F EXT 28 MM PR PE</v>
      </c>
      <c r="K22" s="2" t="str">
        <f>IF(W22="","",LOOKUP('Extraction edi'!J22,Paramètrage!$A$6:$A$179,Paramètrage!$B$6:$B$179))</f>
        <v>Type 5 / modèle 450</v>
      </c>
      <c r="L22" s="2" t="str">
        <f>IF(W22="","",LOOKUP('Extraction edi'!J22,Paramètrage!$A$6:$A$179,Paramètrage!$C$6:$C$179))</f>
        <v>PVC blanc</v>
      </c>
      <c r="M22" s="2" t="str">
        <f>IF(W22="","",LOOKUP('Extraction edi'!J22,Paramètrage!$A$6:$A$179,Paramètrage!$D$6:$D$179))</f>
        <v>Plaxé gris anthracite mat lisse/F4366003</v>
      </c>
      <c r="N22" s="3">
        <f>IF(W22="","",LOOKUP('Extraction edi'!J22,Paramètrage!$A$6:$A$179,Paramètrage!$E$6:$E$179))</f>
        <v>28</v>
      </c>
      <c r="O22" s="3">
        <f t="shared" si="29"/>
        <v>629</v>
      </c>
      <c r="P22" s="3" t="str">
        <f t="shared" si="5"/>
        <v xml:space="preserve">  860</v>
      </c>
      <c r="Q22" s="3" t="str">
        <f t="shared" si="25"/>
        <v/>
      </c>
      <c r="R22" s="3" t="str">
        <f t="shared" si="12"/>
        <v/>
      </c>
      <c r="S22" s="3" t="str">
        <f t="shared" si="13"/>
        <v/>
      </c>
      <c r="T22" s="4" t="str">
        <f t="shared" si="30"/>
        <v>soub PLAT GRIS ANTHRACITE MAT 1F EXT 28 MM PR PE</v>
      </c>
      <c r="U22" s="5" t="str">
        <f t="shared" si="31"/>
        <v xml:space="preserve">  860</v>
      </c>
      <c r="V22" s="7" t="str">
        <f>IF(W22="","",IF(LOOKUP(W22,'Extration 3E date commande'!$A$6:$A$10000)=W22,LOOKUP(W22,'Extration 3E date commande'!$A$6:$A$10000,'Extration 3E date commande'!$C$6:$C$10000),"PAS DE DATE"))</f>
        <v>PAS DE DATE</v>
      </c>
      <c r="W22" t="s">
        <v>451</v>
      </c>
      <c r="X22">
        <v>1</v>
      </c>
      <c r="Y22" t="s">
        <v>412</v>
      </c>
      <c r="Z22">
        <v>1</v>
      </c>
      <c r="AA22" t="s">
        <v>371</v>
      </c>
      <c r="AB22">
        <v>629</v>
      </c>
      <c r="AC22" t="s">
        <v>452</v>
      </c>
      <c r="AD22" t="s">
        <v>451</v>
      </c>
    </row>
    <row r="23" spans="1:32" x14ac:dyDescent="0.25">
      <c r="A23" s="3" t="str">
        <f t="shared" si="26"/>
        <v>2511217</v>
      </c>
      <c r="B23" s="3" t="str">
        <f t="shared" si="27"/>
        <v>XP0</v>
      </c>
      <c r="C23" s="3" t="str">
        <f t="shared" si="9"/>
        <v/>
      </c>
      <c r="D23" s="3" t="str">
        <f t="shared" si="2"/>
        <v>PE</v>
      </c>
      <c r="E23" s="3" t="str">
        <f t="shared" si="3"/>
        <v/>
      </c>
      <c r="F23" s="3" t="str">
        <f t="shared" si="4"/>
        <v>TEX</v>
      </c>
      <c r="G23" s="3" t="str">
        <f t="shared" si="23"/>
        <v>PE</v>
      </c>
      <c r="H23" s="3">
        <f t="shared" si="24"/>
        <v>1</v>
      </c>
      <c r="I23" s="3">
        <f t="shared" si="28"/>
        <v>1</v>
      </c>
      <c r="J23" s="2" t="str">
        <f>IF(W23="","",IF(AND(T23=FALSE,T22=FALSE,T21=FALSE,T20=FALSE,T19=FALSE),AA18,IF(AND(T23=FALSE,T22=FALSE,T21=FALSE,T20=FALSE),AA19,IF(AND(T23=FALSE,T22=FALSE,T21=FALSE),AA20,IF(AND(T23=FALSE,T22=FALSE),AA21,IF(T23=FALSE,AA22,AA23))))))</f>
        <v>soub MOUL GRIS ANTHRACITE MAT 1F 28 MM PR PE</v>
      </c>
      <c r="K23" s="2" t="str">
        <f>IF(W23="","",LOOKUP('Extraction edi'!J23,Paramètrage!$A$6:$A$179,Paramètrage!$B$6:$B$179))</f>
        <v>Type 1 / modèle 451</v>
      </c>
      <c r="L23" s="2" t="str">
        <f>IF(W23="","",LOOKUP('Extraction edi'!J23,Paramètrage!$A$6:$A$179,Paramètrage!$C$6:$C$179))</f>
        <v>PVC blanc</v>
      </c>
      <c r="M23" s="2" t="str">
        <f>IF(W23="","",LOOKUP('Extraction edi'!J23,Paramètrage!$A$6:$A$179,Paramètrage!$D$6:$D$179))</f>
        <v>Plaxé gris anthracite mat lisse/F4366003</v>
      </c>
      <c r="N23" s="3">
        <f>IF(W23="","",LOOKUP('Extraction edi'!J23,Paramètrage!$A$6:$A$179,Paramètrage!$E$6:$E$179))</f>
        <v>28</v>
      </c>
      <c r="O23" s="3">
        <f t="shared" si="29"/>
        <v>590</v>
      </c>
      <c r="P23" s="3" t="str">
        <f t="shared" si="5"/>
        <v xml:space="preserve">  860</v>
      </c>
      <c r="Q23" s="3" t="str">
        <f t="shared" si="25"/>
        <v/>
      </c>
      <c r="R23" s="3" t="str">
        <f t="shared" si="12"/>
        <v/>
      </c>
      <c r="S23" s="3" t="str">
        <f t="shared" ref="S23:S28" si="32">IF(W23="","",IF(RIGHT(M23,7)="RAL9001",M23,IF(LEFT(AC23,1)="N",AC23,IF(LEFT(AC23,1)="S",AC23,IF(LEFT(AC23,1)="G",AC23,IF(LEFT(AD23,1)="N",AD23,IF(LEFT(AD23,1)="S",AD23,IF(LEFT(AD23,1)="G",AD23,""))))))))</f>
        <v/>
      </c>
      <c r="T23" s="4" t="str">
        <f t="shared" si="30"/>
        <v>soub MOUL GRIS ANTHRACITE MAT 1F 28 MM PR PE</v>
      </c>
      <c r="U23" s="5" t="str">
        <f t="shared" si="31"/>
        <v xml:space="preserve">  860</v>
      </c>
      <c r="V23" s="7" t="str">
        <f>IF(W23="","",IF(LOOKUP(W23,'Extration 3E date commande'!$A$6:$A$10000)=W23,LOOKUP(W23,'Extration 3E date commande'!$A$6:$A$10000,'Extration 3E date commande'!$C$6:$C$10000),"PAS DE DATE"))</f>
        <v>PAS DE DATE</v>
      </c>
      <c r="W23" t="s">
        <v>453</v>
      </c>
      <c r="X23">
        <v>1</v>
      </c>
      <c r="Y23" t="s">
        <v>412</v>
      </c>
      <c r="Z23">
        <v>1</v>
      </c>
      <c r="AA23" t="s">
        <v>342</v>
      </c>
      <c r="AB23">
        <v>590</v>
      </c>
      <c r="AC23" t="s">
        <v>452</v>
      </c>
      <c r="AD23" t="s">
        <v>453</v>
      </c>
    </row>
    <row r="24" spans="1:32" x14ac:dyDescent="0.25">
      <c r="A24" s="3" t="str">
        <f t="shared" si="26"/>
        <v>2511271</v>
      </c>
      <c r="B24" s="3" t="str">
        <f t="shared" si="27"/>
        <v>HP0</v>
      </c>
      <c r="C24" s="3" t="str">
        <f t="shared" si="9"/>
        <v/>
      </c>
      <c r="D24" s="3" t="str">
        <f t="shared" si="2"/>
        <v>PE</v>
      </c>
      <c r="E24" s="3" t="str">
        <f t="shared" si="3"/>
        <v/>
      </c>
      <c r="F24" s="3" t="str">
        <f t="shared" si="4"/>
        <v>TEX</v>
      </c>
      <c r="G24" s="3" t="str">
        <f t="shared" si="23"/>
        <v>PE</v>
      </c>
      <c r="H24" s="3">
        <f t="shared" si="24"/>
        <v>1</v>
      </c>
      <c r="I24" s="3">
        <f t="shared" si="28"/>
        <v>1</v>
      </c>
      <c r="J24" s="2" t="str">
        <f>IF(W24="","",IF(AND(T24=FALSE,T23=FALSE,T22=FALSE,T21=FALSE,T20=FALSE),AA19,IF(AND(T24=FALSE,T23=FALSE,T22=FALSE,T21=FALSE),AA20,IF(AND(T24=FALSE,T23=FALSE,T22=FALSE),AA21,IF(AND(T24=FALSE,T23=FALSE),AA22,IF(T24=FALSE,AA23,AA24))))))</f>
        <v>CIMAISE ALU LAQUEE 1 FACE</v>
      </c>
      <c r="K24" s="2" t="str">
        <f>IF(W24="","",LOOKUP('Extraction edi'!J24,Paramètrage!$A$6:$A$179,Paramètrage!$B$6:$B$179))</f>
        <v>Type 2 / modèle 871</v>
      </c>
      <c r="L24" s="2" t="str">
        <f>IF(W24="","",LOOKUP('Extraction edi'!J24,Paramètrage!$A$6:$A$179,Paramètrage!$C$6:$C$179))</f>
        <v>ALU blanc</v>
      </c>
      <c r="M24" s="2" t="str">
        <f>IF(W24="","",LOOKUP('Extraction edi'!J24,Paramètrage!$A$6:$A$179,Paramètrage!$D$6:$D$179))</f>
        <v>ALU blanc</v>
      </c>
      <c r="N24" s="3">
        <f>IF(W24="","",LOOKUP('Extraction edi'!J24,Paramètrage!$A$6:$A$179,Paramètrage!$E$6:$E$179))</f>
        <v>28</v>
      </c>
      <c r="O24" s="3">
        <f t="shared" si="29"/>
        <v>621</v>
      </c>
      <c r="P24" s="3" t="str">
        <f>IF(LEFT(U24,1)="N",SUBSTITUTE(AB24,"*",""),IF(LEFT(U24,1)="S",SUBSTITUTE(AB24,"*",""),IF(LEFT(U24,1)="G",SUBSTITUTE(AB24,"*",""),IF(LEN(U24)=11,SUBSTITUTE(AB24,"*",""),U24))))</f>
        <v xml:space="preserve">  230</v>
      </c>
      <c r="Q24" s="3" t="str">
        <f t="shared" si="25"/>
        <v>laquage RAL :</v>
      </c>
      <c r="R24" s="3" t="str">
        <f>IF(W24="","",IF(RIGHT(L24,7)="RAL9001",L24,IF(LEFT(AE24,1)="N",AE24,IF(LEFT(AE24,1)="S",AE24,IF(LEFT(AE24,1)="G",AE24,"")))))</f>
        <v/>
      </c>
      <c r="S24" s="3" t="str">
        <f t="shared" si="32"/>
        <v/>
      </c>
      <c r="T24" s="4" t="str">
        <f t="shared" si="30"/>
        <v>CIMAISE ALU LAQUEE 1 FACE</v>
      </c>
      <c r="U24" s="5" t="str">
        <f t="shared" si="31"/>
        <v xml:space="preserve">  230</v>
      </c>
      <c r="V24" s="7" t="str">
        <f>IF(W24="","",IF(LOOKUP(W24,'Extration 3E date commande'!$A$6:$A$10000)=W24,LOOKUP(W24,'Extration 3E date commande'!$A$6:$A$10000,'Extration 3E date commande'!$C$6:$C$10000),"PAS DE DATE"))</f>
        <v>PAS DE DATE</v>
      </c>
      <c r="W24" t="s">
        <v>454</v>
      </c>
      <c r="X24">
        <v>1</v>
      </c>
      <c r="Y24" t="s">
        <v>412</v>
      </c>
      <c r="Z24">
        <v>1</v>
      </c>
      <c r="AA24" t="s">
        <v>6</v>
      </c>
      <c r="AB24">
        <v>621</v>
      </c>
      <c r="AC24" t="s">
        <v>455</v>
      </c>
      <c r="AD24" t="s">
        <v>454</v>
      </c>
    </row>
    <row r="25" spans="1:32" x14ac:dyDescent="0.25">
      <c r="A25" s="3" t="str">
        <f t="shared" si="26"/>
        <v>2511271</v>
      </c>
      <c r="B25" s="3" t="str">
        <f t="shared" si="27"/>
        <v>HP0</v>
      </c>
      <c r="C25" s="3" t="str">
        <f t="shared" si="9"/>
        <v/>
      </c>
      <c r="D25" s="3" t="str">
        <f t="shared" si="2"/>
        <v>PE</v>
      </c>
      <c r="E25" s="3" t="str">
        <f t="shared" si="3"/>
        <v/>
      </c>
      <c r="F25" s="3" t="str">
        <f t="shared" si="4"/>
        <v>TEX</v>
      </c>
      <c r="G25" s="3" t="str">
        <f t="shared" si="23"/>
        <v>PE</v>
      </c>
      <c r="H25" s="3">
        <f t="shared" si="24"/>
        <v>1</v>
      </c>
      <c r="I25" s="3">
        <f t="shared" si="28"/>
        <v>1</v>
      </c>
      <c r="J25" s="2" t="str">
        <f>IF(W25="","",IF(AND(T25=FALSE,T24=FALSE,T23=FALSE,T22=FALSE,T21=FALSE),AA20,IF(AND(T25=FALSE,T24=FALSE,T23=FALSE,T22=FALSE),AB21,IF(AND(T25=FALSE,T24=FALSE,T23=FALSE),AB22,IF(AND(T25=FALSE,T24=FALSE),AA23,IF(T25=FALSE,AA24,AA25))))))</f>
        <v>soubassement MOUL ALU LAQ 1 FACE POUR PE 28MM</v>
      </c>
      <c r="K25" s="2" t="str">
        <f>IF(W25="","",LOOKUP('Extraction edi'!J25,Paramètrage!$A$6:$A$179,Paramètrage!$B$6:$B$179))</f>
        <v>Type 1 A / modèle 451</v>
      </c>
      <c r="L25" s="2" t="str">
        <f>IF(W25="","",LOOKUP('Extraction edi'!J25,Paramètrage!$A$6:$A$179,Paramètrage!$C$6:$C$179))</f>
        <v>ALU blanc</v>
      </c>
      <c r="M25" s="2" t="str">
        <f>IF(W25="","",LOOKUP('Extraction edi'!J25,Paramètrage!$A$6:$A$179,Paramètrage!$D$6:$D$179))</f>
        <v>ALU blanc</v>
      </c>
      <c r="N25" s="3">
        <f>IF(W25="","",LOOKUP('Extraction edi'!J25,Paramètrage!$A$6:$A$179,Paramètrage!$E$6:$E$179))</f>
        <v>28</v>
      </c>
      <c r="O25" s="3">
        <f t="shared" si="29"/>
        <v>621</v>
      </c>
      <c r="P25" s="3" t="str">
        <f>IF(LEFT(U25,1)="N",SUBSTITUTE(AB25,"*",""),IF(LEFT(U25,1)="S",SUBSTITUTE(AB25,"*",""),IF(LEFT(U25,1)="G",SUBSTITUTE(AB25,"*",""),IF(LEN(U25)=11,SUBSTITUTE(AB25,"*",""),U25))))</f>
        <v xml:space="preserve">  586</v>
      </c>
      <c r="Q25" s="3" t="str">
        <f t="shared" si="25"/>
        <v>laquage RAL :</v>
      </c>
      <c r="R25" s="3" t="str">
        <f>IF(W25="","",IF(RIGHT(L25,7)="RAL9001",L25,IF(LEFT(AE25,1)="N",AE25,IF(LEFT(AE25,1)="S",AE25,IF(LEFT(AE25,1)="G",AE25,"")))))</f>
        <v/>
      </c>
      <c r="S25" s="3" t="str">
        <f t="shared" si="32"/>
        <v/>
      </c>
      <c r="T25" s="4" t="str">
        <f t="shared" si="30"/>
        <v>soubassement MOUL ALU LAQ 1 FACE POUR PE 28MM</v>
      </c>
      <c r="U25" s="5" t="str">
        <f t="shared" si="31"/>
        <v xml:space="preserve">  586</v>
      </c>
      <c r="V25" s="7" t="str">
        <f>IF(W25="","",IF(LOOKUP(W25,'Extration 3E date commande'!$A$6:$A$10000)=W25,LOOKUP(W25,'Extration 3E date commande'!$A$6:$A$10000,'Extration 3E date commande'!$C$6:$C$10000),"PAS DE DATE"))</f>
        <v>PAS DE DATE</v>
      </c>
      <c r="W25" t="s">
        <v>454</v>
      </c>
      <c r="X25">
        <v>1</v>
      </c>
      <c r="Y25" t="s">
        <v>412</v>
      </c>
      <c r="Z25">
        <v>1</v>
      </c>
      <c r="AA25" t="s">
        <v>2</v>
      </c>
      <c r="AB25">
        <v>621</v>
      </c>
      <c r="AC25" t="s">
        <v>456</v>
      </c>
      <c r="AD25" t="s">
        <v>454</v>
      </c>
    </row>
    <row r="26" spans="1:32" x14ac:dyDescent="0.25">
      <c r="A26" s="3" t="str">
        <f t="shared" si="26"/>
        <v>2511284</v>
      </c>
      <c r="B26" s="3" t="str">
        <f t="shared" si="27"/>
        <v>HP0</v>
      </c>
      <c r="C26" s="3" t="str">
        <f t="shared" si="9"/>
        <v/>
      </c>
      <c r="D26" s="3" t="str">
        <f t="shared" si="2"/>
        <v>PE</v>
      </c>
      <c r="E26" s="3" t="str">
        <f t="shared" si="3"/>
        <v/>
      </c>
      <c r="F26" s="3" t="str">
        <f t="shared" si="4"/>
        <v>TEX</v>
      </c>
      <c r="G26" s="3" t="str">
        <f t="shared" si="23"/>
        <v>PE</v>
      </c>
      <c r="H26" s="3">
        <f t="shared" si="24"/>
        <v>1</v>
      </c>
      <c r="I26" s="3">
        <f t="shared" si="28"/>
        <v>1</v>
      </c>
      <c r="J26" s="2" t="str">
        <f>IF(W26="","",IF(AND(T26=FALSE,T25=FALSE,T24=FALSE,T23=FALSE,T22=FALSE),AB21,IF(AND(T26=FALSE,T25=FALSE,T24=FALSE,T23=FALSE),AB22,IF(AND(T26=FALSE,T25=FALSE,T24=FALSE),AA23,IF(AND(T26=FALSE,T25=FALSE),AA24,IF(T26=FALSE,AA25,AA26))))))</f>
        <v>soubassement MOUL ALU LAQ 1 FACE POUR PE 28MM</v>
      </c>
      <c r="K26" s="2" t="str">
        <f>IF(W26="","",LOOKUP('Extraction edi'!J26,Paramètrage!$A$6:$A$179,Paramètrage!$B$6:$B$179))</f>
        <v>Type 1 A / modèle 451</v>
      </c>
      <c r="L26" s="2" t="str">
        <f>IF(W26="","",LOOKUP('Extraction edi'!J26,Paramètrage!$A$6:$A$179,Paramètrage!$C$6:$C$179))</f>
        <v>ALU blanc</v>
      </c>
      <c r="M26" s="2" t="str">
        <f>IF(W26="","",LOOKUP('Extraction edi'!J26,Paramètrage!$A$6:$A$179,Paramètrage!$D$6:$D$179))</f>
        <v>ALU blanc</v>
      </c>
      <c r="N26" s="3">
        <f>IF(W26="","",LOOKUP('Extraction edi'!J26,Paramètrage!$A$6:$A$179,Paramètrage!$E$6:$E$179))</f>
        <v>28</v>
      </c>
      <c r="O26" s="3">
        <f t="shared" si="29"/>
        <v>589</v>
      </c>
      <c r="P26" s="3" t="str">
        <f>IF(LEFT(U26,1)="N",SUBSTITUTE(AB26,"*",""),IF(LEFT(U26,1)="S",SUBSTITUTE(AB26,"*",""),IF(LEFT(U26,1)="G",SUBSTITUTE(AB26,"*",""),IF(LEN(U26)=11,SUBSTITUTE(AB26,"*",""),U26))))</f>
        <v xml:space="preserve">  607</v>
      </c>
      <c r="Q26" s="3" t="str">
        <f t="shared" si="25"/>
        <v>laquage RAL :</v>
      </c>
      <c r="R26" s="3" t="str">
        <f>IF(W26="","",IF(RIGHT(L26,7)="RAL9001",L26,IF(LEFT(AE26,1)="N",AE26,IF(LEFT(AE26,1)="S",AE26,IF(LEFT(AE26,1)="G",AE26,"")))))</f>
        <v/>
      </c>
      <c r="S26" s="3" t="str">
        <f t="shared" si="32"/>
        <v/>
      </c>
      <c r="T26" s="4" t="str">
        <f t="shared" si="30"/>
        <v>soubassement MOUL ALU LAQ 1 FACE POUR PE 28MM</v>
      </c>
      <c r="U26" s="5" t="str">
        <f t="shared" si="31"/>
        <v xml:space="preserve">  607</v>
      </c>
      <c r="V26" s="7" t="str">
        <f>IF(W26="","",IF(LOOKUP(W26,'Extration 3E date commande'!$A$6:$A$10000)=W26,LOOKUP(W26,'Extration 3E date commande'!$A$6:$A$10000,'Extration 3E date commande'!$C$6:$C$10000),"PAS DE DATE"))</f>
        <v>PAS DE DATE</v>
      </c>
      <c r="W26" t="s">
        <v>457</v>
      </c>
      <c r="X26">
        <v>1</v>
      </c>
      <c r="Y26" t="s">
        <v>412</v>
      </c>
      <c r="Z26">
        <v>1</v>
      </c>
      <c r="AA26" t="s">
        <v>2</v>
      </c>
      <c r="AB26">
        <v>589</v>
      </c>
      <c r="AC26" t="s">
        <v>458</v>
      </c>
      <c r="AD26" t="s">
        <v>457</v>
      </c>
    </row>
    <row r="27" spans="1:32" x14ac:dyDescent="0.25">
      <c r="A27" s="3" t="str">
        <f t="shared" si="26"/>
        <v>2511284</v>
      </c>
      <c r="B27" s="3" t="str">
        <f t="shared" si="27"/>
        <v>HP0</v>
      </c>
      <c r="C27" s="3" t="str">
        <f t="shared" si="9"/>
        <v/>
      </c>
      <c r="D27" s="3" t="str">
        <f t="shared" si="2"/>
        <v>PE</v>
      </c>
      <c r="E27" s="3" t="str">
        <f t="shared" si="3"/>
        <v/>
      </c>
      <c r="F27" s="3" t="str">
        <f t="shared" si="4"/>
        <v>TEX</v>
      </c>
      <c r="G27" s="3" t="str">
        <f t="shared" si="23"/>
        <v>PE</v>
      </c>
      <c r="H27" s="3">
        <f t="shared" si="24"/>
        <v>1</v>
      </c>
      <c r="I27" s="3">
        <f t="shared" si="28"/>
        <v>1</v>
      </c>
      <c r="J27" s="2" t="str">
        <f>IF(W27="","",IF(AND(T27=FALSE,T26=FALSE,T25=FALSE,T24=FALSE,T23=FALSE),AB22,IF(AND(T27=FALSE,T26=FALSE,T25=FALSE,T24=FALSE),AA23,IF(AND(T27=FALSE,T26=FALSE,T25=FALSE),AA24,IF(AND(T27=FALSE,T26=FALSE),AA25,IF(T27=FALSE,AA26,AA27))))))</f>
        <v>soubassement MOUL ALU LAQ 1 FACE POUR PE 28MM</v>
      </c>
      <c r="K27" s="2" t="str">
        <f>IF(W27="","",LOOKUP('Extraction edi'!J27,Paramètrage!$A$6:$A$179,Paramètrage!$B$6:$B$179))</f>
        <v>Type 1 A / modèle 451</v>
      </c>
      <c r="L27" s="2" t="str">
        <f>IF(W27="","",LOOKUP('Extraction edi'!J27,Paramètrage!$A$6:$A$179,Paramètrage!$C$6:$C$179))</f>
        <v>ALU blanc</v>
      </c>
      <c r="M27" s="2" t="str">
        <f>IF(W27="","",LOOKUP('Extraction edi'!J27,Paramètrage!$A$6:$A$179,Paramètrage!$D$6:$D$179))</f>
        <v>ALU blanc</v>
      </c>
      <c r="N27" s="3">
        <f>IF(W27="","",LOOKUP('Extraction edi'!J27,Paramètrage!$A$6:$A$179,Paramètrage!$E$6:$E$179))</f>
        <v>28</v>
      </c>
      <c r="O27" s="3">
        <f t="shared" si="29"/>
        <v>589</v>
      </c>
      <c r="P27" s="3" t="str">
        <f>IF(LEFT(U27,1)="N",SUBSTITUTE(AB27,"*",""),IF(LEFT(U27,1)="S",SUBSTITUTE(AB27,"*",""),IF(LEFT(U27,1)="G",SUBSTITUTE(AB27,"*",""),IF(LEN(U27)=11,SUBSTITUTE(AB27,"*",""),U27))))</f>
        <v xml:space="preserve">  230</v>
      </c>
      <c r="Q27" s="3" t="str">
        <f t="shared" si="25"/>
        <v>laquage RAL :</v>
      </c>
      <c r="R27" s="3" t="str">
        <f>IF(W27="","",IF(RIGHT(L27,7)="RAL9001",L27,IF(LEFT(AE27,1)="N",AE27,IF(LEFT(AE27,1)="S",AE27,IF(LEFT(AE27,1)="G",AE27,"")))))</f>
        <v/>
      </c>
      <c r="S27" s="3" t="str">
        <f t="shared" si="32"/>
        <v/>
      </c>
      <c r="T27" s="4" t="b">
        <f t="shared" si="30"/>
        <v>0</v>
      </c>
      <c r="U27" s="5" t="str">
        <f t="shared" si="31"/>
        <v>2511284.HP0</v>
      </c>
      <c r="V27" s="7" t="str">
        <f>IF(W27="","",IF(LOOKUP(W27,'Extration 3E date commande'!$A$6:$A$10000)=W27,LOOKUP(W27,'Extration 3E date commande'!$A$6:$A$10000,'Extration 3E date commande'!$C$6:$C$10000),"PAS DE DATE"))</f>
        <v>PAS DE DATE</v>
      </c>
      <c r="W27" t="s">
        <v>457</v>
      </c>
      <c r="X27">
        <v>1</v>
      </c>
      <c r="Y27" t="s">
        <v>412</v>
      </c>
      <c r="Z27">
        <v>1</v>
      </c>
      <c r="AA27">
        <v>589</v>
      </c>
      <c r="AB27" t="s">
        <v>455</v>
      </c>
      <c r="AC27" t="s">
        <v>457</v>
      </c>
    </row>
    <row r="28" spans="1:32" x14ac:dyDescent="0.25">
      <c r="A28" s="3" t="str">
        <f t="shared" si="26"/>
        <v>2511528</v>
      </c>
      <c r="B28" s="3" t="str">
        <f t="shared" si="27"/>
        <v>XP0</v>
      </c>
      <c r="C28" s="3" t="str">
        <f t="shared" si="9"/>
        <v/>
      </c>
      <c r="D28" s="3" t="str">
        <f t="shared" si="2"/>
        <v>PE</v>
      </c>
      <c r="E28" s="3" t="str">
        <f t="shared" si="3"/>
        <v/>
      </c>
      <c r="F28" s="3" t="str">
        <f t="shared" si="4"/>
        <v>TEX</v>
      </c>
      <c r="G28" s="3" t="str">
        <f t="shared" si="23"/>
        <v>PE</v>
      </c>
      <c r="H28" s="3">
        <f t="shared" si="24"/>
        <v>1</v>
      </c>
      <c r="I28" s="3">
        <f t="shared" si="28"/>
        <v>1</v>
      </c>
      <c r="J28" s="2" t="str">
        <f t="shared" ref="J28:J33" si="33">IF(W28="","",IF(AND(T28=FALSE,T27=FALSE,T26=FALSE,T25=FALSE,T24=FALSE),AA23,IF(AND(T28=FALSE,T27=FALSE,T26=FALSE,T25=FALSE),AA24,IF(AND(T28=FALSE,T27=FALSE,T26=FALSE),AA25,IF(AND(T28=FALSE,T27=FALSE),AA26,IF(T28=FALSE,AA27,AA28))))))</f>
        <v>soub MOUL GRIS ANTHRACITE MAT 1F 28 MM PR PE</v>
      </c>
      <c r="K28" s="2" t="str">
        <f>IF(W28="","",LOOKUP('Extraction edi'!J28,Paramètrage!$A$6:$A$179,Paramètrage!$B$6:$B$179))</f>
        <v>Type 1 / modèle 451</v>
      </c>
      <c r="L28" s="2" t="str">
        <f>IF(W28="","",LOOKUP('Extraction edi'!J28,Paramètrage!$A$6:$A$179,Paramètrage!$C$6:$C$179))</f>
        <v>PVC blanc</v>
      </c>
      <c r="M28" s="2" t="str">
        <f>IF(W28="","",LOOKUP('Extraction edi'!J28,Paramètrage!$A$6:$A$179,Paramètrage!$D$6:$D$179))</f>
        <v>Plaxé gris anthracite mat lisse/F4366003</v>
      </c>
      <c r="N28" s="3">
        <f>IF(W28="","",LOOKUP('Extraction edi'!J28,Paramètrage!$A$6:$A$179,Paramètrage!$E$6:$E$179))</f>
        <v>28</v>
      </c>
      <c r="O28" s="3">
        <f t="shared" si="29"/>
        <v>348</v>
      </c>
      <c r="P28" s="3" t="str">
        <f>IF(LEFT(U28,1)="N",SUBSTITUTE(AB28,"*",""),IF(LEFT(U28,1)="S",SUBSTITUTE(AB28,"*",""),IF(LEFT(U28,1)="G",SUBSTITUTE(AB28,"*",""),IF(LEN(U28)=11,SUBSTITUTE(AB28,"*",""),U28))))</f>
        <v xml:space="preserve">  881</v>
      </c>
      <c r="Q28" s="3" t="str">
        <f t="shared" si="25"/>
        <v/>
      </c>
      <c r="R28" s="3" t="str">
        <f>IF(W28="","",IF(RIGHT(L28,7)="RAL9001",L28,IF(LEFT(AE28,1)="N",AE28,IF(LEFT(AE28,1)="S",AE28,IF(LEFT(AE28,1)="G",AE28,"")))))</f>
        <v/>
      </c>
      <c r="S28" s="3" t="str">
        <f t="shared" si="32"/>
        <v/>
      </c>
      <c r="T28" s="4" t="str">
        <f t="shared" si="30"/>
        <v>soub MOUL GRIS ANTHRACITE MAT 1F 28 MM PR PE</v>
      </c>
      <c r="U28" s="5" t="str">
        <f t="shared" si="31"/>
        <v xml:space="preserve">  881</v>
      </c>
      <c r="V28" s="7" t="str">
        <f>IF(W28="","",IF(LOOKUP(W28,'Extration 3E date commande'!$A$6:$A$10000)=W28,LOOKUP(W28,'Extration 3E date commande'!$A$6:$A$10000,'Extration 3E date commande'!$C$6:$C$10000),"PAS DE DATE"))</f>
        <v>PAS DE DATE</v>
      </c>
      <c r="W28" t="s">
        <v>459</v>
      </c>
      <c r="X28">
        <v>1</v>
      </c>
      <c r="Y28" t="s">
        <v>412</v>
      </c>
      <c r="Z28">
        <v>1</v>
      </c>
      <c r="AA28" t="s">
        <v>342</v>
      </c>
      <c r="AB28">
        <v>348</v>
      </c>
      <c r="AC28" t="s">
        <v>427</v>
      </c>
      <c r="AD28" t="s">
        <v>459</v>
      </c>
    </row>
    <row r="29" spans="1:32" x14ac:dyDescent="0.25">
      <c r="A29" s="3" t="str">
        <f t="shared" ref="A29:A85" si="34">IF(W29="","",LEFT(W29,7))</f>
        <v>2511528</v>
      </c>
      <c r="B29" s="3" t="str">
        <f t="shared" ref="B29:B85" si="35">IF(W29="","",RIGHT(W29,3))</f>
        <v>XP0</v>
      </c>
      <c r="C29" s="3" t="str">
        <f t="shared" si="9"/>
        <v/>
      </c>
      <c r="D29" s="3" t="str">
        <f t="shared" si="2"/>
        <v>PE</v>
      </c>
      <c r="E29" s="3" t="str">
        <f t="shared" si="3"/>
        <v/>
      </c>
      <c r="F29" s="3" t="str">
        <f t="shared" si="4"/>
        <v>TEX</v>
      </c>
      <c r="G29" s="3" t="str">
        <f t="shared" si="23"/>
        <v>PE</v>
      </c>
      <c r="H29" s="3">
        <f t="shared" ref="H29:H85" si="36">IF(W29="","",X29)</f>
        <v>1</v>
      </c>
      <c r="I29" s="3">
        <f t="shared" ref="I29:I85" si="37">IF(W29="","",Z29)</f>
        <v>1</v>
      </c>
      <c r="J29" s="2" t="str">
        <f t="shared" si="33"/>
        <v>soub MOUL GRIS ANTHRACITE MAT 1F 28 MM PR PE</v>
      </c>
      <c r="K29" s="2" t="str">
        <f>IF(W29="","",LOOKUP('Extraction edi'!J29,Paramètrage!$A$6:$A$179,Paramètrage!$B$6:$B$179))</f>
        <v>Type 1 / modèle 451</v>
      </c>
      <c r="L29" s="2" t="str">
        <f>IF(W29="","",LOOKUP('Extraction edi'!J29,Paramètrage!$A$6:$A$179,Paramètrage!$C$6:$C$179))</f>
        <v>PVC blanc</v>
      </c>
      <c r="M29" s="2" t="str">
        <f>IF(W29="","",LOOKUP('Extraction edi'!J29,Paramètrage!$A$6:$A$179,Paramètrage!$D$6:$D$179))</f>
        <v>Plaxé gris anthracite mat lisse/F4366003</v>
      </c>
      <c r="N29" s="3">
        <f>IF(W29="","",LOOKUP('Extraction edi'!J29,Paramètrage!$A$6:$A$179,Paramètrage!$E$6:$E$179))</f>
        <v>28</v>
      </c>
      <c r="O29" s="3">
        <f t="shared" ref="O29:O85" si="38">IF(W29="","",IF(LEFT(AA29,4)="soub",AB29,IF(LEFT(AA29,3)="cim",AB29,AA29)))</f>
        <v>348</v>
      </c>
      <c r="P29" s="3" t="str">
        <f t="shared" ref="P29:P85" si="39">IF(LEFT(U29,1)="N",SUBSTITUTE(AB29,"*",""),IF(LEFT(U29,1)="S",SUBSTITUTE(AB29,"*",""),IF(LEFT(U29,1)="G",SUBSTITUTE(AB29,"*",""),IF(LEN(U29)=11,SUBSTITUTE(AB29,"*",""),U29))))</f>
        <v xml:space="preserve">  881</v>
      </c>
      <c r="Q29" s="3" t="str">
        <f t="shared" si="25"/>
        <v/>
      </c>
      <c r="R29" s="3" t="str">
        <f t="shared" ref="R29:R85" si="40">IF(W29="","",IF(RIGHT(L29,7)="RAL9001",L29,IF(LEFT(AE29,1)="N",AE29,IF(LEFT(AE29,1)="S",AE29,IF(LEFT(AE29,1)="G",AE29,"")))))</f>
        <v/>
      </c>
      <c r="S29" s="3" t="str">
        <f t="shared" ref="S29:S85" si="41">IF(W29="","",IF(RIGHT(M29,7)="RAL9001",M29,IF(LEFT(AC29,1)="N",AC29,IF(LEFT(AC29,1)="S",AC29,IF(LEFT(AC29,1)="G",AC29,IF(LEFT(AD29,1)="N",AD29,IF(LEFT(AD29,1)="S",AD29,IF(LEFT(AD29,1)="G",AD29,""))))))))</f>
        <v/>
      </c>
      <c r="T29" s="4" t="b">
        <f t="shared" ref="T29:T85" si="42">IF(W29="","",IF(LEFT(AA29,4)&lt;&gt;"soub",IF(LEFT(AA29,3)&lt;&gt;"cim"=FALSE,AA29),AA29))</f>
        <v>0</v>
      </c>
      <c r="U29" s="5" t="str">
        <f t="shared" ref="U29:U85" si="43">SUBSTITUTE(AC29,"*","")</f>
        <v>2511528.XP0</v>
      </c>
      <c r="V29" s="7" t="str">
        <f>IF(W29="","",IF(LOOKUP(W29,'Extration 3E date commande'!$A$6:$A$10000)=W29,LOOKUP(W29,'Extration 3E date commande'!$A$6:$A$10000,'Extration 3E date commande'!$C$6:$C$10000),"PAS DE DATE"))</f>
        <v>PAS DE DATE</v>
      </c>
      <c r="W29" t="s">
        <v>459</v>
      </c>
      <c r="X29">
        <v>1</v>
      </c>
      <c r="Y29" t="s">
        <v>412</v>
      </c>
      <c r="Z29">
        <v>1</v>
      </c>
      <c r="AA29">
        <v>348</v>
      </c>
      <c r="AB29" t="s">
        <v>427</v>
      </c>
      <c r="AC29" t="s">
        <v>459</v>
      </c>
    </row>
    <row r="30" spans="1:32" x14ac:dyDescent="0.25">
      <c r="A30" s="3" t="str">
        <f t="shared" si="34"/>
        <v>2511688</v>
      </c>
      <c r="B30" s="3" t="str">
        <f t="shared" si="35"/>
        <v>HP0</v>
      </c>
      <c r="C30" s="3" t="str">
        <f t="shared" si="9"/>
        <v/>
      </c>
      <c r="D30" s="3" t="str">
        <f t="shared" si="2"/>
        <v>PE</v>
      </c>
      <c r="E30" s="3" t="str">
        <f t="shared" si="3"/>
        <v/>
      </c>
      <c r="F30" s="3" t="str">
        <f t="shared" si="4"/>
        <v>TEX</v>
      </c>
      <c r="G30" s="3" t="str">
        <f t="shared" si="23"/>
        <v>PE</v>
      </c>
      <c r="H30" s="3">
        <f t="shared" si="36"/>
        <v>1</v>
      </c>
      <c r="I30" s="3">
        <f t="shared" si="37"/>
        <v>1</v>
      </c>
      <c r="J30" s="2" t="str">
        <f t="shared" si="33"/>
        <v>soubassement MOULURE  blanc POUR PE 28MM</v>
      </c>
      <c r="K30" s="2" t="str">
        <f>IF(W30="","",LOOKUP('Extraction edi'!J30,Paramètrage!$A$6:$A$179,Paramètrage!$B$6:$B$179))</f>
        <v>Type 1 / modèle 451</v>
      </c>
      <c r="L30" s="2" t="str">
        <f>IF(W30="","",LOOKUP('Extraction edi'!J30,Paramètrage!$A$6:$A$179,Paramètrage!$C$6:$C$179))</f>
        <v>PVC blanc</v>
      </c>
      <c r="M30" s="2" t="str">
        <f>IF(W30="","",LOOKUP('Extraction edi'!J30,Paramètrage!$A$6:$A$179,Paramètrage!$D$6:$D$179))</f>
        <v>PVC blanc</v>
      </c>
      <c r="N30" s="3">
        <f>IF(W30="","",LOOKUP('Extraction edi'!J30,Paramètrage!$A$6:$A$179,Paramètrage!$E$6:$E$179))</f>
        <v>28</v>
      </c>
      <c r="O30" s="3">
        <f t="shared" si="38"/>
        <v>713</v>
      </c>
      <c r="P30" s="3" t="str">
        <f t="shared" si="39"/>
        <v xml:space="preserve">  786</v>
      </c>
      <c r="Q30" s="3" t="str">
        <f t="shared" si="25"/>
        <v/>
      </c>
      <c r="R30" s="3" t="str">
        <f t="shared" si="40"/>
        <v/>
      </c>
      <c r="S30" s="3" t="str">
        <f t="shared" si="41"/>
        <v/>
      </c>
      <c r="T30" s="4" t="str">
        <f t="shared" si="42"/>
        <v>soubassement MOULURE  blanc POUR PE 28MM</v>
      </c>
      <c r="U30" s="5" t="str">
        <f t="shared" si="43"/>
        <v xml:space="preserve">  786</v>
      </c>
      <c r="V30" s="7" t="str">
        <f>IF(W30="","",IF(LOOKUP(W30,'Extration 3E date commande'!$A$6:$A$10000)=W30,LOOKUP(W30,'Extration 3E date commande'!$A$6:$A$10000,'Extration 3E date commande'!$C$6:$C$10000),"PAS DE DATE"))</f>
        <v>PAS DE DATE</v>
      </c>
      <c r="W30" t="s">
        <v>460</v>
      </c>
      <c r="X30">
        <v>1</v>
      </c>
      <c r="Y30" t="s">
        <v>412</v>
      </c>
      <c r="Z30">
        <v>1</v>
      </c>
      <c r="AA30" t="s">
        <v>58</v>
      </c>
      <c r="AB30">
        <v>713</v>
      </c>
      <c r="AC30" t="s">
        <v>424</v>
      </c>
      <c r="AD30" t="s">
        <v>460</v>
      </c>
    </row>
    <row r="31" spans="1:32" x14ac:dyDescent="0.25">
      <c r="A31" s="3" t="str">
        <f t="shared" si="34"/>
        <v>2511775</v>
      </c>
      <c r="B31" s="3" t="str">
        <f t="shared" si="35"/>
        <v>HP2</v>
      </c>
      <c r="C31" s="3" t="str">
        <f t="shared" si="9"/>
        <v/>
      </c>
      <c r="D31" s="3" t="str">
        <f t="shared" si="2"/>
        <v>PE</v>
      </c>
      <c r="E31" s="3" t="str">
        <f t="shared" si="3"/>
        <v/>
      </c>
      <c r="F31" s="3" t="str">
        <f t="shared" si="4"/>
        <v>TEX</v>
      </c>
      <c r="G31" s="3" t="str">
        <f t="shared" si="23"/>
        <v>PE</v>
      </c>
      <c r="H31" s="3">
        <f t="shared" si="36"/>
        <v>1</v>
      </c>
      <c r="I31" s="3">
        <f t="shared" si="37"/>
        <v>1</v>
      </c>
      <c r="J31" s="2" t="str">
        <f t="shared" si="33"/>
        <v>soubassement MOUL ALU LAQ 2 FACES POUR PE 28MM</v>
      </c>
      <c r="K31" s="2" t="str">
        <f>IF(W31="","",LOOKUP('Extraction edi'!J31,Paramètrage!$A$6:$A$179,Paramètrage!$B$6:$B$179))</f>
        <v>Type 1 A / modèle 451</v>
      </c>
      <c r="L31" s="2" t="str">
        <f>IF(W31="","",LOOKUP('Extraction edi'!J31,Paramètrage!$A$6:$A$179,Paramètrage!$C$6:$C$179))</f>
        <v>ALU blanc</v>
      </c>
      <c r="M31" s="2" t="str">
        <f>IF(W31="","",LOOKUP('Extraction edi'!J31,Paramètrage!$A$6:$A$179,Paramètrage!$D$6:$D$179))</f>
        <v>ALU blanc</v>
      </c>
      <c r="N31" s="3">
        <f>IF(W31="","",LOOKUP('Extraction edi'!J31,Paramètrage!$A$6:$A$179,Paramètrage!$E$6:$E$179))</f>
        <v>28</v>
      </c>
      <c r="O31" s="3">
        <f t="shared" si="38"/>
        <v>707</v>
      </c>
      <c r="P31" s="3" t="str">
        <f t="shared" si="39"/>
        <v xml:space="preserve">  586</v>
      </c>
      <c r="Q31" s="3" t="str">
        <f t="shared" si="25"/>
        <v>laquage RAL :</v>
      </c>
      <c r="R31" s="3" t="str">
        <f t="shared" si="40"/>
        <v>G7016</v>
      </c>
      <c r="S31" s="3" t="str">
        <f t="shared" si="41"/>
        <v>G7016</v>
      </c>
      <c r="T31" s="4" t="str">
        <f t="shared" si="42"/>
        <v>soubassement MOUL ALU LAQ 2 FACES POUR PE 28MM</v>
      </c>
      <c r="U31" s="5" t="str">
        <f t="shared" si="43"/>
        <v xml:space="preserve">  586</v>
      </c>
      <c r="V31" s="7" t="str">
        <f>IF(W31="","",IF(LOOKUP(W31,'Extration 3E date commande'!$A$6:$A$10000)=W31,LOOKUP(W31,'Extration 3E date commande'!$A$6:$A$10000,'Extration 3E date commande'!$C$6:$C$10000),"PAS DE DATE"))</f>
        <v>PAS DE DATE</v>
      </c>
      <c r="W31" t="s">
        <v>461</v>
      </c>
      <c r="X31">
        <v>1</v>
      </c>
      <c r="Y31" t="s">
        <v>412</v>
      </c>
      <c r="Z31">
        <v>1</v>
      </c>
      <c r="AA31" t="s">
        <v>69</v>
      </c>
      <c r="AB31">
        <v>707</v>
      </c>
      <c r="AC31" t="s">
        <v>456</v>
      </c>
      <c r="AD31" t="s">
        <v>462</v>
      </c>
      <c r="AE31" t="s">
        <v>462</v>
      </c>
      <c r="AF31" t="s">
        <v>461</v>
      </c>
    </row>
    <row r="32" spans="1:32" x14ac:dyDescent="0.25">
      <c r="A32" s="3" t="str">
        <f t="shared" si="34"/>
        <v>2511775</v>
      </c>
      <c r="B32" s="3" t="str">
        <f t="shared" si="35"/>
        <v>HP2</v>
      </c>
      <c r="C32" s="3" t="str">
        <f t="shared" si="9"/>
        <v/>
      </c>
      <c r="D32" s="3" t="str">
        <f t="shared" si="2"/>
        <v>PE</v>
      </c>
      <c r="E32" s="3" t="str">
        <f t="shared" si="3"/>
        <v/>
      </c>
      <c r="F32" s="3" t="str">
        <f t="shared" si="4"/>
        <v>TEX</v>
      </c>
      <c r="G32" s="3" t="str">
        <f t="shared" si="23"/>
        <v>PE</v>
      </c>
      <c r="H32" s="3">
        <f t="shared" si="36"/>
        <v>1</v>
      </c>
      <c r="I32" s="3">
        <f t="shared" si="37"/>
        <v>1</v>
      </c>
      <c r="J32" s="2" t="str">
        <f t="shared" si="33"/>
        <v>soubassement MOUL ALU LAQ 2 FACES POUR PE 28MM</v>
      </c>
      <c r="K32" s="2" t="str">
        <f>IF(W32="","",LOOKUP('Extraction edi'!J32,Paramètrage!$A$6:$A$179,Paramètrage!$B$6:$B$179))</f>
        <v>Type 1 A / modèle 451</v>
      </c>
      <c r="L32" s="2" t="str">
        <f>IF(W32="","",LOOKUP('Extraction edi'!J32,Paramètrage!$A$6:$A$179,Paramètrage!$C$6:$C$179))</f>
        <v>ALU blanc</v>
      </c>
      <c r="M32" s="2" t="str">
        <f>IF(W32="","",LOOKUP('Extraction edi'!J32,Paramètrage!$A$6:$A$179,Paramètrage!$D$6:$D$179))</f>
        <v>ALU blanc</v>
      </c>
      <c r="N32" s="3">
        <f>IF(W32="","",LOOKUP('Extraction edi'!J32,Paramètrage!$A$6:$A$179,Paramètrage!$E$6:$E$179))</f>
        <v>28</v>
      </c>
      <c r="O32" s="3">
        <f t="shared" si="38"/>
        <v>707</v>
      </c>
      <c r="P32" s="3" t="str">
        <f t="shared" si="39"/>
        <v xml:space="preserve">  230</v>
      </c>
      <c r="Q32" s="3" t="str">
        <f t="shared" si="25"/>
        <v>laquage RAL :</v>
      </c>
      <c r="R32" s="3" t="str">
        <f t="shared" si="40"/>
        <v/>
      </c>
      <c r="S32" s="3" t="str">
        <f t="shared" si="41"/>
        <v>G7016</v>
      </c>
      <c r="T32" s="4" t="b">
        <f t="shared" si="42"/>
        <v>0</v>
      </c>
      <c r="U32" s="5" t="str">
        <f t="shared" si="43"/>
        <v>G7016</v>
      </c>
      <c r="V32" s="7" t="str">
        <f>IF(W32="","",IF(LOOKUP(W32,'Extration 3E date commande'!$A$6:$A$10000)=W32,LOOKUP(W32,'Extration 3E date commande'!$A$6:$A$10000,'Extration 3E date commande'!$C$6:$C$10000),"PAS DE DATE"))</f>
        <v>PAS DE DATE</v>
      </c>
      <c r="W32" t="s">
        <v>461</v>
      </c>
      <c r="X32">
        <v>1</v>
      </c>
      <c r="Y32" t="s">
        <v>412</v>
      </c>
      <c r="Z32">
        <v>1</v>
      </c>
      <c r="AA32">
        <v>707</v>
      </c>
      <c r="AB32" t="s">
        <v>455</v>
      </c>
      <c r="AC32" t="s">
        <v>462</v>
      </c>
      <c r="AD32" t="s">
        <v>462</v>
      </c>
      <c r="AE32" t="s">
        <v>461</v>
      </c>
    </row>
    <row r="33" spans="1:32" x14ac:dyDescent="0.25">
      <c r="A33" s="3" t="str">
        <f t="shared" si="34"/>
        <v>2511813</v>
      </c>
      <c r="B33" s="3" t="str">
        <f t="shared" si="35"/>
        <v>HP0</v>
      </c>
      <c r="C33" s="3" t="str">
        <f t="shared" si="9"/>
        <v/>
      </c>
      <c r="D33" s="3" t="str">
        <f t="shared" si="2"/>
        <v>PE</v>
      </c>
      <c r="E33" s="3" t="str">
        <f t="shared" si="3"/>
        <v/>
      </c>
      <c r="F33" s="3" t="str">
        <f t="shared" si="4"/>
        <v>TEX</v>
      </c>
      <c r="G33" s="3" t="str">
        <f t="shared" si="23"/>
        <v>PE</v>
      </c>
      <c r="H33" s="3">
        <f t="shared" si="36"/>
        <v>1</v>
      </c>
      <c r="I33" s="3">
        <f t="shared" si="37"/>
        <v>1</v>
      </c>
      <c r="J33" s="2" t="str">
        <f t="shared" si="33"/>
        <v>soubassement MOUL ALU LAQ 1 FACE POUR PE 28MM</v>
      </c>
      <c r="K33" s="2" t="str">
        <f>IF(W33="","",LOOKUP('Extraction edi'!J33,Paramètrage!$A$6:$A$179,Paramètrage!$B$6:$B$179))</f>
        <v>Type 1 A / modèle 451</v>
      </c>
      <c r="L33" s="2" t="str">
        <f>IF(W33="","",LOOKUP('Extraction edi'!J33,Paramètrage!$A$6:$A$179,Paramètrage!$C$6:$C$179))</f>
        <v>ALU blanc</v>
      </c>
      <c r="M33" s="2" t="str">
        <f>IF(W33="","",LOOKUP('Extraction edi'!J33,Paramètrage!$A$6:$A$179,Paramètrage!$D$6:$D$179))</f>
        <v>ALU blanc</v>
      </c>
      <c r="N33" s="3">
        <f>IF(W33="","",LOOKUP('Extraction edi'!J33,Paramètrage!$A$6:$A$179,Paramètrage!$E$6:$E$179))</f>
        <v>28</v>
      </c>
      <c r="O33" s="3">
        <f t="shared" si="38"/>
        <v>597</v>
      </c>
      <c r="P33" s="3" t="str">
        <f t="shared" si="39"/>
        <v xml:space="preserve">  886</v>
      </c>
      <c r="Q33" s="3" t="str">
        <f t="shared" si="25"/>
        <v>laquage RAL :</v>
      </c>
      <c r="R33" s="3" t="str">
        <f t="shared" si="40"/>
        <v/>
      </c>
      <c r="S33" s="3" t="str">
        <f t="shared" si="41"/>
        <v/>
      </c>
      <c r="T33" s="4" t="str">
        <f t="shared" si="42"/>
        <v>soubassement MOUL ALU LAQ 1 FACE POUR PE 28MM</v>
      </c>
      <c r="U33" s="5" t="str">
        <f t="shared" si="43"/>
        <v xml:space="preserve">  886</v>
      </c>
      <c r="V33" s="7" t="str">
        <f>IF(W33="","",IF(LOOKUP(W33,'Extration 3E date commande'!$A$6:$A$10000)=W33,LOOKUP(W33,'Extration 3E date commande'!$A$6:$A$10000,'Extration 3E date commande'!$C$6:$C$10000),"PAS DE DATE"))</f>
        <v>PAS DE DATE</v>
      </c>
      <c r="W33" t="s">
        <v>463</v>
      </c>
      <c r="X33">
        <v>1</v>
      </c>
      <c r="Y33" t="s">
        <v>412</v>
      </c>
      <c r="Z33">
        <v>1</v>
      </c>
      <c r="AA33" t="s">
        <v>2</v>
      </c>
      <c r="AB33">
        <v>597</v>
      </c>
      <c r="AC33" t="s">
        <v>443</v>
      </c>
      <c r="AD33" t="s">
        <v>463</v>
      </c>
    </row>
    <row r="34" spans="1:32" x14ac:dyDescent="0.25">
      <c r="A34" s="3" t="str">
        <f t="shared" si="34"/>
        <v>2511824</v>
      </c>
      <c r="B34" s="3" t="str">
        <f t="shared" si="35"/>
        <v>0P0</v>
      </c>
      <c r="C34" s="3" t="str">
        <f t="shared" si="9"/>
        <v/>
      </c>
      <c r="D34" s="3" t="str">
        <f t="shared" si="2"/>
        <v>PE</v>
      </c>
      <c r="E34" s="3" t="str">
        <f t="shared" si="3"/>
        <v/>
      </c>
      <c r="F34" s="3" t="str">
        <f t="shared" si="4"/>
        <v/>
      </c>
      <c r="G34" s="3" t="str">
        <f t="shared" si="23"/>
        <v>PE</v>
      </c>
      <c r="H34" s="3">
        <f t="shared" si="36"/>
        <v>1</v>
      </c>
      <c r="I34" s="3">
        <f t="shared" si="37"/>
        <v>1</v>
      </c>
      <c r="J34" s="2" t="str">
        <f t="shared" ref="J34:J85" si="44">IF(W34="","",IF(AND(T34=FALSE,T33=FALSE,T32=FALSE,T31=FALSE,T30=FALSE),AA29,IF(AND(T34=FALSE,T33=FALSE,T32=FALSE,T31=FALSE),AA30,IF(AND(T34=FALSE,T33=FALSE,T32=FALSE),AA31,IF(AND(T34=FALSE,T33=FALSE),AA32,IF(T34=FALSE,AA33,AA34))))))</f>
        <v>soubassement MOULURE  blanc POUR PE 28MM</v>
      </c>
      <c r="K34" s="2" t="str">
        <f>IF(W34="","",LOOKUP('Extraction edi'!J34,Paramètrage!$A$6:$A$179,Paramètrage!$B$6:$B$179))</f>
        <v>Type 1 / modèle 451</v>
      </c>
      <c r="L34" s="2" t="str">
        <f>IF(W34="","",LOOKUP('Extraction edi'!J34,Paramètrage!$A$6:$A$179,Paramètrage!$C$6:$C$179))</f>
        <v>PVC blanc</v>
      </c>
      <c r="M34" s="2" t="str">
        <f>IF(W34="","",LOOKUP('Extraction edi'!J34,Paramètrage!$A$6:$A$179,Paramètrage!$D$6:$D$179))</f>
        <v>PVC blanc</v>
      </c>
      <c r="N34" s="3">
        <f>IF(W34="","",LOOKUP('Extraction edi'!J34,Paramètrage!$A$6:$A$179,Paramètrage!$E$6:$E$179))</f>
        <v>28</v>
      </c>
      <c r="O34" s="3">
        <f t="shared" si="38"/>
        <v>795</v>
      </c>
      <c r="P34" s="3" t="str">
        <f t="shared" si="39"/>
        <v xml:space="preserve">  220</v>
      </c>
      <c r="Q34" s="3" t="str">
        <f t="shared" si="25"/>
        <v/>
      </c>
      <c r="R34" s="3" t="str">
        <f t="shared" si="40"/>
        <v/>
      </c>
      <c r="S34" s="3" t="str">
        <f t="shared" si="41"/>
        <v/>
      </c>
      <c r="T34" s="4" t="str">
        <f t="shared" si="42"/>
        <v>soubassement MOULURE  blanc POUR PE 28MM</v>
      </c>
      <c r="U34" s="5" t="str">
        <f t="shared" si="43"/>
        <v xml:space="preserve">  220</v>
      </c>
      <c r="V34" s="7" t="str">
        <f>IF(W34="","",IF(LOOKUP(W34,'Extration 3E date commande'!$A$6:$A$10000)=W34,LOOKUP(W34,'Extration 3E date commande'!$A$6:$A$10000,'Extration 3E date commande'!$C$6:$C$10000),"PAS DE DATE"))</f>
        <v>PAS DE DATE</v>
      </c>
      <c r="W34" t="s">
        <v>464</v>
      </c>
      <c r="X34">
        <v>1</v>
      </c>
      <c r="Y34" t="s">
        <v>412</v>
      </c>
      <c r="Z34">
        <v>1</v>
      </c>
      <c r="AA34" t="s">
        <v>58</v>
      </c>
      <c r="AB34">
        <v>795</v>
      </c>
      <c r="AC34" t="s">
        <v>425</v>
      </c>
      <c r="AD34" t="s">
        <v>464</v>
      </c>
    </row>
    <row r="35" spans="1:32" x14ac:dyDescent="0.25">
      <c r="A35" s="3" t="str">
        <f t="shared" si="34"/>
        <v>2511824</v>
      </c>
      <c r="B35" s="3" t="str">
        <f t="shared" si="35"/>
        <v>0P0</v>
      </c>
      <c r="C35" s="3" t="str">
        <f t="shared" si="9"/>
        <v/>
      </c>
      <c r="D35" s="3" t="str">
        <f t="shared" si="2"/>
        <v>PE</v>
      </c>
      <c r="E35" s="3" t="str">
        <f t="shared" si="3"/>
        <v/>
      </c>
      <c r="F35" s="3" t="str">
        <f t="shared" si="4"/>
        <v/>
      </c>
      <c r="G35" s="3" t="str">
        <f t="shared" si="23"/>
        <v>PE</v>
      </c>
      <c r="H35" s="3">
        <f t="shared" si="36"/>
        <v>1</v>
      </c>
      <c r="I35" s="3">
        <f t="shared" si="37"/>
        <v>1</v>
      </c>
      <c r="J35" s="2" t="str">
        <f t="shared" si="44"/>
        <v>soubassement MOULURE  blanc POUR PE 28MM</v>
      </c>
      <c r="K35" s="2" t="str">
        <f>IF(W35="","",LOOKUP('Extraction edi'!J35,Paramètrage!$A$6:$A$179,Paramètrage!$B$6:$B$179))</f>
        <v>Type 1 / modèle 451</v>
      </c>
      <c r="L35" s="2" t="str">
        <f>IF(W35="","",LOOKUP('Extraction edi'!J35,Paramètrage!$A$6:$A$179,Paramètrage!$C$6:$C$179))</f>
        <v>PVC blanc</v>
      </c>
      <c r="M35" s="2" t="str">
        <f>IF(W35="","",LOOKUP('Extraction edi'!J35,Paramètrage!$A$6:$A$179,Paramètrage!$D$6:$D$179))</f>
        <v>PVC blanc</v>
      </c>
      <c r="N35" s="3">
        <f>IF(W35="","",LOOKUP('Extraction edi'!J35,Paramètrage!$A$6:$A$179,Paramètrage!$E$6:$E$179))</f>
        <v>28</v>
      </c>
      <c r="O35" s="3">
        <f t="shared" si="38"/>
        <v>368</v>
      </c>
      <c r="P35" s="3" t="str">
        <f t="shared" si="39"/>
        <v xml:space="preserve">  602</v>
      </c>
      <c r="Q35" s="3" t="str">
        <f t="shared" si="25"/>
        <v/>
      </c>
      <c r="R35" s="3" t="str">
        <f t="shared" si="40"/>
        <v/>
      </c>
      <c r="S35" s="3" t="str">
        <f t="shared" si="41"/>
        <v/>
      </c>
      <c r="T35" s="4" t="b">
        <f t="shared" si="42"/>
        <v>0</v>
      </c>
      <c r="U35" s="5" t="str">
        <f t="shared" si="43"/>
        <v>2511824.0P0</v>
      </c>
      <c r="V35" s="7" t="str">
        <f>IF(W35="","",IF(LOOKUP(W35,'Extration 3E date commande'!$A$6:$A$10000)=W35,LOOKUP(W35,'Extration 3E date commande'!$A$6:$A$10000,'Extration 3E date commande'!$C$6:$C$10000),"PAS DE DATE"))</f>
        <v>PAS DE DATE</v>
      </c>
      <c r="W35" t="s">
        <v>464</v>
      </c>
      <c r="X35">
        <v>1</v>
      </c>
      <c r="Y35" t="s">
        <v>412</v>
      </c>
      <c r="Z35">
        <v>1</v>
      </c>
      <c r="AA35">
        <v>368</v>
      </c>
      <c r="AB35" t="s">
        <v>426</v>
      </c>
      <c r="AC35" t="s">
        <v>464</v>
      </c>
    </row>
    <row r="36" spans="1:32" x14ac:dyDescent="0.25">
      <c r="A36" s="3" t="str">
        <f t="shared" si="34"/>
        <v>2511824</v>
      </c>
      <c r="B36" s="3" t="str">
        <f t="shared" si="35"/>
        <v>0P0</v>
      </c>
      <c r="C36" s="3" t="str">
        <f t="shared" si="9"/>
        <v/>
      </c>
      <c r="D36" s="3" t="str">
        <f t="shared" si="2"/>
        <v>PE</v>
      </c>
      <c r="E36" s="3" t="str">
        <f t="shared" si="3"/>
        <v/>
      </c>
      <c r="F36" s="3" t="str">
        <f t="shared" si="4"/>
        <v/>
      </c>
      <c r="G36" s="3" t="str">
        <f t="shared" si="23"/>
        <v>PE</v>
      </c>
      <c r="H36" s="3">
        <f t="shared" si="36"/>
        <v>1</v>
      </c>
      <c r="I36" s="3">
        <f t="shared" si="37"/>
        <v>1</v>
      </c>
      <c r="J36" s="2" t="str">
        <f t="shared" si="44"/>
        <v>soubassement MOULURE  blanc POUR PE 28MM</v>
      </c>
      <c r="K36" s="2" t="str">
        <f>IF(W36="","",LOOKUP('Extraction edi'!J36,Paramètrage!$A$6:$A$179,Paramètrage!$B$6:$B$179))</f>
        <v>Type 1 / modèle 451</v>
      </c>
      <c r="L36" s="2" t="str">
        <f>IF(W36="","",LOOKUP('Extraction edi'!J36,Paramètrage!$A$6:$A$179,Paramètrage!$C$6:$C$179))</f>
        <v>PVC blanc</v>
      </c>
      <c r="M36" s="2" t="str">
        <f>IF(W36="","",LOOKUP('Extraction edi'!J36,Paramètrage!$A$6:$A$179,Paramètrage!$D$6:$D$179))</f>
        <v>PVC blanc</v>
      </c>
      <c r="N36" s="3">
        <f>IF(W36="","",LOOKUP('Extraction edi'!J36,Paramètrage!$A$6:$A$179,Paramètrage!$E$6:$E$179))</f>
        <v>28</v>
      </c>
      <c r="O36" s="3">
        <f t="shared" si="38"/>
        <v>368</v>
      </c>
      <c r="P36" s="3" t="str">
        <f t="shared" si="39"/>
        <v xml:space="preserve">  602</v>
      </c>
      <c r="Q36" s="3" t="str">
        <f t="shared" si="25"/>
        <v/>
      </c>
      <c r="R36" s="3" t="str">
        <f t="shared" si="40"/>
        <v/>
      </c>
      <c r="S36" s="3" t="str">
        <f t="shared" si="41"/>
        <v/>
      </c>
      <c r="T36" s="4" t="b">
        <f t="shared" si="42"/>
        <v>0</v>
      </c>
      <c r="U36" s="5" t="str">
        <f t="shared" si="43"/>
        <v>2511824.0P0</v>
      </c>
      <c r="V36" s="7" t="str">
        <f>IF(W36="","",IF(LOOKUP(W36,'Extration 3E date commande'!$A$6:$A$10000)=W36,LOOKUP(W36,'Extration 3E date commande'!$A$6:$A$10000,'Extration 3E date commande'!$C$6:$C$10000),"PAS DE DATE"))</f>
        <v>PAS DE DATE</v>
      </c>
      <c r="W36" t="s">
        <v>464</v>
      </c>
      <c r="X36">
        <v>1</v>
      </c>
      <c r="Y36" t="s">
        <v>412</v>
      </c>
      <c r="Z36">
        <v>1</v>
      </c>
      <c r="AA36">
        <v>368</v>
      </c>
      <c r="AB36" t="s">
        <v>426</v>
      </c>
      <c r="AC36" t="s">
        <v>464</v>
      </c>
    </row>
    <row r="37" spans="1:32" x14ac:dyDescent="0.25">
      <c r="A37" s="3" t="str">
        <f t="shared" si="34"/>
        <v>2511859</v>
      </c>
      <c r="B37" s="3" t="str">
        <f t="shared" si="35"/>
        <v>HP0</v>
      </c>
      <c r="C37" s="3" t="str">
        <f t="shared" si="9"/>
        <v/>
      </c>
      <c r="D37" s="3" t="str">
        <f t="shared" si="2"/>
        <v>PE</v>
      </c>
      <c r="E37" s="3" t="str">
        <f t="shared" si="3"/>
        <v/>
      </c>
      <c r="F37" s="3" t="str">
        <f t="shared" si="4"/>
        <v>TEX</v>
      </c>
      <c r="G37" s="3" t="str">
        <f t="shared" si="23"/>
        <v>PE</v>
      </c>
      <c r="H37" s="3">
        <f t="shared" si="36"/>
        <v>1</v>
      </c>
      <c r="I37" s="3">
        <f t="shared" si="37"/>
        <v>1</v>
      </c>
      <c r="J37" s="2" t="str">
        <f t="shared" si="44"/>
        <v>soubassement MOUL ALU LAQ 1 FACE POUR PE 28MM</v>
      </c>
      <c r="K37" s="2" t="str">
        <f>IF(W37="","",LOOKUP('Extraction edi'!J37,Paramètrage!$A$6:$A$179,Paramètrage!$B$6:$B$179))</f>
        <v>Type 1 A / modèle 451</v>
      </c>
      <c r="L37" s="2" t="str">
        <f>IF(W37="","",LOOKUP('Extraction edi'!J37,Paramètrage!$A$6:$A$179,Paramètrage!$C$6:$C$179))</f>
        <v>ALU blanc</v>
      </c>
      <c r="M37" s="2" t="str">
        <f>IF(W37="","",LOOKUP('Extraction edi'!J37,Paramètrage!$A$6:$A$179,Paramètrage!$D$6:$D$179))</f>
        <v>ALU blanc</v>
      </c>
      <c r="N37" s="3">
        <f>IF(W37="","",LOOKUP('Extraction edi'!J37,Paramètrage!$A$6:$A$179,Paramètrage!$E$6:$E$179))</f>
        <v>28</v>
      </c>
      <c r="O37" s="3">
        <f t="shared" si="38"/>
        <v>649</v>
      </c>
      <c r="P37" s="3" t="str">
        <f t="shared" si="39"/>
        <v xml:space="preserve">  586</v>
      </c>
      <c r="Q37" s="3" t="str">
        <f t="shared" si="25"/>
        <v>laquage RAL :</v>
      </c>
      <c r="R37" s="3" t="str">
        <f t="shared" si="40"/>
        <v/>
      </c>
      <c r="S37" s="3" t="str">
        <f t="shared" si="41"/>
        <v/>
      </c>
      <c r="T37" s="4" t="str">
        <f t="shared" si="42"/>
        <v>soubassement MOUL ALU LAQ 1 FACE POUR PE 28MM</v>
      </c>
      <c r="U37" s="5" t="str">
        <f t="shared" si="43"/>
        <v xml:space="preserve">  586</v>
      </c>
      <c r="V37" s="7" t="str">
        <f>IF(W37="","",IF(LOOKUP(W37,'Extration 3E date commande'!$A$6:$A$10000)=W37,LOOKUP(W37,'Extration 3E date commande'!$A$6:$A$10000,'Extration 3E date commande'!$C$6:$C$10000),"PAS DE DATE"))</f>
        <v>PAS DE DATE</v>
      </c>
      <c r="W37" t="s">
        <v>465</v>
      </c>
      <c r="X37">
        <v>1</v>
      </c>
      <c r="Y37" t="s">
        <v>412</v>
      </c>
      <c r="Z37">
        <v>1</v>
      </c>
      <c r="AA37" t="s">
        <v>2</v>
      </c>
      <c r="AB37">
        <v>649</v>
      </c>
      <c r="AC37" t="s">
        <v>456</v>
      </c>
      <c r="AD37" t="s">
        <v>465</v>
      </c>
    </row>
    <row r="38" spans="1:32" x14ac:dyDescent="0.25">
      <c r="A38" s="3" t="str">
        <f t="shared" si="34"/>
        <v>2511859</v>
      </c>
      <c r="B38" s="3" t="str">
        <f t="shared" si="35"/>
        <v>HP0</v>
      </c>
      <c r="C38" s="3" t="str">
        <f t="shared" si="9"/>
        <v/>
      </c>
      <c r="D38" s="3" t="str">
        <f t="shared" si="2"/>
        <v>PE</v>
      </c>
      <c r="E38" s="3" t="str">
        <f t="shared" si="3"/>
        <v/>
      </c>
      <c r="F38" s="3" t="str">
        <f t="shared" si="4"/>
        <v>TEX</v>
      </c>
      <c r="G38" s="3" t="str">
        <f t="shared" si="23"/>
        <v>PE</v>
      </c>
      <c r="H38" s="3">
        <f t="shared" si="36"/>
        <v>1</v>
      </c>
      <c r="I38" s="3">
        <f t="shared" si="37"/>
        <v>1</v>
      </c>
      <c r="J38" s="2" t="str">
        <f t="shared" si="44"/>
        <v>soubassement MOUL ALU LAQ 1 FACE POUR PE 28MM</v>
      </c>
      <c r="K38" s="2" t="str">
        <f>IF(W38="","",LOOKUP('Extraction edi'!J38,Paramètrage!$A$6:$A$179,Paramètrage!$B$6:$B$179))</f>
        <v>Type 1 A / modèle 451</v>
      </c>
      <c r="L38" s="2" t="str">
        <f>IF(W38="","",LOOKUP('Extraction edi'!J38,Paramètrage!$A$6:$A$179,Paramètrage!$C$6:$C$179))</f>
        <v>ALU blanc</v>
      </c>
      <c r="M38" s="2" t="str">
        <f>IF(W38="","",LOOKUP('Extraction edi'!J38,Paramètrage!$A$6:$A$179,Paramètrage!$D$6:$D$179))</f>
        <v>ALU blanc</v>
      </c>
      <c r="N38" s="3">
        <f>IF(W38="","",LOOKUP('Extraction edi'!J38,Paramètrage!$A$6:$A$179,Paramètrage!$E$6:$E$179))</f>
        <v>28</v>
      </c>
      <c r="O38" s="3">
        <f t="shared" si="38"/>
        <v>649</v>
      </c>
      <c r="P38" s="3" t="str">
        <f t="shared" si="39"/>
        <v xml:space="preserve">  230</v>
      </c>
      <c r="Q38" s="3" t="str">
        <f t="shared" si="25"/>
        <v>laquage RAL :</v>
      </c>
      <c r="R38" s="3" t="str">
        <f t="shared" si="40"/>
        <v/>
      </c>
      <c r="S38" s="3" t="str">
        <f t="shared" si="41"/>
        <v/>
      </c>
      <c r="T38" s="4" t="b">
        <f t="shared" si="42"/>
        <v>0</v>
      </c>
      <c r="U38" s="5" t="str">
        <f t="shared" si="43"/>
        <v>2511859.HP0</v>
      </c>
      <c r="V38" s="7" t="str">
        <f>IF(W38="","",IF(LOOKUP(W38,'Extration 3E date commande'!$A$6:$A$10000)=W38,LOOKUP(W38,'Extration 3E date commande'!$A$6:$A$10000,'Extration 3E date commande'!$C$6:$C$10000),"PAS DE DATE"))</f>
        <v>PAS DE DATE</v>
      </c>
      <c r="W38" t="s">
        <v>465</v>
      </c>
      <c r="X38">
        <v>1</v>
      </c>
      <c r="Y38" t="s">
        <v>412</v>
      </c>
      <c r="Z38">
        <v>1</v>
      </c>
      <c r="AA38">
        <v>649</v>
      </c>
      <c r="AB38" t="s">
        <v>455</v>
      </c>
      <c r="AC38" t="s">
        <v>465</v>
      </c>
    </row>
    <row r="39" spans="1:32" x14ac:dyDescent="0.25">
      <c r="A39" s="3" t="str">
        <f t="shared" si="34"/>
        <v>2511931</v>
      </c>
      <c r="B39" s="3" t="str">
        <f t="shared" si="35"/>
        <v>HP0</v>
      </c>
      <c r="C39" s="3" t="str">
        <f t="shared" si="9"/>
        <v/>
      </c>
      <c r="D39" s="3" t="str">
        <f t="shared" si="2"/>
        <v>PE</v>
      </c>
      <c r="E39" s="3" t="str">
        <f t="shared" si="3"/>
        <v/>
      </c>
      <c r="F39" s="3" t="str">
        <f t="shared" si="4"/>
        <v>TEX</v>
      </c>
      <c r="G39" s="3" t="str">
        <f t="shared" si="23"/>
        <v>PE</v>
      </c>
      <c r="H39" s="3">
        <f t="shared" si="36"/>
        <v>1</v>
      </c>
      <c r="I39" s="3">
        <f t="shared" si="37"/>
        <v>1</v>
      </c>
      <c r="J39" s="2" t="str">
        <f t="shared" si="44"/>
        <v>soubassement MOUL ALU LAQ 1 FACE POUR PE 28MM</v>
      </c>
      <c r="K39" s="2" t="str">
        <f>IF(W39="","",LOOKUP('Extraction edi'!J39,Paramètrage!$A$6:$A$179,Paramètrage!$B$6:$B$179))</f>
        <v>Type 1 A / modèle 451</v>
      </c>
      <c r="L39" s="2" t="str">
        <f>IF(W39="","",LOOKUP('Extraction edi'!J39,Paramètrage!$A$6:$A$179,Paramètrage!$C$6:$C$179))</f>
        <v>ALU blanc</v>
      </c>
      <c r="M39" s="2" t="str">
        <f>IF(W39="","",LOOKUP('Extraction edi'!J39,Paramètrage!$A$6:$A$179,Paramètrage!$D$6:$D$179))</f>
        <v>ALU blanc</v>
      </c>
      <c r="N39" s="3">
        <f>IF(W39="","",LOOKUP('Extraction edi'!J39,Paramètrage!$A$6:$A$179,Paramètrage!$E$6:$E$179))</f>
        <v>28</v>
      </c>
      <c r="O39" s="3">
        <f t="shared" si="38"/>
        <v>719</v>
      </c>
      <c r="P39" s="3" t="str">
        <f t="shared" si="39"/>
        <v xml:space="preserve">  865</v>
      </c>
      <c r="Q39" s="3" t="str">
        <f t="shared" si="25"/>
        <v>laquage RAL :</v>
      </c>
      <c r="R39" s="3" t="str">
        <f t="shared" si="40"/>
        <v/>
      </c>
      <c r="S39" s="3" t="str">
        <f t="shared" si="41"/>
        <v/>
      </c>
      <c r="T39" s="4" t="str">
        <f t="shared" si="42"/>
        <v>soubassement MOUL ALU LAQ 1 FACE POUR PE 28MM</v>
      </c>
      <c r="U39" s="5" t="str">
        <f t="shared" si="43"/>
        <v xml:space="preserve">  865</v>
      </c>
      <c r="V39" s="7" t="str">
        <f>IF(W39="","",IF(LOOKUP(W39,'Extration 3E date commande'!$A$6:$A$10000)=W39,LOOKUP(W39,'Extration 3E date commande'!$A$6:$A$10000,'Extration 3E date commande'!$C$6:$C$10000),"PAS DE DATE"))</f>
        <v>PAS DE DATE</v>
      </c>
      <c r="W39" t="s">
        <v>466</v>
      </c>
      <c r="X39">
        <v>1</v>
      </c>
      <c r="Y39" t="s">
        <v>412</v>
      </c>
      <c r="Z39">
        <v>1</v>
      </c>
      <c r="AA39" t="s">
        <v>2</v>
      </c>
      <c r="AB39">
        <v>719</v>
      </c>
      <c r="AC39" t="s">
        <v>467</v>
      </c>
      <c r="AD39" t="s">
        <v>466</v>
      </c>
    </row>
    <row r="40" spans="1:32" x14ac:dyDescent="0.25">
      <c r="A40" s="3" t="str">
        <f t="shared" si="34"/>
        <v>2511942</v>
      </c>
      <c r="B40" s="3" t="str">
        <f t="shared" si="35"/>
        <v>XP0</v>
      </c>
      <c r="C40" s="3" t="str">
        <f t="shared" si="9"/>
        <v/>
      </c>
      <c r="D40" s="3" t="str">
        <f t="shared" si="2"/>
        <v>PE</v>
      </c>
      <c r="E40" s="3" t="str">
        <f t="shared" si="3"/>
        <v/>
      </c>
      <c r="F40" s="3" t="str">
        <f t="shared" si="4"/>
        <v>TEX</v>
      </c>
      <c r="G40" s="3" t="str">
        <f t="shared" si="23"/>
        <v>PE</v>
      </c>
      <c r="H40" s="3">
        <f t="shared" si="36"/>
        <v>1</v>
      </c>
      <c r="I40" s="3">
        <f t="shared" si="37"/>
        <v>1</v>
      </c>
      <c r="J40" s="2" t="str">
        <f t="shared" si="44"/>
        <v>soubassement MOUL CHENE NAT 2 FACES POUR PE 28MM</v>
      </c>
      <c r="K40" s="2" t="str">
        <f>IF(W40="","",LOOKUP('Extraction edi'!J40,Paramètrage!$A$6:$A$179,Paramètrage!$B$6:$B$179))</f>
        <v>Type 1 / modèle 451</v>
      </c>
      <c r="L40" s="2" t="str">
        <f>IF(W40="","",LOOKUP('Extraction edi'!J40,Paramètrage!$A$6:$A$179,Paramètrage!$C$6:$C$179))</f>
        <v>Plaxé tuner oak / F4703001</v>
      </c>
      <c r="M40" s="2" t="str">
        <f>IF(W40="","",LOOKUP('Extraction edi'!J40,Paramètrage!$A$6:$A$179,Paramètrage!$D$6:$D$179))</f>
        <v>Plaxé tuner oak / F4703001</v>
      </c>
      <c r="N40" s="3">
        <f>IF(W40="","",LOOKUP('Extraction edi'!J40,Paramètrage!$A$6:$A$179,Paramètrage!$E$6:$E$179))</f>
        <v>28</v>
      </c>
      <c r="O40" s="3">
        <f t="shared" si="38"/>
        <v>635</v>
      </c>
      <c r="P40" s="3" t="str">
        <f t="shared" si="39"/>
        <v xml:space="preserve">  881</v>
      </c>
      <c r="Q40" s="3" t="str">
        <f t="shared" si="25"/>
        <v/>
      </c>
      <c r="R40" s="3" t="str">
        <f t="shared" si="40"/>
        <v/>
      </c>
      <c r="S40" s="3" t="str">
        <f t="shared" si="41"/>
        <v/>
      </c>
      <c r="T40" s="4" t="str">
        <f t="shared" si="42"/>
        <v>soubassement MOUL CHENE NAT 2 FACES POUR PE 28MM</v>
      </c>
      <c r="U40" s="5" t="str">
        <f t="shared" si="43"/>
        <v xml:space="preserve">  881</v>
      </c>
      <c r="V40" s="7" t="str">
        <f>IF(W40="","",IF(LOOKUP(W40,'Extration 3E date commande'!$A$6:$A$10000)=W40,LOOKUP(W40,'Extration 3E date commande'!$A$6:$A$10000,'Extration 3E date commande'!$C$6:$C$10000),"PAS DE DATE"))</f>
        <v>PAS DE DATE</v>
      </c>
      <c r="W40" t="s">
        <v>468</v>
      </c>
      <c r="X40">
        <v>1</v>
      </c>
      <c r="Y40" t="s">
        <v>412</v>
      </c>
      <c r="Z40">
        <v>1</v>
      </c>
      <c r="AA40" t="s">
        <v>332</v>
      </c>
      <c r="AB40">
        <v>635</v>
      </c>
      <c r="AC40" t="s">
        <v>427</v>
      </c>
      <c r="AD40" t="s">
        <v>468</v>
      </c>
    </row>
    <row r="41" spans="1:32" x14ac:dyDescent="0.25">
      <c r="A41" s="3" t="str">
        <f t="shared" si="34"/>
        <v>2511942</v>
      </c>
      <c r="B41" s="3" t="str">
        <f t="shared" si="35"/>
        <v>XP0</v>
      </c>
      <c r="C41" s="3" t="str">
        <f t="shared" si="9"/>
        <v/>
      </c>
      <c r="D41" s="3" t="str">
        <f t="shared" si="2"/>
        <v>PE</v>
      </c>
      <c r="E41" s="3" t="str">
        <f t="shared" si="3"/>
        <v/>
      </c>
      <c r="F41" s="3" t="str">
        <f t="shared" si="4"/>
        <v>TEX</v>
      </c>
      <c r="G41" s="3" t="str">
        <f t="shared" si="23"/>
        <v>PE</v>
      </c>
      <c r="H41" s="3">
        <f t="shared" si="36"/>
        <v>3</v>
      </c>
      <c r="I41" s="3">
        <f t="shared" si="37"/>
        <v>1</v>
      </c>
      <c r="J41" s="2" t="str">
        <f t="shared" si="44"/>
        <v>soubassement MOUL CHENE NAT 2 FACES POUR PE 28MM</v>
      </c>
      <c r="K41" s="2" t="str">
        <f>IF(W41="","",LOOKUP('Extraction edi'!J41,Paramètrage!$A$6:$A$179,Paramètrage!$B$6:$B$179))</f>
        <v>Type 1 / modèle 451</v>
      </c>
      <c r="L41" s="2" t="str">
        <f>IF(W41="","",LOOKUP('Extraction edi'!J41,Paramètrage!$A$6:$A$179,Paramètrage!$C$6:$C$179))</f>
        <v>Plaxé tuner oak / F4703001</v>
      </c>
      <c r="M41" s="2" t="str">
        <f>IF(W41="","",LOOKUP('Extraction edi'!J41,Paramètrage!$A$6:$A$179,Paramètrage!$D$6:$D$179))</f>
        <v>Plaxé tuner oak / F4703001</v>
      </c>
      <c r="N41" s="3">
        <f>IF(W41="","",LOOKUP('Extraction edi'!J41,Paramètrage!$A$6:$A$179,Paramètrage!$E$6:$E$179))</f>
        <v>28</v>
      </c>
      <c r="O41" s="3">
        <f t="shared" si="38"/>
        <v>735</v>
      </c>
      <c r="P41" s="3" t="str">
        <f t="shared" si="39"/>
        <v xml:space="preserve">  602</v>
      </c>
      <c r="Q41" s="3" t="str">
        <f t="shared" si="25"/>
        <v/>
      </c>
      <c r="R41" s="3" t="str">
        <f t="shared" si="40"/>
        <v/>
      </c>
      <c r="S41" s="3" t="str">
        <f t="shared" si="41"/>
        <v/>
      </c>
      <c r="T41" s="4" t="b">
        <f t="shared" si="42"/>
        <v>0</v>
      </c>
      <c r="U41" s="5" t="str">
        <f t="shared" si="43"/>
        <v>2511942.XP0</v>
      </c>
      <c r="V41" s="7" t="str">
        <f>IF(W41="","",IF(LOOKUP(W41,'Extration 3E date commande'!$A$6:$A$10000)=W41,LOOKUP(W41,'Extration 3E date commande'!$A$6:$A$10000,'Extration 3E date commande'!$C$6:$C$10000),"PAS DE DATE"))</f>
        <v>PAS DE DATE</v>
      </c>
      <c r="W41" t="s">
        <v>468</v>
      </c>
      <c r="X41">
        <v>3</v>
      </c>
      <c r="Y41" t="s">
        <v>412</v>
      </c>
      <c r="Z41">
        <v>1</v>
      </c>
      <c r="AA41">
        <v>735</v>
      </c>
      <c r="AB41" t="s">
        <v>426</v>
      </c>
      <c r="AC41" t="s">
        <v>468</v>
      </c>
    </row>
    <row r="42" spans="1:32" x14ac:dyDescent="0.25">
      <c r="A42" s="3" t="str">
        <f t="shared" si="34"/>
        <v>2511942</v>
      </c>
      <c r="B42" s="3" t="str">
        <f t="shared" si="35"/>
        <v>XP0</v>
      </c>
      <c r="C42" s="3" t="str">
        <f t="shared" si="9"/>
        <v/>
      </c>
      <c r="D42" s="3" t="str">
        <f t="shared" si="2"/>
        <v>PE</v>
      </c>
      <c r="E42" s="3" t="str">
        <f t="shared" si="3"/>
        <v/>
      </c>
      <c r="F42" s="3" t="str">
        <f t="shared" si="4"/>
        <v>TEX</v>
      </c>
      <c r="G42" s="3" t="str">
        <f t="shared" si="23"/>
        <v>PE</v>
      </c>
      <c r="H42" s="3">
        <f t="shared" si="36"/>
        <v>3</v>
      </c>
      <c r="I42" s="3">
        <f t="shared" si="37"/>
        <v>1</v>
      </c>
      <c r="J42" s="2" t="str">
        <f t="shared" si="44"/>
        <v>soubassement MOUL CHENE NAT 2 FACES POUR PE 28MM</v>
      </c>
      <c r="K42" s="2" t="str">
        <f>IF(W42="","",LOOKUP('Extraction edi'!J42,Paramètrage!$A$6:$A$179,Paramètrage!$B$6:$B$179))</f>
        <v>Type 1 / modèle 451</v>
      </c>
      <c r="L42" s="2" t="str">
        <f>IF(W42="","",LOOKUP('Extraction edi'!J42,Paramètrage!$A$6:$A$179,Paramètrage!$C$6:$C$179))</f>
        <v>Plaxé tuner oak / F4703001</v>
      </c>
      <c r="M42" s="2" t="str">
        <f>IF(W42="","",LOOKUP('Extraction edi'!J42,Paramètrage!$A$6:$A$179,Paramètrage!$D$6:$D$179))</f>
        <v>Plaxé tuner oak / F4703001</v>
      </c>
      <c r="N42" s="3">
        <f>IF(W42="","",LOOKUP('Extraction edi'!J42,Paramètrage!$A$6:$A$179,Paramètrage!$E$6:$E$179))</f>
        <v>28</v>
      </c>
      <c r="O42" s="3">
        <f t="shared" si="38"/>
        <v>735</v>
      </c>
      <c r="P42" s="3" t="str">
        <f t="shared" si="39"/>
        <v xml:space="preserve">  220</v>
      </c>
      <c r="Q42" s="3" t="str">
        <f t="shared" si="25"/>
        <v/>
      </c>
      <c r="R42" s="3" t="str">
        <f t="shared" si="40"/>
        <v/>
      </c>
      <c r="S42" s="3" t="str">
        <f t="shared" si="41"/>
        <v/>
      </c>
      <c r="T42" s="4" t="b">
        <f t="shared" si="42"/>
        <v>0</v>
      </c>
      <c r="U42" s="5" t="str">
        <f t="shared" si="43"/>
        <v>2511942.XP0</v>
      </c>
      <c r="V42" s="7" t="str">
        <f>IF(W42="","",IF(LOOKUP(W42,'Extration 3E date commande'!$A$6:$A$10000)=W42,LOOKUP(W42,'Extration 3E date commande'!$A$6:$A$10000,'Extration 3E date commande'!$C$6:$C$10000),"PAS DE DATE"))</f>
        <v>PAS DE DATE</v>
      </c>
      <c r="W42" t="s">
        <v>468</v>
      </c>
      <c r="X42">
        <v>3</v>
      </c>
      <c r="Y42" t="s">
        <v>412</v>
      </c>
      <c r="Z42">
        <v>1</v>
      </c>
      <c r="AA42">
        <v>735</v>
      </c>
      <c r="AB42" t="s">
        <v>425</v>
      </c>
      <c r="AC42" t="s">
        <v>468</v>
      </c>
    </row>
    <row r="43" spans="1:32" x14ac:dyDescent="0.25">
      <c r="A43" s="3" t="str">
        <f t="shared" si="34"/>
        <v>2511969</v>
      </c>
      <c r="B43" s="3" t="str">
        <f t="shared" si="35"/>
        <v>XP0</v>
      </c>
      <c r="C43" s="3" t="str">
        <f t="shared" si="9"/>
        <v/>
      </c>
      <c r="D43" s="3" t="str">
        <f t="shared" si="2"/>
        <v>PE</v>
      </c>
      <c r="E43" s="3" t="str">
        <f t="shared" si="3"/>
        <v/>
      </c>
      <c r="F43" s="3" t="str">
        <f t="shared" si="4"/>
        <v>TEX</v>
      </c>
      <c r="G43" s="3" t="str">
        <f t="shared" si="23"/>
        <v>PE</v>
      </c>
      <c r="H43" s="3">
        <f t="shared" si="36"/>
        <v>1</v>
      </c>
      <c r="I43" s="3">
        <f t="shared" si="37"/>
        <v>1</v>
      </c>
      <c r="J43" s="2" t="str">
        <f t="shared" si="44"/>
        <v>soubassement MOUL ALU LAQ 2 FACES POUR PE 28MM</v>
      </c>
      <c r="K43" s="2" t="str">
        <f>IF(W43="","",LOOKUP('Extraction edi'!J43,Paramètrage!$A$6:$A$179,Paramètrage!$B$6:$B$179))</f>
        <v>Type 1 A / modèle 451</v>
      </c>
      <c r="L43" s="2" t="str">
        <f>IF(W43="","",LOOKUP('Extraction edi'!J43,Paramètrage!$A$6:$A$179,Paramètrage!$C$6:$C$179))</f>
        <v>ALU blanc</v>
      </c>
      <c r="M43" s="2" t="str">
        <f>IF(W43="","",LOOKUP('Extraction edi'!J43,Paramètrage!$A$6:$A$179,Paramètrage!$D$6:$D$179))</f>
        <v>ALU blanc</v>
      </c>
      <c r="N43" s="3">
        <f>IF(W43="","",LOOKUP('Extraction edi'!J43,Paramètrage!$A$6:$A$179,Paramètrage!$E$6:$E$179))</f>
        <v>28</v>
      </c>
      <c r="O43" s="3">
        <f t="shared" si="38"/>
        <v>666</v>
      </c>
      <c r="P43" s="3" t="str">
        <f t="shared" si="39"/>
        <v xml:space="preserve">  619</v>
      </c>
      <c r="Q43" s="3" t="str">
        <f t="shared" si="25"/>
        <v>laquage RAL :</v>
      </c>
      <c r="R43" s="3" t="str">
        <f t="shared" si="40"/>
        <v>G7016</v>
      </c>
      <c r="S43" s="3" t="str">
        <f t="shared" si="41"/>
        <v>G7016</v>
      </c>
      <c r="T43" s="4" t="str">
        <f t="shared" si="42"/>
        <v>soubassement MOUL ALU LAQ 2 FACES POUR PE 28MM</v>
      </c>
      <c r="U43" s="5" t="str">
        <f t="shared" si="43"/>
        <v xml:space="preserve">  619</v>
      </c>
      <c r="V43" s="7" t="str">
        <f>IF(W43="","",IF(LOOKUP(W43,'Extration 3E date commande'!$A$6:$A$10000)=W43,LOOKUP(W43,'Extration 3E date commande'!$A$6:$A$10000,'Extration 3E date commande'!$C$6:$C$10000),"PAS DE DATE"))</f>
        <v>PAS DE DATE</v>
      </c>
      <c r="W43" t="s">
        <v>469</v>
      </c>
      <c r="X43">
        <v>1</v>
      </c>
      <c r="Y43" t="s">
        <v>412</v>
      </c>
      <c r="Z43">
        <v>1</v>
      </c>
      <c r="AA43" t="s">
        <v>69</v>
      </c>
      <c r="AB43">
        <v>666</v>
      </c>
      <c r="AC43" t="s">
        <v>470</v>
      </c>
      <c r="AD43" t="s">
        <v>462</v>
      </c>
      <c r="AE43" t="s">
        <v>462</v>
      </c>
      <c r="AF43" t="s">
        <v>469</v>
      </c>
    </row>
    <row r="44" spans="1:32" x14ac:dyDescent="0.25">
      <c r="A44" s="3" t="str">
        <f t="shared" si="34"/>
        <v>2511969</v>
      </c>
      <c r="B44" s="3" t="str">
        <f t="shared" si="35"/>
        <v>XP0</v>
      </c>
      <c r="C44" s="3" t="str">
        <f t="shared" si="9"/>
        <v/>
      </c>
      <c r="D44" s="3" t="str">
        <f t="shared" si="2"/>
        <v>PE</v>
      </c>
      <c r="E44" s="3" t="str">
        <f t="shared" si="3"/>
        <v/>
      </c>
      <c r="F44" s="3" t="str">
        <f t="shared" si="4"/>
        <v>TEX</v>
      </c>
      <c r="G44" s="3" t="str">
        <f t="shared" si="23"/>
        <v>PE</v>
      </c>
      <c r="H44" s="3">
        <f t="shared" si="36"/>
        <v>1</v>
      </c>
      <c r="I44" s="3">
        <f t="shared" si="37"/>
        <v>1</v>
      </c>
      <c r="J44" s="2" t="str">
        <f t="shared" si="44"/>
        <v>soubassement MOUL ALU LAQ 2 FACES POUR PE 28MM</v>
      </c>
      <c r="K44" s="2" t="str">
        <f>IF(W44="","",LOOKUP('Extraction edi'!J44,Paramètrage!$A$6:$A$179,Paramètrage!$B$6:$B$179))</f>
        <v>Type 1 A / modèle 451</v>
      </c>
      <c r="L44" s="2" t="str">
        <f>IF(W44="","",LOOKUP('Extraction edi'!J44,Paramètrage!$A$6:$A$179,Paramètrage!$C$6:$C$179))</f>
        <v>ALU blanc</v>
      </c>
      <c r="M44" s="2" t="str">
        <f>IF(W44="","",LOOKUP('Extraction edi'!J44,Paramètrage!$A$6:$A$179,Paramètrage!$D$6:$D$179))</f>
        <v>ALU blanc</v>
      </c>
      <c r="N44" s="3">
        <f>IF(W44="","",LOOKUP('Extraction edi'!J44,Paramètrage!$A$6:$A$179,Paramètrage!$E$6:$E$179))</f>
        <v>28</v>
      </c>
      <c r="O44" s="3">
        <f t="shared" si="38"/>
        <v>666</v>
      </c>
      <c r="P44" s="3" t="str">
        <f t="shared" si="39"/>
        <v xml:space="preserve">  619</v>
      </c>
      <c r="Q44" s="3" t="str">
        <f t="shared" si="25"/>
        <v>laquage RAL :</v>
      </c>
      <c r="R44" s="3" t="str">
        <f t="shared" si="40"/>
        <v/>
      </c>
      <c r="S44" s="3" t="str">
        <f t="shared" si="41"/>
        <v>G7016</v>
      </c>
      <c r="T44" s="4" t="b">
        <f t="shared" si="42"/>
        <v>0</v>
      </c>
      <c r="U44" s="5" t="str">
        <f t="shared" si="43"/>
        <v>G7016</v>
      </c>
      <c r="V44" s="7" t="str">
        <f>IF(W44="","",IF(LOOKUP(W44,'Extration 3E date commande'!$A$6:$A$10000)=W44,LOOKUP(W44,'Extration 3E date commande'!$A$6:$A$10000,'Extration 3E date commande'!$C$6:$C$10000),"PAS DE DATE"))</f>
        <v>PAS DE DATE</v>
      </c>
      <c r="W44" t="s">
        <v>469</v>
      </c>
      <c r="X44">
        <v>1</v>
      </c>
      <c r="Y44" t="s">
        <v>412</v>
      </c>
      <c r="Z44">
        <v>1</v>
      </c>
      <c r="AA44">
        <v>666</v>
      </c>
      <c r="AB44" t="s">
        <v>470</v>
      </c>
      <c r="AC44" t="s">
        <v>462</v>
      </c>
      <c r="AD44" t="s">
        <v>462</v>
      </c>
      <c r="AE44" t="s">
        <v>469</v>
      </c>
    </row>
    <row r="45" spans="1:32" x14ac:dyDescent="0.25">
      <c r="A45" s="3" t="str">
        <f t="shared" si="34"/>
        <v>2511969</v>
      </c>
      <c r="B45" s="3" t="str">
        <f t="shared" si="35"/>
        <v>XP0</v>
      </c>
      <c r="C45" s="3" t="str">
        <f t="shared" si="9"/>
        <v/>
      </c>
      <c r="D45" s="3" t="str">
        <f t="shared" si="2"/>
        <v>PE</v>
      </c>
      <c r="E45" s="3" t="str">
        <f t="shared" si="3"/>
        <v/>
      </c>
      <c r="F45" s="3" t="str">
        <f t="shared" si="4"/>
        <v>TEX</v>
      </c>
      <c r="G45" s="3" t="str">
        <f t="shared" si="23"/>
        <v>PE</v>
      </c>
      <c r="H45" s="3">
        <f t="shared" si="36"/>
        <v>1</v>
      </c>
      <c r="I45" s="3">
        <f t="shared" si="37"/>
        <v>1</v>
      </c>
      <c r="J45" s="2" t="str">
        <f t="shared" ref="J45:J56" si="45">IF(W45="","",IF(AND(T45=FALSE,T44=FALSE,T43=FALSE,T42=FALSE,T41=FALSE),AA40,IF(AND(T45=FALSE,T44=FALSE,T43=FALSE,T42=FALSE),AA41,IF(AND(T45=FALSE,T44=FALSE,T43=FALSE),AA42,IF(AND(T45=FALSE,T44=FALSE),AA43,IF(T45=FALSE,AA44,AA45))))))</f>
        <v>soubassement MOUL ALU LAQ 2 FACES POUR PE 28MM</v>
      </c>
      <c r="K45" s="2" t="str">
        <f>IF(W45="","",LOOKUP('Extraction edi'!J45,Paramètrage!$A$6:$A$179,Paramètrage!$B$6:$B$179))</f>
        <v>Type 1 A / modèle 451</v>
      </c>
      <c r="L45" s="2" t="str">
        <f>IF(W45="","",LOOKUP('Extraction edi'!J45,Paramètrage!$A$6:$A$179,Paramètrage!$C$6:$C$179))</f>
        <v>ALU blanc</v>
      </c>
      <c r="M45" s="2" t="str">
        <f>IF(W45="","",LOOKUP('Extraction edi'!J45,Paramètrage!$A$6:$A$179,Paramètrage!$D$6:$D$179))</f>
        <v>ALU blanc</v>
      </c>
      <c r="N45" s="3">
        <f>IF(W45="","",LOOKUP('Extraction edi'!J45,Paramètrage!$A$6:$A$179,Paramètrage!$E$6:$E$179))</f>
        <v>28</v>
      </c>
      <c r="O45" s="3">
        <f t="shared" ref="O45:O51" si="46">IF(W45="","",IF(LEFT(AA45,4)="soub",AB45,IF(LEFT(AA45,3)="cim",AB45,AA45)))</f>
        <v>666</v>
      </c>
      <c r="P45" s="3" t="str">
        <f t="shared" ref="P45:P51" si="47">IF(LEFT(U45,1)="N",SUBSTITUTE(AB45,"*",""),IF(LEFT(U45,1)="S",SUBSTITUTE(AB45,"*",""),IF(LEFT(U45,1)="G",SUBSTITUTE(AB45,"*",""),IF(LEN(U45)=11,SUBSTITUTE(AB45,"*",""),U45))))</f>
        <v xml:space="preserve">  619</v>
      </c>
      <c r="Q45" s="3" t="str">
        <f t="shared" si="25"/>
        <v>laquage RAL :</v>
      </c>
      <c r="R45" s="3" t="str">
        <f t="shared" si="40"/>
        <v/>
      </c>
      <c r="S45" s="3" t="str">
        <f t="shared" ref="S45:S51" si="48">IF(W45="","",IF(RIGHT(M45,7)="RAL9001",M45,IF(LEFT(AC45,1)="N",AC45,IF(LEFT(AC45,1)="S",AC45,IF(LEFT(AC45,1)="G",AC45,IF(LEFT(AD45,1)="N",AD45,IF(LEFT(AD45,1)="S",AD45,IF(LEFT(AD45,1)="G",AD45,""))))))))</f>
        <v>G7016</v>
      </c>
      <c r="T45" s="4" t="b">
        <f t="shared" ref="T45:T51" si="49">IF(W45="","",IF(LEFT(AA45,4)&lt;&gt;"soub",IF(LEFT(AA45,3)&lt;&gt;"cim"=FALSE,AA45),AA45))</f>
        <v>0</v>
      </c>
      <c r="U45" s="5" t="str">
        <f t="shared" ref="U45:U51" si="50">SUBSTITUTE(AC45,"*","")</f>
        <v>G7016</v>
      </c>
      <c r="V45" s="7" t="str">
        <f>IF(W45="","",IF(LOOKUP(W45,'Extration 3E date commande'!$A$6:$A$10000)=W45,LOOKUP(W45,'Extration 3E date commande'!$A$6:$A$10000,'Extration 3E date commande'!$C$6:$C$10000),"PAS DE DATE"))</f>
        <v>PAS DE DATE</v>
      </c>
      <c r="W45" t="s">
        <v>469</v>
      </c>
      <c r="X45">
        <v>1</v>
      </c>
      <c r="Y45" t="s">
        <v>412</v>
      </c>
      <c r="Z45">
        <v>1</v>
      </c>
      <c r="AA45">
        <v>666</v>
      </c>
      <c r="AB45" t="s">
        <v>470</v>
      </c>
      <c r="AC45" t="s">
        <v>462</v>
      </c>
      <c r="AD45" t="s">
        <v>462</v>
      </c>
      <c r="AE45" t="s">
        <v>469</v>
      </c>
    </row>
    <row r="46" spans="1:32" x14ac:dyDescent="0.25">
      <c r="A46" s="3" t="str">
        <f t="shared" si="34"/>
        <v>2512008</v>
      </c>
      <c r="B46" s="3" t="str">
        <f t="shared" si="35"/>
        <v>0P0</v>
      </c>
      <c r="C46" s="3" t="str">
        <f t="shared" si="9"/>
        <v/>
      </c>
      <c r="D46" s="3" t="str">
        <f t="shared" si="2"/>
        <v>PE</v>
      </c>
      <c r="E46" s="3" t="str">
        <f t="shared" si="3"/>
        <v/>
      </c>
      <c r="F46" s="3" t="str">
        <f t="shared" si="4"/>
        <v/>
      </c>
      <c r="G46" s="3" t="str">
        <f t="shared" si="23"/>
        <v>PE</v>
      </c>
      <c r="H46" s="3">
        <f t="shared" si="36"/>
        <v>1</v>
      </c>
      <c r="I46" s="3">
        <f t="shared" si="37"/>
        <v>1</v>
      </c>
      <c r="J46" s="2" t="str">
        <f t="shared" si="45"/>
        <v>CIMAISE BLANC MOULURE 28</v>
      </c>
      <c r="K46" s="2" t="str">
        <f>IF(W46="","",LOOKUP('Extraction edi'!J46,Paramètrage!$A$6:$A$179,Paramètrage!$B$6:$B$179))</f>
        <v>Type 3 / modèle 872</v>
      </c>
      <c r="L46" s="2" t="str">
        <f>IF(W46="","",LOOKUP('Extraction edi'!J46,Paramètrage!$A$6:$A$179,Paramètrage!$C$6:$C$179))</f>
        <v>PVC blanc</v>
      </c>
      <c r="M46" s="2" t="str">
        <f>IF(W46="","",LOOKUP('Extraction edi'!J46,Paramètrage!$A$6:$A$179,Paramètrage!$D$6:$D$179))</f>
        <v>PVC blanc</v>
      </c>
      <c r="N46" s="3">
        <f>IF(W46="","",LOOKUP('Extraction edi'!J46,Paramètrage!$A$6:$A$179,Paramètrage!$E$6:$E$179))</f>
        <v>28</v>
      </c>
      <c r="O46" s="3">
        <f t="shared" si="46"/>
        <v>725</v>
      </c>
      <c r="P46" s="3" t="str">
        <f t="shared" si="47"/>
        <v xml:space="preserve">  220</v>
      </c>
      <c r="Q46" s="3" t="str">
        <f t="shared" si="25"/>
        <v/>
      </c>
      <c r="R46" s="3" t="str">
        <f t="shared" si="40"/>
        <v/>
      </c>
      <c r="S46" s="3" t="str">
        <f t="shared" si="48"/>
        <v/>
      </c>
      <c r="T46" s="4" t="str">
        <f t="shared" si="49"/>
        <v>CIMAISE BLANC MOULURE 28</v>
      </c>
      <c r="U46" s="5" t="str">
        <f t="shared" si="50"/>
        <v xml:space="preserve">  220</v>
      </c>
      <c r="V46" s="7" t="str">
        <f>IF(W46="","",IF(LOOKUP(W46,'Extration 3E date commande'!$A$6:$A$10000)=W46,LOOKUP(W46,'Extration 3E date commande'!$A$6:$A$10000,'Extration 3E date commande'!$C$6:$C$10000),"PAS DE DATE"))</f>
        <v>PAS DE DATE</v>
      </c>
      <c r="W46" t="s">
        <v>471</v>
      </c>
      <c r="X46">
        <v>1</v>
      </c>
      <c r="Y46" t="s">
        <v>412</v>
      </c>
      <c r="Z46">
        <v>1</v>
      </c>
      <c r="AA46" t="s">
        <v>22</v>
      </c>
      <c r="AB46">
        <v>725</v>
      </c>
      <c r="AC46" t="s">
        <v>425</v>
      </c>
      <c r="AD46" t="s">
        <v>471</v>
      </c>
    </row>
    <row r="47" spans="1:32" x14ac:dyDescent="0.25">
      <c r="A47" s="3" t="str">
        <f t="shared" si="34"/>
        <v>2512008</v>
      </c>
      <c r="B47" s="3" t="str">
        <f t="shared" si="35"/>
        <v>0P0</v>
      </c>
      <c r="C47" s="3" t="str">
        <f t="shared" si="9"/>
        <v/>
      </c>
      <c r="D47" s="3" t="str">
        <f t="shared" si="2"/>
        <v>PE</v>
      </c>
      <c r="E47" s="3" t="str">
        <f t="shared" si="3"/>
        <v/>
      </c>
      <c r="F47" s="3" t="str">
        <f t="shared" si="4"/>
        <v/>
      </c>
      <c r="G47" s="3" t="str">
        <f t="shared" si="23"/>
        <v>PE</v>
      </c>
      <c r="H47" s="3">
        <f t="shared" si="36"/>
        <v>1</v>
      </c>
      <c r="I47" s="3">
        <f t="shared" si="37"/>
        <v>1</v>
      </c>
      <c r="J47" s="2" t="str">
        <f t="shared" si="45"/>
        <v>soubassement MOULURE  blanc POUR PE 28MM</v>
      </c>
      <c r="K47" s="2" t="str">
        <f>IF(W47="","",LOOKUP('Extraction edi'!J47,Paramètrage!$A$6:$A$179,Paramètrage!$B$6:$B$179))</f>
        <v>Type 1 / modèle 451</v>
      </c>
      <c r="L47" s="2" t="str">
        <f>IF(W47="","",LOOKUP('Extraction edi'!J47,Paramètrage!$A$6:$A$179,Paramètrage!$C$6:$C$179))</f>
        <v>PVC blanc</v>
      </c>
      <c r="M47" s="2" t="str">
        <f>IF(W47="","",LOOKUP('Extraction edi'!J47,Paramètrage!$A$6:$A$179,Paramètrage!$D$6:$D$179))</f>
        <v>PVC blanc</v>
      </c>
      <c r="N47" s="3">
        <f>IF(W47="","",LOOKUP('Extraction edi'!J47,Paramètrage!$A$6:$A$179,Paramètrage!$E$6:$E$179))</f>
        <v>28</v>
      </c>
      <c r="O47" s="3">
        <f t="shared" si="46"/>
        <v>725</v>
      </c>
      <c r="P47" s="3" t="str">
        <f t="shared" si="47"/>
        <v xml:space="preserve">  602</v>
      </c>
      <c r="Q47" s="3" t="str">
        <f t="shared" si="25"/>
        <v/>
      </c>
      <c r="R47" s="3" t="str">
        <f t="shared" si="40"/>
        <v/>
      </c>
      <c r="S47" s="3" t="str">
        <f t="shared" si="48"/>
        <v/>
      </c>
      <c r="T47" s="4" t="str">
        <f t="shared" si="49"/>
        <v>soubassement MOULURE  blanc POUR PE 28MM</v>
      </c>
      <c r="U47" s="5" t="str">
        <f t="shared" si="50"/>
        <v xml:space="preserve">  602</v>
      </c>
      <c r="V47" s="7" t="str">
        <f>IF(W47="","",IF(LOOKUP(W47,'Extration 3E date commande'!$A$6:$A$10000)=W47,LOOKUP(W47,'Extration 3E date commande'!$A$6:$A$10000,'Extration 3E date commande'!$C$6:$C$10000),"PAS DE DATE"))</f>
        <v>PAS DE DATE</v>
      </c>
      <c r="W47" t="s">
        <v>471</v>
      </c>
      <c r="X47">
        <v>1</v>
      </c>
      <c r="Y47" t="s">
        <v>412</v>
      </c>
      <c r="Z47">
        <v>1</v>
      </c>
      <c r="AA47" t="s">
        <v>58</v>
      </c>
      <c r="AB47">
        <v>725</v>
      </c>
      <c r="AC47" t="s">
        <v>426</v>
      </c>
      <c r="AD47" t="s">
        <v>471</v>
      </c>
    </row>
    <row r="48" spans="1:32" x14ac:dyDescent="0.25">
      <c r="A48" s="3" t="str">
        <f t="shared" si="34"/>
        <v>2512009</v>
      </c>
      <c r="B48" s="3" t="str">
        <f t="shared" si="35"/>
        <v>HPL</v>
      </c>
      <c r="C48" s="3" t="str">
        <f t="shared" si="9"/>
        <v/>
      </c>
      <c r="D48" s="3" t="str">
        <f t="shared" si="2"/>
        <v>PE</v>
      </c>
      <c r="E48" s="3" t="str">
        <f t="shared" si="3"/>
        <v/>
      </c>
      <c r="F48" s="3" t="str">
        <f t="shared" si="4"/>
        <v>TEX</v>
      </c>
      <c r="G48" s="3" t="str">
        <f t="shared" si="23"/>
        <v>PE</v>
      </c>
      <c r="H48" s="3">
        <f t="shared" si="36"/>
        <v>1</v>
      </c>
      <c r="I48" s="3">
        <f t="shared" si="37"/>
        <v>1</v>
      </c>
      <c r="J48" s="2" t="str">
        <f t="shared" si="45"/>
        <v>soubassement MOUL ALU LAQ 1 FACE POUR PE 28MM</v>
      </c>
      <c r="K48" s="2" t="str">
        <f>IF(W48="","",LOOKUP('Extraction edi'!J48,Paramètrage!$A$6:$A$179,Paramètrage!$B$6:$B$179))</f>
        <v>Type 1 A / modèle 451</v>
      </c>
      <c r="L48" s="2" t="str">
        <f>IF(W48="","",LOOKUP('Extraction edi'!J48,Paramètrage!$A$6:$A$179,Paramètrage!$C$6:$C$179))</f>
        <v>ALU blanc</v>
      </c>
      <c r="M48" s="2" t="str">
        <f>IF(W48="","",LOOKUP('Extraction edi'!J48,Paramètrage!$A$6:$A$179,Paramètrage!$D$6:$D$179))</f>
        <v>ALU blanc</v>
      </c>
      <c r="N48" s="3">
        <f>IF(W48="","",LOOKUP('Extraction edi'!J48,Paramètrage!$A$6:$A$179,Paramètrage!$E$6:$E$179))</f>
        <v>28</v>
      </c>
      <c r="O48" s="3">
        <f t="shared" si="46"/>
        <v>693</v>
      </c>
      <c r="P48" s="3" t="str">
        <f t="shared" si="47"/>
        <v xml:space="preserve">  607</v>
      </c>
      <c r="Q48" s="3" t="str">
        <f t="shared" si="25"/>
        <v>laquage RAL :</v>
      </c>
      <c r="R48" s="3" t="str">
        <f t="shared" si="40"/>
        <v/>
      </c>
      <c r="S48" s="3" t="str">
        <f t="shared" si="48"/>
        <v/>
      </c>
      <c r="T48" s="4" t="str">
        <f t="shared" si="49"/>
        <v>soubassement MOUL ALU LAQ 1 FACE POUR PE 28MM</v>
      </c>
      <c r="U48" s="5" t="str">
        <f t="shared" si="50"/>
        <v xml:space="preserve">  607</v>
      </c>
      <c r="V48" s="7" t="str">
        <f>IF(W48="","",IF(LOOKUP(W48,'Extration 3E date commande'!$A$6:$A$10000)=W48,LOOKUP(W48,'Extration 3E date commande'!$A$6:$A$10000,'Extration 3E date commande'!$C$6:$C$10000),"PAS DE DATE"))</f>
        <v>PAS DE DATE</v>
      </c>
      <c r="W48" t="s">
        <v>472</v>
      </c>
      <c r="X48">
        <v>1</v>
      </c>
      <c r="Y48" t="s">
        <v>412</v>
      </c>
      <c r="Z48">
        <v>1</v>
      </c>
      <c r="AA48" t="s">
        <v>2</v>
      </c>
      <c r="AB48">
        <v>693</v>
      </c>
      <c r="AC48" t="s">
        <v>458</v>
      </c>
      <c r="AD48" t="s">
        <v>472</v>
      </c>
    </row>
    <row r="49" spans="1:30" x14ac:dyDescent="0.25">
      <c r="A49" s="3" t="str">
        <f t="shared" si="34"/>
        <v>2512009</v>
      </c>
      <c r="B49" s="3" t="str">
        <f t="shared" si="35"/>
        <v>HPL</v>
      </c>
      <c r="C49" s="3" t="str">
        <f t="shared" si="9"/>
        <v/>
      </c>
      <c r="D49" s="3" t="str">
        <f t="shared" si="2"/>
        <v>PE</v>
      </c>
      <c r="E49" s="3" t="str">
        <f t="shared" si="3"/>
        <v/>
      </c>
      <c r="F49" s="3" t="str">
        <f t="shared" si="4"/>
        <v>TEX</v>
      </c>
      <c r="G49" s="3" t="str">
        <f t="shared" si="23"/>
        <v>PE</v>
      </c>
      <c r="H49" s="3">
        <f t="shared" si="36"/>
        <v>1</v>
      </c>
      <c r="I49" s="3">
        <f t="shared" si="37"/>
        <v>1</v>
      </c>
      <c r="J49" s="2" t="str">
        <f t="shared" si="45"/>
        <v>soubassement MOUL ALU LAQ 1 FACE POUR PE 28MM</v>
      </c>
      <c r="K49" s="2" t="str">
        <f>IF(W49="","",LOOKUP('Extraction edi'!J49,Paramètrage!$A$6:$A$179,Paramètrage!$B$6:$B$179))</f>
        <v>Type 1 A / modèle 451</v>
      </c>
      <c r="L49" s="2" t="str">
        <f>IF(W49="","",LOOKUP('Extraction edi'!J49,Paramètrage!$A$6:$A$179,Paramètrage!$C$6:$C$179))</f>
        <v>ALU blanc</v>
      </c>
      <c r="M49" s="2" t="str">
        <f>IF(W49="","",LOOKUP('Extraction edi'!J49,Paramètrage!$A$6:$A$179,Paramètrage!$D$6:$D$179))</f>
        <v>ALU blanc</v>
      </c>
      <c r="N49" s="3">
        <f>IF(W49="","",LOOKUP('Extraction edi'!J49,Paramètrage!$A$6:$A$179,Paramètrage!$E$6:$E$179))</f>
        <v>28</v>
      </c>
      <c r="O49" s="3">
        <f t="shared" si="46"/>
        <v>693</v>
      </c>
      <c r="P49" s="3" t="str">
        <f t="shared" si="47"/>
        <v xml:space="preserve">  230</v>
      </c>
      <c r="Q49" s="3" t="str">
        <f t="shared" si="25"/>
        <v>laquage RAL :</v>
      </c>
      <c r="R49" s="3" t="str">
        <f t="shared" si="40"/>
        <v/>
      </c>
      <c r="S49" s="3" t="str">
        <f t="shared" si="48"/>
        <v/>
      </c>
      <c r="T49" s="4" t="b">
        <f t="shared" si="49"/>
        <v>0</v>
      </c>
      <c r="U49" s="5" t="str">
        <f t="shared" si="50"/>
        <v>2512009.HPL</v>
      </c>
      <c r="V49" s="7" t="str">
        <f>IF(W49="","",IF(LOOKUP(W49,'Extration 3E date commande'!$A$6:$A$10000)=W49,LOOKUP(W49,'Extration 3E date commande'!$A$6:$A$10000,'Extration 3E date commande'!$C$6:$C$10000),"PAS DE DATE"))</f>
        <v>PAS DE DATE</v>
      </c>
      <c r="W49" t="s">
        <v>472</v>
      </c>
      <c r="X49">
        <v>1</v>
      </c>
      <c r="Y49" t="s">
        <v>412</v>
      </c>
      <c r="Z49">
        <v>1</v>
      </c>
      <c r="AA49">
        <v>693</v>
      </c>
      <c r="AB49" t="s">
        <v>455</v>
      </c>
      <c r="AC49" t="s">
        <v>472</v>
      </c>
    </row>
    <row r="50" spans="1:30" x14ac:dyDescent="0.25">
      <c r="A50" s="3" t="str">
        <f t="shared" si="34"/>
        <v>2512095</v>
      </c>
      <c r="B50" s="3" t="str">
        <f t="shared" si="35"/>
        <v>HP0</v>
      </c>
      <c r="C50" s="3" t="str">
        <f t="shared" si="9"/>
        <v/>
      </c>
      <c r="D50" s="3" t="str">
        <f t="shared" si="2"/>
        <v>PE</v>
      </c>
      <c r="E50" s="3" t="str">
        <f t="shared" si="3"/>
        <v/>
      </c>
      <c r="F50" s="3" t="str">
        <f t="shared" si="4"/>
        <v>TEX</v>
      </c>
      <c r="G50" s="3" t="str">
        <f t="shared" si="23"/>
        <v>PE</v>
      </c>
      <c r="H50" s="3">
        <f t="shared" si="36"/>
        <v>1</v>
      </c>
      <c r="I50" s="3">
        <f t="shared" si="37"/>
        <v>1</v>
      </c>
      <c r="J50" s="2" t="str">
        <f t="shared" si="45"/>
        <v>soubassement MOUL ALU LAQ 1 FACE POUR PE 28MM</v>
      </c>
      <c r="K50" s="2" t="str">
        <f>IF(W50="","",LOOKUP('Extraction edi'!J50,Paramètrage!$A$6:$A$179,Paramètrage!$B$6:$B$179))</f>
        <v>Type 1 A / modèle 451</v>
      </c>
      <c r="L50" s="2" t="str">
        <f>IF(W50="","",LOOKUP('Extraction edi'!J50,Paramètrage!$A$6:$A$179,Paramètrage!$C$6:$C$179))</f>
        <v>ALU blanc</v>
      </c>
      <c r="M50" s="2" t="str">
        <f>IF(W50="","",LOOKUP('Extraction edi'!J50,Paramètrage!$A$6:$A$179,Paramètrage!$D$6:$D$179))</f>
        <v>ALU blanc</v>
      </c>
      <c r="N50" s="3">
        <f>IF(W50="","",LOOKUP('Extraction edi'!J50,Paramètrage!$A$6:$A$179,Paramètrage!$E$6:$E$179))</f>
        <v>28</v>
      </c>
      <c r="O50" s="3">
        <f t="shared" si="46"/>
        <v>590</v>
      </c>
      <c r="P50" s="3" t="str">
        <f t="shared" si="47"/>
        <v xml:space="preserve">  230</v>
      </c>
      <c r="Q50" s="3" t="str">
        <f t="shared" si="25"/>
        <v>laquage RAL :</v>
      </c>
      <c r="R50" s="3" t="str">
        <f t="shared" si="40"/>
        <v/>
      </c>
      <c r="S50" s="3" t="str">
        <f t="shared" si="48"/>
        <v/>
      </c>
      <c r="T50" s="4" t="str">
        <f t="shared" si="49"/>
        <v>soubassement MOUL ALU LAQ 1 FACE POUR PE 28MM</v>
      </c>
      <c r="U50" s="5" t="str">
        <f t="shared" si="50"/>
        <v xml:space="preserve">  230</v>
      </c>
      <c r="V50" s="7" t="str">
        <f>IF(W50="","",IF(LOOKUP(W50,'Extration 3E date commande'!$A$6:$A$10000)=W50,LOOKUP(W50,'Extration 3E date commande'!$A$6:$A$10000,'Extration 3E date commande'!$C$6:$C$10000),"PAS DE DATE"))</f>
        <v>PAS DE DATE</v>
      </c>
      <c r="W50" t="s">
        <v>473</v>
      </c>
      <c r="X50">
        <v>1</v>
      </c>
      <c r="Y50" t="s">
        <v>412</v>
      </c>
      <c r="Z50">
        <v>1</v>
      </c>
      <c r="AA50" t="s">
        <v>2</v>
      </c>
      <c r="AB50">
        <v>590</v>
      </c>
      <c r="AC50" t="s">
        <v>455</v>
      </c>
      <c r="AD50" t="s">
        <v>473</v>
      </c>
    </row>
    <row r="51" spans="1:30" x14ac:dyDescent="0.25">
      <c r="A51" s="3" t="str">
        <f t="shared" si="34"/>
        <v>2512095</v>
      </c>
      <c r="B51" s="3" t="str">
        <f t="shared" si="35"/>
        <v>HP0</v>
      </c>
      <c r="C51" s="3" t="str">
        <f t="shared" si="9"/>
        <v/>
      </c>
      <c r="D51" s="3" t="str">
        <f t="shared" si="2"/>
        <v>PE</v>
      </c>
      <c r="E51" s="3" t="str">
        <f t="shared" si="3"/>
        <v/>
      </c>
      <c r="F51" s="3" t="str">
        <f t="shared" si="4"/>
        <v>TEX</v>
      </c>
      <c r="G51" s="3" t="str">
        <f t="shared" si="23"/>
        <v>PE</v>
      </c>
      <c r="H51" s="3">
        <f t="shared" si="36"/>
        <v>1</v>
      </c>
      <c r="I51" s="3">
        <f t="shared" si="37"/>
        <v>1</v>
      </c>
      <c r="J51" s="2" t="str">
        <f t="shared" si="45"/>
        <v>soubassement MOUL ALU LAQ 1 FACE POUR PE 28MM</v>
      </c>
      <c r="K51" s="2" t="str">
        <f>IF(W51="","",LOOKUP('Extraction edi'!J51,Paramètrage!$A$6:$A$179,Paramètrage!$B$6:$B$179))</f>
        <v>Type 1 A / modèle 451</v>
      </c>
      <c r="L51" s="2" t="str">
        <f>IF(W51="","",LOOKUP('Extraction edi'!J51,Paramètrage!$A$6:$A$179,Paramètrage!$C$6:$C$179))</f>
        <v>ALU blanc</v>
      </c>
      <c r="M51" s="2" t="str">
        <f>IF(W51="","",LOOKUP('Extraction edi'!J51,Paramètrage!$A$6:$A$179,Paramètrage!$D$6:$D$179))</f>
        <v>ALU blanc</v>
      </c>
      <c r="N51" s="3">
        <f>IF(W51="","",LOOKUP('Extraction edi'!J51,Paramètrage!$A$6:$A$179,Paramètrage!$E$6:$E$179))</f>
        <v>28</v>
      </c>
      <c r="O51" s="3">
        <f t="shared" si="46"/>
        <v>590</v>
      </c>
      <c r="P51" s="3" t="str">
        <f t="shared" si="47"/>
        <v xml:space="preserve">  586</v>
      </c>
      <c r="Q51" s="3" t="str">
        <f t="shared" si="25"/>
        <v>laquage RAL :</v>
      </c>
      <c r="R51" s="3" t="str">
        <f t="shared" si="40"/>
        <v/>
      </c>
      <c r="S51" s="3" t="str">
        <f t="shared" si="48"/>
        <v/>
      </c>
      <c r="T51" s="4" t="b">
        <f t="shared" si="49"/>
        <v>0</v>
      </c>
      <c r="U51" s="5" t="str">
        <f t="shared" si="50"/>
        <v>2512095.HP0</v>
      </c>
      <c r="V51" s="7" t="str">
        <f>IF(W51="","",IF(LOOKUP(W51,'Extration 3E date commande'!$A$6:$A$10000)=W51,LOOKUP(W51,'Extration 3E date commande'!$A$6:$A$10000,'Extration 3E date commande'!$C$6:$C$10000),"PAS DE DATE"))</f>
        <v>PAS DE DATE</v>
      </c>
      <c r="W51" t="s">
        <v>473</v>
      </c>
      <c r="X51">
        <v>1</v>
      </c>
      <c r="Y51" t="s">
        <v>412</v>
      </c>
      <c r="Z51">
        <v>1</v>
      </c>
      <c r="AA51">
        <v>590</v>
      </c>
      <c r="AB51" t="s">
        <v>456</v>
      </c>
      <c r="AC51" t="s">
        <v>473</v>
      </c>
    </row>
    <row r="52" spans="1:30" x14ac:dyDescent="0.25">
      <c r="A52" s="3" t="str">
        <f t="shared" si="34"/>
        <v>2511495</v>
      </c>
      <c r="B52" s="3" t="str">
        <f t="shared" si="35"/>
        <v>000</v>
      </c>
      <c r="C52" s="3" t="str">
        <f t="shared" si="9"/>
        <v/>
      </c>
      <c r="D52" s="3" t="str">
        <f t="shared" si="2"/>
        <v/>
      </c>
      <c r="E52" s="3" t="str">
        <f t="shared" si="3"/>
        <v/>
      </c>
      <c r="F52" s="3" t="str">
        <f t="shared" si="4"/>
        <v/>
      </c>
      <c r="G52" s="3" t="str">
        <f t="shared" si="23"/>
        <v>STD</v>
      </c>
      <c r="H52" s="3">
        <f t="shared" si="36"/>
        <v>1</v>
      </c>
      <c r="I52" s="3">
        <f t="shared" si="37"/>
        <v>1</v>
      </c>
      <c r="J52" s="2" t="str">
        <f t="shared" si="45"/>
        <v>soubassement mouluré blanc 28MM</v>
      </c>
      <c r="K52" s="2" t="str">
        <f>IF(W52="","",LOOKUP('Extraction edi'!J52,Paramètrage!$A$6:$A$179,Paramètrage!$B$6:$B$179))</f>
        <v>Type 1 / modèle 451</v>
      </c>
      <c r="L52" s="2" t="str">
        <f>IF(W52="","",LOOKUP('Extraction edi'!J52,Paramètrage!$A$6:$A$179,Paramètrage!$C$6:$C$179))</f>
        <v>PVC blanc</v>
      </c>
      <c r="M52" s="2" t="str">
        <f>IF(W52="","",LOOKUP('Extraction edi'!J52,Paramètrage!$A$6:$A$179,Paramètrage!$D$6:$D$179))</f>
        <v>PVC blanc</v>
      </c>
      <c r="N52" s="3">
        <f>IF(W52="","",LOOKUP('Extraction edi'!J52,Paramètrage!$A$6:$A$179,Paramètrage!$E$6:$E$179))</f>
        <v>28</v>
      </c>
      <c r="O52" s="3">
        <f t="shared" si="38"/>
        <v>545</v>
      </c>
      <c r="P52" s="3" t="str">
        <f t="shared" si="39"/>
        <v xml:space="preserve">  355</v>
      </c>
      <c r="Q52" s="3" t="str">
        <f t="shared" si="25"/>
        <v/>
      </c>
      <c r="R52" s="3" t="str">
        <f t="shared" si="40"/>
        <v/>
      </c>
      <c r="S52" s="3" t="str">
        <f t="shared" si="41"/>
        <v/>
      </c>
      <c r="T52" s="4" t="str">
        <f t="shared" si="42"/>
        <v>soubassement mouluré blanc 28MM</v>
      </c>
      <c r="U52" s="5" t="str">
        <f t="shared" si="43"/>
        <v xml:space="preserve">  355</v>
      </c>
      <c r="V52" s="7" t="str">
        <f>IF(W52="","",IF(LOOKUP(W52,'Extration 3E date commande'!$A$6:$A$10000)=W52,LOOKUP(W52,'Extration 3E date commande'!$A$6:$A$10000,'Extration 3E date commande'!$C$6:$C$10000),"PAS DE DATE"))</f>
        <v>PAS DE DATE</v>
      </c>
      <c r="W52" t="s">
        <v>474</v>
      </c>
      <c r="X52">
        <v>1</v>
      </c>
      <c r="Y52" t="s">
        <v>412</v>
      </c>
      <c r="Z52">
        <v>1</v>
      </c>
      <c r="AA52" t="s">
        <v>1</v>
      </c>
      <c r="AB52">
        <v>545</v>
      </c>
      <c r="AC52" t="s">
        <v>475</v>
      </c>
      <c r="AD52" t="s">
        <v>474</v>
      </c>
    </row>
    <row r="53" spans="1:30" x14ac:dyDescent="0.25">
      <c r="A53" s="3" t="str">
        <f t="shared" si="34"/>
        <v>2511495</v>
      </c>
      <c r="B53" s="3" t="str">
        <f t="shared" si="35"/>
        <v>000</v>
      </c>
      <c r="C53" s="3" t="str">
        <f t="shared" si="9"/>
        <v/>
      </c>
      <c r="D53" s="3" t="str">
        <f t="shared" si="2"/>
        <v/>
      </c>
      <c r="E53" s="3" t="str">
        <f t="shared" si="3"/>
        <v/>
      </c>
      <c r="F53" s="3" t="str">
        <f t="shared" si="4"/>
        <v/>
      </c>
      <c r="G53" s="3" t="str">
        <f t="shared" si="23"/>
        <v>STD</v>
      </c>
      <c r="H53" s="3">
        <f t="shared" si="36"/>
        <v>1</v>
      </c>
      <c r="I53" s="3">
        <f t="shared" si="37"/>
        <v>1</v>
      </c>
      <c r="J53" s="2" t="str">
        <f t="shared" si="45"/>
        <v>soubassement mouluré blanc 28MM</v>
      </c>
      <c r="K53" s="2" t="str">
        <f>IF(W53="","",LOOKUP('Extraction edi'!J53,Paramètrage!$A$6:$A$179,Paramètrage!$B$6:$B$179))</f>
        <v>Type 1 / modèle 451</v>
      </c>
      <c r="L53" s="2" t="str">
        <f>IF(W53="","",LOOKUP('Extraction edi'!J53,Paramètrage!$A$6:$A$179,Paramètrage!$C$6:$C$179))</f>
        <v>PVC blanc</v>
      </c>
      <c r="M53" s="2" t="str">
        <f>IF(W53="","",LOOKUP('Extraction edi'!J53,Paramètrage!$A$6:$A$179,Paramètrage!$D$6:$D$179))</f>
        <v>PVC blanc</v>
      </c>
      <c r="N53" s="3">
        <f>IF(W53="","",LOOKUP('Extraction edi'!J53,Paramètrage!$A$6:$A$179,Paramètrage!$E$6:$E$179))</f>
        <v>28</v>
      </c>
      <c r="O53" s="3">
        <f t="shared" si="38"/>
        <v>545</v>
      </c>
      <c r="P53" s="3" t="str">
        <f t="shared" si="39"/>
        <v xml:space="preserve">  355</v>
      </c>
      <c r="Q53" s="3" t="str">
        <f t="shared" si="25"/>
        <v/>
      </c>
      <c r="R53" s="3" t="str">
        <f t="shared" si="40"/>
        <v/>
      </c>
      <c r="S53" s="3" t="str">
        <f t="shared" si="41"/>
        <v/>
      </c>
      <c r="T53" s="4" t="b">
        <f t="shared" si="42"/>
        <v>0</v>
      </c>
      <c r="U53" s="5" t="str">
        <f t="shared" si="43"/>
        <v>2511495.000</v>
      </c>
      <c r="V53" s="7" t="str">
        <f>IF(W53="","",IF(LOOKUP(W53,'Extration 3E date commande'!$A$6:$A$10000)=W53,LOOKUP(W53,'Extration 3E date commande'!$A$6:$A$10000,'Extration 3E date commande'!$C$6:$C$10000),"PAS DE DATE"))</f>
        <v>PAS DE DATE</v>
      </c>
      <c r="W53" t="s">
        <v>474</v>
      </c>
      <c r="X53">
        <v>1</v>
      </c>
      <c r="Y53" t="s">
        <v>412</v>
      </c>
      <c r="Z53">
        <v>1</v>
      </c>
      <c r="AA53">
        <v>545</v>
      </c>
      <c r="AB53" t="s">
        <v>475</v>
      </c>
      <c r="AC53" t="s">
        <v>474</v>
      </c>
    </row>
    <row r="54" spans="1:30" x14ac:dyDescent="0.25">
      <c r="A54" s="3" t="str">
        <f t="shared" si="34"/>
        <v>2511558</v>
      </c>
      <c r="B54" s="3" t="str">
        <f t="shared" si="35"/>
        <v>X00</v>
      </c>
      <c r="C54" s="3" t="str">
        <f t="shared" si="9"/>
        <v/>
      </c>
      <c r="D54" s="3" t="str">
        <f t="shared" si="2"/>
        <v/>
      </c>
      <c r="E54" s="3" t="str">
        <f t="shared" si="3"/>
        <v/>
      </c>
      <c r="F54" s="3" t="str">
        <f t="shared" si="4"/>
        <v>TEX</v>
      </c>
      <c r="G54" s="3" t="str">
        <f t="shared" si="23"/>
        <v>TEX</v>
      </c>
      <c r="H54" s="3">
        <f t="shared" si="36"/>
        <v>1</v>
      </c>
      <c r="I54" s="3">
        <f t="shared" si="37"/>
        <v>1</v>
      </c>
      <c r="J54" s="2" t="str">
        <f t="shared" si="45"/>
        <v>soub PLAT GRIS ANTHRACITE MAT 1F EXT FACE 28 MM</v>
      </c>
      <c r="K54" s="2" t="str">
        <f>IF(W54="","",LOOKUP('Extraction edi'!J54,Paramètrage!$A$6:$A$179,Paramètrage!$B$6:$B$179))</f>
        <v>Type 5 / modèle 450</v>
      </c>
      <c r="L54" s="2" t="str">
        <f>IF(W54="","",LOOKUP('Extraction edi'!J54,Paramètrage!$A$6:$A$179,Paramètrage!$C$6:$C$179))</f>
        <v>PVC blanc</v>
      </c>
      <c r="M54" s="2" t="str">
        <f>IF(W54="","",LOOKUP('Extraction edi'!J54,Paramètrage!$A$6:$A$179,Paramètrage!$D$6:$D$179))</f>
        <v>Plaxé gris anthracite mat lisse/F4366003</v>
      </c>
      <c r="N54" s="3">
        <f>IF(W54="","",LOOKUP('Extraction edi'!J54,Paramètrage!$A$6:$A$179,Paramètrage!$E$6:$E$179))</f>
        <v>28</v>
      </c>
      <c r="O54" s="3">
        <f t="shared" si="38"/>
        <v>825</v>
      </c>
      <c r="P54" s="3" t="str">
        <f t="shared" si="39"/>
        <v xml:space="preserve">  1868</v>
      </c>
      <c r="Q54" s="3" t="str">
        <f t="shared" si="25"/>
        <v/>
      </c>
      <c r="R54" s="3" t="str">
        <f t="shared" si="40"/>
        <v/>
      </c>
      <c r="S54" s="3" t="str">
        <f t="shared" si="41"/>
        <v/>
      </c>
      <c r="T54" s="4" t="str">
        <f t="shared" si="42"/>
        <v>soub PLAT GRIS ANTHRACITE MAT 1F EXT FACE 28 MM</v>
      </c>
      <c r="U54" s="5" t="str">
        <f t="shared" si="43"/>
        <v xml:space="preserve">  1868</v>
      </c>
      <c r="V54" s="7" t="str">
        <f>IF(W54="","",IF(LOOKUP(W54,'Extration 3E date commande'!$A$6:$A$10000)=W54,LOOKUP(W54,'Extration 3E date commande'!$A$6:$A$10000,'Extration 3E date commande'!$C$6:$C$10000),"PAS DE DATE"))</f>
        <v>PAS DE DATE</v>
      </c>
      <c r="W54" t="s">
        <v>476</v>
      </c>
      <c r="X54">
        <v>1</v>
      </c>
      <c r="Y54" t="s">
        <v>412</v>
      </c>
      <c r="Z54">
        <v>1</v>
      </c>
      <c r="AA54" t="s">
        <v>343</v>
      </c>
      <c r="AB54">
        <v>825</v>
      </c>
      <c r="AC54" t="s">
        <v>477</v>
      </c>
      <c r="AD54" t="s">
        <v>476</v>
      </c>
    </row>
    <row r="55" spans="1:30" x14ac:dyDescent="0.25">
      <c r="A55" s="3" t="str">
        <f t="shared" si="34"/>
        <v>2511789</v>
      </c>
      <c r="B55" s="3" t="str">
        <f t="shared" si="35"/>
        <v>X04</v>
      </c>
      <c r="C55" s="3" t="str">
        <f t="shared" si="9"/>
        <v/>
      </c>
      <c r="D55" s="3" t="str">
        <f t="shared" si="2"/>
        <v/>
      </c>
      <c r="E55" s="3" t="str">
        <f t="shared" si="3"/>
        <v/>
      </c>
      <c r="F55" s="3" t="str">
        <f t="shared" si="4"/>
        <v>TEX</v>
      </c>
      <c r="G55" s="3" t="str">
        <f t="shared" si="23"/>
        <v>TEX</v>
      </c>
      <c r="H55" s="3">
        <f t="shared" si="36"/>
        <v>1</v>
      </c>
      <c r="I55" s="3">
        <f t="shared" si="37"/>
        <v>1</v>
      </c>
      <c r="J55" s="2" t="str">
        <f t="shared" si="45"/>
        <v>soub MOULURE GRIS ANTHRACITE MAT 2 FACES 28 MM</v>
      </c>
      <c r="K55" s="2" t="str">
        <f>IF(W55="","",LOOKUP('Extraction edi'!J55,Paramètrage!$A$6:$A$179,Paramètrage!$B$6:$B$179))</f>
        <v>Type 1 / modèle 451</v>
      </c>
      <c r="L55" s="2" t="str">
        <f>IF(W55="","",LOOKUP('Extraction edi'!J55,Paramètrage!$A$6:$A$179,Paramètrage!$C$6:$C$179))</f>
        <v>Plaxé gris anthracite mat lisse/F4366003</v>
      </c>
      <c r="M55" s="2" t="str">
        <f>IF(W55="","",LOOKUP('Extraction edi'!J55,Paramètrage!$A$6:$A$179,Paramètrage!$D$6:$D$179))</f>
        <v>PVC blanc</v>
      </c>
      <c r="N55" s="3">
        <f>IF(W55="","",LOOKUP('Extraction edi'!J55,Paramètrage!$A$6:$A$179,Paramètrage!$E$6:$E$179))</f>
        <v>28</v>
      </c>
      <c r="O55" s="3">
        <f t="shared" si="38"/>
        <v>753</v>
      </c>
      <c r="P55" s="3" t="str">
        <f t="shared" si="39"/>
        <v xml:space="preserve">  761</v>
      </c>
      <c r="Q55" s="3" t="str">
        <f t="shared" si="25"/>
        <v/>
      </c>
      <c r="R55" s="3" t="str">
        <f t="shared" si="40"/>
        <v/>
      </c>
      <c r="S55" s="3" t="str">
        <f t="shared" si="41"/>
        <v/>
      </c>
      <c r="T55" s="4" t="str">
        <f t="shared" si="42"/>
        <v>soub MOULURE GRIS ANTHRACITE MAT 2 FACES 28 MM</v>
      </c>
      <c r="U55" s="5" t="str">
        <f t="shared" si="43"/>
        <v xml:space="preserve">  761</v>
      </c>
      <c r="V55" s="7" t="str">
        <f>IF(W55="","",IF(LOOKUP(W55,'Extration 3E date commande'!$A$6:$A$10000)=W55,LOOKUP(W55,'Extration 3E date commande'!$A$6:$A$10000,'Extration 3E date commande'!$C$6:$C$10000),"PAS DE DATE"))</f>
        <v>PAS DE DATE</v>
      </c>
      <c r="W55" t="s">
        <v>478</v>
      </c>
      <c r="X55">
        <v>1</v>
      </c>
      <c r="Y55" t="s">
        <v>412</v>
      </c>
      <c r="Z55">
        <v>1</v>
      </c>
      <c r="AA55" t="s">
        <v>479</v>
      </c>
      <c r="AB55">
        <v>753</v>
      </c>
      <c r="AC55" t="s">
        <v>480</v>
      </c>
      <c r="AD55" t="s">
        <v>478</v>
      </c>
    </row>
    <row r="56" spans="1:30" x14ac:dyDescent="0.25">
      <c r="A56" s="3" t="str">
        <f t="shared" si="34"/>
        <v>2511789</v>
      </c>
      <c r="B56" s="3" t="str">
        <f t="shared" si="35"/>
        <v>X04</v>
      </c>
      <c r="C56" s="3" t="str">
        <f t="shared" si="9"/>
        <v/>
      </c>
      <c r="D56" s="3" t="str">
        <f t="shared" si="2"/>
        <v/>
      </c>
      <c r="E56" s="3" t="str">
        <f t="shared" si="3"/>
        <v/>
      </c>
      <c r="F56" s="3" t="str">
        <f t="shared" si="4"/>
        <v>TEX</v>
      </c>
      <c r="G56" s="3" t="str">
        <f t="shared" si="23"/>
        <v>TEX</v>
      </c>
      <c r="H56" s="3">
        <f t="shared" si="36"/>
        <v>2</v>
      </c>
      <c r="I56" s="3">
        <f t="shared" si="37"/>
        <v>1</v>
      </c>
      <c r="J56" s="2" t="str">
        <f t="shared" si="45"/>
        <v>soub MOULURE GRIS ANTHRACITE MAT 2 FACES 28 MM</v>
      </c>
      <c r="K56" s="2" t="str">
        <f>IF(W56="","",LOOKUP('Extraction edi'!J56,Paramètrage!$A$6:$A$179,Paramètrage!$B$6:$B$179))</f>
        <v>Type 1 / modèle 451</v>
      </c>
      <c r="L56" s="2" t="str">
        <f>IF(W56="","",LOOKUP('Extraction edi'!J56,Paramètrage!$A$6:$A$179,Paramètrage!$C$6:$C$179))</f>
        <v>Plaxé gris anthracite mat lisse/F4366003</v>
      </c>
      <c r="M56" s="2" t="str">
        <f>IF(W56="","",LOOKUP('Extraction edi'!J56,Paramètrage!$A$6:$A$179,Paramètrage!$D$6:$D$179))</f>
        <v>PVC blanc</v>
      </c>
      <c r="N56" s="3">
        <f>IF(W56="","",LOOKUP('Extraction edi'!J56,Paramètrage!$A$6:$A$179,Paramètrage!$E$6:$E$179))</f>
        <v>28</v>
      </c>
      <c r="O56" s="3">
        <f t="shared" si="38"/>
        <v>718</v>
      </c>
      <c r="P56" s="3" t="str">
        <f t="shared" si="39"/>
        <v xml:space="preserve">  661</v>
      </c>
      <c r="Q56" s="3" t="str">
        <f t="shared" si="25"/>
        <v/>
      </c>
      <c r="R56" s="3" t="str">
        <f t="shared" si="40"/>
        <v/>
      </c>
      <c r="S56" s="3" t="str">
        <f t="shared" si="41"/>
        <v/>
      </c>
      <c r="T56" s="4" t="b">
        <f t="shared" si="42"/>
        <v>0</v>
      </c>
      <c r="U56" s="5" t="str">
        <f t="shared" si="43"/>
        <v>2511789.X04</v>
      </c>
      <c r="V56" s="7" t="str">
        <f>IF(W56="","",IF(LOOKUP(W56,'Extration 3E date commande'!$A$6:$A$10000)=W56,LOOKUP(W56,'Extration 3E date commande'!$A$6:$A$10000,'Extration 3E date commande'!$C$6:$C$10000),"PAS DE DATE"))</f>
        <v>PAS DE DATE</v>
      </c>
      <c r="W56" t="s">
        <v>478</v>
      </c>
      <c r="X56">
        <v>2</v>
      </c>
      <c r="Y56" t="s">
        <v>412</v>
      </c>
      <c r="Z56">
        <v>1</v>
      </c>
      <c r="AA56">
        <v>718</v>
      </c>
      <c r="AB56" t="s">
        <v>481</v>
      </c>
      <c r="AC56" t="s">
        <v>478</v>
      </c>
    </row>
    <row r="57" spans="1:30" x14ac:dyDescent="0.25">
      <c r="A57" s="3" t="str">
        <f t="shared" si="34"/>
        <v>2511824</v>
      </c>
      <c r="B57" s="3" t="str">
        <f t="shared" si="35"/>
        <v>000</v>
      </c>
      <c r="C57" s="3" t="str">
        <f t="shared" si="9"/>
        <v/>
      </c>
      <c r="D57" s="3" t="str">
        <f t="shared" si="2"/>
        <v/>
      </c>
      <c r="E57" s="3" t="str">
        <f t="shared" si="3"/>
        <v/>
      </c>
      <c r="F57" s="3" t="str">
        <f t="shared" si="4"/>
        <v/>
      </c>
      <c r="G57" s="3" t="str">
        <f t="shared" si="23"/>
        <v>STD</v>
      </c>
      <c r="H57" s="3">
        <f t="shared" si="36"/>
        <v>3</v>
      </c>
      <c r="I57" s="3">
        <f t="shared" si="37"/>
        <v>1</v>
      </c>
      <c r="J57" s="2" t="str">
        <f t="shared" si="44"/>
        <v>soubassement mouluré blanc 28MM</v>
      </c>
      <c r="K57" s="2" t="str">
        <f>IF(W57="","",LOOKUP('Extraction edi'!J57,Paramètrage!$A$6:$A$179,Paramètrage!$B$6:$B$179))</f>
        <v>Type 1 / modèle 451</v>
      </c>
      <c r="L57" s="2" t="str">
        <f>IF(W57="","",LOOKUP('Extraction edi'!J57,Paramètrage!$A$6:$A$179,Paramètrage!$C$6:$C$179))</f>
        <v>PVC blanc</v>
      </c>
      <c r="M57" s="2" t="str">
        <f>IF(W57="","",LOOKUP('Extraction edi'!J57,Paramètrage!$A$6:$A$179,Paramètrage!$D$6:$D$179))</f>
        <v>PVC blanc</v>
      </c>
      <c r="N57" s="3">
        <f>IF(W57="","",LOOKUP('Extraction edi'!J57,Paramètrage!$A$6:$A$179,Paramètrage!$E$6:$E$179))</f>
        <v>28</v>
      </c>
      <c r="O57" s="3">
        <f t="shared" si="38"/>
        <v>532</v>
      </c>
      <c r="P57" s="3" t="str">
        <f t="shared" si="39"/>
        <v xml:space="preserve">  294</v>
      </c>
      <c r="Q57" s="3" t="str">
        <f t="shared" si="25"/>
        <v/>
      </c>
      <c r="R57" s="3" t="str">
        <f t="shared" si="40"/>
        <v/>
      </c>
      <c r="S57" s="3" t="str">
        <f t="shared" si="41"/>
        <v/>
      </c>
      <c r="T57" s="4" t="str">
        <f t="shared" si="42"/>
        <v>soubassement mouluré blanc 28MM</v>
      </c>
      <c r="U57" s="5" t="str">
        <f t="shared" si="43"/>
        <v xml:space="preserve">  294</v>
      </c>
      <c r="V57" s="7" t="str">
        <f>IF(W57="","",IF(LOOKUP(W57,'Extration 3E date commande'!$A$6:$A$10000)=W57,LOOKUP(W57,'Extration 3E date commande'!$A$6:$A$10000,'Extration 3E date commande'!$C$6:$C$10000),"PAS DE DATE"))</f>
        <v>PAS DE DATE</v>
      </c>
      <c r="W57" t="s">
        <v>482</v>
      </c>
      <c r="X57">
        <v>3</v>
      </c>
      <c r="Y57" t="s">
        <v>412</v>
      </c>
      <c r="Z57">
        <v>1</v>
      </c>
      <c r="AA57" t="s">
        <v>1</v>
      </c>
      <c r="AB57">
        <v>532</v>
      </c>
      <c r="AC57" t="s">
        <v>483</v>
      </c>
      <c r="AD57" t="s">
        <v>482</v>
      </c>
    </row>
    <row r="58" spans="1:30" x14ac:dyDescent="0.25">
      <c r="A58" s="3" t="str">
        <f t="shared" si="34"/>
        <v>2511824</v>
      </c>
      <c r="B58" s="3" t="str">
        <f t="shared" si="35"/>
        <v>000</v>
      </c>
      <c r="C58" s="3" t="str">
        <f t="shared" si="9"/>
        <v/>
      </c>
      <c r="D58" s="3" t="str">
        <f t="shared" si="2"/>
        <v/>
      </c>
      <c r="E58" s="3" t="str">
        <f t="shared" si="3"/>
        <v/>
      </c>
      <c r="F58" s="3" t="str">
        <f t="shared" si="4"/>
        <v/>
      </c>
      <c r="G58" s="3" t="str">
        <f t="shared" si="23"/>
        <v>STD</v>
      </c>
      <c r="H58" s="3">
        <f t="shared" si="36"/>
        <v>3</v>
      </c>
      <c r="I58" s="3">
        <f t="shared" si="37"/>
        <v>1</v>
      </c>
      <c r="J58" s="2" t="str">
        <f t="shared" si="44"/>
        <v>soubassement mouluré blanc 28MM</v>
      </c>
      <c r="K58" s="2" t="str">
        <f>IF(W58="","",LOOKUP('Extraction edi'!J58,Paramètrage!$A$6:$A$179,Paramètrage!$B$6:$B$179))</f>
        <v>Type 1 / modèle 451</v>
      </c>
      <c r="L58" s="2" t="str">
        <f>IF(W58="","",LOOKUP('Extraction edi'!J58,Paramètrage!$A$6:$A$179,Paramètrage!$C$6:$C$179))</f>
        <v>PVC blanc</v>
      </c>
      <c r="M58" s="2" t="str">
        <f>IF(W58="","",LOOKUP('Extraction edi'!J58,Paramètrage!$A$6:$A$179,Paramètrage!$D$6:$D$179))</f>
        <v>PVC blanc</v>
      </c>
      <c r="N58" s="3">
        <f>IF(W58="","",LOOKUP('Extraction edi'!J58,Paramètrage!$A$6:$A$179,Paramètrage!$E$6:$E$179))</f>
        <v>28</v>
      </c>
      <c r="O58" s="3">
        <f t="shared" si="38"/>
        <v>532</v>
      </c>
      <c r="P58" s="3" t="str">
        <f t="shared" si="39"/>
        <v xml:space="preserve">  294</v>
      </c>
      <c r="Q58" s="3" t="str">
        <f t="shared" si="25"/>
        <v/>
      </c>
      <c r="R58" s="3" t="str">
        <f t="shared" si="40"/>
        <v/>
      </c>
      <c r="S58" s="3" t="str">
        <f t="shared" si="41"/>
        <v/>
      </c>
      <c r="T58" s="4" t="b">
        <f t="shared" si="42"/>
        <v>0</v>
      </c>
      <c r="U58" s="5" t="str">
        <f t="shared" si="43"/>
        <v>2511824.000</v>
      </c>
      <c r="V58" s="7" t="str">
        <f>IF(W58="","",IF(LOOKUP(W58,'Extration 3E date commande'!$A$6:$A$10000)=W58,LOOKUP(W58,'Extration 3E date commande'!$A$6:$A$10000,'Extration 3E date commande'!$C$6:$C$10000),"PAS DE DATE"))</f>
        <v>PAS DE DATE</v>
      </c>
      <c r="W58" t="s">
        <v>482</v>
      </c>
      <c r="X58">
        <v>3</v>
      </c>
      <c r="Y58" t="s">
        <v>412</v>
      </c>
      <c r="Z58">
        <v>1</v>
      </c>
      <c r="AA58">
        <v>532</v>
      </c>
      <c r="AB58" t="s">
        <v>483</v>
      </c>
      <c r="AC58" t="s">
        <v>482</v>
      </c>
    </row>
    <row r="59" spans="1:30" x14ac:dyDescent="0.25">
      <c r="A59" s="3" t="str">
        <f t="shared" si="34"/>
        <v>2511824</v>
      </c>
      <c r="B59" s="3" t="str">
        <f t="shared" si="35"/>
        <v>000</v>
      </c>
      <c r="C59" s="3" t="str">
        <f t="shared" si="9"/>
        <v/>
      </c>
      <c r="D59" s="3" t="str">
        <f t="shared" si="2"/>
        <v/>
      </c>
      <c r="E59" s="3" t="str">
        <f t="shared" si="3"/>
        <v/>
      </c>
      <c r="F59" s="3" t="str">
        <f t="shared" si="4"/>
        <v/>
      </c>
      <c r="G59" s="3" t="str">
        <f t="shared" si="23"/>
        <v>STD</v>
      </c>
      <c r="H59" s="3">
        <f t="shared" si="36"/>
        <v>4</v>
      </c>
      <c r="I59" s="3">
        <f t="shared" si="37"/>
        <v>1</v>
      </c>
      <c r="J59" s="2" t="str">
        <f t="shared" si="44"/>
        <v>soubassement mouluré blanc 28MM</v>
      </c>
      <c r="K59" s="2" t="str">
        <f>IF(W59="","",LOOKUP('Extraction edi'!J59,Paramètrage!$A$6:$A$179,Paramètrage!$B$6:$B$179))</f>
        <v>Type 1 / modèle 451</v>
      </c>
      <c r="L59" s="2" t="str">
        <f>IF(W59="","",LOOKUP('Extraction edi'!J59,Paramètrage!$A$6:$A$179,Paramètrage!$C$6:$C$179))</f>
        <v>PVC blanc</v>
      </c>
      <c r="M59" s="2" t="str">
        <f>IF(W59="","",LOOKUP('Extraction edi'!J59,Paramètrage!$A$6:$A$179,Paramètrage!$D$6:$D$179))</f>
        <v>PVC blanc</v>
      </c>
      <c r="N59" s="3">
        <f>IF(W59="","",LOOKUP('Extraction edi'!J59,Paramètrage!$A$6:$A$179,Paramètrage!$E$6:$E$179))</f>
        <v>28</v>
      </c>
      <c r="O59" s="3">
        <f t="shared" si="38"/>
        <v>520</v>
      </c>
      <c r="P59" s="3" t="str">
        <f t="shared" si="39"/>
        <v xml:space="preserve">  294</v>
      </c>
      <c r="Q59" s="3" t="str">
        <f t="shared" si="25"/>
        <v/>
      </c>
      <c r="R59" s="3" t="str">
        <f t="shared" si="40"/>
        <v/>
      </c>
      <c r="S59" s="3" t="str">
        <f t="shared" si="41"/>
        <v/>
      </c>
      <c r="T59" s="4" t="b">
        <f t="shared" si="42"/>
        <v>0</v>
      </c>
      <c r="U59" s="5" t="str">
        <f t="shared" si="43"/>
        <v>2511824.000</v>
      </c>
      <c r="V59" s="7" t="str">
        <f>IF(W59="","",IF(LOOKUP(W59,'Extration 3E date commande'!$A$6:$A$10000)=W59,LOOKUP(W59,'Extration 3E date commande'!$A$6:$A$10000,'Extration 3E date commande'!$C$6:$C$10000),"PAS DE DATE"))</f>
        <v>PAS DE DATE</v>
      </c>
      <c r="W59" t="s">
        <v>482</v>
      </c>
      <c r="X59">
        <v>4</v>
      </c>
      <c r="Y59" t="s">
        <v>412</v>
      </c>
      <c r="Z59">
        <v>1</v>
      </c>
      <c r="AA59">
        <v>520</v>
      </c>
      <c r="AB59" t="s">
        <v>483</v>
      </c>
      <c r="AC59" t="s">
        <v>482</v>
      </c>
    </row>
    <row r="60" spans="1:30" x14ac:dyDescent="0.25">
      <c r="A60" s="3" t="str">
        <f t="shared" si="34"/>
        <v>2511824</v>
      </c>
      <c r="B60" s="3" t="str">
        <f t="shared" si="35"/>
        <v>000</v>
      </c>
      <c r="C60" s="3" t="str">
        <f t="shared" si="9"/>
        <v/>
      </c>
      <c r="D60" s="3" t="str">
        <f t="shared" si="2"/>
        <v/>
      </c>
      <c r="E60" s="3" t="str">
        <f t="shared" si="3"/>
        <v/>
      </c>
      <c r="F60" s="3" t="str">
        <f t="shared" si="4"/>
        <v/>
      </c>
      <c r="G60" s="3" t="str">
        <f t="shared" si="23"/>
        <v>STD</v>
      </c>
      <c r="H60" s="3">
        <f t="shared" si="36"/>
        <v>4</v>
      </c>
      <c r="I60" s="3">
        <f t="shared" si="37"/>
        <v>1</v>
      </c>
      <c r="J60" s="2" t="str">
        <f t="shared" si="44"/>
        <v>soubassement mouluré blanc 28MM</v>
      </c>
      <c r="K60" s="2" t="str">
        <f>IF(W60="","",LOOKUP('Extraction edi'!J60,Paramètrage!$A$6:$A$179,Paramètrage!$B$6:$B$179))</f>
        <v>Type 1 / modèle 451</v>
      </c>
      <c r="L60" s="2" t="str">
        <f>IF(W60="","",LOOKUP('Extraction edi'!J60,Paramètrage!$A$6:$A$179,Paramètrage!$C$6:$C$179))</f>
        <v>PVC blanc</v>
      </c>
      <c r="M60" s="2" t="str">
        <f>IF(W60="","",LOOKUP('Extraction edi'!J60,Paramètrage!$A$6:$A$179,Paramètrage!$D$6:$D$179))</f>
        <v>PVC blanc</v>
      </c>
      <c r="N60" s="3">
        <f>IF(W60="","",LOOKUP('Extraction edi'!J60,Paramètrage!$A$6:$A$179,Paramètrage!$E$6:$E$179))</f>
        <v>28</v>
      </c>
      <c r="O60" s="3">
        <f t="shared" si="38"/>
        <v>520</v>
      </c>
      <c r="P60" s="3" t="str">
        <f t="shared" si="39"/>
        <v xml:space="preserve">  294</v>
      </c>
      <c r="Q60" s="3" t="str">
        <f t="shared" si="25"/>
        <v/>
      </c>
      <c r="R60" s="3" t="str">
        <f t="shared" si="40"/>
        <v/>
      </c>
      <c r="S60" s="3" t="str">
        <f t="shared" si="41"/>
        <v/>
      </c>
      <c r="T60" s="4" t="b">
        <f t="shared" si="42"/>
        <v>0</v>
      </c>
      <c r="U60" s="5" t="str">
        <f t="shared" si="43"/>
        <v>2511824.000</v>
      </c>
      <c r="V60" s="7" t="str">
        <f>IF(W60="","",IF(LOOKUP(W60,'Extration 3E date commande'!$A$6:$A$10000)=W60,LOOKUP(W60,'Extration 3E date commande'!$A$6:$A$10000,'Extration 3E date commande'!$C$6:$C$10000),"PAS DE DATE"))</f>
        <v>PAS DE DATE</v>
      </c>
      <c r="W60" t="s">
        <v>482</v>
      </c>
      <c r="X60">
        <v>4</v>
      </c>
      <c r="Y60" t="s">
        <v>412</v>
      </c>
      <c r="Z60">
        <v>1</v>
      </c>
      <c r="AA60">
        <v>520</v>
      </c>
      <c r="AB60" t="s">
        <v>483</v>
      </c>
      <c r="AC60" t="s">
        <v>482</v>
      </c>
    </row>
    <row r="61" spans="1:30" x14ac:dyDescent="0.25">
      <c r="A61" s="3" t="str">
        <f t="shared" si="34"/>
        <v>2511824</v>
      </c>
      <c r="B61" s="3" t="str">
        <f t="shared" si="35"/>
        <v>000</v>
      </c>
      <c r="C61" s="3" t="str">
        <f t="shared" si="9"/>
        <v/>
      </c>
      <c r="D61" s="3" t="str">
        <f t="shared" si="2"/>
        <v/>
      </c>
      <c r="E61" s="3" t="str">
        <f t="shared" si="3"/>
        <v/>
      </c>
      <c r="F61" s="3" t="str">
        <f t="shared" si="4"/>
        <v/>
      </c>
      <c r="G61" s="3" t="str">
        <f t="shared" si="23"/>
        <v>STD</v>
      </c>
      <c r="H61" s="3">
        <f t="shared" si="36"/>
        <v>5</v>
      </c>
      <c r="I61" s="3">
        <f t="shared" si="37"/>
        <v>1</v>
      </c>
      <c r="J61" s="2" t="str">
        <f t="shared" si="44"/>
        <v>soubassement mouluré blanc 28MM</v>
      </c>
      <c r="K61" s="2" t="str">
        <f>IF(W61="","",LOOKUP('Extraction edi'!J61,Paramètrage!$A$6:$A$179,Paramètrage!$B$6:$B$179))</f>
        <v>Type 1 / modèle 451</v>
      </c>
      <c r="L61" s="2" t="str">
        <f>IF(W61="","",LOOKUP('Extraction edi'!J61,Paramètrage!$A$6:$A$179,Paramètrage!$C$6:$C$179))</f>
        <v>PVC blanc</v>
      </c>
      <c r="M61" s="2" t="str">
        <f>IF(W61="","",LOOKUP('Extraction edi'!J61,Paramètrage!$A$6:$A$179,Paramètrage!$D$6:$D$179))</f>
        <v>PVC blanc</v>
      </c>
      <c r="N61" s="3">
        <f>IF(W61="","",LOOKUP('Extraction edi'!J61,Paramètrage!$A$6:$A$179,Paramètrage!$E$6:$E$179))</f>
        <v>28</v>
      </c>
      <c r="O61" s="3">
        <f t="shared" si="38"/>
        <v>669</v>
      </c>
      <c r="P61" s="3" t="str">
        <f t="shared" si="39"/>
        <v xml:space="preserve">  781</v>
      </c>
      <c r="Q61" s="3" t="str">
        <f t="shared" si="25"/>
        <v/>
      </c>
      <c r="R61" s="3" t="str">
        <f t="shared" si="40"/>
        <v/>
      </c>
      <c r="S61" s="3" t="str">
        <f t="shared" si="41"/>
        <v/>
      </c>
      <c r="T61" s="4" t="b">
        <f t="shared" si="42"/>
        <v>0</v>
      </c>
      <c r="U61" s="5" t="str">
        <f t="shared" si="43"/>
        <v>2511824.000</v>
      </c>
      <c r="V61" s="7" t="str">
        <f>IF(W61="","",IF(LOOKUP(W61,'Extration 3E date commande'!$A$6:$A$10000)=W61,LOOKUP(W61,'Extration 3E date commande'!$A$6:$A$10000,'Extration 3E date commande'!$C$6:$C$10000),"PAS DE DATE"))</f>
        <v>PAS DE DATE</v>
      </c>
      <c r="W61" t="s">
        <v>482</v>
      </c>
      <c r="X61">
        <v>5</v>
      </c>
      <c r="Y61" t="s">
        <v>412</v>
      </c>
      <c r="Z61">
        <v>1</v>
      </c>
      <c r="AA61">
        <v>669</v>
      </c>
      <c r="AB61" t="s">
        <v>484</v>
      </c>
      <c r="AC61" t="s">
        <v>482</v>
      </c>
    </row>
    <row r="62" spans="1:30" x14ac:dyDescent="0.25">
      <c r="A62" s="3" t="str">
        <f t="shared" si="34"/>
        <v>2511824</v>
      </c>
      <c r="B62" s="3" t="str">
        <f t="shared" si="35"/>
        <v>000</v>
      </c>
      <c r="C62" s="3" t="str">
        <f t="shared" si="9"/>
        <v/>
      </c>
      <c r="D62" s="3" t="str">
        <f t="shared" si="2"/>
        <v/>
      </c>
      <c r="E62" s="3" t="str">
        <f t="shared" si="3"/>
        <v/>
      </c>
      <c r="F62" s="3" t="str">
        <f t="shared" si="4"/>
        <v/>
      </c>
      <c r="G62" s="3" t="str">
        <f t="shared" si="23"/>
        <v>STD</v>
      </c>
      <c r="H62" s="3">
        <f t="shared" si="36"/>
        <v>8</v>
      </c>
      <c r="I62" s="3">
        <f t="shared" si="37"/>
        <v>1</v>
      </c>
      <c r="J62" s="2" t="str">
        <f t="shared" si="44"/>
        <v>soubassement mouluré blanc 28MM</v>
      </c>
      <c r="K62" s="2" t="str">
        <f>IF(W62="","",LOOKUP('Extraction edi'!J62,Paramètrage!$A$6:$A$179,Paramètrage!$B$6:$B$179))</f>
        <v>Type 1 / modèle 451</v>
      </c>
      <c r="L62" s="2" t="str">
        <f>IF(W62="","",LOOKUP('Extraction edi'!J62,Paramètrage!$A$6:$A$179,Paramètrage!$C$6:$C$179))</f>
        <v>PVC blanc</v>
      </c>
      <c r="M62" s="2" t="str">
        <f>IF(W62="","",LOOKUP('Extraction edi'!J62,Paramètrage!$A$6:$A$179,Paramètrage!$D$6:$D$179))</f>
        <v>PVC blanc</v>
      </c>
      <c r="N62" s="3">
        <f>IF(W62="","",LOOKUP('Extraction edi'!J62,Paramètrage!$A$6:$A$179,Paramètrage!$E$6:$E$179))</f>
        <v>28</v>
      </c>
      <c r="O62" s="3">
        <f t="shared" si="38"/>
        <v>600</v>
      </c>
      <c r="P62" s="3" t="str">
        <f t="shared" si="39"/>
        <v xml:space="preserve">  681</v>
      </c>
      <c r="Q62" s="3" t="str">
        <f t="shared" si="25"/>
        <v/>
      </c>
      <c r="R62" s="3" t="str">
        <f t="shared" si="40"/>
        <v/>
      </c>
      <c r="S62" s="3" t="str">
        <f t="shared" si="41"/>
        <v/>
      </c>
      <c r="T62" s="4" t="b">
        <f t="shared" si="42"/>
        <v>0</v>
      </c>
      <c r="U62" s="5" t="str">
        <f t="shared" si="43"/>
        <v>2511824.000</v>
      </c>
      <c r="V62" s="7" t="str">
        <f>IF(W62="","",IF(LOOKUP(W62,'Extration 3E date commande'!$A$6:$A$10000)=W62,LOOKUP(W62,'Extration 3E date commande'!$A$6:$A$10000,'Extration 3E date commande'!$C$6:$C$10000),"PAS DE DATE"))</f>
        <v>PAS DE DATE</v>
      </c>
      <c r="W62" t="s">
        <v>482</v>
      </c>
      <c r="X62">
        <v>8</v>
      </c>
      <c r="Y62" t="s">
        <v>412</v>
      </c>
      <c r="Z62">
        <v>1</v>
      </c>
      <c r="AA62">
        <v>600</v>
      </c>
      <c r="AB62" t="s">
        <v>485</v>
      </c>
      <c r="AC62" t="s">
        <v>482</v>
      </c>
    </row>
    <row r="63" spans="1:30" x14ac:dyDescent="0.25">
      <c r="A63" s="3" t="str">
        <f t="shared" si="34"/>
        <v>2511856</v>
      </c>
      <c r="B63" s="3" t="str">
        <f t="shared" si="35"/>
        <v>X00</v>
      </c>
      <c r="C63" s="3" t="str">
        <f t="shared" si="9"/>
        <v/>
      </c>
      <c r="D63" s="3" t="str">
        <f t="shared" si="2"/>
        <v/>
      </c>
      <c r="E63" s="3" t="str">
        <f t="shared" si="3"/>
        <v/>
      </c>
      <c r="F63" s="3" t="str">
        <f t="shared" si="4"/>
        <v>TEX</v>
      </c>
      <c r="G63" s="3" t="str">
        <f t="shared" si="23"/>
        <v>TEX</v>
      </c>
      <c r="H63" s="3">
        <f t="shared" si="36"/>
        <v>1</v>
      </c>
      <c r="I63" s="3">
        <f t="shared" si="37"/>
        <v>1</v>
      </c>
      <c r="J63" s="2" t="str">
        <f t="shared" si="44"/>
        <v>soubassement CHENE DORE 2 FACES MOULURE 28</v>
      </c>
      <c r="K63" s="2" t="str">
        <f>IF(W63="","",LOOKUP('Extraction edi'!J63,Paramètrage!$A$6:$A$179,Paramètrage!$B$6:$B$179))</f>
        <v>Type 1 / modèle 451</v>
      </c>
      <c r="L63" s="2" t="str">
        <f>IF(W63="","",LOOKUP('Extraction edi'!J63,Paramètrage!$A$6:$A$179,Paramètrage!$C$6:$C$179))</f>
        <v>PVC blanc</v>
      </c>
      <c r="M63" s="2" t="str">
        <f>IF(W63="","",LOOKUP('Extraction edi'!J63,Paramètrage!$A$6:$A$179,Paramètrage!$D$6:$D$179))</f>
        <v>Plaxé acajou / 9.2065 321 - 116700</v>
      </c>
      <c r="N63" s="3">
        <f>IF(W63="","",LOOKUP('Extraction edi'!J63,Paramètrage!$A$6:$A$179,Paramètrage!$E$6:$E$179))</f>
        <v>28</v>
      </c>
      <c r="O63" s="3">
        <f t="shared" si="38"/>
        <v>559</v>
      </c>
      <c r="P63" s="3" t="str">
        <f t="shared" si="39"/>
        <v xml:space="preserve">  681</v>
      </c>
      <c r="Q63" s="3" t="str">
        <f t="shared" si="25"/>
        <v/>
      </c>
      <c r="R63" s="3" t="str">
        <f t="shared" si="40"/>
        <v/>
      </c>
      <c r="S63" s="3" t="str">
        <f t="shared" si="41"/>
        <v/>
      </c>
      <c r="T63" s="4" t="str">
        <f t="shared" si="42"/>
        <v>soubassement CHENE DORE 2 FACES MOULURE 28</v>
      </c>
      <c r="U63" s="5" t="str">
        <f t="shared" si="43"/>
        <v xml:space="preserve">  681</v>
      </c>
      <c r="V63" s="7" t="str">
        <f>IF(W63="","",IF(LOOKUP(W63,'Extration 3E date commande'!$A$6:$A$10000)=W63,LOOKUP(W63,'Extration 3E date commande'!$A$6:$A$10000,'Extration 3E date commande'!$C$6:$C$10000),"PAS DE DATE"))</f>
        <v>PAS DE DATE</v>
      </c>
      <c r="W63" t="s">
        <v>486</v>
      </c>
      <c r="X63">
        <v>1</v>
      </c>
      <c r="Y63" t="s">
        <v>412</v>
      </c>
      <c r="Z63">
        <v>1</v>
      </c>
      <c r="AA63" t="s">
        <v>487</v>
      </c>
      <c r="AB63">
        <v>559</v>
      </c>
      <c r="AC63" t="s">
        <v>485</v>
      </c>
      <c r="AD63" t="s">
        <v>486</v>
      </c>
    </row>
    <row r="64" spans="1:30" x14ac:dyDescent="0.25">
      <c r="A64" s="3" t="str">
        <f t="shared" si="34"/>
        <v>2511856</v>
      </c>
      <c r="B64" s="3" t="str">
        <f t="shared" si="35"/>
        <v>X00</v>
      </c>
      <c r="C64" s="3" t="str">
        <f t="shared" si="9"/>
        <v/>
      </c>
      <c r="D64" s="3" t="str">
        <f t="shared" si="2"/>
        <v/>
      </c>
      <c r="E64" s="3" t="str">
        <f t="shared" si="3"/>
        <v/>
      </c>
      <c r="F64" s="3" t="str">
        <f t="shared" si="4"/>
        <v>TEX</v>
      </c>
      <c r="G64" s="3" t="str">
        <f t="shared" si="23"/>
        <v>TEX</v>
      </c>
      <c r="H64" s="3">
        <f t="shared" si="36"/>
        <v>2</v>
      </c>
      <c r="I64" s="3">
        <f t="shared" si="37"/>
        <v>1</v>
      </c>
      <c r="J64" s="2" t="str">
        <f t="shared" si="44"/>
        <v>soubassement CHENE DORE 2 FACES MOULURE 28</v>
      </c>
      <c r="K64" s="2" t="str">
        <f>IF(W64="","",LOOKUP('Extraction edi'!J64,Paramètrage!$A$6:$A$179,Paramètrage!$B$6:$B$179))</f>
        <v>Type 1 / modèle 451</v>
      </c>
      <c r="L64" s="2" t="str">
        <f>IF(W64="","",LOOKUP('Extraction edi'!J64,Paramètrage!$A$6:$A$179,Paramètrage!$C$6:$C$179))</f>
        <v>PVC blanc</v>
      </c>
      <c r="M64" s="2" t="str">
        <f>IF(W64="","",LOOKUP('Extraction edi'!J64,Paramètrage!$A$6:$A$179,Paramètrage!$D$6:$D$179))</f>
        <v>Plaxé acajou / 9.2065 321 - 116700</v>
      </c>
      <c r="N64" s="3">
        <f>IF(W64="","",LOOKUP('Extraction edi'!J64,Paramètrage!$A$6:$A$179,Paramètrage!$E$6:$E$179))</f>
        <v>28</v>
      </c>
      <c r="O64" s="3">
        <f t="shared" si="38"/>
        <v>559</v>
      </c>
      <c r="P64" s="3" t="str">
        <f t="shared" si="39"/>
        <v xml:space="preserve">  281</v>
      </c>
      <c r="Q64" s="3" t="str">
        <f t="shared" si="25"/>
        <v/>
      </c>
      <c r="R64" s="3" t="str">
        <f t="shared" si="40"/>
        <v/>
      </c>
      <c r="S64" s="3" t="str">
        <f t="shared" si="41"/>
        <v/>
      </c>
      <c r="T64" s="4" t="b">
        <f t="shared" si="42"/>
        <v>0</v>
      </c>
      <c r="U64" s="5" t="str">
        <f t="shared" si="43"/>
        <v>2511856.X00</v>
      </c>
      <c r="V64" s="7" t="str">
        <f>IF(W64="","",IF(LOOKUP(W64,'Extration 3E date commande'!$A$6:$A$10000)=W64,LOOKUP(W64,'Extration 3E date commande'!$A$6:$A$10000,'Extration 3E date commande'!$C$6:$C$10000),"PAS DE DATE"))</f>
        <v>PAS DE DATE</v>
      </c>
      <c r="W64" t="s">
        <v>486</v>
      </c>
      <c r="X64">
        <v>2</v>
      </c>
      <c r="Y64" t="s">
        <v>412</v>
      </c>
      <c r="Z64">
        <v>1</v>
      </c>
      <c r="AA64">
        <v>559</v>
      </c>
      <c r="AB64" t="s">
        <v>488</v>
      </c>
      <c r="AC64" t="s">
        <v>486</v>
      </c>
    </row>
    <row r="65" spans="1:30" x14ac:dyDescent="0.25">
      <c r="A65" s="3" t="str">
        <f t="shared" si="34"/>
        <v>2511870</v>
      </c>
      <c r="B65" s="3" t="str">
        <f t="shared" si="35"/>
        <v>000</v>
      </c>
      <c r="C65" s="3" t="str">
        <f t="shared" si="9"/>
        <v/>
      </c>
      <c r="D65" s="3" t="str">
        <f t="shared" si="2"/>
        <v/>
      </c>
      <c r="E65" s="3" t="str">
        <f t="shared" si="3"/>
        <v/>
      </c>
      <c r="F65" s="3" t="str">
        <f t="shared" si="4"/>
        <v/>
      </c>
      <c r="G65" s="3" t="str">
        <f t="shared" si="23"/>
        <v>STD</v>
      </c>
      <c r="H65" s="3">
        <f t="shared" si="36"/>
        <v>2</v>
      </c>
      <c r="I65" s="3">
        <f t="shared" si="37"/>
        <v>1</v>
      </c>
      <c r="J65" s="2" t="str">
        <f t="shared" si="44"/>
        <v>soubassement mouluré blanc 28MM</v>
      </c>
      <c r="K65" s="2" t="str">
        <f>IF(W65="","",LOOKUP('Extraction edi'!J65,Paramètrage!$A$6:$A$179,Paramètrage!$B$6:$B$179))</f>
        <v>Type 1 / modèle 451</v>
      </c>
      <c r="L65" s="2" t="str">
        <f>IF(W65="","",LOOKUP('Extraction edi'!J65,Paramètrage!$A$6:$A$179,Paramètrage!$C$6:$C$179))</f>
        <v>PVC blanc</v>
      </c>
      <c r="M65" s="2" t="str">
        <f>IF(W65="","",LOOKUP('Extraction edi'!J65,Paramètrage!$A$6:$A$179,Paramètrage!$D$6:$D$179))</f>
        <v>PVC blanc</v>
      </c>
      <c r="N65" s="3">
        <f>IF(W65="","",LOOKUP('Extraction edi'!J65,Paramètrage!$A$6:$A$179,Paramètrage!$E$6:$E$179))</f>
        <v>28</v>
      </c>
      <c r="O65" s="3">
        <f t="shared" si="38"/>
        <v>620</v>
      </c>
      <c r="P65" s="3" t="str">
        <f t="shared" si="39"/>
        <v xml:space="preserve">  1481</v>
      </c>
      <c r="Q65" s="3" t="str">
        <f t="shared" si="25"/>
        <v/>
      </c>
      <c r="R65" s="3" t="str">
        <f t="shared" si="40"/>
        <v/>
      </c>
      <c r="S65" s="3" t="str">
        <f t="shared" si="41"/>
        <v/>
      </c>
      <c r="T65" s="4" t="str">
        <f t="shared" si="42"/>
        <v>soubassement mouluré blanc 28MM</v>
      </c>
      <c r="U65" s="5" t="str">
        <f t="shared" si="43"/>
        <v xml:space="preserve">  1481</v>
      </c>
      <c r="V65" s="7" t="str">
        <f>IF(W65="","",IF(LOOKUP(W65,'Extration 3E date commande'!$A$6:$A$10000)=W65,LOOKUP(W65,'Extration 3E date commande'!$A$6:$A$10000,'Extration 3E date commande'!$C$6:$C$10000),"PAS DE DATE"))</f>
        <v>PAS DE DATE</v>
      </c>
      <c r="W65" t="s">
        <v>489</v>
      </c>
      <c r="X65">
        <v>2</v>
      </c>
      <c r="Y65" t="s">
        <v>412</v>
      </c>
      <c r="Z65">
        <v>1</v>
      </c>
      <c r="AA65" t="s">
        <v>1</v>
      </c>
      <c r="AB65">
        <v>620</v>
      </c>
      <c r="AC65" t="s">
        <v>490</v>
      </c>
      <c r="AD65" t="s">
        <v>489</v>
      </c>
    </row>
    <row r="66" spans="1:30" x14ac:dyDescent="0.25">
      <c r="A66" s="3" t="str">
        <f t="shared" si="34"/>
        <v>2511888</v>
      </c>
      <c r="B66" s="3" t="str">
        <f t="shared" si="35"/>
        <v>004</v>
      </c>
      <c r="C66" s="3" t="str">
        <f t="shared" si="9"/>
        <v/>
      </c>
      <c r="D66" s="3" t="str">
        <f t="shared" si="2"/>
        <v/>
      </c>
      <c r="E66" s="3" t="str">
        <f t="shared" si="3"/>
        <v/>
      </c>
      <c r="F66" s="3" t="str">
        <f t="shared" si="4"/>
        <v/>
      </c>
      <c r="G66" s="3" t="str">
        <f t="shared" si="23"/>
        <v>STD</v>
      </c>
      <c r="H66" s="3">
        <f t="shared" si="36"/>
        <v>1</v>
      </c>
      <c r="I66" s="3">
        <f t="shared" si="37"/>
        <v>1</v>
      </c>
      <c r="J66" s="2" t="str">
        <f t="shared" si="44"/>
        <v>soubassement mouluré blanc 28MM</v>
      </c>
      <c r="K66" s="2" t="str">
        <f>IF(W66="","",LOOKUP('Extraction edi'!J66,Paramètrage!$A$6:$A$179,Paramètrage!$B$6:$B$179))</f>
        <v>Type 1 / modèle 451</v>
      </c>
      <c r="L66" s="2" t="str">
        <f>IF(W66="","",LOOKUP('Extraction edi'!J66,Paramètrage!$A$6:$A$179,Paramètrage!$C$6:$C$179))</f>
        <v>PVC blanc</v>
      </c>
      <c r="M66" s="2" t="str">
        <f>IF(W66="","",LOOKUP('Extraction edi'!J66,Paramètrage!$A$6:$A$179,Paramètrage!$D$6:$D$179))</f>
        <v>PVC blanc</v>
      </c>
      <c r="N66" s="3">
        <f>IF(W66="","",LOOKUP('Extraction edi'!J66,Paramètrage!$A$6:$A$179,Paramètrage!$E$6:$E$179))</f>
        <v>28</v>
      </c>
      <c r="O66" s="3">
        <f t="shared" si="38"/>
        <v>454</v>
      </c>
      <c r="P66" s="3" t="str">
        <f t="shared" si="39"/>
        <v xml:space="preserve">  411</v>
      </c>
      <c r="Q66" s="3" t="str">
        <f t="shared" si="25"/>
        <v/>
      </c>
      <c r="R66" s="3" t="str">
        <f t="shared" si="40"/>
        <v/>
      </c>
      <c r="S66" s="3" t="str">
        <f t="shared" si="41"/>
        <v/>
      </c>
      <c r="T66" s="4" t="str">
        <f t="shared" si="42"/>
        <v>soubassement mouluré blanc 28MM</v>
      </c>
      <c r="U66" s="5" t="str">
        <f t="shared" si="43"/>
        <v xml:space="preserve">  411</v>
      </c>
      <c r="V66" s="7" t="str">
        <f>IF(W66="","",IF(LOOKUP(W66,'Extration 3E date commande'!$A$6:$A$10000)=W66,LOOKUP(W66,'Extration 3E date commande'!$A$6:$A$10000,'Extration 3E date commande'!$C$6:$C$10000),"PAS DE DATE"))</f>
        <v>PAS DE DATE</v>
      </c>
      <c r="W66" t="s">
        <v>491</v>
      </c>
      <c r="X66">
        <v>1</v>
      </c>
      <c r="Y66" t="s">
        <v>412</v>
      </c>
      <c r="Z66">
        <v>1</v>
      </c>
      <c r="AA66" t="s">
        <v>1</v>
      </c>
      <c r="AB66">
        <v>454</v>
      </c>
      <c r="AC66" t="s">
        <v>492</v>
      </c>
      <c r="AD66" t="s">
        <v>491</v>
      </c>
    </row>
    <row r="67" spans="1:30" x14ac:dyDescent="0.25">
      <c r="A67" s="3" t="str">
        <f t="shared" si="34"/>
        <v>2511888</v>
      </c>
      <c r="B67" s="3" t="str">
        <f t="shared" si="35"/>
        <v>004</v>
      </c>
      <c r="C67" s="3" t="str">
        <f t="shared" si="9"/>
        <v/>
      </c>
      <c r="D67" s="3" t="str">
        <f t="shared" si="2"/>
        <v/>
      </c>
      <c r="E67" s="3" t="str">
        <f t="shared" si="3"/>
        <v/>
      </c>
      <c r="F67" s="3" t="str">
        <f t="shared" si="4"/>
        <v/>
      </c>
      <c r="G67" s="3" t="str">
        <f t="shared" si="23"/>
        <v>STD</v>
      </c>
      <c r="H67" s="3">
        <f t="shared" si="36"/>
        <v>1</v>
      </c>
      <c r="I67" s="3">
        <f t="shared" si="37"/>
        <v>1</v>
      </c>
      <c r="J67" s="2" t="str">
        <f t="shared" si="44"/>
        <v>soubassement mouluré blanc 28MM</v>
      </c>
      <c r="K67" s="2" t="str">
        <f>IF(W67="","",LOOKUP('Extraction edi'!J67,Paramètrage!$A$6:$A$179,Paramètrage!$B$6:$B$179))</f>
        <v>Type 1 / modèle 451</v>
      </c>
      <c r="L67" s="2" t="str">
        <f>IF(W67="","",LOOKUP('Extraction edi'!J67,Paramètrage!$A$6:$A$179,Paramètrage!$C$6:$C$179))</f>
        <v>PVC blanc</v>
      </c>
      <c r="M67" s="2" t="str">
        <f>IF(W67="","",LOOKUP('Extraction edi'!J67,Paramètrage!$A$6:$A$179,Paramètrage!$D$6:$D$179))</f>
        <v>PVC blanc</v>
      </c>
      <c r="N67" s="3">
        <f>IF(W67="","",LOOKUP('Extraction edi'!J67,Paramètrage!$A$6:$A$179,Paramètrage!$E$6:$E$179))</f>
        <v>28</v>
      </c>
      <c r="O67" s="3">
        <f t="shared" si="38"/>
        <v>454</v>
      </c>
      <c r="P67" s="3" t="str">
        <f t="shared" si="39"/>
        <v xml:space="preserve">  411</v>
      </c>
      <c r="Q67" s="3" t="str">
        <f t="shared" si="25"/>
        <v/>
      </c>
      <c r="R67" s="3" t="str">
        <f t="shared" si="40"/>
        <v/>
      </c>
      <c r="S67" s="3" t="str">
        <f t="shared" si="41"/>
        <v/>
      </c>
      <c r="T67" s="4" t="b">
        <f t="shared" si="42"/>
        <v>0</v>
      </c>
      <c r="U67" s="5" t="str">
        <f t="shared" si="43"/>
        <v>2511888.004</v>
      </c>
      <c r="V67" s="7" t="str">
        <f>IF(W67="","",IF(LOOKUP(W67,'Extration 3E date commande'!$A$6:$A$10000)=W67,LOOKUP(W67,'Extration 3E date commande'!$A$6:$A$10000,'Extration 3E date commande'!$C$6:$C$10000),"PAS DE DATE"))</f>
        <v>PAS DE DATE</v>
      </c>
      <c r="W67" t="s">
        <v>491</v>
      </c>
      <c r="X67">
        <v>1</v>
      </c>
      <c r="Y67" t="s">
        <v>412</v>
      </c>
      <c r="Z67">
        <v>1</v>
      </c>
      <c r="AA67">
        <v>454</v>
      </c>
      <c r="AB67" t="s">
        <v>492</v>
      </c>
      <c r="AC67" t="s">
        <v>491</v>
      </c>
    </row>
    <row r="68" spans="1:30" x14ac:dyDescent="0.25">
      <c r="A68" s="3" t="str">
        <f t="shared" si="34"/>
        <v>2511888</v>
      </c>
      <c r="B68" s="3" t="str">
        <f t="shared" si="35"/>
        <v>004</v>
      </c>
      <c r="C68" s="3" t="str">
        <f t="shared" si="9"/>
        <v/>
      </c>
      <c r="D68" s="3" t="str">
        <f t="shared" si="2"/>
        <v/>
      </c>
      <c r="E68" s="3" t="str">
        <f t="shared" si="3"/>
        <v/>
      </c>
      <c r="F68" s="3" t="str">
        <f t="shared" si="4"/>
        <v/>
      </c>
      <c r="G68" s="3" t="str">
        <f t="shared" si="23"/>
        <v>STD</v>
      </c>
      <c r="H68" s="3">
        <f t="shared" si="36"/>
        <v>2</v>
      </c>
      <c r="I68" s="3">
        <f t="shared" si="37"/>
        <v>1</v>
      </c>
      <c r="J68" s="2" t="str">
        <f t="shared" si="44"/>
        <v>soubassement mouluré blanc 28MM</v>
      </c>
      <c r="K68" s="2" t="str">
        <f>IF(W68="","",LOOKUP('Extraction edi'!J68,Paramètrage!$A$6:$A$179,Paramètrage!$B$6:$B$179))</f>
        <v>Type 1 / modèle 451</v>
      </c>
      <c r="L68" s="2" t="str">
        <f>IF(W68="","",LOOKUP('Extraction edi'!J68,Paramètrage!$A$6:$A$179,Paramètrage!$C$6:$C$179))</f>
        <v>PVC blanc</v>
      </c>
      <c r="M68" s="2" t="str">
        <f>IF(W68="","",LOOKUP('Extraction edi'!J68,Paramètrage!$A$6:$A$179,Paramètrage!$D$6:$D$179))</f>
        <v>PVC blanc</v>
      </c>
      <c r="N68" s="3">
        <f>IF(W68="","",LOOKUP('Extraction edi'!J68,Paramètrage!$A$6:$A$179,Paramètrage!$E$6:$E$179))</f>
        <v>28</v>
      </c>
      <c r="O68" s="3">
        <f t="shared" si="38"/>
        <v>452</v>
      </c>
      <c r="P68" s="3" t="str">
        <f t="shared" si="39"/>
        <v xml:space="preserve">  411</v>
      </c>
      <c r="Q68" s="3" t="str">
        <f t="shared" si="25"/>
        <v/>
      </c>
      <c r="R68" s="3" t="str">
        <f t="shared" si="40"/>
        <v/>
      </c>
      <c r="S68" s="3" t="str">
        <f t="shared" si="41"/>
        <v/>
      </c>
      <c r="T68" s="4" t="b">
        <f t="shared" si="42"/>
        <v>0</v>
      </c>
      <c r="U68" s="5" t="str">
        <f t="shared" si="43"/>
        <v>2511888.004</v>
      </c>
      <c r="V68" s="7" t="str">
        <f>IF(W68="","",IF(LOOKUP(W68,'Extration 3E date commande'!$A$6:$A$10000)=W68,LOOKUP(W68,'Extration 3E date commande'!$A$6:$A$10000,'Extration 3E date commande'!$C$6:$C$10000),"PAS DE DATE"))</f>
        <v>PAS DE DATE</v>
      </c>
      <c r="W68" t="s">
        <v>491</v>
      </c>
      <c r="X68">
        <v>2</v>
      </c>
      <c r="Y68" t="s">
        <v>412</v>
      </c>
      <c r="Z68">
        <v>1</v>
      </c>
      <c r="AA68">
        <v>452</v>
      </c>
      <c r="AB68" t="s">
        <v>492</v>
      </c>
      <c r="AC68" t="s">
        <v>491</v>
      </c>
    </row>
    <row r="69" spans="1:30" x14ac:dyDescent="0.25">
      <c r="A69" s="3" t="str">
        <f t="shared" si="34"/>
        <v>2511888</v>
      </c>
      <c r="B69" s="3" t="str">
        <f t="shared" si="35"/>
        <v>004</v>
      </c>
      <c r="C69" s="3" t="str">
        <f t="shared" si="9"/>
        <v/>
      </c>
      <c r="D69" s="3" t="str">
        <f t="shared" si="2"/>
        <v/>
      </c>
      <c r="E69" s="3" t="str">
        <f t="shared" si="3"/>
        <v/>
      </c>
      <c r="F69" s="3" t="str">
        <f t="shared" si="4"/>
        <v/>
      </c>
      <c r="G69" s="3" t="str">
        <f t="shared" si="23"/>
        <v>STD</v>
      </c>
      <c r="H69" s="3">
        <f t="shared" si="36"/>
        <v>2</v>
      </c>
      <c r="I69" s="3">
        <f t="shared" si="37"/>
        <v>1</v>
      </c>
      <c r="J69" s="2" t="str">
        <f t="shared" si="44"/>
        <v>soubassement mouluré blanc 28MM</v>
      </c>
      <c r="K69" s="2" t="str">
        <f>IF(W69="","",LOOKUP('Extraction edi'!J69,Paramètrage!$A$6:$A$179,Paramètrage!$B$6:$B$179))</f>
        <v>Type 1 / modèle 451</v>
      </c>
      <c r="L69" s="2" t="str">
        <f>IF(W69="","",LOOKUP('Extraction edi'!J69,Paramètrage!$A$6:$A$179,Paramètrage!$C$6:$C$179))</f>
        <v>PVC blanc</v>
      </c>
      <c r="M69" s="2" t="str">
        <f>IF(W69="","",LOOKUP('Extraction edi'!J69,Paramètrage!$A$6:$A$179,Paramètrage!$D$6:$D$179))</f>
        <v>PVC blanc</v>
      </c>
      <c r="N69" s="3">
        <f>IF(W69="","",LOOKUP('Extraction edi'!J69,Paramètrage!$A$6:$A$179,Paramètrage!$E$6:$E$179))</f>
        <v>28</v>
      </c>
      <c r="O69" s="3">
        <f t="shared" si="38"/>
        <v>452</v>
      </c>
      <c r="P69" s="3" t="str">
        <f t="shared" si="39"/>
        <v xml:space="preserve">  411</v>
      </c>
      <c r="Q69" s="3" t="str">
        <f t="shared" si="25"/>
        <v/>
      </c>
      <c r="R69" s="3" t="str">
        <f t="shared" si="40"/>
        <v/>
      </c>
      <c r="S69" s="3" t="str">
        <f t="shared" si="41"/>
        <v/>
      </c>
      <c r="T69" s="4" t="b">
        <f t="shared" si="42"/>
        <v>0</v>
      </c>
      <c r="U69" s="5" t="str">
        <f t="shared" si="43"/>
        <v>2511888.004</v>
      </c>
      <c r="V69" s="7" t="str">
        <f>IF(W69="","",IF(LOOKUP(W69,'Extration 3E date commande'!$A$6:$A$10000)=W69,LOOKUP(W69,'Extration 3E date commande'!$A$6:$A$10000,'Extration 3E date commande'!$C$6:$C$10000),"PAS DE DATE"))</f>
        <v>PAS DE DATE</v>
      </c>
      <c r="W69" t="s">
        <v>491</v>
      </c>
      <c r="X69">
        <v>2</v>
      </c>
      <c r="Y69" t="s">
        <v>412</v>
      </c>
      <c r="Z69">
        <v>1</v>
      </c>
      <c r="AA69">
        <v>452</v>
      </c>
      <c r="AB69" t="s">
        <v>492</v>
      </c>
      <c r="AC69" t="s">
        <v>491</v>
      </c>
    </row>
    <row r="70" spans="1:30" x14ac:dyDescent="0.25">
      <c r="A70" s="3" t="str">
        <f t="shared" si="34"/>
        <v>2511888</v>
      </c>
      <c r="B70" s="3" t="str">
        <f t="shared" si="35"/>
        <v>004</v>
      </c>
      <c r="C70" s="3" t="str">
        <f t="shared" si="9"/>
        <v/>
      </c>
      <c r="D70" s="3" t="str">
        <f t="shared" ref="D70:D133" si="51">IF(ISERROR(SEARCH("P",B70)),"","PE")</f>
        <v/>
      </c>
      <c r="E70" s="3" t="str">
        <f t="shared" ref="E70:E133" si="52">IF(ISERROR(SEARCH("U",B70))=FALSE,"ALU",IF(ISERROR(SEARCH("Y",B70)),"","ALU"))</f>
        <v/>
      </c>
      <c r="F70" s="3" t="str">
        <f t="shared" ref="F70:F133" si="53">IF(ISERROR(SEARCH("H",B70))=FALSE,"TEX",IF(ISERROR(SEARCH("Z",B70)),IF(ISERROR(SEARCH("X",B70)),"","TEX")))</f>
        <v/>
      </c>
      <c r="G70" s="3" t="str">
        <f t="shared" ref="G70:G133" si="54">IF(B70="","",IF(C70="SAV","NEG/RELI/SAV",IF(C70="NEGOCE","NEG/RELI/SAV",IF(C70="RELI","NEG/RELI/SAV",IF(E70="ALU","ALU",IF(D70="PE","PE",IF(F70="TEX","TEX","STD")))))))</f>
        <v>STD</v>
      </c>
      <c r="H70" s="3">
        <f t="shared" si="36"/>
        <v>3</v>
      </c>
      <c r="I70" s="3">
        <f t="shared" si="37"/>
        <v>1</v>
      </c>
      <c r="J70" s="2" t="str">
        <f t="shared" si="44"/>
        <v>soubassement mouluré blanc 28MM</v>
      </c>
      <c r="K70" s="2" t="str">
        <f>IF(W70="","",LOOKUP('Extraction edi'!J70,Paramètrage!$A$6:$A$179,Paramètrage!$B$6:$B$179))</f>
        <v>Type 1 / modèle 451</v>
      </c>
      <c r="L70" s="2" t="str">
        <f>IF(W70="","",LOOKUP('Extraction edi'!J70,Paramètrage!$A$6:$A$179,Paramètrage!$C$6:$C$179))</f>
        <v>PVC blanc</v>
      </c>
      <c r="M70" s="2" t="str">
        <f>IF(W70="","",LOOKUP('Extraction edi'!J70,Paramètrage!$A$6:$A$179,Paramètrage!$D$6:$D$179))</f>
        <v>PVC blanc</v>
      </c>
      <c r="N70" s="3">
        <f>IF(W70="","",LOOKUP('Extraction edi'!J70,Paramètrage!$A$6:$A$179,Paramètrage!$E$6:$E$179))</f>
        <v>28</v>
      </c>
      <c r="O70" s="3">
        <f t="shared" si="38"/>
        <v>667</v>
      </c>
      <c r="P70" s="3" t="str">
        <f t="shared" si="39"/>
        <v xml:space="preserve">  411</v>
      </c>
      <c r="Q70" s="3" t="str">
        <f t="shared" si="25"/>
        <v/>
      </c>
      <c r="R70" s="3" t="str">
        <f t="shared" si="40"/>
        <v/>
      </c>
      <c r="S70" s="3" t="str">
        <f t="shared" si="41"/>
        <v/>
      </c>
      <c r="T70" s="4" t="b">
        <f t="shared" si="42"/>
        <v>0</v>
      </c>
      <c r="U70" s="5" t="str">
        <f t="shared" si="43"/>
        <v>2511888.004</v>
      </c>
      <c r="V70" s="7" t="str">
        <f>IF(W70="","",IF(LOOKUP(W70,'Extration 3E date commande'!$A$6:$A$10000)=W70,LOOKUP(W70,'Extration 3E date commande'!$A$6:$A$10000,'Extration 3E date commande'!$C$6:$C$10000),"PAS DE DATE"))</f>
        <v>PAS DE DATE</v>
      </c>
      <c r="W70" t="s">
        <v>491</v>
      </c>
      <c r="X70">
        <v>3</v>
      </c>
      <c r="Y70" t="s">
        <v>412</v>
      </c>
      <c r="Z70">
        <v>1</v>
      </c>
      <c r="AA70">
        <v>667</v>
      </c>
      <c r="AB70" t="s">
        <v>492</v>
      </c>
      <c r="AC70" t="s">
        <v>491</v>
      </c>
    </row>
    <row r="71" spans="1:30" x14ac:dyDescent="0.25">
      <c r="A71" s="3" t="str">
        <f t="shared" si="34"/>
        <v>2511888</v>
      </c>
      <c r="B71" s="3" t="str">
        <f t="shared" si="35"/>
        <v>004</v>
      </c>
      <c r="C71" s="3" t="str">
        <f t="shared" ref="C71:C134" si="55">IF(ISERROR(SEARCH("ELI",B71))=FALSE,"RELIQUAT",IF(ISERROR(SEARCH("N",B71))=FALSE,"NEGOCE",IF(ISERROR(SEARCH("S",B71))=FALSE,"SAV",IF(ISERROR(SEARCH("J",B71)),"","SAV"))))</f>
        <v/>
      </c>
      <c r="D71" s="3" t="str">
        <f t="shared" si="51"/>
        <v/>
      </c>
      <c r="E71" s="3" t="str">
        <f t="shared" si="52"/>
        <v/>
      </c>
      <c r="F71" s="3" t="str">
        <f t="shared" si="53"/>
        <v/>
      </c>
      <c r="G71" s="3" t="str">
        <f t="shared" si="54"/>
        <v>STD</v>
      </c>
      <c r="H71" s="3">
        <f t="shared" si="36"/>
        <v>3</v>
      </c>
      <c r="I71" s="3">
        <f t="shared" si="37"/>
        <v>1</v>
      </c>
      <c r="J71" s="2" t="str">
        <f t="shared" si="44"/>
        <v>soubassement mouluré blanc 28MM</v>
      </c>
      <c r="K71" s="2" t="str">
        <f>IF(W71="","",LOOKUP('Extraction edi'!J71,Paramètrage!$A$6:$A$179,Paramètrage!$B$6:$B$179))</f>
        <v>Type 1 / modèle 451</v>
      </c>
      <c r="L71" s="2" t="str">
        <f>IF(W71="","",LOOKUP('Extraction edi'!J71,Paramètrage!$A$6:$A$179,Paramètrage!$C$6:$C$179))</f>
        <v>PVC blanc</v>
      </c>
      <c r="M71" s="2" t="str">
        <f>IF(W71="","",LOOKUP('Extraction edi'!J71,Paramètrage!$A$6:$A$179,Paramètrage!$D$6:$D$179))</f>
        <v>PVC blanc</v>
      </c>
      <c r="N71" s="3">
        <f>IF(W71="","",LOOKUP('Extraction edi'!J71,Paramètrage!$A$6:$A$179,Paramètrage!$E$6:$E$179))</f>
        <v>28</v>
      </c>
      <c r="O71" s="3">
        <f t="shared" si="38"/>
        <v>667</v>
      </c>
      <c r="P71" s="3" t="str">
        <f t="shared" si="39"/>
        <v xml:space="preserve">  411</v>
      </c>
      <c r="Q71" s="3" t="str">
        <f t="shared" si="25"/>
        <v/>
      </c>
      <c r="R71" s="3" t="str">
        <f t="shared" si="40"/>
        <v/>
      </c>
      <c r="S71" s="3" t="str">
        <f t="shared" si="41"/>
        <v/>
      </c>
      <c r="T71" s="4" t="b">
        <f t="shared" si="42"/>
        <v>0</v>
      </c>
      <c r="U71" s="5" t="str">
        <f t="shared" si="43"/>
        <v>2511888.004</v>
      </c>
      <c r="V71" s="7" t="str">
        <f>IF(W71="","",IF(LOOKUP(W71,'Extration 3E date commande'!$A$6:$A$10000)=W71,LOOKUP(W71,'Extration 3E date commande'!$A$6:$A$10000,'Extration 3E date commande'!$C$6:$C$10000),"PAS DE DATE"))</f>
        <v>PAS DE DATE</v>
      </c>
      <c r="W71" t="s">
        <v>491</v>
      </c>
      <c r="X71">
        <v>3</v>
      </c>
      <c r="Y71" t="s">
        <v>412</v>
      </c>
      <c r="Z71">
        <v>1</v>
      </c>
      <c r="AA71">
        <v>667</v>
      </c>
      <c r="AB71" t="s">
        <v>492</v>
      </c>
      <c r="AC71" t="s">
        <v>491</v>
      </c>
    </row>
    <row r="72" spans="1:30" x14ac:dyDescent="0.25">
      <c r="A72" s="3" t="str">
        <f t="shared" si="34"/>
        <v>2511888</v>
      </c>
      <c r="B72" s="3" t="str">
        <f t="shared" si="35"/>
        <v>004</v>
      </c>
      <c r="C72" s="3" t="str">
        <f t="shared" si="55"/>
        <v/>
      </c>
      <c r="D72" s="3" t="str">
        <f t="shared" si="51"/>
        <v/>
      </c>
      <c r="E72" s="3" t="str">
        <f t="shared" si="52"/>
        <v/>
      </c>
      <c r="F72" s="3" t="str">
        <f t="shared" si="53"/>
        <v/>
      </c>
      <c r="G72" s="3" t="str">
        <f t="shared" si="54"/>
        <v>STD</v>
      </c>
      <c r="H72" s="3">
        <f t="shared" si="36"/>
        <v>4</v>
      </c>
      <c r="I72" s="3">
        <f t="shared" si="37"/>
        <v>1</v>
      </c>
      <c r="J72" s="2">
        <f t="shared" si="44"/>
        <v>454</v>
      </c>
      <c r="K72" s="2" t="e">
        <f>IF(W72="","",LOOKUP('Extraction edi'!J72,Paramètrage!$A$6:$A$179,Paramètrage!$B$6:$B$179))</f>
        <v>#N/A</v>
      </c>
      <c r="L72" s="2" t="e">
        <f>IF(W72="","",LOOKUP('Extraction edi'!J72,Paramètrage!$A$6:$A$179,Paramètrage!$C$6:$C$179))</f>
        <v>#N/A</v>
      </c>
      <c r="M72" s="2" t="e">
        <f>IF(W72="","",LOOKUP('Extraction edi'!J72,Paramètrage!$A$6:$A$179,Paramètrage!$D$6:$D$179))</f>
        <v>#N/A</v>
      </c>
      <c r="N72" s="3" t="e">
        <f>IF(W72="","",LOOKUP('Extraction edi'!J72,Paramètrage!$A$6:$A$179,Paramètrage!$E$6:$E$179))</f>
        <v>#N/A</v>
      </c>
      <c r="O72" s="3">
        <f t="shared" si="38"/>
        <v>452</v>
      </c>
      <c r="P72" s="3" t="str">
        <f t="shared" si="39"/>
        <v xml:space="preserve">  411</v>
      </c>
      <c r="Q72" s="3" t="str">
        <f t="shared" si="25"/>
        <v/>
      </c>
      <c r="R72" s="3" t="e">
        <f t="shared" si="40"/>
        <v>#N/A</v>
      </c>
      <c r="S72" s="3" t="e">
        <f t="shared" si="41"/>
        <v>#N/A</v>
      </c>
      <c r="T72" s="4" t="b">
        <f t="shared" si="42"/>
        <v>0</v>
      </c>
      <c r="U72" s="5" t="str">
        <f t="shared" si="43"/>
        <v>2511888.004</v>
      </c>
      <c r="V72" s="7" t="str">
        <f>IF(W72="","",IF(LOOKUP(W72,'Extration 3E date commande'!$A$6:$A$10000)=W72,LOOKUP(W72,'Extration 3E date commande'!$A$6:$A$10000,'Extration 3E date commande'!$C$6:$C$10000),"PAS DE DATE"))</f>
        <v>PAS DE DATE</v>
      </c>
      <c r="W72" t="s">
        <v>491</v>
      </c>
      <c r="X72">
        <v>4</v>
      </c>
      <c r="Y72" t="s">
        <v>412</v>
      </c>
      <c r="Z72">
        <v>1</v>
      </c>
      <c r="AA72">
        <v>452</v>
      </c>
      <c r="AB72" t="s">
        <v>492</v>
      </c>
      <c r="AC72" t="s">
        <v>491</v>
      </c>
    </row>
    <row r="73" spans="1:30" x14ac:dyDescent="0.25">
      <c r="A73" s="3" t="str">
        <f t="shared" si="34"/>
        <v>2511888</v>
      </c>
      <c r="B73" s="3" t="str">
        <f t="shared" si="35"/>
        <v>004</v>
      </c>
      <c r="C73" s="3" t="str">
        <f t="shared" si="55"/>
        <v/>
      </c>
      <c r="D73" s="3" t="str">
        <f t="shared" si="51"/>
        <v/>
      </c>
      <c r="E73" s="3" t="str">
        <f t="shared" si="52"/>
        <v/>
      </c>
      <c r="F73" s="3" t="str">
        <f t="shared" si="53"/>
        <v/>
      </c>
      <c r="G73" s="3" t="str">
        <f t="shared" si="54"/>
        <v>STD</v>
      </c>
      <c r="H73" s="3">
        <f t="shared" si="36"/>
        <v>4</v>
      </c>
      <c r="I73" s="3">
        <f t="shared" si="37"/>
        <v>1</v>
      </c>
      <c r="J73" s="2">
        <f t="shared" si="44"/>
        <v>452</v>
      </c>
      <c r="K73" s="2" t="e">
        <f>IF(W73="","",LOOKUP('Extraction edi'!J73,Paramètrage!$A$6:$A$179,Paramètrage!$B$6:$B$179))</f>
        <v>#N/A</v>
      </c>
      <c r="L73" s="2" t="e">
        <f>IF(W73="","",LOOKUP('Extraction edi'!J73,Paramètrage!$A$6:$A$179,Paramètrage!$C$6:$C$179))</f>
        <v>#N/A</v>
      </c>
      <c r="M73" s="2" t="e">
        <f>IF(W73="","",LOOKUP('Extraction edi'!J73,Paramètrage!$A$6:$A$179,Paramètrage!$D$6:$D$179))</f>
        <v>#N/A</v>
      </c>
      <c r="N73" s="3" t="e">
        <f>IF(W73="","",LOOKUP('Extraction edi'!J73,Paramètrage!$A$6:$A$179,Paramètrage!$E$6:$E$179))</f>
        <v>#N/A</v>
      </c>
      <c r="O73" s="3">
        <f t="shared" si="38"/>
        <v>452</v>
      </c>
      <c r="P73" s="3" t="str">
        <f t="shared" si="39"/>
        <v xml:space="preserve">  411</v>
      </c>
      <c r="Q73" s="3" t="str">
        <f t="shared" si="25"/>
        <v/>
      </c>
      <c r="R73" s="3" t="e">
        <f t="shared" si="40"/>
        <v>#N/A</v>
      </c>
      <c r="S73" s="3" t="e">
        <f t="shared" si="41"/>
        <v>#N/A</v>
      </c>
      <c r="T73" s="4" t="b">
        <f t="shared" si="42"/>
        <v>0</v>
      </c>
      <c r="U73" s="5" t="str">
        <f t="shared" si="43"/>
        <v>2511888.004</v>
      </c>
      <c r="V73" s="7" t="str">
        <f>IF(W73="","",IF(LOOKUP(W73,'Extration 3E date commande'!$A$6:$A$10000)=W73,LOOKUP(W73,'Extration 3E date commande'!$A$6:$A$10000,'Extration 3E date commande'!$C$6:$C$10000),"PAS DE DATE"))</f>
        <v>PAS DE DATE</v>
      </c>
      <c r="W73" t="s">
        <v>491</v>
      </c>
      <c r="X73">
        <v>4</v>
      </c>
      <c r="Y73" t="s">
        <v>412</v>
      </c>
      <c r="Z73">
        <v>1</v>
      </c>
      <c r="AA73">
        <v>452</v>
      </c>
      <c r="AB73" t="s">
        <v>492</v>
      </c>
      <c r="AC73" t="s">
        <v>491</v>
      </c>
    </row>
    <row r="74" spans="1:30" x14ac:dyDescent="0.25">
      <c r="A74" s="3" t="str">
        <f t="shared" si="34"/>
        <v>2511888</v>
      </c>
      <c r="B74" s="3" t="str">
        <f t="shared" si="35"/>
        <v>004</v>
      </c>
      <c r="C74" s="3" t="str">
        <f t="shared" si="55"/>
        <v/>
      </c>
      <c r="D74" s="3" t="str">
        <f t="shared" si="51"/>
        <v/>
      </c>
      <c r="E74" s="3" t="str">
        <f t="shared" si="52"/>
        <v/>
      </c>
      <c r="F74" s="3" t="str">
        <f t="shared" si="53"/>
        <v/>
      </c>
      <c r="G74" s="3" t="str">
        <f t="shared" si="54"/>
        <v>STD</v>
      </c>
      <c r="H74" s="3">
        <f t="shared" si="36"/>
        <v>5</v>
      </c>
      <c r="I74" s="3">
        <f t="shared" si="37"/>
        <v>1</v>
      </c>
      <c r="J74" s="2">
        <f t="shared" si="44"/>
        <v>452</v>
      </c>
      <c r="K74" s="2" t="e">
        <f>IF(W74="","",LOOKUP('Extraction edi'!J74,Paramètrage!$A$6:$A$179,Paramètrage!$B$6:$B$179))</f>
        <v>#N/A</v>
      </c>
      <c r="L74" s="2" t="e">
        <f>IF(W74="","",LOOKUP('Extraction edi'!J74,Paramètrage!$A$6:$A$179,Paramètrage!$C$6:$C$179))</f>
        <v>#N/A</v>
      </c>
      <c r="M74" s="2" t="e">
        <f>IF(W74="","",LOOKUP('Extraction edi'!J74,Paramètrage!$A$6:$A$179,Paramètrage!$D$6:$D$179))</f>
        <v>#N/A</v>
      </c>
      <c r="N74" s="3" t="e">
        <f>IF(W74="","",LOOKUP('Extraction edi'!J74,Paramètrage!$A$6:$A$179,Paramètrage!$E$6:$E$179))</f>
        <v>#N/A</v>
      </c>
      <c r="O74" s="3">
        <f t="shared" si="38"/>
        <v>464</v>
      </c>
      <c r="P74" s="3" t="str">
        <f t="shared" si="39"/>
        <v xml:space="preserve">  411</v>
      </c>
      <c r="Q74" s="3" t="str">
        <f t="shared" si="25"/>
        <v/>
      </c>
      <c r="R74" s="3" t="e">
        <f t="shared" si="40"/>
        <v>#N/A</v>
      </c>
      <c r="S74" s="3" t="e">
        <f t="shared" si="41"/>
        <v>#N/A</v>
      </c>
      <c r="T74" s="4" t="b">
        <f t="shared" si="42"/>
        <v>0</v>
      </c>
      <c r="U74" s="5" t="str">
        <f t="shared" si="43"/>
        <v>2511888.004</v>
      </c>
      <c r="V74" s="7" t="str">
        <f>IF(W74="","",IF(LOOKUP(W74,'Extration 3E date commande'!$A$6:$A$10000)=W74,LOOKUP(W74,'Extration 3E date commande'!$A$6:$A$10000,'Extration 3E date commande'!$C$6:$C$10000),"PAS DE DATE"))</f>
        <v>PAS DE DATE</v>
      </c>
      <c r="W74" t="s">
        <v>491</v>
      </c>
      <c r="X74">
        <v>5</v>
      </c>
      <c r="Y74" t="s">
        <v>412</v>
      </c>
      <c r="Z74">
        <v>1</v>
      </c>
      <c r="AA74">
        <v>464</v>
      </c>
      <c r="AB74" t="s">
        <v>492</v>
      </c>
      <c r="AC74" t="s">
        <v>491</v>
      </c>
    </row>
    <row r="75" spans="1:30" x14ac:dyDescent="0.25">
      <c r="A75" s="3" t="str">
        <f t="shared" si="34"/>
        <v>2511888</v>
      </c>
      <c r="B75" s="3" t="str">
        <f t="shared" si="35"/>
        <v>004</v>
      </c>
      <c r="C75" s="3" t="str">
        <f t="shared" si="55"/>
        <v/>
      </c>
      <c r="D75" s="3" t="str">
        <f t="shared" si="51"/>
        <v/>
      </c>
      <c r="E75" s="3" t="str">
        <f t="shared" si="52"/>
        <v/>
      </c>
      <c r="F75" s="3" t="str">
        <f t="shared" si="53"/>
        <v/>
      </c>
      <c r="G75" s="3" t="str">
        <f t="shared" si="54"/>
        <v>STD</v>
      </c>
      <c r="H75" s="3">
        <f t="shared" si="36"/>
        <v>5</v>
      </c>
      <c r="I75" s="3">
        <f t="shared" si="37"/>
        <v>1</v>
      </c>
      <c r="J75" s="2">
        <f t="shared" si="44"/>
        <v>667</v>
      </c>
      <c r="K75" s="2" t="e">
        <f>IF(W75="","",LOOKUP('Extraction edi'!J75,Paramètrage!$A$6:$A$179,Paramètrage!$B$6:$B$179))</f>
        <v>#N/A</v>
      </c>
      <c r="L75" s="2" t="e">
        <f>IF(W75="","",LOOKUP('Extraction edi'!J75,Paramètrage!$A$6:$A$179,Paramètrage!$C$6:$C$179))</f>
        <v>#N/A</v>
      </c>
      <c r="M75" s="2" t="e">
        <f>IF(W75="","",LOOKUP('Extraction edi'!J75,Paramètrage!$A$6:$A$179,Paramètrage!$D$6:$D$179))</f>
        <v>#N/A</v>
      </c>
      <c r="N75" s="3" t="e">
        <f>IF(W75="","",LOOKUP('Extraction edi'!J75,Paramètrage!$A$6:$A$179,Paramètrage!$E$6:$E$179))</f>
        <v>#N/A</v>
      </c>
      <c r="O75" s="3">
        <f t="shared" si="38"/>
        <v>464</v>
      </c>
      <c r="P75" s="3" t="str">
        <f t="shared" si="39"/>
        <v xml:space="preserve">  411</v>
      </c>
      <c r="Q75" s="3" t="str">
        <f t="shared" si="25"/>
        <v/>
      </c>
      <c r="R75" s="3" t="e">
        <f t="shared" si="40"/>
        <v>#N/A</v>
      </c>
      <c r="S75" s="3" t="e">
        <f t="shared" si="41"/>
        <v>#N/A</v>
      </c>
      <c r="T75" s="4" t="b">
        <f t="shared" si="42"/>
        <v>0</v>
      </c>
      <c r="U75" s="5" t="str">
        <f t="shared" si="43"/>
        <v>2511888.004</v>
      </c>
      <c r="V75" s="7" t="str">
        <f>IF(W75="","",IF(LOOKUP(W75,'Extration 3E date commande'!$A$6:$A$10000)=W75,LOOKUP(W75,'Extration 3E date commande'!$A$6:$A$10000,'Extration 3E date commande'!$C$6:$C$10000),"PAS DE DATE"))</f>
        <v>PAS DE DATE</v>
      </c>
      <c r="W75" t="s">
        <v>491</v>
      </c>
      <c r="X75">
        <v>5</v>
      </c>
      <c r="Y75" t="s">
        <v>412</v>
      </c>
      <c r="Z75">
        <v>1</v>
      </c>
      <c r="AA75">
        <v>464</v>
      </c>
      <c r="AB75" t="s">
        <v>492</v>
      </c>
      <c r="AC75" t="s">
        <v>491</v>
      </c>
    </row>
    <row r="76" spans="1:30" x14ac:dyDescent="0.25">
      <c r="A76" s="3" t="str">
        <f t="shared" si="34"/>
        <v>2511935</v>
      </c>
      <c r="B76" s="3" t="str">
        <f t="shared" si="35"/>
        <v>X04</v>
      </c>
      <c r="C76" s="3" t="str">
        <f t="shared" si="55"/>
        <v/>
      </c>
      <c r="D76" s="3" t="str">
        <f t="shared" si="51"/>
        <v/>
      </c>
      <c r="E76" s="3" t="str">
        <f t="shared" si="52"/>
        <v/>
      </c>
      <c r="F76" s="3" t="str">
        <f t="shared" si="53"/>
        <v>TEX</v>
      </c>
      <c r="G76" s="3" t="str">
        <f t="shared" si="54"/>
        <v>TEX</v>
      </c>
      <c r="H76" s="3">
        <f t="shared" si="36"/>
        <v>4</v>
      </c>
      <c r="I76" s="3">
        <f t="shared" si="37"/>
        <v>1</v>
      </c>
      <c r="J76" s="2" t="str">
        <f t="shared" si="44"/>
        <v>soubassement PLAT CHENE NAT 2 FACES 28MM</v>
      </c>
      <c r="K76" s="2" t="str">
        <f>IF(W76="","",LOOKUP('Extraction edi'!J76,Paramètrage!$A$6:$A$179,Paramètrage!$B$6:$B$179))</f>
        <v>Type 5 / modèle 450</v>
      </c>
      <c r="L76" s="2" t="str">
        <f>IF(W76="","",LOOKUP('Extraction edi'!J76,Paramètrage!$A$6:$A$179,Paramètrage!$C$6:$C$179))</f>
        <v>ALU blanc</v>
      </c>
      <c r="M76" s="2" t="str">
        <f>IF(W76="","",LOOKUP('Extraction edi'!J76,Paramètrage!$A$6:$A$179,Paramètrage!$D$6:$D$179))</f>
        <v>ALU blanc</v>
      </c>
      <c r="N76" s="3">
        <f>IF(W76="","",LOOKUP('Extraction edi'!J76,Paramètrage!$A$6:$A$179,Paramètrage!$E$6:$E$179))</f>
        <v>24</v>
      </c>
      <c r="O76" s="3">
        <f t="shared" si="38"/>
        <v>729</v>
      </c>
      <c r="P76" s="3" t="str">
        <f t="shared" si="39"/>
        <v xml:space="preserve">  2330</v>
      </c>
      <c r="Q76" s="3" t="str">
        <f t="shared" si="25"/>
        <v/>
      </c>
      <c r="R76" s="3" t="str">
        <f t="shared" si="40"/>
        <v/>
      </c>
      <c r="S76" s="3" t="str">
        <f t="shared" si="41"/>
        <v/>
      </c>
      <c r="T76" s="4" t="str">
        <f t="shared" si="42"/>
        <v>soubassement PLAT CHENE NAT 2 FACES 28MM</v>
      </c>
      <c r="U76" s="5" t="str">
        <f t="shared" si="43"/>
        <v xml:space="preserve">  2330</v>
      </c>
      <c r="V76" s="7" t="str">
        <f>IF(W76="","",IF(LOOKUP(W76,'Extration 3E date commande'!$A$6:$A$10000)=W76,LOOKUP(W76,'Extration 3E date commande'!$A$6:$A$10000,'Extration 3E date commande'!$C$6:$C$10000),"PAS DE DATE"))</f>
        <v>PAS DE DATE</v>
      </c>
      <c r="W76" t="s">
        <v>493</v>
      </c>
      <c r="X76">
        <v>4</v>
      </c>
      <c r="Y76" t="s">
        <v>412</v>
      </c>
      <c r="Z76">
        <v>1</v>
      </c>
      <c r="AA76" t="s">
        <v>335</v>
      </c>
      <c r="AB76">
        <v>729</v>
      </c>
      <c r="AC76" t="s">
        <v>494</v>
      </c>
      <c r="AD76" t="s">
        <v>493</v>
      </c>
    </row>
    <row r="77" spans="1:30" x14ac:dyDescent="0.25">
      <c r="A77" s="3" t="str">
        <f t="shared" si="34"/>
        <v>2511935</v>
      </c>
      <c r="B77" s="3" t="str">
        <f t="shared" si="35"/>
        <v>X04</v>
      </c>
      <c r="C77" s="3" t="str">
        <f t="shared" si="55"/>
        <v/>
      </c>
      <c r="D77" s="3" t="str">
        <f t="shared" si="51"/>
        <v/>
      </c>
      <c r="E77" s="3" t="str">
        <f t="shared" si="52"/>
        <v/>
      </c>
      <c r="F77" s="3" t="str">
        <f t="shared" si="53"/>
        <v>TEX</v>
      </c>
      <c r="G77" s="3" t="str">
        <f t="shared" si="54"/>
        <v>TEX</v>
      </c>
      <c r="H77" s="3">
        <f t="shared" si="36"/>
        <v>4</v>
      </c>
      <c r="I77" s="3">
        <f t="shared" si="37"/>
        <v>1</v>
      </c>
      <c r="J77" s="2" t="str">
        <f t="shared" si="44"/>
        <v>soubassement PLAT CHENE NAT 2 FACES 28MM</v>
      </c>
      <c r="K77" s="2" t="str">
        <f>IF(W77="","",LOOKUP('Extraction edi'!J77,Paramètrage!$A$6:$A$179,Paramètrage!$B$6:$B$179))</f>
        <v>Type 5 / modèle 450</v>
      </c>
      <c r="L77" s="2" t="str">
        <f>IF(W77="","",LOOKUP('Extraction edi'!J77,Paramètrage!$A$6:$A$179,Paramètrage!$C$6:$C$179))</f>
        <v>ALU blanc</v>
      </c>
      <c r="M77" s="2" t="str">
        <f>IF(W77="","",LOOKUP('Extraction edi'!J77,Paramètrage!$A$6:$A$179,Paramètrage!$D$6:$D$179))</f>
        <v>ALU blanc</v>
      </c>
      <c r="N77" s="3">
        <f>IF(W77="","",LOOKUP('Extraction edi'!J77,Paramètrage!$A$6:$A$179,Paramètrage!$E$6:$E$179))</f>
        <v>24</v>
      </c>
      <c r="O77" s="3">
        <f t="shared" si="38"/>
        <v>359</v>
      </c>
      <c r="P77" s="3" t="str">
        <f t="shared" si="39"/>
        <v xml:space="preserve">  2330</v>
      </c>
      <c r="Q77" s="3" t="str">
        <f t="shared" si="25"/>
        <v/>
      </c>
      <c r="R77" s="3" t="str">
        <f t="shared" si="40"/>
        <v/>
      </c>
      <c r="S77" s="3" t="str">
        <f t="shared" si="41"/>
        <v/>
      </c>
      <c r="T77" s="4" t="b">
        <f t="shared" si="42"/>
        <v>0</v>
      </c>
      <c r="U77" s="5" t="str">
        <f t="shared" si="43"/>
        <v>2511935.X04</v>
      </c>
      <c r="V77" s="7" t="str">
        <f>IF(W77="","",IF(LOOKUP(W77,'Extration 3E date commande'!$A$6:$A$10000)=W77,LOOKUP(W77,'Extration 3E date commande'!$A$6:$A$10000,'Extration 3E date commande'!$C$6:$C$10000),"PAS DE DATE"))</f>
        <v>PAS DE DATE</v>
      </c>
      <c r="W77" t="s">
        <v>493</v>
      </c>
      <c r="X77">
        <v>4</v>
      </c>
      <c r="Y77" t="s">
        <v>412</v>
      </c>
      <c r="Z77">
        <v>1</v>
      </c>
      <c r="AA77">
        <v>359</v>
      </c>
      <c r="AB77" t="s">
        <v>494</v>
      </c>
      <c r="AC77" t="s">
        <v>493</v>
      </c>
    </row>
    <row r="78" spans="1:30" x14ac:dyDescent="0.25">
      <c r="A78" s="3" t="str">
        <f t="shared" si="34"/>
        <v>2511935</v>
      </c>
      <c r="B78" s="3" t="str">
        <f t="shared" si="35"/>
        <v>X04</v>
      </c>
      <c r="C78" s="3" t="str">
        <f t="shared" si="55"/>
        <v/>
      </c>
      <c r="D78" s="3" t="str">
        <f t="shared" si="51"/>
        <v/>
      </c>
      <c r="E78" s="3" t="str">
        <f t="shared" si="52"/>
        <v/>
      </c>
      <c r="F78" s="3" t="str">
        <f t="shared" si="53"/>
        <v>TEX</v>
      </c>
      <c r="G78" s="3" t="str">
        <f t="shared" si="54"/>
        <v>TEX</v>
      </c>
      <c r="H78" s="3">
        <f t="shared" si="36"/>
        <v>5</v>
      </c>
      <c r="I78" s="3">
        <f t="shared" si="37"/>
        <v>1</v>
      </c>
      <c r="J78" s="2" t="str">
        <f t="shared" si="44"/>
        <v>soubassement PLAT CHENE NAT 2 FACES 28MM</v>
      </c>
      <c r="K78" s="2" t="str">
        <f>IF(W78="","",LOOKUP('Extraction edi'!J78,Paramètrage!$A$6:$A$179,Paramètrage!$B$6:$B$179))</f>
        <v>Type 5 / modèle 450</v>
      </c>
      <c r="L78" s="2" t="str">
        <f>IF(W78="","",LOOKUP('Extraction edi'!J78,Paramètrage!$A$6:$A$179,Paramètrage!$C$6:$C$179))</f>
        <v>ALU blanc</v>
      </c>
      <c r="M78" s="2" t="str">
        <f>IF(W78="","",LOOKUP('Extraction edi'!J78,Paramètrage!$A$6:$A$179,Paramètrage!$D$6:$D$179))</f>
        <v>ALU blanc</v>
      </c>
      <c r="N78" s="3">
        <f>IF(W78="","",LOOKUP('Extraction edi'!J78,Paramètrage!$A$6:$A$179,Paramètrage!$E$6:$E$179))</f>
        <v>24</v>
      </c>
      <c r="O78" s="3">
        <f t="shared" si="38"/>
        <v>729</v>
      </c>
      <c r="P78" s="3" t="str">
        <f t="shared" si="39"/>
        <v xml:space="preserve">  2325</v>
      </c>
      <c r="Q78" s="3" t="str">
        <f t="shared" si="25"/>
        <v/>
      </c>
      <c r="R78" s="3" t="str">
        <f t="shared" si="40"/>
        <v/>
      </c>
      <c r="S78" s="3" t="str">
        <f t="shared" si="41"/>
        <v/>
      </c>
      <c r="T78" s="4" t="b">
        <f t="shared" si="42"/>
        <v>0</v>
      </c>
      <c r="U78" s="5" t="str">
        <f t="shared" si="43"/>
        <v>2511935.X04</v>
      </c>
      <c r="V78" s="7" t="str">
        <f>IF(W78="","",IF(LOOKUP(W78,'Extration 3E date commande'!$A$6:$A$10000)=W78,LOOKUP(W78,'Extration 3E date commande'!$A$6:$A$10000,'Extration 3E date commande'!$C$6:$C$10000),"PAS DE DATE"))</f>
        <v>PAS DE DATE</v>
      </c>
      <c r="W78" t="s">
        <v>493</v>
      </c>
      <c r="X78">
        <v>5</v>
      </c>
      <c r="Y78" t="s">
        <v>412</v>
      </c>
      <c r="Z78">
        <v>1</v>
      </c>
      <c r="AA78">
        <v>729</v>
      </c>
      <c r="AB78" t="s">
        <v>495</v>
      </c>
      <c r="AC78" t="s">
        <v>493</v>
      </c>
    </row>
    <row r="79" spans="1:30" x14ac:dyDescent="0.25">
      <c r="A79" s="3" t="str">
        <f t="shared" si="34"/>
        <v>2511935</v>
      </c>
      <c r="B79" s="3" t="str">
        <f t="shared" si="35"/>
        <v>X04</v>
      </c>
      <c r="C79" s="3" t="str">
        <f t="shared" si="55"/>
        <v/>
      </c>
      <c r="D79" s="3" t="str">
        <f t="shared" si="51"/>
        <v/>
      </c>
      <c r="E79" s="3" t="str">
        <f t="shared" si="52"/>
        <v/>
      </c>
      <c r="F79" s="3" t="str">
        <f t="shared" si="53"/>
        <v>TEX</v>
      </c>
      <c r="G79" s="3" t="str">
        <f t="shared" si="54"/>
        <v>TEX</v>
      </c>
      <c r="H79" s="3">
        <f t="shared" si="36"/>
        <v>5</v>
      </c>
      <c r="I79" s="3">
        <f t="shared" si="37"/>
        <v>1</v>
      </c>
      <c r="J79" s="2" t="str">
        <f t="shared" si="44"/>
        <v>soubassement PLAT CHENE NAT 2 FACES 28MM</v>
      </c>
      <c r="K79" s="2" t="str">
        <f>IF(W79="","",LOOKUP('Extraction edi'!J79,Paramètrage!$A$6:$A$179,Paramètrage!$B$6:$B$179))</f>
        <v>Type 5 / modèle 450</v>
      </c>
      <c r="L79" s="2" t="str">
        <f>IF(W79="","",LOOKUP('Extraction edi'!J79,Paramètrage!$A$6:$A$179,Paramètrage!$C$6:$C$179))</f>
        <v>ALU blanc</v>
      </c>
      <c r="M79" s="2" t="str">
        <f>IF(W79="","",LOOKUP('Extraction edi'!J79,Paramètrage!$A$6:$A$179,Paramètrage!$D$6:$D$179))</f>
        <v>ALU blanc</v>
      </c>
      <c r="N79" s="3">
        <f>IF(W79="","",LOOKUP('Extraction edi'!J79,Paramètrage!$A$6:$A$179,Paramètrage!$E$6:$E$179))</f>
        <v>24</v>
      </c>
      <c r="O79" s="3">
        <f t="shared" si="38"/>
        <v>244</v>
      </c>
      <c r="P79" s="3" t="str">
        <f t="shared" si="39"/>
        <v xml:space="preserve">  2325</v>
      </c>
      <c r="Q79" s="3" t="str">
        <f t="shared" ref="Q79:Q142" si="56">IF(ISERROR(SEARCH("laq",J79))=FALSE,"laquage RAL :",IF(ISERROR(SEARCH("lq",J79))=FALSE,"laquage RAL :",IF(ISERROR(SEARCH("ANO",J78))=FALSE,"laquage RAL :",IF(ISERROR(SEARCH("IVOI",J79)),"","laquage RAL :"))))</f>
        <v/>
      </c>
      <c r="R79" s="3" t="str">
        <f t="shared" si="40"/>
        <v/>
      </c>
      <c r="S79" s="3" t="str">
        <f t="shared" si="41"/>
        <v/>
      </c>
      <c r="T79" s="4" t="b">
        <f t="shared" si="42"/>
        <v>0</v>
      </c>
      <c r="U79" s="5" t="str">
        <f t="shared" si="43"/>
        <v>2511935.X04</v>
      </c>
      <c r="V79" s="7" t="str">
        <f>IF(W79="","",IF(LOOKUP(W79,'Extration 3E date commande'!$A$6:$A$10000)=W79,LOOKUP(W79,'Extration 3E date commande'!$A$6:$A$10000,'Extration 3E date commande'!$C$6:$C$10000),"PAS DE DATE"))</f>
        <v>PAS DE DATE</v>
      </c>
      <c r="W79" t="s">
        <v>493</v>
      </c>
      <c r="X79">
        <v>5</v>
      </c>
      <c r="Y79" t="s">
        <v>412</v>
      </c>
      <c r="Z79">
        <v>1</v>
      </c>
      <c r="AA79">
        <v>244</v>
      </c>
      <c r="AB79" t="s">
        <v>495</v>
      </c>
      <c r="AC79" t="s">
        <v>493</v>
      </c>
    </row>
    <row r="80" spans="1:30" x14ac:dyDescent="0.25">
      <c r="A80" s="3" t="str">
        <f t="shared" si="34"/>
        <v>2511935</v>
      </c>
      <c r="B80" s="3" t="str">
        <f t="shared" si="35"/>
        <v>X04</v>
      </c>
      <c r="C80" s="3" t="str">
        <f t="shared" si="55"/>
        <v/>
      </c>
      <c r="D80" s="3" t="str">
        <f t="shared" si="51"/>
        <v/>
      </c>
      <c r="E80" s="3" t="str">
        <f t="shared" si="52"/>
        <v/>
      </c>
      <c r="F80" s="3" t="str">
        <f t="shared" si="53"/>
        <v>TEX</v>
      </c>
      <c r="G80" s="3" t="str">
        <f t="shared" si="54"/>
        <v>TEX</v>
      </c>
      <c r="H80" s="3">
        <f t="shared" si="36"/>
        <v>6</v>
      </c>
      <c r="I80" s="3">
        <f t="shared" si="37"/>
        <v>1</v>
      </c>
      <c r="J80" s="2" t="str">
        <f t="shared" si="44"/>
        <v>soubassement PLAT CHENE NAT 2 FACES 28MM</v>
      </c>
      <c r="K80" s="2" t="str">
        <f>IF(W80="","",LOOKUP('Extraction edi'!J80,Paramètrage!$A$6:$A$179,Paramètrage!$B$6:$B$179))</f>
        <v>Type 5 / modèle 450</v>
      </c>
      <c r="L80" s="2" t="str">
        <f>IF(W80="","",LOOKUP('Extraction edi'!J80,Paramètrage!$A$6:$A$179,Paramètrage!$C$6:$C$179))</f>
        <v>ALU blanc</v>
      </c>
      <c r="M80" s="2" t="str">
        <f>IF(W80="","",LOOKUP('Extraction edi'!J80,Paramètrage!$A$6:$A$179,Paramètrage!$D$6:$D$179))</f>
        <v>ALU blanc</v>
      </c>
      <c r="N80" s="3">
        <f>IF(W80="","",LOOKUP('Extraction edi'!J80,Paramètrage!$A$6:$A$179,Paramètrage!$E$6:$E$179))</f>
        <v>24</v>
      </c>
      <c r="O80" s="3">
        <f t="shared" si="38"/>
        <v>213</v>
      </c>
      <c r="P80" s="3" t="str">
        <f t="shared" si="39"/>
        <v xml:space="preserve">  2045</v>
      </c>
      <c r="Q80" s="3" t="str">
        <f t="shared" si="56"/>
        <v/>
      </c>
      <c r="R80" s="3" t="str">
        <f t="shared" si="40"/>
        <v/>
      </c>
      <c r="S80" s="3" t="str">
        <f t="shared" si="41"/>
        <v/>
      </c>
      <c r="T80" s="4" t="b">
        <f t="shared" si="42"/>
        <v>0</v>
      </c>
      <c r="U80" s="5" t="str">
        <f t="shared" si="43"/>
        <v>2511935.X04</v>
      </c>
      <c r="V80" s="7" t="str">
        <f>IF(W80="","",IF(LOOKUP(W80,'Extration 3E date commande'!$A$6:$A$10000)=W80,LOOKUP(W80,'Extration 3E date commande'!$A$6:$A$10000,'Extration 3E date commande'!$C$6:$C$10000),"PAS DE DATE"))</f>
        <v>PAS DE DATE</v>
      </c>
      <c r="W80" t="s">
        <v>493</v>
      </c>
      <c r="X80">
        <v>6</v>
      </c>
      <c r="Y80" t="s">
        <v>412</v>
      </c>
      <c r="Z80">
        <v>1</v>
      </c>
      <c r="AA80">
        <v>213</v>
      </c>
      <c r="AB80" t="s">
        <v>496</v>
      </c>
      <c r="AC80" t="s">
        <v>493</v>
      </c>
    </row>
    <row r="81" spans="1:30" x14ac:dyDescent="0.25">
      <c r="A81" s="3" t="str">
        <f t="shared" si="34"/>
        <v>2511935</v>
      </c>
      <c r="B81" s="3" t="str">
        <f t="shared" si="35"/>
        <v>X04</v>
      </c>
      <c r="C81" s="3" t="str">
        <f t="shared" si="55"/>
        <v/>
      </c>
      <c r="D81" s="3" t="str">
        <f t="shared" si="51"/>
        <v/>
      </c>
      <c r="E81" s="3" t="str">
        <f t="shared" si="52"/>
        <v/>
      </c>
      <c r="F81" s="3" t="str">
        <f t="shared" si="53"/>
        <v>TEX</v>
      </c>
      <c r="G81" s="3" t="str">
        <f t="shared" si="54"/>
        <v>TEX</v>
      </c>
      <c r="H81" s="3">
        <f t="shared" si="36"/>
        <v>6</v>
      </c>
      <c r="I81" s="3">
        <f t="shared" si="37"/>
        <v>1</v>
      </c>
      <c r="J81" s="2" t="str">
        <f t="shared" si="44"/>
        <v>soubassement PLAT CHENE NAT 2 FACES 28MM</v>
      </c>
      <c r="K81" s="2" t="str">
        <f>IF(W81="","",LOOKUP('Extraction edi'!J81,Paramètrage!$A$6:$A$179,Paramètrage!$B$6:$B$179))</f>
        <v>Type 5 / modèle 450</v>
      </c>
      <c r="L81" s="2" t="str">
        <f>IF(W81="","",LOOKUP('Extraction edi'!J81,Paramètrage!$A$6:$A$179,Paramètrage!$C$6:$C$179))</f>
        <v>ALU blanc</v>
      </c>
      <c r="M81" s="2" t="str">
        <f>IF(W81="","",LOOKUP('Extraction edi'!J81,Paramètrage!$A$6:$A$179,Paramètrage!$D$6:$D$179))</f>
        <v>ALU blanc</v>
      </c>
      <c r="N81" s="3">
        <f>IF(W81="","",LOOKUP('Extraction edi'!J81,Paramètrage!$A$6:$A$179,Paramètrage!$E$6:$E$179))</f>
        <v>24</v>
      </c>
      <c r="O81" s="3">
        <f t="shared" si="38"/>
        <v>670</v>
      </c>
      <c r="P81" s="3" t="str">
        <f t="shared" si="39"/>
        <v xml:space="preserve">  2045</v>
      </c>
      <c r="Q81" s="3" t="str">
        <f t="shared" si="56"/>
        <v/>
      </c>
      <c r="R81" s="3" t="str">
        <f t="shared" si="40"/>
        <v/>
      </c>
      <c r="S81" s="3" t="str">
        <f t="shared" si="41"/>
        <v/>
      </c>
      <c r="T81" s="4" t="b">
        <f t="shared" si="42"/>
        <v>0</v>
      </c>
      <c r="U81" s="5" t="str">
        <f t="shared" si="43"/>
        <v>2511935.X04</v>
      </c>
      <c r="V81" s="7" t="str">
        <f>IF(W81="","",IF(LOOKUP(W81,'Extration 3E date commande'!$A$6:$A$10000)=W81,LOOKUP(W81,'Extration 3E date commande'!$A$6:$A$10000,'Extration 3E date commande'!$C$6:$C$10000),"PAS DE DATE"))</f>
        <v>PAS DE DATE</v>
      </c>
      <c r="W81" t="s">
        <v>493</v>
      </c>
      <c r="X81">
        <v>6</v>
      </c>
      <c r="Y81" t="s">
        <v>412</v>
      </c>
      <c r="Z81">
        <v>1</v>
      </c>
      <c r="AA81">
        <v>670</v>
      </c>
      <c r="AB81" t="s">
        <v>496</v>
      </c>
      <c r="AC81" t="s">
        <v>493</v>
      </c>
    </row>
    <row r="82" spans="1:30" x14ac:dyDescent="0.25">
      <c r="A82" s="3" t="str">
        <f t="shared" si="34"/>
        <v>2511935</v>
      </c>
      <c r="B82" s="3" t="str">
        <f t="shared" si="35"/>
        <v>X04</v>
      </c>
      <c r="C82" s="3" t="str">
        <f t="shared" si="55"/>
        <v/>
      </c>
      <c r="D82" s="3" t="str">
        <f t="shared" si="51"/>
        <v/>
      </c>
      <c r="E82" s="3" t="str">
        <f t="shared" si="52"/>
        <v/>
      </c>
      <c r="F82" s="3" t="str">
        <f t="shared" si="53"/>
        <v>TEX</v>
      </c>
      <c r="G82" s="3" t="str">
        <f t="shared" si="54"/>
        <v>TEX</v>
      </c>
      <c r="H82" s="3">
        <f t="shared" si="36"/>
        <v>8</v>
      </c>
      <c r="I82" s="3">
        <f t="shared" si="37"/>
        <v>1</v>
      </c>
      <c r="J82" s="2">
        <f t="shared" si="44"/>
        <v>359</v>
      </c>
      <c r="K82" s="2" t="e">
        <f>IF(W82="","",LOOKUP('Extraction edi'!J82,Paramètrage!$A$6:$A$179,Paramètrage!$B$6:$B$179))</f>
        <v>#N/A</v>
      </c>
      <c r="L82" s="2" t="e">
        <f>IF(W82="","",LOOKUP('Extraction edi'!J82,Paramètrage!$A$6:$A$179,Paramètrage!$C$6:$C$179))</f>
        <v>#N/A</v>
      </c>
      <c r="M82" s="2" t="e">
        <f>IF(W82="","",LOOKUP('Extraction edi'!J82,Paramètrage!$A$6:$A$179,Paramètrage!$D$6:$D$179))</f>
        <v>#N/A</v>
      </c>
      <c r="N82" s="3" t="e">
        <f>IF(W82="","",LOOKUP('Extraction edi'!J82,Paramètrage!$A$6:$A$179,Paramètrage!$E$6:$E$179))</f>
        <v>#N/A</v>
      </c>
      <c r="O82" s="3">
        <f t="shared" si="38"/>
        <v>767</v>
      </c>
      <c r="P82" s="3" t="str">
        <f t="shared" si="39"/>
        <v xml:space="preserve">  2195</v>
      </c>
      <c r="Q82" s="3" t="str">
        <f t="shared" si="56"/>
        <v/>
      </c>
      <c r="R82" s="3" t="e">
        <f t="shared" si="40"/>
        <v>#N/A</v>
      </c>
      <c r="S82" s="3" t="e">
        <f t="shared" si="41"/>
        <v>#N/A</v>
      </c>
      <c r="T82" s="4" t="b">
        <f t="shared" si="42"/>
        <v>0</v>
      </c>
      <c r="U82" s="5" t="str">
        <f t="shared" si="43"/>
        <v>2511935.X04</v>
      </c>
      <c r="V82" s="7" t="str">
        <f>IF(W82="","",IF(LOOKUP(W82,'Extration 3E date commande'!$A$6:$A$10000)=W82,LOOKUP(W82,'Extration 3E date commande'!$A$6:$A$10000,'Extration 3E date commande'!$C$6:$C$10000),"PAS DE DATE"))</f>
        <v>PAS DE DATE</v>
      </c>
      <c r="W82" t="s">
        <v>493</v>
      </c>
      <c r="X82">
        <v>8</v>
      </c>
      <c r="Y82" t="s">
        <v>412</v>
      </c>
      <c r="Z82">
        <v>1</v>
      </c>
      <c r="AA82">
        <v>767</v>
      </c>
      <c r="AB82" t="s">
        <v>497</v>
      </c>
      <c r="AC82" t="s">
        <v>493</v>
      </c>
    </row>
    <row r="83" spans="1:30" x14ac:dyDescent="0.25">
      <c r="A83" s="3" t="str">
        <f t="shared" si="34"/>
        <v>2511940</v>
      </c>
      <c r="B83" s="3" t="str">
        <f t="shared" si="35"/>
        <v>X00</v>
      </c>
      <c r="C83" s="3" t="str">
        <f t="shared" si="55"/>
        <v/>
      </c>
      <c r="D83" s="3" t="str">
        <f t="shared" si="51"/>
        <v/>
      </c>
      <c r="E83" s="3" t="str">
        <f t="shared" si="52"/>
        <v/>
      </c>
      <c r="F83" s="3" t="str">
        <f t="shared" si="53"/>
        <v>TEX</v>
      </c>
      <c r="G83" s="3" t="str">
        <f t="shared" si="54"/>
        <v>TEX</v>
      </c>
      <c r="H83" s="3">
        <f t="shared" si="36"/>
        <v>1</v>
      </c>
      <c r="I83" s="3">
        <f t="shared" si="37"/>
        <v>1</v>
      </c>
      <c r="J83" s="2" t="str">
        <f t="shared" si="44"/>
        <v>soubassement CHENE DORE MOULURE 28 1 FACE</v>
      </c>
      <c r="K83" s="2" t="str">
        <f>IF(W83="","",LOOKUP('Extraction edi'!J83,Paramètrage!$A$6:$A$179,Paramètrage!$B$6:$B$179))</f>
        <v>Type 1 / modèle 451</v>
      </c>
      <c r="L83" s="2" t="str">
        <f>IF(W83="","",LOOKUP('Extraction edi'!J83,Paramètrage!$A$6:$A$179,Paramètrage!$C$6:$C$179))</f>
        <v>Plaxé chêne doré / 2178 001-167</v>
      </c>
      <c r="M83" s="2" t="str">
        <f>IF(W83="","",LOOKUP('Extraction edi'!J83,Paramètrage!$A$6:$A$179,Paramètrage!$D$6:$D$179))</f>
        <v>PVC blanc</v>
      </c>
      <c r="N83" s="3">
        <f>IF(W83="","",LOOKUP('Extraction edi'!J83,Paramètrage!$A$6:$A$179,Paramètrage!$E$6:$E$179))</f>
        <v>28</v>
      </c>
      <c r="O83" s="3">
        <f t="shared" si="38"/>
        <v>784</v>
      </c>
      <c r="P83" s="3" t="str">
        <f t="shared" si="39"/>
        <v xml:space="preserve">  181</v>
      </c>
      <c r="Q83" s="3" t="str">
        <f t="shared" si="56"/>
        <v/>
      </c>
      <c r="R83" s="3" t="str">
        <f t="shared" si="40"/>
        <v/>
      </c>
      <c r="S83" s="3" t="str">
        <f t="shared" si="41"/>
        <v/>
      </c>
      <c r="T83" s="4" t="str">
        <f t="shared" si="42"/>
        <v>soubassement CHENE DORE MOULURE 28 1 FACE</v>
      </c>
      <c r="U83" s="5" t="str">
        <f t="shared" si="43"/>
        <v xml:space="preserve">  181</v>
      </c>
      <c r="V83" s="7" t="str">
        <f>IF(W83="","",IF(LOOKUP(W83,'Extration 3E date commande'!$A$6:$A$10000)=W83,LOOKUP(W83,'Extration 3E date commande'!$A$6:$A$10000,'Extration 3E date commande'!$C$6:$C$10000),"PAS DE DATE"))</f>
        <v>PAS DE DATE</v>
      </c>
      <c r="W83" t="s">
        <v>498</v>
      </c>
      <c r="X83">
        <v>1</v>
      </c>
      <c r="Y83" t="s">
        <v>412</v>
      </c>
      <c r="Z83">
        <v>1</v>
      </c>
      <c r="AA83" t="s">
        <v>86</v>
      </c>
      <c r="AB83">
        <v>784</v>
      </c>
      <c r="AC83" t="s">
        <v>499</v>
      </c>
      <c r="AD83" t="s">
        <v>498</v>
      </c>
    </row>
    <row r="84" spans="1:30" x14ac:dyDescent="0.25">
      <c r="A84" s="3" t="str">
        <f t="shared" si="34"/>
        <v>2511940</v>
      </c>
      <c r="B84" s="3" t="str">
        <f t="shared" si="35"/>
        <v>X00</v>
      </c>
      <c r="C84" s="3" t="str">
        <f t="shared" si="55"/>
        <v/>
      </c>
      <c r="D84" s="3" t="str">
        <f t="shared" si="51"/>
        <v/>
      </c>
      <c r="E84" s="3" t="str">
        <f t="shared" si="52"/>
        <v/>
      </c>
      <c r="F84" s="3" t="str">
        <f t="shared" si="53"/>
        <v>TEX</v>
      </c>
      <c r="G84" s="3" t="str">
        <f t="shared" si="54"/>
        <v>TEX</v>
      </c>
      <c r="H84" s="3">
        <f t="shared" si="36"/>
        <v>1</v>
      </c>
      <c r="I84" s="3">
        <f t="shared" si="37"/>
        <v>1</v>
      </c>
      <c r="J84" s="2" t="str">
        <f t="shared" si="44"/>
        <v>soubassement CHENE DORE MOULURE 28 1 FACE</v>
      </c>
      <c r="K84" s="2" t="str">
        <f>IF(W84="","",LOOKUP('Extraction edi'!J84,Paramètrage!$A$6:$A$179,Paramètrage!$B$6:$B$179))</f>
        <v>Type 1 / modèle 451</v>
      </c>
      <c r="L84" s="2" t="str">
        <f>IF(W84="","",LOOKUP('Extraction edi'!J84,Paramètrage!$A$6:$A$179,Paramètrage!$C$6:$C$179))</f>
        <v>Plaxé chêne doré / 2178 001-167</v>
      </c>
      <c r="M84" s="2" t="str">
        <f>IF(W84="","",LOOKUP('Extraction edi'!J84,Paramètrage!$A$6:$A$179,Paramètrage!$D$6:$D$179))</f>
        <v>PVC blanc</v>
      </c>
      <c r="N84" s="3">
        <f>IF(W84="","",LOOKUP('Extraction edi'!J84,Paramètrage!$A$6:$A$179,Paramètrage!$E$6:$E$179))</f>
        <v>28</v>
      </c>
      <c r="O84" s="3">
        <f t="shared" si="38"/>
        <v>1362</v>
      </c>
      <c r="P84" s="3" t="str">
        <f t="shared" si="39"/>
        <v xml:space="preserve">  250</v>
      </c>
      <c r="Q84" s="3" t="str">
        <f t="shared" si="56"/>
        <v/>
      </c>
      <c r="R84" s="3" t="str">
        <f t="shared" si="40"/>
        <v/>
      </c>
      <c r="S84" s="3" t="str">
        <f t="shared" si="41"/>
        <v/>
      </c>
      <c r="T84" s="4" t="b">
        <f t="shared" si="42"/>
        <v>0</v>
      </c>
      <c r="U84" s="5" t="str">
        <f t="shared" si="43"/>
        <v>2511940.X00</v>
      </c>
      <c r="V84" s="7" t="str">
        <f>IF(W84="","",IF(LOOKUP(W84,'Extration 3E date commande'!$A$6:$A$10000)=W84,LOOKUP(W84,'Extration 3E date commande'!$A$6:$A$10000,'Extration 3E date commande'!$C$6:$C$10000),"PAS DE DATE"))</f>
        <v>PAS DE DATE</v>
      </c>
      <c r="W84" t="s">
        <v>498</v>
      </c>
      <c r="X84">
        <v>1</v>
      </c>
      <c r="Y84" t="s">
        <v>412</v>
      </c>
      <c r="Z84">
        <v>1</v>
      </c>
      <c r="AA84">
        <v>1362</v>
      </c>
      <c r="AB84" t="s">
        <v>500</v>
      </c>
      <c r="AC84" t="s">
        <v>498</v>
      </c>
    </row>
    <row r="85" spans="1:30" x14ac:dyDescent="0.25">
      <c r="A85" s="3" t="str">
        <f t="shared" si="34"/>
        <v>2511942</v>
      </c>
      <c r="B85" s="3" t="str">
        <f t="shared" si="35"/>
        <v>X00</v>
      </c>
      <c r="C85" s="3" t="str">
        <f t="shared" si="55"/>
        <v/>
      </c>
      <c r="D85" s="3" t="str">
        <f t="shared" si="51"/>
        <v/>
      </c>
      <c r="E85" s="3" t="str">
        <f t="shared" si="52"/>
        <v/>
      </c>
      <c r="F85" s="3" t="str">
        <f t="shared" si="53"/>
        <v>TEX</v>
      </c>
      <c r="G85" s="3" t="str">
        <f t="shared" si="54"/>
        <v>TEX</v>
      </c>
      <c r="H85" s="3">
        <f t="shared" si="36"/>
        <v>3</v>
      </c>
      <c r="I85" s="3">
        <f t="shared" si="37"/>
        <v>1</v>
      </c>
      <c r="J85" s="2" t="str">
        <f t="shared" si="44"/>
        <v>soubassement MOULURE CHENE NAT 2 FACES 28 MM</v>
      </c>
      <c r="K85" s="2" t="str">
        <f>IF(W85="","",LOOKUP('Extraction edi'!J85,Paramètrage!$A$6:$A$179,Paramètrage!$B$6:$B$179))</f>
        <v>Type 1 / modèle 451</v>
      </c>
      <c r="L85" s="2" t="str">
        <f>IF(W85="","",LOOKUP('Extraction edi'!J85,Paramètrage!$A$6:$A$179,Paramètrage!$C$6:$C$179))</f>
        <v>Plaxé tuner oak / F4703001</v>
      </c>
      <c r="M85" s="2" t="str">
        <f>IF(W85="","",LOOKUP('Extraction edi'!J85,Paramètrage!$A$6:$A$179,Paramètrage!$D$6:$D$179))</f>
        <v>Plaxé tuner oak / F4703001</v>
      </c>
      <c r="N85" s="3">
        <f>IF(W85="","",LOOKUP('Extraction edi'!J85,Paramètrage!$A$6:$A$179,Paramètrage!$E$6:$E$179))</f>
        <v>28</v>
      </c>
      <c r="O85" s="3">
        <f t="shared" si="38"/>
        <v>716</v>
      </c>
      <c r="P85" s="3" t="str">
        <f t="shared" si="39"/>
        <v xml:space="preserve">  281</v>
      </c>
      <c r="Q85" s="3" t="str">
        <f t="shared" si="56"/>
        <v/>
      </c>
      <c r="R85" s="3" t="str">
        <f t="shared" si="40"/>
        <v/>
      </c>
      <c r="S85" s="3" t="str">
        <f t="shared" si="41"/>
        <v/>
      </c>
      <c r="T85" s="4" t="str">
        <f t="shared" si="42"/>
        <v>soubassement MOULURE CHENE NAT 2 FACES 28 MM</v>
      </c>
      <c r="U85" s="5" t="str">
        <f t="shared" si="43"/>
        <v xml:space="preserve">  281</v>
      </c>
      <c r="V85" s="7" t="str">
        <f>IF(W85="","",IF(LOOKUP(W85,'Extration 3E date commande'!$A$6:$A$10000)=W85,LOOKUP(W85,'Extration 3E date commande'!$A$6:$A$10000,'Extration 3E date commande'!$C$6:$C$10000),"PAS DE DATE"))</f>
        <v>PAS DE DATE</v>
      </c>
      <c r="W85" t="s">
        <v>501</v>
      </c>
      <c r="X85">
        <v>3</v>
      </c>
      <c r="Y85" t="s">
        <v>412</v>
      </c>
      <c r="Z85">
        <v>1</v>
      </c>
      <c r="AA85" t="s">
        <v>333</v>
      </c>
      <c r="AB85">
        <v>716</v>
      </c>
      <c r="AC85" t="s">
        <v>488</v>
      </c>
      <c r="AD85" t="s">
        <v>501</v>
      </c>
    </row>
    <row r="86" spans="1:30" x14ac:dyDescent="0.25">
      <c r="A86" s="3" t="str">
        <f t="shared" ref="A86:A149" si="57">IF(W86="","",LEFT(W86,7))</f>
        <v>2511942</v>
      </c>
      <c r="B86" s="3" t="str">
        <f t="shared" ref="B86:B149" si="58">IF(W86="","",RIGHT(W86,3))</f>
        <v>X00</v>
      </c>
      <c r="C86" s="3" t="str">
        <f t="shared" si="55"/>
        <v/>
      </c>
      <c r="D86" s="3" t="str">
        <f t="shared" si="51"/>
        <v/>
      </c>
      <c r="E86" s="3" t="str">
        <f t="shared" si="52"/>
        <v/>
      </c>
      <c r="F86" s="3" t="str">
        <f t="shared" si="53"/>
        <v>TEX</v>
      </c>
      <c r="G86" s="3" t="str">
        <f t="shared" si="54"/>
        <v>TEX</v>
      </c>
      <c r="H86" s="3">
        <f t="shared" ref="H86:H149" si="59">IF(W86="","",X86)</f>
        <v>3</v>
      </c>
      <c r="I86" s="3">
        <f t="shared" ref="I86:I149" si="60">IF(W86="","",Z86)</f>
        <v>1</v>
      </c>
      <c r="J86" s="2" t="str">
        <f t="shared" ref="J86:J149" si="61">IF(W86="","",IF(AND(T86=FALSE,T85=FALSE,T84=FALSE,T83=FALSE,T82=FALSE),AA81,IF(AND(T86=FALSE,T85=FALSE,T84=FALSE,T83=FALSE),AA82,IF(AND(T86=FALSE,T85=FALSE,T84=FALSE),AA83,IF(AND(T86=FALSE,T85=FALSE),AA84,IF(T86=FALSE,AA85,AA86))))))</f>
        <v>soubassement MOULURE CHENE NAT 2 FACES 28 MM</v>
      </c>
      <c r="K86" s="2" t="str">
        <f>IF(W86="","",LOOKUP('Extraction edi'!J86,Paramètrage!$A$6:$A$179,Paramètrage!$B$6:$B$179))</f>
        <v>Type 1 / modèle 451</v>
      </c>
      <c r="L86" s="2" t="str">
        <f>IF(W86="","",LOOKUP('Extraction edi'!J86,Paramètrage!$A$6:$A$179,Paramètrage!$C$6:$C$179))</f>
        <v>Plaxé tuner oak / F4703001</v>
      </c>
      <c r="M86" s="2" t="str">
        <f>IF(W86="","",LOOKUP('Extraction edi'!J86,Paramètrage!$A$6:$A$179,Paramètrage!$D$6:$D$179))</f>
        <v>Plaxé tuner oak / F4703001</v>
      </c>
      <c r="N86" s="3">
        <f>IF(W86="","",LOOKUP('Extraction edi'!J86,Paramètrage!$A$6:$A$179,Paramètrage!$E$6:$E$179))</f>
        <v>28</v>
      </c>
      <c r="O86" s="3">
        <f t="shared" ref="O86:O149" si="62">IF(W86="","",IF(LEFT(AA86,4)="soub",AB86,IF(LEFT(AA86,3)="cim",AB86,AA86)))</f>
        <v>373</v>
      </c>
      <c r="P86" s="3" t="str">
        <f t="shared" ref="P86:P149" si="63">IF(LEFT(U86,1)="N",SUBSTITUTE(AB86,"*",""),IF(LEFT(U86,1)="S",SUBSTITUTE(AB86,"*",""),IF(LEFT(U86,1)="G",SUBSTITUTE(AB86,"*",""),IF(LEN(U86)=11,SUBSTITUTE(AB86,"*",""),U86))))</f>
        <v xml:space="preserve">  281</v>
      </c>
      <c r="Q86" s="3" t="str">
        <f t="shared" si="56"/>
        <v/>
      </c>
      <c r="R86" s="3" t="str">
        <f t="shared" ref="R86:R149" si="64">IF(W86="","",IF(RIGHT(L86,7)="RAL9001",L86,IF(LEFT(AE86,1)="N",AE86,IF(LEFT(AE86,1)="S",AE86,IF(LEFT(AE86,1)="G",AE86,"")))))</f>
        <v/>
      </c>
      <c r="S86" s="3" t="str">
        <f t="shared" ref="S86:S149" si="65">IF(W86="","",IF(RIGHT(M86,7)="RAL9001",M86,IF(LEFT(AC86,1)="N",AC86,IF(LEFT(AC86,1)="S",AC86,IF(LEFT(AC86,1)="G",AC86,IF(LEFT(AD86,1)="N",AD86,IF(LEFT(AD86,1)="S",AD86,IF(LEFT(AD86,1)="G",AD86,""))))))))</f>
        <v/>
      </c>
      <c r="T86" s="4" t="b">
        <f t="shared" ref="T86:T149" si="66">IF(W86="","",IF(LEFT(AA86,4)&lt;&gt;"soub",IF(LEFT(AA86,3)&lt;&gt;"cim"=FALSE,AA86),AA86))</f>
        <v>0</v>
      </c>
      <c r="U86" s="5" t="str">
        <f t="shared" ref="U86:U149" si="67">SUBSTITUTE(AC86,"*","")</f>
        <v>2511942.X00</v>
      </c>
      <c r="V86" s="7" t="str">
        <f>IF(W86="","",IF(LOOKUP(W86,'Extration 3E date commande'!$A$6:$A$10000)=W86,LOOKUP(W86,'Extration 3E date commande'!$A$6:$A$10000,'Extration 3E date commande'!$C$6:$C$10000),"PAS DE DATE"))</f>
        <v>PAS DE DATE</v>
      </c>
      <c r="W86" t="s">
        <v>501</v>
      </c>
      <c r="X86">
        <v>3</v>
      </c>
      <c r="Y86" t="s">
        <v>412</v>
      </c>
      <c r="Z86">
        <v>1</v>
      </c>
      <c r="AA86">
        <v>373</v>
      </c>
      <c r="AB86" t="s">
        <v>488</v>
      </c>
      <c r="AC86" t="s">
        <v>501</v>
      </c>
    </row>
    <row r="87" spans="1:30" x14ac:dyDescent="0.25">
      <c r="A87" s="3" t="str">
        <f t="shared" si="57"/>
        <v>2511977</v>
      </c>
      <c r="B87" s="3" t="str">
        <f t="shared" si="58"/>
        <v>000</v>
      </c>
      <c r="C87" s="3" t="str">
        <f t="shared" si="55"/>
        <v/>
      </c>
      <c r="D87" s="3" t="str">
        <f t="shared" si="51"/>
        <v/>
      </c>
      <c r="E87" s="3" t="str">
        <f t="shared" si="52"/>
        <v/>
      </c>
      <c r="F87" s="3" t="str">
        <f t="shared" si="53"/>
        <v/>
      </c>
      <c r="G87" s="3" t="str">
        <f t="shared" si="54"/>
        <v>STD</v>
      </c>
      <c r="H87" s="3">
        <f t="shared" si="59"/>
        <v>1</v>
      </c>
      <c r="I87" s="3">
        <f t="shared" si="60"/>
        <v>1</v>
      </c>
      <c r="J87" s="2" t="str">
        <f t="shared" si="61"/>
        <v>soubassement mouluré blanc 28MM</v>
      </c>
      <c r="K87" s="2" t="str">
        <f>IF(W87="","",LOOKUP('Extraction edi'!J87,Paramètrage!$A$6:$A$179,Paramètrage!$B$6:$B$179))</f>
        <v>Type 1 / modèle 451</v>
      </c>
      <c r="L87" s="2" t="str">
        <f>IF(W87="","",LOOKUP('Extraction edi'!J87,Paramètrage!$A$6:$A$179,Paramètrage!$C$6:$C$179))</f>
        <v>PVC blanc</v>
      </c>
      <c r="M87" s="2" t="str">
        <f>IF(W87="","",LOOKUP('Extraction edi'!J87,Paramètrage!$A$6:$A$179,Paramètrage!$D$6:$D$179))</f>
        <v>PVC blanc</v>
      </c>
      <c r="N87" s="3">
        <f>IF(W87="","",LOOKUP('Extraction edi'!J87,Paramètrage!$A$6:$A$179,Paramètrage!$E$6:$E$179))</f>
        <v>28</v>
      </c>
      <c r="O87" s="3">
        <f t="shared" si="62"/>
        <v>424</v>
      </c>
      <c r="P87" s="3" t="str">
        <f t="shared" si="63"/>
        <v xml:space="preserve">  270</v>
      </c>
      <c r="Q87" s="3" t="str">
        <f t="shared" si="56"/>
        <v/>
      </c>
      <c r="R87" s="3" t="str">
        <f t="shared" si="64"/>
        <v/>
      </c>
      <c r="S87" s="3" t="str">
        <f t="shared" si="65"/>
        <v/>
      </c>
      <c r="T87" s="4" t="str">
        <f t="shared" si="66"/>
        <v>soubassement mouluré blanc 28MM</v>
      </c>
      <c r="U87" s="5" t="str">
        <f t="shared" si="67"/>
        <v xml:space="preserve">  270</v>
      </c>
      <c r="V87" s="7" t="str">
        <f>IF(W87="","",IF(LOOKUP(W87,'Extration 3E date commande'!$A$6:$A$10000)=W87,LOOKUP(W87,'Extration 3E date commande'!$A$6:$A$10000,'Extration 3E date commande'!$C$6:$C$10000),"PAS DE DATE"))</f>
        <v>PAS DE DATE</v>
      </c>
      <c r="W87" t="s">
        <v>502</v>
      </c>
      <c r="X87">
        <v>1</v>
      </c>
      <c r="Y87" t="s">
        <v>412</v>
      </c>
      <c r="Z87">
        <v>1</v>
      </c>
      <c r="AA87" t="s">
        <v>1</v>
      </c>
      <c r="AB87">
        <v>424</v>
      </c>
      <c r="AC87" t="s">
        <v>503</v>
      </c>
      <c r="AD87" t="s">
        <v>502</v>
      </c>
    </row>
    <row r="88" spans="1:30" x14ac:dyDescent="0.25">
      <c r="A88" s="3" t="str">
        <f t="shared" si="57"/>
        <v>2511977</v>
      </c>
      <c r="B88" s="3" t="str">
        <f t="shared" si="58"/>
        <v>000</v>
      </c>
      <c r="C88" s="3" t="str">
        <f t="shared" si="55"/>
        <v/>
      </c>
      <c r="D88" s="3" t="str">
        <f t="shared" si="51"/>
        <v/>
      </c>
      <c r="E88" s="3" t="str">
        <f t="shared" si="52"/>
        <v/>
      </c>
      <c r="F88" s="3" t="str">
        <f t="shared" si="53"/>
        <v/>
      </c>
      <c r="G88" s="3" t="str">
        <f t="shared" si="54"/>
        <v>STD</v>
      </c>
      <c r="H88" s="3">
        <f t="shared" si="59"/>
        <v>1</v>
      </c>
      <c r="I88" s="3">
        <f t="shared" si="60"/>
        <v>1</v>
      </c>
      <c r="J88" s="2" t="str">
        <f t="shared" si="61"/>
        <v>soubassement mouluré blanc 28MM</v>
      </c>
      <c r="K88" s="2" t="str">
        <f>IF(W88="","",LOOKUP('Extraction edi'!J88,Paramètrage!$A$6:$A$179,Paramètrage!$B$6:$B$179))</f>
        <v>Type 1 / modèle 451</v>
      </c>
      <c r="L88" s="2" t="str">
        <f>IF(W88="","",LOOKUP('Extraction edi'!J88,Paramètrage!$A$6:$A$179,Paramètrage!$C$6:$C$179))</f>
        <v>PVC blanc</v>
      </c>
      <c r="M88" s="2" t="str">
        <f>IF(W88="","",LOOKUP('Extraction edi'!J88,Paramètrage!$A$6:$A$179,Paramètrage!$D$6:$D$179))</f>
        <v>PVC blanc</v>
      </c>
      <c r="N88" s="3">
        <f>IF(W88="","",LOOKUP('Extraction edi'!J88,Paramètrage!$A$6:$A$179,Paramètrage!$E$6:$E$179))</f>
        <v>28</v>
      </c>
      <c r="O88" s="3">
        <f t="shared" si="62"/>
        <v>424</v>
      </c>
      <c r="P88" s="3" t="str">
        <f t="shared" si="63"/>
        <v xml:space="preserve">  270</v>
      </c>
      <c r="Q88" s="3" t="str">
        <f t="shared" si="56"/>
        <v/>
      </c>
      <c r="R88" s="3" t="str">
        <f t="shared" si="64"/>
        <v/>
      </c>
      <c r="S88" s="3" t="str">
        <f t="shared" si="65"/>
        <v/>
      </c>
      <c r="T88" s="4" t="b">
        <f t="shared" si="66"/>
        <v>0</v>
      </c>
      <c r="U88" s="5" t="str">
        <f t="shared" si="67"/>
        <v>2511977.000</v>
      </c>
      <c r="V88" s="7" t="str">
        <f>IF(W88="","",IF(LOOKUP(W88,'Extration 3E date commande'!$A$6:$A$10000)=W88,LOOKUP(W88,'Extration 3E date commande'!$A$6:$A$10000,'Extration 3E date commande'!$C$6:$C$10000),"PAS DE DATE"))</f>
        <v>PAS DE DATE</v>
      </c>
      <c r="W88" t="s">
        <v>502</v>
      </c>
      <c r="X88">
        <v>1</v>
      </c>
      <c r="Y88" t="s">
        <v>412</v>
      </c>
      <c r="Z88">
        <v>1</v>
      </c>
      <c r="AA88">
        <v>424</v>
      </c>
      <c r="AB88" t="s">
        <v>503</v>
      </c>
      <c r="AC88" t="s">
        <v>502</v>
      </c>
    </row>
    <row r="89" spans="1:30" x14ac:dyDescent="0.25">
      <c r="A89" s="3" t="str">
        <f t="shared" si="57"/>
        <v>2512019</v>
      </c>
      <c r="B89" s="3" t="str">
        <f t="shared" si="58"/>
        <v>004</v>
      </c>
      <c r="C89" s="3" t="str">
        <f t="shared" si="55"/>
        <v/>
      </c>
      <c r="D89" s="3" t="str">
        <f t="shared" si="51"/>
        <v/>
      </c>
      <c r="E89" s="3" t="str">
        <f t="shared" si="52"/>
        <v/>
      </c>
      <c r="F89" s="3" t="str">
        <f t="shared" si="53"/>
        <v/>
      </c>
      <c r="G89" s="3" t="str">
        <f t="shared" si="54"/>
        <v>STD</v>
      </c>
      <c r="H89" s="3">
        <f t="shared" si="59"/>
        <v>5</v>
      </c>
      <c r="I89" s="3">
        <f t="shared" si="60"/>
        <v>1</v>
      </c>
      <c r="J89" s="2" t="str">
        <f t="shared" si="61"/>
        <v>soubassement mouluré blanc 28MM</v>
      </c>
      <c r="K89" s="2" t="str">
        <f>IF(W89="","",LOOKUP('Extraction edi'!J89,Paramètrage!$A$6:$A$179,Paramètrage!$B$6:$B$179))</f>
        <v>Type 1 / modèle 451</v>
      </c>
      <c r="L89" s="2" t="str">
        <f>IF(W89="","",LOOKUP('Extraction edi'!J89,Paramètrage!$A$6:$A$179,Paramètrage!$C$6:$C$179))</f>
        <v>PVC blanc</v>
      </c>
      <c r="M89" s="2" t="str">
        <f>IF(W89="","",LOOKUP('Extraction edi'!J89,Paramètrage!$A$6:$A$179,Paramètrage!$D$6:$D$179))</f>
        <v>PVC blanc</v>
      </c>
      <c r="N89" s="3">
        <f>IF(W89="","",LOOKUP('Extraction edi'!J89,Paramètrage!$A$6:$A$179,Paramètrage!$E$6:$E$179))</f>
        <v>28</v>
      </c>
      <c r="O89" s="3">
        <f t="shared" si="62"/>
        <v>504</v>
      </c>
      <c r="P89" s="3" t="str">
        <f t="shared" si="63"/>
        <v xml:space="preserve">  611</v>
      </c>
      <c r="Q89" s="3" t="str">
        <f t="shared" si="56"/>
        <v/>
      </c>
      <c r="R89" s="3" t="str">
        <f t="shared" si="64"/>
        <v/>
      </c>
      <c r="S89" s="3" t="str">
        <f t="shared" si="65"/>
        <v/>
      </c>
      <c r="T89" s="4" t="str">
        <f t="shared" si="66"/>
        <v>soubassement mouluré blanc 28MM</v>
      </c>
      <c r="U89" s="5" t="str">
        <f t="shared" si="67"/>
        <v xml:space="preserve">  611</v>
      </c>
      <c r="V89" s="7" t="str">
        <f>IF(W89="","",IF(LOOKUP(W89,'Extration 3E date commande'!$A$6:$A$10000)=W89,LOOKUP(W89,'Extration 3E date commande'!$A$6:$A$10000,'Extration 3E date commande'!$C$6:$C$10000),"PAS DE DATE"))</f>
        <v>PAS DE DATE</v>
      </c>
      <c r="W89" t="s">
        <v>504</v>
      </c>
      <c r="X89">
        <v>5</v>
      </c>
      <c r="Y89" t="s">
        <v>412</v>
      </c>
      <c r="Z89">
        <v>1</v>
      </c>
      <c r="AA89" t="s">
        <v>1</v>
      </c>
      <c r="AB89">
        <v>504</v>
      </c>
      <c r="AC89" t="s">
        <v>505</v>
      </c>
      <c r="AD89" t="s">
        <v>504</v>
      </c>
    </row>
    <row r="90" spans="1:30" x14ac:dyDescent="0.25">
      <c r="A90" s="3" t="str">
        <f t="shared" si="57"/>
        <v>2512019</v>
      </c>
      <c r="B90" s="3" t="str">
        <f t="shared" si="58"/>
        <v>004</v>
      </c>
      <c r="C90" s="3" t="str">
        <f t="shared" si="55"/>
        <v/>
      </c>
      <c r="D90" s="3" t="str">
        <f t="shared" si="51"/>
        <v/>
      </c>
      <c r="E90" s="3" t="str">
        <f t="shared" si="52"/>
        <v/>
      </c>
      <c r="F90" s="3" t="str">
        <f t="shared" si="53"/>
        <v/>
      </c>
      <c r="G90" s="3" t="str">
        <f t="shared" si="54"/>
        <v>STD</v>
      </c>
      <c r="H90" s="3">
        <f t="shared" si="59"/>
        <v>5</v>
      </c>
      <c r="I90" s="3">
        <f t="shared" si="60"/>
        <v>1</v>
      </c>
      <c r="J90" s="2" t="str">
        <f t="shared" si="61"/>
        <v>soubassement mouluré blanc 28MM</v>
      </c>
      <c r="K90" s="2" t="str">
        <f>IF(W90="","",LOOKUP('Extraction edi'!J90,Paramètrage!$A$6:$A$179,Paramètrage!$B$6:$B$179))</f>
        <v>Type 1 / modèle 451</v>
      </c>
      <c r="L90" s="2" t="str">
        <f>IF(W90="","",LOOKUP('Extraction edi'!J90,Paramètrage!$A$6:$A$179,Paramètrage!$C$6:$C$179))</f>
        <v>PVC blanc</v>
      </c>
      <c r="M90" s="2" t="str">
        <f>IF(W90="","",LOOKUP('Extraction edi'!J90,Paramètrage!$A$6:$A$179,Paramètrage!$D$6:$D$179))</f>
        <v>PVC blanc</v>
      </c>
      <c r="N90" s="3">
        <f>IF(W90="","",LOOKUP('Extraction edi'!J90,Paramètrage!$A$6:$A$179,Paramètrage!$E$6:$E$179))</f>
        <v>28</v>
      </c>
      <c r="O90" s="3">
        <f t="shared" si="62"/>
        <v>504</v>
      </c>
      <c r="P90" s="3" t="str">
        <f t="shared" si="63"/>
        <v xml:space="preserve">  611</v>
      </c>
      <c r="Q90" s="3" t="str">
        <f t="shared" si="56"/>
        <v/>
      </c>
      <c r="R90" s="3" t="str">
        <f t="shared" si="64"/>
        <v/>
      </c>
      <c r="S90" s="3" t="str">
        <f t="shared" si="65"/>
        <v/>
      </c>
      <c r="T90" s="4" t="b">
        <f t="shared" si="66"/>
        <v>0</v>
      </c>
      <c r="U90" s="5" t="str">
        <f t="shared" si="67"/>
        <v>2512019.004</v>
      </c>
      <c r="V90" s="7" t="str">
        <f>IF(W90="","",IF(LOOKUP(W90,'Extration 3E date commande'!$A$6:$A$10000)=W90,LOOKUP(W90,'Extration 3E date commande'!$A$6:$A$10000,'Extration 3E date commande'!$C$6:$C$10000),"PAS DE DATE"))</f>
        <v>PAS DE DATE</v>
      </c>
      <c r="W90" t="s">
        <v>504</v>
      </c>
      <c r="X90">
        <v>5</v>
      </c>
      <c r="Y90" t="s">
        <v>412</v>
      </c>
      <c r="Z90">
        <v>1</v>
      </c>
      <c r="AA90">
        <v>504</v>
      </c>
      <c r="AB90" t="s">
        <v>505</v>
      </c>
      <c r="AC90" t="s">
        <v>504</v>
      </c>
    </row>
    <row r="91" spans="1:30" x14ac:dyDescent="0.25">
      <c r="A91" s="3" t="str">
        <f t="shared" si="57"/>
        <v/>
      </c>
      <c r="B91" s="3" t="str">
        <f t="shared" si="58"/>
        <v/>
      </c>
      <c r="C91" s="3" t="str">
        <f t="shared" si="55"/>
        <v/>
      </c>
      <c r="D91" s="3" t="str">
        <f t="shared" si="51"/>
        <v/>
      </c>
      <c r="E91" s="3" t="str">
        <f t="shared" si="52"/>
        <v/>
      </c>
      <c r="F91" s="3" t="str">
        <f t="shared" si="53"/>
        <v/>
      </c>
      <c r="G91" s="3" t="str">
        <f t="shared" si="54"/>
        <v/>
      </c>
      <c r="H91" s="3" t="str">
        <f t="shared" si="59"/>
        <v/>
      </c>
      <c r="I91" s="3" t="str">
        <f t="shared" si="60"/>
        <v/>
      </c>
      <c r="J91" s="2" t="str">
        <f t="shared" si="61"/>
        <v/>
      </c>
      <c r="K91" s="2" t="str">
        <f>IF(W91="","",LOOKUP('Extraction edi'!J91,Paramètrage!$A$6:$A$179,Paramètrage!$B$6:$B$179))</f>
        <v/>
      </c>
      <c r="L91" s="2" t="str">
        <f>IF(W91="","",LOOKUP('Extraction edi'!J91,Paramètrage!$A$6:$A$179,Paramètrage!$C$6:$C$179))</f>
        <v/>
      </c>
      <c r="M91" s="2" t="str">
        <f>IF(W91="","",LOOKUP('Extraction edi'!J91,Paramètrage!$A$6:$A$179,Paramètrage!$D$6:$D$179))</f>
        <v/>
      </c>
      <c r="N91" s="3" t="str">
        <f>IF(W91="","",LOOKUP('Extraction edi'!J91,Paramètrage!$A$6:$A$179,Paramètrage!$E$6:$E$179))</f>
        <v/>
      </c>
      <c r="O91" s="3" t="str">
        <f t="shared" si="62"/>
        <v/>
      </c>
      <c r="P91" s="3" t="str">
        <f t="shared" si="63"/>
        <v/>
      </c>
      <c r="Q91" s="3" t="str">
        <f t="shared" si="56"/>
        <v/>
      </c>
      <c r="R91" s="3" t="str">
        <f t="shared" si="64"/>
        <v/>
      </c>
      <c r="S91" s="3" t="str">
        <f t="shared" si="65"/>
        <v/>
      </c>
      <c r="T91" s="4" t="str">
        <f t="shared" si="66"/>
        <v/>
      </c>
      <c r="U91" s="5" t="str">
        <f t="shared" si="67"/>
        <v/>
      </c>
      <c r="V91" s="7" t="str">
        <f>IF(W91="","",IF(LOOKUP(W91,'Extration 3E date commande'!$A$6:$A$10000)=W91,LOOKUP(W91,'Extration 3E date commande'!$A$6:$A$10000,'Extration 3E date commande'!$C$6:$C$10000),"PAS DE DATE"))</f>
        <v/>
      </c>
    </row>
    <row r="92" spans="1:30" x14ac:dyDescent="0.25">
      <c r="A92" s="3" t="str">
        <f t="shared" si="57"/>
        <v/>
      </c>
      <c r="B92" s="3" t="str">
        <f t="shared" si="58"/>
        <v/>
      </c>
      <c r="C92" s="3" t="str">
        <f t="shared" si="55"/>
        <v/>
      </c>
      <c r="D92" s="3" t="str">
        <f t="shared" si="51"/>
        <v/>
      </c>
      <c r="E92" s="3" t="str">
        <f t="shared" si="52"/>
        <v/>
      </c>
      <c r="F92" s="3" t="str">
        <f t="shared" si="53"/>
        <v/>
      </c>
      <c r="G92" s="3" t="str">
        <f t="shared" si="54"/>
        <v/>
      </c>
      <c r="H92" s="3" t="str">
        <f t="shared" si="59"/>
        <v/>
      </c>
      <c r="I92" s="3" t="str">
        <f t="shared" si="60"/>
        <v/>
      </c>
      <c r="J92" s="2" t="str">
        <f t="shared" si="61"/>
        <v/>
      </c>
      <c r="K92" s="2" t="str">
        <f>IF(W92="","",LOOKUP('Extraction edi'!J92,Paramètrage!$A$6:$A$179,Paramètrage!$B$6:$B$179))</f>
        <v/>
      </c>
      <c r="L92" s="2" t="str">
        <f>IF(W92="","",LOOKUP('Extraction edi'!J92,Paramètrage!$A$6:$A$179,Paramètrage!$C$6:$C$179))</f>
        <v/>
      </c>
      <c r="M92" s="2" t="str">
        <f>IF(W92="","",LOOKUP('Extraction edi'!J92,Paramètrage!$A$6:$A$179,Paramètrage!$D$6:$D$179))</f>
        <v/>
      </c>
      <c r="N92" s="3" t="str">
        <f>IF(W92="","",LOOKUP('Extraction edi'!J92,Paramètrage!$A$6:$A$179,Paramètrage!$E$6:$E$179))</f>
        <v/>
      </c>
      <c r="O92" s="3" t="str">
        <f t="shared" si="62"/>
        <v/>
      </c>
      <c r="P92" s="3" t="str">
        <f t="shared" si="63"/>
        <v/>
      </c>
      <c r="Q92" s="3" t="str">
        <f t="shared" si="56"/>
        <v/>
      </c>
      <c r="R92" s="3" t="str">
        <f t="shared" si="64"/>
        <v/>
      </c>
      <c r="S92" s="3" t="str">
        <f t="shared" si="65"/>
        <v/>
      </c>
      <c r="T92" s="4" t="str">
        <f t="shared" si="66"/>
        <v/>
      </c>
      <c r="U92" s="5" t="str">
        <f t="shared" si="67"/>
        <v/>
      </c>
      <c r="V92" s="7" t="str">
        <f>IF(W92="","",IF(LOOKUP(W92,'Extration 3E date commande'!$A$6:$A$10000)=W92,LOOKUP(W92,'Extration 3E date commande'!$A$6:$A$10000,'Extration 3E date commande'!$C$6:$C$10000),"PAS DE DATE"))</f>
        <v/>
      </c>
    </row>
    <row r="93" spans="1:30" x14ac:dyDescent="0.25">
      <c r="A93" s="3" t="str">
        <f t="shared" si="57"/>
        <v/>
      </c>
      <c r="B93" s="3" t="str">
        <f t="shared" si="58"/>
        <v/>
      </c>
      <c r="C93" s="3" t="str">
        <f t="shared" si="55"/>
        <v/>
      </c>
      <c r="D93" s="3" t="str">
        <f t="shared" si="51"/>
        <v/>
      </c>
      <c r="E93" s="3" t="str">
        <f t="shared" si="52"/>
        <v/>
      </c>
      <c r="F93" s="3" t="str">
        <f t="shared" si="53"/>
        <v/>
      </c>
      <c r="G93" s="3" t="str">
        <f t="shared" si="54"/>
        <v/>
      </c>
      <c r="H93" s="3" t="str">
        <f t="shared" si="59"/>
        <v/>
      </c>
      <c r="I93" s="3" t="str">
        <f t="shared" si="60"/>
        <v/>
      </c>
      <c r="J93" s="2" t="str">
        <f t="shared" si="61"/>
        <v/>
      </c>
      <c r="K93" s="2" t="str">
        <f>IF(W93="","",LOOKUP('Extraction edi'!J93,Paramètrage!$A$6:$A$179,Paramètrage!$B$6:$B$179))</f>
        <v/>
      </c>
      <c r="L93" s="2" t="str">
        <f>IF(W93="","",LOOKUP('Extraction edi'!J93,Paramètrage!$A$6:$A$179,Paramètrage!$C$6:$C$179))</f>
        <v/>
      </c>
      <c r="M93" s="2" t="str">
        <f>IF(W93="","",LOOKUP('Extraction edi'!J93,Paramètrage!$A$6:$A$179,Paramètrage!$D$6:$D$179))</f>
        <v/>
      </c>
      <c r="N93" s="3" t="str">
        <f>IF(W93="","",LOOKUP('Extraction edi'!J93,Paramètrage!$A$6:$A$179,Paramètrage!$E$6:$E$179))</f>
        <v/>
      </c>
      <c r="O93" s="3" t="str">
        <f t="shared" si="62"/>
        <v/>
      </c>
      <c r="P93" s="3" t="str">
        <f t="shared" si="63"/>
        <v/>
      </c>
      <c r="Q93" s="3" t="str">
        <f t="shared" si="56"/>
        <v/>
      </c>
      <c r="R93" s="3" t="str">
        <f t="shared" si="64"/>
        <v/>
      </c>
      <c r="S93" s="3" t="str">
        <f t="shared" si="65"/>
        <v/>
      </c>
      <c r="T93" s="4" t="str">
        <f t="shared" si="66"/>
        <v/>
      </c>
      <c r="U93" s="5" t="str">
        <f t="shared" si="67"/>
        <v/>
      </c>
      <c r="V93" s="7" t="str">
        <f>IF(W93="","",IF(LOOKUP(W93,'Extration 3E date commande'!$A$6:$A$10000)=W93,LOOKUP(W93,'Extration 3E date commande'!$A$6:$A$10000,'Extration 3E date commande'!$C$6:$C$10000),"PAS DE DATE"))</f>
        <v/>
      </c>
    </row>
    <row r="94" spans="1:30" x14ac:dyDescent="0.25">
      <c r="A94" s="3" t="str">
        <f t="shared" si="57"/>
        <v/>
      </c>
      <c r="B94" s="3" t="str">
        <f t="shared" si="58"/>
        <v/>
      </c>
      <c r="C94" s="3" t="str">
        <f t="shared" si="55"/>
        <v/>
      </c>
      <c r="D94" s="3" t="str">
        <f t="shared" si="51"/>
        <v/>
      </c>
      <c r="E94" s="3" t="str">
        <f t="shared" si="52"/>
        <v/>
      </c>
      <c r="F94" s="3" t="str">
        <f t="shared" si="53"/>
        <v/>
      </c>
      <c r="G94" s="3" t="str">
        <f t="shared" si="54"/>
        <v/>
      </c>
      <c r="H94" s="3" t="str">
        <f t="shared" si="59"/>
        <v/>
      </c>
      <c r="I94" s="3" t="str">
        <f t="shared" si="60"/>
        <v/>
      </c>
      <c r="J94" s="2" t="str">
        <f t="shared" si="61"/>
        <v/>
      </c>
      <c r="K94" s="2" t="str">
        <f>IF(W94="","",LOOKUP('Extraction edi'!J94,Paramètrage!$A$6:$A$179,Paramètrage!$B$6:$B$179))</f>
        <v/>
      </c>
      <c r="L94" s="2" t="str">
        <f>IF(W94="","",LOOKUP('Extraction edi'!J94,Paramètrage!$A$6:$A$179,Paramètrage!$C$6:$C$179))</f>
        <v/>
      </c>
      <c r="M94" s="2" t="str">
        <f>IF(W94="","",LOOKUP('Extraction edi'!J94,Paramètrage!$A$6:$A$179,Paramètrage!$D$6:$D$179))</f>
        <v/>
      </c>
      <c r="N94" s="3" t="str">
        <f>IF(W94="","",LOOKUP('Extraction edi'!J94,Paramètrage!$A$6:$A$179,Paramètrage!$E$6:$E$179))</f>
        <v/>
      </c>
      <c r="O94" s="3" t="str">
        <f t="shared" si="62"/>
        <v/>
      </c>
      <c r="P94" s="3" t="str">
        <f t="shared" si="63"/>
        <v/>
      </c>
      <c r="Q94" s="3" t="str">
        <f t="shared" si="56"/>
        <v/>
      </c>
      <c r="R94" s="3" t="str">
        <f t="shared" si="64"/>
        <v/>
      </c>
      <c r="S94" s="3" t="str">
        <f t="shared" si="65"/>
        <v/>
      </c>
      <c r="T94" s="4" t="str">
        <f t="shared" si="66"/>
        <v/>
      </c>
      <c r="U94" s="5" t="str">
        <f t="shared" si="67"/>
        <v/>
      </c>
      <c r="V94" s="7" t="str">
        <f>IF(W94="","",IF(LOOKUP(W94,'Extration 3E date commande'!$A$6:$A$10000)=W94,LOOKUP(W94,'Extration 3E date commande'!$A$6:$A$10000,'Extration 3E date commande'!$C$6:$C$10000),"PAS DE DATE"))</f>
        <v/>
      </c>
    </row>
    <row r="95" spans="1:30" x14ac:dyDescent="0.25">
      <c r="A95" s="3" t="str">
        <f t="shared" si="57"/>
        <v/>
      </c>
      <c r="B95" s="3" t="str">
        <f t="shared" si="58"/>
        <v/>
      </c>
      <c r="C95" s="3" t="str">
        <f t="shared" si="55"/>
        <v/>
      </c>
      <c r="D95" s="3" t="str">
        <f t="shared" si="51"/>
        <v/>
      </c>
      <c r="E95" s="3" t="str">
        <f t="shared" si="52"/>
        <v/>
      </c>
      <c r="F95" s="3" t="str">
        <f t="shared" si="53"/>
        <v/>
      </c>
      <c r="G95" s="3" t="str">
        <f t="shared" si="54"/>
        <v/>
      </c>
      <c r="H95" s="3" t="str">
        <f t="shared" si="59"/>
        <v/>
      </c>
      <c r="I95" s="3" t="str">
        <f t="shared" si="60"/>
        <v/>
      </c>
      <c r="J95" s="2" t="str">
        <f t="shared" si="61"/>
        <v/>
      </c>
      <c r="K95" s="2" t="str">
        <f>IF(W95="","",LOOKUP('Extraction edi'!J95,Paramètrage!$A$6:$A$179,Paramètrage!$B$6:$B$179))</f>
        <v/>
      </c>
      <c r="L95" s="2" t="str">
        <f>IF(W95="","",LOOKUP('Extraction edi'!J95,Paramètrage!$A$6:$A$179,Paramètrage!$C$6:$C$179))</f>
        <v/>
      </c>
      <c r="M95" s="2" t="str">
        <f>IF(W95="","",LOOKUP('Extraction edi'!J95,Paramètrage!$A$6:$A$179,Paramètrage!$D$6:$D$179))</f>
        <v/>
      </c>
      <c r="N95" s="3" t="str">
        <f>IF(W95="","",LOOKUP('Extraction edi'!J95,Paramètrage!$A$6:$A$179,Paramètrage!$E$6:$E$179))</f>
        <v/>
      </c>
      <c r="O95" s="3" t="str">
        <f t="shared" si="62"/>
        <v/>
      </c>
      <c r="P95" s="3" t="str">
        <f t="shared" si="63"/>
        <v/>
      </c>
      <c r="Q95" s="3" t="str">
        <f t="shared" si="56"/>
        <v/>
      </c>
      <c r="R95" s="3" t="str">
        <f t="shared" si="64"/>
        <v/>
      </c>
      <c r="S95" s="3" t="str">
        <f t="shared" si="65"/>
        <v/>
      </c>
      <c r="T95" s="4" t="str">
        <f t="shared" si="66"/>
        <v/>
      </c>
      <c r="U95" s="5" t="str">
        <f t="shared" si="67"/>
        <v/>
      </c>
      <c r="V95" s="7" t="str">
        <f>IF(W95="","",IF(LOOKUP(W95,'Extration 3E date commande'!$A$6:$A$10000)=W95,LOOKUP(W95,'Extration 3E date commande'!$A$6:$A$10000,'Extration 3E date commande'!$C$6:$C$10000),"PAS DE DATE"))</f>
        <v/>
      </c>
    </row>
    <row r="96" spans="1:30" x14ac:dyDescent="0.25">
      <c r="A96" s="3" t="str">
        <f t="shared" si="57"/>
        <v/>
      </c>
      <c r="B96" s="3" t="str">
        <f t="shared" si="58"/>
        <v/>
      </c>
      <c r="C96" s="3" t="str">
        <f t="shared" si="55"/>
        <v/>
      </c>
      <c r="D96" s="3" t="str">
        <f t="shared" si="51"/>
        <v/>
      </c>
      <c r="E96" s="3" t="str">
        <f t="shared" si="52"/>
        <v/>
      </c>
      <c r="F96" s="3" t="str">
        <f t="shared" si="53"/>
        <v/>
      </c>
      <c r="G96" s="3" t="str">
        <f t="shared" si="54"/>
        <v/>
      </c>
      <c r="H96" s="3" t="str">
        <f t="shared" si="59"/>
        <v/>
      </c>
      <c r="I96" s="3" t="str">
        <f t="shared" si="60"/>
        <v/>
      </c>
      <c r="J96" s="2" t="str">
        <f t="shared" si="61"/>
        <v/>
      </c>
      <c r="K96" s="2" t="str">
        <f>IF(W96="","",LOOKUP('Extraction edi'!J96,Paramètrage!$A$6:$A$179,Paramètrage!$B$6:$B$179))</f>
        <v/>
      </c>
      <c r="L96" s="2" t="str">
        <f>IF(W96="","",LOOKUP('Extraction edi'!J96,Paramètrage!$A$6:$A$179,Paramètrage!$C$6:$C$179))</f>
        <v/>
      </c>
      <c r="M96" s="2" t="str">
        <f>IF(W96="","",LOOKUP('Extraction edi'!J96,Paramètrage!$A$6:$A$179,Paramètrage!$D$6:$D$179))</f>
        <v/>
      </c>
      <c r="N96" s="3" t="str">
        <f>IF(W96="","",LOOKUP('Extraction edi'!J96,Paramètrage!$A$6:$A$179,Paramètrage!$E$6:$E$179))</f>
        <v/>
      </c>
      <c r="O96" s="3" t="str">
        <f t="shared" si="62"/>
        <v/>
      </c>
      <c r="P96" s="3" t="str">
        <f t="shared" si="63"/>
        <v/>
      </c>
      <c r="Q96" s="3" t="str">
        <f t="shared" si="56"/>
        <v/>
      </c>
      <c r="R96" s="3" t="str">
        <f t="shared" si="64"/>
        <v/>
      </c>
      <c r="S96" s="3" t="str">
        <f t="shared" si="65"/>
        <v/>
      </c>
      <c r="T96" s="4" t="str">
        <f t="shared" si="66"/>
        <v/>
      </c>
      <c r="U96" s="5" t="str">
        <f t="shared" si="67"/>
        <v/>
      </c>
      <c r="V96" s="7" t="str">
        <f>IF(W96="","",IF(LOOKUP(W96,'Extration 3E date commande'!$A$6:$A$10000)=W96,LOOKUP(W96,'Extration 3E date commande'!$A$6:$A$10000,'Extration 3E date commande'!$C$6:$C$10000),"PAS DE DATE"))</f>
        <v/>
      </c>
    </row>
    <row r="97" spans="1:22" x14ac:dyDescent="0.25">
      <c r="A97" s="3" t="str">
        <f t="shared" si="57"/>
        <v/>
      </c>
      <c r="B97" s="3" t="str">
        <f t="shared" si="58"/>
        <v/>
      </c>
      <c r="C97" s="3" t="str">
        <f t="shared" si="55"/>
        <v/>
      </c>
      <c r="D97" s="3" t="str">
        <f t="shared" si="51"/>
        <v/>
      </c>
      <c r="E97" s="3" t="str">
        <f t="shared" si="52"/>
        <v/>
      </c>
      <c r="F97" s="3" t="str">
        <f t="shared" si="53"/>
        <v/>
      </c>
      <c r="G97" s="3" t="str">
        <f t="shared" si="54"/>
        <v/>
      </c>
      <c r="H97" s="3" t="str">
        <f t="shared" si="59"/>
        <v/>
      </c>
      <c r="I97" s="3" t="str">
        <f t="shared" si="60"/>
        <v/>
      </c>
      <c r="J97" s="2" t="str">
        <f t="shared" si="61"/>
        <v/>
      </c>
      <c r="K97" s="2" t="str">
        <f>IF(W97="","",LOOKUP('Extraction edi'!J97,Paramètrage!$A$6:$A$179,Paramètrage!$B$6:$B$179))</f>
        <v/>
      </c>
      <c r="L97" s="2" t="str">
        <f>IF(W97="","",LOOKUP('Extraction edi'!J97,Paramètrage!$A$6:$A$179,Paramètrage!$C$6:$C$179))</f>
        <v/>
      </c>
      <c r="M97" s="2" t="str">
        <f>IF(W97="","",LOOKUP('Extraction edi'!J97,Paramètrage!$A$6:$A$179,Paramètrage!$D$6:$D$179))</f>
        <v/>
      </c>
      <c r="N97" s="3" t="str">
        <f>IF(W97="","",LOOKUP('Extraction edi'!J97,Paramètrage!$A$6:$A$179,Paramètrage!$E$6:$E$179))</f>
        <v/>
      </c>
      <c r="O97" s="3" t="str">
        <f t="shared" si="62"/>
        <v/>
      </c>
      <c r="P97" s="3" t="str">
        <f t="shared" si="63"/>
        <v/>
      </c>
      <c r="Q97" s="3" t="str">
        <f t="shared" si="56"/>
        <v/>
      </c>
      <c r="R97" s="3" t="str">
        <f t="shared" si="64"/>
        <v/>
      </c>
      <c r="S97" s="3" t="str">
        <f t="shared" si="65"/>
        <v/>
      </c>
      <c r="T97" s="4" t="str">
        <f t="shared" si="66"/>
        <v/>
      </c>
      <c r="U97" s="5" t="str">
        <f t="shared" si="67"/>
        <v/>
      </c>
      <c r="V97" s="7" t="str">
        <f>IF(W97="","",IF(LOOKUP(W97,'Extration 3E date commande'!$A$6:$A$10000)=W97,LOOKUP(W97,'Extration 3E date commande'!$A$6:$A$10000,'Extration 3E date commande'!$C$6:$C$10000),"PAS DE DATE"))</f>
        <v/>
      </c>
    </row>
    <row r="98" spans="1:22" x14ac:dyDescent="0.25">
      <c r="A98" s="3" t="str">
        <f t="shared" si="57"/>
        <v/>
      </c>
      <c r="B98" s="3" t="str">
        <f t="shared" si="58"/>
        <v/>
      </c>
      <c r="C98" s="3" t="str">
        <f t="shared" si="55"/>
        <v/>
      </c>
      <c r="D98" s="3" t="str">
        <f t="shared" si="51"/>
        <v/>
      </c>
      <c r="E98" s="3" t="str">
        <f t="shared" si="52"/>
        <v/>
      </c>
      <c r="F98" s="3" t="str">
        <f t="shared" si="53"/>
        <v/>
      </c>
      <c r="G98" s="3" t="str">
        <f t="shared" si="54"/>
        <v/>
      </c>
      <c r="H98" s="3" t="str">
        <f t="shared" si="59"/>
        <v/>
      </c>
      <c r="I98" s="3" t="str">
        <f t="shared" si="60"/>
        <v/>
      </c>
      <c r="J98" s="2" t="str">
        <f t="shared" si="61"/>
        <v/>
      </c>
      <c r="K98" s="2" t="str">
        <f>IF(W98="","",LOOKUP('Extraction edi'!J98,Paramètrage!$A$6:$A$179,Paramètrage!$B$6:$B$179))</f>
        <v/>
      </c>
      <c r="L98" s="2" t="str">
        <f>IF(W98="","",LOOKUP('Extraction edi'!J98,Paramètrage!$A$6:$A$179,Paramètrage!$C$6:$C$179))</f>
        <v/>
      </c>
      <c r="M98" s="2" t="str">
        <f>IF(W98="","",LOOKUP('Extraction edi'!J98,Paramètrage!$A$6:$A$179,Paramètrage!$D$6:$D$179))</f>
        <v/>
      </c>
      <c r="N98" s="3" t="str">
        <f>IF(W98="","",LOOKUP('Extraction edi'!J98,Paramètrage!$A$6:$A$179,Paramètrage!$E$6:$E$179))</f>
        <v/>
      </c>
      <c r="O98" s="3" t="str">
        <f t="shared" si="62"/>
        <v/>
      </c>
      <c r="P98" s="3" t="str">
        <f t="shared" si="63"/>
        <v/>
      </c>
      <c r="Q98" s="3" t="str">
        <f t="shared" si="56"/>
        <v/>
      </c>
      <c r="R98" s="3" t="str">
        <f t="shared" si="64"/>
        <v/>
      </c>
      <c r="S98" s="3" t="str">
        <f t="shared" si="65"/>
        <v/>
      </c>
      <c r="T98" s="4" t="str">
        <f t="shared" si="66"/>
        <v/>
      </c>
      <c r="U98" s="5" t="str">
        <f t="shared" si="67"/>
        <v/>
      </c>
      <c r="V98" s="7" t="str">
        <f>IF(W98="","",IF(LOOKUP(W98,'Extration 3E date commande'!$A$6:$A$10000)=W98,LOOKUP(W98,'Extration 3E date commande'!$A$6:$A$10000,'Extration 3E date commande'!$C$6:$C$10000),"PAS DE DATE"))</f>
        <v/>
      </c>
    </row>
    <row r="99" spans="1:22" x14ac:dyDescent="0.25">
      <c r="A99" s="3" t="str">
        <f t="shared" si="57"/>
        <v/>
      </c>
      <c r="B99" s="3" t="str">
        <f t="shared" si="58"/>
        <v/>
      </c>
      <c r="C99" s="3" t="str">
        <f t="shared" si="55"/>
        <v/>
      </c>
      <c r="D99" s="3" t="str">
        <f t="shared" si="51"/>
        <v/>
      </c>
      <c r="E99" s="3" t="str">
        <f t="shared" si="52"/>
        <v/>
      </c>
      <c r="F99" s="3" t="str">
        <f t="shared" si="53"/>
        <v/>
      </c>
      <c r="G99" s="3" t="str">
        <f t="shared" si="54"/>
        <v/>
      </c>
      <c r="H99" s="3" t="str">
        <f t="shared" si="59"/>
        <v/>
      </c>
      <c r="I99" s="3" t="str">
        <f t="shared" si="60"/>
        <v/>
      </c>
      <c r="J99" s="2" t="str">
        <f t="shared" si="61"/>
        <v/>
      </c>
      <c r="K99" s="2" t="str">
        <f>IF(W99="","",LOOKUP('Extraction edi'!J99,Paramètrage!$A$6:$A$179,Paramètrage!$B$6:$B$179))</f>
        <v/>
      </c>
      <c r="L99" s="2" t="str">
        <f>IF(W99="","",LOOKUP('Extraction edi'!J99,Paramètrage!$A$6:$A$179,Paramètrage!$C$6:$C$179))</f>
        <v/>
      </c>
      <c r="M99" s="2" t="str">
        <f>IF(W99="","",LOOKUP('Extraction edi'!J99,Paramètrage!$A$6:$A$179,Paramètrage!$D$6:$D$179))</f>
        <v/>
      </c>
      <c r="N99" s="3" t="str">
        <f>IF(W99="","",LOOKUP('Extraction edi'!J99,Paramètrage!$A$6:$A$179,Paramètrage!$E$6:$E$179))</f>
        <v/>
      </c>
      <c r="O99" s="3" t="str">
        <f t="shared" si="62"/>
        <v/>
      </c>
      <c r="P99" s="3" t="str">
        <f t="shared" si="63"/>
        <v/>
      </c>
      <c r="Q99" s="3" t="str">
        <f t="shared" si="56"/>
        <v/>
      </c>
      <c r="R99" s="3" t="str">
        <f t="shared" si="64"/>
        <v/>
      </c>
      <c r="S99" s="3" t="str">
        <f t="shared" si="65"/>
        <v/>
      </c>
      <c r="T99" s="4" t="str">
        <f t="shared" si="66"/>
        <v/>
      </c>
      <c r="U99" s="5" t="str">
        <f t="shared" si="67"/>
        <v/>
      </c>
      <c r="V99" s="7" t="str">
        <f>IF(W99="","",IF(LOOKUP(W99,'Extration 3E date commande'!$A$6:$A$10000)=W99,LOOKUP(W99,'Extration 3E date commande'!$A$6:$A$10000,'Extration 3E date commande'!$C$6:$C$10000),"PAS DE DATE"))</f>
        <v/>
      </c>
    </row>
    <row r="100" spans="1:22" x14ac:dyDescent="0.25">
      <c r="A100" s="3" t="str">
        <f t="shared" si="57"/>
        <v/>
      </c>
      <c r="B100" s="3" t="str">
        <f t="shared" si="58"/>
        <v/>
      </c>
      <c r="C100" s="3" t="str">
        <f t="shared" si="55"/>
        <v/>
      </c>
      <c r="D100" s="3" t="str">
        <f t="shared" si="51"/>
        <v/>
      </c>
      <c r="E100" s="3" t="str">
        <f t="shared" si="52"/>
        <v/>
      </c>
      <c r="F100" s="3" t="str">
        <f t="shared" si="53"/>
        <v/>
      </c>
      <c r="G100" s="3" t="str">
        <f t="shared" si="54"/>
        <v/>
      </c>
      <c r="H100" s="3" t="str">
        <f t="shared" si="59"/>
        <v/>
      </c>
      <c r="I100" s="3" t="str">
        <f t="shared" si="60"/>
        <v/>
      </c>
      <c r="J100" s="2" t="str">
        <f t="shared" si="61"/>
        <v/>
      </c>
      <c r="K100" s="2" t="str">
        <f>IF(W100="","",LOOKUP('Extraction edi'!J100,Paramètrage!$A$6:$A$179,Paramètrage!$B$6:$B$179))</f>
        <v/>
      </c>
      <c r="L100" s="2" t="str">
        <f>IF(W100="","",LOOKUP('Extraction edi'!J100,Paramètrage!$A$6:$A$179,Paramètrage!$C$6:$C$179))</f>
        <v/>
      </c>
      <c r="M100" s="2" t="str">
        <f>IF(W100="","",LOOKUP('Extraction edi'!J100,Paramètrage!$A$6:$A$179,Paramètrage!$D$6:$D$179))</f>
        <v/>
      </c>
      <c r="N100" s="3" t="str">
        <f>IF(W100="","",LOOKUP('Extraction edi'!J100,Paramètrage!$A$6:$A$179,Paramètrage!$E$6:$E$179))</f>
        <v/>
      </c>
      <c r="O100" s="3" t="str">
        <f t="shared" si="62"/>
        <v/>
      </c>
      <c r="P100" s="3" t="str">
        <f t="shared" si="63"/>
        <v/>
      </c>
      <c r="Q100" s="3" t="str">
        <f t="shared" si="56"/>
        <v/>
      </c>
      <c r="R100" s="3" t="str">
        <f t="shared" si="64"/>
        <v/>
      </c>
      <c r="S100" s="3" t="str">
        <f t="shared" si="65"/>
        <v/>
      </c>
      <c r="T100" s="4" t="str">
        <f t="shared" si="66"/>
        <v/>
      </c>
      <c r="U100" s="5" t="str">
        <f t="shared" si="67"/>
        <v/>
      </c>
      <c r="V100" s="7" t="str">
        <f>IF(W100="","",IF(LOOKUP(W100,'Extration 3E date commande'!$A$6:$A$10000)=W100,LOOKUP(W100,'Extration 3E date commande'!$A$6:$A$10000,'Extration 3E date commande'!$C$6:$C$10000),"PAS DE DATE"))</f>
        <v/>
      </c>
    </row>
    <row r="101" spans="1:22" x14ac:dyDescent="0.25">
      <c r="A101" s="3" t="str">
        <f t="shared" si="57"/>
        <v/>
      </c>
      <c r="B101" s="3" t="str">
        <f t="shared" si="58"/>
        <v/>
      </c>
      <c r="C101" s="3" t="str">
        <f t="shared" si="55"/>
        <v/>
      </c>
      <c r="D101" s="3" t="str">
        <f t="shared" si="51"/>
        <v/>
      </c>
      <c r="E101" s="3" t="str">
        <f t="shared" si="52"/>
        <v/>
      </c>
      <c r="F101" s="3" t="str">
        <f t="shared" si="53"/>
        <v/>
      </c>
      <c r="G101" s="3" t="str">
        <f t="shared" si="54"/>
        <v/>
      </c>
      <c r="H101" s="3" t="str">
        <f t="shared" si="59"/>
        <v/>
      </c>
      <c r="I101" s="3" t="str">
        <f t="shared" si="60"/>
        <v/>
      </c>
      <c r="J101" s="2" t="str">
        <f t="shared" si="61"/>
        <v/>
      </c>
      <c r="K101" s="2" t="str">
        <f>IF(W101="","",LOOKUP('Extraction edi'!J101,Paramètrage!$A$6:$A$179,Paramètrage!$B$6:$B$179))</f>
        <v/>
      </c>
      <c r="L101" s="2" t="str">
        <f>IF(W101="","",LOOKUP('Extraction edi'!J101,Paramètrage!$A$6:$A$179,Paramètrage!$C$6:$C$179))</f>
        <v/>
      </c>
      <c r="M101" s="2" t="str">
        <f>IF(W101="","",LOOKUP('Extraction edi'!J101,Paramètrage!$A$6:$A$179,Paramètrage!$D$6:$D$179))</f>
        <v/>
      </c>
      <c r="N101" s="3" t="str">
        <f>IF(W101="","",LOOKUP('Extraction edi'!J101,Paramètrage!$A$6:$A$179,Paramètrage!$E$6:$E$179))</f>
        <v/>
      </c>
      <c r="O101" s="3" t="str">
        <f t="shared" si="62"/>
        <v/>
      </c>
      <c r="P101" s="3" t="str">
        <f t="shared" si="63"/>
        <v/>
      </c>
      <c r="Q101" s="3" t="str">
        <f t="shared" si="56"/>
        <v/>
      </c>
      <c r="R101" s="3" t="str">
        <f t="shared" si="64"/>
        <v/>
      </c>
      <c r="S101" s="3" t="str">
        <f t="shared" si="65"/>
        <v/>
      </c>
      <c r="T101" s="4" t="str">
        <f t="shared" si="66"/>
        <v/>
      </c>
      <c r="U101" s="5" t="str">
        <f t="shared" si="67"/>
        <v/>
      </c>
      <c r="V101" s="7" t="str">
        <f>IF(W101="","",IF(LOOKUP(W101,'Extration 3E date commande'!$A$6:$A$10000)=W101,LOOKUP(W101,'Extration 3E date commande'!$A$6:$A$10000,'Extration 3E date commande'!$C$6:$C$10000),"PAS DE DATE"))</f>
        <v/>
      </c>
    </row>
    <row r="102" spans="1:22" x14ac:dyDescent="0.25">
      <c r="A102" s="3" t="str">
        <f t="shared" si="57"/>
        <v/>
      </c>
      <c r="B102" s="3" t="str">
        <f t="shared" si="58"/>
        <v/>
      </c>
      <c r="C102" s="3" t="str">
        <f t="shared" si="55"/>
        <v/>
      </c>
      <c r="D102" s="3" t="str">
        <f t="shared" si="51"/>
        <v/>
      </c>
      <c r="E102" s="3" t="str">
        <f t="shared" si="52"/>
        <v/>
      </c>
      <c r="F102" s="3" t="str">
        <f t="shared" si="53"/>
        <v/>
      </c>
      <c r="G102" s="3" t="str">
        <f t="shared" si="54"/>
        <v/>
      </c>
      <c r="H102" s="3" t="str">
        <f t="shared" si="59"/>
        <v/>
      </c>
      <c r="I102" s="3" t="str">
        <f t="shared" si="60"/>
        <v/>
      </c>
      <c r="J102" s="2" t="str">
        <f t="shared" si="61"/>
        <v/>
      </c>
      <c r="K102" s="2" t="str">
        <f>IF(W102="","",LOOKUP('Extraction edi'!J102,Paramètrage!$A$6:$A$179,Paramètrage!$B$6:$B$179))</f>
        <v/>
      </c>
      <c r="L102" s="2" t="str">
        <f>IF(W102="","",LOOKUP('Extraction edi'!J102,Paramètrage!$A$6:$A$179,Paramètrage!$C$6:$C$179))</f>
        <v/>
      </c>
      <c r="M102" s="2" t="str">
        <f>IF(W102="","",LOOKUP('Extraction edi'!J102,Paramètrage!$A$6:$A$179,Paramètrage!$D$6:$D$179))</f>
        <v/>
      </c>
      <c r="N102" s="3" t="str">
        <f>IF(W102="","",LOOKUP('Extraction edi'!J102,Paramètrage!$A$6:$A$179,Paramètrage!$E$6:$E$179))</f>
        <v/>
      </c>
      <c r="O102" s="3" t="str">
        <f t="shared" si="62"/>
        <v/>
      </c>
      <c r="P102" s="3" t="str">
        <f t="shared" si="63"/>
        <v/>
      </c>
      <c r="Q102" s="3" t="str">
        <f t="shared" si="56"/>
        <v/>
      </c>
      <c r="R102" s="3" t="str">
        <f t="shared" si="64"/>
        <v/>
      </c>
      <c r="S102" s="3" t="str">
        <f t="shared" si="65"/>
        <v/>
      </c>
      <c r="T102" s="4" t="str">
        <f t="shared" si="66"/>
        <v/>
      </c>
      <c r="U102" s="5" t="str">
        <f t="shared" si="67"/>
        <v/>
      </c>
      <c r="V102" s="7" t="str">
        <f>IF(W102="","",IF(LOOKUP(W102,'Extration 3E date commande'!$A$6:$A$10000)=W102,LOOKUP(W102,'Extration 3E date commande'!$A$6:$A$10000,'Extration 3E date commande'!$C$6:$C$10000),"PAS DE DATE"))</f>
        <v/>
      </c>
    </row>
    <row r="103" spans="1:22" x14ac:dyDescent="0.25">
      <c r="A103" s="3" t="str">
        <f t="shared" si="57"/>
        <v/>
      </c>
      <c r="B103" s="3" t="str">
        <f t="shared" si="58"/>
        <v/>
      </c>
      <c r="C103" s="3" t="str">
        <f t="shared" si="55"/>
        <v/>
      </c>
      <c r="D103" s="3" t="str">
        <f t="shared" si="51"/>
        <v/>
      </c>
      <c r="E103" s="3" t="str">
        <f t="shared" si="52"/>
        <v/>
      </c>
      <c r="F103" s="3" t="str">
        <f t="shared" si="53"/>
        <v/>
      </c>
      <c r="G103" s="3" t="str">
        <f t="shared" si="54"/>
        <v/>
      </c>
      <c r="H103" s="3" t="str">
        <f t="shared" si="59"/>
        <v/>
      </c>
      <c r="I103" s="3" t="str">
        <f t="shared" si="60"/>
        <v/>
      </c>
      <c r="J103" s="2" t="str">
        <f t="shared" si="61"/>
        <v/>
      </c>
      <c r="K103" s="2" t="str">
        <f>IF(W103="","",LOOKUP('Extraction edi'!J103,Paramètrage!$A$6:$A$179,Paramètrage!$B$6:$B$179))</f>
        <v/>
      </c>
      <c r="L103" s="2" t="str">
        <f>IF(W103="","",LOOKUP('Extraction edi'!J103,Paramètrage!$A$6:$A$179,Paramètrage!$C$6:$C$179))</f>
        <v/>
      </c>
      <c r="M103" s="2" t="str">
        <f>IF(W103="","",LOOKUP('Extraction edi'!J103,Paramètrage!$A$6:$A$179,Paramètrage!$D$6:$D$179))</f>
        <v/>
      </c>
      <c r="N103" s="3" t="str">
        <f>IF(W103="","",LOOKUP('Extraction edi'!J103,Paramètrage!$A$6:$A$179,Paramètrage!$E$6:$E$179))</f>
        <v/>
      </c>
      <c r="O103" s="3" t="str">
        <f t="shared" si="62"/>
        <v/>
      </c>
      <c r="P103" s="3" t="str">
        <f t="shared" si="63"/>
        <v/>
      </c>
      <c r="Q103" s="3" t="str">
        <f t="shared" si="56"/>
        <v/>
      </c>
      <c r="R103" s="3" t="str">
        <f t="shared" si="64"/>
        <v/>
      </c>
      <c r="S103" s="3" t="str">
        <f t="shared" si="65"/>
        <v/>
      </c>
      <c r="T103" s="4" t="str">
        <f t="shared" si="66"/>
        <v/>
      </c>
      <c r="U103" s="5" t="str">
        <f t="shared" si="67"/>
        <v/>
      </c>
      <c r="V103" s="7" t="str">
        <f>IF(W103="","",IF(LOOKUP(W103,'Extration 3E date commande'!$A$6:$A$10000)=W103,LOOKUP(W103,'Extration 3E date commande'!$A$6:$A$10000,'Extration 3E date commande'!$C$6:$C$10000),"PAS DE DATE"))</f>
        <v/>
      </c>
    </row>
    <row r="104" spans="1:22" x14ac:dyDescent="0.25">
      <c r="A104" s="3" t="str">
        <f t="shared" si="57"/>
        <v/>
      </c>
      <c r="B104" s="3" t="str">
        <f t="shared" si="58"/>
        <v/>
      </c>
      <c r="C104" s="3" t="str">
        <f t="shared" si="55"/>
        <v/>
      </c>
      <c r="D104" s="3" t="str">
        <f t="shared" si="51"/>
        <v/>
      </c>
      <c r="E104" s="3" t="str">
        <f t="shared" si="52"/>
        <v/>
      </c>
      <c r="F104" s="3" t="str">
        <f t="shared" si="53"/>
        <v/>
      </c>
      <c r="G104" s="3" t="str">
        <f t="shared" si="54"/>
        <v/>
      </c>
      <c r="H104" s="3" t="str">
        <f t="shared" si="59"/>
        <v/>
      </c>
      <c r="I104" s="3" t="str">
        <f t="shared" si="60"/>
        <v/>
      </c>
      <c r="J104" s="2" t="str">
        <f t="shared" si="61"/>
        <v/>
      </c>
      <c r="K104" s="2" t="str">
        <f>IF(W104="","",LOOKUP('Extraction edi'!J104,Paramètrage!$A$6:$A$179,Paramètrage!$B$6:$B$179))</f>
        <v/>
      </c>
      <c r="L104" s="2" t="str">
        <f>IF(W104="","",LOOKUP('Extraction edi'!J104,Paramètrage!$A$6:$A$179,Paramètrage!$C$6:$C$179))</f>
        <v/>
      </c>
      <c r="M104" s="2" t="str">
        <f>IF(W104="","",LOOKUP('Extraction edi'!J104,Paramètrage!$A$6:$A$179,Paramètrage!$D$6:$D$179))</f>
        <v/>
      </c>
      <c r="N104" s="3" t="str">
        <f>IF(W104="","",LOOKUP('Extraction edi'!J104,Paramètrage!$A$6:$A$179,Paramètrage!$E$6:$E$179))</f>
        <v/>
      </c>
      <c r="O104" s="3" t="str">
        <f t="shared" si="62"/>
        <v/>
      </c>
      <c r="P104" s="3" t="str">
        <f t="shared" si="63"/>
        <v/>
      </c>
      <c r="Q104" s="3" t="str">
        <f t="shared" si="56"/>
        <v/>
      </c>
      <c r="R104" s="3" t="str">
        <f t="shared" si="64"/>
        <v/>
      </c>
      <c r="S104" s="3" t="str">
        <f t="shared" si="65"/>
        <v/>
      </c>
      <c r="T104" s="4" t="str">
        <f t="shared" si="66"/>
        <v/>
      </c>
      <c r="U104" s="5" t="str">
        <f t="shared" si="67"/>
        <v/>
      </c>
      <c r="V104" s="7" t="str">
        <f>IF(W104="","",IF(LOOKUP(W104,'Extration 3E date commande'!$A$6:$A$10000)=W104,LOOKUP(W104,'Extration 3E date commande'!$A$6:$A$10000,'Extration 3E date commande'!$C$6:$C$10000),"PAS DE DATE"))</f>
        <v/>
      </c>
    </row>
    <row r="105" spans="1:22" x14ac:dyDescent="0.25">
      <c r="A105" s="3" t="str">
        <f t="shared" si="57"/>
        <v/>
      </c>
      <c r="B105" s="3" t="str">
        <f t="shared" si="58"/>
        <v/>
      </c>
      <c r="C105" s="3" t="str">
        <f t="shared" si="55"/>
        <v/>
      </c>
      <c r="D105" s="3" t="str">
        <f t="shared" si="51"/>
        <v/>
      </c>
      <c r="E105" s="3" t="str">
        <f t="shared" si="52"/>
        <v/>
      </c>
      <c r="F105" s="3" t="str">
        <f t="shared" si="53"/>
        <v/>
      </c>
      <c r="G105" s="3" t="str">
        <f t="shared" si="54"/>
        <v/>
      </c>
      <c r="H105" s="3" t="str">
        <f t="shared" si="59"/>
        <v/>
      </c>
      <c r="I105" s="3" t="str">
        <f t="shared" si="60"/>
        <v/>
      </c>
      <c r="J105" s="2" t="str">
        <f t="shared" si="61"/>
        <v/>
      </c>
      <c r="K105" s="2" t="str">
        <f>IF(W105="","",LOOKUP('Extraction edi'!J105,Paramètrage!$A$6:$A$179,Paramètrage!$B$6:$B$179))</f>
        <v/>
      </c>
      <c r="L105" s="2" t="str">
        <f>IF(W105="","",LOOKUP('Extraction edi'!J105,Paramètrage!$A$6:$A$179,Paramètrage!$C$6:$C$179))</f>
        <v/>
      </c>
      <c r="M105" s="2" t="str">
        <f>IF(W105="","",LOOKUP('Extraction edi'!J105,Paramètrage!$A$6:$A$179,Paramètrage!$D$6:$D$179))</f>
        <v/>
      </c>
      <c r="N105" s="3" t="str">
        <f>IF(W105="","",LOOKUP('Extraction edi'!J105,Paramètrage!$A$6:$A$179,Paramètrage!$E$6:$E$179))</f>
        <v/>
      </c>
      <c r="O105" s="3" t="str">
        <f t="shared" si="62"/>
        <v/>
      </c>
      <c r="P105" s="3" t="str">
        <f t="shared" si="63"/>
        <v/>
      </c>
      <c r="Q105" s="3" t="str">
        <f t="shared" si="56"/>
        <v/>
      </c>
      <c r="R105" s="3" t="str">
        <f t="shared" si="64"/>
        <v/>
      </c>
      <c r="S105" s="3" t="str">
        <f t="shared" si="65"/>
        <v/>
      </c>
      <c r="T105" s="4" t="str">
        <f t="shared" si="66"/>
        <v/>
      </c>
      <c r="U105" s="5" t="str">
        <f t="shared" si="67"/>
        <v/>
      </c>
      <c r="V105" s="7" t="str">
        <f>IF(W105="","",IF(LOOKUP(W105,'Extration 3E date commande'!$A$6:$A$10000)=W105,LOOKUP(W105,'Extration 3E date commande'!$A$6:$A$10000,'Extration 3E date commande'!$C$6:$C$10000),"PAS DE DATE"))</f>
        <v/>
      </c>
    </row>
    <row r="106" spans="1:22" x14ac:dyDescent="0.25">
      <c r="A106" s="3" t="str">
        <f t="shared" si="57"/>
        <v/>
      </c>
      <c r="B106" s="3" t="str">
        <f t="shared" si="58"/>
        <v/>
      </c>
      <c r="C106" s="3" t="str">
        <f t="shared" si="55"/>
        <v/>
      </c>
      <c r="D106" s="3" t="str">
        <f t="shared" si="51"/>
        <v/>
      </c>
      <c r="E106" s="3" t="str">
        <f t="shared" si="52"/>
        <v/>
      </c>
      <c r="F106" s="3" t="str">
        <f t="shared" si="53"/>
        <v/>
      </c>
      <c r="G106" s="3" t="str">
        <f t="shared" si="54"/>
        <v/>
      </c>
      <c r="H106" s="3" t="str">
        <f t="shared" si="59"/>
        <v/>
      </c>
      <c r="I106" s="3" t="str">
        <f t="shared" si="60"/>
        <v/>
      </c>
      <c r="J106" s="2" t="str">
        <f t="shared" si="61"/>
        <v/>
      </c>
      <c r="K106" s="2" t="str">
        <f>IF(W106="","",LOOKUP('Extraction edi'!J106,Paramètrage!$A$6:$A$179,Paramètrage!$B$6:$B$179))</f>
        <v/>
      </c>
      <c r="L106" s="2" t="str">
        <f>IF(W106="","",LOOKUP('Extraction edi'!J106,Paramètrage!$A$6:$A$179,Paramètrage!$C$6:$C$179))</f>
        <v/>
      </c>
      <c r="M106" s="2" t="str">
        <f>IF(W106="","",LOOKUP('Extraction edi'!J106,Paramètrage!$A$6:$A$179,Paramètrage!$D$6:$D$179))</f>
        <v/>
      </c>
      <c r="N106" s="3" t="str">
        <f>IF(W106="","",LOOKUP('Extraction edi'!J106,Paramètrage!$A$6:$A$179,Paramètrage!$E$6:$E$179))</f>
        <v/>
      </c>
      <c r="O106" s="3" t="str">
        <f t="shared" si="62"/>
        <v/>
      </c>
      <c r="P106" s="3" t="str">
        <f t="shared" si="63"/>
        <v/>
      </c>
      <c r="Q106" s="3" t="str">
        <f t="shared" si="56"/>
        <v/>
      </c>
      <c r="R106" s="3" t="str">
        <f t="shared" si="64"/>
        <v/>
      </c>
      <c r="S106" s="3" t="str">
        <f t="shared" si="65"/>
        <v/>
      </c>
      <c r="T106" s="4" t="str">
        <f t="shared" si="66"/>
        <v/>
      </c>
      <c r="U106" s="5" t="str">
        <f t="shared" si="67"/>
        <v/>
      </c>
      <c r="V106" s="7" t="str">
        <f>IF(W106="","",IF(LOOKUP(W106,'Extration 3E date commande'!$A$6:$A$10000)=W106,LOOKUP(W106,'Extration 3E date commande'!$A$6:$A$10000,'Extration 3E date commande'!$C$6:$C$10000),"PAS DE DATE"))</f>
        <v/>
      </c>
    </row>
    <row r="107" spans="1:22" x14ac:dyDescent="0.25">
      <c r="A107" s="3" t="str">
        <f t="shared" si="57"/>
        <v/>
      </c>
      <c r="B107" s="3" t="str">
        <f t="shared" si="58"/>
        <v/>
      </c>
      <c r="C107" s="3" t="str">
        <f t="shared" si="55"/>
        <v/>
      </c>
      <c r="D107" s="3" t="str">
        <f t="shared" si="51"/>
        <v/>
      </c>
      <c r="E107" s="3" t="str">
        <f t="shared" si="52"/>
        <v/>
      </c>
      <c r="F107" s="3" t="str">
        <f t="shared" si="53"/>
        <v/>
      </c>
      <c r="G107" s="3" t="str">
        <f t="shared" si="54"/>
        <v/>
      </c>
      <c r="H107" s="3" t="str">
        <f t="shared" si="59"/>
        <v/>
      </c>
      <c r="I107" s="3" t="str">
        <f t="shared" si="60"/>
        <v/>
      </c>
      <c r="J107" s="2" t="str">
        <f t="shared" si="61"/>
        <v/>
      </c>
      <c r="K107" s="2" t="str">
        <f>IF(W107="","",LOOKUP('Extraction edi'!J107,Paramètrage!$A$6:$A$179,Paramètrage!$B$6:$B$179))</f>
        <v/>
      </c>
      <c r="L107" s="2" t="str">
        <f>IF(W107="","",LOOKUP('Extraction edi'!J107,Paramètrage!$A$6:$A$179,Paramètrage!$C$6:$C$179))</f>
        <v/>
      </c>
      <c r="M107" s="2" t="str">
        <f>IF(W107="","",LOOKUP('Extraction edi'!J107,Paramètrage!$A$6:$A$179,Paramètrage!$D$6:$D$179))</f>
        <v/>
      </c>
      <c r="N107" s="3" t="str">
        <f>IF(W107="","",LOOKUP('Extraction edi'!J107,Paramètrage!$A$6:$A$179,Paramètrage!$E$6:$E$179))</f>
        <v/>
      </c>
      <c r="O107" s="3" t="str">
        <f t="shared" si="62"/>
        <v/>
      </c>
      <c r="P107" s="3" t="str">
        <f t="shared" si="63"/>
        <v/>
      </c>
      <c r="Q107" s="3" t="str">
        <f t="shared" si="56"/>
        <v/>
      </c>
      <c r="R107" s="3" t="str">
        <f t="shared" si="64"/>
        <v/>
      </c>
      <c r="S107" s="3" t="str">
        <f t="shared" si="65"/>
        <v/>
      </c>
      <c r="T107" s="4" t="str">
        <f t="shared" si="66"/>
        <v/>
      </c>
      <c r="U107" s="5" t="str">
        <f t="shared" si="67"/>
        <v/>
      </c>
      <c r="V107" s="7" t="str">
        <f>IF(W107="","",IF(LOOKUP(W107,'Extration 3E date commande'!$A$6:$A$10000)=W107,LOOKUP(W107,'Extration 3E date commande'!$A$6:$A$10000,'Extration 3E date commande'!$C$6:$C$10000),"PAS DE DATE"))</f>
        <v/>
      </c>
    </row>
    <row r="108" spans="1:22" x14ac:dyDescent="0.25">
      <c r="A108" s="3" t="str">
        <f t="shared" si="57"/>
        <v/>
      </c>
      <c r="B108" s="3" t="str">
        <f t="shared" si="58"/>
        <v/>
      </c>
      <c r="C108" s="3" t="str">
        <f t="shared" si="55"/>
        <v/>
      </c>
      <c r="D108" s="3" t="str">
        <f t="shared" si="51"/>
        <v/>
      </c>
      <c r="E108" s="3" t="str">
        <f t="shared" si="52"/>
        <v/>
      </c>
      <c r="F108" s="3" t="str">
        <f t="shared" si="53"/>
        <v/>
      </c>
      <c r="G108" s="3" t="str">
        <f t="shared" si="54"/>
        <v/>
      </c>
      <c r="H108" s="3" t="str">
        <f t="shared" si="59"/>
        <v/>
      </c>
      <c r="I108" s="3" t="str">
        <f t="shared" si="60"/>
        <v/>
      </c>
      <c r="J108" s="2" t="str">
        <f t="shared" si="61"/>
        <v/>
      </c>
      <c r="K108" s="2" t="str">
        <f>IF(W108="","",LOOKUP('Extraction edi'!J108,Paramètrage!$A$6:$A$179,Paramètrage!$B$6:$B$179))</f>
        <v/>
      </c>
      <c r="L108" s="2" t="str">
        <f>IF(W108="","",LOOKUP('Extraction edi'!J108,Paramètrage!$A$6:$A$179,Paramètrage!$C$6:$C$179))</f>
        <v/>
      </c>
      <c r="M108" s="2" t="str">
        <f>IF(W108="","",LOOKUP('Extraction edi'!J108,Paramètrage!$A$6:$A$179,Paramètrage!$D$6:$D$179))</f>
        <v/>
      </c>
      <c r="N108" s="3" t="str">
        <f>IF(W108="","",LOOKUP('Extraction edi'!J108,Paramètrage!$A$6:$A$179,Paramètrage!$E$6:$E$179))</f>
        <v/>
      </c>
      <c r="O108" s="3" t="str">
        <f t="shared" si="62"/>
        <v/>
      </c>
      <c r="P108" s="3" t="str">
        <f t="shared" si="63"/>
        <v/>
      </c>
      <c r="Q108" s="3" t="str">
        <f t="shared" si="56"/>
        <v/>
      </c>
      <c r="R108" s="3" t="str">
        <f t="shared" si="64"/>
        <v/>
      </c>
      <c r="S108" s="3" t="str">
        <f t="shared" si="65"/>
        <v/>
      </c>
      <c r="T108" s="4" t="str">
        <f t="shared" si="66"/>
        <v/>
      </c>
      <c r="U108" s="5" t="str">
        <f t="shared" si="67"/>
        <v/>
      </c>
      <c r="V108" s="7" t="str">
        <f>IF(W108="","",IF(LOOKUP(W108,'Extration 3E date commande'!$A$6:$A$10000)=W108,LOOKUP(W108,'Extration 3E date commande'!$A$6:$A$10000,'Extration 3E date commande'!$C$6:$C$10000),"PAS DE DATE"))</f>
        <v/>
      </c>
    </row>
    <row r="109" spans="1:22" x14ac:dyDescent="0.25">
      <c r="A109" s="3" t="str">
        <f t="shared" si="57"/>
        <v/>
      </c>
      <c r="B109" s="3" t="str">
        <f t="shared" si="58"/>
        <v/>
      </c>
      <c r="C109" s="3" t="str">
        <f t="shared" si="55"/>
        <v/>
      </c>
      <c r="D109" s="3" t="str">
        <f t="shared" si="51"/>
        <v/>
      </c>
      <c r="E109" s="3" t="str">
        <f t="shared" si="52"/>
        <v/>
      </c>
      <c r="F109" s="3" t="str">
        <f t="shared" si="53"/>
        <v/>
      </c>
      <c r="G109" s="3" t="str">
        <f t="shared" si="54"/>
        <v/>
      </c>
      <c r="H109" s="3" t="str">
        <f t="shared" si="59"/>
        <v/>
      </c>
      <c r="I109" s="3" t="str">
        <f t="shared" si="60"/>
        <v/>
      </c>
      <c r="J109" s="2" t="str">
        <f t="shared" si="61"/>
        <v/>
      </c>
      <c r="K109" s="2" t="str">
        <f>IF(W109="","",LOOKUP('Extraction edi'!J109,Paramètrage!$A$6:$A$179,Paramètrage!$B$6:$B$179))</f>
        <v/>
      </c>
      <c r="L109" s="2" t="str">
        <f>IF(W109="","",LOOKUP('Extraction edi'!J109,Paramètrage!$A$6:$A$179,Paramètrage!$C$6:$C$179))</f>
        <v/>
      </c>
      <c r="M109" s="2" t="str">
        <f>IF(W109="","",LOOKUP('Extraction edi'!J109,Paramètrage!$A$6:$A$179,Paramètrage!$D$6:$D$179))</f>
        <v/>
      </c>
      <c r="N109" s="3" t="str">
        <f>IF(W109="","",LOOKUP('Extraction edi'!J109,Paramètrage!$A$6:$A$179,Paramètrage!$E$6:$E$179))</f>
        <v/>
      </c>
      <c r="O109" s="3" t="str">
        <f t="shared" si="62"/>
        <v/>
      </c>
      <c r="P109" s="3" t="str">
        <f t="shared" si="63"/>
        <v/>
      </c>
      <c r="Q109" s="3" t="str">
        <f t="shared" si="56"/>
        <v/>
      </c>
      <c r="R109" s="3" t="str">
        <f t="shared" si="64"/>
        <v/>
      </c>
      <c r="S109" s="3" t="str">
        <f t="shared" si="65"/>
        <v/>
      </c>
      <c r="T109" s="4" t="str">
        <f t="shared" si="66"/>
        <v/>
      </c>
      <c r="U109" s="5" t="str">
        <f t="shared" si="67"/>
        <v/>
      </c>
      <c r="V109" s="7" t="str">
        <f>IF(W109="","",IF(LOOKUP(W109,'Extration 3E date commande'!$A$6:$A$10000)=W109,LOOKUP(W109,'Extration 3E date commande'!$A$6:$A$10000,'Extration 3E date commande'!$C$6:$C$10000),"PAS DE DATE"))</f>
        <v/>
      </c>
    </row>
    <row r="110" spans="1:22" x14ac:dyDescent="0.25">
      <c r="A110" s="3" t="str">
        <f t="shared" si="57"/>
        <v/>
      </c>
      <c r="B110" s="3" t="str">
        <f t="shared" si="58"/>
        <v/>
      </c>
      <c r="C110" s="3" t="str">
        <f t="shared" si="55"/>
        <v/>
      </c>
      <c r="D110" s="3" t="str">
        <f t="shared" si="51"/>
        <v/>
      </c>
      <c r="E110" s="3" t="str">
        <f t="shared" si="52"/>
        <v/>
      </c>
      <c r="F110" s="3" t="str">
        <f t="shared" si="53"/>
        <v/>
      </c>
      <c r="G110" s="3" t="str">
        <f t="shared" si="54"/>
        <v/>
      </c>
      <c r="H110" s="3" t="str">
        <f t="shared" si="59"/>
        <v/>
      </c>
      <c r="I110" s="3" t="str">
        <f t="shared" si="60"/>
        <v/>
      </c>
      <c r="J110" s="2" t="str">
        <f t="shared" si="61"/>
        <v/>
      </c>
      <c r="K110" s="2" t="str">
        <f>IF(W110="","",LOOKUP('Extraction edi'!J110,Paramètrage!$A$6:$A$179,Paramètrage!$B$6:$B$179))</f>
        <v/>
      </c>
      <c r="L110" s="2" t="str">
        <f>IF(W110="","",LOOKUP('Extraction edi'!J110,Paramètrage!$A$6:$A$179,Paramètrage!$C$6:$C$179))</f>
        <v/>
      </c>
      <c r="M110" s="2" t="str">
        <f>IF(W110="","",LOOKUP('Extraction edi'!J110,Paramètrage!$A$6:$A$179,Paramètrage!$D$6:$D$179))</f>
        <v/>
      </c>
      <c r="N110" s="3" t="str">
        <f>IF(W110="","",LOOKUP('Extraction edi'!J110,Paramètrage!$A$6:$A$179,Paramètrage!$E$6:$E$179))</f>
        <v/>
      </c>
      <c r="O110" s="3" t="str">
        <f t="shared" si="62"/>
        <v/>
      </c>
      <c r="P110" s="3" t="str">
        <f t="shared" si="63"/>
        <v/>
      </c>
      <c r="Q110" s="3" t="str">
        <f t="shared" si="56"/>
        <v/>
      </c>
      <c r="R110" s="3" t="str">
        <f t="shared" si="64"/>
        <v/>
      </c>
      <c r="S110" s="3" t="str">
        <f t="shared" si="65"/>
        <v/>
      </c>
      <c r="T110" s="4" t="str">
        <f t="shared" si="66"/>
        <v/>
      </c>
      <c r="U110" s="5" t="str">
        <f t="shared" si="67"/>
        <v/>
      </c>
      <c r="V110" s="7" t="str">
        <f>IF(W110="","",IF(LOOKUP(W110,'Extration 3E date commande'!$A$6:$A$10000)=W110,LOOKUP(W110,'Extration 3E date commande'!$A$6:$A$10000,'Extration 3E date commande'!$C$6:$C$10000),"PAS DE DATE"))</f>
        <v/>
      </c>
    </row>
    <row r="111" spans="1:22" x14ac:dyDescent="0.25">
      <c r="A111" s="3" t="str">
        <f t="shared" si="57"/>
        <v/>
      </c>
      <c r="B111" s="3" t="str">
        <f t="shared" si="58"/>
        <v/>
      </c>
      <c r="C111" s="3" t="str">
        <f t="shared" si="55"/>
        <v/>
      </c>
      <c r="D111" s="3" t="str">
        <f t="shared" si="51"/>
        <v/>
      </c>
      <c r="E111" s="3" t="str">
        <f t="shared" si="52"/>
        <v/>
      </c>
      <c r="F111" s="3" t="str">
        <f t="shared" si="53"/>
        <v/>
      </c>
      <c r="G111" s="3" t="str">
        <f t="shared" si="54"/>
        <v/>
      </c>
      <c r="H111" s="3" t="str">
        <f t="shared" si="59"/>
        <v/>
      </c>
      <c r="I111" s="3" t="str">
        <f t="shared" si="60"/>
        <v/>
      </c>
      <c r="J111" s="2" t="str">
        <f t="shared" si="61"/>
        <v/>
      </c>
      <c r="K111" s="2" t="str">
        <f>IF(W111="","",LOOKUP('Extraction edi'!J111,Paramètrage!$A$6:$A$179,Paramètrage!$B$6:$B$179))</f>
        <v/>
      </c>
      <c r="L111" s="2" t="str">
        <f>IF(W111="","",LOOKUP('Extraction edi'!J111,Paramètrage!$A$6:$A$179,Paramètrage!$C$6:$C$179))</f>
        <v/>
      </c>
      <c r="M111" s="2" t="str">
        <f>IF(W111="","",LOOKUP('Extraction edi'!J111,Paramètrage!$A$6:$A$179,Paramètrage!$D$6:$D$179))</f>
        <v/>
      </c>
      <c r="N111" s="3" t="str">
        <f>IF(W111="","",LOOKUP('Extraction edi'!J111,Paramètrage!$A$6:$A$179,Paramètrage!$E$6:$E$179))</f>
        <v/>
      </c>
      <c r="O111" s="3" t="str">
        <f t="shared" si="62"/>
        <v/>
      </c>
      <c r="P111" s="3" t="str">
        <f t="shared" si="63"/>
        <v/>
      </c>
      <c r="Q111" s="3" t="str">
        <f t="shared" si="56"/>
        <v/>
      </c>
      <c r="R111" s="3" t="str">
        <f t="shared" si="64"/>
        <v/>
      </c>
      <c r="S111" s="3" t="str">
        <f t="shared" si="65"/>
        <v/>
      </c>
      <c r="T111" s="4" t="str">
        <f t="shared" si="66"/>
        <v/>
      </c>
      <c r="U111" s="5" t="str">
        <f t="shared" si="67"/>
        <v/>
      </c>
      <c r="V111" s="7" t="str">
        <f>IF(W111="","",IF(LOOKUP(W111,'Extration 3E date commande'!$A$6:$A$10000)=W111,LOOKUP(W111,'Extration 3E date commande'!$A$6:$A$10000,'Extration 3E date commande'!$C$6:$C$10000),"PAS DE DATE"))</f>
        <v/>
      </c>
    </row>
    <row r="112" spans="1:22" x14ac:dyDescent="0.25">
      <c r="A112" s="3" t="str">
        <f t="shared" si="57"/>
        <v/>
      </c>
      <c r="B112" s="3" t="str">
        <f t="shared" si="58"/>
        <v/>
      </c>
      <c r="C112" s="3" t="str">
        <f t="shared" si="55"/>
        <v/>
      </c>
      <c r="D112" s="3" t="str">
        <f t="shared" si="51"/>
        <v/>
      </c>
      <c r="E112" s="3" t="str">
        <f t="shared" si="52"/>
        <v/>
      </c>
      <c r="F112" s="3" t="str">
        <f t="shared" si="53"/>
        <v/>
      </c>
      <c r="G112" s="3" t="str">
        <f t="shared" si="54"/>
        <v/>
      </c>
      <c r="H112" s="3" t="str">
        <f t="shared" si="59"/>
        <v/>
      </c>
      <c r="I112" s="3" t="str">
        <f t="shared" si="60"/>
        <v/>
      </c>
      <c r="J112" s="2" t="str">
        <f t="shared" si="61"/>
        <v/>
      </c>
      <c r="K112" s="2" t="str">
        <f>IF(W112="","",LOOKUP('Extraction edi'!J112,Paramètrage!$A$6:$A$179,Paramètrage!$B$6:$B$179))</f>
        <v/>
      </c>
      <c r="L112" s="2" t="str">
        <f>IF(W112="","",LOOKUP('Extraction edi'!J112,Paramètrage!$A$6:$A$179,Paramètrage!$C$6:$C$179))</f>
        <v/>
      </c>
      <c r="M112" s="2" t="str">
        <f>IF(W112="","",LOOKUP('Extraction edi'!J112,Paramètrage!$A$6:$A$179,Paramètrage!$D$6:$D$179))</f>
        <v/>
      </c>
      <c r="N112" s="3" t="str">
        <f>IF(W112="","",LOOKUP('Extraction edi'!J112,Paramètrage!$A$6:$A$179,Paramètrage!$E$6:$E$179))</f>
        <v/>
      </c>
      <c r="O112" s="3" t="str">
        <f t="shared" si="62"/>
        <v/>
      </c>
      <c r="P112" s="3" t="str">
        <f t="shared" si="63"/>
        <v/>
      </c>
      <c r="Q112" s="3" t="str">
        <f t="shared" si="56"/>
        <v/>
      </c>
      <c r="R112" s="3" t="str">
        <f t="shared" si="64"/>
        <v/>
      </c>
      <c r="S112" s="3" t="str">
        <f t="shared" si="65"/>
        <v/>
      </c>
      <c r="T112" s="4" t="str">
        <f t="shared" si="66"/>
        <v/>
      </c>
      <c r="U112" s="5" t="str">
        <f t="shared" si="67"/>
        <v/>
      </c>
      <c r="V112" s="7" t="str">
        <f>IF(W112="","",IF(LOOKUP(W112,'Extration 3E date commande'!$A$6:$A$10000)=W112,LOOKUP(W112,'Extration 3E date commande'!$A$6:$A$10000,'Extration 3E date commande'!$C$6:$C$10000),"PAS DE DATE"))</f>
        <v/>
      </c>
    </row>
    <row r="113" spans="1:22" x14ac:dyDescent="0.25">
      <c r="A113" s="3" t="str">
        <f t="shared" si="57"/>
        <v/>
      </c>
      <c r="B113" s="3" t="str">
        <f t="shared" si="58"/>
        <v/>
      </c>
      <c r="C113" s="3" t="str">
        <f t="shared" si="55"/>
        <v/>
      </c>
      <c r="D113" s="3" t="str">
        <f t="shared" si="51"/>
        <v/>
      </c>
      <c r="E113" s="3" t="str">
        <f t="shared" si="52"/>
        <v/>
      </c>
      <c r="F113" s="3" t="str">
        <f t="shared" si="53"/>
        <v/>
      </c>
      <c r="G113" s="3" t="str">
        <f t="shared" si="54"/>
        <v/>
      </c>
      <c r="H113" s="3" t="str">
        <f t="shared" si="59"/>
        <v/>
      </c>
      <c r="I113" s="3" t="str">
        <f t="shared" si="60"/>
        <v/>
      </c>
      <c r="J113" s="2" t="str">
        <f t="shared" si="61"/>
        <v/>
      </c>
      <c r="K113" s="2" t="str">
        <f>IF(W113="","",LOOKUP('Extraction edi'!J113,Paramètrage!$A$6:$A$179,Paramètrage!$B$6:$B$179))</f>
        <v/>
      </c>
      <c r="L113" s="2" t="str">
        <f>IF(W113="","",LOOKUP('Extraction edi'!J113,Paramètrage!$A$6:$A$179,Paramètrage!$C$6:$C$179))</f>
        <v/>
      </c>
      <c r="M113" s="2" t="str">
        <f>IF(W113="","",LOOKUP('Extraction edi'!J113,Paramètrage!$A$6:$A$179,Paramètrage!$D$6:$D$179))</f>
        <v/>
      </c>
      <c r="N113" s="3" t="str">
        <f>IF(W113="","",LOOKUP('Extraction edi'!J113,Paramètrage!$A$6:$A$179,Paramètrage!$E$6:$E$179))</f>
        <v/>
      </c>
      <c r="O113" s="3" t="str">
        <f t="shared" si="62"/>
        <v/>
      </c>
      <c r="P113" s="3" t="str">
        <f t="shared" si="63"/>
        <v/>
      </c>
      <c r="Q113" s="3" t="str">
        <f t="shared" si="56"/>
        <v/>
      </c>
      <c r="R113" s="3" t="str">
        <f t="shared" si="64"/>
        <v/>
      </c>
      <c r="S113" s="3" t="str">
        <f t="shared" si="65"/>
        <v/>
      </c>
      <c r="T113" s="4" t="str">
        <f t="shared" si="66"/>
        <v/>
      </c>
      <c r="U113" s="5" t="str">
        <f t="shared" si="67"/>
        <v/>
      </c>
      <c r="V113" s="7" t="str">
        <f>IF(W113="","",IF(LOOKUP(W113,'Extration 3E date commande'!$A$6:$A$10000)=W113,LOOKUP(W113,'Extration 3E date commande'!$A$6:$A$10000,'Extration 3E date commande'!$C$6:$C$10000),"PAS DE DATE"))</f>
        <v/>
      </c>
    </row>
    <row r="114" spans="1:22" x14ac:dyDescent="0.25">
      <c r="A114" s="3" t="str">
        <f t="shared" si="57"/>
        <v/>
      </c>
      <c r="B114" s="3" t="str">
        <f t="shared" si="58"/>
        <v/>
      </c>
      <c r="C114" s="3" t="str">
        <f t="shared" si="55"/>
        <v/>
      </c>
      <c r="D114" s="3" t="str">
        <f t="shared" si="51"/>
        <v/>
      </c>
      <c r="E114" s="3" t="str">
        <f t="shared" si="52"/>
        <v/>
      </c>
      <c r="F114" s="3" t="str">
        <f t="shared" si="53"/>
        <v/>
      </c>
      <c r="G114" s="3" t="str">
        <f t="shared" si="54"/>
        <v/>
      </c>
      <c r="H114" s="3" t="str">
        <f t="shared" si="59"/>
        <v/>
      </c>
      <c r="I114" s="3" t="str">
        <f t="shared" si="60"/>
        <v/>
      </c>
      <c r="J114" s="2" t="str">
        <f t="shared" si="61"/>
        <v/>
      </c>
      <c r="K114" s="2" t="str">
        <f>IF(W114="","",LOOKUP('Extraction edi'!J114,Paramètrage!$A$6:$A$179,Paramètrage!$B$6:$B$179))</f>
        <v/>
      </c>
      <c r="L114" s="2" t="str">
        <f>IF(W114="","",LOOKUP('Extraction edi'!J114,Paramètrage!$A$6:$A$179,Paramètrage!$C$6:$C$179))</f>
        <v/>
      </c>
      <c r="M114" s="2" t="str">
        <f>IF(W114="","",LOOKUP('Extraction edi'!J114,Paramètrage!$A$6:$A$179,Paramètrage!$D$6:$D$179))</f>
        <v/>
      </c>
      <c r="N114" s="3" t="str">
        <f>IF(W114="","",LOOKUP('Extraction edi'!J114,Paramètrage!$A$6:$A$179,Paramètrage!$E$6:$E$179))</f>
        <v/>
      </c>
      <c r="O114" s="3" t="str">
        <f t="shared" si="62"/>
        <v/>
      </c>
      <c r="P114" s="3" t="str">
        <f t="shared" si="63"/>
        <v/>
      </c>
      <c r="Q114" s="3" t="str">
        <f t="shared" si="56"/>
        <v/>
      </c>
      <c r="R114" s="3" t="str">
        <f t="shared" si="64"/>
        <v/>
      </c>
      <c r="S114" s="3" t="str">
        <f t="shared" si="65"/>
        <v/>
      </c>
      <c r="T114" s="4" t="str">
        <f t="shared" si="66"/>
        <v/>
      </c>
      <c r="U114" s="5" t="str">
        <f t="shared" si="67"/>
        <v/>
      </c>
      <c r="V114" s="7" t="str">
        <f>IF(W114="","",IF(LOOKUP(W114,'Extration 3E date commande'!$A$6:$A$10000)=W114,LOOKUP(W114,'Extration 3E date commande'!$A$6:$A$10000,'Extration 3E date commande'!$C$6:$C$10000),"PAS DE DATE"))</f>
        <v/>
      </c>
    </row>
    <row r="115" spans="1:22" x14ac:dyDescent="0.25">
      <c r="A115" s="3" t="str">
        <f t="shared" si="57"/>
        <v/>
      </c>
      <c r="B115" s="3" t="str">
        <f t="shared" si="58"/>
        <v/>
      </c>
      <c r="C115" s="3" t="str">
        <f t="shared" si="55"/>
        <v/>
      </c>
      <c r="D115" s="3" t="str">
        <f t="shared" si="51"/>
        <v/>
      </c>
      <c r="E115" s="3" t="str">
        <f t="shared" si="52"/>
        <v/>
      </c>
      <c r="F115" s="3" t="str">
        <f t="shared" si="53"/>
        <v/>
      </c>
      <c r="G115" s="3" t="str">
        <f t="shared" si="54"/>
        <v/>
      </c>
      <c r="H115" s="3" t="str">
        <f t="shared" si="59"/>
        <v/>
      </c>
      <c r="I115" s="3" t="str">
        <f t="shared" si="60"/>
        <v/>
      </c>
      <c r="J115" s="2" t="str">
        <f t="shared" si="61"/>
        <v/>
      </c>
      <c r="K115" s="2" t="str">
        <f>IF(W115="","",LOOKUP('Extraction edi'!J115,Paramètrage!$A$6:$A$179,Paramètrage!$B$6:$B$179))</f>
        <v/>
      </c>
      <c r="L115" s="2" t="str">
        <f>IF(W115="","",LOOKUP('Extraction edi'!J115,Paramètrage!$A$6:$A$179,Paramètrage!$C$6:$C$179))</f>
        <v/>
      </c>
      <c r="M115" s="2" t="str">
        <f>IF(W115="","",LOOKUP('Extraction edi'!J115,Paramètrage!$A$6:$A$179,Paramètrage!$D$6:$D$179))</f>
        <v/>
      </c>
      <c r="N115" s="3" t="str">
        <f>IF(W115="","",LOOKUP('Extraction edi'!J115,Paramètrage!$A$6:$A$179,Paramètrage!$E$6:$E$179))</f>
        <v/>
      </c>
      <c r="O115" s="3" t="str">
        <f t="shared" si="62"/>
        <v/>
      </c>
      <c r="P115" s="3" t="str">
        <f t="shared" si="63"/>
        <v/>
      </c>
      <c r="Q115" s="3" t="str">
        <f t="shared" si="56"/>
        <v/>
      </c>
      <c r="R115" s="3" t="str">
        <f t="shared" si="64"/>
        <v/>
      </c>
      <c r="S115" s="3" t="str">
        <f t="shared" si="65"/>
        <v/>
      </c>
      <c r="T115" s="4" t="str">
        <f t="shared" si="66"/>
        <v/>
      </c>
      <c r="U115" s="5" t="str">
        <f t="shared" si="67"/>
        <v/>
      </c>
      <c r="V115" s="7" t="str">
        <f>IF(W115="","",IF(LOOKUP(W115,'Extration 3E date commande'!$A$6:$A$10000)=W115,LOOKUP(W115,'Extration 3E date commande'!$A$6:$A$10000,'Extration 3E date commande'!$C$6:$C$10000),"PAS DE DATE"))</f>
        <v/>
      </c>
    </row>
    <row r="116" spans="1:22" x14ac:dyDescent="0.25">
      <c r="A116" s="3" t="str">
        <f t="shared" si="57"/>
        <v/>
      </c>
      <c r="B116" s="3" t="str">
        <f t="shared" si="58"/>
        <v/>
      </c>
      <c r="C116" s="3" t="str">
        <f t="shared" si="55"/>
        <v/>
      </c>
      <c r="D116" s="3" t="str">
        <f t="shared" si="51"/>
        <v/>
      </c>
      <c r="E116" s="3" t="str">
        <f t="shared" si="52"/>
        <v/>
      </c>
      <c r="F116" s="3" t="str">
        <f t="shared" si="53"/>
        <v/>
      </c>
      <c r="G116" s="3" t="str">
        <f t="shared" si="54"/>
        <v/>
      </c>
      <c r="H116" s="3" t="str">
        <f t="shared" si="59"/>
        <v/>
      </c>
      <c r="I116" s="3" t="str">
        <f t="shared" si="60"/>
        <v/>
      </c>
      <c r="J116" s="2" t="str">
        <f t="shared" si="61"/>
        <v/>
      </c>
      <c r="K116" s="2" t="str">
        <f>IF(W116="","",LOOKUP('Extraction edi'!J116,Paramètrage!$A$6:$A$179,Paramètrage!$B$6:$B$179))</f>
        <v/>
      </c>
      <c r="L116" s="2" t="str">
        <f>IF(W116="","",LOOKUP('Extraction edi'!J116,Paramètrage!$A$6:$A$179,Paramètrage!$C$6:$C$179))</f>
        <v/>
      </c>
      <c r="M116" s="2" t="str">
        <f>IF(W116="","",LOOKUP('Extraction edi'!J116,Paramètrage!$A$6:$A$179,Paramètrage!$D$6:$D$179))</f>
        <v/>
      </c>
      <c r="N116" s="3" t="str">
        <f>IF(W116="","",LOOKUP('Extraction edi'!J116,Paramètrage!$A$6:$A$179,Paramètrage!$E$6:$E$179))</f>
        <v/>
      </c>
      <c r="O116" s="3" t="str">
        <f t="shared" si="62"/>
        <v/>
      </c>
      <c r="P116" s="3" t="str">
        <f t="shared" si="63"/>
        <v/>
      </c>
      <c r="Q116" s="3" t="str">
        <f t="shared" si="56"/>
        <v/>
      </c>
      <c r="R116" s="3" t="str">
        <f t="shared" si="64"/>
        <v/>
      </c>
      <c r="S116" s="3" t="str">
        <f t="shared" si="65"/>
        <v/>
      </c>
      <c r="T116" s="4" t="str">
        <f t="shared" si="66"/>
        <v/>
      </c>
      <c r="U116" s="5" t="str">
        <f t="shared" si="67"/>
        <v/>
      </c>
      <c r="V116" s="7" t="str">
        <f>IF(W116="","",IF(LOOKUP(W116,'Extration 3E date commande'!$A$6:$A$10000)=W116,LOOKUP(W116,'Extration 3E date commande'!$A$6:$A$10000,'Extration 3E date commande'!$C$6:$C$10000),"PAS DE DATE"))</f>
        <v/>
      </c>
    </row>
    <row r="117" spans="1:22" x14ac:dyDescent="0.25">
      <c r="A117" s="3" t="str">
        <f t="shared" si="57"/>
        <v/>
      </c>
      <c r="B117" s="3" t="str">
        <f t="shared" si="58"/>
        <v/>
      </c>
      <c r="C117" s="3" t="str">
        <f t="shared" si="55"/>
        <v/>
      </c>
      <c r="D117" s="3" t="str">
        <f t="shared" si="51"/>
        <v/>
      </c>
      <c r="E117" s="3" t="str">
        <f t="shared" si="52"/>
        <v/>
      </c>
      <c r="F117" s="3" t="str">
        <f t="shared" si="53"/>
        <v/>
      </c>
      <c r="G117" s="3" t="str">
        <f t="shared" si="54"/>
        <v/>
      </c>
      <c r="H117" s="3" t="str">
        <f t="shared" si="59"/>
        <v/>
      </c>
      <c r="I117" s="3" t="str">
        <f t="shared" si="60"/>
        <v/>
      </c>
      <c r="J117" s="2" t="str">
        <f t="shared" si="61"/>
        <v/>
      </c>
      <c r="K117" s="2" t="str">
        <f>IF(W117="","",LOOKUP('Extraction edi'!J117,Paramètrage!$A$6:$A$179,Paramètrage!$B$6:$B$179))</f>
        <v/>
      </c>
      <c r="L117" s="2" t="str">
        <f>IF(W117="","",LOOKUP('Extraction edi'!J117,Paramètrage!$A$6:$A$179,Paramètrage!$C$6:$C$179))</f>
        <v/>
      </c>
      <c r="M117" s="2" t="str">
        <f>IF(W117="","",LOOKUP('Extraction edi'!J117,Paramètrage!$A$6:$A$179,Paramètrage!$D$6:$D$179))</f>
        <v/>
      </c>
      <c r="N117" s="3" t="str">
        <f>IF(W117="","",LOOKUP('Extraction edi'!J117,Paramètrage!$A$6:$A$179,Paramètrage!$E$6:$E$179))</f>
        <v/>
      </c>
      <c r="O117" s="3" t="str">
        <f t="shared" si="62"/>
        <v/>
      </c>
      <c r="P117" s="3" t="str">
        <f t="shared" si="63"/>
        <v/>
      </c>
      <c r="Q117" s="3" t="str">
        <f t="shared" si="56"/>
        <v/>
      </c>
      <c r="R117" s="3" t="str">
        <f t="shared" si="64"/>
        <v/>
      </c>
      <c r="S117" s="3" t="str">
        <f t="shared" si="65"/>
        <v/>
      </c>
      <c r="T117" s="4" t="str">
        <f t="shared" si="66"/>
        <v/>
      </c>
      <c r="U117" s="5" t="str">
        <f t="shared" si="67"/>
        <v/>
      </c>
      <c r="V117" s="7" t="str">
        <f>IF(W117="","",IF(LOOKUP(W117,'Extration 3E date commande'!$A$6:$A$10000)=W117,LOOKUP(W117,'Extration 3E date commande'!$A$6:$A$10000,'Extration 3E date commande'!$C$6:$C$10000),"PAS DE DATE"))</f>
        <v/>
      </c>
    </row>
    <row r="118" spans="1:22" x14ac:dyDescent="0.25">
      <c r="A118" s="3" t="str">
        <f t="shared" si="57"/>
        <v/>
      </c>
      <c r="B118" s="3" t="str">
        <f t="shared" si="58"/>
        <v/>
      </c>
      <c r="C118" s="3" t="str">
        <f t="shared" si="55"/>
        <v/>
      </c>
      <c r="D118" s="3" t="str">
        <f t="shared" si="51"/>
        <v/>
      </c>
      <c r="E118" s="3" t="str">
        <f t="shared" si="52"/>
        <v/>
      </c>
      <c r="F118" s="3" t="str">
        <f t="shared" si="53"/>
        <v/>
      </c>
      <c r="G118" s="3" t="str">
        <f t="shared" si="54"/>
        <v/>
      </c>
      <c r="H118" s="3" t="str">
        <f t="shared" si="59"/>
        <v/>
      </c>
      <c r="I118" s="3" t="str">
        <f t="shared" si="60"/>
        <v/>
      </c>
      <c r="J118" s="2" t="str">
        <f t="shared" si="61"/>
        <v/>
      </c>
      <c r="K118" s="2" t="str">
        <f>IF(W118="","",LOOKUP('Extraction edi'!J118,Paramètrage!$A$6:$A$179,Paramètrage!$B$6:$B$179))</f>
        <v/>
      </c>
      <c r="L118" s="2" t="str">
        <f>IF(W118="","",LOOKUP('Extraction edi'!J118,Paramètrage!$A$6:$A$179,Paramètrage!$C$6:$C$179))</f>
        <v/>
      </c>
      <c r="M118" s="2" t="str">
        <f>IF(W118="","",LOOKUP('Extraction edi'!J118,Paramètrage!$A$6:$A$179,Paramètrage!$D$6:$D$179))</f>
        <v/>
      </c>
      <c r="N118" s="3" t="str">
        <f>IF(W118="","",LOOKUP('Extraction edi'!J118,Paramètrage!$A$6:$A$179,Paramètrage!$E$6:$E$179))</f>
        <v/>
      </c>
      <c r="O118" s="3" t="str">
        <f t="shared" si="62"/>
        <v/>
      </c>
      <c r="P118" s="3" t="str">
        <f t="shared" si="63"/>
        <v/>
      </c>
      <c r="Q118" s="3" t="str">
        <f t="shared" si="56"/>
        <v/>
      </c>
      <c r="R118" s="3" t="str">
        <f t="shared" si="64"/>
        <v/>
      </c>
      <c r="S118" s="3" t="str">
        <f t="shared" si="65"/>
        <v/>
      </c>
      <c r="T118" s="4" t="str">
        <f t="shared" si="66"/>
        <v/>
      </c>
      <c r="U118" s="5" t="str">
        <f t="shared" si="67"/>
        <v/>
      </c>
      <c r="V118" s="7" t="str">
        <f>IF(W118="","",IF(LOOKUP(W118,'Extration 3E date commande'!$A$6:$A$10000)=W118,LOOKUP(W118,'Extration 3E date commande'!$A$6:$A$10000,'Extration 3E date commande'!$C$6:$C$10000),"PAS DE DATE"))</f>
        <v/>
      </c>
    </row>
    <row r="119" spans="1:22" x14ac:dyDescent="0.25">
      <c r="A119" s="3" t="str">
        <f t="shared" si="57"/>
        <v/>
      </c>
      <c r="B119" s="3" t="str">
        <f t="shared" si="58"/>
        <v/>
      </c>
      <c r="C119" s="3" t="str">
        <f t="shared" si="55"/>
        <v/>
      </c>
      <c r="D119" s="3" t="str">
        <f t="shared" si="51"/>
        <v/>
      </c>
      <c r="E119" s="3" t="str">
        <f t="shared" si="52"/>
        <v/>
      </c>
      <c r="F119" s="3" t="str">
        <f t="shared" si="53"/>
        <v/>
      </c>
      <c r="G119" s="3" t="str">
        <f t="shared" si="54"/>
        <v/>
      </c>
      <c r="H119" s="3" t="str">
        <f t="shared" si="59"/>
        <v/>
      </c>
      <c r="I119" s="3" t="str">
        <f t="shared" si="60"/>
        <v/>
      </c>
      <c r="J119" s="2" t="str">
        <f t="shared" si="61"/>
        <v/>
      </c>
      <c r="K119" s="2" t="str">
        <f>IF(W119="","",LOOKUP('Extraction edi'!J119,Paramètrage!$A$6:$A$179,Paramètrage!$B$6:$B$179))</f>
        <v/>
      </c>
      <c r="L119" s="2" t="str">
        <f>IF(W119="","",LOOKUP('Extraction edi'!J119,Paramètrage!$A$6:$A$179,Paramètrage!$C$6:$C$179))</f>
        <v/>
      </c>
      <c r="M119" s="2" t="str">
        <f>IF(W119="","",LOOKUP('Extraction edi'!J119,Paramètrage!$A$6:$A$179,Paramètrage!$D$6:$D$179))</f>
        <v/>
      </c>
      <c r="N119" s="3" t="str">
        <f>IF(W119="","",LOOKUP('Extraction edi'!J119,Paramètrage!$A$6:$A$179,Paramètrage!$E$6:$E$179))</f>
        <v/>
      </c>
      <c r="O119" s="3" t="str">
        <f t="shared" si="62"/>
        <v/>
      </c>
      <c r="P119" s="3" t="str">
        <f t="shared" si="63"/>
        <v/>
      </c>
      <c r="Q119" s="3" t="str">
        <f t="shared" si="56"/>
        <v/>
      </c>
      <c r="R119" s="3" t="str">
        <f t="shared" si="64"/>
        <v/>
      </c>
      <c r="S119" s="3" t="str">
        <f t="shared" si="65"/>
        <v/>
      </c>
      <c r="T119" s="4" t="str">
        <f t="shared" si="66"/>
        <v/>
      </c>
      <c r="U119" s="5" t="str">
        <f t="shared" si="67"/>
        <v/>
      </c>
      <c r="V119" s="7" t="str">
        <f>IF(W119="","",IF(LOOKUP(W119,'Extration 3E date commande'!$A$6:$A$10000)=W119,LOOKUP(W119,'Extration 3E date commande'!$A$6:$A$10000,'Extration 3E date commande'!$C$6:$C$10000),"PAS DE DATE"))</f>
        <v/>
      </c>
    </row>
    <row r="120" spans="1:22" x14ac:dyDescent="0.25">
      <c r="A120" s="3" t="str">
        <f t="shared" si="57"/>
        <v/>
      </c>
      <c r="B120" s="3" t="str">
        <f t="shared" si="58"/>
        <v/>
      </c>
      <c r="C120" s="3" t="str">
        <f t="shared" si="55"/>
        <v/>
      </c>
      <c r="D120" s="3" t="str">
        <f t="shared" si="51"/>
        <v/>
      </c>
      <c r="E120" s="3" t="str">
        <f t="shared" si="52"/>
        <v/>
      </c>
      <c r="F120" s="3" t="str">
        <f t="shared" si="53"/>
        <v/>
      </c>
      <c r="G120" s="3" t="str">
        <f t="shared" si="54"/>
        <v/>
      </c>
      <c r="H120" s="3" t="str">
        <f t="shared" si="59"/>
        <v/>
      </c>
      <c r="I120" s="3" t="str">
        <f t="shared" si="60"/>
        <v/>
      </c>
      <c r="J120" s="2" t="str">
        <f t="shared" si="61"/>
        <v/>
      </c>
      <c r="K120" s="2" t="str">
        <f>IF(W120="","",LOOKUP('Extraction edi'!J120,Paramètrage!$A$6:$A$179,Paramètrage!$B$6:$B$179))</f>
        <v/>
      </c>
      <c r="L120" s="2" t="str">
        <f>IF(W120="","",LOOKUP('Extraction edi'!J120,Paramètrage!$A$6:$A$179,Paramètrage!$C$6:$C$179))</f>
        <v/>
      </c>
      <c r="M120" s="2" t="str">
        <f>IF(W120="","",LOOKUP('Extraction edi'!J120,Paramètrage!$A$6:$A$179,Paramètrage!$D$6:$D$179))</f>
        <v/>
      </c>
      <c r="N120" s="3" t="str">
        <f>IF(W120="","",LOOKUP('Extraction edi'!J120,Paramètrage!$A$6:$A$179,Paramètrage!$E$6:$E$179))</f>
        <v/>
      </c>
      <c r="O120" s="3" t="str">
        <f t="shared" si="62"/>
        <v/>
      </c>
      <c r="P120" s="3" t="str">
        <f t="shared" si="63"/>
        <v/>
      </c>
      <c r="Q120" s="3" t="str">
        <f t="shared" si="56"/>
        <v/>
      </c>
      <c r="R120" s="3" t="str">
        <f t="shared" si="64"/>
        <v/>
      </c>
      <c r="S120" s="3" t="str">
        <f t="shared" si="65"/>
        <v/>
      </c>
      <c r="T120" s="4" t="str">
        <f t="shared" si="66"/>
        <v/>
      </c>
      <c r="U120" s="5" t="str">
        <f t="shared" si="67"/>
        <v/>
      </c>
      <c r="V120" s="7" t="str">
        <f>IF(W120="","",IF(LOOKUP(W120,'Extration 3E date commande'!$A$6:$A$10000)=W120,LOOKUP(W120,'Extration 3E date commande'!$A$6:$A$10000,'Extration 3E date commande'!$C$6:$C$10000),"PAS DE DATE"))</f>
        <v/>
      </c>
    </row>
    <row r="121" spans="1:22" x14ac:dyDescent="0.25">
      <c r="A121" s="3" t="str">
        <f t="shared" si="57"/>
        <v/>
      </c>
      <c r="B121" s="3" t="str">
        <f t="shared" si="58"/>
        <v/>
      </c>
      <c r="C121" s="3" t="str">
        <f t="shared" si="55"/>
        <v/>
      </c>
      <c r="D121" s="3" t="str">
        <f t="shared" si="51"/>
        <v/>
      </c>
      <c r="E121" s="3" t="str">
        <f t="shared" si="52"/>
        <v/>
      </c>
      <c r="F121" s="3" t="str">
        <f t="shared" si="53"/>
        <v/>
      </c>
      <c r="G121" s="3" t="str">
        <f t="shared" si="54"/>
        <v/>
      </c>
      <c r="H121" s="3" t="str">
        <f t="shared" si="59"/>
        <v/>
      </c>
      <c r="I121" s="3" t="str">
        <f t="shared" si="60"/>
        <v/>
      </c>
      <c r="J121" s="2" t="str">
        <f t="shared" si="61"/>
        <v/>
      </c>
      <c r="K121" s="2" t="str">
        <f>IF(W121="","",LOOKUP('Extraction edi'!J121,Paramètrage!$A$6:$A$179,Paramètrage!$B$6:$B$179))</f>
        <v/>
      </c>
      <c r="L121" s="2" t="str">
        <f>IF(W121="","",LOOKUP('Extraction edi'!J121,Paramètrage!$A$6:$A$179,Paramètrage!$C$6:$C$179))</f>
        <v/>
      </c>
      <c r="M121" s="2" t="str">
        <f>IF(W121="","",LOOKUP('Extraction edi'!J121,Paramètrage!$A$6:$A$179,Paramètrage!$D$6:$D$179))</f>
        <v/>
      </c>
      <c r="N121" s="3" t="str">
        <f>IF(W121="","",LOOKUP('Extraction edi'!J121,Paramètrage!$A$6:$A$179,Paramètrage!$E$6:$E$179))</f>
        <v/>
      </c>
      <c r="O121" s="3" t="str">
        <f t="shared" si="62"/>
        <v/>
      </c>
      <c r="P121" s="3" t="str">
        <f t="shared" si="63"/>
        <v/>
      </c>
      <c r="Q121" s="3" t="str">
        <f t="shared" si="56"/>
        <v/>
      </c>
      <c r="R121" s="3" t="str">
        <f t="shared" si="64"/>
        <v/>
      </c>
      <c r="S121" s="3" t="str">
        <f t="shared" si="65"/>
        <v/>
      </c>
      <c r="T121" s="4" t="str">
        <f t="shared" si="66"/>
        <v/>
      </c>
      <c r="U121" s="5" t="str">
        <f t="shared" si="67"/>
        <v/>
      </c>
      <c r="V121" s="7" t="str">
        <f>IF(W121="","",IF(LOOKUP(W121,'Extration 3E date commande'!$A$6:$A$10000)=W121,LOOKUP(W121,'Extration 3E date commande'!$A$6:$A$10000,'Extration 3E date commande'!$C$6:$C$10000),"PAS DE DATE"))</f>
        <v/>
      </c>
    </row>
    <row r="122" spans="1:22" x14ac:dyDescent="0.25">
      <c r="A122" s="3" t="str">
        <f t="shared" si="57"/>
        <v/>
      </c>
      <c r="B122" s="3" t="str">
        <f t="shared" si="58"/>
        <v/>
      </c>
      <c r="C122" s="3" t="str">
        <f t="shared" si="55"/>
        <v/>
      </c>
      <c r="D122" s="3" t="str">
        <f t="shared" si="51"/>
        <v/>
      </c>
      <c r="E122" s="3" t="str">
        <f t="shared" si="52"/>
        <v/>
      </c>
      <c r="F122" s="3" t="str">
        <f t="shared" si="53"/>
        <v/>
      </c>
      <c r="G122" s="3" t="str">
        <f t="shared" si="54"/>
        <v/>
      </c>
      <c r="H122" s="3" t="str">
        <f t="shared" si="59"/>
        <v/>
      </c>
      <c r="I122" s="3" t="str">
        <f t="shared" si="60"/>
        <v/>
      </c>
      <c r="J122" s="2" t="str">
        <f t="shared" si="61"/>
        <v/>
      </c>
      <c r="K122" s="2" t="str">
        <f>IF(W122="","",LOOKUP('Extraction edi'!J122,Paramètrage!$A$6:$A$179,Paramètrage!$B$6:$B$179))</f>
        <v/>
      </c>
      <c r="L122" s="2" t="str">
        <f>IF(W122="","",LOOKUP('Extraction edi'!J122,Paramètrage!$A$6:$A$179,Paramètrage!$C$6:$C$179))</f>
        <v/>
      </c>
      <c r="M122" s="2" t="str">
        <f>IF(W122="","",LOOKUP('Extraction edi'!J122,Paramètrage!$A$6:$A$179,Paramètrage!$D$6:$D$179))</f>
        <v/>
      </c>
      <c r="N122" s="3" t="str">
        <f>IF(W122="","",LOOKUP('Extraction edi'!J122,Paramètrage!$A$6:$A$179,Paramètrage!$E$6:$E$179))</f>
        <v/>
      </c>
      <c r="O122" s="3" t="str">
        <f t="shared" si="62"/>
        <v/>
      </c>
      <c r="P122" s="3" t="str">
        <f t="shared" si="63"/>
        <v/>
      </c>
      <c r="Q122" s="3" t="str">
        <f t="shared" si="56"/>
        <v/>
      </c>
      <c r="R122" s="3" t="str">
        <f t="shared" si="64"/>
        <v/>
      </c>
      <c r="S122" s="3" t="str">
        <f t="shared" si="65"/>
        <v/>
      </c>
      <c r="T122" s="4" t="str">
        <f t="shared" si="66"/>
        <v/>
      </c>
      <c r="U122" s="5" t="str">
        <f t="shared" si="67"/>
        <v/>
      </c>
      <c r="V122" s="7" t="str">
        <f>IF(W122="","",IF(LOOKUP(W122,'Extration 3E date commande'!$A$6:$A$10000)=W122,LOOKUP(W122,'Extration 3E date commande'!$A$6:$A$10000,'Extration 3E date commande'!$C$6:$C$10000),"PAS DE DATE"))</f>
        <v/>
      </c>
    </row>
    <row r="123" spans="1:22" x14ac:dyDescent="0.25">
      <c r="A123" s="3" t="str">
        <f t="shared" si="57"/>
        <v/>
      </c>
      <c r="B123" s="3" t="str">
        <f t="shared" si="58"/>
        <v/>
      </c>
      <c r="C123" s="3" t="str">
        <f t="shared" si="55"/>
        <v/>
      </c>
      <c r="D123" s="3" t="str">
        <f t="shared" si="51"/>
        <v/>
      </c>
      <c r="E123" s="3" t="str">
        <f t="shared" si="52"/>
        <v/>
      </c>
      <c r="F123" s="3" t="str">
        <f t="shared" si="53"/>
        <v/>
      </c>
      <c r="G123" s="3" t="str">
        <f t="shared" si="54"/>
        <v/>
      </c>
      <c r="H123" s="3" t="str">
        <f t="shared" si="59"/>
        <v/>
      </c>
      <c r="I123" s="3" t="str">
        <f t="shared" si="60"/>
        <v/>
      </c>
      <c r="J123" s="2" t="str">
        <f t="shared" si="61"/>
        <v/>
      </c>
      <c r="K123" s="2" t="str">
        <f>IF(W123="","",LOOKUP('Extraction edi'!J123,Paramètrage!$A$6:$A$179,Paramètrage!$B$6:$B$179))</f>
        <v/>
      </c>
      <c r="L123" s="2" t="str">
        <f>IF(W123="","",LOOKUP('Extraction edi'!J123,Paramètrage!$A$6:$A$179,Paramètrage!$C$6:$C$179))</f>
        <v/>
      </c>
      <c r="M123" s="2" t="str">
        <f>IF(W123="","",LOOKUP('Extraction edi'!J123,Paramètrage!$A$6:$A$179,Paramètrage!$D$6:$D$179))</f>
        <v/>
      </c>
      <c r="N123" s="3" t="str">
        <f>IF(W123="","",LOOKUP('Extraction edi'!J123,Paramètrage!$A$6:$A$179,Paramètrage!$E$6:$E$179))</f>
        <v/>
      </c>
      <c r="O123" s="3" t="str">
        <f t="shared" si="62"/>
        <v/>
      </c>
      <c r="P123" s="3" t="str">
        <f t="shared" si="63"/>
        <v/>
      </c>
      <c r="Q123" s="3" t="str">
        <f t="shared" si="56"/>
        <v/>
      </c>
      <c r="R123" s="3" t="str">
        <f t="shared" si="64"/>
        <v/>
      </c>
      <c r="S123" s="3" t="str">
        <f t="shared" si="65"/>
        <v/>
      </c>
      <c r="T123" s="4" t="str">
        <f t="shared" si="66"/>
        <v/>
      </c>
      <c r="U123" s="5" t="str">
        <f t="shared" si="67"/>
        <v/>
      </c>
      <c r="V123" s="7" t="str">
        <f>IF(W123="","",IF(LOOKUP(W123,'Extration 3E date commande'!$A$6:$A$10000)=W123,LOOKUP(W123,'Extration 3E date commande'!$A$6:$A$10000,'Extration 3E date commande'!$C$6:$C$10000),"PAS DE DATE"))</f>
        <v/>
      </c>
    </row>
    <row r="124" spans="1:22" x14ac:dyDescent="0.25">
      <c r="A124" s="3" t="str">
        <f t="shared" si="57"/>
        <v/>
      </c>
      <c r="B124" s="3" t="str">
        <f t="shared" si="58"/>
        <v/>
      </c>
      <c r="C124" s="3" t="str">
        <f t="shared" si="55"/>
        <v/>
      </c>
      <c r="D124" s="3" t="str">
        <f t="shared" si="51"/>
        <v/>
      </c>
      <c r="E124" s="3" t="str">
        <f t="shared" si="52"/>
        <v/>
      </c>
      <c r="F124" s="3" t="str">
        <f t="shared" si="53"/>
        <v/>
      </c>
      <c r="G124" s="3" t="str">
        <f t="shared" si="54"/>
        <v/>
      </c>
      <c r="H124" s="3" t="str">
        <f t="shared" si="59"/>
        <v/>
      </c>
      <c r="I124" s="3" t="str">
        <f t="shared" si="60"/>
        <v/>
      </c>
      <c r="J124" s="2" t="str">
        <f t="shared" si="61"/>
        <v/>
      </c>
      <c r="K124" s="2" t="str">
        <f>IF(W124="","",LOOKUP('Extraction edi'!J124,Paramètrage!$A$6:$A$179,Paramètrage!$B$6:$B$179))</f>
        <v/>
      </c>
      <c r="L124" s="2" t="str">
        <f>IF(W124="","",LOOKUP('Extraction edi'!J124,Paramètrage!$A$6:$A$179,Paramètrage!$C$6:$C$179))</f>
        <v/>
      </c>
      <c r="M124" s="2" t="str">
        <f>IF(W124="","",LOOKUP('Extraction edi'!J124,Paramètrage!$A$6:$A$179,Paramètrage!$D$6:$D$179))</f>
        <v/>
      </c>
      <c r="N124" s="3" t="str">
        <f>IF(W124="","",LOOKUP('Extraction edi'!J124,Paramètrage!$A$6:$A$179,Paramètrage!$E$6:$E$179))</f>
        <v/>
      </c>
      <c r="O124" s="3" t="str">
        <f t="shared" si="62"/>
        <v/>
      </c>
      <c r="P124" s="3" t="str">
        <f t="shared" si="63"/>
        <v/>
      </c>
      <c r="Q124" s="3" t="str">
        <f t="shared" si="56"/>
        <v/>
      </c>
      <c r="R124" s="3" t="str">
        <f t="shared" si="64"/>
        <v/>
      </c>
      <c r="S124" s="3" t="str">
        <f t="shared" si="65"/>
        <v/>
      </c>
      <c r="T124" s="4" t="str">
        <f t="shared" si="66"/>
        <v/>
      </c>
      <c r="U124" s="5" t="str">
        <f t="shared" si="67"/>
        <v/>
      </c>
      <c r="V124" s="7" t="str">
        <f>IF(W124="","",IF(LOOKUP(W124,'Extration 3E date commande'!$A$6:$A$10000)=W124,LOOKUP(W124,'Extration 3E date commande'!$A$6:$A$10000,'Extration 3E date commande'!$C$6:$C$10000),"PAS DE DATE"))</f>
        <v/>
      </c>
    </row>
    <row r="125" spans="1:22" x14ac:dyDescent="0.25">
      <c r="A125" s="3" t="str">
        <f t="shared" si="57"/>
        <v/>
      </c>
      <c r="B125" s="3" t="str">
        <f t="shared" si="58"/>
        <v/>
      </c>
      <c r="C125" s="3" t="str">
        <f t="shared" si="55"/>
        <v/>
      </c>
      <c r="D125" s="3" t="str">
        <f t="shared" si="51"/>
        <v/>
      </c>
      <c r="E125" s="3" t="str">
        <f t="shared" si="52"/>
        <v/>
      </c>
      <c r="F125" s="3" t="str">
        <f t="shared" si="53"/>
        <v/>
      </c>
      <c r="G125" s="3" t="str">
        <f t="shared" si="54"/>
        <v/>
      </c>
      <c r="H125" s="3" t="str">
        <f t="shared" si="59"/>
        <v/>
      </c>
      <c r="I125" s="3" t="str">
        <f t="shared" si="60"/>
        <v/>
      </c>
      <c r="J125" s="2" t="str">
        <f t="shared" si="61"/>
        <v/>
      </c>
      <c r="K125" s="2" t="str">
        <f>IF(W125="","",LOOKUP('Extraction edi'!J125,Paramètrage!$A$6:$A$179,Paramètrage!$B$6:$B$179))</f>
        <v/>
      </c>
      <c r="L125" s="2" t="str">
        <f>IF(W125="","",LOOKUP('Extraction edi'!J125,Paramètrage!$A$6:$A$179,Paramètrage!$C$6:$C$179))</f>
        <v/>
      </c>
      <c r="M125" s="2" t="str">
        <f>IF(W125="","",LOOKUP('Extraction edi'!J125,Paramètrage!$A$6:$A$179,Paramètrage!$D$6:$D$179))</f>
        <v/>
      </c>
      <c r="N125" s="3" t="str">
        <f>IF(W125="","",LOOKUP('Extraction edi'!J125,Paramètrage!$A$6:$A$179,Paramètrage!$E$6:$E$179))</f>
        <v/>
      </c>
      <c r="O125" s="3" t="str">
        <f t="shared" si="62"/>
        <v/>
      </c>
      <c r="P125" s="3" t="str">
        <f t="shared" si="63"/>
        <v/>
      </c>
      <c r="Q125" s="3" t="str">
        <f t="shared" si="56"/>
        <v/>
      </c>
      <c r="R125" s="3" t="str">
        <f t="shared" si="64"/>
        <v/>
      </c>
      <c r="S125" s="3" t="str">
        <f t="shared" si="65"/>
        <v/>
      </c>
      <c r="T125" s="4" t="str">
        <f t="shared" si="66"/>
        <v/>
      </c>
      <c r="U125" s="5" t="str">
        <f t="shared" si="67"/>
        <v/>
      </c>
      <c r="V125" s="7" t="str">
        <f>IF(W125="","",IF(LOOKUP(W125,'Extration 3E date commande'!$A$6:$A$10000)=W125,LOOKUP(W125,'Extration 3E date commande'!$A$6:$A$10000,'Extration 3E date commande'!$C$6:$C$10000),"PAS DE DATE"))</f>
        <v/>
      </c>
    </row>
    <row r="126" spans="1:22" x14ac:dyDescent="0.25">
      <c r="A126" s="3" t="str">
        <f t="shared" si="57"/>
        <v/>
      </c>
      <c r="B126" s="3" t="str">
        <f t="shared" si="58"/>
        <v/>
      </c>
      <c r="C126" s="3" t="str">
        <f t="shared" si="55"/>
        <v/>
      </c>
      <c r="D126" s="3" t="str">
        <f t="shared" si="51"/>
        <v/>
      </c>
      <c r="E126" s="3" t="str">
        <f t="shared" si="52"/>
        <v/>
      </c>
      <c r="F126" s="3" t="str">
        <f t="shared" si="53"/>
        <v/>
      </c>
      <c r="G126" s="3" t="str">
        <f t="shared" si="54"/>
        <v/>
      </c>
      <c r="H126" s="3" t="str">
        <f t="shared" si="59"/>
        <v/>
      </c>
      <c r="I126" s="3" t="str">
        <f t="shared" si="60"/>
        <v/>
      </c>
      <c r="J126" s="2" t="str">
        <f t="shared" si="61"/>
        <v/>
      </c>
      <c r="K126" s="2" t="str">
        <f>IF(W126="","",LOOKUP('Extraction edi'!J126,Paramètrage!$A$6:$A$179,Paramètrage!$B$6:$B$179))</f>
        <v/>
      </c>
      <c r="L126" s="2" t="str">
        <f>IF(W126="","",LOOKUP('Extraction edi'!J126,Paramètrage!$A$6:$A$179,Paramètrage!$C$6:$C$179))</f>
        <v/>
      </c>
      <c r="M126" s="2" t="str">
        <f>IF(W126="","",LOOKUP('Extraction edi'!J126,Paramètrage!$A$6:$A$179,Paramètrage!$D$6:$D$179))</f>
        <v/>
      </c>
      <c r="N126" s="3" t="str">
        <f>IF(W126="","",LOOKUP('Extraction edi'!J126,Paramètrage!$A$6:$A$179,Paramètrage!$E$6:$E$179))</f>
        <v/>
      </c>
      <c r="O126" s="3" t="str">
        <f t="shared" si="62"/>
        <v/>
      </c>
      <c r="P126" s="3" t="str">
        <f t="shared" si="63"/>
        <v/>
      </c>
      <c r="Q126" s="3" t="str">
        <f t="shared" si="56"/>
        <v/>
      </c>
      <c r="R126" s="3" t="str">
        <f t="shared" si="64"/>
        <v/>
      </c>
      <c r="S126" s="3" t="str">
        <f t="shared" si="65"/>
        <v/>
      </c>
      <c r="T126" s="4" t="str">
        <f t="shared" si="66"/>
        <v/>
      </c>
      <c r="U126" s="5" t="str">
        <f t="shared" si="67"/>
        <v/>
      </c>
      <c r="V126" s="7" t="str">
        <f>IF(W126="","",IF(LOOKUP(W126,'Extration 3E date commande'!$A$6:$A$10000)=W126,LOOKUP(W126,'Extration 3E date commande'!$A$6:$A$10000,'Extration 3E date commande'!$C$6:$C$10000),"PAS DE DATE"))</f>
        <v/>
      </c>
    </row>
    <row r="127" spans="1:22" x14ac:dyDescent="0.25">
      <c r="A127" s="3" t="str">
        <f t="shared" si="57"/>
        <v/>
      </c>
      <c r="B127" s="3" t="str">
        <f t="shared" si="58"/>
        <v/>
      </c>
      <c r="C127" s="3" t="str">
        <f t="shared" si="55"/>
        <v/>
      </c>
      <c r="D127" s="3" t="str">
        <f t="shared" si="51"/>
        <v/>
      </c>
      <c r="E127" s="3" t="str">
        <f t="shared" si="52"/>
        <v/>
      </c>
      <c r="F127" s="3" t="str">
        <f t="shared" si="53"/>
        <v/>
      </c>
      <c r="G127" s="3" t="str">
        <f t="shared" si="54"/>
        <v/>
      </c>
      <c r="H127" s="3" t="str">
        <f t="shared" si="59"/>
        <v/>
      </c>
      <c r="I127" s="3" t="str">
        <f t="shared" si="60"/>
        <v/>
      </c>
      <c r="J127" s="2" t="str">
        <f t="shared" si="61"/>
        <v/>
      </c>
      <c r="K127" s="2" t="str">
        <f>IF(W127="","",LOOKUP('Extraction edi'!J127,Paramètrage!$A$6:$A$179,Paramètrage!$B$6:$B$179))</f>
        <v/>
      </c>
      <c r="L127" s="2" t="str">
        <f>IF(W127="","",LOOKUP('Extraction edi'!J127,Paramètrage!$A$6:$A$179,Paramètrage!$C$6:$C$179))</f>
        <v/>
      </c>
      <c r="M127" s="2" t="str">
        <f>IF(W127="","",LOOKUP('Extraction edi'!J127,Paramètrage!$A$6:$A$179,Paramètrage!$D$6:$D$179))</f>
        <v/>
      </c>
      <c r="N127" s="3" t="str">
        <f>IF(W127="","",LOOKUP('Extraction edi'!J127,Paramètrage!$A$6:$A$179,Paramètrage!$E$6:$E$179))</f>
        <v/>
      </c>
      <c r="O127" s="3" t="str">
        <f t="shared" si="62"/>
        <v/>
      </c>
      <c r="P127" s="3" t="str">
        <f t="shared" si="63"/>
        <v/>
      </c>
      <c r="Q127" s="3" t="str">
        <f t="shared" si="56"/>
        <v/>
      </c>
      <c r="R127" s="3" t="str">
        <f t="shared" si="64"/>
        <v/>
      </c>
      <c r="S127" s="3" t="str">
        <f t="shared" si="65"/>
        <v/>
      </c>
      <c r="T127" s="4" t="str">
        <f t="shared" si="66"/>
        <v/>
      </c>
      <c r="U127" s="5" t="str">
        <f t="shared" si="67"/>
        <v/>
      </c>
      <c r="V127" s="7" t="str">
        <f>IF(W127="","",IF(LOOKUP(W127,'Extration 3E date commande'!$A$6:$A$10000)=W127,LOOKUP(W127,'Extration 3E date commande'!$A$6:$A$10000,'Extration 3E date commande'!$C$6:$C$10000),"PAS DE DATE"))</f>
        <v/>
      </c>
    </row>
    <row r="128" spans="1:22" x14ac:dyDescent="0.25">
      <c r="A128" s="3" t="str">
        <f t="shared" si="57"/>
        <v/>
      </c>
      <c r="B128" s="3" t="str">
        <f t="shared" si="58"/>
        <v/>
      </c>
      <c r="C128" s="3" t="str">
        <f t="shared" si="55"/>
        <v/>
      </c>
      <c r="D128" s="3" t="str">
        <f t="shared" si="51"/>
        <v/>
      </c>
      <c r="E128" s="3" t="str">
        <f t="shared" si="52"/>
        <v/>
      </c>
      <c r="F128" s="3" t="str">
        <f t="shared" si="53"/>
        <v/>
      </c>
      <c r="G128" s="3" t="str">
        <f t="shared" si="54"/>
        <v/>
      </c>
      <c r="H128" s="3" t="str">
        <f t="shared" si="59"/>
        <v/>
      </c>
      <c r="I128" s="3" t="str">
        <f t="shared" si="60"/>
        <v/>
      </c>
      <c r="J128" s="2" t="str">
        <f t="shared" si="61"/>
        <v/>
      </c>
      <c r="K128" s="2" t="str">
        <f>IF(W128="","",LOOKUP('Extraction edi'!J128,Paramètrage!$A$6:$A$179,Paramètrage!$B$6:$B$179))</f>
        <v/>
      </c>
      <c r="L128" s="2" t="str">
        <f>IF(W128="","",LOOKUP('Extraction edi'!J128,Paramètrage!$A$6:$A$179,Paramètrage!$C$6:$C$179))</f>
        <v/>
      </c>
      <c r="M128" s="2" t="str">
        <f>IF(W128="","",LOOKUP('Extraction edi'!J128,Paramètrage!$A$6:$A$179,Paramètrage!$D$6:$D$179))</f>
        <v/>
      </c>
      <c r="N128" s="3" t="str">
        <f>IF(W128="","",LOOKUP('Extraction edi'!J128,Paramètrage!$A$6:$A$179,Paramètrage!$E$6:$E$179))</f>
        <v/>
      </c>
      <c r="O128" s="3" t="str">
        <f t="shared" si="62"/>
        <v/>
      </c>
      <c r="P128" s="3" t="str">
        <f t="shared" si="63"/>
        <v/>
      </c>
      <c r="Q128" s="3" t="str">
        <f t="shared" si="56"/>
        <v/>
      </c>
      <c r="R128" s="3" t="str">
        <f t="shared" si="64"/>
        <v/>
      </c>
      <c r="S128" s="3" t="str">
        <f t="shared" si="65"/>
        <v/>
      </c>
      <c r="T128" s="4" t="str">
        <f t="shared" si="66"/>
        <v/>
      </c>
      <c r="U128" s="5" t="str">
        <f t="shared" si="67"/>
        <v/>
      </c>
      <c r="V128" s="7" t="str">
        <f>IF(W128="","",IF(LOOKUP(W128,'Extration 3E date commande'!$A$6:$A$10000)=W128,LOOKUP(W128,'Extration 3E date commande'!$A$6:$A$10000,'Extration 3E date commande'!$C$6:$C$10000),"PAS DE DATE"))</f>
        <v/>
      </c>
    </row>
    <row r="129" spans="1:22" x14ac:dyDescent="0.25">
      <c r="A129" s="3" t="str">
        <f t="shared" si="57"/>
        <v/>
      </c>
      <c r="B129" s="3" t="str">
        <f t="shared" si="58"/>
        <v/>
      </c>
      <c r="C129" s="3" t="str">
        <f t="shared" si="55"/>
        <v/>
      </c>
      <c r="D129" s="3" t="str">
        <f t="shared" si="51"/>
        <v/>
      </c>
      <c r="E129" s="3" t="str">
        <f t="shared" si="52"/>
        <v/>
      </c>
      <c r="F129" s="3" t="str">
        <f t="shared" si="53"/>
        <v/>
      </c>
      <c r="G129" s="3" t="str">
        <f t="shared" si="54"/>
        <v/>
      </c>
      <c r="H129" s="3" t="str">
        <f t="shared" si="59"/>
        <v/>
      </c>
      <c r="I129" s="3" t="str">
        <f t="shared" si="60"/>
        <v/>
      </c>
      <c r="J129" s="2" t="str">
        <f t="shared" si="61"/>
        <v/>
      </c>
      <c r="K129" s="2" t="str">
        <f>IF(W129="","",LOOKUP('Extraction edi'!J129,Paramètrage!$A$6:$A$179,Paramètrage!$B$6:$B$179))</f>
        <v/>
      </c>
      <c r="L129" s="2" t="str">
        <f>IF(W129="","",LOOKUP('Extraction edi'!J129,Paramètrage!$A$6:$A$179,Paramètrage!$C$6:$C$179))</f>
        <v/>
      </c>
      <c r="M129" s="2" t="str">
        <f>IF(W129="","",LOOKUP('Extraction edi'!J129,Paramètrage!$A$6:$A$179,Paramètrage!$D$6:$D$179))</f>
        <v/>
      </c>
      <c r="N129" s="3" t="str">
        <f>IF(W129="","",LOOKUP('Extraction edi'!J129,Paramètrage!$A$6:$A$179,Paramètrage!$E$6:$E$179))</f>
        <v/>
      </c>
      <c r="O129" s="3" t="str">
        <f t="shared" si="62"/>
        <v/>
      </c>
      <c r="P129" s="3" t="str">
        <f t="shared" si="63"/>
        <v/>
      </c>
      <c r="Q129" s="3" t="str">
        <f t="shared" si="56"/>
        <v/>
      </c>
      <c r="R129" s="3" t="str">
        <f t="shared" si="64"/>
        <v/>
      </c>
      <c r="S129" s="3" t="str">
        <f t="shared" si="65"/>
        <v/>
      </c>
      <c r="T129" s="4" t="str">
        <f t="shared" si="66"/>
        <v/>
      </c>
      <c r="U129" s="5" t="str">
        <f t="shared" si="67"/>
        <v/>
      </c>
      <c r="V129" s="7" t="str">
        <f>IF(W129="","",IF(LOOKUP(W129,'Extration 3E date commande'!$A$6:$A$10000)=W129,LOOKUP(W129,'Extration 3E date commande'!$A$6:$A$10000,'Extration 3E date commande'!$C$6:$C$10000),"PAS DE DATE"))</f>
        <v/>
      </c>
    </row>
    <row r="130" spans="1:22" x14ac:dyDescent="0.25">
      <c r="A130" s="3" t="str">
        <f t="shared" si="57"/>
        <v/>
      </c>
      <c r="B130" s="3" t="str">
        <f t="shared" si="58"/>
        <v/>
      </c>
      <c r="C130" s="3" t="str">
        <f t="shared" si="55"/>
        <v/>
      </c>
      <c r="D130" s="3" t="str">
        <f t="shared" si="51"/>
        <v/>
      </c>
      <c r="E130" s="3" t="str">
        <f t="shared" si="52"/>
        <v/>
      </c>
      <c r="F130" s="3" t="str">
        <f t="shared" si="53"/>
        <v/>
      </c>
      <c r="G130" s="3" t="str">
        <f t="shared" si="54"/>
        <v/>
      </c>
      <c r="H130" s="3" t="str">
        <f t="shared" si="59"/>
        <v/>
      </c>
      <c r="I130" s="3" t="str">
        <f t="shared" si="60"/>
        <v/>
      </c>
      <c r="J130" s="2" t="str">
        <f t="shared" si="61"/>
        <v/>
      </c>
      <c r="K130" s="2" t="str">
        <f>IF(W130="","",LOOKUP('Extraction edi'!J130,Paramètrage!$A$6:$A$179,Paramètrage!$B$6:$B$179))</f>
        <v/>
      </c>
      <c r="L130" s="2" t="str">
        <f>IF(W130="","",LOOKUP('Extraction edi'!J130,Paramètrage!$A$6:$A$179,Paramètrage!$C$6:$C$179))</f>
        <v/>
      </c>
      <c r="M130" s="2" t="str">
        <f>IF(W130="","",LOOKUP('Extraction edi'!J130,Paramètrage!$A$6:$A$179,Paramètrage!$D$6:$D$179))</f>
        <v/>
      </c>
      <c r="N130" s="3" t="str">
        <f>IF(W130="","",LOOKUP('Extraction edi'!J130,Paramètrage!$A$6:$A$179,Paramètrage!$E$6:$E$179))</f>
        <v/>
      </c>
      <c r="O130" s="3" t="str">
        <f t="shared" si="62"/>
        <v/>
      </c>
      <c r="P130" s="3" t="str">
        <f t="shared" si="63"/>
        <v/>
      </c>
      <c r="Q130" s="3" t="str">
        <f t="shared" si="56"/>
        <v/>
      </c>
      <c r="R130" s="3" t="str">
        <f t="shared" si="64"/>
        <v/>
      </c>
      <c r="S130" s="3" t="str">
        <f t="shared" si="65"/>
        <v/>
      </c>
      <c r="T130" s="4" t="str">
        <f t="shared" si="66"/>
        <v/>
      </c>
      <c r="U130" s="5" t="str">
        <f t="shared" si="67"/>
        <v/>
      </c>
      <c r="V130" s="7" t="str">
        <f>IF(W130="","",IF(LOOKUP(W130,'Extration 3E date commande'!$A$6:$A$10000)=W130,LOOKUP(W130,'Extration 3E date commande'!$A$6:$A$10000,'Extration 3E date commande'!$C$6:$C$10000),"PAS DE DATE"))</f>
        <v/>
      </c>
    </row>
    <row r="131" spans="1:22" x14ac:dyDescent="0.25">
      <c r="A131" s="3" t="str">
        <f t="shared" si="57"/>
        <v/>
      </c>
      <c r="B131" s="3" t="str">
        <f t="shared" si="58"/>
        <v/>
      </c>
      <c r="C131" s="3" t="str">
        <f t="shared" si="55"/>
        <v/>
      </c>
      <c r="D131" s="3" t="str">
        <f t="shared" si="51"/>
        <v/>
      </c>
      <c r="E131" s="3" t="str">
        <f t="shared" si="52"/>
        <v/>
      </c>
      <c r="F131" s="3" t="str">
        <f t="shared" si="53"/>
        <v/>
      </c>
      <c r="G131" s="3" t="str">
        <f t="shared" si="54"/>
        <v/>
      </c>
      <c r="H131" s="3" t="str">
        <f t="shared" si="59"/>
        <v/>
      </c>
      <c r="I131" s="3" t="str">
        <f t="shared" si="60"/>
        <v/>
      </c>
      <c r="J131" s="2" t="str">
        <f t="shared" si="61"/>
        <v/>
      </c>
      <c r="K131" s="2" t="str">
        <f>IF(W131="","",LOOKUP('Extraction edi'!J131,Paramètrage!$A$6:$A$179,Paramètrage!$B$6:$B$179))</f>
        <v/>
      </c>
      <c r="L131" s="2" t="str">
        <f>IF(W131="","",LOOKUP('Extraction edi'!J131,Paramètrage!$A$6:$A$179,Paramètrage!$C$6:$C$179))</f>
        <v/>
      </c>
      <c r="M131" s="2" t="str">
        <f>IF(W131="","",LOOKUP('Extraction edi'!J131,Paramètrage!$A$6:$A$179,Paramètrage!$D$6:$D$179))</f>
        <v/>
      </c>
      <c r="N131" s="3" t="str">
        <f>IF(W131="","",LOOKUP('Extraction edi'!J131,Paramètrage!$A$6:$A$179,Paramètrage!$E$6:$E$179))</f>
        <v/>
      </c>
      <c r="O131" s="3" t="str">
        <f t="shared" si="62"/>
        <v/>
      </c>
      <c r="P131" s="3" t="str">
        <f t="shared" si="63"/>
        <v/>
      </c>
      <c r="Q131" s="3" t="str">
        <f t="shared" si="56"/>
        <v/>
      </c>
      <c r="R131" s="3" t="str">
        <f t="shared" si="64"/>
        <v/>
      </c>
      <c r="S131" s="3" t="str">
        <f t="shared" si="65"/>
        <v/>
      </c>
      <c r="T131" s="4" t="str">
        <f t="shared" si="66"/>
        <v/>
      </c>
      <c r="U131" s="5" t="str">
        <f t="shared" si="67"/>
        <v/>
      </c>
      <c r="V131" s="7" t="str">
        <f>IF(W131="","",IF(LOOKUP(W131,'Extration 3E date commande'!$A$6:$A$10000)=W131,LOOKUP(W131,'Extration 3E date commande'!$A$6:$A$10000,'Extration 3E date commande'!$C$6:$C$10000),"PAS DE DATE"))</f>
        <v/>
      </c>
    </row>
    <row r="132" spans="1:22" x14ac:dyDescent="0.25">
      <c r="A132" s="3" t="str">
        <f t="shared" si="57"/>
        <v/>
      </c>
      <c r="B132" s="3" t="str">
        <f t="shared" si="58"/>
        <v/>
      </c>
      <c r="C132" s="3" t="str">
        <f t="shared" si="55"/>
        <v/>
      </c>
      <c r="D132" s="3" t="str">
        <f t="shared" si="51"/>
        <v/>
      </c>
      <c r="E132" s="3" t="str">
        <f t="shared" si="52"/>
        <v/>
      </c>
      <c r="F132" s="3" t="str">
        <f t="shared" si="53"/>
        <v/>
      </c>
      <c r="G132" s="3" t="str">
        <f t="shared" si="54"/>
        <v/>
      </c>
      <c r="H132" s="3" t="str">
        <f t="shared" si="59"/>
        <v/>
      </c>
      <c r="I132" s="3" t="str">
        <f t="shared" si="60"/>
        <v/>
      </c>
      <c r="J132" s="2" t="str">
        <f t="shared" si="61"/>
        <v/>
      </c>
      <c r="K132" s="2" t="str">
        <f>IF(W132="","",LOOKUP('Extraction edi'!J132,Paramètrage!$A$6:$A$179,Paramètrage!$B$6:$B$179))</f>
        <v/>
      </c>
      <c r="L132" s="2" t="str">
        <f>IF(W132="","",LOOKUP('Extraction edi'!J132,Paramètrage!$A$6:$A$179,Paramètrage!$C$6:$C$179))</f>
        <v/>
      </c>
      <c r="M132" s="2" t="str">
        <f>IF(W132="","",LOOKUP('Extraction edi'!J132,Paramètrage!$A$6:$A$179,Paramètrage!$D$6:$D$179))</f>
        <v/>
      </c>
      <c r="N132" s="3" t="str">
        <f>IF(W132="","",LOOKUP('Extraction edi'!J132,Paramètrage!$A$6:$A$179,Paramètrage!$E$6:$E$179))</f>
        <v/>
      </c>
      <c r="O132" s="3" t="str">
        <f t="shared" si="62"/>
        <v/>
      </c>
      <c r="P132" s="3" t="str">
        <f t="shared" si="63"/>
        <v/>
      </c>
      <c r="Q132" s="3" t="str">
        <f t="shared" si="56"/>
        <v/>
      </c>
      <c r="R132" s="3" t="str">
        <f t="shared" si="64"/>
        <v/>
      </c>
      <c r="S132" s="3" t="str">
        <f t="shared" si="65"/>
        <v/>
      </c>
      <c r="T132" s="4" t="str">
        <f t="shared" si="66"/>
        <v/>
      </c>
      <c r="U132" s="5" t="str">
        <f t="shared" si="67"/>
        <v/>
      </c>
      <c r="V132" s="7" t="str">
        <f>IF(W132="","",IF(LOOKUP(W132,'Extration 3E date commande'!$A$6:$A$10000)=W132,LOOKUP(W132,'Extration 3E date commande'!$A$6:$A$10000,'Extration 3E date commande'!$C$6:$C$10000),"PAS DE DATE"))</f>
        <v/>
      </c>
    </row>
    <row r="133" spans="1:22" x14ac:dyDescent="0.25">
      <c r="A133" s="3" t="str">
        <f t="shared" si="57"/>
        <v/>
      </c>
      <c r="B133" s="3" t="str">
        <f t="shared" si="58"/>
        <v/>
      </c>
      <c r="C133" s="3" t="str">
        <f t="shared" si="55"/>
        <v/>
      </c>
      <c r="D133" s="3" t="str">
        <f t="shared" si="51"/>
        <v/>
      </c>
      <c r="E133" s="3" t="str">
        <f t="shared" si="52"/>
        <v/>
      </c>
      <c r="F133" s="3" t="str">
        <f t="shared" si="53"/>
        <v/>
      </c>
      <c r="G133" s="3" t="str">
        <f t="shared" si="54"/>
        <v/>
      </c>
      <c r="H133" s="3" t="str">
        <f t="shared" si="59"/>
        <v/>
      </c>
      <c r="I133" s="3" t="str">
        <f t="shared" si="60"/>
        <v/>
      </c>
      <c r="J133" s="2" t="str">
        <f t="shared" si="61"/>
        <v/>
      </c>
      <c r="K133" s="2" t="str">
        <f>IF(W133="","",LOOKUP('Extraction edi'!J133,Paramètrage!$A$6:$A$179,Paramètrage!$B$6:$B$179))</f>
        <v/>
      </c>
      <c r="L133" s="2" t="str">
        <f>IF(W133="","",LOOKUP('Extraction edi'!J133,Paramètrage!$A$6:$A$179,Paramètrage!$C$6:$C$179))</f>
        <v/>
      </c>
      <c r="M133" s="2" t="str">
        <f>IF(W133="","",LOOKUP('Extraction edi'!J133,Paramètrage!$A$6:$A$179,Paramètrage!$D$6:$D$179))</f>
        <v/>
      </c>
      <c r="N133" s="3" t="str">
        <f>IF(W133="","",LOOKUP('Extraction edi'!J133,Paramètrage!$A$6:$A$179,Paramètrage!$E$6:$E$179))</f>
        <v/>
      </c>
      <c r="O133" s="3" t="str">
        <f t="shared" si="62"/>
        <v/>
      </c>
      <c r="P133" s="3" t="str">
        <f t="shared" si="63"/>
        <v/>
      </c>
      <c r="Q133" s="3" t="str">
        <f t="shared" si="56"/>
        <v/>
      </c>
      <c r="R133" s="3" t="str">
        <f t="shared" si="64"/>
        <v/>
      </c>
      <c r="S133" s="3" t="str">
        <f t="shared" si="65"/>
        <v/>
      </c>
      <c r="T133" s="4" t="str">
        <f t="shared" si="66"/>
        <v/>
      </c>
      <c r="U133" s="5" t="str">
        <f t="shared" si="67"/>
        <v/>
      </c>
      <c r="V133" s="7" t="str">
        <f>IF(W133="","",IF(LOOKUP(W133,'Extration 3E date commande'!$A$6:$A$10000)=W133,LOOKUP(W133,'Extration 3E date commande'!$A$6:$A$10000,'Extration 3E date commande'!$C$6:$C$10000),"PAS DE DATE"))</f>
        <v/>
      </c>
    </row>
    <row r="134" spans="1:22" x14ac:dyDescent="0.25">
      <c r="A134" s="3" t="str">
        <f t="shared" si="57"/>
        <v/>
      </c>
      <c r="B134" s="3" t="str">
        <f t="shared" si="58"/>
        <v/>
      </c>
      <c r="C134" s="3" t="str">
        <f t="shared" si="55"/>
        <v/>
      </c>
      <c r="D134" s="3" t="str">
        <f t="shared" ref="D134:D197" si="68">IF(ISERROR(SEARCH("P",B134)),"","PE")</f>
        <v/>
      </c>
      <c r="E134" s="3" t="str">
        <f t="shared" ref="E134:E197" si="69">IF(ISERROR(SEARCH("U",B134))=FALSE,"ALU",IF(ISERROR(SEARCH("Y",B134)),"","ALU"))</f>
        <v/>
      </c>
      <c r="F134" s="3" t="str">
        <f t="shared" ref="F134:F197" si="70">IF(ISERROR(SEARCH("H",B134))=FALSE,"TEX",IF(ISERROR(SEARCH("Z",B134)),IF(ISERROR(SEARCH("X",B134)),"","TEX")))</f>
        <v/>
      </c>
      <c r="G134" s="3" t="str">
        <f t="shared" ref="G134:G197" si="71">IF(B134="","",IF(C134="SAV","NEG/RELI/SAV",IF(C134="NEGOCE","NEG/RELI/SAV",IF(C134="RELI","NEG/RELI/SAV",IF(E134="ALU","ALU",IF(D134="PE","PE",IF(F134="TEX","TEX","STD")))))))</f>
        <v/>
      </c>
      <c r="H134" s="3" t="str">
        <f t="shared" si="59"/>
        <v/>
      </c>
      <c r="I134" s="3" t="str">
        <f t="shared" si="60"/>
        <v/>
      </c>
      <c r="J134" s="2" t="str">
        <f t="shared" si="61"/>
        <v/>
      </c>
      <c r="K134" s="2" t="str">
        <f>IF(W134="","",LOOKUP('Extraction edi'!J134,Paramètrage!$A$6:$A$179,Paramètrage!$B$6:$B$179))</f>
        <v/>
      </c>
      <c r="L134" s="2" t="str">
        <f>IF(W134="","",LOOKUP('Extraction edi'!J134,Paramètrage!$A$6:$A$179,Paramètrage!$C$6:$C$179))</f>
        <v/>
      </c>
      <c r="M134" s="2" t="str">
        <f>IF(W134="","",LOOKUP('Extraction edi'!J134,Paramètrage!$A$6:$A$179,Paramètrage!$D$6:$D$179))</f>
        <v/>
      </c>
      <c r="N134" s="3" t="str">
        <f>IF(W134="","",LOOKUP('Extraction edi'!J134,Paramètrage!$A$6:$A$179,Paramètrage!$E$6:$E$179))</f>
        <v/>
      </c>
      <c r="O134" s="3" t="str">
        <f t="shared" si="62"/>
        <v/>
      </c>
      <c r="P134" s="3" t="str">
        <f t="shared" si="63"/>
        <v/>
      </c>
      <c r="Q134" s="3" t="str">
        <f t="shared" si="56"/>
        <v/>
      </c>
      <c r="R134" s="3" t="str">
        <f t="shared" si="64"/>
        <v/>
      </c>
      <c r="S134" s="3" t="str">
        <f t="shared" si="65"/>
        <v/>
      </c>
      <c r="T134" s="4" t="str">
        <f t="shared" si="66"/>
        <v/>
      </c>
      <c r="U134" s="5" t="str">
        <f t="shared" si="67"/>
        <v/>
      </c>
      <c r="V134" s="7" t="str">
        <f>IF(W134="","",IF(LOOKUP(W134,'Extration 3E date commande'!$A$6:$A$10000)=W134,LOOKUP(W134,'Extration 3E date commande'!$A$6:$A$10000,'Extration 3E date commande'!$C$6:$C$10000),"PAS DE DATE"))</f>
        <v/>
      </c>
    </row>
    <row r="135" spans="1:22" x14ac:dyDescent="0.25">
      <c r="A135" s="3" t="str">
        <f t="shared" si="57"/>
        <v/>
      </c>
      <c r="B135" s="3" t="str">
        <f t="shared" si="58"/>
        <v/>
      </c>
      <c r="C135" s="3" t="str">
        <f t="shared" ref="C135:C198" si="72">IF(ISERROR(SEARCH("ELI",B135))=FALSE,"RELIQUAT",IF(ISERROR(SEARCH("N",B135))=FALSE,"NEGOCE",IF(ISERROR(SEARCH("S",B135))=FALSE,"SAV",IF(ISERROR(SEARCH("J",B135)),"","SAV"))))</f>
        <v/>
      </c>
      <c r="D135" s="3" t="str">
        <f t="shared" si="68"/>
        <v/>
      </c>
      <c r="E135" s="3" t="str">
        <f t="shared" si="69"/>
        <v/>
      </c>
      <c r="F135" s="3" t="str">
        <f t="shared" si="70"/>
        <v/>
      </c>
      <c r="G135" s="3" t="str">
        <f t="shared" si="71"/>
        <v/>
      </c>
      <c r="H135" s="3" t="str">
        <f t="shared" si="59"/>
        <v/>
      </c>
      <c r="I135" s="3" t="str">
        <f t="shared" si="60"/>
        <v/>
      </c>
      <c r="J135" s="2" t="str">
        <f t="shared" si="61"/>
        <v/>
      </c>
      <c r="K135" s="2" t="str">
        <f>IF(W135="","",LOOKUP('Extraction edi'!J135,Paramètrage!$A$6:$A$179,Paramètrage!$B$6:$B$179))</f>
        <v/>
      </c>
      <c r="L135" s="2" t="str">
        <f>IF(W135="","",LOOKUP('Extraction edi'!J135,Paramètrage!$A$6:$A$179,Paramètrage!$C$6:$C$179))</f>
        <v/>
      </c>
      <c r="M135" s="2" t="str">
        <f>IF(W135="","",LOOKUP('Extraction edi'!J135,Paramètrage!$A$6:$A$179,Paramètrage!$D$6:$D$179))</f>
        <v/>
      </c>
      <c r="N135" s="3" t="str">
        <f>IF(W135="","",LOOKUP('Extraction edi'!J135,Paramètrage!$A$6:$A$179,Paramètrage!$E$6:$E$179))</f>
        <v/>
      </c>
      <c r="O135" s="3" t="str">
        <f t="shared" si="62"/>
        <v/>
      </c>
      <c r="P135" s="3" t="str">
        <f t="shared" si="63"/>
        <v/>
      </c>
      <c r="Q135" s="3" t="str">
        <f t="shared" si="56"/>
        <v/>
      </c>
      <c r="R135" s="3" t="str">
        <f t="shared" si="64"/>
        <v/>
      </c>
      <c r="S135" s="3" t="str">
        <f t="shared" si="65"/>
        <v/>
      </c>
      <c r="T135" s="4" t="str">
        <f t="shared" si="66"/>
        <v/>
      </c>
      <c r="U135" s="5" t="str">
        <f t="shared" si="67"/>
        <v/>
      </c>
      <c r="V135" s="7" t="str">
        <f>IF(W135="","",IF(LOOKUP(W135,'Extration 3E date commande'!$A$6:$A$10000)=W135,LOOKUP(W135,'Extration 3E date commande'!$A$6:$A$10000,'Extration 3E date commande'!$C$6:$C$10000),"PAS DE DATE"))</f>
        <v/>
      </c>
    </row>
    <row r="136" spans="1:22" x14ac:dyDescent="0.25">
      <c r="A136" s="3" t="str">
        <f t="shared" si="57"/>
        <v/>
      </c>
      <c r="B136" s="3" t="str">
        <f t="shared" si="58"/>
        <v/>
      </c>
      <c r="C136" s="3" t="str">
        <f t="shared" si="72"/>
        <v/>
      </c>
      <c r="D136" s="3" t="str">
        <f t="shared" si="68"/>
        <v/>
      </c>
      <c r="E136" s="3" t="str">
        <f t="shared" si="69"/>
        <v/>
      </c>
      <c r="F136" s="3" t="str">
        <f t="shared" si="70"/>
        <v/>
      </c>
      <c r="G136" s="3" t="str">
        <f t="shared" si="71"/>
        <v/>
      </c>
      <c r="H136" s="3" t="str">
        <f t="shared" si="59"/>
        <v/>
      </c>
      <c r="I136" s="3" t="str">
        <f t="shared" si="60"/>
        <v/>
      </c>
      <c r="J136" s="2" t="str">
        <f t="shared" si="61"/>
        <v/>
      </c>
      <c r="K136" s="2" t="str">
        <f>IF(W136="","",LOOKUP('Extraction edi'!J136,Paramètrage!$A$6:$A$179,Paramètrage!$B$6:$B$179))</f>
        <v/>
      </c>
      <c r="L136" s="2" t="str">
        <f>IF(W136="","",LOOKUP('Extraction edi'!J136,Paramètrage!$A$6:$A$179,Paramètrage!$C$6:$C$179))</f>
        <v/>
      </c>
      <c r="M136" s="2" t="str">
        <f>IF(W136="","",LOOKUP('Extraction edi'!J136,Paramètrage!$A$6:$A$179,Paramètrage!$D$6:$D$179))</f>
        <v/>
      </c>
      <c r="N136" s="3" t="str">
        <f>IF(W136="","",LOOKUP('Extraction edi'!J136,Paramètrage!$A$6:$A$179,Paramètrage!$E$6:$E$179))</f>
        <v/>
      </c>
      <c r="O136" s="3" t="str">
        <f t="shared" si="62"/>
        <v/>
      </c>
      <c r="P136" s="3" t="str">
        <f t="shared" si="63"/>
        <v/>
      </c>
      <c r="Q136" s="3" t="str">
        <f t="shared" si="56"/>
        <v/>
      </c>
      <c r="R136" s="3" t="str">
        <f t="shared" si="64"/>
        <v/>
      </c>
      <c r="S136" s="3" t="str">
        <f t="shared" si="65"/>
        <v/>
      </c>
      <c r="T136" s="4" t="str">
        <f t="shared" si="66"/>
        <v/>
      </c>
      <c r="U136" s="5" t="str">
        <f t="shared" si="67"/>
        <v/>
      </c>
      <c r="V136" s="7" t="str">
        <f>IF(W136="","",IF(LOOKUP(W136,'Extration 3E date commande'!$A$6:$A$10000)=W136,LOOKUP(W136,'Extration 3E date commande'!$A$6:$A$10000,'Extration 3E date commande'!$C$6:$C$10000),"PAS DE DATE"))</f>
        <v/>
      </c>
    </row>
    <row r="137" spans="1:22" x14ac:dyDescent="0.25">
      <c r="A137" s="3" t="str">
        <f t="shared" si="57"/>
        <v/>
      </c>
      <c r="B137" s="3" t="str">
        <f t="shared" si="58"/>
        <v/>
      </c>
      <c r="C137" s="3" t="str">
        <f t="shared" si="72"/>
        <v/>
      </c>
      <c r="D137" s="3" t="str">
        <f t="shared" si="68"/>
        <v/>
      </c>
      <c r="E137" s="3" t="str">
        <f t="shared" si="69"/>
        <v/>
      </c>
      <c r="F137" s="3" t="str">
        <f t="shared" si="70"/>
        <v/>
      </c>
      <c r="G137" s="3" t="str">
        <f t="shared" si="71"/>
        <v/>
      </c>
      <c r="H137" s="3" t="str">
        <f t="shared" si="59"/>
        <v/>
      </c>
      <c r="I137" s="3" t="str">
        <f t="shared" si="60"/>
        <v/>
      </c>
      <c r="J137" s="2" t="str">
        <f t="shared" si="61"/>
        <v/>
      </c>
      <c r="K137" s="2" t="str">
        <f>IF(W137="","",LOOKUP('Extraction edi'!J137,Paramètrage!$A$6:$A$179,Paramètrage!$B$6:$B$179))</f>
        <v/>
      </c>
      <c r="L137" s="2" t="str">
        <f>IF(W137="","",LOOKUP('Extraction edi'!J137,Paramètrage!$A$6:$A$179,Paramètrage!$C$6:$C$179))</f>
        <v/>
      </c>
      <c r="M137" s="2" t="str">
        <f>IF(W137="","",LOOKUP('Extraction edi'!J137,Paramètrage!$A$6:$A$179,Paramètrage!$D$6:$D$179))</f>
        <v/>
      </c>
      <c r="N137" s="3" t="str">
        <f>IF(W137="","",LOOKUP('Extraction edi'!J137,Paramètrage!$A$6:$A$179,Paramètrage!$E$6:$E$179))</f>
        <v/>
      </c>
      <c r="O137" s="3" t="str">
        <f t="shared" si="62"/>
        <v/>
      </c>
      <c r="P137" s="3" t="str">
        <f t="shared" si="63"/>
        <v/>
      </c>
      <c r="Q137" s="3" t="str">
        <f t="shared" si="56"/>
        <v/>
      </c>
      <c r="R137" s="3" t="str">
        <f t="shared" si="64"/>
        <v/>
      </c>
      <c r="S137" s="3" t="str">
        <f t="shared" si="65"/>
        <v/>
      </c>
      <c r="T137" s="4" t="str">
        <f t="shared" si="66"/>
        <v/>
      </c>
      <c r="U137" s="5" t="str">
        <f t="shared" si="67"/>
        <v/>
      </c>
      <c r="V137" s="7" t="str">
        <f>IF(W137="","",IF(LOOKUP(W137,'Extration 3E date commande'!$A$6:$A$10000)=W137,LOOKUP(W137,'Extration 3E date commande'!$A$6:$A$10000,'Extration 3E date commande'!$C$6:$C$10000),"PAS DE DATE"))</f>
        <v/>
      </c>
    </row>
    <row r="138" spans="1:22" x14ac:dyDescent="0.25">
      <c r="A138" s="3" t="str">
        <f t="shared" si="57"/>
        <v/>
      </c>
      <c r="B138" s="3" t="str">
        <f t="shared" si="58"/>
        <v/>
      </c>
      <c r="C138" s="3" t="str">
        <f t="shared" si="72"/>
        <v/>
      </c>
      <c r="D138" s="3" t="str">
        <f t="shared" si="68"/>
        <v/>
      </c>
      <c r="E138" s="3" t="str">
        <f t="shared" si="69"/>
        <v/>
      </c>
      <c r="F138" s="3" t="str">
        <f t="shared" si="70"/>
        <v/>
      </c>
      <c r="G138" s="3" t="str">
        <f t="shared" si="71"/>
        <v/>
      </c>
      <c r="H138" s="3" t="str">
        <f t="shared" si="59"/>
        <v/>
      </c>
      <c r="I138" s="3" t="str">
        <f t="shared" si="60"/>
        <v/>
      </c>
      <c r="J138" s="2" t="str">
        <f t="shared" si="61"/>
        <v/>
      </c>
      <c r="K138" s="2" t="str">
        <f>IF(W138="","",LOOKUP('Extraction edi'!J138,Paramètrage!$A$6:$A$179,Paramètrage!$B$6:$B$179))</f>
        <v/>
      </c>
      <c r="L138" s="2" t="str">
        <f>IF(W138="","",LOOKUP('Extraction edi'!J138,Paramètrage!$A$6:$A$179,Paramètrage!$C$6:$C$179))</f>
        <v/>
      </c>
      <c r="M138" s="2" t="str">
        <f>IF(W138="","",LOOKUP('Extraction edi'!J138,Paramètrage!$A$6:$A$179,Paramètrage!$D$6:$D$179))</f>
        <v/>
      </c>
      <c r="N138" s="3" t="str">
        <f>IF(W138="","",LOOKUP('Extraction edi'!J138,Paramètrage!$A$6:$A$179,Paramètrage!$E$6:$E$179))</f>
        <v/>
      </c>
      <c r="O138" s="3" t="str">
        <f t="shared" si="62"/>
        <v/>
      </c>
      <c r="P138" s="3" t="str">
        <f t="shared" si="63"/>
        <v/>
      </c>
      <c r="Q138" s="3" t="str">
        <f t="shared" si="56"/>
        <v/>
      </c>
      <c r="R138" s="3" t="str">
        <f t="shared" si="64"/>
        <v/>
      </c>
      <c r="S138" s="3" t="str">
        <f t="shared" si="65"/>
        <v/>
      </c>
      <c r="T138" s="4" t="str">
        <f t="shared" si="66"/>
        <v/>
      </c>
      <c r="U138" s="5" t="str">
        <f t="shared" si="67"/>
        <v/>
      </c>
      <c r="V138" s="7" t="str">
        <f>IF(W138="","",IF(LOOKUP(W138,'Extration 3E date commande'!$A$6:$A$10000)=W138,LOOKUP(W138,'Extration 3E date commande'!$A$6:$A$10000,'Extration 3E date commande'!$C$6:$C$10000),"PAS DE DATE"))</f>
        <v/>
      </c>
    </row>
    <row r="139" spans="1:22" x14ac:dyDescent="0.25">
      <c r="A139" s="3" t="str">
        <f t="shared" si="57"/>
        <v/>
      </c>
      <c r="B139" s="3" t="str">
        <f t="shared" si="58"/>
        <v/>
      </c>
      <c r="C139" s="3" t="str">
        <f t="shared" si="72"/>
        <v/>
      </c>
      <c r="D139" s="3" t="str">
        <f t="shared" si="68"/>
        <v/>
      </c>
      <c r="E139" s="3" t="str">
        <f t="shared" si="69"/>
        <v/>
      </c>
      <c r="F139" s="3" t="str">
        <f t="shared" si="70"/>
        <v/>
      </c>
      <c r="G139" s="3" t="str">
        <f t="shared" si="71"/>
        <v/>
      </c>
      <c r="H139" s="3" t="str">
        <f t="shared" si="59"/>
        <v/>
      </c>
      <c r="I139" s="3" t="str">
        <f t="shared" si="60"/>
        <v/>
      </c>
      <c r="J139" s="2" t="str">
        <f t="shared" si="61"/>
        <v/>
      </c>
      <c r="K139" s="2" t="str">
        <f>IF(W139="","",LOOKUP('Extraction edi'!J139,Paramètrage!$A$6:$A$179,Paramètrage!$B$6:$B$179))</f>
        <v/>
      </c>
      <c r="L139" s="2" t="str">
        <f>IF(W139="","",LOOKUP('Extraction edi'!J139,Paramètrage!$A$6:$A$179,Paramètrage!$C$6:$C$179))</f>
        <v/>
      </c>
      <c r="M139" s="2" t="str">
        <f>IF(W139="","",LOOKUP('Extraction edi'!J139,Paramètrage!$A$6:$A$179,Paramètrage!$D$6:$D$179))</f>
        <v/>
      </c>
      <c r="N139" s="3" t="str">
        <f>IF(W139="","",LOOKUP('Extraction edi'!J139,Paramètrage!$A$6:$A$179,Paramètrage!$E$6:$E$179))</f>
        <v/>
      </c>
      <c r="O139" s="3" t="str">
        <f t="shared" si="62"/>
        <v/>
      </c>
      <c r="P139" s="3" t="str">
        <f t="shared" si="63"/>
        <v/>
      </c>
      <c r="Q139" s="3" t="str">
        <f t="shared" si="56"/>
        <v/>
      </c>
      <c r="R139" s="3" t="str">
        <f t="shared" si="64"/>
        <v/>
      </c>
      <c r="S139" s="3" t="str">
        <f t="shared" si="65"/>
        <v/>
      </c>
      <c r="T139" s="4" t="str">
        <f t="shared" si="66"/>
        <v/>
      </c>
      <c r="U139" s="5" t="str">
        <f t="shared" si="67"/>
        <v/>
      </c>
      <c r="V139" s="7" t="str">
        <f>IF(W139="","",IF(LOOKUP(W139,'Extration 3E date commande'!$A$6:$A$10000)=W139,LOOKUP(W139,'Extration 3E date commande'!$A$6:$A$10000,'Extration 3E date commande'!$C$6:$C$10000),"PAS DE DATE"))</f>
        <v/>
      </c>
    </row>
    <row r="140" spans="1:22" x14ac:dyDescent="0.25">
      <c r="A140" s="3" t="str">
        <f t="shared" si="57"/>
        <v/>
      </c>
      <c r="B140" s="3" t="str">
        <f t="shared" si="58"/>
        <v/>
      </c>
      <c r="C140" s="3" t="str">
        <f t="shared" si="72"/>
        <v/>
      </c>
      <c r="D140" s="3" t="str">
        <f t="shared" si="68"/>
        <v/>
      </c>
      <c r="E140" s="3" t="str">
        <f t="shared" si="69"/>
        <v/>
      </c>
      <c r="F140" s="3" t="str">
        <f t="shared" si="70"/>
        <v/>
      </c>
      <c r="G140" s="3" t="str">
        <f t="shared" si="71"/>
        <v/>
      </c>
      <c r="H140" s="3" t="str">
        <f t="shared" si="59"/>
        <v/>
      </c>
      <c r="I140" s="3" t="str">
        <f t="shared" si="60"/>
        <v/>
      </c>
      <c r="J140" s="2" t="str">
        <f t="shared" si="61"/>
        <v/>
      </c>
      <c r="K140" s="2" t="str">
        <f>IF(W140="","",LOOKUP('Extraction edi'!J140,Paramètrage!$A$6:$A$179,Paramètrage!$B$6:$B$179))</f>
        <v/>
      </c>
      <c r="L140" s="2" t="str">
        <f>IF(W140="","",LOOKUP('Extraction edi'!J140,Paramètrage!$A$6:$A$179,Paramètrage!$C$6:$C$179))</f>
        <v/>
      </c>
      <c r="M140" s="2" t="str">
        <f>IF(W140="","",LOOKUP('Extraction edi'!J140,Paramètrage!$A$6:$A$179,Paramètrage!$D$6:$D$179))</f>
        <v/>
      </c>
      <c r="N140" s="3" t="str">
        <f>IF(W140="","",LOOKUP('Extraction edi'!J140,Paramètrage!$A$6:$A$179,Paramètrage!$E$6:$E$179))</f>
        <v/>
      </c>
      <c r="O140" s="3" t="str">
        <f t="shared" si="62"/>
        <v/>
      </c>
      <c r="P140" s="3" t="str">
        <f t="shared" si="63"/>
        <v/>
      </c>
      <c r="Q140" s="3" t="str">
        <f t="shared" si="56"/>
        <v/>
      </c>
      <c r="R140" s="3" t="str">
        <f t="shared" si="64"/>
        <v/>
      </c>
      <c r="S140" s="3" t="str">
        <f t="shared" si="65"/>
        <v/>
      </c>
      <c r="T140" s="4" t="str">
        <f t="shared" si="66"/>
        <v/>
      </c>
      <c r="U140" s="5" t="str">
        <f t="shared" si="67"/>
        <v/>
      </c>
      <c r="V140" s="7" t="str">
        <f>IF(W140="","",IF(LOOKUP(W140,'Extration 3E date commande'!$A$6:$A$10000)=W140,LOOKUP(W140,'Extration 3E date commande'!$A$6:$A$10000,'Extration 3E date commande'!$C$6:$C$10000),"PAS DE DATE"))</f>
        <v/>
      </c>
    </row>
    <row r="141" spans="1:22" x14ac:dyDescent="0.25">
      <c r="A141" s="3" t="str">
        <f t="shared" si="57"/>
        <v/>
      </c>
      <c r="B141" s="3" t="str">
        <f t="shared" si="58"/>
        <v/>
      </c>
      <c r="C141" s="3" t="str">
        <f t="shared" si="72"/>
        <v/>
      </c>
      <c r="D141" s="3" t="str">
        <f t="shared" si="68"/>
        <v/>
      </c>
      <c r="E141" s="3" t="str">
        <f t="shared" si="69"/>
        <v/>
      </c>
      <c r="F141" s="3" t="str">
        <f t="shared" si="70"/>
        <v/>
      </c>
      <c r="G141" s="3" t="str">
        <f t="shared" si="71"/>
        <v/>
      </c>
      <c r="H141" s="3" t="str">
        <f t="shared" si="59"/>
        <v/>
      </c>
      <c r="I141" s="3" t="str">
        <f t="shared" si="60"/>
        <v/>
      </c>
      <c r="J141" s="2" t="str">
        <f t="shared" si="61"/>
        <v/>
      </c>
      <c r="K141" s="2" t="str">
        <f>IF(W141="","",LOOKUP('Extraction edi'!J141,Paramètrage!$A$6:$A$179,Paramètrage!$B$6:$B$179))</f>
        <v/>
      </c>
      <c r="L141" s="2" t="str">
        <f>IF(W141="","",LOOKUP('Extraction edi'!J141,Paramètrage!$A$6:$A$179,Paramètrage!$C$6:$C$179))</f>
        <v/>
      </c>
      <c r="M141" s="2" t="str">
        <f>IF(W141="","",LOOKUP('Extraction edi'!J141,Paramètrage!$A$6:$A$179,Paramètrage!$D$6:$D$179))</f>
        <v/>
      </c>
      <c r="N141" s="3" t="str">
        <f>IF(W141="","",LOOKUP('Extraction edi'!J141,Paramètrage!$A$6:$A$179,Paramètrage!$E$6:$E$179))</f>
        <v/>
      </c>
      <c r="O141" s="3" t="str">
        <f t="shared" si="62"/>
        <v/>
      </c>
      <c r="P141" s="3" t="str">
        <f t="shared" si="63"/>
        <v/>
      </c>
      <c r="Q141" s="3" t="str">
        <f t="shared" si="56"/>
        <v/>
      </c>
      <c r="R141" s="3" t="str">
        <f t="shared" si="64"/>
        <v/>
      </c>
      <c r="S141" s="3" t="str">
        <f t="shared" si="65"/>
        <v/>
      </c>
      <c r="T141" s="4" t="str">
        <f t="shared" si="66"/>
        <v/>
      </c>
      <c r="U141" s="5" t="str">
        <f t="shared" si="67"/>
        <v/>
      </c>
      <c r="V141" s="7" t="str">
        <f>IF(W141="","",IF(LOOKUP(W141,'Extration 3E date commande'!$A$6:$A$10000)=W141,LOOKUP(W141,'Extration 3E date commande'!$A$6:$A$10000,'Extration 3E date commande'!$C$6:$C$10000),"PAS DE DATE"))</f>
        <v/>
      </c>
    </row>
    <row r="142" spans="1:22" x14ac:dyDescent="0.25">
      <c r="A142" s="3" t="str">
        <f t="shared" si="57"/>
        <v/>
      </c>
      <c r="B142" s="3" t="str">
        <f t="shared" si="58"/>
        <v/>
      </c>
      <c r="C142" s="3" t="str">
        <f t="shared" si="72"/>
        <v/>
      </c>
      <c r="D142" s="3" t="str">
        <f t="shared" si="68"/>
        <v/>
      </c>
      <c r="E142" s="3" t="str">
        <f t="shared" si="69"/>
        <v/>
      </c>
      <c r="F142" s="3" t="str">
        <f t="shared" si="70"/>
        <v/>
      </c>
      <c r="G142" s="3" t="str">
        <f t="shared" si="71"/>
        <v/>
      </c>
      <c r="H142" s="3" t="str">
        <f t="shared" si="59"/>
        <v/>
      </c>
      <c r="I142" s="3" t="str">
        <f t="shared" si="60"/>
        <v/>
      </c>
      <c r="J142" s="2" t="str">
        <f t="shared" si="61"/>
        <v/>
      </c>
      <c r="K142" s="2" t="str">
        <f>IF(W142="","",LOOKUP('Extraction edi'!J142,Paramètrage!$A$6:$A$179,Paramètrage!$B$6:$B$179))</f>
        <v/>
      </c>
      <c r="L142" s="2" t="str">
        <f>IF(W142="","",LOOKUP('Extraction edi'!J142,Paramètrage!$A$6:$A$179,Paramètrage!$C$6:$C$179))</f>
        <v/>
      </c>
      <c r="M142" s="2" t="str">
        <f>IF(W142="","",LOOKUP('Extraction edi'!J142,Paramètrage!$A$6:$A$179,Paramètrage!$D$6:$D$179))</f>
        <v/>
      </c>
      <c r="N142" s="3" t="str">
        <f>IF(W142="","",LOOKUP('Extraction edi'!J142,Paramètrage!$A$6:$A$179,Paramètrage!$E$6:$E$179))</f>
        <v/>
      </c>
      <c r="O142" s="3" t="str">
        <f t="shared" si="62"/>
        <v/>
      </c>
      <c r="P142" s="3" t="str">
        <f t="shared" si="63"/>
        <v/>
      </c>
      <c r="Q142" s="3" t="str">
        <f t="shared" si="56"/>
        <v/>
      </c>
      <c r="R142" s="3" t="str">
        <f t="shared" si="64"/>
        <v/>
      </c>
      <c r="S142" s="3" t="str">
        <f t="shared" si="65"/>
        <v/>
      </c>
      <c r="T142" s="4" t="str">
        <f t="shared" si="66"/>
        <v/>
      </c>
      <c r="U142" s="5" t="str">
        <f t="shared" si="67"/>
        <v/>
      </c>
      <c r="V142" s="7" t="str">
        <f>IF(W142="","",IF(LOOKUP(W142,'Extration 3E date commande'!$A$6:$A$10000)=W142,LOOKUP(W142,'Extration 3E date commande'!$A$6:$A$10000,'Extration 3E date commande'!$C$6:$C$10000),"PAS DE DATE"))</f>
        <v/>
      </c>
    </row>
    <row r="143" spans="1:22" x14ac:dyDescent="0.25">
      <c r="A143" s="3" t="str">
        <f t="shared" si="57"/>
        <v/>
      </c>
      <c r="B143" s="3" t="str">
        <f t="shared" si="58"/>
        <v/>
      </c>
      <c r="C143" s="3" t="str">
        <f t="shared" si="72"/>
        <v/>
      </c>
      <c r="D143" s="3" t="str">
        <f t="shared" si="68"/>
        <v/>
      </c>
      <c r="E143" s="3" t="str">
        <f t="shared" si="69"/>
        <v/>
      </c>
      <c r="F143" s="3" t="str">
        <f t="shared" si="70"/>
        <v/>
      </c>
      <c r="G143" s="3" t="str">
        <f t="shared" si="71"/>
        <v/>
      </c>
      <c r="H143" s="3" t="str">
        <f t="shared" si="59"/>
        <v/>
      </c>
      <c r="I143" s="3" t="str">
        <f t="shared" si="60"/>
        <v/>
      </c>
      <c r="J143" s="2" t="str">
        <f t="shared" si="61"/>
        <v/>
      </c>
      <c r="K143" s="2" t="str">
        <f>IF(W143="","",LOOKUP('Extraction edi'!J143,Paramètrage!$A$6:$A$179,Paramètrage!$B$6:$B$179))</f>
        <v/>
      </c>
      <c r="L143" s="2" t="str">
        <f>IF(W143="","",LOOKUP('Extraction edi'!J143,Paramètrage!$A$6:$A$179,Paramètrage!$C$6:$C$179))</f>
        <v/>
      </c>
      <c r="M143" s="2" t="str">
        <f>IF(W143="","",LOOKUP('Extraction edi'!J143,Paramètrage!$A$6:$A$179,Paramètrage!$D$6:$D$179))</f>
        <v/>
      </c>
      <c r="N143" s="3" t="str">
        <f>IF(W143="","",LOOKUP('Extraction edi'!J143,Paramètrage!$A$6:$A$179,Paramètrage!$E$6:$E$179))</f>
        <v/>
      </c>
      <c r="O143" s="3" t="str">
        <f t="shared" si="62"/>
        <v/>
      </c>
      <c r="P143" s="3" t="str">
        <f t="shared" si="63"/>
        <v/>
      </c>
      <c r="Q143" s="3" t="str">
        <f t="shared" ref="Q143:Q206" si="73">IF(ISERROR(SEARCH("laq",J143))=FALSE,"laquage RAL :",IF(ISERROR(SEARCH("lq",J143))=FALSE,"laquage RAL :",IF(ISERROR(SEARCH("ANO",J142))=FALSE,"laquage RAL :",IF(ISERROR(SEARCH("IVOI",J143)),"","laquage RAL :"))))</f>
        <v/>
      </c>
      <c r="R143" s="3" t="str">
        <f t="shared" si="64"/>
        <v/>
      </c>
      <c r="S143" s="3" t="str">
        <f t="shared" si="65"/>
        <v/>
      </c>
      <c r="T143" s="4" t="str">
        <f t="shared" si="66"/>
        <v/>
      </c>
      <c r="U143" s="5" t="str">
        <f t="shared" si="67"/>
        <v/>
      </c>
      <c r="V143" s="7" t="str">
        <f>IF(W143="","",IF(LOOKUP(W143,'Extration 3E date commande'!$A$6:$A$10000)=W143,LOOKUP(W143,'Extration 3E date commande'!$A$6:$A$10000,'Extration 3E date commande'!$C$6:$C$10000),"PAS DE DATE"))</f>
        <v/>
      </c>
    </row>
    <row r="144" spans="1:22" x14ac:dyDescent="0.25">
      <c r="A144" s="3" t="str">
        <f t="shared" si="57"/>
        <v/>
      </c>
      <c r="B144" s="3" t="str">
        <f t="shared" si="58"/>
        <v/>
      </c>
      <c r="C144" s="3" t="str">
        <f t="shared" si="72"/>
        <v/>
      </c>
      <c r="D144" s="3" t="str">
        <f t="shared" si="68"/>
        <v/>
      </c>
      <c r="E144" s="3" t="str">
        <f t="shared" si="69"/>
        <v/>
      </c>
      <c r="F144" s="3" t="str">
        <f t="shared" si="70"/>
        <v/>
      </c>
      <c r="G144" s="3" t="str">
        <f t="shared" si="71"/>
        <v/>
      </c>
      <c r="H144" s="3" t="str">
        <f t="shared" si="59"/>
        <v/>
      </c>
      <c r="I144" s="3" t="str">
        <f t="shared" si="60"/>
        <v/>
      </c>
      <c r="J144" s="2" t="str">
        <f t="shared" si="61"/>
        <v/>
      </c>
      <c r="K144" s="2" t="str">
        <f>IF(W144="","",LOOKUP('Extraction edi'!J144,Paramètrage!$A$6:$A$179,Paramètrage!$B$6:$B$179))</f>
        <v/>
      </c>
      <c r="L144" s="2" t="str">
        <f>IF(W144="","",LOOKUP('Extraction edi'!J144,Paramètrage!$A$6:$A$179,Paramètrage!$C$6:$C$179))</f>
        <v/>
      </c>
      <c r="M144" s="2" t="str">
        <f>IF(W144="","",LOOKUP('Extraction edi'!J144,Paramètrage!$A$6:$A$179,Paramètrage!$D$6:$D$179))</f>
        <v/>
      </c>
      <c r="N144" s="3" t="str">
        <f>IF(W144="","",LOOKUP('Extraction edi'!J144,Paramètrage!$A$6:$A$179,Paramètrage!$E$6:$E$179))</f>
        <v/>
      </c>
      <c r="O144" s="3" t="str">
        <f t="shared" si="62"/>
        <v/>
      </c>
      <c r="P144" s="3" t="str">
        <f t="shared" si="63"/>
        <v/>
      </c>
      <c r="Q144" s="3" t="str">
        <f t="shared" si="73"/>
        <v/>
      </c>
      <c r="R144" s="3" t="str">
        <f t="shared" si="64"/>
        <v/>
      </c>
      <c r="S144" s="3" t="str">
        <f t="shared" si="65"/>
        <v/>
      </c>
      <c r="T144" s="4" t="str">
        <f t="shared" si="66"/>
        <v/>
      </c>
      <c r="U144" s="5" t="str">
        <f t="shared" si="67"/>
        <v/>
      </c>
      <c r="V144" s="7" t="str">
        <f>IF(W144="","",IF(LOOKUP(W144,'Extration 3E date commande'!$A$6:$A$10000)=W144,LOOKUP(W144,'Extration 3E date commande'!$A$6:$A$10000,'Extration 3E date commande'!$C$6:$C$10000),"PAS DE DATE"))</f>
        <v/>
      </c>
    </row>
    <row r="145" spans="1:22" x14ac:dyDescent="0.25">
      <c r="A145" s="3" t="str">
        <f t="shared" si="57"/>
        <v/>
      </c>
      <c r="B145" s="3" t="str">
        <f t="shared" si="58"/>
        <v/>
      </c>
      <c r="C145" s="3" t="str">
        <f t="shared" si="72"/>
        <v/>
      </c>
      <c r="D145" s="3" t="str">
        <f t="shared" si="68"/>
        <v/>
      </c>
      <c r="E145" s="3" t="str">
        <f t="shared" si="69"/>
        <v/>
      </c>
      <c r="F145" s="3" t="str">
        <f t="shared" si="70"/>
        <v/>
      </c>
      <c r="G145" s="3" t="str">
        <f t="shared" si="71"/>
        <v/>
      </c>
      <c r="H145" s="3" t="str">
        <f t="shared" si="59"/>
        <v/>
      </c>
      <c r="I145" s="3" t="str">
        <f t="shared" si="60"/>
        <v/>
      </c>
      <c r="J145" s="2" t="str">
        <f t="shared" si="61"/>
        <v/>
      </c>
      <c r="K145" s="2" t="str">
        <f>IF(W145="","",LOOKUP('Extraction edi'!J145,Paramètrage!$A$6:$A$179,Paramètrage!$B$6:$B$179))</f>
        <v/>
      </c>
      <c r="L145" s="2" t="str">
        <f>IF(W145="","",LOOKUP('Extraction edi'!J145,Paramètrage!$A$6:$A$179,Paramètrage!$C$6:$C$179))</f>
        <v/>
      </c>
      <c r="M145" s="2" t="str">
        <f>IF(W145="","",LOOKUP('Extraction edi'!J145,Paramètrage!$A$6:$A$179,Paramètrage!$D$6:$D$179))</f>
        <v/>
      </c>
      <c r="N145" s="3" t="str">
        <f>IF(W145="","",LOOKUP('Extraction edi'!J145,Paramètrage!$A$6:$A$179,Paramètrage!$E$6:$E$179))</f>
        <v/>
      </c>
      <c r="O145" s="3" t="str">
        <f t="shared" si="62"/>
        <v/>
      </c>
      <c r="P145" s="3" t="str">
        <f t="shared" si="63"/>
        <v/>
      </c>
      <c r="Q145" s="3" t="str">
        <f t="shared" si="73"/>
        <v/>
      </c>
      <c r="R145" s="3" t="str">
        <f t="shared" si="64"/>
        <v/>
      </c>
      <c r="S145" s="3" t="str">
        <f t="shared" si="65"/>
        <v/>
      </c>
      <c r="T145" s="4" t="str">
        <f t="shared" si="66"/>
        <v/>
      </c>
      <c r="U145" s="5" t="str">
        <f t="shared" si="67"/>
        <v/>
      </c>
      <c r="V145" s="7" t="str">
        <f>IF(W145="","",IF(LOOKUP(W145,'Extration 3E date commande'!$A$6:$A$10000)=W145,LOOKUP(W145,'Extration 3E date commande'!$A$6:$A$10000,'Extration 3E date commande'!$C$6:$C$10000),"PAS DE DATE"))</f>
        <v/>
      </c>
    </row>
    <row r="146" spans="1:22" x14ac:dyDescent="0.25">
      <c r="A146" s="3" t="str">
        <f t="shared" si="57"/>
        <v/>
      </c>
      <c r="B146" s="3" t="str">
        <f t="shared" si="58"/>
        <v/>
      </c>
      <c r="C146" s="3" t="str">
        <f t="shared" si="72"/>
        <v/>
      </c>
      <c r="D146" s="3" t="str">
        <f t="shared" si="68"/>
        <v/>
      </c>
      <c r="E146" s="3" t="str">
        <f t="shared" si="69"/>
        <v/>
      </c>
      <c r="F146" s="3" t="str">
        <f t="shared" si="70"/>
        <v/>
      </c>
      <c r="G146" s="3" t="str">
        <f t="shared" si="71"/>
        <v/>
      </c>
      <c r="H146" s="3" t="str">
        <f t="shared" si="59"/>
        <v/>
      </c>
      <c r="I146" s="3" t="str">
        <f t="shared" si="60"/>
        <v/>
      </c>
      <c r="J146" s="2" t="str">
        <f t="shared" si="61"/>
        <v/>
      </c>
      <c r="K146" s="2" t="str">
        <f>IF(W146="","",LOOKUP('Extraction edi'!J146,Paramètrage!$A$6:$A$179,Paramètrage!$B$6:$B$179))</f>
        <v/>
      </c>
      <c r="L146" s="2" t="str">
        <f>IF(W146="","",LOOKUP('Extraction edi'!J146,Paramètrage!$A$6:$A$179,Paramètrage!$C$6:$C$179))</f>
        <v/>
      </c>
      <c r="M146" s="2" t="str">
        <f>IF(W146="","",LOOKUP('Extraction edi'!J146,Paramètrage!$A$6:$A$179,Paramètrage!$D$6:$D$179))</f>
        <v/>
      </c>
      <c r="N146" s="3" t="str">
        <f>IF(W146="","",LOOKUP('Extraction edi'!J146,Paramètrage!$A$6:$A$179,Paramètrage!$E$6:$E$179))</f>
        <v/>
      </c>
      <c r="O146" s="3" t="str">
        <f t="shared" si="62"/>
        <v/>
      </c>
      <c r="P146" s="3" t="str">
        <f t="shared" si="63"/>
        <v/>
      </c>
      <c r="Q146" s="3" t="str">
        <f t="shared" si="73"/>
        <v/>
      </c>
      <c r="R146" s="3" t="str">
        <f t="shared" si="64"/>
        <v/>
      </c>
      <c r="S146" s="3" t="str">
        <f t="shared" si="65"/>
        <v/>
      </c>
      <c r="T146" s="4" t="str">
        <f t="shared" si="66"/>
        <v/>
      </c>
      <c r="U146" s="5" t="str">
        <f t="shared" si="67"/>
        <v/>
      </c>
      <c r="V146" s="7" t="str">
        <f>IF(W146="","",IF(LOOKUP(W146,'Extration 3E date commande'!$A$6:$A$10000)=W146,LOOKUP(W146,'Extration 3E date commande'!$A$6:$A$10000,'Extration 3E date commande'!$C$6:$C$10000),"PAS DE DATE"))</f>
        <v/>
      </c>
    </row>
    <row r="147" spans="1:22" x14ac:dyDescent="0.25">
      <c r="A147" s="3" t="str">
        <f t="shared" si="57"/>
        <v/>
      </c>
      <c r="B147" s="3" t="str">
        <f t="shared" si="58"/>
        <v/>
      </c>
      <c r="C147" s="3" t="str">
        <f t="shared" si="72"/>
        <v/>
      </c>
      <c r="D147" s="3" t="str">
        <f t="shared" si="68"/>
        <v/>
      </c>
      <c r="E147" s="3" t="str">
        <f t="shared" si="69"/>
        <v/>
      </c>
      <c r="F147" s="3" t="str">
        <f t="shared" si="70"/>
        <v/>
      </c>
      <c r="G147" s="3" t="str">
        <f t="shared" si="71"/>
        <v/>
      </c>
      <c r="H147" s="3" t="str">
        <f t="shared" si="59"/>
        <v/>
      </c>
      <c r="I147" s="3" t="str">
        <f t="shared" si="60"/>
        <v/>
      </c>
      <c r="J147" s="2" t="str">
        <f t="shared" si="61"/>
        <v/>
      </c>
      <c r="K147" s="2" t="str">
        <f>IF(W147="","",LOOKUP('Extraction edi'!J147,Paramètrage!$A$6:$A$179,Paramètrage!$B$6:$B$179))</f>
        <v/>
      </c>
      <c r="L147" s="2" t="str">
        <f>IF(W147="","",LOOKUP('Extraction edi'!J147,Paramètrage!$A$6:$A$179,Paramètrage!$C$6:$C$179))</f>
        <v/>
      </c>
      <c r="M147" s="2" t="str">
        <f>IF(W147="","",LOOKUP('Extraction edi'!J147,Paramètrage!$A$6:$A$179,Paramètrage!$D$6:$D$179))</f>
        <v/>
      </c>
      <c r="N147" s="3" t="str">
        <f>IF(W147="","",LOOKUP('Extraction edi'!J147,Paramètrage!$A$6:$A$179,Paramètrage!$E$6:$E$179))</f>
        <v/>
      </c>
      <c r="O147" s="3" t="str">
        <f t="shared" si="62"/>
        <v/>
      </c>
      <c r="P147" s="3" t="str">
        <f t="shared" si="63"/>
        <v/>
      </c>
      <c r="Q147" s="3" t="str">
        <f t="shared" si="73"/>
        <v/>
      </c>
      <c r="R147" s="3" t="str">
        <f t="shared" si="64"/>
        <v/>
      </c>
      <c r="S147" s="3" t="str">
        <f t="shared" si="65"/>
        <v/>
      </c>
      <c r="T147" s="4" t="str">
        <f t="shared" si="66"/>
        <v/>
      </c>
      <c r="U147" s="5" t="str">
        <f t="shared" si="67"/>
        <v/>
      </c>
      <c r="V147" s="7" t="str">
        <f>IF(W147="","",IF(LOOKUP(W147,'Extration 3E date commande'!$A$6:$A$10000)=W147,LOOKUP(W147,'Extration 3E date commande'!$A$6:$A$10000,'Extration 3E date commande'!$C$6:$C$10000),"PAS DE DATE"))</f>
        <v/>
      </c>
    </row>
    <row r="148" spans="1:22" x14ac:dyDescent="0.25">
      <c r="A148" s="3" t="str">
        <f t="shared" si="57"/>
        <v/>
      </c>
      <c r="B148" s="3" t="str">
        <f t="shared" si="58"/>
        <v/>
      </c>
      <c r="C148" s="3" t="str">
        <f t="shared" si="72"/>
        <v/>
      </c>
      <c r="D148" s="3" t="str">
        <f t="shared" si="68"/>
        <v/>
      </c>
      <c r="E148" s="3" t="str">
        <f t="shared" si="69"/>
        <v/>
      </c>
      <c r="F148" s="3" t="str">
        <f t="shared" si="70"/>
        <v/>
      </c>
      <c r="G148" s="3" t="str">
        <f t="shared" si="71"/>
        <v/>
      </c>
      <c r="H148" s="3" t="str">
        <f t="shared" si="59"/>
        <v/>
      </c>
      <c r="I148" s="3" t="str">
        <f t="shared" si="60"/>
        <v/>
      </c>
      <c r="J148" s="2" t="str">
        <f t="shared" si="61"/>
        <v/>
      </c>
      <c r="K148" s="2" t="str">
        <f>IF(W148="","",LOOKUP('Extraction edi'!J148,Paramètrage!$A$6:$A$179,Paramètrage!$B$6:$B$179))</f>
        <v/>
      </c>
      <c r="L148" s="2" t="str">
        <f>IF(W148="","",LOOKUP('Extraction edi'!J148,Paramètrage!$A$6:$A$179,Paramètrage!$C$6:$C$179))</f>
        <v/>
      </c>
      <c r="M148" s="2" t="str">
        <f>IF(W148="","",LOOKUP('Extraction edi'!J148,Paramètrage!$A$6:$A$179,Paramètrage!$D$6:$D$179))</f>
        <v/>
      </c>
      <c r="N148" s="3" t="str">
        <f>IF(W148="","",LOOKUP('Extraction edi'!J148,Paramètrage!$A$6:$A$179,Paramètrage!$E$6:$E$179))</f>
        <v/>
      </c>
      <c r="O148" s="3" t="str">
        <f t="shared" si="62"/>
        <v/>
      </c>
      <c r="P148" s="3" t="str">
        <f t="shared" si="63"/>
        <v/>
      </c>
      <c r="Q148" s="3" t="str">
        <f t="shared" si="73"/>
        <v/>
      </c>
      <c r="R148" s="3" t="str">
        <f t="shared" si="64"/>
        <v/>
      </c>
      <c r="S148" s="3" t="str">
        <f t="shared" si="65"/>
        <v/>
      </c>
      <c r="T148" s="4" t="str">
        <f t="shared" si="66"/>
        <v/>
      </c>
      <c r="U148" s="5" t="str">
        <f t="shared" si="67"/>
        <v/>
      </c>
      <c r="V148" s="7" t="str">
        <f>IF(W148="","",IF(LOOKUP(W148,'Extration 3E date commande'!$A$6:$A$10000)=W148,LOOKUP(W148,'Extration 3E date commande'!$A$6:$A$10000,'Extration 3E date commande'!$C$6:$C$10000),"PAS DE DATE"))</f>
        <v/>
      </c>
    </row>
    <row r="149" spans="1:22" x14ac:dyDescent="0.25">
      <c r="A149" s="3" t="str">
        <f t="shared" si="57"/>
        <v/>
      </c>
      <c r="B149" s="3" t="str">
        <f t="shared" si="58"/>
        <v/>
      </c>
      <c r="C149" s="3" t="str">
        <f t="shared" si="72"/>
        <v/>
      </c>
      <c r="D149" s="3" t="str">
        <f t="shared" si="68"/>
        <v/>
      </c>
      <c r="E149" s="3" t="str">
        <f t="shared" si="69"/>
        <v/>
      </c>
      <c r="F149" s="3" t="str">
        <f t="shared" si="70"/>
        <v/>
      </c>
      <c r="G149" s="3" t="str">
        <f t="shared" si="71"/>
        <v/>
      </c>
      <c r="H149" s="3" t="str">
        <f t="shared" si="59"/>
        <v/>
      </c>
      <c r="I149" s="3" t="str">
        <f t="shared" si="60"/>
        <v/>
      </c>
      <c r="J149" s="2" t="str">
        <f t="shared" si="61"/>
        <v/>
      </c>
      <c r="K149" s="2" t="str">
        <f>IF(W149="","",LOOKUP('Extraction edi'!J149,Paramètrage!$A$6:$A$179,Paramètrage!$B$6:$B$179))</f>
        <v/>
      </c>
      <c r="L149" s="2" t="str">
        <f>IF(W149="","",LOOKUP('Extraction edi'!J149,Paramètrage!$A$6:$A$179,Paramètrage!$C$6:$C$179))</f>
        <v/>
      </c>
      <c r="M149" s="2" t="str">
        <f>IF(W149="","",LOOKUP('Extraction edi'!J149,Paramètrage!$A$6:$A$179,Paramètrage!$D$6:$D$179))</f>
        <v/>
      </c>
      <c r="N149" s="3" t="str">
        <f>IF(W149="","",LOOKUP('Extraction edi'!J149,Paramètrage!$A$6:$A$179,Paramètrage!$E$6:$E$179))</f>
        <v/>
      </c>
      <c r="O149" s="3" t="str">
        <f t="shared" si="62"/>
        <v/>
      </c>
      <c r="P149" s="3" t="str">
        <f t="shared" si="63"/>
        <v/>
      </c>
      <c r="Q149" s="3" t="str">
        <f t="shared" si="73"/>
        <v/>
      </c>
      <c r="R149" s="3" t="str">
        <f t="shared" si="64"/>
        <v/>
      </c>
      <c r="S149" s="3" t="str">
        <f t="shared" si="65"/>
        <v/>
      </c>
      <c r="T149" s="4" t="str">
        <f t="shared" si="66"/>
        <v/>
      </c>
      <c r="U149" s="5" t="str">
        <f t="shared" si="67"/>
        <v/>
      </c>
      <c r="V149" s="7" t="str">
        <f>IF(W149="","",IF(LOOKUP(W149,'Extration 3E date commande'!$A$6:$A$10000)=W149,LOOKUP(W149,'Extration 3E date commande'!$A$6:$A$10000,'Extration 3E date commande'!$C$6:$C$10000),"PAS DE DATE"))</f>
        <v/>
      </c>
    </row>
    <row r="150" spans="1:22" x14ac:dyDescent="0.25">
      <c r="A150" s="3" t="str">
        <f t="shared" ref="A150:A213" si="74">IF(W150="","",LEFT(W150,7))</f>
        <v/>
      </c>
      <c r="B150" s="3" t="str">
        <f t="shared" ref="B150:B213" si="75">IF(W150="","",RIGHT(W150,3))</f>
        <v/>
      </c>
      <c r="C150" s="3" t="str">
        <f t="shared" si="72"/>
        <v/>
      </c>
      <c r="D150" s="3" t="str">
        <f t="shared" si="68"/>
        <v/>
      </c>
      <c r="E150" s="3" t="str">
        <f t="shared" si="69"/>
        <v/>
      </c>
      <c r="F150" s="3" t="str">
        <f t="shared" si="70"/>
        <v/>
      </c>
      <c r="G150" s="3" t="str">
        <f t="shared" si="71"/>
        <v/>
      </c>
      <c r="H150" s="3" t="str">
        <f t="shared" ref="H150:H213" si="76">IF(W150="","",X150)</f>
        <v/>
      </c>
      <c r="I150" s="3" t="str">
        <f t="shared" ref="I150:I213" si="77">IF(W150="","",Z150)</f>
        <v/>
      </c>
      <c r="J150" s="2" t="str">
        <f t="shared" ref="J150:J213" si="78">IF(W150="","",IF(AND(T150=FALSE,T149=FALSE,T148=FALSE,T147=FALSE,T146=FALSE),AA145,IF(AND(T150=FALSE,T149=FALSE,T148=FALSE,T147=FALSE),AA146,IF(AND(T150=FALSE,T149=FALSE,T148=FALSE),AA147,IF(AND(T150=FALSE,T149=FALSE),AA148,IF(T150=FALSE,AA149,AA150))))))</f>
        <v/>
      </c>
      <c r="K150" s="2" t="str">
        <f>IF(W150="","",LOOKUP('Extraction edi'!J150,Paramètrage!$A$6:$A$179,Paramètrage!$B$6:$B$179))</f>
        <v/>
      </c>
      <c r="L150" s="2" t="str">
        <f>IF(W150="","",LOOKUP('Extraction edi'!J150,Paramètrage!$A$6:$A$179,Paramètrage!$C$6:$C$179))</f>
        <v/>
      </c>
      <c r="M150" s="2" t="str">
        <f>IF(W150="","",LOOKUP('Extraction edi'!J150,Paramètrage!$A$6:$A$179,Paramètrage!$D$6:$D$179))</f>
        <v/>
      </c>
      <c r="N150" s="3" t="str">
        <f>IF(W150="","",LOOKUP('Extraction edi'!J150,Paramètrage!$A$6:$A$179,Paramètrage!$E$6:$E$179))</f>
        <v/>
      </c>
      <c r="O150" s="3" t="str">
        <f t="shared" ref="O150:O213" si="79">IF(W150="","",IF(LEFT(AA150,4)="soub",AB150,IF(LEFT(AA150,3)="cim",AB150,AA150)))</f>
        <v/>
      </c>
      <c r="P150" s="3" t="str">
        <f t="shared" ref="P150:P213" si="80">IF(LEFT(U150,1)="N",SUBSTITUTE(AB150,"*",""),IF(LEFT(U150,1)="S",SUBSTITUTE(AB150,"*",""),IF(LEFT(U150,1)="G",SUBSTITUTE(AB150,"*",""),IF(LEN(U150)=11,SUBSTITUTE(AB150,"*",""),U150))))</f>
        <v/>
      </c>
      <c r="Q150" s="3" t="str">
        <f t="shared" si="73"/>
        <v/>
      </c>
      <c r="R150" s="3" t="str">
        <f t="shared" ref="R150:R213" si="81">IF(W150="","",IF(RIGHT(L150,7)="RAL9001",L150,IF(LEFT(AE150,1)="N",AE150,IF(LEFT(AE150,1)="S",AE150,IF(LEFT(AE150,1)="G",AE150,"")))))</f>
        <v/>
      </c>
      <c r="S150" s="3" t="str">
        <f t="shared" ref="S150:S213" si="82">IF(W150="","",IF(RIGHT(M150,7)="RAL9001",M150,IF(LEFT(AC150,1)="N",AC150,IF(LEFT(AC150,1)="S",AC150,IF(LEFT(AC150,1)="G",AC150,IF(LEFT(AD150,1)="N",AD150,IF(LEFT(AD150,1)="S",AD150,IF(LEFT(AD150,1)="G",AD150,""))))))))</f>
        <v/>
      </c>
      <c r="T150" s="4" t="str">
        <f t="shared" ref="T150:T213" si="83">IF(W150="","",IF(LEFT(AA150,4)&lt;&gt;"soub",IF(LEFT(AA150,3)&lt;&gt;"cim"=FALSE,AA150),AA150))</f>
        <v/>
      </c>
      <c r="U150" s="5" t="str">
        <f t="shared" ref="U150:U213" si="84">SUBSTITUTE(AC150,"*","")</f>
        <v/>
      </c>
      <c r="V150" s="7" t="str">
        <f>IF(W150="","",IF(LOOKUP(W150,'Extration 3E date commande'!$A$6:$A$10000)=W150,LOOKUP(W150,'Extration 3E date commande'!$A$6:$A$10000,'Extration 3E date commande'!$C$6:$C$10000),"PAS DE DATE"))</f>
        <v/>
      </c>
    </row>
    <row r="151" spans="1:22" x14ac:dyDescent="0.25">
      <c r="A151" s="3" t="str">
        <f t="shared" si="74"/>
        <v/>
      </c>
      <c r="B151" s="3" t="str">
        <f t="shared" si="75"/>
        <v/>
      </c>
      <c r="C151" s="3" t="str">
        <f t="shared" si="72"/>
        <v/>
      </c>
      <c r="D151" s="3" t="str">
        <f t="shared" si="68"/>
        <v/>
      </c>
      <c r="E151" s="3" t="str">
        <f t="shared" si="69"/>
        <v/>
      </c>
      <c r="F151" s="3" t="str">
        <f t="shared" si="70"/>
        <v/>
      </c>
      <c r="G151" s="3" t="str">
        <f t="shared" si="71"/>
        <v/>
      </c>
      <c r="H151" s="3" t="str">
        <f t="shared" si="76"/>
        <v/>
      </c>
      <c r="I151" s="3" t="str">
        <f t="shared" si="77"/>
        <v/>
      </c>
      <c r="J151" s="2" t="str">
        <f t="shared" si="78"/>
        <v/>
      </c>
      <c r="K151" s="2" t="str">
        <f>IF(W151="","",LOOKUP('Extraction edi'!J151,Paramètrage!$A$6:$A$179,Paramètrage!$B$6:$B$179))</f>
        <v/>
      </c>
      <c r="L151" s="2" t="str">
        <f>IF(W151="","",LOOKUP('Extraction edi'!J151,Paramètrage!$A$6:$A$179,Paramètrage!$C$6:$C$179))</f>
        <v/>
      </c>
      <c r="M151" s="2" t="str">
        <f>IF(W151="","",LOOKUP('Extraction edi'!J151,Paramètrage!$A$6:$A$179,Paramètrage!$D$6:$D$179))</f>
        <v/>
      </c>
      <c r="N151" s="3" t="str">
        <f>IF(W151="","",LOOKUP('Extraction edi'!J151,Paramètrage!$A$6:$A$179,Paramètrage!$E$6:$E$179))</f>
        <v/>
      </c>
      <c r="O151" s="3" t="str">
        <f t="shared" si="79"/>
        <v/>
      </c>
      <c r="P151" s="3" t="str">
        <f t="shared" si="80"/>
        <v/>
      </c>
      <c r="Q151" s="3" t="str">
        <f t="shared" si="73"/>
        <v/>
      </c>
      <c r="R151" s="3" t="str">
        <f t="shared" si="81"/>
        <v/>
      </c>
      <c r="S151" s="3" t="str">
        <f t="shared" si="82"/>
        <v/>
      </c>
      <c r="T151" s="4" t="str">
        <f t="shared" si="83"/>
        <v/>
      </c>
      <c r="U151" s="5" t="str">
        <f t="shared" si="84"/>
        <v/>
      </c>
      <c r="V151" s="7" t="str">
        <f>IF(W151="","",IF(LOOKUP(W151,'Extration 3E date commande'!$A$6:$A$10000)=W151,LOOKUP(W151,'Extration 3E date commande'!$A$6:$A$10000,'Extration 3E date commande'!$C$6:$C$10000),"PAS DE DATE"))</f>
        <v/>
      </c>
    </row>
    <row r="152" spans="1:22" x14ac:dyDescent="0.25">
      <c r="A152" s="3" t="str">
        <f t="shared" si="74"/>
        <v/>
      </c>
      <c r="B152" s="3" t="str">
        <f t="shared" si="75"/>
        <v/>
      </c>
      <c r="C152" s="3" t="str">
        <f t="shared" si="72"/>
        <v/>
      </c>
      <c r="D152" s="3" t="str">
        <f t="shared" si="68"/>
        <v/>
      </c>
      <c r="E152" s="3" t="str">
        <f t="shared" si="69"/>
        <v/>
      </c>
      <c r="F152" s="3" t="str">
        <f t="shared" si="70"/>
        <v/>
      </c>
      <c r="G152" s="3" t="str">
        <f t="shared" si="71"/>
        <v/>
      </c>
      <c r="H152" s="3" t="str">
        <f t="shared" si="76"/>
        <v/>
      </c>
      <c r="I152" s="3" t="str">
        <f t="shared" si="77"/>
        <v/>
      </c>
      <c r="J152" s="2" t="str">
        <f t="shared" si="78"/>
        <v/>
      </c>
      <c r="K152" s="2" t="str">
        <f>IF(W152="","",LOOKUP('Extraction edi'!J152,Paramètrage!$A$6:$A$179,Paramètrage!$B$6:$B$179))</f>
        <v/>
      </c>
      <c r="L152" s="2" t="str">
        <f>IF(W152="","",LOOKUP('Extraction edi'!J152,Paramètrage!$A$6:$A$179,Paramètrage!$C$6:$C$179))</f>
        <v/>
      </c>
      <c r="M152" s="2" t="str">
        <f>IF(W152="","",LOOKUP('Extraction edi'!J152,Paramètrage!$A$6:$A$179,Paramètrage!$D$6:$D$179))</f>
        <v/>
      </c>
      <c r="N152" s="3" t="str">
        <f>IF(W152="","",LOOKUP('Extraction edi'!J152,Paramètrage!$A$6:$A$179,Paramètrage!$E$6:$E$179))</f>
        <v/>
      </c>
      <c r="O152" s="3" t="str">
        <f t="shared" si="79"/>
        <v/>
      </c>
      <c r="P152" s="3" t="str">
        <f t="shared" si="80"/>
        <v/>
      </c>
      <c r="Q152" s="3" t="str">
        <f t="shared" si="73"/>
        <v/>
      </c>
      <c r="R152" s="3" t="str">
        <f t="shared" si="81"/>
        <v/>
      </c>
      <c r="S152" s="3" t="str">
        <f t="shared" si="82"/>
        <v/>
      </c>
      <c r="T152" s="4" t="str">
        <f t="shared" si="83"/>
        <v/>
      </c>
      <c r="U152" s="5" t="str">
        <f t="shared" si="84"/>
        <v/>
      </c>
      <c r="V152" s="7" t="str">
        <f>IF(W152="","",IF(LOOKUP(W152,'Extration 3E date commande'!$A$6:$A$10000)=W152,LOOKUP(W152,'Extration 3E date commande'!$A$6:$A$10000,'Extration 3E date commande'!$C$6:$C$10000),"PAS DE DATE"))</f>
        <v/>
      </c>
    </row>
    <row r="153" spans="1:22" x14ac:dyDescent="0.25">
      <c r="A153" s="3" t="str">
        <f t="shared" si="74"/>
        <v/>
      </c>
      <c r="B153" s="3" t="str">
        <f t="shared" si="75"/>
        <v/>
      </c>
      <c r="C153" s="3" t="str">
        <f t="shared" si="72"/>
        <v/>
      </c>
      <c r="D153" s="3" t="str">
        <f t="shared" si="68"/>
        <v/>
      </c>
      <c r="E153" s="3" t="str">
        <f t="shared" si="69"/>
        <v/>
      </c>
      <c r="F153" s="3" t="str">
        <f t="shared" si="70"/>
        <v/>
      </c>
      <c r="G153" s="3" t="str">
        <f t="shared" si="71"/>
        <v/>
      </c>
      <c r="H153" s="3" t="str">
        <f t="shared" si="76"/>
        <v/>
      </c>
      <c r="I153" s="3" t="str">
        <f t="shared" si="77"/>
        <v/>
      </c>
      <c r="J153" s="2" t="str">
        <f t="shared" si="78"/>
        <v/>
      </c>
      <c r="K153" s="2" t="str">
        <f>IF(W153="","",LOOKUP('Extraction edi'!J153,Paramètrage!$A$6:$A$179,Paramètrage!$B$6:$B$179))</f>
        <v/>
      </c>
      <c r="L153" s="2" t="str">
        <f>IF(W153="","",LOOKUP('Extraction edi'!J153,Paramètrage!$A$6:$A$179,Paramètrage!$C$6:$C$179))</f>
        <v/>
      </c>
      <c r="M153" s="2" t="str">
        <f>IF(W153="","",LOOKUP('Extraction edi'!J153,Paramètrage!$A$6:$A$179,Paramètrage!$D$6:$D$179))</f>
        <v/>
      </c>
      <c r="N153" s="3" t="str">
        <f>IF(W153="","",LOOKUP('Extraction edi'!J153,Paramètrage!$A$6:$A$179,Paramètrage!$E$6:$E$179))</f>
        <v/>
      </c>
      <c r="O153" s="3" t="str">
        <f t="shared" si="79"/>
        <v/>
      </c>
      <c r="P153" s="3" t="str">
        <f t="shared" si="80"/>
        <v/>
      </c>
      <c r="Q153" s="3" t="str">
        <f t="shared" si="73"/>
        <v/>
      </c>
      <c r="R153" s="3" t="str">
        <f t="shared" si="81"/>
        <v/>
      </c>
      <c r="S153" s="3" t="str">
        <f t="shared" si="82"/>
        <v/>
      </c>
      <c r="T153" s="4" t="str">
        <f t="shared" si="83"/>
        <v/>
      </c>
      <c r="U153" s="5" t="str">
        <f t="shared" si="84"/>
        <v/>
      </c>
      <c r="V153" s="7" t="str">
        <f>IF(W153="","",IF(LOOKUP(W153,'Extration 3E date commande'!$A$6:$A$10000)=W153,LOOKUP(W153,'Extration 3E date commande'!$A$6:$A$10000,'Extration 3E date commande'!$C$6:$C$10000),"PAS DE DATE"))</f>
        <v/>
      </c>
    </row>
    <row r="154" spans="1:22" x14ac:dyDescent="0.25">
      <c r="A154" s="3" t="str">
        <f t="shared" si="74"/>
        <v/>
      </c>
      <c r="B154" s="3" t="str">
        <f t="shared" si="75"/>
        <v/>
      </c>
      <c r="C154" s="3" t="str">
        <f t="shared" si="72"/>
        <v/>
      </c>
      <c r="D154" s="3" t="str">
        <f t="shared" si="68"/>
        <v/>
      </c>
      <c r="E154" s="3" t="str">
        <f t="shared" si="69"/>
        <v/>
      </c>
      <c r="F154" s="3" t="str">
        <f t="shared" si="70"/>
        <v/>
      </c>
      <c r="G154" s="3" t="str">
        <f t="shared" si="71"/>
        <v/>
      </c>
      <c r="H154" s="3" t="str">
        <f t="shared" si="76"/>
        <v/>
      </c>
      <c r="I154" s="3" t="str">
        <f t="shared" si="77"/>
        <v/>
      </c>
      <c r="J154" s="2" t="str">
        <f t="shared" si="78"/>
        <v/>
      </c>
      <c r="K154" s="2" t="str">
        <f>IF(W154="","",LOOKUP('Extraction edi'!J154,Paramètrage!$A$6:$A$179,Paramètrage!$B$6:$B$179))</f>
        <v/>
      </c>
      <c r="L154" s="2" t="str">
        <f>IF(W154="","",LOOKUP('Extraction edi'!J154,Paramètrage!$A$6:$A$179,Paramètrage!$C$6:$C$179))</f>
        <v/>
      </c>
      <c r="M154" s="2" t="str">
        <f>IF(W154="","",LOOKUP('Extraction edi'!J154,Paramètrage!$A$6:$A$179,Paramètrage!$D$6:$D$179))</f>
        <v/>
      </c>
      <c r="N154" s="3" t="str">
        <f>IF(W154="","",LOOKUP('Extraction edi'!J154,Paramètrage!$A$6:$A$179,Paramètrage!$E$6:$E$179))</f>
        <v/>
      </c>
      <c r="O154" s="3" t="str">
        <f t="shared" si="79"/>
        <v/>
      </c>
      <c r="P154" s="3" t="str">
        <f t="shared" si="80"/>
        <v/>
      </c>
      <c r="Q154" s="3" t="str">
        <f t="shared" si="73"/>
        <v/>
      </c>
      <c r="R154" s="3" t="str">
        <f t="shared" si="81"/>
        <v/>
      </c>
      <c r="S154" s="3" t="str">
        <f t="shared" si="82"/>
        <v/>
      </c>
      <c r="T154" s="4" t="str">
        <f t="shared" si="83"/>
        <v/>
      </c>
      <c r="U154" s="5" t="str">
        <f t="shared" si="84"/>
        <v/>
      </c>
      <c r="V154" s="7" t="str">
        <f>IF(W154="","",IF(LOOKUP(W154,'Extration 3E date commande'!$A$6:$A$10000)=W154,LOOKUP(W154,'Extration 3E date commande'!$A$6:$A$10000,'Extration 3E date commande'!$C$6:$C$10000),"PAS DE DATE"))</f>
        <v/>
      </c>
    </row>
    <row r="155" spans="1:22" x14ac:dyDescent="0.25">
      <c r="A155" s="3" t="str">
        <f t="shared" si="74"/>
        <v/>
      </c>
      <c r="B155" s="3" t="str">
        <f t="shared" si="75"/>
        <v/>
      </c>
      <c r="C155" s="3" t="str">
        <f t="shared" si="72"/>
        <v/>
      </c>
      <c r="D155" s="3" t="str">
        <f t="shared" si="68"/>
        <v/>
      </c>
      <c r="E155" s="3" t="str">
        <f t="shared" si="69"/>
        <v/>
      </c>
      <c r="F155" s="3" t="str">
        <f t="shared" si="70"/>
        <v/>
      </c>
      <c r="G155" s="3" t="str">
        <f t="shared" si="71"/>
        <v/>
      </c>
      <c r="H155" s="3" t="str">
        <f t="shared" si="76"/>
        <v/>
      </c>
      <c r="I155" s="3" t="str">
        <f t="shared" si="77"/>
        <v/>
      </c>
      <c r="J155" s="2" t="str">
        <f t="shared" si="78"/>
        <v/>
      </c>
      <c r="K155" s="2" t="str">
        <f>IF(W155="","",LOOKUP('Extraction edi'!J155,Paramètrage!$A$6:$A$179,Paramètrage!$B$6:$B$179))</f>
        <v/>
      </c>
      <c r="L155" s="2" t="str">
        <f>IF(W155="","",LOOKUP('Extraction edi'!J155,Paramètrage!$A$6:$A$179,Paramètrage!$C$6:$C$179))</f>
        <v/>
      </c>
      <c r="M155" s="2" t="str">
        <f>IF(W155="","",LOOKUP('Extraction edi'!J155,Paramètrage!$A$6:$A$179,Paramètrage!$D$6:$D$179))</f>
        <v/>
      </c>
      <c r="N155" s="3" t="str">
        <f>IF(W155="","",LOOKUP('Extraction edi'!J155,Paramètrage!$A$6:$A$179,Paramètrage!$E$6:$E$179))</f>
        <v/>
      </c>
      <c r="O155" s="3" t="str">
        <f t="shared" si="79"/>
        <v/>
      </c>
      <c r="P155" s="3" t="str">
        <f t="shared" si="80"/>
        <v/>
      </c>
      <c r="Q155" s="3" t="str">
        <f t="shared" si="73"/>
        <v/>
      </c>
      <c r="R155" s="3" t="str">
        <f t="shared" si="81"/>
        <v/>
      </c>
      <c r="S155" s="3" t="str">
        <f t="shared" si="82"/>
        <v/>
      </c>
      <c r="T155" s="4" t="str">
        <f t="shared" si="83"/>
        <v/>
      </c>
      <c r="U155" s="5" t="str">
        <f t="shared" si="84"/>
        <v/>
      </c>
      <c r="V155" s="7" t="str">
        <f>IF(W155="","",IF(LOOKUP(W155,'Extration 3E date commande'!$A$6:$A$10000)=W155,LOOKUP(W155,'Extration 3E date commande'!$A$6:$A$10000,'Extration 3E date commande'!$C$6:$C$10000),"PAS DE DATE"))</f>
        <v/>
      </c>
    </row>
    <row r="156" spans="1:22" x14ac:dyDescent="0.25">
      <c r="A156" s="3" t="str">
        <f t="shared" si="74"/>
        <v/>
      </c>
      <c r="B156" s="3" t="str">
        <f t="shared" si="75"/>
        <v/>
      </c>
      <c r="C156" s="3" t="str">
        <f t="shared" si="72"/>
        <v/>
      </c>
      <c r="D156" s="3" t="str">
        <f t="shared" si="68"/>
        <v/>
      </c>
      <c r="E156" s="3" t="str">
        <f t="shared" si="69"/>
        <v/>
      </c>
      <c r="F156" s="3" t="str">
        <f t="shared" si="70"/>
        <v/>
      </c>
      <c r="G156" s="3" t="str">
        <f t="shared" si="71"/>
        <v/>
      </c>
      <c r="H156" s="3" t="str">
        <f t="shared" si="76"/>
        <v/>
      </c>
      <c r="I156" s="3" t="str">
        <f t="shared" si="77"/>
        <v/>
      </c>
      <c r="J156" s="2" t="str">
        <f t="shared" si="78"/>
        <v/>
      </c>
      <c r="K156" s="2" t="str">
        <f>IF(W156="","",LOOKUP('Extraction edi'!J156,Paramètrage!$A$6:$A$179,Paramètrage!$B$6:$B$179))</f>
        <v/>
      </c>
      <c r="L156" s="2" t="str">
        <f>IF(W156="","",LOOKUP('Extraction edi'!J156,Paramètrage!$A$6:$A$179,Paramètrage!$C$6:$C$179))</f>
        <v/>
      </c>
      <c r="M156" s="2" t="str">
        <f>IF(W156="","",LOOKUP('Extraction edi'!J156,Paramètrage!$A$6:$A$179,Paramètrage!$D$6:$D$179))</f>
        <v/>
      </c>
      <c r="N156" s="3" t="str">
        <f>IF(W156="","",LOOKUP('Extraction edi'!J156,Paramètrage!$A$6:$A$179,Paramètrage!$E$6:$E$179))</f>
        <v/>
      </c>
      <c r="O156" s="3" t="str">
        <f t="shared" si="79"/>
        <v/>
      </c>
      <c r="P156" s="3" t="str">
        <f t="shared" si="80"/>
        <v/>
      </c>
      <c r="Q156" s="3" t="str">
        <f t="shared" si="73"/>
        <v/>
      </c>
      <c r="R156" s="3" t="str">
        <f t="shared" si="81"/>
        <v/>
      </c>
      <c r="S156" s="3" t="str">
        <f t="shared" si="82"/>
        <v/>
      </c>
      <c r="T156" s="4" t="str">
        <f t="shared" si="83"/>
        <v/>
      </c>
      <c r="U156" s="5" t="str">
        <f t="shared" si="84"/>
        <v/>
      </c>
      <c r="V156" s="7" t="str">
        <f>IF(W156="","",IF(LOOKUP(W156,'Extration 3E date commande'!$A$6:$A$10000)=W156,LOOKUP(W156,'Extration 3E date commande'!$A$6:$A$10000,'Extration 3E date commande'!$C$6:$C$10000),"PAS DE DATE"))</f>
        <v/>
      </c>
    </row>
    <row r="157" spans="1:22" x14ac:dyDescent="0.25">
      <c r="A157" s="3" t="str">
        <f t="shared" si="74"/>
        <v/>
      </c>
      <c r="B157" s="3" t="str">
        <f t="shared" si="75"/>
        <v/>
      </c>
      <c r="C157" s="3" t="str">
        <f t="shared" si="72"/>
        <v/>
      </c>
      <c r="D157" s="3" t="str">
        <f t="shared" si="68"/>
        <v/>
      </c>
      <c r="E157" s="3" t="str">
        <f t="shared" si="69"/>
        <v/>
      </c>
      <c r="F157" s="3" t="str">
        <f t="shared" si="70"/>
        <v/>
      </c>
      <c r="G157" s="3" t="str">
        <f t="shared" si="71"/>
        <v/>
      </c>
      <c r="H157" s="3" t="str">
        <f t="shared" si="76"/>
        <v/>
      </c>
      <c r="I157" s="3" t="str">
        <f t="shared" si="77"/>
        <v/>
      </c>
      <c r="J157" s="2" t="str">
        <f t="shared" si="78"/>
        <v/>
      </c>
      <c r="K157" s="2" t="str">
        <f>IF(W157="","",LOOKUP('Extraction edi'!J157,Paramètrage!$A$6:$A$179,Paramètrage!$B$6:$B$179))</f>
        <v/>
      </c>
      <c r="L157" s="2" t="str">
        <f>IF(W157="","",LOOKUP('Extraction edi'!J157,Paramètrage!$A$6:$A$179,Paramètrage!$C$6:$C$179))</f>
        <v/>
      </c>
      <c r="M157" s="2" t="str">
        <f>IF(W157="","",LOOKUP('Extraction edi'!J157,Paramètrage!$A$6:$A$179,Paramètrage!$D$6:$D$179))</f>
        <v/>
      </c>
      <c r="N157" s="3" t="str">
        <f>IF(W157="","",LOOKUP('Extraction edi'!J157,Paramètrage!$A$6:$A$179,Paramètrage!$E$6:$E$179))</f>
        <v/>
      </c>
      <c r="O157" s="3" t="str">
        <f t="shared" si="79"/>
        <v/>
      </c>
      <c r="P157" s="3" t="str">
        <f t="shared" si="80"/>
        <v/>
      </c>
      <c r="Q157" s="3" t="str">
        <f t="shared" si="73"/>
        <v/>
      </c>
      <c r="R157" s="3" t="str">
        <f t="shared" si="81"/>
        <v/>
      </c>
      <c r="S157" s="3" t="str">
        <f t="shared" si="82"/>
        <v/>
      </c>
      <c r="T157" s="4" t="str">
        <f t="shared" si="83"/>
        <v/>
      </c>
      <c r="U157" s="5" t="str">
        <f t="shared" si="84"/>
        <v/>
      </c>
      <c r="V157" s="7" t="str">
        <f>IF(W157="","",IF(LOOKUP(W157,'Extration 3E date commande'!$A$6:$A$10000)=W157,LOOKUP(W157,'Extration 3E date commande'!$A$6:$A$10000,'Extration 3E date commande'!$C$6:$C$10000),"PAS DE DATE"))</f>
        <v/>
      </c>
    </row>
    <row r="158" spans="1:22" x14ac:dyDescent="0.25">
      <c r="A158" s="3" t="str">
        <f t="shared" si="74"/>
        <v/>
      </c>
      <c r="B158" s="3" t="str">
        <f t="shared" si="75"/>
        <v/>
      </c>
      <c r="C158" s="3" t="str">
        <f t="shared" si="72"/>
        <v/>
      </c>
      <c r="D158" s="3" t="str">
        <f t="shared" si="68"/>
        <v/>
      </c>
      <c r="E158" s="3" t="str">
        <f t="shared" si="69"/>
        <v/>
      </c>
      <c r="F158" s="3" t="str">
        <f t="shared" si="70"/>
        <v/>
      </c>
      <c r="G158" s="3" t="str">
        <f t="shared" si="71"/>
        <v/>
      </c>
      <c r="H158" s="3" t="str">
        <f t="shared" si="76"/>
        <v/>
      </c>
      <c r="I158" s="3" t="str">
        <f t="shared" si="77"/>
        <v/>
      </c>
      <c r="J158" s="2" t="str">
        <f t="shared" si="78"/>
        <v/>
      </c>
      <c r="K158" s="2" t="str">
        <f>IF(W158="","",LOOKUP('Extraction edi'!J158,Paramètrage!$A$6:$A$179,Paramètrage!$B$6:$B$179))</f>
        <v/>
      </c>
      <c r="L158" s="2" t="str">
        <f>IF(W158="","",LOOKUP('Extraction edi'!J158,Paramètrage!$A$6:$A$179,Paramètrage!$C$6:$C$179))</f>
        <v/>
      </c>
      <c r="M158" s="2" t="str">
        <f>IF(W158="","",LOOKUP('Extraction edi'!J158,Paramètrage!$A$6:$A$179,Paramètrage!$D$6:$D$179))</f>
        <v/>
      </c>
      <c r="N158" s="3" t="str">
        <f>IF(W158="","",LOOKUP('Extraction edi'!J158,Paramètrage!$A$6:$A$179,Paramètrage!$E$6:$E$179))</f>
        <v/>
      </c>
      <c r="O158" s="3" t="str">
        <f t="shared" si="79"/>
        <v/>
      </c>
      <c r="P158" s="3" t="str">
        <f t="shared" si="80"/>
        <v/>
      </c>
      <c r="Q158" s="3" t="str">
        <f t="shared" si="73"/>
        <v/>
      </c>
      <c r="R158" s="3" t="str">
        <f t="shared" si="81"/>
        <v/>
      </c>
      <c r="S158" s="3" t="str">
        <f t="shared" si="82"/>
        <v/>
      </c>
      <c r="T158" s="4" t="str">
        <f t="shared" si="83"/>
        <v/>
      </c>
      <c r="U158" s="5" t="str">
        <f t="shared" si="84"/>
        <v/>
      </c>
      <c r="V158" s="7" t="str">
        <f>IF(W158="","",IF(LOOKUP(W158,'Extration 3E date commande'!$A$6:$A$10000)=W158,LOOKUP(W158,'Extration 3E date commande'!$A$6:$A$10000,'Extration 3E date commande'!$C$6:$C$10000),"PAS DE DATE"))</f>
        <v/>
      </c>
    </row>
    <row r="159" spans="1:22" x14ac:dyDescent="0.25">
      <c r="A159" s="3" t="str">
        <f t="shared" si="74"/>
        <v/>
      </c>
      <c r="B159" s="3" t="str">
        <f t="shared" si="75"/>
        <v/>
      </c>
      <c r="C159" s="3" t="str">
        <f t="shared" si="72"/>
        <v/>
      </c>
      <c r="D159" s="3" t="str">
        <f t="shared" si="68"/>
        <v/>
      </c>
      <c r="E159" s="3" t="str">
        <f t="shared" si="69"/>
        <v/>
      </c>
      <c r="F159" s="3" t="str">
        <f t="shared" si="70"/>
        <v/>
      </c>
      <c r="G159" s="3" t="str">
        <f t="shared" si="71"/>
        <v/>
      </c>
      <c r="H159" s="3" t="str">
        <f t="shared" si="76"/>
        <v/>
      </c>
      <c r="I159" s="3" t="str">
        <f t="shared" si="77"/>
        <v/>
      </c>
      <c r="J159" s="2" t="str">
        <f t="shared" si="78"/>
        <v/>
      </c>
      <c r="K159" s="2" t="str">
        <f>IF(W159="","",LOOKUP('Extraction edi'!J159,Paramètrage!$A$6:$A$179,Paramètrage!$B$6:$B$179))</f>
        <v/>
      </c>
      <c r="L159" s="2" t="str">
        <f>IF(W159="","",LOOKUP('Extraction edi'!J159,Paramètrage!$A$6:$A$179,Paramètrage!$C$6:$C$179))</f>
        <v/>
      </c>
      <c r="M159" s="2" t="str">
        <f>IF(W159="","",LOOKUP('Extraction edi'!J159,Paramètrage!$A$6:$A$179,Paramètrage!$D$6:$D$179))</f>
        <v/>
      </c>
      <c r="N159" s="3" t="str">
        <f>IF(W159="","",LOOKUP('Extraction edi'!J159,Paramètrage!$A$6:$A$179,Paramètrage!$E$6:$E$179))</f>
        <v/>
      </c>
      <c r="O159" s="3" t="str">
        <f t="shared" si="79"/>
        <v/>
      </c>
      <c r="P159" s="3" t="str">
        <f t="shared" si="80"/>
        <v/>
      </c>
      <c r="Q159" s="3" t="str">
        <f t="shared" si="73"/>
        <v/>
      </c>
      <c r="R159" s="3" t="str">
        <f t="shared" si="81"/>
        <v/>
      </c>
      <c r="S159" s="3" t="str">
        <f t="shared" si="82"/>
        <v/>
      </c>
      <c r="T159" s="4" t="str">
        <f t="shared" si="83"/>
        <v/>
      </c>
      <c r="U159" s="5" t="str">
        <f t="shared" si="84"/>
        <v/>
      </c>
      <c r="V159" s="7" t="str">
        <f>IF(W159="","",IF(LOOKUP(W159,'Extration 3E date commande'!$A$6:$A$10000)=W159,LOOKUP(W159,'Extration 3E date commande'!$A$6:$A$10000,'Extration 3E date commande'!$C$6:$C$10000),"PAS DE DATE"))</f>
        <v/>
      </c>
    </row>
    <row r="160" spans="1:22" x14ac:dyDescent="0.25">
      <c r="A160" s="3" t="str">
        <f t="shared" si="74"/>
        <v/>
      </c>
      <c r="B160" s="3" t="str">
        <f t="shared" si="75"/>
        <v/>
      </c>
      <c r="C160" s="3" t="str">
        <f t="shared" si="72"/>
        <v/>
      </c>
      <c r="D160" s="3" t="str">
        <f t="shared" si="68"/>
        <v/>
      </c>
      <c r="E160" s="3" t="str">
        <f t="shared" si="69"/>
        <v/>
      </c>
      <c r="F160" s="3" t="str">
        <f t="shared" si="70"/>
        <v/>
      </c>
      <c r="G160" s="3" t="str">
        <f t="shared" si="71"/>
        <v/>
      </c>
      <c r="H160" s="3" t="str">
        <f t="shared" si="76"/>
        <v/>
      </c>
      <c r="I160" s="3" t="str">
        <f t="shared" si="77"/>
        <v/>
      </c>
      <c r="J160" s="2" t="str">
        <f t="shared" si="78"/>
        <v/>
      </c>
      <c r="K160" s="2" t="str">
        <f>IF(W160="","",LOOKUP('Extraction edi'!J160,Paramètrage!$A$6:$A$179,Paramètrage!$B$6:$B$179))</f>
        <v/>
      </c>
      <c r="L160" s="2" t="str">
        <f>IF(W160="","",LOOKUP('Extraction edi'!J160,Paramètrage!$A$6:$A$179,Paramètrage!$C$6:$C$179))</f>
        <v/>
      </c>
      <c r="M160" s="2" t="str">
        <f>IF(W160="","",LOOKUP('Extraction edi'!J160,Paramètrage!$A$6:$A$179,Paramètrage!$D$6:$D$179))</f>
        <v/>
      </c>
      <c r="N160" s="3" t="str">
        <f>IF(W160="","",LOOKUP('Extraction edi'!J160,Paramètrage!$A$6:$A$179,Paramètrage!$E$6:$E$179))</f>
        <v/>
      </c>
      <c r="O160" s="3" t="str">
        <f t="shared" si="79"/>
        <v/>
      </c>
      <c r="P160" s="3" t="str">
        <f t="shared" si="80"/>
        <v/>
      </c>
      <c r="Q160" s="3" t="str">
        <f t="shared" si="73"/>
        <v/>
      </c>
      <c r="R160" s="3" t="str">
        <f t="shared" si="81"/>
        <v/>
      </c>
      <c r="S160" s="3" t="str">
        <f t="shared" si="82"/>
        <v/>
      </c>
      <c r="T160" s="4" t="str">
        <f t="shared" si="83"/>
        <v/>
      </c>
      <c r="U160" s="5" t="str">
        <f t="shared" si="84"/>
        <v/>
      </c>
      <c r="V160" s="7" t="str">
        <f>IF(W160="","",IF(LOOKUP(W160,'Extration 3E date commande'!$A$6:$A$10000)=W160,LOOKUP(W160,'Extration 3E date commande'!$A$6:$A$10000,'Extration 3E date commande'!$C$6:$C$10000),"PAS DE DATE"))</f>
        <v/>
      </c>
    </row>
    <row r="161" spans="1:22" x14ac:dyDescent="0.25">
      <c r="A161" s="3" t="str">
        <f t="shared" si="74"/>
        <v/>
      </c>
      <c r="B161" s="3" t="str">
        <f t="shared" si="75"/>
        <v/>
      </c>
      <c r="C161" s="3" t="str">
        <f t="shared" si="72"/>
        <v/>
      </c>
      <c r="D161" s="3" t="str">
        <f t="shared" si="68"/>
        <v/>
      </c>
      <c r="E161" s="3" t="str">
        <f t="shared" si="69"/>
        <v/>
      </c>
      <c r="F161" s="3" t="str">
        <f t="shared" si="70"/>
        <v/>
      </c>
      <c r="G161" s="3" t="str">
        <f t="shared" si="71"/>
        <v/>
      </c>
      <c r="H161" s="3" t="str">
        <f t="shared" si="76"/>
        <v/>
      </c>
      <c r="I161" s="3" t="str">
        <f t="shared" si="77"/>
        <v/>
      </c>
      <c r="J161" s="2" t="str">
        <f t="shared" si="78"/>
        <v/>
      </c>
      <c r="K161" s="2" t="str">
        <f>IF(W161="","",LOOKUP('Extraction edi'!J161,Paramètrage!$A$6:$A$179,Paramètrage!$B$6:$B$179))</f>
        <v/>
      </c>
      <c r="L161" s="2" t="str">
        <f>IF(W161="","",LOOKUP('Extraction edi'!J161,Paramètrage!$A$6:$A$179,Paramètrage!$C$6:$C$179))</f>
        <v/>
      </c>
      <c r="M161" s="2" t="str">
        <f>IF(W161="","",LOOKUP('Extraction edi'!J161,Paramètrage!$A$6:$A$179,Paramètrage!$D$6:$D$179))</f>
        <v/>
      </c>
      <c r="N161" s="3" t="str">
        <f>IF(W161="","",LOOKUP('Extraction edi'!J161,Paramètrage!$A$6:$A$179,Paramètrage!$E$6:$E$179))</f>
        <v/>
      </c>
      <c r="O161" s="3" t="str">
        <f t="shared" si="79"/>
        <v/>
      </c>
      <c r="P161" s="3" t="str">
        <f t="shared" si="80"/>
        <v/>
      </c>
      <c r="Q161" s="3" t="str">
        <f t="shared" si="73"/>
        <v/>
      </c>
      <c r="R161" s="3" t="str">
        <f t="shared" si="81"/>
        <v/>
      </c>
      <c r="S161" s="3" t="str">
        <f t="shared" si="82"/>
        <v/>
      </c>
      <c r="T161" s="4" t="str">
        <f t="shared" si="83"/>
        <v/>
      </c>
      <c r="U161" s="5" t="str">
        <f t="shared" si="84"/>
        <v/>
      </c>
      <c r="V161" s="7" t="str">
        <f>IF(W161="","",IF(LOOKUP(W161,'Extration 3E date commande'!$A$6:$A$10000)=W161,LOOKUP(W161,'Extration 3E date commande'!$A$6:$A$10000,'Extration 3E date commande'!$C$6:$C$10000),"PAS DE DATE"))</f>
        <v/>
      </c>
    </row>
    <row r="162" spans="1:22" x14ac:dyDescent="0.25">
      <c r="A162" s="3" t="str">
        <f t="shared" si="74"/>
        <v/>
      </c>
      <c r="B162" s="3" t="str">
        <f t="shared" si="75"/>
        <v/>
      </c>
      <c r="C162" s="3" t="str">
        <f t="shared" si="72"/>
        <v/>
      </c>
      <c r="D162" s="3" t="str">
        <f t="shared" si="68"/>
        <v/>
      </c>
      <c r="E162" s="3" t="str">
        <f t="shared" si="69"/>
        <v/>
      </c>
      <c r="F162" s="3" t="str">
        <f t="shared" si="70"/>
        <v/>
      </c>
      <c r="G162" s="3" t="str">
        <f t="shared" si="71"/>
        <v/>
      </c>
      <c r="H162" s="3" t="str">
        <f t="shared" si="76"/>
        <v/>
      </c>
      <c r="I162" s="3" t="str">
        <f t="shared" si="77"/>
        <v/>
      </c>
      <c r="J162" s="2" t="str">
        <f t="shared" si="78"/>
        <v/>
      </c>
      <c r="K162" s="2" t="str">
        <f>IF(W162="","",LOOKUP('Extraction edi'!J162,Paramètrage!$A$6:$A$179,Paramètrage!$B$6:$B$179))</f>
        <v/>
      </c>
      <c r="L162" s="2" t="str">
        <f>IF(W162="","",LOOKUP('Extraction edi'!J162,Paramètrage!$A$6:$A$179,Paramètrage!$C$6:$C$179))</f>
        <v/>
      </c>
      <c r="M162" s="2" t="str">
        <f>IF(W162="","",LOOKUP('Extraction edi'!J162,Paramètrage!$A$6:$A$179,Paramètrage!$D$6:$D$179))</f>
        <v/>
      </c>
      <c r="N162" s="3" t="str">
        <f>IF(W162="","",LOOKUP('Extraction edi'!J162,Paramètrage!$A$6:$A$179,Paramètrage!$E$6:$E$179))</f>
        <v/>
      </c>
      <c r="O162" s="3" t="str">
        <f t="shared" si="79"/>
        <v/>
      </c>
      <c r="P162" s="3" t="str">
        <f t="shared" si="80"/>
        <v/>
      </c>
      <c r="Q162" s="3" t="str">
        <f t="shared" si="73"/>
        <v/>
      </c>
      <c r="R162" s="3" t="str">
        <f t="shared" si="81"/>
        <v/>
      </c>
      <c r="S162" s="3" t="str">
        <f t="shared" si="82"/>
        <v/>
      </c>
      <c r="T162" s="4" t="str">
        <f t="shared" si="83"/>
        <v/>
      </c>
      <c r="U162" s="5" t="str">
        <f t="shared" si="84"/>
        <v/>
      </c>
      <c r="V162" s="7" t="str">
        <f>IF(W162="","",IF(LOOKUP(W162,'Extration 3E date commande'!$A$6:$A$10000)=W162,LOOKUP(W162,'Extration 3E date commande'!$A$6:$A$10000,'Extration 3E date commande'!$C$6:$C$10000),"PAS DE DATE"))</f>
        <v/>
      </c>
    </row>
    <row r="163" spans="1:22" x14ac:dyDescent="0.25">
      <c r="A163" s="3" t="str">
        <f t="shared" si="74"/>
        <v/>
      </c>
      <c r="B163" s="3" t="str">
        <f t="shared" si="75"/>
        <v/>
      </c>
      <c r="C163" s="3" t="str">
        <f t="shared" si="72"/>
        <v/>
      </c>
      <c r="D163" s="3" t="str">
        <f t="shared" si="68"/>
        <v/>
      </c>
      <c r="E163" s="3" t="str">
        <f t="shared" si="69"/>
        <v/>
      </c>
      <c r="F163" s="3" t="str">
        <f t="shared" si="70"/>
        <v/>
      </c>
      <c r="G163" s="3" t="str">
        <f t="shared" si="71"/>
        <v/>
      </c>
      <c r="H163" s="3" t="str">
        <f t="shared" si="76"/>
        <v/>
      </c>
      <c r="I163" s="3" t="str">
        <f t="shared" si="77"/>
        <v/>
      </c>
      <c r="J163" s="2" t="str">
        <f t="shared" si="78"/>
        <v/>
      </c>
      <c r="K163" s="2" t="str">
        <f>IF(W163="","",LOOKUP('Extraction edi'!J163,Paramètrage!$A$6:$A$179,Paramètrage!$B$6:$B$179))</f>
        <v/>
      </c>
      <c r="L163" s="2" t="str">
        <f>IF(W163="","",LOOKUP('Extraction edi'!J163,Paramètrage!$A$6:$A$179,Paramètrage!$C$6:$C$179))</f>
        <v/>
      </c>
      <c r="M163" s="2" t="str">
        <f>IF(W163="","",LOOKUP('Extraction edi'!J163,Paramètrage!$A$6:$A$179,Paramètrage!$D$6:$D$179))</f>
        <v/>
      </c>
      <c r="N163" s="3" t="str">
        <f>IF(W163="","",LOOKUP('Extraction edi'!J163,Paramètrage!$A$6:$A$179,Paramètrage!$E$6:$E$179))</f>
        <v/>
      </c>
      <c r="O163" s="3" t="str">
        <f t="shared" si="79"/>
        <v/>
      </c>
      <c r="P163" s="3" t="str">
        <f t="shared" si="80"/>
        <v/>
      </c>
      <c r="Q163" s="3" t="str">
        <f t="shared" si="73"/>
        <v/>
      </c>
      <c r="R163" s="3" t="str">
        <f t="shared" si="81"/>
        <v/>
      </c>
      <c r="S163" s="3" t="str">
        <f t="shared" si="82"/>
        <v/>
      </c>
      <c r="T163" s="4" t="str">
        <f t="shared" si="83"/>
        <v/>
      </c>
      <c r="U163" s="5" t="str">
        <f t="shared" si="84"/>
        <v/>
      </c>
      <c r="V163" s="7" t="str">
        <f>IF(W163="","",IF(LOOKUP(W163,'Extration 3E date commande'!$A$6:$A$10000)=W163,LOOKUP(W163,'Extration 3E date commande'!$A$6:$A$10000,'Extration 3E date commande'!$C$6:$C$10000),"PAS DE DATE"))</f>
        <v/>
      </c>
    </row>
    <row r="164" spans="1:22" x14ac:dyDescent="0.25">
      <c r="A164" s="3" t="str">
        <f t="shared" si="74"/>
        <v/>
      </c>
      <c r="B164" s="3" t="str">
        <f t="shared" si="75"/>
        <v/>
      </c>
      <c r="C164" s="3" t="str">
        <f t="shared" si="72"/>
        <v/>
      </c>
      <c r="D164" s="3" t="str">
        <f t="shared" si="68"/>
        <v/>
      </c>
      <c r="E164" s="3" t="str">
        <f t="shared" si="69"/>
        <v/>
      </c>
      <c r="F164" s="3" t="str">
        <f t="shared" si="70"/>
        <v/>
      </c>
      <c r="G164" s="3" t="str">
        <f t="shared" si="71"/>
        <v/>
      </c>
      <c r="H164" s="3" t="str">
        <f t="shared" si="76"/>
        <v/>
      </c>
      <c r="I164" s="3" t="str">
        <f t="shared" si="77"/>
        <v/>
      </c>
      <c r="J164" s="2" t="str">
        <f t="shared" si="78"/>
        <v/>
      </c>
      <c r="K164" s="2" t="str">
        <f>IF(W164="","",LOOKUP('Extraction edi'!J164,Paramètrage!$A$6:$A$179,Paramètrage!$B$6:$B$179))</f>
        <v/>
      </c>
      <c r="L164" s="2" t="str">
        <f>IF(W164="","",LOOKUP('Extraction edi'!J164,Paramètrage!$A$6:$A$179,Paramètrage!$C$6:$C$179))</f>
        <v/>
      </c>
      <c r="M164" s="2" t="str">
        <f>IF(W164="","",LOOKUP('Extraction edi'!J164,Paramètrage!$A$6:$A$179,Paramètrage!$D$6:$D$179))</f>
        <v/>
      </c>
      <c r="N164" s="3" t="str">
        <f>IF(W164="","",LOOKUP('Extraction edi'!J164,Paramètrage!$A$6:$A$179,Paramètrage!$E$6:$E$179))</f>
        <v/>
      </c>
      <c r="O164" s="3" t="str">
        <f t="shared" si="79"/>
        <v/>
      </c>
      <c r="P164" s="3" t="str">
        <f t="shared" si="80"/>
        <v/>
      </c>
      <c r="Q164" s="3" t="str">
        <f t="shared" si="73"/>
        <v/>
      </c>
      <c r="R164" s="3" t="str">
        <f t="shared" si="81"/>
        <v/>
      </c>
      <c r="S164" s="3" t="str">
        <f t="shared" si="82"/>
        <v/>
      </c>
      <c r="T164" s="4" t="str">
        <f t="shared" si="83"/>
        <v/>
      </c>
      <c r="U164" s="5" t="str">
        <f t="shared" si="84"/>
        <v/>
      </c>
      <c r="V164" s="7" t="str">
        <f>IF(W164="","",IF(LOOKUP(W164,'Extration 3E date commande'!$A$6:$A$10000)=W164,LOOKUP(W164,'Extration 3E date commande'!$A$6:$A$10000,'Extration 3E date commande'!$C$6:$C$10000),"PAS DE DATE"))</f>
        <v/>
      </c>
    </row>
    <row r="165" spans="1:22" x14ac:dyDescent="0.25">
      <c r="A165" s="3" t="str">
        <f t="shared" si="74"/>
        <v/>
      </c>
      <c r="B165" s="3" t="str">
        <f t="shared" si="75"/>
        <v/>
      </c>
      <c r="C165" s="3" t="str">
        <f t="shared" si="72"/>
        <v/>
      </c>
      <c r="D165" s="3" t="str">
        <f t="shared" si="68"/>
        <v/>
      </c>
      <c r="E165" s="3" t="str">
        <f t="shared" si="69"/>
        <v/>
      </c>
      <c r="F165" s="3" t="str">
        <f t="shared" si="70"/>
        <v/>
      </c>
      <c r="G165" s="3" t="str">
        <f t="shared" si="71"/>
        <v/>
      </c>
      <c r="H165" s="3" t="str">
        <f t="shared" si="76"/>
        <v/>
      </c>
      <c r="I165" s="3" t="str">
        <f t="shared" si="77"/>
        <v/>
      </c>
      <c r="J165" s="2" t="str">
        <f t="shared" si="78"/>
        <v/>
      </c>
      <c r="K165" s="2" t="str">
        <f>IF(W165="","",LOOKUP('Extraction edi'!J165,Paramètrage!$A$6:$A$179,Paramètrage!$B$6:$B$179))</f>
        <v/>
      </c>
      <c r="L165" s="2" t="str">
        <f>IF(W165="","",LOOKUP('Extraction edi'!J165,Paramètrage!$A$6:$A$179,Paramètrage!$C$6:$C$179))</f>
        <v/>
      </c>
      <c r="M165" s="2" t="str">
        <f>IF(W165="","",LOOKUP('Extraction edi'!J165,Paramètrage!$A$6:$A$179,Paramètrage!$D$6:$D$179))</f>
        <v/>
      </c>
      <c r="N165" s="3" t="str">
        <f>IF(W165="","",LOOKUP('Extraction edi'!J165,Paramètrage!$A$6:$A$179,Paramètrage!$E$6:$E$179))</f>
        <v/>
      </c>
      <c r="O165" s="3" t="str">
        <f t="shared" si="79"/>
        <v/>
      </c>
      <c r="P165" s="3" t="str">
        <f t="shared" si="80"/>
        <v/>
      </c>
      <c r="Q165" s="3" t="str">
        <f t="shared" si="73"/>
        <v/>
      </c>
      <c r="R165" s="3" t="str">
        <f t="shared" si="81"/>
        <v/>
      </c>
      <c r="S165" s="3" t="str">
        <f t="shared" si="82"/>
        <v/>
      </c>
      <c r="T165" s="4" t="str">
        <f t="shared" si="83"/>
        <v/>
      </c>
      <c r="U165" s="5" t="str">
        <f t="shared" si="84"/>
        <v/>
      </c>
      <c r="V165" s="7" t="str">
        <f>IF(W165="","",IF(LOOKUP(W165,'Extration 3E date commande'!$A$6:$A$10000)=W165,LOOKUP(W165,'Extration 3E date commande'!$A$6:$A$10000,'Extration 3E date commande'!$C$6:$C$10000),"PAS DE DATE"))</f>
        <v/>
      </c>
    </row>
    <row r="166" spans="1:22" x14ac:dyDescent="0.25">
      <c r="A166" s="3" t="str">
        <f t="shared" si="74"/>
        <v/>
      </c>
      <c r="B166" s="3" t="str">
        <f t="shared" si="75"/>
        <v/>
      </c>
      <c r="C166" s="3" t="str">
        <f t="shared" si="72"/>
        <v/>
      </c>
      <c r="D166" s="3" t="str">
        <f t="shared" si="68"/>
        <v/>
      </c>
      <c r="E166" s="3" t="str">
        <f t="shared" si="69"/>
        <v/>
      </c>
      <c r="F166" s="3" t="str">
        <f t="shared" si="70"/>
        <v/>
      </c>
      <c r="G166" s="3" t="str">
        <f t="shared" si="71"/>
        <v/>
      </c>
      <c r="H166" s="3" t="str">
        <f t="shared" si="76"/>
        <v/>
      </c>
      <c r="I166" s="3" t="str">
        <f t="shared" si="77"/>
        <v/>
      </c>
      <c r="J166" s="2" t="str">
        <f t="shared" si="78"/>
        <v/>
      </c>
      <c r="K166" s="2" t="str">
        <f>IF(W166="","",LOOKUP('Extraction edi'!J166,Paramètrage!$A$6:$A$179,Paramètrage!$B$6:$B$179))</f>
        <v/>
      </c>
      <c r="L166" s="2" t="str">
        <f>IF(W166="","",LOOKUP('Extraction edi'!J166,Paramètrage!$A$6:$A$179,Paramètrage!$C$6:$C$179))</f>
        <v/>
      </c>
      <c r="M166" s="2" t="str">
        <f>IF(W166="","",LOOKUP('Extraction edi'!J166,Paramètrage!$A$6:$A$179,Paramètrage!$D$6:$D$179))</f>
        <v/>
      </c>
      <c r="N166" s="3" t="str">
        <f>IF(W166="","",LOOKUP('Extraction edi'!J166,Paramètrage!$A$6:$A$179,Paramètrage!$E$6:$E$179))</f>
        <v/>
      </c>
      <c r="O166" s="3" t="str">
        <f t="shared" si="79"/>
        <v/>
      </c>
      <c r="P166" s="3" t="str">
        <f t="shared" si="80"/>
        <v/>
      </c>
      <c r="Q166" s="3" t="str">
        <f t="shared" si="73"/>
        <v/>
      </c>
      <c r="R166" s="3" t="str">
        <f t="shared" si="81"/>
        <v/>
      </c>
      <c r="S166" s="3" t="str">
        <f t="shared" si="82"/>
        <v/>
      </c>
      <c r="T166" s="4" t="str">
        <f t="shared" si="83"/>
        <v/>
      </c>
      <c r="U166" s="5" t="str">
        <f t="shared" si="84"/>
        <v/>
      </c>
      <c r="V166" s="7" t="str">
        <f>IF(W166="","",IF(LOOKUP(W166,'Extration 3E date commande'!$A$6:$A$10000)=W166,LOOKUP(W166,'Extration 3E date commande'!$A$6:$A$10000,'Extration 3E date commande'!$C$6:$C$10000),"PAS DE DATE"))</f>
        <v/>
      </c>
    </row>
    <row r="167" spans="1:22" x14ac:dyDescent="0.25">
      <c r="A167" s="3" t="str">
        <f t="shared" si="74"/>
        <v/>
      </c>
      <c r="B167" s="3" t="str">
        <f t="shared" si="75"/>
        <v/>
      </c>
      <c r="C167" s="3" t="str">
        <f t="shared" si="72"/>
        <v/>
      </c>
      <c r="D167" s="3" t="str">
        <f t="shared" si="68"/>
        <v/>
      </c>
      <c r="E167" s="3" t="str">
        <f t="shared" si="69"/>
        <v/>
      </c>
      <c r="F167" s="3" t="str">
        <f t="shared" si="70"/>
        <v/>
      </c>
      <c r="G167" s="3" t="str">
        <f t="shared" si="71"/>
        <v/>
      </c>
      <c r="H167" s="3" t="str">
        <f t="shared" si="76"/>
        <v/>
      </c>
      <c r="I167" s="3" t="str">
        <f t="shared" si="77"/>
        <v/>
      </c>
      <c r="J167" s="2" t="str">
        <f t="shared" si="78"/>
        <v/>
      </c>
      <c r="K167" s="2" t="str">
        <f>IF(W167="","",LOOKUP('Extraction edi'!J167,Paramètrage!$A$6:$A$179,Paramètrage!$B$6:$B$179))</f>
        <v/>
      </c>
      <c r="L167" s="2" t="str">
        <f>IF(W167="","",LOOKUP('Extraction edi'!J167,Paramètrage!$A$6:$A$179,Paramètrage!$C$6:$C$179))</f>
        <v/>
      </c>
      <c r="M167" s="2" t="str">
        <f>IF(W167="","",LOOKUP('Extraction edi'!J167,Paramètrage!$A$6:$A$179,Paramètrage!$D$6:$D$179))</f>
        <v/>
      </c>
      <c r="N167" s="3" t="str">
        <f>IF(W167="","",LOOKUP('Extraction edi'!J167,Paramètrage!$A$6:$A$179,Paramètrage!$E$6:$E$179))</f>
        <v/>
      </c>
      <c r="O167" s="3" t="str">
        <f t="shared" si="79"/>
        <v/>
      </c>
      <c r="P167" s="3" t="str">
        <f t="shared" si="80"/>
        <v/>
      </c>
      <c r="Q167" s="3" t="str">
        <f t="shared" si="73"/>
        <v/>
      </c>
      <c r="R167" s="3" t="str">
        <f t="shared" si="81"/>
        <v/>
      </c>
      <c r="S167" s="3" t="str">
        <f t="shared" si="82"/>
        <v/>
      </c>
      <c r="T167" s="4" t="str">
        <f t="shared" si="83"/>
        <v/>
      </c>
      <c r="U167" s="5" t="str">
        <f t="shared" si="84"/>
        <v/>
      </c>
      <c r="V167" s="7" t="str">
        <f>IF(W167="","",IF(LOOKUP(W167,'Extration 3E date commande'!$A$6:$A$10000)=W167,LOOKUP(W167,'Extration 3E date commande'!$A$6:$A$10000,'Extration 3E date commande'!$C$6:$C$10000),"PAS DE DATE"))</f>
        <v/>
      </c>
    </row>
    <row r="168" spans="1:22" x14ac:dyDescent="0.25">
      <c r="A168" s="3" t="str">
        <f t="shared" si="74"/>
        <v/>
      </c>
      <c r="B168" s="3" t="str">
        <f t="shared" si="75"/>
        <v/>
      </c>
      <c r="C168" s="3" t="str">
        <f t="shared" si="72"/>
        <v/>
      </c>
      <c r="D168" s="3" t="str">
        <f t="shared" si="68"/>
        <v/>
      </c>
      <c r="E168" s="3" t="str">
        <f t="shared" si="69"/>
        <v/>
      </c>
      <c r="F168" s="3" t="str">
        <f t="shared" si="70"/>
        <v/>
      </c>
      <c r="G168" s="3" t="str">
        <f t="shared" si="71"/>
        <v/>
      </c>
      <c r="H168" s="3" t="str">
        <f t="shared" si="76"/>
        <v/>
      </c>
      <c r="I168" s="3" t="str">
        <f t="shared" si="77"/>
        <v/>
      </c>
      <c r="J168" s="2" t="str">
        <f t="shared" si="78"/>
        <v/>
      </c>
      <c r="K168" s="2" t="str">
        <f>IF(W168="","",LOOKUP('Extraction edi'!J168,Paramètrage!$A$6:$A$179,Paramètrage!$B$6:$B$179))</f>
        <v/>
      </c>
      <c r="L168" s="2" t="str">
        <f>IF(W168="","",LOOKUP('Extraction edi'!J168,Paramètrage!$A$6:$A$179,Paramètrage!$C$6:$C$179))</f>
        <v/>
      </c>
      <c r="M168" s="2" t="str">
        <f>IF(W168="","",LOOKUP('Extraction edi'!J168,Paramètrage!$A$6:$A$179,Paramètrage!$D$6:$D$179))</f>
        <v/>
      </c>
      <c r="N168" s="3" t="str">
        <f>IF(W168="","",LOOKUP('Extraction edi'!J168,Paramètrage!$A$6:$A$179,Paramètrage!$E$6:$E$179))</f>
        <v/>
      </c>
      <c r="O168" s="3" t="str">
        <f t="shared" si="79"/>
        <v/>
      </c>
      <c r="P168" s="3" t="str">
        <f t="shared" si="80"/>
        <v/>
      </c>
      <c r="Q168" s="3" t="str">
        <f t="shared" si="73"/>
        <v/>
      </c>
      <c r="R168" s="3" t="str">
        <f t="shared" si="81"/>
        <v/>
      </c>
      <c r="S168" s="3" t="str">
        <f t="shared" si="82"/>
        <v/>
      </c>
      <c r="T168" s="4" t="str">
        <f t="shared" si="83"/>
        <v/>
      </c>
      <c r="U168" s="5" t="str">
        <f t="shared" si="84"/>
        <v/>
      </c>
      <c r="V168" s="7" t="str">
        <f>IF(W168="","",IF(LOOKUP(W168,'Extration 3E date commande'!$A$6:$A$10000)=W168,LOOKUP(W168,'Extration 3E date commande'!$A$6:$A$10000,'Extration 3E date commande'!$C$6:$C$10000),"PAS DE DATE"))</f>
        <v/>
      </c>
    </row>
    <row r="169" spans="1:22" x14ac:dyDescent="0.25">
      <c r="A169" s="3" t="str">
        <f t="shared" si="74"/>
        <v/>
      </c>
      <c r="B169" s="3" t="str">
        <f t="shared" si="75"/>
        <v/>
      </c>
      <c r="C169" s="3" t="str">
        <f t="shared" si="72"/>
        <v/>
      </c>
      <c r="D169" s="3" t="str">
        <f t="shared" si="68"/>
        <v/>
      </c>
      <c r="E169" s="3" t="str">
        <f t="shared" si="69"/>
        <v/>
      </c>
      <c r="F169" s="3" t="str">
        <f t="shared" si="70"/>
        <v/>
      </c>
      <c r="G169" s="3" t="str">
        <f t="shared" si="71"/>
        <v/>
      </c>
      <c r="H169" s="3" t="str">
        <f t="shared" si="76"/>
        <v/>
      </c>
      <c r="I169" s="3" t="str">
        <f t="shared" si="77"/>
        <v/>
      </c>
      <c r="J169" s="2" t="str">
        <f t="shared" si="78"/>
        <v/>
      </c>
      <c r="K169" s="2" t="str">
        <f>IF(W169="","",LOOKUP('Extraction edi'!J169,Paramètrage!$A$6:$A$179,Paramètrage!$B$6:$B$179))</f>
        <v/>
      </c>
      <c r="L169" s="2" t="str">
        <f>IF(W169="","",LOOKUP('Extraction edi'!J169,Paramètrage!$A$6:$A$179,Paramètrage!$C$6:$C$179))</f>
        <v/>
      </c>
      <c r="M169" s="2" t="str">
        <f>IF(W169="","",LOOKUP('Extraction edi'!J169,Paramètrage!$A$6:$A$179,Paramètrage!$D$6:$D$179))</f>
        <v/>
      </c>
      <c r="N169" s="3" t="str">
        <f>IF(W169="","",LOOKUP('Extraction edi'!J169,Paramètrage!$A$6:$A$179,Paramètrage!$E$6:$E$179))</f>
        <v/>
      </c>
      <c r="O169" s="3" t="str">
        <f t="shared" si="79"/>
        <v/>
      </c>
      <c r="P169" s="3" t="str">
        <f t="shared" si="80"/>
        <v/>
      </c>
      <c r="Q169" s="3" t="str">
        <f t="shared" si="73"/>
        <v/>
      </c>
      <c r="R169" s="3" t="str">
        <f t="shared" si="81"/>
        <v/>
      </c>
      <c r="S169" s="3" t="str">
        <f t="shared" si="82"/>
        <v/>
      </c>
      <c r="T169" s="4" t="str">
        <f t="shared" si="83"/>
        <v/>
      </c>
      <c r="U169" s="5" t="str">
        <f t="shared" si="84"/>
        <v/>
      </c>
      <c r="V169" s="7" t="str">
        <f>IF(W169="","",IF(LOOKUP(W169,'Extration 3E date commande'!$A$6:$A$10000)=W169,LOOKUP(W169,'Extration 3E date commande'!$A$6:$A$10000,'Extration 3E date commande'!$C$6:$C$10000),"PAS DE DATE"))</f>
        <v/>
      </c>
    </row>
    <row r="170" spans="1:22" x14ac:dyDescent="0.25">
      <c r="A170" s="3" t="str">
        <f t="shared" si="74"/>
        <v/>
      </c>
      <c r="B170" s="3" t="str">
        <f t="shared" si="75"/>
        <v/>
      </c>
      <c r="C170" s="3" t="str">
        <f t="shared" si="72"/>
        <v/>
      </c>
      <c r="D170" s="3" t="str">
        <f t="shared" si="68"/>
        <v/>
      </c>
      <c r="E170" s="3" t="str">
        <f t="shared" si="69"/>
        <v/>
      </c>
      <c r="F170" s="3" t="str">
        <f t="shared" si="70"/>
        <v/>
      </c>
      <c r="G170" s="3" t="str">
        <f t="shared" si="71"/>
        <v/>
      </c>
      <c r="H170" s="3" t="str">
        <f t="shared" si="76"/>
        <v/>
      </c>
      <c r="I170" s="3" t="str">
        <f t="shared" si="77"/>
        <v/>
      </c>
      <c r="J170" s="2" t="str">
        <f t="shared" si="78"/>
        <v/>
      </c>
      <c r="K170" s="2" t="str">
        <f>IF(W170="","",LOOKUP('Extraction edi'!J170,Paramètrage!$A$6:$A$179,Paramètrage!$B$6:$B$179))</f>
        <v/>
      </c>
      <c r="L170" s="2" t="str">
        <f>IF(W170="","",LOOKUP('Extraction edi'!J170,Paramètrage!$A$6:$A$179,Paramètrage!$C$6:$C$179))</f>
        <v/>
      </c>
      <c r="M170" s="2" t="str">
        <f>IF(W170="","",LOOKUP('Extraction edi'!J170,Paramètrage!$A$6:$A$179,Paramètrage!$D$6:$D$179))</f>
        <v/>
      </c>
      <c r="N170" s="3" t="str">
        <f>IF(W170="","",LOOKUP('Extraction edi'!J170,Paramètrage!$A$6:$A$179,Paramètrage!$E$6:$E$179))</f>
        <v/>
      </c>
      <c r="O170" s="3" t="str">
        <f t="shared" si="79"/>
        <v/>
      </c>
      <c r="P170" s="3" t="str">
        <f t="shared" si="80"/>
        <v/>
      </c>
      <c r="Q170" s="3" t="str">
        <f t="shared" si="73"/>
        <v/>
      </c>
      <c r="R170" s="3" t="str">
        <f t="shared" si="81"/>
        <v/>
      </c>
      <c r="S170" s="3" t="str">
        <f t="shared" si="82"/>
        <v/>
      </c>
      <c r="T170" s="4" t="str">
        <f t="shared" si="83"/>
        <v/>
      </c>
      <c r="U170" s="5" t="str">
        <f t="shared" si="84"/>
        <v/>
      </c>
      <c r="V170" s="7" t="str">
        <f>IF(W170="","",IF(LOOKUP(W170,'Extration 3E date commande'!$A$6:$A$10000)=W170,LOOKUP(W170,'Extration 3E date commande'!$A$6:$A$10000,'Extration 3E date commande'!$C$6:$C$10000),"PAS DE DATE"))</f>
        <v/>
      </c>
    </row>
    <row r="171" spans="1:22" x14ac:dyDescent="0.25">
      <c r="A171" s="3" t="str">
        <f t="shared" si="74"/>
        <v/>
      </c>
      <c r="B171" s="3" t="str">
        <f t="shared" si="75"/>
        <v/>
      </c>
      <c r="C171" s="3" t="str">
        <f t="shared" si="72"/>
        <v/>
      </c>
      <c r="D171" s="3" t="str">
        <f t="shared" si="68"/>
        <v/>
      </c>
      <c r="E171" s="3" t="str">
        <f t="shared" si="69"/>
        <v/>
      </c>
      <c r="F171" s="3" t="str">
        <f t="shared" si="70"/>
        <v/>
      </c>
      <c r="G171" s="3" t="str">
        <f t="shared" si="71"/>
        <v/>
      </c>
      <c r="H171" s="3" t="str">
        <f t="shared" si="76"/>
        <v/>
      </c>
      <c r="I171" s="3" t="str">
        <f t="shared" si="77"/>
        <v/>
      </c>
      <c r="J171" s="2" t="str">
        <f t="shared" si="78"/>
        <v/>
      </c>
      <c r="K171" s="2" t="str">
        <f>IF(W171="","",LOOKUP('Extraction edi'!J171,Paramètrage!$A$6:$A$179,Paramètrage!$B$6:$B$179))</f>
        <v/>
      </c>
      <c r="L171" s="2" t="str">
        <f>IF(W171="","",LOOKUP('Extraction edi'!J171,Paramètrage!$A$6:$A$179,Paramètrage!$C$6:$C$179))</f>
        <v/>
      </c>
      <c r="M171" s="2" t="str">
        <f>IF(W171="","",LOOKUP('Extraction edi'!J171,Paramètrage!$A$6:$A$179,Paramètrage!$D$6:$D$179))</f>
        <v/>
      </c>
      <c r="N171" s="3" t="str">
        <f>IF(W171="","",LOOKUP('Extraction edi'!J171,Paramètrage!$A$6:$A$179,Paramètrage!$E$6:$E$179))</f>
        <v/>
      </c>
      <c r="O171" s="3" t="str">
        <f t="shared" si="79"/>
        <v/>
      </c>
      <c r="P171" s="3" t="str">
        <f t="shared" si="80"/>
        <v/>
      </c>
      <c r="Q171" s="3" t="str">
        <f t="shared" si="73"/>
        <v/>
      </c>
      <c r="R171" s="3" t="str">
        <f t="shared" si="81"/>
        <v/>
      </c>
      <c r="S171" s="3" t="str">
        <f t="shared" si="82"/>
        <v/>
      </c>
      <c r="T171" s="4" t="str">
        <f t="shared" si="83"/>
        <v/>
      </c>
      <c r="U171" s="5" t="str">
        <f t="shared" si="84"/>
        <v/>
      </c>
      <c r="V171" s="7" t="str">
        <f>IF(W171="","",IF(LOOKUP(W171,'Extration 3E date commande'!$A$6:$A$10000)=W171,LOOKUP(W171,'Extration 3E date commande'!$A$6:$A$10000,'Extration 3E date commande'!$C$6:$C$10000),"PAS DE DATE"))</f>
        <v/>
      </c>
    </row>
    <row r="172" spans="1:22" x14ac:dyDescent="0.25">
      <c r="A172" s="3" t="str">
        <f t="shared" si="74"/>
        <v/>
      </c>
      <c r="B172" s="3" t="str">
        <f t="shared" si="75"/>
        <v/>
      </c>
      <c r="C172" s="3" t="str">
        <f t="shared" si="72"/>
        <v/>
      </c>
      <c r="D172" s="3" t="str">
        <f t="shared" si="68"/>
        <v/>
      </c>
      <c r="E172" s="3" t="str">
        <f t="shared" si="69"/>
        <v/>
      </c>
      <c r="F172" s="3" t="str">
        <f t="shared" si="70"/>
        <v/>
      </c>
      <c r="G172" s="3" t="str">
        <f t="shared" si="71"/>
        <v/>
      </c>
      <c r="H172" s="3" t="str">
        <f t="shared" si="76"/>
        <v/>
      </c>
      <c r="I172" s="3" t="str">
        <f t="shared" si="77"/>
        <v/>
      </c>
      <c r="J172" s="2" t="str">
        <f t="shared" si="78"/>
        <v/>
      </c>
      <c r="K172" s="2" t="str">
        <f>IF(W172="","",LOOKUP('Extraction edi'!J172,Paramètrage!$A$6:$A$179,Paramètrage!$B$6:$B$179))</f>
        <v/>
      </c>
      <c r="L172" s="2" t="str">
        <f>IF(W172="","",LOOKUP('Extraction edi'!J172,Paramètrage!$A$6:$A$179,Paramètrage!$C$6:$C$179))</f>
        <v/>
      </c>
      <c r="M172" s="2" t="str">
        <f>IF(W172="","",LOOKUP('Extraction edi'!J172,Paramètrage!$A$6:$A$179,Paramètrage!$D$6:$D$179))</f>
        <v/>
      </c>
      <c r="N172" s="3" t="str">
        <f>IF(W172="","",LOOKUP('Extraction edi'!J172,Paramètrage!$A$6:$A$179,Paramètrage!$E$6:$E$179))</f>
        <v/>
      </c>
      <c r="O172" s="3" t="str">
        <f t="shared" si="79"/>
        <v/>
      </c>
      <c r="P172" s="3" t="str">
        <f t="shared" si="80"/>
        <v/>
      </c>
      <c r="Q172" s="3" t="str">
        <f t="shared" si="73"/>
        <v/>
      </c>
      <c r="R172" s="3" t="str">
        <f t="shared" si="81"/>
        <v/>
      </c>
      <c r="S172" s="3" t="str">
        <f t="shared" si="82"/>
        <v/>
      </c>
      <c r="T172" s="4" t="str">
        <f t="shared" si="83"/>
        <v/>
      </c>
      <c r="U172" s="5" t="str">
        <f t="shared" si="84"/>
        <v/>
      </c>
      <c r="V172" s="7" t="str">
        <f>IF(W172="","",IF(LOOKUP(W172,'Extration 3E date commande'!$A$6:$A$10000)=W172,LOOKUP(W172,'Extration 3E date commande'!$A$6:$A$10000,'Extration 3E date commande'!$C$6:$C$10000),"PAS DE DATE"))</f>
        <v/>
      </c>
    </row>
    <row r="173" spans="1:22" x14ac:dyDescent="0.25">
      <c r="A173" s="3" t="str">
        <f t="shared" si="74"/>
        <v/>
      </c>
      <c r="B173" s="3" t="str">
        <f t="shared" si="75"/>
        <v/>
      </c>
      <c r="C173" s="3" t="str">
        <f t="shared" si="72"/>
        <v/>
      </c>
      <c r="D173" s="3" t="str">
        <f t="shared" si="68"/>
        <v/>
      </c>
      <c r="E173" s="3" t="str">
        <f t="shared" si="69"/>
        <v/>
      </c>
      <c r="F173" s="3" t="str">
        <f t="shared" si="70"/>
        <v/>
      </c>
      <c r="G173" s="3" t="str">
        <f t="shared" si="71"/>
        <v/>
      </c>
      <c r="H173" s="3" t="str">
        <f t="shared" si="76"/>
        <v/>
      </c>
      <c r="I173" s="3" t="str">
        <f t="shared" si="77"/>
        <v/>
      </c>
      <c r="J173" s="2" t="str">
        <f t="shared" si="78"/>
        <v/>
      </c>
      <c r="K173" s="2" t="str">
        <f>IF(W173="","",LOOKUP('Extraction edi'!J173,Paramètrage!$A$6:$A$179,Paramètrage!$B$6:$B$179))</f>
        <v/>
      </c>
      <c r="L173" s="2" t="str">
        <f>IF(W173="","",LOOKUP('Extraction edi'!J173,Paramètrage!$A$6:$A$179,Paramètrage!$C$6:$C$179))</f>
        <v/>
      </c>
      <c r="M173" s="2" t="str">
        <f>IF(W173="","",LOOKUP('Extraction edi'!J173,Paramètrage!$A$6:$A$179,Paramètrage!$D$6:$D$179))</f>
        <v/>
      </c>
      <c r="N173" s="3" t="str">
        <f>IF(W173="","",LOOKUP('Extraction edi'!J173,Paramètrage!$A$6:$A$179,Paramètrage!$E$6:$E$179))</f>
        <v/>
      </c>
      <c r="O173" s="3" t="str">
        <f t="shared" si="79"/>
        <v/>
      </c>
      <c r="P173" s="3" t="str">
        <f t="shared" si="80"/>
        <v/>
      </c>
      <c r="Q173" s="3" t="str">
        <f t="shared" si="73"/>
        <v/>
      </c>
      <c r="R173" s="3" t="str">
        <f t="shared" si="81"/>
        <v/>
      </c>
      <c r="S173" s="3" t="str">
        <f t="shared" si="82"/>
        <v/>
      </c>
      <c r="T173" s="4" t="str">
        <f t="shared" si="83"/>
        <v/>
      </c>
      <c r="U173" s="5" t="str">
        <f t="shared" si="84"/>
        <v/>
      </c>
      <c r="V173" s="7" t="str">
        <f>IF(W173="","",IF(LOOKUP(W173,'Extration 3E date commande'!$A$6:$A$10000)=W173,LOOKUP(W173,'Extration 3E date commande'!$A$6:$A$10000,'Extration 3E date commande'!$C$6:$C$10000),"PAS DE DATE"))</f>
        <v/>
      </c>
    </row>
    <row r="174" spans="1:22" x14ac:dyDescent="0.25">
      <c r="A174" s="3" t="str">
        <f t="shared" si="74"/>
        <v/>
      </c>
      <c r="B174" s="3" t="str">
        <f t="shared" si="75"/>
        <v/>
      </c>
      <c r="C174" s="3" t="str">
        <f t="shared" si="72"/>
        <v/>
      </c>
      <c r="D174" s="3" t="str">
        <f t="shared" si="68"/>
        <v/>
      </c>
      <c r="E174" s="3" t="str">
        <f t="shared" si="69"/>
        <v/>
      </c>
      <c r="F174" s="3" t="str">
        <f t="shared" si="70"/>
        <v/>
      </c>
      <c r="G174" s="3" t="str">
        <f t="shared" si="71"/>
        <v/>
      </c>
      <c r="H174" s="3" t="str">
        <f t="shared" si="76"/>
        <v/>
      </c>
      <c r="I174" s="3" t="str">
        <f t="shared" si="77"/>
        <v/>
      </c>
      <c r="J174" s="2" t="str">
        <f t="shared" si="78"/>
        <v/>
      </c>
      <c r="K174" s="2" t="str">
        <f>IF(W174="","",LOOKUP('Extraction edi'!J174,Paramètrage!$A$6:$A$179,Paramètrage!$B$6:$B$179))</f>
        <v/>
      </c>
      <c r="L174" s="2" t="str">
        <f>IF(W174="","",LOOKUP('Extraction edi'!J174,Paramètrage!$A$6:$A$179,Paramètrage!$C$6:$C$179))</f>
        <v/>
      </c>
      <c r="M174" s="2" t="str">
        <f>IF(W174="","",LOOKUP('Extraction edi'!J174,Paramètrage!$A$6:$A$179,Paramètrage!$D$6:$D$179))</f>
        <v/>
      </c>
      <c r="N174" s="3" t="str">
        <f>IF(W174="","",LOOKUP('Extraction edi'!J174,Paramètrage!$A$6:$A$179,Paramètrage!$E$6:$E$179))</f>
        <v/>
      </c>
      <c r="O174" s="3" t="str">
        <f t="shared" si="79"/>
        <v/>
      </c>
      <c r="P174" s="3" t="str">
        <f t="shared" si="80"/>
        <v/>
      </c>
      <c r="Q174" s="3" t="str">
        <f t="shared" si="73"/>
        <v/>
      </c>
      <c r="R174" s="3" t="str">
        <f t="shared" si="81"/>
        <v/>
      </c>
      <c r="S174" s="3" t="str">
        <f t="shared" si="82"/>
        <v/>
      </c>
      <c r="T174" s="4" t="str">
        <f t="shared" si="83"/>
        <v/>
      </c>
      <c r="U174" s="5" t="str">
        <f t="shared" si="84"/>
        <v/>
      </c>
      <c r="V174" s="7" t="str">
        <f>IF(W174="","",IF(LOOKUP(W174,'Extration 3E date commande'!$A$6:$A$10000)=W174,LOOKUP(W174,'Extration 3E date commande'!$A$6:$A$10000,'Extration 3E date commande'!$C$6:$C$10000),"PAS DE DATE"))</f>
        <v/>
      </c>
    </row>
    <row r="175" spans="1:22" x14ac:dyDescent="0.25">
      <c r="A175" s="3" t="str">
        <f t="shared" si="74"/>
        <v/>
      </c>
      <c r="B175" s="3" t="str">
        <f t="shared" si="75"/>
        <v/>
      </c>
      <c r="C175" s="3" t="str">
        <f t="shared" si="72"/>
        <v/>
      </c>
      <c r="D175" s="3" t="str">
        <f t="shared" si="68"/>
        <v/>
      </c>
      <c r="E175" s="3" t="str">
        <f t="shared" si="69"/>
        <v/>
      </c>
      <c r="F175" s="3" t="str">
        <f t="shared" si="70"/>
        <v/>
      </c>
      <c r="G175" s="3" t="str">
        <f t="shared" si="71"/>
        <v/>
      </c>
      <c r="H175" s="3" t="str">
        <f t="shared" si="76"/>
        <v/>
      </c>
      <c r="I175" s="3" t="str">
        <f t="shared" si="77"/>
        <v/>
      </c>
      <c r="J175" s="2" t="str">
        <f t="shared" si="78"/>
        <v/>
      </c>
      <c r="K175" s="2" t="str">
        <f>IF(W175="","",LOOKUP('Extraction edi'!J175,Paramètrage!$A$6:$A$179,Paramètrage!$B$6:$B$179))</f>
        <v/>
      </c>
      <c r="L175" s="2" t="str">
        <f>IF(W175="","",LOOKUP('Extraction edi'!J175,Paramètrage!$A$6:$A$179,Paramètrage!$C$6:$C$179))</f>
        <v/>
      </c>
      <c r="M175" s="2" t="str">
        <f>IF(W175="","",LOOKUP('Extraction edi'!J175,Paramètrage!$A$6:$A$179,Paramètrage!$D$6:$D$179))</f>
        <v/>
      </c>
      <c r="N175" s="3" t="str">
        <f>IF(W175="","",LOOKUP('Extraction edi'!J175,Paramètrage!$A$6:$A$179,Paramètrage!$E$6:$E$179))</f>
        <v/>
      </c>
      <c r="O175" s="3" t="str">
        <f t="shared" si="79"/>
        <v/>
      </c>
      <c r="P175" s="3" t="str">
        <f t="shared" si="80"/>
        <v/>
      </c>
      <c r="Q175" s="3" t="str">
        <f t="shared" si="73"/>
        <v/>
      </c>
      <c r="R175" s="3" t="str">
        <f t="shared" si="81"/>
        <v/>
      </c>
      <c r="S175" s="3" t="str">
        <f t="shared" si="82"/>
        <v/>
      </c>
      <c r="T175" s="4" t="str">
        <f t="shared" si="83"/>
        <v/>
      </c>
      <c r="U175" s="5" t="str">
        <f t="shared" si="84"/>
        <v/>
      </c>
      <c r="V175" s="7" t="str">
        <f>IF(W175="","",IF(LOOKUP(W175,'Extration 3E date commande'!$A$6:$A$10000)=W175,LOOKUP(W175,'Extration 3E date commande'!$A$6:$A$10000,'Extration 3E date commande'!$C$6:$C$10000),"PAS DE DATE"))</f>
        <v/>
      </c>
    </row>
    <row r="176" spans="1:22" x14ac:dyDescent="0.25">
      <c r="A176" s="3" t="str">
        <f t="shared" si="74"/>
        <v/>
      </c>
      <c r="B176" s="3" t="str">
        <f t="shared" si="75"/>
        <v/>
      </c>
      <c r="C176" s="3" t="str">
        <f t="shared" si="72"/>
        <v/>
      </c>
      <c r="D176" s="3" t="str">
        <f t="shared" si="68"/>
        <v/>
      </c>
      <c r="E176" s="3" t="str">
        <f t="shared" si="69"/>
        <v/>
      </c>
      <c r="F176" s="3" t="str">
        <f t="shared" si="70"/>
        <v/>
      </c>
      <c r="G176" s="3" t="str">
        <f t="shared" si="71"/>
        <v/>
      </c>
      <c r="H176" s="3" t="str">
        <f t="shared" si="76"/>
        <v/>
      </c>
      <c r="I176" s="3" t="str">
        <f t="shared" si="77"/>
        <v/>
      </c>
      <c r="J176" s="2" t="str">
        <f t="shared" si="78"/>
        <v/>
      </c>
      <c r="K176" s="2" t="str">
        <f>IF(W176="","",LOOKUP('Extraction edi'!J176,Paramètrage!$A$6:$A$179,Paramètrage!$B$6:$B$179))</f>
        <v/>
      </c>
      <c r="L176" s="2" t="str">
        <f>IF(W176="","",LOOKUP('Extraction edi'!J176,Paramètrage!$A$6:$A$179,Paramètrage!$C$6:$C$179))</f>
        <v/>
      </c>
      <c r="M176" s="2" t="str">
        <f>IF(W176="","",LOOKUP('Extraction edi'!J176,Paramètrage!$A$6:$A$179,Paramètrage!$D$6:$D$179))</f>
        <v/>
      </c>
      <c r="N176" s="3" t="str">
        <f>IF(W176="","",LOOKUP('Extraction edi'!J176,Paramètrage!$A$6:$A$179,Paramètrage!$E$6:$E$179))</f>
        <v/>
      </c>
      <c r="O176" s="3" t="str">
        <f t="shared" si="79"/>
        <v/>
      </c>
      <c r="P176" s="3" t="str">
        <f t="shared" si="80"/>
        <v/>
      </c>
      <c r="Q176" s="3" t="str">
        <f t="shared" si="73"/>
        <v/>
      </c>
      <c r="R176" s="3" t="str">
        <f t="shared" si="81"/>
        <v/>
      </c>
      <c r="S176" s="3" t="str">
        <f t="shared" si="82"/>
        <v/>
      </c>
      <c r="T176" s="4" t="str">
        <f t="shared" si="83"/>
        <v/>
      </c>
      <c r="U176" s="5" t="str">
        <f t="shared" si="84"/>
        <v/>
      </c>
      <c r="V176" s="7" t="str">
        <f>IF(W176="","",IF(LOOKUP(W176,'Extration 3E date commande'!$A$6:$A$10000)=W176,LOOKUP(W176,'Extration 3E date commande'!$A$6:$A$10000,'Extration 3E date commande'!$C$6:$C$10000),"PAS DE DATE"))</f>
        <v/>
      </c>
    </row>
    <row r="177" spans="1:22" x14ac:dyDescent="0.25">
      <c r="A177" s="3" t="str">
        <f t="shared" si="74"/>
        <v/>
      </c>
      <c r="B177" s="3" t="str">
        <f t="shared" si="75"/>
        <v/>
      </c>
      <c r="C177" s="3" t="str">
        <f t="shared" si="72"/>
        <v/>
      </c>
      <c r="D177" s="3" t="str">
        <f t="shared" si="68"/>
        <v/>
      </c>
      <c r="E177" s="3" t="str">
        <f t="shared" si="69"/>
        <v/>
      </c>
      <c r="F177" s="3" t="str">
        <f t="shared" si="70"/>
        <v/>
      </c>
      <c r="G177" s="3" t="str">
        <f t="shared" si="71"/>
        <v/>
      </c>
      <c r="H177" s="3" t="str">
        <f t="shared" si="76"/>
        <v/>
      </c>
      <c r="I177" s="3" t="str">
        <f t="shared" si="77"/>
        <v/>
      </c>
      <c r="J177" s="2" t="str">
        <f t="shared" si="78"/>
        <v/>
      </c>
      <c r="K177" s="2" t="str">
        <f>IF(W177="","",LOOKUP('Extraction edi'!J177,Paramètrage!$A$6:$A$179,Paramètrage!$B$6:$B$179))</f>
        <v/>
      </c>
      <c r="L177" s="2" t="str">
        <f>IF(W177="","",LOOKUP('Extraction edi'!J177,Paramètrage!$A$6:$A$179,Paramètrage!$C$6:$C$179))</f>
        <v/>
      </c>
      <c r="M177" s="2" t="str">
        <f>IF(W177="","",LOOKUP('Extraction edi'!J177,Paramètrage!$A$6:$A$179,Paramètrage!$D$6:$D$179))</f>
        <v/>
      </c>
      <c r="N177" s="3" t="str">
        <f>IF(W177="","",LOOKUP('Extraction edi'!J177,Paramètrage!$A$6:$A$179,Paramètrage!$E$6:$E$179))</f>
        <v/>
      </c>
      <c r="O177" s="3" t="str">
        <f t="shared" si="79"/>
        <v/>
      </c>
      <c r="P177" s="3" t="str">
        <f t="shared" si="80"/>
        <v/>
      </c>
      <c r="Q177" s="3" t="str">
        <f t="shared" si="73"/>
        <v/>
      </c>
      <c r="R177" s="3" t="str">
        <f t="shared" si="81"/>
        <v/>
      </c>
      <c r="S177" s="3" t="str">
        <f t="shared" si="82"/>
        <v/>
      </c>
      <c r="T177" s="4" t="str">
        <f t="shared" si="83"/>
        <v/>
      </c>
      <c r="U177" s="5" t="str">
        <f t="shared" si="84"/>
        <v/>
      </c>
      <c r="V177" s="7" t="str">
        <f>IF(W177="","",IF(LOOKUP(W177,'Extration 3E date commande'!$A$6:$A$10000)=W177,LOOKUP(W177,'Extration 3E date commande'!$A$6:$A$10000,'Extration 3E date commande'!$C$6:$C$10000),"PAS DE DATE"))</f>
        <v/>
      </c>
    </row>
    <row r="178" spans="1:22" x14ac:dyDescent="0.25">
      <c r="A178" s="3" t="str">
        <f t="shared" si="74"/>
        <v/>
      </c>
      <c r="B178" s="3" t="str">
        <f t="shared" si="75"/>
        <v/>
      </c>
      <c r="C178" s="3" t="str">
        <f t="shared" si="72"/>
        <v/>
      </c>
      <c r="D178" s="3" t="str">
        <f t="shared" si="68"/>
        <v/>
      </c>
      <c r="E178" s="3" t="str">
        <f t="shared" si="69"/>
        <v/>
      </c>
      <c r="F178" s="3" t="str">
        <f t="shared" si="70"/>
        <v/>
      </c>
      <c r="G178" s="3" t="str">
        <f t="shared" si="71"/>
        <v/>
      </c>
      <c r="H178" s="3" t="str">
        <f t="shared" si="76"/>
        <v/>
      </c>
      <c r="I178" s="3" t="str">
        <f t="shared" si="77"/>
        <v/>
      </c>
      <c r="J178" s="2" t="str">
        <f t="shared" si="78"/>
        <v/>
      </c>
      <c r="K178" s="2" t="str">
        <f>IF(W178="","",LOOKUP('Extraction edi'!J178,Paramètrage!$A$6:$A$179,Paramètrage!$B$6:$B$179))</f>
        <v/>
      </c>
      <c r="L178" s="2" t="str">
        <f>IF(W178="","",LOOKUP('Extraction edi'!J178,Paramètrage!$A$6:$A$179,Paramètrage!$C$6:$C$179))</f>
        <v/>
      </c>
      <c r="M178" s="2" t="str">
        <f>IF(W178="","",LOOKUP('Extraction edi'!J178,Paramètrage!$A$6:$A$179,Paramètrage!$D$6:$D$179))</f>
        <v/>
      </c>
      <c r="N178" s="3" t="str">
        <f>IF(W178="","",LOOKUP('Extraction edi'!J178,Paramètrage!$A$6:$A$179,Paramètrage!$E$6:$E$179))</f>
        <v/>
      </c>
      <c r="O178" s="3" t="str">
        <f t="shared" si="79"/>
        <v/>
      </c>
      <c r="P178" s="3" t="str">
        <f t="shared" si="80"/>
        <v/>
      </c>
      <c r="Q178" s="3" t="str">
        <f t="shared" si="73"/>
        <v/>
      </c>
      <c r="R178" s="3" t="str">
        <f t="shared" si="81"/>
        <v/>
      </c>
      <c r="S178" s="3" t="str">
        <f t="shared" si="82"/>
        <v/>
      </c>
      <c r="T178" s="4" t="str">
        <f t="shared" si="83"/>
        <v/>
      </c>
      <c r="U178" s="5" t="str">
        <f t="shared" si="84"/>
        <v/>
      </c>
      <c r="V178" s="7" t="str">
        <f>IF(W178="","",IF(LOOKUP(W178,'Extration 3E date commande'!$A$6:$A$10000)=W178,LOOKUP(W178,'Extration 3E date commande'!$A$6:$A$10000,'Extration 3E date commande'!$C$6:$C$10000),"PAS DE DATE"))</f>
        <v/>
      </c>
    </row>
    <row r="179" spans="1:22" x14ac:dyDescent="0.25">
      <c r="A179" s="3" t="str">
        <f t="shared" si="74"/>
        <v/>
      </c>
      <c r="B179" s="3" t="str">
        <f t="shared" si="75"/>
        <v/>
      </c>
      <c r="C179" s="3" t="str">
        <f t="shared" si="72"/>
        <v/>
      </c>
      <c r="D179" s="3" t="str">
        <f t="shared" si="68"/>
        <v/>
      </c>
      <c r="E179" s="3" t="str">
        <f t="shared" si="69"/>
        <v/>
      </c>
      <c r="F179" s="3" t="str">
        <f t="shared" si="70"/>
        <v/>
      </c>
      <c r="G179" s="3" t="str">
        <f t="shared" si="71"/>
        <v/>
      </c>
      <c r="H179" s="3" t="str">
        <f t="shared" si="76"/>
        <v/>
      </c>
      <c r="I179" s="3" t="str">
        <f t="shared" si="77"/>
        <v/>
      </c>
      <c r="J179" s="2" t="str">
        <f t="shared" si="78"/>
        <v/>
      </c>
      <c r="K179" s="2" t="str">
        <f>IF(W179="","",LOOKUP('Extraction edi'!J179,Paramètrage!$A$6:$A$179,Paramètrage!$B$6:$B$179))</f>
        <v/>
      </c>
      <c r="L179" s="2" t="str">
        <f>IF(W179="","",LOOKUP('Extraction edi'!J179,Paramètrage!$A$6:$A$179,Paramètrage!$C$6:$C$179))</f>
        <v/>
      </c>
      <c r="M179" s="2" t="str">
        <f>IF(W179="","",LOOKUP('Extraction edi'!J179,Paramètrage!$A$6:$A$179,Paramètrage!$D$6:$D$179))</f>
        <v/>
      </c>
      <c r="N179" s="3" t="str">
        <f>IF(W179="","",LOOKUP('Extraction edi'!J179,Paramètrage!$A$6:$A$179,Paramètrage!$E$6:$E$179))</f>
        <v/>
      </c>
      <c r="O179" s="3" t="str">
        <f t="shared" si="79"/>
        <v/>
      </c>
      <c r="P179" s="3" t="str">
        <f t="shared" si="80"/>
        <v/>
      </c>
      <c r="Q179" s="3" t="str">
        <f t="shared" si="73"/>
        <v/>
      </c>
      <c r="R179" s="3" t="str">
        <f t="shared" si="81"/>
        <v/>
      </c>
      <c r="S179" s="3" t="str">
        <f t="shared" si="82"/>
        <v/>
      </c>
      <c r="T179" s="4" t="str">
        <f t="shared" si="83"/>
        <v/>
      </c>
      <c r="U179" s="5" t="str">
        <f t="shared" si="84"/>
        <v/>
      </c>
      <c r="V179" s="7" t="str">
        <f>IF(W179="","",IF(LOOKUP(W179,'Extration 3E date commande'!$A$6:$A$10000)=W179,LOOKUP(W179,'Extration 3E date commande'!$A$6:$A$10000,'Extration 3E date commande'!$C$6:$C$10000),"PAS DE DATE"))</f>
        <v/>
      </c>
    </row>
    <row r="180" spans="1:22" x14ac:dyDescent="0.25">
      <c r="A180" s="3" t="str">
        <f t="shared" si="74"/>
        <v/>
      </c>
      <c r="B180" s="3" t="str">
        <f t="shared" si="75"/>
        <v/>
      </c>
      <c r="C180" s="3" t="str">
        <f t="shared" si="72"/>
        <v/>
      </c>
      <c r="D180" s="3" t="str">
        <f t="shared" si="68"/>
        <v/>
      </c>
      <c r="E180" s="3" t="str">
        <f t="shared" si="69"/>
        <v/>
      </c>
      <c r="F180" s="3" t="str">
        <f t="shared" si="70"/>
        <v/>
      </c>
      <c r="G180" s="3" t="str">
        <f t="shared" si="71"/>
        <v/>
      </c>
      <c r="H180" s="3" t="str">
        <f t="shared" si="76"/>
        <v/>
      </c>
      <c r="I180" s="3" t="str">
        <f t="shared" si="77"/>
        <v/>
      </c>
      <c r="J180" s="2" t="str">
        <f t="shared" si="78"/>
        <v/>
      </c>
      <c r="K180" s="2" t="str">
        <f>IF(W180="","",LOOKUP('Extraction edi'!J180,Paramètrage!$A$6:$A$179,Paramètrage!$B$6:$B$179))</f>
        <v/>
      </c>
      <c r="L180" s="2" t="str">
        <f>IF(W180="","",LOOKUP('Extraction edi'!J180,Paramètrage!$A$6:$A$179,Paramètrage!$C$6:$C$179))</f>
        <v/>
      </c>
      <c r="M180" s="2" t="str">
        <f>IF(W180="","",LOOKUP('Extraction edi'!J180,Paramètrage!$A$6:$A$179,Paramètrage!$D$6:$D$179))</f>
        <v/>
      </c>
      <c r="N180" s="3" t="str">
        <f>IF(W180="","",LOOKUP('Extraction edi'!J180,Paramètrage!$A$6:$A$179,Paramètrage!$E$6:$E$179))</f>
        <v/>
      </c>
      <c r="O180" s="3" t="str">
        <f t="shared" si="79"/>
        <v/>
      </c>
      <c r="P180" s="3" t="str">
        <f t="shared" si="80"/>
        <v/>
      </c>
      <c r="Q180" s="3" t="str">
        <f t="shared" si="73"/>
        <v/>
      </c>
      <c r="R180" s="3" t="str">
        <f t="shared" si="81"/>
        <v/>
      </c>
      <c r="S180" s="3" t="str">
        <f t="shared" si="82"/>
        <v/>
      </c>
      <c r="T180" s="4" t="str">
        <f t="shared" si="83"/>
        <v/>
      </c>
      <c r="U180" s="5" t="str">
        <f t="shared" si="84"/>
        <v/>
      </c>
      <c r="V180" s="7" t="str">
        <f>IF(W180="","",IF(LOOKUP(W180,'Extration 3E date commande'!$A$6:$A$10000)=W180,LOOKUP(W180,'Extration 3E date commande'!$A$6:$A$10000,'Extration 3E date commande'!$C$6:$C$10000),"PAS DE DATE"))</f>
        <v/>
      </c>
    </row>
    <row r="181" spans="1:22" x14ac:dyDescent="0.25">
      <c r="A181" s="3" t="str">
        <f t="shared" si="74"/>
        <v/>
      </c>
      <c r="B181" s="3" t="str">
        <f t="shared" si="75"/>
        <v/>
      </c>
      <c r="C181" s="3" t="str">
        <f t="shared" si="72"/>
        <v/>
      </c>
      <c r="D181" s="3" t="str">
        <f t="shared" si="68"/>
        <v/>
      </c>
      <c r="E181" s="3" t="str">
        <f t="shared" si="69"/>
        <v/>
      </c>
      <c r="F181" s="3" t="str">
        <f t="shared" si="70"/>
        <v/>
      </c>
      <c r="G181" s="3" t="str">
        <f t="shared" si="71"/>
        <v/>
      </c>
      <c r="H181" s="3" t="str">
        <f t="shared" si="76"/>
        <v/>
      </c>
      <c r="I181" s="3" t="str">
        <f t="shared" si="77"/>
        <v/>
      </c>
      <c r="J181" s="2" t="str">
        <f t="shared" si="78"/>
        <v/>
      </c>
      <c r="K181" s="2" t="str">
        <f>IF(W181="","",LOOKUP('Extraction edi'!J181,Paramètrage!$A$6:$A$179,Paramètrage!$B$6:$B$179))</f>
        <v/>
      </c>
      <c r="L181" s="2" t="str">
        <f>IF(W181="","",LOOKUP('Extraction edi'!J181,Paramètrage!$A$6:$A$179,Paramètrage!$C$6:$C$179))</f>
        <v/>
      </c>
      <c r="M181" s="2" t="str">
        <f>IF(W181="","",LOOKUP('Extraction edi'!J181,Paramètrage!$A$6:$A$179,Paramètrage!$D$6:$D$179))</f>
        <v/>
      </c>
      <c r="N181" s="3" t="str">
        <f>IF(W181="","",LOOKUP('Extraction edi'!J181,Paramètrage!$A$6:$A$179,Paramètrage!$E$6:$E$179))</f>
        <v/>
      </c>
      <c r="O181" s="3" t="str">
        <f t="shared" si="79"/>
        <v/>
      </c>
      <c r="P181" s="3" t="str">
        <f t="shared" si="80"/>
        <v/>
      </c>
      <c r="Q181" s="3" t="str">
        <f t="shared" si="73"/>
        <v/>
      </c>
      <c r="R181" s="3" t="str">
        <f t="shared" si="81"/>
        <v/>
      </c>
      <c r="S181" s="3" t="str">
        <f t="shared" si="82"/>
        <v/>
      </c>
      <c r="T181" s="4" t="str">
        <f t="shared" si="83"/>
        <v/>
      </c>
      <c r="U181" s="5" t="str">
        <f t="shared" si="84"/>
        <v/>
      </c>
      <c r="V181" s="7" t="str">
        <f>IF(W181="","",IF(LOOKUP(W181,'Extration 3E date commande'!$A$6:$A$10000)=W181,LOOKUP(W181,'Extration 3E date commande'!$A$6:$A$10000,'Extration 3E date commande'!$C$6:$C$10000),"PAS DE DATE"))</f>
        <v/>
      </c>
    </row>
    <row r="182" spans="1:22" x14ac:dyDescent="0.25">
      <c r="A182" s="3" t="str">
        <f t="shared" si="74"/>
        <v/>
      </c>
      <c r="B182" s="3" t="str">
        <f t="shared" si="75"/>
        <v/>
      </c>
      <c r="C182" s="3" t="str">
        <f t="shared" si="72"/>
        <v/>
      </c>
      <c r="D182" s="3" t="str">
        <f t="shared" si="68"/>
        <v/>
      </c>
      <c r="E182" s="3" t="str">
        <f t="shared" si="69"/>
        <v/>
      </c>
      <c r="F182" s="3" t="str">
        <f t="shared" si="70"/>
        <v/>
      </c>
      <c r="G182" s="3" t="str">
        <f t="shared" si="71"/>
        <v/>
      </c>
      <c r="H182" s="3" t="str">
        <f t="shared" si="76"/>
        <v/>
      </c>
      <c r="I182" s="3" t="str">
        <f t="shared" si="77"/>
        <v/>
      </c>
      <c r="J182" s="2" t="str">
        <f t="shared" si="78"/>
        <v/>
      </c>
      <c r="K182" s="2" t="str">
        <f>IF(W182="","",LOOKUP('Extraction edi'!J182,Paramètrage!$A$6:$A$179,Paramètrage!$B$6:$B$179))</f>
        <v/>
      </c>
      <c r="L182" s="2" t="str">
        <f>IF(W182="","",LOOKUP('Extraction edi'!J182,Paramètrage!$A$6:$A$179,Paramètrage!$C$6:$C$179))</f>
        <v/>
      </c>
      <c r="M182" s="2" t="str">
        <f>IF(W182="","",LOOKUP('Extraction edi'!J182,Paramètrage!$A$6:$A$179,Paramètrage!$D$6:$D$179))</f>
        <v/>
      </c>
      <c r="N182" s="3" t="str">
        <f>IF(W182="","",LOOKUP('Extraction edi'!J182,Paramètrage!$A$6:$A$179,Paramètrage!$E$6:$E$179))</f>
        <v/>
      </c>
      <c r="O182" s="3" t="str">
        <f t="shared" si="79"/>
        <v/>
      </c>
      <c r="P182" s="3" t="str">
        <f t="shared" si="80"/>
        <v/>
      </c>
      <c r="Q182" s="3" t="str">
        <f t="shared" si="73"/>
        <v/>
      </c>
      <c r="R182" s="3" t="str">
        <f t="shared" si="81"/>
        <v/>
      </c>
      <c r="S182" s="3" t="str">
        <f t="shared" si="82"/>
        <v/>
      </c>
      <c r="T182" s="4" t="str">
        <f t="shared" si="83"/>
        <v/>
      </c>
      <c r="U182" s="5" t="str">
        <f t="shared" si="84"/>
        <v/>
      </c>
      <c r="V182" s="7" t="str">
        <f>IF(W182="","",IF(LOOKUP(W182,'Extration 3E date commande'!$A$6:$A$10000)=W182,LOOKUP(W182,'Extration 3E date commande'!$A$6:$A$10000,'Extration 3E date commande'!$C$6:$C$10000),"PAS DE DATE"))</f>
        <v/>
      </c>
    </row>
    <row r="183" spans="1:22" x14ac:dyDescent="0.25">
      <c r="A183" s="3" t="str">
        <f t="shared" si="74"/>
        <v/>
      </c>
      <c r="B183" s="3" t="str">
        <f t="shared" si="75"/>
        <v/>
      </c>
      <c r="C183" s="3" t="str">
        <f t="shared" si="72"/>
        <v/>
      </c>
      <c r="D183" s="3" t="str">
        <f t="shared" si="68"/>
        <v/>
      </c>
      <c r="E183" s="3" t="str">
        <f t="shared" si="69"/>
        <v/>
      </c>
      <c r="F183" s="3" t="str">
        <f t="shared" si="70"/>
        <v/>
      </c>
      <c r="G183" s="3" t="str">
        <f t="shared" si="71"/>
        <v/>
      </c>
      <c r="H183" s="3" t="str">
        <f t="shared" si="76"/>
        <v/>
      </c>
      <c r="I183" s="3" t="str">
        <f t="shared" si="77"/>
        <v/>
      </c>
      <c r="J183" s="2" t="str">
        <f t="shared" si="78"/>
        <v/>
      </c>
      <c r="K183" s="2" t="str">
        <f>IF(W183="","",LOOKUP('Extraction edi'!J183,Paramètrage!$A$6:$A$179,Paramètrage!$B$6:$B$179))</f>
        <v/>
      </c>
      <c r="L183" s="2" t="str">
        <f>IF(W183="","",LOOKUP('Extraction edi'!J183,Paramètrage!$A$6:$A$179,Paramètrage!$C$6:$C$179))</f>
        <v/>
      </c>
      <c r="M183" s="2" t="str">
        <f>IF(W183="","",LOOKUP('Extraction edi'!J183,Paramètrage!$A$6:$A$179,Paramètrage!$D$6:$D$179))</f>
        <v/>
      </c>
      <c r="N183" s="3" t="str">
        <f>IF(W183="","",LOOKUP('Extraction edi'!J183,Paramètrage!$A$6:$A$179,Paramètrage!$E$6:$E$179))</f>
        <v/>
      </c>
      <c r="O183" s="3" t="str">
        <f t="shared" si="79"/>
        <v/>
      </c>
      <c r="P183" s="3" t="str">
        <f t="shared" si="80"/>
        <v/>
      </c>
      <c r="Q183" s="3" t="str">
        <f t="shared" si="73"/>
        <v/>
      </c>
      <c r="R183" s="3" t="str">
        <f t="shared" si="81"/>
        <v/>
      </c>
      <c r="S183" s="3" t="str">
        <f t="shared" si="82"/>
        <v/>
      </c>
      <c r="T183" s="4" t="str">
        <f t="shared" si="83"/>
        <v/>
      </c>
      <c r="U183" s="5" t="str">
        <f t="shared" si="84"/>
        <v/>
      </c>
      <c r="V183" s="7" t="str">
        <f>IF(W183="","",IF(LOOKUP(W183,'Extration 3E date commande'!$A$6:$A$10000)=W183,LOOKUP(W183,'Extration 3E date commande'!$A$6:$A$10000,'Extration 3E date commande'!$C$6:$C$10000),"PAS DE DATE"))</f>
        <v/>
      </c>
    </row>
    <row r="184" spans="1:22" x14ac:dyDescent="0.25">
      <c r="A184" s="3" t="str">
        <f t="shared" si="74"/>
        <v/>
      </c>
      <c r="B184" s="3" t="str">
        <f t="shared" si="75"/>
        <v/>
      </c>
      <c r="C184" s="3" t="str">
        <f t="shared" si="72"/>
        <v/>
      </c>
      <c r="D184" s="3" t="str">
        <f t="shared" si="68"/>
        <v/>
      </c>
      <c r="E184" s="3" t="str">
        <f t="shared" si="69"/>
        <v/>
      </c>
      <c r="F184" s="3" t="str">
        <f t="shared" si="70"/>
        <v/>
      </c>
      <c r="G184" s="3" t="str">
        <f t="shared" si="71"/>
        <v/>
      </c>
      <c r="H184" s="3" t="str">
        <f t="shared" si="76"/>
        <v/>
      </c>
      <c r="I184" s="3" t="str">
        <f t="shared" si="77"/>
        <v/>
      </c>
      <c r="J184" s="2" t="str">
        <f t="shared" si="78"/>
        <v/>
      </c>
      <c r="K184" s="2" t="str">
        <f>IF(W184="","",LOOKUP('Extraction edi'!J184,Paramètrage!$A$6:$A$179,Paramètrage!$B$6:$B$179))</f>
        <v/>
      </c>
      <c r="L184" s="2" t="str">
        <f>IF(W184="","",LOOKUP('Extraction edi'!J184,Paramètrage!$A$6:$A$179,Paramètrage!$C$6:$C$179))</f>
        <v/>
      </c>
      <c r="M184" s="2" t="str">
        <f>IF(W184="","",LOOKUP('Extraction edi'!J184,Paramètrage!$A$6:$A$179,Paramètrage!$D$6:$D$179))</f>
        <v/>
      </c>
      <c r="N184" s="3" t="str">
        <f>IF(W184="","",LOOKUP('Extraction edi'!J184,Paramètrage!$A$6:$A$179,Paramètrage!$E$6:$E$179))</f>
        <v/>
      </c>
      <c r="O184" s="3" t="str">
        <f t="shared" si="79"/>
        <v/>
      </c>
      <c r="P184" s="3" t="str">
        <f t="shared" si="80"/>
        <v/>
      </c>
      <c r="Q184" s="3" t="str">
        <f t="shared" si="73"/>
        <v/>
      </c>
      <c r="R184" s="3" t="str">
        <f t="shared" si="81"/>
        <v/>
      </c>
      <c r="S184" s="3" t="str">
        <f t="shared" si="82"/>
        <v/>
      </c>
      <c r="T184" s="4" t="str">
        <f t="shared" si="83"/>
        <v/>
      </c>
      <c r="U184" s="5" t="str">
        <f t="shared" si="84"/>
        <v/>
      </c>
      <c r="V184" s="7" t="str">
        <f>IF(W184="","",IF(LOOKUP(W184,'Extration 3E date commande'!$A$6:$A$10000)=W184,LOOKUP(W184,'Extration 3E date commande'!$A$6:$A$10000,'Extration 3E date commande'!$C$6:$C$10000),"PAS DE DATE"))</f>
        <v/>
      </c>
    </row>
    <row r="185" spans="1:22" x14ac:dyDescent="0.25">
      <c r="A185" s="3" t="str">
        <f t="shared" si="74"/>
        <v/>
      </c>
      <c r="B185" s="3" t="str">
        <f t="shared" si="75"/>
        <v/>
      </c>
      <c r="C185" s="3" t="str">
        <f t="shared" si="72"/>
        <v/>
      </c>
      <c r="D185" s="3" t="str">
        <f t="shared" si="68"/>
        <v/>
      </c>
      <c r="E185" s="3" t="str">
        <f t="shared" si="69"/>
        <v/>
      </c>
      <c r="F185" s="3" t="str">
        <f t="shared" si="70"/>
        <v/>
      </c>
      <c r="G185" s="3" t="str">
        <f t="shared" si="71"/>
        <v/>
      </c>
      <c r="H185" s="3" t="str">
        <f t="shared" si="76"/>
        <v/>
      </c>
      <c r="I185" s="3" t="str">
        <f t="shared" si="77"/>
        <v/>
      </c>
      <c r="J185" s="2" t="str">
        <f t="shared" si="78"/>
        <v/>
      </c>
      <c r="K185" s="2" t="str">
        <f>IF(W185="","",LOOKUP('Extraction edi'!J185,Paramètrage!$A$6:$A$179,Paramètrage!$B$6:$B$179))</f>
        <v/>
      </c>
      <c r="L185" s="2" t="str">
        <f>IF(W185="","",LOOKUP('Extraction edi'!J185,Paramètrage!$A$6:$A$179,Paramètrage!$C$6:$C$179))</f>
        <v/>
      </c>
      <c r="M185" s="2" t="str">
        <f>IF(W185="","",LOOKUP('Extraction edi'!J185,Paramètrage!$A$6:$A$179,Paramètrage!$D$6:$D$179))</f>
        <v/>
      </c>
      <c r="N185" s="3" t="str">
        <f>IF(W185="","",LOOKUP('Extraction edi'!J185,Paramètrage!$A$6:$A$179,Paramètrage!$E$6:$E$179))</f>
        <v/>
      </c>
      <c r="O185" s="3" t="str">
        <f t="shared" si="79"/>
        <v/>
      </c>
      <c r="P185" s="3" t="str">
        <f t="shared" si="80"/>
        <v/>
      </c>
      <c r="Q185" s="3" t="str">
        <f t="shared" si="73"/>
        <v/>
      </c>
      <c r="R185" s="3" t="str">
        <f t="shared" si="81"/>
        <v/>
      </c>
      <c r="S185" s="3" t="str">
        <f t="shared" si="82"/>
        <v/>
      </c>
      <c r="T185" s="4" t="str">
        <f t="shared" si="83"/>
        <v/>
      </c>
      <c r="U185" s="5" t="str">
        <f t="shared" si="84"/>
        <v/>
      </c>
      <c r="V185" s="7" t="str">
        <f>IF(W185="","",IF(LOOKUP(W185,'Extration 3E date commande'!$A$6:$A$10000)=W185,LOOKUP(W185,'Extration 3E date commande'!$A$6:$A$10000,'Extration 3E date commande'!$C$6:$C$10000),"PAS DE DATE"))</f>
        <v/>
      </c>
    </row>
    <row r="186" spans="1:22" x14ac:dyDescent="0.25">
      <c r="A186" s="3" t="str">
        <f t="shared" si="74"/>
        <v/>
      </c>
      <c r="B186" s="3" t="str">
        <f t="shared" si="75"/>
        <v/>
      </c>
      <c r="C186" s="3" t="str">
        <f t="shared" si="72"/>
        <v/>
      </c>
      <c r="D186" s="3" t="str">
        <f t="shared" si="68"/>
        <v/>
      </c>
      <c r="E186" s="3" t="str">
        <f t="shared" si="69"/>
        <v/>
      </c>
      <c r="F186" s="3" t="str">
        <f t="shared" si="70"/>
        <v/>
      </c>
      <c r="G186" s="3" t="str">
        <f t="shared" si="71"/>
        <v/>
      </c>
      <c r="H186" s="3" t="str">
        <f t="shared" si="76"/>
        <v/>
      </c>
      <c r="I186" s="3" t="str">
        <f t="shared" si="77"/>
        <v/>
      </c>
      <c r="J186" s="2" t="str">
        <f t="shared" si="78"/>
        <v/>
      </c>
      <c r="K186" s="2" t="str">
        <f>IF(W186="","",LOOKUP('Extraction edi'!J186,Paramètrage!$A$6:$A$179,Paramètrage!$B$6:$B$179))</f>
        <v/>
      </c>
      <c r="L186" s="2" t="str">
        <f>IF(W186="","",LOOKUP('Extraction edi'!J186,Paramètrage!$A$6:$A$179,Paramètrage!$C$6:$C$179))</f>
        <v/>
      </c>
      <c r="M186" s="2" t="str">
        <f>IF(W186="","",LOOKUP('Extraction edi'!J186,Paramètrage!$A$6:$A$179,Paramètrage!$D$6:$D$179))</f>
        <v/>
      </c>
      <c r="N186" s="3" t="str">
        <f>IF(W186="","",LOOKUP('Extraction edi'!J186,Paramètrage!$A$6:$A$179,Paramètrage!$E$6:$E$179))</f>
        <v/>
      </c>
      <c r="O186" s="3" t="str">
        <f t="shared" si="79"/>
        <v/>
      </c>
      <c r="P186" s="3" t="str">
        <f t="shared" si="80"/>
        <v/>
      </c>
      <c r="Q186" s="3" t="str">
        <f t="shared" si="73"/>
        <v/>
      </c>
      <c r="R186" s="3" t="str">
        <f t="shared" si="81"/>
        <v/>
      </c>
      <c r="S186" s="3" t="str">
        <f t="shared" si="82"/>
        <v/>
      </c>
      <c r="T186" s="4" t="str">
        <f t="shared" si="83"/>
        <v/>
      </c>
      <c r="U186" s="5" t="str">
        <f t="shared" si="84"/>
        <v/>
      </c>
      <c r="V186" s="7" t="str">
        <f>IF(W186="","",IF(LOOKUP(W186,'Extration 3E date commande'!$A$6:$A$10000)=W186,LOOKUP(W186,'Extration 3E date commande'!$A$6:$A$10000,'Extration 3E date commande'!$C$6:$C$10000),"PAS DE DATE"))</f>
        <v/>
      </c>
    </row>
    <row r="187" spans="1:22" x14ac:dyDescent="0.25">
      <c r="A187" s="3" t="str">
        <f t="shared" si="74"/>
        <v/>
      </c>
      <c r="B187" s="3" t="str">
        <f t="shared" si="75"/>
        <v/>
      </c>
      <c r="C187" s="3" t="str">
        <f t="shared" si="72"/>
        <v/>
      </c>
      <c r="D187" s="3" t="str">
        <f t="shared" si="68"/>
        <v/>
      </c>
      <c r="E187" s="3" t="str">
        <f t="shared" si="69"/>
        <v/>
      </c>
      <c r="F187" s="3" t="str">
        <f t="shared" si="70"/>
        <v/>
      </c>
      <c r="G187" s="3" t="str">
        <f t="shared" si="71"/>
        <v/>
      </c>
      <c r="H187" s="3" t="str">
        <f t="shared" si="76"/>
        <v/>
      </c>
      <c r="I187" s="3" t="str">
        <f t="shared" si="77"/>
        <v/>
      </c>
      <c r="J187" s="2" t="str">
        <f t="shared" si="78"/>
        <v/>
      </c>
      <c r="K187" s="2" t="str">
        <f>IF(W187="","",LOOKUP('Extraction edi'!J187,Paramètrage!$A$6:$A$179,Paramètrage!$B$6:$B$179))</f>
        <v/>
      </c>
      <c r="L187" s="2" t="str">
        <f>IF(W187="","",LOOKUP('Extraction edi'!J187,Paramètrage!$A$6:$A$179,Paramètrage!$C$6:$C$179))</f>
        <v/>
      </c>
      <c r="M187" s="2" t="str">
        <f>IF(W187="","",LOOKUP('Extraction edi'!J187,Paramètrage!$A$6:$A$179,Paramètrage!$D$6:$D$179))</f>
        <v/>
      </c>
      <c r="N187" s="3" t="str">
        <f>IF(W187="","",LOOKUP('Extraction edi'!J187,Paramètrage!$A$6:$A$179,Paramètrage!$E$6:$E$179))</f>
        <v/>
      </c>
      <c r="O187" s="3" t="str">
        <f t="shared" si="79"/>
        <v/>
      </c>
      <c r="P187" s="3" t="str">
        <f t="shared" si="80"/>
        <v/>
      </c>
      <c r="Q187" s="3" t="str">
        <f t="shared" si="73"/>
        <v/>
      </c>
      <c r="R187" s="3" t="str">
        <f t="shared" si="81"/>
        <v/>
      </c>
      <c r="S187" s="3" t="str">
        <f t="shared" si="82"/>
        <v/>
      </c>
      <c r="T187" s="4" t="str">
        <f t="shared" si="83"/>
        <v/>
      </c>
      <c r="U187" s="5" t="str">
        <f t="shared" si="84"/>
        <v/>
      </c>
      <c r="V187" s="7" t="str">
        <f>IF(W187="","",IF(LOOKUP(W187,'Extration 3E date commande'!$A$6:$A$10000)=W187,LOOKUP(W187,'Extration 3E date commande'!$A$6:$A$10000,'Extration 3E date commande'!$C$6:$C$10000),"PAS DE DATE"))</f>
        <v/>
      </c>
    </row>
    <row r="188" spans="1:22" x14ac:dyDescent="0.25">
      <c r="A188" s="3" t="str">
        <f t="shared" si="74"/>
        <v/>
      </c>
      <c r="B188" s="3" t="str">
        <f t="shared" si="75"/>
        <v/>
      </c>
      <c r="C188" s="3" t="str">
        <f t="shared" si="72"/>
        <v/>
      </c>
      <c r="D188" s="3" t="str">
        <f t="shared" si="68"/>
        <v/>
      </c>
      <c r="E188" s="3" t="str">
        <f t="shared" si="69"/>
        <v/>
      </c>
      <c r="F188" s="3" t="str">
        <f t="shared" si="70"/>
        <v/>
      </c>
      <c r="G188" s="3" t="str">
        <f t="shared" si="71"/>
        <v/>
      </c>
      <c r="H188" s="3" t="str">
        <f t="shared" si="76"/>
        <v/>
      </c>
      <c r="I188" s="3" t="str">
        <f t="shared" si="77"/>
        <v/>
      </c>
      <c r="J188" s="2" t="str">
        <f t="shared" si="78"/>
        <v/>
      </c>
      <c r="K188" s="2" t="str">
        <f>IF(W188="","",LOOKUP('Extraction edi'!J188,Paramètrage!$A$6:$A$179,Paramètrage!$B$6:$B$179))</f>
        <v/>
      </c>
      <c r="L188" s="2" t="str">
        <f>IF(W188="","",LOOKUP('Extraction edi'!J188,Paramètrage!$A$6:$A$179,Paramètrage!$C$6:$C$179))</f>
        <v/>
      </c>
      <c r="M188" s="2" t="str">
        <f>IF(W188="","",LOOKUP('Extraction edi'!J188,Paramètrage!$A$6:$A$179,Paramètrage!$D$6:$D$179))</f>
        <v/>
      </c>
      <c r="N188" s="3" t="str">
        <f>IF(W188="","",LOOKUP('Extraction edi'!J188,Paramètrage!$A$6:$A$179,Paramètrage!$E$6:$E$179))</f>
        <v/>
      </c>
      <c r="O188" s="3" t="str">
        <f t="shared" si="79"/>
        <v/>
      </c>
      <c r="P188" s="3" t="str">
        <f t="shared" si="80"/>
        <v/>
      </c>
      <c r="Q188" s="3" t="str">
        <f t="shared" si="73"/>
        <v/>
      </c>
      <c r="R188" s="3" t="str">
        <f t="shared" si="81"/>
        <v/>
      </c>
      <c r="S188" s="3" t="str">
        <f t="shared" si="82"/>
        <v/>
      </c>
      <c r="T188" s="4" t="str">
        <f t="shared" si="83"/>
        <v/>
      </c>
      <c r="U188" s="5" t="str">
        <f t="shared" si="84"/>
        <v/>
      </c>
      <c r="V188" s="7" t="str">
        <f>IF(W188="","",IF(LOOKUP(W188,'Extration 3E date commande'!$A$6:$A$10000)=W188,LOOKUP(W188,'Extration 3E date commande'!$A$6:$A$10000,'Extration 3E date commande'!$C$6:$C$10000),"PAS DE DATE"))</f>
        <v/>
      </c>
    </row>
    <row r="189" spans="1:22" x14ac:dyDescent="0.25">
      <c r="A189" s="3" t="str">
        <f t="shared" si="74"/>
        <v/>
      </c>
      <c r="B189" s="3" t="str">
        <f t="shared" si="75"/>
        <v/>
      </c>
      <c r="C189" s="3" t="str">
        <f t="shared" si="72"/>
        <v/>
      </c>
      <c r="D189" s="3" t="str">
        <f t="shared" si="68"/>
        <v/>
      </c>
      <c r="E189" s="3" t="str">
        <f t="shared" si="69"/>
        <v/>
      </c>
      <c r="F189" s="3" t="str">
        <f t="shared" si="70"/>
        <v/>
      </c>
      <c r="G189" s="3" t="str">
        <f t="shared" si="71"/>
        <v/>
      </c>
      <c r="H189" s="3" t="str">
        <f t="shared" si="76"/>
        <v/>
      </c>
      <c r="I189" s="3" t="str">
        <f t="shared" si="77"/>
        <v/>
      </c>
      <c r="J189" s="2" t="str">
        <f t="shared" si="78"/>
        <v/>
      </c>
      <c r="K189" s="2" t="str">
        <f>IF(W189="","",LOOKUP('Extraction edi'!J189,Paramètrage!$A$6:$A$179,Paramètrage!$B$6:$B$179))</f>
        <v/>
      </c>
      <c r="L189" s="2" t="str">
        <f>IF(W189="","",LOOKUP('Extraction edi'!J189,Paramètrage!$A$6:$A$179,Paramètrage!$C$6:$C$179))</f>
        <v/>
      </c>
      <c r="M189" s="2" t="str">
        <f>IF(W189="","",LOOKUP('Extraction edi'!J189,Paramètrage!$A$6:$A$179,Paramètrage!$D$6:$D$179))</f>
        <v/>
      </c>
      <c r="N189" s="3" t="str">
        <f>IF(W189="","",LOOKUP('Extraction edi'!J189,Paramètrage!$A$6:$A$179,Paramètrage!$E$6:$E$179))</f>
        <v/>
      </c>
      <c r="O189" s="3" t="str">
        <f t="shared" si="79"/>
        <v/>
      </c>
      <c r="P189" s="3" t="str">
        <f t="shared" si="80"/>
        <v/>
      </c>
      <c r="Q189" s="3" t="str">
        <f t="shared" si="73"/>
        <v/>
      </c>
      <c r="R189" s="3" t="str">
        <f t="shared" si="81"/>
        <v/>
      </c>
      <c r="S189" s="3" t="str">
        <f t="shared" si="82"/>
        <v/>
      </c>
      <c r="T189" s="4" t="str">
        <f t="shared" si="83"/>
        <v/>
      </c>
      <c r="U189" s="5" t="str">
        <f t="shared" si="84"/>
        <v/>
      </c>
      <c r="V189" s="7" t="str">
        <f>IF(W189="","",IF(LOOKUP(W189,'Extration 3E date commande'!$A$6:$A$10000)=W189,LOOKUP(W189,'Extration 3E date commande'!$A$6:$A$10000,'Extration 3E date commande'!$C$6:$C$10000),"PAS DE DATE"))</f>
        <v/>
      </c>
    </row>
    <row r="190" spans="1:22" x14ac:dyDescent="0.25">
      <c r="A190" s="3" t="str">
        <f t="shared" si="74"/>
        <v/>
      </c>
      <c r="B190" s="3" t="str">
        <f t="shared" si="75"/>
        <v/>
      </c>
      <c r="C190" s="3" t="str">
        <f t="shared" si="72"/>
        <v/>
      </c>
      <c r="D190" s="3" t="str">
        <f t="shared" si="68"/>
        <v/>
      </c>
      <c r="E190" s="3" t="str">
        <f t="shared" si="69"/>
        <v/>
      </c>
      <c r="F190" s="3" t="str">
        <f t="shared" si="70"/>
        <v/>
      </c>
      <c r="G190" s="3" t="str">
        <f t="shared" si="71"/>
        <v/>
      </c>
      <c r="H190" s="3" t="str">
        <f t="shared" si="76"/>
        <v/>
      </c>
      <c r="I190" s="3" t="str">
        <f t="shared" si="77"/>
        <v/>
      </c>
      <c r="J190" s="2" t="str">
        <f t="shared" si="78"/>
        <v/>
      </c>
      <c r="K190" s="2" t="str">
        <f>IF(W190="","",LOOKUP('Extraction edi'!J190,Paramètrage!$A$6:$A$179,Paramètrage!$B$6:$B$179))</f>
        <v/>
      </c>
      <c r="L190" s="2" t="str">
        <f>IF(W190="","",LOOKUP('Extraction edi'!J190,Paramètrage!$A$6:$A$179,Paramètrage!$C$6:$C$179))</f>
        <v/>
      </c>
      <c r="M190" s="2" t="str">
        <f>IF(W190="","",LOOKUP('Extraction edi'!J190,Paramètrage!$A$6:$A$179,Paramètrage!$D$6:$D$179))</f>
        <v/>
      </c>
      <c r="N190" s="3" t="str">
        <f>IF(W190="","",LOOKUP('Extraction edi'!J190,Paramètrage!$A$6:$A$179,Paramètrage!$E$6:$E$179))</f>
        <v/>
      </c>
      <c r="O190" s="3" t="str">
        <f t="shared" si="79"/>
        <v/>
      </c>
      <c r="P190" s="3" t="str">
        <f t="shared" si="80"/>
        <v/>
      </c>
      <c r="Q190" s="3" t="str">
        <f t="shared" si="73"/>
        <v/>
      </c>
      <c r="R190" s="3" t="str">
        <f t="shared" si="81"/>
        <v/>
      </c>
      <c r="S190" s="3" t="str">
        <f t="shared" si="82"/>
        <v/>
      </c>
      <c r="T190" s="4" t="str">
        <f t="shared" si="83"/>
        <v/>
      </c>
      <c r="U190" s="5" t="str">
        <f t="shared" si="84"/>
        <v/>
      </c>
      <c r="V190" s="7" t="str">
        <f>IF(W190="","",IF(LOOKUP(W190,'Extration 3E date commande'!$A$6:$A$10000)=W190,LOOKUP(W190,'Extration 3E date commande'!$A$6:$A$10000,'Extration 3E date commande'!$C$6:$C$10000),"PAS DE DATE"))</f>
        <v/>
      </c>
    </row>
    <row r="191" spans="1:22" x14ac:dyDescent="0.25">
      <c r="A191" s="3" t="str">
        <f t="shared" si="74"/>
        <v/>
      </c>
      <c r="B191" s="3" t="str">
        <f t="shared" si="75"/>
        <v/>
      </c>
      <c r="C191" s="3" t="str">
        <f t="shared" si="72"/>
        <v/>
      </c>
      <c r="D191" s="3" t="str">
        <f t="shared" si="68"/>
        <v/>
      </c>
      <c r="E191" s="3" t="str">
        <f t="shared" si="69"/>
        <v/>
      </c>
      <c r="F191" s="3" t="str">
        <f t="shared" si="70"/>
        <v/>
      </c>
      <c r="G191" s="3" t="str">
        <f t="shared" si="71"/>
        <v/>
      </c>
      <c r="H191" s="3" t="str">
        <f t="shared" si="76"/>
        <v/>
      </c>
      <c r="I191" s="3" t="str">
        <f t="shared" si="77"/>
        <v/>
      </c>
      <c r="J191" s="2" t="str">
        <f t="shared" si="78"/>
        <v/>
      </c>
      <c r="K191" s="2" t="str">
        <f>IF(W191="","",LOOKUP('Extraction edi'!J191,Paramètrage!$A$6:$A$179,Paramètrage!$B$6:$B$179))</f>
        <v/>
      </c>
      <c r="L191" s="2" t="str">
        <f>IF(W191="","",LOOKUP('Extraction edi'!J191,Paramètrage!$A$6:$A$179,Paramètrage!$C$6:$C$179))</f>
        <v/>
      </c>
      <c r="M191" s="2" t="str">
        <f>IF(W191="","",LOOKUP('Extraction edi'!J191,Paramètrage!$A$6:$A$179,Paramètrage!$D$6:$D$179))</f>
        <v/>
      </c>
      <c r="N191" s="3" t="str">
        <f>IF(W191="","",LOOKUP('Extraction edi'!J191,Paramètrage!$A$6:$A$179,Paramètrage!$E$6:$E$179))</f>
        <v/>
      </c>
      <c r="O191" s="3" t="str">
        <f t="shared" si="79"/>
        <v/>
      </c>
      <c r="P191" s="3" t="str">
        <f t="shared" si="80"/>
        <v/>
      </c>
      <c r="Q191" s="3" t="str">
        <f t="shared" si="73"/>
        <v/>
      </c>
      <c r="R191" s="3" t="str">
        <f t="shared" si="81"/>
        <v/>
      </c>
      <c r="S191" s="3" t="str">
        <f t="shared" si="82"/>
        <v/>
      </c>
      <c r="T191" s="4" t="str">
        <f t="shared" si="83"/>
        <v/>
      </c>
      <c r="U191" s="5" t="str">
        <f t="shared" si="84"/>
        <v/>
      </c>
      <c r="V191" s="7" t="str">
        <f>IF(W191="","",IF(LOOKUP(W191,'Extration 3E date commande'!$A$6:$A$10000)=W191,LOOKUP(W191,'Extration 3E date commande'!$A$6:$A$10000,'Extration 3E date commande'!$C$6:$C$10000),"PAS DE DATE"))</f>
        <v/>
      </c>
    </row>
    <row r="192" spans="1:22" x14ac:dyDescent="0.25">
      <c r="A192" s="3" t="str">
        <f t="shared" si="74"/>
        <v/>
      </c>
      <c r="B192" s="3" t="str">
        <f t="shared" si="75"/>
        <v/>
      </c>
      <c r="C192" s="3" t="str">
        <f t="shared" si="72"/>
        <v/>
      </c>
      <c r="D192" s="3" t="str">
        <f t="shared" si="68"/>
        <v/>
      </c>
      <c r="E192" s="3" t="str">
        <f t="shared" si="69"/>
        <v/>
      </c>
      <c r="F192" s="3" t="str">
        <f t="shared" si="70"/>
        <v/>
      </c>
      <c r="G192" s="3" t="str">
        <f t="shared" si="71"/>
        <v/>
      </c>
      <c r="H192" s="3" t="str">
        <f t="shared" si="76"/>
        <v/>
      </c>
      <c r="I192" s="3" t="str">
        <f t="shared" si="77"/>
        <v/>
      </c>
      <c r="J192" s="2" t="str">
        <f t="shared" si="78"/>
        <v/>
      </c>
      <c r="K192" s="2" t="str">
        <f>IF(W192="","",LOOKUP('Extraction edi'!J192,Paramètrage!$A$6:$A$179,Paramètrage!$B$6:$B$179))</f>
        <v/>
      </c>
      <c r="L192" s="2" t="str">
        <f>IF(W192="","",LOOKUP('Extraction edi'!J192,Paramètrage!$A$6:$A$179,Paramètrage!$C$6:$C$179))</f>
        <v/>
      </c>
      <c r="M192" s="2" t="str">
        <f>IF(W192="","",LOOKUP('Extraction edi'!J192,Paramètrage!$A$6:$A$179,Paramètrage!$D$6:$D$179))</f>
        <v/>
      </c>
      <c r="N192" s="3" t="str">
        <f>IF(W192="","",LOOKUP('Extraction edi'!J192,Paramètrage!$A$6:$A$179,Paramètrage!$E$6:$E$179))</f>
        <v/>
      </c>
      <c r="O192" s="3" t="str">
        <f t="shared" si="79"/>
        <v/>
      </c>
      <c r="P192" s="3" t="str">
        <f t="shared" si="80"/>
        <v/>
      </c>
      <c r="Q192" s="3" t="str">
        <f t="shared" si="73"/>
        <v/>
      </c>
      <c r="R192" s="3" t="str">
        <f t="shared" si="81"/>
        <v/>
      </c>
      <c r="S192" s="3" t="str">
        <f t="shared" si="82"/>
        <v/>
      </c>
      <c r="T192" s="4" t="str">
        <f t="shared" si="83"/>
        <v/>
      </c>
      <c r="U192" s="5" t="str">
        <f t="shared" si="84"/>
        <v/>
      </c>
      <c r="V192" s="7" t="str">
        <f>IF(W192="","",IF(LOOKUP(W192,'Extration 3E date commande'!$A$6:$A$10000)=W192,LOOKUP(W192,'Extration 3E date commande'!$A$6:$A$10000,'Extration 3E date commande'!$C$6:$C$10000),"PAS DE DATE"))</f>
        <v/>
      </c>
    </row>
    <row r="193" spans="1:22" x14ac:dyDescent="0.25">
      <c r="A193" s="3" t="str">
        <f t="shared" si="74"/>
        <v/>
      </c>
      <c r="B193" s="3" t="str">
        <f t="shared" si="75"/>
        <v/>
      </c>
      <c r="C193" s="3" t="str">
        <f t="shared" si="72"/>
        <v/>
      </c>
      <c r="D193" s="3" t="str">
        <f t="shared" si="68"/>
        <v/>
      </c>
      <c r="E193" s="3" t="str">
        <f t="shared" si="69"/>
        <v/>
      </c>
      <c r="F193" s="3" t="str">
        <f t="shared" si="70"/>
        <v/>
      </c>
      <c r="G193" s="3" t="str">
        <f t="shared" si="71"/>
        <v/>
      </c>
      <c r="H193" s="3" t="str">
        <f t="shared" si="76"/>
        <v/>
      </c>
      <c r="I193" s="3" t="str">
        <f t="shared" si="77"/>
        <v/>
      </c>
      <c r="J193" s="2" t="str">
        <f t="shared" si="78"/>
        <v/>
      </c>
      <c r="K193" s="2" t="str">
        <f>IF(W193="","",LOOKUP('Extraction edi'!J193,Paramètrage!$A$6:$A$179,Paramètrage!$B$6:$B$179))</f>
        <v/>
      </c>
      <c r="L193" s="2" t="str">
        <f>IF(W193="","",LOOKUP('Extraction edi'!J193,Paramètrage!$A$6:$A$179,Paramètrage!$C$6:$C$179))</f>
        <v/>
      </c>
      <c r="M193" s="2" t="str">
        <f>IF(W193="","",LOOKUP('Extraction edi'!J193,Paramètrage!$A$6:$A$179,Paramètrage!$D$6:$D$179))</f>
        <v/>
      </c>
      <c r="N193" s="3" t="str">
        <f>IF(W193="","",LOOKUP('Extraction edi'!J193,Paramètrage!$A$6:$A$179,Paramètrage!$E$6:$E$179))</f>
        <v/>
      </c>
      <c r="O193" s="3" t="str">
        <f t="shared" si="79"/>
        <v/>
      </c>
      <c r="P193" s="3" t="str">
        <f t="shared" si="80"/>
        <v/>
      </c>
      <c r="Q193" s="3" t="str">
        <f t="shared" si="73"/>
        <v/>
      </c>
      <c r="R193" s="3" t="str">
        <f t="shared" si="81"/>
        <v/>
      </c>
      <c r="S193" s="3" t="str">
        <f t="shared" si="82"/>
        <v/>
      </c>
      <c r="T193" s="4" t="str">
        <f t="shared" si="83"/>
        <v/>
      </c>
      <c r="U193" s="5" t="str">
        <f t="shared" si="84"/>
        <v/>
      </c>
      <c r="V193" s="7" t="str">
        <f>IF(W193="","",IF(LOOKUP(W193,'Extration 3E date commande'!$A$6:$A$10000)=W193,LOOKUP(W193,'Extration 3E date commande'!$A$6:$A$10000,'Extration 3E date commande'!$C$6:$C$10000),"PAS DE DATE"))</f>
        <v/>
      </c>
    </row>
    <row r="194" spans="1:22" x14ac:dyDescent="0.25">
      <c r="A194" s="3" t="str">
        <f t="shared" si="74"/>
        <v/>
      </c>
      <c r="B194" s="3" t="str">
        <f t="shared" si="75"/>
        <v/>
      </c>
      <c r="C194" s="3" t="str">
        <f t="shared" si="72"/>
        <v/>
      </c>
      <c r="D194" s="3" t="str">
        <f t="shared" si="68"/>
        <v/>
      </c>
      <c r="E194" s="3" t="str">
        <f t="shared" si="69"/>
        <v/>
      </c>
      <c r="F194" s="3" t="str">
        <f t="shared" si="70"/>
        <v/>
      </c>
      <c r="G194" s="3" t="str">
        <f t="shared" si="71"/>
        <v/>
      </c>
      <c r="H194" s="3" t="str">
        <f t="shared" si="76"/>
        <v/>
      </c>
      <c r="I194" s="3" t="str">
        <f t="shared" si="77"/>
        <v/>
      </c>
      <c r="J194" s="2" t="str">
        <f t="shared" si="78"/>
        <v/>
      </c>
      <c r="K194" s="2" t="str">
        <f>IF(W194="","",LOOKUP('Extraction edi'!J194,Paramètrage!$A$6:$A$179,Paramètrage!$B$6:$B$179))</f>
        <v/>
      </c>
      <c r="L194" s="2" t="str">
        <f>IF(W194="","",LOOKUP('Extraction edi'!J194,Paramètrage!$A$6:$A$179,Paramètrage!$C$6:$C$179))</f>
        <v/>
      </c>
      <c r="M194" s="2" t="str">
        <f>IF(W194="","",LOOKUP('Extraction edi'!J194,Paramètrage!$A$6:$A$179,Paramètrage!$D$6:$D$179))</f>
        <v/>
      </c>
      <c r="N194" s="3" t="str">
        <f>IF(W194="","",LOOKUP('Extraction edi'!J194,Paramètrage!$A$6:$A$179,Paramètrage!$E$6:$E$179))</f>
        <v/>
      </c>
      <c r="O194" s="3" t="str">
        <f t="shared" si="79"/>
        <v/>
      </c>
      <c r="P194" s="3" t="str">
        <f t="shared" si="80"/>
        <v/>
      </c>
      <c r="Q194" s="3" t="str">
        <f t="shared" si="73"/>
        <v/>
      </c>
      <c r="R194" s="3" t="str">
        <f t="shared" si="81"/>
        <v/>
      </c>
      <c r="S194" s="3" t="str">
        <f t="shared" si="82"/>
        <v/>
      </c>
      <c r="T194" s="4" t="str">
        <f t="shared" si="83"/>
        <v/>
      </c>
      <c r="U194" s="5" t="str">
        <f t="shared" si="84"/>
        <v/>
      </c>
      <c r="V194" s="7" t="str">
        <f>IF(W194="","",IF(LOOKUP(W194,'Extration 3E date commande'!$A$6:$A$10000)=W194,LOOKUP(W194,'Extration 3E date commande'!$A$6:$A$10000,'Extration 3E date commande'!$C$6:$C$10000),"PAS DE DATE"))</f>
        <v/>
      </c>
    </row>
    <row r="195" spans="1:22" x14ac:dyDescent="0.25">
      <c r="A195" s="3" t="str">
        <f t="shared" si="74"/>
        <v/>
      </c>
      <c r="B195" s="3" t="str">
        <f t="shared" si="75"/>
        <v/>
      </c>
      <c r="C195" s="3" t="str">
        <f t="shared" si="72"/>
        <v/>
      </c>
      <c r="D195" s="3" t="str">
        <f t="shared" si="68"/>
        <v/>
      </c>
      <c r="E195" s="3" t="str">
        <f t="shared" si="69"/>
        <v/>
      </c>
      <c r="F195" s="3" t="str">
        <f t="shared" si="70"/>
        <v/>
      </c>
      <c r="G195" s="3" t="str">
        <f t="shared" si="71"/>
        <v/>
      </c>
      <c r="H195" s="3" t="str">
        <f t="shared" si="76"/>
        <v/>
      </c>
      <c r="I195" s="3" t="str">
        <f t="shared" si="77"/>
        <v/>
      </c>
      <c r="J195" s="2" t="str">
        <f t="shared" si="78"/>
        <v/>
      </c>
      <c r="K195" s="2" t="str">
        <f>IF(W195="","",LOOKUP('Extraction edi'!J195,Paramètrage!$A$6:$A$179,Paramètrage!$B$6:$B$179))</f>
        <v/>
      </c>
      <c r="L195" s="2" t="str">
        <f>IF(W195="","",LOOKUP('Extraction edi'!J195,Paramètrage!$A$6:$A$179,Paramètrage!$C$6:$C$179))</f>
        <v/>
      </c>
      <c r="M195" s="2" t="str">
        <f>IF(W195="","",LOOKUP('Extraction edi'!J195,Paramètrage!$A$6:$A$179,Paramètrage!$D$6:$D$179))</f>
        <v/>
      </c>
      <c r="N195" s="3" t="str">
        <f>IF(W195="","",LOOKUP('Extraction edi'!J195,Paramètrage!$A$6:$A$179,Paramètrage!$E$6:$E$179))</f>
        <v/>
      </c>
      <c r="O195" s="3" t="str">
        <f t="shared" si="79"/>
        <v/>
      </c>
      <c r="P195" s="3" t="str">
        <f t="shared" si="80"/>
        <v/>
      </c>
      <c r="Q195" s="3" t="str">
        <f t="shared" si="73"/>
        <v/>
      </c>
      <c r="R195" s="3" t="str">
        <f t="shared" si="81"/>
        <v/>
      </c>
      <c r="S195" s="3" t="str">
        <f t="shared" si="82"/>
        <v/>
      </c>
      <c r="T195" s="4" t="str">
        <f t="shared" si="83"/>
        <v/>
      </c>
      <c r="U195" s="5" t="str">
        <f t="shared" si="84"/>
        <v/>
      </c>
      <c r="V195" s="7" t="str">
        <f>IF(W195="","",IF(LOOKUP(W195,'Extration 3E date commande'!$A$6:$A$10000)=W195,LOOKUP(W195,'Extration 3E date commande'!$A$6:$A$10000,'Extration 3E date commande'!$C$6:$C$10000),"PAS DE DATE"))</f>
        <v/>
      </c>
    </row>
    <row r="196" spans="1:22" x14ac:dyDescent="0.25">
      <c r="A196" s="3" t="str">
        <f t="shared" si="74"/>
        <v/>
      </c>
      <c r="B196" s="3" t="str">
        <f t="shared" si="75"/>
        <v/>
      </c>
      <c r="C196" s="3" t="str">
        <f t="shared" si="72"/>
        <v/>
      </c>
      <c r="D196" s="3" t="str">
        <f t="shared" si="68"/>
        <v/>
      </c>
      <c r="E196" s="3" t="str">
        <f t="shared" si="69"/>
        <v/>
      </c>
      <c r="F196" s="3" t="str">
        <f t="shared" si="70"/>
        <v/>
      </c>
      <c r="G196" s="3" t="str">
        <f t="shared" si="71"/>
        <v/>
      </c>
      <c r="H196" s="3" t="str">
        <f t="shared" si="76"/>
        <v/>
      </c>
      <c r="I196" s="3" t="str">
        <f t="shared" si="77"/>
        <v/>
      </c>
      <c r="J196" s="2" t="str">
        <f t="shared" si="78"/>
        <v/>
      </c>
      <c r="K196" s="2" t="str">
        <f>IF(W196="","",LOOKUP('Extraction edi'!J196,Paramètrage!$A$6:$A$179,Paramètrage!$B$6:$B$179))</f>
        <v/>
      </c>
      <c r="L196" s="2" t="str">
        <f>IF(W196="","",LOOKUP('Extraction edi'!J196,Paramètrage!$A$6:$A$179,Paramètrage!$C$6:$C$179))</f>
        <v/>
      </c>
      <c r="M196" s="2" t="str">
        <f>IF(W196="","",LOOKUP('Extraction edi'!J196,Paramètrage!$A$6:$A$179,Paramètrage!$D$6:$D$179))</f>
        <v/>
      </c>
      <c r="N196" s="3" t="str">
        <f>IF(W196="","",LOOKUP('Extraction edi'!J196,Paramètrage!$A$6:$A$179,Paramètrage!$E$6:$E$179))</f>
        <v/>
      </c>
      <c r="O196" s="3" t="str">
        <f t="shared" si="79"/>
        <v/>
      </c>
      <c r="P196" s="3" t="str">
        <f t="shared" si="80"/>
        <v/>
      </c>
      <c r="Q196" s="3" t="str">
        <f t="shared" si="73"/>
        <v/>
      </c>
      <c r="R196" s="3" t="str">
        <f t="shared" si="81"/>
        <v/>
      </c>
      <c r="S196" s="3" t="str">
        <f t="shared" si="82"/>
        <v/>
      </c>
      <c r="T196" s="4" t="str">
        <f t="shared" si="83"/>
        <v/>
      </c>
      <c r="U196" s="5" t="str">
        <f t="shared" si="84"/>
        <v/>
      </c>
      <c r="V196" s="7" t="str">
        <f>IF(W196="","",IF(LOOKUP(W196,'Extration 3E date commande'!$A$6:$A$10000)=W196,LOOKUP(W196,'Extration 3E date commande'!$A$6:$A$10000,'Extration 3E date commande'!$C$6:$C$10000),"PAS DE DATE"))</f>
        <v/>
      </c>
    </row>
    <row r="197" spans="1:22" x14ac:dyDescent="0.25">
      <c r="A197" s="3" t="str">
        <f t="shared" si="74"/>
        <v/>
      </c>
      <c r="B197" s="3" t="str">
        <f t="shared" si="75"/>
        <v/>
      </c>
      <c r="C197" s="3" t="str">
        <f t="shared" si="72"/>
        <v/>
      </c>
      <c r="D197" s="3" t="str">
        <f t="shared" si="68"/>
        <v/>
      </c>
      <c r="E197" s="3" t="str">
        <f t="shared" si="69"/>
        <v/>
      </c>
      <c r="F197" s="3" t="str">
        <f t="shared" si="70"/>
        <v/>
      </c>
      <c r="G197" s="3" t="str">
        <f t="shared" si="71"/>
        <v/>
      </c>
      <c r="H197" s="3" t="str">
        <f t="shared" si="76"/>
        <v/>
      </c>
      <c r="I197" s="3" t="str">
        <f t="shared" si="77"/>
        <v/>
      </c>
      <c r="J197" s="2" t="str">
        <f t="shared" si="78"/>
        <v/>
      </c>
      <c r="K197" s="2" t="str">
        <f>IF(W197="","",LOOKUP('Extraction edi'!J197,Paramètrage!$A$6:$A$179,Paramètrage!$B$6:$B$179))</f>
        <v/>
      </c>
      <c r="L197" s="2" t="str">
        <f>IF(W197="","",LOOKUP('Extraction edi'!J197,Paramètrage!$A$6:$A$179,Paramètrage!$C$6:$C$179))</f>
        <v/>
      </c>
      <c r="M197" s="2" t="str">
        <f>IF(W197="","",LOOKUP('Extraction edi'!J197,Paramètrage!$A$6:$A$179,Paramètrage!$D$6:$D$179))</f>
        <v/>
      </c>
      <c r="N197" s="3" t="str">
        <f>IF(W197="","",LOOKUP('Extraction edi'!J197,Paramètrage!$A$6:$A$179,Paramètrage!$E$6:$E$179))</f>
        <v/>
      </c>
      <c r="O197" s="3" t="str">
        <f t="shared" si="79"/>
        <v/>
      </c>
      <c r="P197" s="3" t="str">
        <f t="shared" si="80"/>
        <v/>
      </c>
      <c r="Q197" s="3" t="str">
        <f t="shared" si="73"/>
        <v/>
      </c>
      <c r="R197" s="3" t="str">
        <f t="shared" si="81"/>
        <v/>
      </c>
      <c r="S197" s="3" t="str">
        <f t="shared" si="82"/>
        <v/>
      </c>
      <c r="T197" s="4" t="str">
        <f t="shared" si="83"/>
        <v/>
      </c>
      <c r="U197" s="5" t="str">
        <f t="shared" si="84"/>
        <v/>
      </c>
      <c r="V197" s="7" t="str">
        <f>IF(W197="","",IF(LOOKUP(W197,'Extration 3E date commande'!$A$6:$A$10000)=W197,LOOKUP(W197,'Extration 3E date commande'!$A$6:$A$10000,'Extration 3E date commande'!$C$6:$C$10000),"PAS DE DATE"))</f>
        <v/>
      </c>
    </row>
    <row r="198" spans="1:22" x14ac:dyDescent="0.25">
      <c r="A198" s="3" t="str">
        <f t="shared" si="74"/>
        <v/>
      </c>
      <c r="B198" s="3" t="str">
        <f t="shared" si="75"/>
        <v/>
      </c>
      <c r="C198" s="3" t="str">
        <f t="shared" si="72"/>
        <v/>
      </c>
      <c r="D198" s="3" t="str">
        <f t="shared" ref="D198:D261" si="85">IF(ISERROR(SEARCH("P",B198)),"","PE")</f>
        <v/>
      </c>
      <c r="E198" s="3" t="str">
        <f t="shared" ref="E198:E261" si="86">IF(ISERROR(SEARCH("U",B198))=FALSE,"ALU",IF(ISERROR(SEARCH("Y",B198)),"","ALU"))</f>
        <v/>
      </c>
      <c r="F198" s="3" t="str">
        <f t="shared" ref="F198:F261" si="87">IF(ISERROR(SEARCH("H",B198))=FALSE,"TEX",IF(ISERROR(SEARCH("Z",B198)),IF(ISERROR(SEARCH("X",B198)),"","TEX")))</f>
        <v/>
      </c>
      <c r="G198" s="3" t="str">
        <f t="shared" ref="G198:G261" si="88">IF(B198="","",IF(C198="SAV","NEG/RELI/SAV",IF(C198="NEGOCE","NEG/RELI/SAV",IF(C198="RELI","NEG/RELI/SAV",IF(E198="ALU","ALU",IF(D198="PE","PE",IF(F198="TEX","TEX","STD")))))))</f>
        <v/>
      </c>
      <c r="H198" s="3" t="str">
        <f t="shared" si="76"/>
        <v/>
      </c>
      <c r="I198" s="3" t="str">
        <f t="shared" si="77"/>
        <v/>
      </c>
      <c r="J198" s="2" t="str">
        <f t="shared" si="78"/>
        <v/>
      </c>
      <c r="K198" s="2" t="str">
        <f>IF(W198="","",LOOKUP('Extraction edi'!J198,Paramètrage!$A$6:$A$179,Paramètrage!$B$6:$B$179))</f>
        <v/>
      </c>
      <c r="L198" s="2" t="str">
        <f>IF(W198="","",LOOKUP('Extraction edi'!J198,Paramètrage!$A$6:$A$179,Paramètrage!$C$6:$C$179))</f>
        <v/>
      </c>
      <c r="M198" s="2" t="str">
        <f>IF(W198="","",LOOKUP('Extraction edi'!J198,Paramètrage!$A$6:$A$179,Paramètrage!$D$6:$D$179))</f>
        <v/>
      </c>
      <c r="N198" s="3" t="str">
        <f>IF(W198="","",LOOKUP('Extraction edi'!J198,Paramètrage!$A$6:$A$179,Paramètrage!$E$6:$E$179))</f>
        <v/>
      </c>
      <c r="O198" s="3" t="str">
        <f t="shared" si="79"/>
        <v/>
      </c>
      <c r="P198" s="3" t="str">
        <f t="shared" si="80"/>
        <v/>
      </c>
      <c r="Q198" s="3" t="str">
        <f t="shared" si="73"/>
        <v/>
      </c>
      <c r="R198" s="3" t="str">
        <f t="shared" si="81"/>
        <v/>
      </c>
      <c r="S198" s="3" t="str">
        <f t="shared" si="82"/>
        <v/>
      </c>
      <c r="T198" s="4" t="str">
        <f t="shared" si="83"/>
        <v/>
      </c>
      <c r="U198" s="5" t="str">
        <f t="shared" si="84"/>
        <v/>
      </c>
      <c r="V198" s="7" t="str">
        <f>IF(W198="","",IF(LOOKUP(W198,'Extration 3E date commande'!$A$6:$A$10000)=W198,LOOKUP(W198,'Extration 3E date commande'!$A$6:$A$10000,'Extration 3E date commande'!$C$6:$C$10000),"PAS DE DATE"))</f>
        <v/>
      </c>
    </row>
    <row r="199" spans="1:22" x14ac:dyDescent="0.25">
      <c r="A199" s="3" t="str">
        <f t="shared" si="74"/>
        <v/>
      </c>
      <c r="B199" s="3" t="str">
        <f t="shared" si="75"/>
        <v/>
      </c>
      <c r="C199" s="3" t="str">
        <f t="shared" ref="C199:C262" si="89">IF(ISERROR(SEARCH("ELI",B199))=FALSE,"RELIQUAT",IF(ISERROR(SEARCH("N",B199))=FALSE,"NEGOCE",IF(ISERROR(SEARCH("S",B199))=FALSE,"SAV",IF(ISERROR(SEARCH("J",B199)),"","SAV"))))</f>
        <v/>
      </c>
      <c r="D199" s="3" t="str">
        <f t="shared" si="85"/>
        <v/>
      </c>
      <c r="E199" s="3" t="str">
        <f t="shared" si="86"/>
        <v/>
      </c>
      <c r="F199" s="3" t="str">
        <f t="shared" si="87"/>
        <v/>
      </c>
      <c r="G199" s="3" t="str">
        <f t="shared" si="88"/>
        <v/>
      </c>
      <c r="H199" s="3" t="str">
        <f t="shared" si="76"/>
        <v/>
      </c>
      <c r="I199" s="3" t="str">
        <f t="shared" si="77"/>
        <v/>
      </c>
      <c r="J199" s="2" t="str">
        <f t="shared" si="78"/>
        <v/>
      </c>
      <c r="K199" s="2" t="str">
        <f>IF(W199="","",LOOKUP('Extraction edi'!J199,Paramètrage!$A$6:$A$179,Paramètrage!$B$6:$B$179))</f>
        <v/>
      </c>
      <c r="L199" s="2" t="str">
        <f>IF(W199="","",LOOKUP('Extraction edi'!J199,Paramètrage!$A$6:$A$179,Paramètrage!$C$6:$C$179))</f>
        <v/>
      </c>
      <c r="M199" s="2" t="str">
        <f>IF(W199="","",LOOKUP('Extraction edi'!J199,Paramètrage!$A$6:$A$179,Paramètrage!$D$6:$D$179))</f>
        <v/>
      </c>
      <c r="N199" s="3" t="str">
        <f>IF(W199="","",LOOKUP('Extraction edi'!J199,Paramètrage!$A$6:$A$179,Paramètrage!$E$6:$E$179))</f>
        <v/>
      </c>
      <c r="O199" s="3" t="str">
        <f t="shared" si="79"/>
        <v/>
      </c>
      <c r="P199" s="3" t="str">
        <f t="shared" si="80"/>
        <v/>
      </c>
      <c r="Q199" s="3" t="str">
        <f t="shared" si="73"/>
        <v/>
      </c>
      <c r="R199" s="3" t="str">
        <f t="shared" si="81"/>
        <v/>
      </c>
      <c r="S199" s="3" t="str">
        <f t="shared" si="82"/>
        <v/>
      </c>
      <c r="T199" s="4" t="str">
        <f t="shared" si="83"/>
        <v/>
      </c>
      <c r="U199" s="5" t="str">
        <f t="shared" si="84"/>
        <v/>
      </c>
      <c r="V199" s="7" t="str">
        <f>IF(W199="","",IF(LOOKUP(W199,'Extration 3E date commande'!$A$6:$A$10000)=W199,LOOKUP(W199,'Extration 3E date commande'!$A$6:$A$10000,'Extration 3E date commande'!$C$6:$C$10000),"PAS DE DATE"))</f>
        <v/>
      </c>
    </row>
    <row r="200" spans="1:22" x14ac:dyDescent="0.25">
      <c r="A200" s="3" t="str">
        <f t="shared" si="74"/>
        <v/>
      </c>
      <c r="B200" s="3" t="str">
        <f t="shared" si="75"/>
        <v/>
      </c>
      <c r="C200" s="3" t="str">
        <f t="shared" si="89"/>
        <v/>
      </c>
      <c r="D200" s="3" t="str">
        <f t="shared" si="85"/>
        <v/>
      </c>
      <c r="E200" s="3" t="str">
        <f t="shared" si="86"/>
        <v/>
      </c>
      <c r="F200" s="3" t="str">
        <f t="shared" si="87"/>
        <v/>
      </c>
      <c r="G200" s="3" t="str">
        <f t="shared" si="88"/>
        <v/>
      </c>
      <c r="H200" s="3" t="str">
        <f t="shared" si="76"/>
        <v/>
      </c>
      <c r="I200" s="3" t="str">
        <f t="shared" si="77"/>
        <v/>
      </c>
      <c r="J200" s="2" t="str">
        <f t="shared" si="78"/>
        <v/>
      </c>
      <c r="K200" s="2" t="str">
        <f>IF(W200="","",LOOKUP('Extraction edi'!J200,Paramètrage!$A$6:$A$179,Paramètrage!$B$6:$B$179))</f>
        <v/>
      </c>
      <c r="L200" s="2" t="str">
        <f>IF(W200="","",LOOKUP('Extraction edi'!J200,Paramètrage!$A$6:$A$179,Paramètrage!$C$6:$C$179))</f>
        <v/>
      </c>
      <c r="M200" s="2" t="str">
        <f>IF(W200="","",LOOKUP('Extraction edi'!J200,Paramètrage!$A$6:$A$179,Paramètrage!$D$6:$D$179))</f>
        <v/>
      </c>
      <c r="N200" s="3" t="str">
        <f>IF(W200="","",LOOKUP('Extraction edi'!J200,Paramètrage!$A$6:$A$179,Paramètrage!$E$6:$E$179))</f>
        <v/>
      </c>
      <c r="O200" s="3" t="str">
        <f t="shared" si="79"/>
        <v/>
      </c>
      <c r="P200" s="3" t="str">
        <f t="shared" si="80"/>
        <v/>
      </c>
      <c r="Q200" s="3" t="str">
        <f t="shared" si="73"/>
        <v/>
      </c>
      <c r="R200" s="3" t="str">
        <f t="shared" si="81"/>
        <v/>
      </c>
      <c r="S200" s="3" t="str">
        <f t="shared" si="82"/>
        <v/>
      </c>
      <c r="T200" s="4" t="str">
        <f t="shared" si="83"/>
        <v/>
      </c>
      <c r="U200" s="5" t="str">
        <f t="shared" si="84"/>
        <v/>
      </c>
      <c r="V200" s="7" t="str">
        <f>IF(W200="","",IF(LOOKUP(W200,'Extration 3E date commande'!$A$6:$A$10000)=W200,LOOKUP(W200,'Extration 3E date commande'!$A$6:$A$10000,'Extration 3E date commande'!$C$6:$C$10000),"PAS DE DATE"))</f>
        <v/>
      </c>
    </row>
    <row r="201" spans="1:22" x14ac:dyDescent="0.25">
      <c r="A201" s="3" t="str">
        <f t="shared" si="74"/>
        <v/>
      </c>
      <c r="B201" s="3" t="str">
        <f t="shared" si="75"/>
        <v/>
      </c>
      <c r="C201" s="3" t="str">
        <f t="shared" si="89"/>
        <v/>
      </c>
      <c r="D201" s="3" t="str">
        <f t="shared" si="85"/>
        <v/>
      </c>
      <c r="E201" s="3" t="str">
        <f t="shared" si="86"/>
        <v/>
      </c>
      <c r="F201" s="3" t="str">
        <f t="shared" si="87"/>
        <v/>
      </c>
      <c r="G201" s="3" t="str">
        <f t="shared" si="88"/>
        <v/>
      </c>
      <c r="H201" s="3" t="str">
        <f t="shared" si="76"/>
        <v/>
      </c>
      <c r="I201" s="3" t="str">
        <f t="shared" si="77"/>
        <v/>
      </c>
      <c r="J201" s="2" t="str">
        <f t="shared" si="78"/>
        <v/>
      </c>
      <c r="K201" s="2" t="str">
        <f>IF(W201="","",LOOKUP('Extraction edi'!J201,Paramètrage!$A$6:$A$179,Paramètrage!$B$6:$B$179))</f>
        <v/>
      </c>
      <c r="L201" s="2" t="str">
        <f>IF(W201="","",LOOKUP('Extraction edi'!J201,Paramètrage!$A$6:$A$179,Paramètrage!$C$6:$C$179))</f>
        <v/>
      </c>
      <c r="M201" s="2" t="str">
        <f>IF(W201="","",LOOKUP('Extraction edi'!J201,Paramètrage!$A$6:$A$179,Paramètrage!$D$6:$D$179))</f>
        <v/>
      </c>
      <c r="N201" s="3" t="str">
        <f>IF(W201="","",LOOKUP('Extraction edi'!J201,Paramètrage!$A$6:$A$179,Paramètrage!$E$6:$E$179))</f>
        <v/>
      </c>
      <c r="O201" s="3" t="str">
        <f t="shared" si="79"/>
        <v/>
      </c>
      <c r="P201" s="3" t="str">
        <f t="shared" si="80"/>
        <v/>
      </c>
      <c r="Q201" s="3" t="str">
        <f t="shared" si="73"/>
        <v/>
      </c>
      <c r="R201" s="3" t="str">
        <f t="shared" si="81"/>
        <v/>
      </c>
      <c r="S201" s="3" t="str">
        <f t="shared" si="82"/>
        <v/>
      </c>
      <c r="T201" s="4" t="str">
        <f t="shared" si="83"/>
        <v/>
      </c>
      <c r="U201" s="5" t="str">
        <f t="shared" si="84"/>
        <v/>
      </c>
      <c r="V201" s="7" t="str">
        <f>IF(W201="","",IF(LOOKUP(W201,'Extration 3E date commande'!$A$6:$A$10000)=W201,LOOKUP(W201,'Extration 3E date commande'!$A$6:$A$10000,'Extration 3E date commande'!$C$6:$C$10000),"PAS DE DATE"))</f>
        <v/>
      </c>
    </row>
    <row r="202" spans="1:22" x14ac:dyDescent="0.25">
      <c r="A202" s="3" t="str">
        <f t="shared" si="74"/>
        <v/>
      </c>
      <c r="B202" s="3" t="str">
        <f t="shared" si="75"/>
        <v/>
      </c>
      <c r="C202" s="3" t="str">
        <f t="shared" si="89"/>
        <v/>
      </c>
      <c r="D202" s="3" t="str">
        <f t="shared" si="85"/>
        <v/>
      </c>
      <c r="E202" s="3" t="str">
        <f t="shared" si="86"/>
        <v/>
      </c>
      <c r="F202" s="3" t="str">
        <f t="shared" si="87"/>
        <v/>
      </c>
      <c r="G202" s="3" t="str">
        <f t="shared" si="88"/>
        <v/>
      </c>
      <c r="H202" s="3" t="str">
        <f t="shared" si="76"/>
        <v/>
      </c>
      <c r="I202" s="3" t="str">
        <f t="shared" si="77"/>
        <v/>
      </c>
      <c r="J202" s="2" t="str">
        <f t="shared" si="78"/>
        <v/>
      </c>
      <c r="K202" s="2" t="str">
        <f>IF(W202="","",LOOKUP('Extraction edi'!J202,Paramètrage!$A$6:$A$179,Paramètrage!$B$6:$B$179))</f>
        <v/>
      </c>
      <c r="L202" s="2" t="str">
        <f>IF(W202="","",LOOKUP('Extraction edi'!J202,Paramètrage!$A$6:$A$179,Paramètrage!$C$6:$C$179))</f>
        <v/>
      </c>
      <c r="M202" s="2" t="str">
        <f>IF(W202="","",LOOKUP('Extraction edi'!J202,Paramètrage!$A$6:$A$179,Paramètrage!$D$6:$D$179))</f>
        <v/>
      </c>
      <c r="N202" s="3" t="str">
        <f>IF(W202="","",LOOKUP('Extraction edi'!J202,Paramètrage!$A$6:$A$179,Paramètrage!$E$6:$E$179))</f>
        <v/>
      </c>
      <c r="O202" s="3" t="str">
        <f t="shared" si="79"/>
        <v/>
      </c>
      <c r="P202" s="3" t="str">
        <f t="shared" si="80"/>
        <v/>
      </c>
      <c r="Q202" s="3" t="str">
        <f t="shared" si="73"/>
        <v/>
      </c>
      <c r="R202" s="3" t="str">
        <f t="shared" si="81"/>
        <v/>
      </c>
      <c r="S202" s="3" t="str">
        <f t="shared" si="82"/>
        <v/>
      </c>
      <c r="T202" s="4" t="str">
        <f t="shared" si="83"/>
        <v/>
      </c>
      <c r="U202" s="5" t="str">
        <f t="shared" si="84"/>
        <v/>
      </c>
      <c r="V202" s="7" t="str">
        <f>IF(W202="","",IF(LOOKUP(W202,'Extration 3E date commande'!$A$6:$A$10000)=W202,LOOKUP(W202,'Extration 3E date commande'!$A$6:$A$10000,'Extration 3E date commande'!$C$6:$C$10000),"PAS DE DATE"))</f>
        <v/>
      </c>
    </row>
    <row r="203" spans="1:22" x14ac:dyDescent="0.25">
      <c r="A203" s="3" t="str">
        <f t="shared" si="74"/>
        <v/>
      </c>
      <c r="B203" s="3" t="str">
        <f t="shared" si="75"/>
        <v/>
      </c>
      <c r="C203" s="3" t="str">
        <f t="shared" si="89"/>
        <v/>
      </c>
      <c r="D203" s="3" t="str">
        <f t="shared" si="85"/>
        <v/>
      </c>
      <c r="E203" s="3" t="str">
        <f t="shared" si="86"/>
        <v/>
      </c>
      <c r="F203" s="3" t="str">
        <f t="shared" si="87"/>
        <v/>
      </c>
      <c r="G203" s="3" t="str">
        <f t="shared" si="88"/>
        <v/>
      </c>
      <c r="H203" s="3" t="str">
        <f t="shared" si="76"/>
        <v/>
      </c>
      <c r="I203" s="3" t="str">
        <f t="shared" si="77"/>
        <v/>
      </c>
      <c r="J203" s="2" t="str">
        <f t="shared" si="78"/>
        <v/>
      </c>
      <c r="K203" s="2" t="str">
        <f>IF(W203="","",LOOKUP('Extraction edi'!J203,Paramètrage!$A$6:$A$179,Paramètrage!$B$6:$B$179))</f>
        <v/>
      </c>
      <c r="L203" s="2" t="str">
        <f>IF(W203="","",LOOKUP('Extraction edi'!J203,Paramètrage!$A$6:$A$179,Paramètrage!$C$6:$C$179))</f>
        <v/>
      </c>
      <c r="M203" s="2" t="str">
        <f>IF(W203="","",LOOKUP('Extraction edi'!J203,Paramètrage!$A$6:$A$179,Paramètrage!$D$6:$D$179))</f>
        <v/>
      </c>
      <c r="N203" s="3" t="str">
        <f>IF(W203="","",LOOKUP('Extraction edi'!J203,Paramètrage!$A$6:$A$179,Paramètrage!$E$6:$E$179))</f>
        <v/>
      </c>
      <c r="O203" s="3" t="str">
        <f t="shared" si="79"/>
        <v/>
      </c>
      <c r="P203" s="3" t="str">
        <f t="shared" si="80"/>
        <v/>
      </c>
      <c r="Q203" s="3" t="str">
        <f t="shared" si="73"/>
        <v/>
      </c>
      <c r="R203" s="3" t="str">
        <f t="shared" si="81"/>
        <v/>
      </c>
      <c r="S203" s="3" t="str">
        <f t="shared" si="82"/>
        <v/>
      </c>
      <c r="T203" s="4" t="str">
        <f t="shared" si="83"/>
        <v/>
      </c>
      <c r="U203" s="5" t="str">
        <f t="shared" si="84"/>
        <v/>
      </c>
      <c r="V203" s="7" t="str">
        <f>IF(W203="","",IF(LOOKUP(W203,'Extration 3E date commande'!$A$6:$A$10000)=W203,LOOKUP(W203,'Extration 3E date commande'!$A$6:$A$10000,'Extration 3E date commande'!$C$6:$C$10000),"PAS DE DATE"))</f>
        <v/>
      </c>
    </row>
    <row r="204" spans="1:22" x14ac:dyDescent="0.25">
      <c r="A204" s="3" t="str">
        <f t="shared" si="74"/>
        <v/>
      </c>
      <c r="B204" s="3" t="str">
        <f t="shared" si="75"/>
        <v/>
      </c>
      <c r="C204" s="3" t="str">
        <f t="shared" si="89"/>
        <v/>
      </c>
      <c r="D204" s="3" t="str">
        <f t="shared" si="85"/>
        <v/>
      </c>
      <c r="E204" s="3" t="str">
        <f t="shared" si="86"/>
        <v/>
      </c>
      <c r="F204" s="3" t="str">
        <f t="shared" si="87"/>
        <v/>
      </c>
      <c r="G204" s="3" t="str">
        <f t="shared" si="88"/>
        <v/>
      </c>
      <c r="H204" s="3" t="str">
        <f t="shared" si="76"/>
        <v/>
      </c>
      <c r="I204" s="3" t="str">
        <f t="shared" si="77"/>
        <v/>
      </c>
      <c r="J204" s="2" t="str">
        <f t="shared" si="78"/>
        <v/>
      </c>
      <c r="K204" s="2" t="str">
        <f>IF(W204="","",LOOKUP('Extraction edi'!J204,Paramètrage!$A$6:$A$179,Paramètrage!$B$6:$B$179))</f>
        <v/>
      </c>
      <c r="L204" s="2" t="str">
        <f>IF(W204="","",LOOKUP('Extraction edi'!J204,Paramètrage!$A$6:$A$179,Paramètrage!$C$6:$C$179))</f>
        <v/>
      </c>
      <c r="M204" s="2" t="str">
        <f>IF(W204="","",LOOKUP('Extraction edi'!J204,Paramètrage!$A$6:$A$179,Paramètrage!$D$6:$D$179))</f>
        <v/>
      </c>
      <c r="N204" s="3" t="str">
        <f>IF(W204="","",LOOKUP('Extraction edi'!J204,Paramètrage!$A$6:$A$179,Paramètrage!$E$6:$E$179))</f>
        <v/>
      </c>
      <c r="O204" s="3" t="str">
        <f t="shared" si="79"/>
        <v/>
      </c>
      <c r="P204" s="3" t="str">
        <f t="shared" si="80"/>
        <v/>
      </c>
      <c r="Q204" s="3" t="str">
        <f t="shared" si="73"/>
        <v/>
      </c>
      <c r="R204" s="3" t="str">
        <f t="shared" si="81"/>
        <v/>
      </c>
      <c r="S204" s="3" t="str">
        <f t="shared" si="82"/>
        <v/>
      </c>
      <c r="T204" s="4" t="str">
        <f t="shared" si="83"/>
        <v/>
      </c>
      <c r="U204" s="5" t="str">
        <f t="shared" si="84"/>
        <v/>
      </c>
      <c r="V204" s="7" t="str">
        <f>IF(W204="","",IF(LOOKUP(W204,'Extration 3E date commande'!$A$6:$A$10000)=W204,LOOKUP(W204,'Extration 3E date commande'!$A$6:$A$10000,'Extration 3E date commande'!$C$6:$C$10000),"PAS DE DATE"))</f>
        <v/>
      </c>
    </row>
    <row r="205" spans="1:22" x14ac:dyDescent="0.25">
      <c r="A205" s="3" t="str">
        <f t="shared" si="74"/>
        <v/>
      </c>
      <c r="B205" s="3" t="str">
        <f t="shared" si="75"/>
        <v/>
      </c>
      <c r="C205" s="3" t="str">
        <f t="shared" si="89"/>
        <v/>
      </c>
      <c r="D205" s="3" t="str">
        <f t="shared" si="85"/>
        <v/>
      </c>
      <c r="E205" s="3" t="str">
        <f t="shared" si="86"/>
        <v/>
      </c>
      <c r="F205" s="3" t="str">
        <f t="shared" si="87"/>
        <v/>
      </c>
      <c r="G205" s="3" t="str">
        <f t="shared" si="88"/>
        <v/>
      </c>
      <c r="H205" s="3" t="str">
        <f t="shared" si="76"/>
        <v/>
      </c>
      <c r="I205" s="3" t="str">
        <f t="shared" si="77"/>
        <v/>
      </c>
      <c r="J205" s="2" t="str">
        <f t="shared" si="78"/>
        <v/>
      </c>
      <c r="K205" s="2" t="str">
        <f>IF(W205="","",LOOKUP('Extraction edi'!J205,Paramètrage!$A$6:$A$179,Paramètrage!$B$6:$B$179))</f>
        <v/>
      </c>
      <c r="L205" s="2" t="str">
        <f>IF(W205="","",LOOKUP('Extraction edi'!J205,Paramètrage!$A$6:$A$179,Paramètrage!$C$6:$C$179))</f>
        <v/>
      </c>
      <c r="M205" s="2" t="str">
        <f>IF(W205="","",LOOKUP('Extraction edi'!J205,Paramètrage!$A$6:$A$179,Paramètrage!$D$6:$D$179))</f>
        <v/>
      </c>
      <c r="N205" s="3" t="str">
        <f>IF(W205="","",LOOKUP('Extraction edi'!J205,Paramètrage!$A$6:$A$179,Paramètrage!$E$6:$E$179))</f>
        <v/>
      </c>
      <c r="O205" s="3" t="str">
        <f t="shared" si="79"/>
        <v/>
      </c>
      <c r="P205" s="3" t="str">
        <f t="shared" si="80"/>
        <v/>
      </c>
      <c r="Q205" s="3" t="str">
        <f t="shared" si="73"/>
        <v/>
      </c>
      <c r="R205" s="3" t="str">
        <f t="shared" si="81"/>
        <v/>
      </c>
      <c r="S205" s="3" t="str">
        <f t="shared" si="82"/>
        <v/>
      </c>
      <c r="T205" s="4" t="str">
        <f t="shared" si="83"/>
        <v/>
      </c>
      <c r="U205" s="5" t="str">
        <f t="shared" si="84"/>
        <v/>
      </c>
      <c r="V205" s="7" t="str">
        <f>IF(W205="","",IF(LOOKUP(W205,'Extration 3E date commande'!$A$6:$A$10000)=W205,LOOKUP(W205,'Extration 3E date commande'!$A$6:$A$10000,'Extration 3E date commande'!$C$6:$C$10000),"PAS DE DATE"))</f>
        <v/>
      </c>
    </row>
    <row r="206" spans="1:22" x14ac:dyDescent="0.25">
      <c r="A206" s="3" t="str">
        <f t="shared" si="74"/>
        <v/>
      </c>
      <c r="B206" s="3" t="str">
        <f t="shared" si="75"/>
        <v/>
      </c>
      <c r="C206" s="3" t="str">
        <f t="shared" si="89"/>
        <v/>
      </c>
      <c r="D206" s="3" t="str">
        <f t="shared" si="85"/>
        <v/>
      </c>
      <c r="E206" s="3" t="str">
        <f t="shared" si="86"/>
        <v/>
      </c>
      <c r="F206" s="3" t="str">
        <f t="shared" si="87"/>
        <v/>
      </c>
      <c r="G206" s="3" t="str">
        <f t="shared" si="88"/>
        <v/>
      </c>
      <c r="H206" s="3" t="str">
        <f t="shared" si="76"/>
        <v/>
      </c>
      <c r="I206" s="3" t="str">
        <f t="shared" si="77"/>
        <v/>
      </c>
      <c r="J206" s="2" t="str">
        <f t="shared" si="78"/>
        <v/>
      </c>
      <c r="K206" s="2" t="str">
        <f>IF(W206="","",LOOKUP('Extraction edi'!J206,Paramètrage!$A$6:$A$179,Paramètrage!$B$6:$B$179))</f>
        <v/>
      </c>
      <c r="L206" s="2" t="str">
        <f>IF(W206="","",LOOKUP('Extraction edi'!J206,Paramètrage!$A$6:$A$179,Paramètrage!$C$6:$C$179))</f>
        <v/>
      </c>
      <c r="M206" s="2" t="str">
        <f>IF(W206="","",LOOKUP('Extraction edi'!J206,Paramètrage!$A$6:$A$179,Paramètrage!$D$6:$D$179))</f>
        <v/>
      </c>
      <c r="N206" s="3" t="str">
        <f>IF(W206="","",LOOKUP('Extraction edi'!J206,Paramètrage!$A$6:$A$179,Paramètrage!$E$6:$E$179))</f>
        <v/>
      </c>
      <c r="O206" s="3" t="str">
        <f t="shared" si="79"/>
        <v/>
      </c>
      <c r="P206" s="3" t="str">
        <f t="shared" si="80"/>
        <v/>
      </c>
      <c r="Q206" s="3" t="str">
        <f t="shared" si="73"/>
        <v/>
      </c>
      <c r="R206" s="3" t="str">
        <f t="shared" si="81"/>
        <v/>
      </c>
      <c r="S206" s="3" t="str">
        <f t="shared" si="82"/>
        <v/>
      </c>
      <c r="T206" s="4" t="str">
        <f t="shared" si="83"/>
        <v/>
      </c>
      <c r="U206" s="5" t="str">
        <f t="shared" si="84"/>
        <v/>
      </c>
      <c r="V206" s="7" t="str">
        <f>IF(W206="","",IF(LOOKUP(W206,'Extration 3E date commande'!$A$6:$A$10000)=W206,LOOKUP(W206,'Extration 3E date commande'!$A$6:$A$10000,'Extration 3E date commande'!$C$6:$C$10000),"PAS DE DATE"))</f>
        <v/>
      </c>
    </row>
    <row r="207" spans="1:22" x14ac:dyDescent="0.25">
      <c r="A207" s="3" t="str">
        <f t="shared" si="74"/>
        <v/>
      </c>
      <c r="B207" s="3" t="str">
        <f t="shared" si="75"/>
        <v/>
      </c>
      <c r="C207" s="3" t="str">
        <f t="shared" si="89"/>
        <v/>
      </c>
      <c r="D207" s="3" t="str">
        <f t="shared" si="85"/>
        <v/>
      </c>
      <c r="E207" s="3" t="str">
        <f t="shared" si="86"/>
        <v/>
      </c>
      <c r="F207" s="3" t="str">
        <f t="shared" si="87"/>
        <v/>
      </c>
      <c r="G207" s="3" t="str">
        <f t="shared" si="88"/>
        <v/>
      </c>
      <c r="H207" s="3" t="str">
        <f t="shared" si="76"/>
        <v/>
      </c>
      <c r="I207" s="3" t="str">
        <f t="shared" si="77"/>
        <v/>
      </c>
      <c r="J207" s="2" t="str">
        <f t="shared" si="78"/>
        <v/>
      </c>
      <c r="K207" s="2" t="str">
        <f>IF(W207="","",LOOKUP('Extraction edi'!J207,Paramètrage!$A$6:$A$179,Paramètrage!$B$6:$B$179))</f>
        <v/>
      </c>
      <c r="L207" s="2" t="str">
        <f>IF(W207="","",LOOKUP('Extraction edi'!J207,Paramètrage!$A$6:$A$179,Paramètrage!$C$6:$C$179))</f>
        <v/>
      </c>
      <c r="M207" s="2" t="str">
        <f>IF(W207="","",LOOKUP('Extraction edi'!J207,Paramètrage!$A$6:$A$179,Paramètrage!$D$6:$D$179))</f>
        <v/>
      </c>
      <c r="N207" s="3" t="str">
        <f>IF(W207="","",LOOKUP('Extraction edi'!J207,Paramètrage!$A$6:$A$179,Paramètrage!$E$6:$E$179))</f>
        <v/>
      </c>
      <c r="O207" s="3" t="str">
        <f t="shared" si="79"/>
        <v/>
      </c>
      <c r="P207" s="3" t="str">
        <f t="shared" si="80"/>
        <v/>
      </c>
      <c r="Q207" s="3" t="str">
        <f t="shared" ref="Q207:Q270" si="90">IF(ISERROR(SEARCH("laq",J207))=FALSE,"laquage RAL :",IF(ISERROR(SEARCH("lq",J207))=FALSE,"laquage RAL :",IF(ISERROR(SEARCH("ANO",J206))=FALSE,"laquage RAL :",IF(ISERROR(SEARCH("IVOI",J207)),"","laquage RAL :"))))</f>
        <v/>
      </c>
      <c r="R207" s="3" t="str">
        <f t="shared" si="81"/>
        <v/>
      </c>
      <c r="S207" s="3" t="str">
        <f t="shared" si="82"/>
        <v/>
      </c>
      <c r="T207" s="4" t="str">
        <f t="shared" si="83"/>
        <v/>
      </c>
      <c r="U207" s="5" t="str">
        <f t="shared" si="84"/>
        <v/>
      </c>
      <c r="V207" s="7" t="str">
        <f>IF(W207="","",IF(LOOKUP(W207,'Extration 3E date commande'!$A$6:$A$10000)=W207,LOOKUP(W207,'Extration 3E date commande'!$A$6:$A$10000,'Extration 3E date commande'!$C$6:$C$10000),"PAS DE DATE"))</f>
        <v/>
      </c>
    </row>
    <row r="208" spans="1:22" x14ac:dyDescent="0.25">
      <c r="A208" s="3" t="str">
        <f t="shared" si="74"/>
        <v/>
      </c>
      <c r="B208" s="3" t="str">
        <f t="shared" si="75"/>
        <v/>
      </c>
      <c r="C208" s="3" t="str">
        <f t="shared" si="89"/>
        <v/>
      </c>
      <c r="D208" s="3" t="str">
        <f t="shared" si="85"/>
        <v/>
      </c>
      <c r="E208" s="3" t="str">
        <f t="shared" si="86"/>
        <v/>
      </c>
      <c r="F208" s="3" t="str">
        <f t="shared" si="87"/>
        <v/>
      </c>
      <c r="G208" s="3" t="str">
        <f t="shared" si="88"/>
        <v/>
      </c>
      <c r="H208" s="3" t="str">
        <f t="shared" si="76"/>
        <v/>
      </c>
      <c r="I208" s="3" t="str">
        <f t="shared" si="77"/>
        <v/>
      </c>
      <c r="J208" s="2" t="str">
        <f t="shared" si="78"/>
        <v/>
      </c>
      <c r="K208" s="2" t="str">
        <f>IF(W208="","",LOOKUP('Extraction edi'!J208,Paramètrage!$A$6:$A$179,Paramètrage!$B$6:$B$179))</f>
        <v/>
      </c>
      <c r="L208" s="2" t="str">
        <f>IF(W208="","",LOOKUP('Extraction edi'!J208,Paramètrage!$A$6:$A$179,Paramètrage!$C$6:$C$179))</f>
        <v/>
      </c>
      <c r="M208" s="2" t="str">
        <f>IF(W208="","",LOOKUP('Extraction edi'!J208,Paramètrage!$A$6:$A$179,Paramètrage!$D$6:$D$179))</f>
        <v/>
      </c>
      <c r="N208" s="3" t="str">
        <f>IF(W208="","",LOOKUP('Extraction edi'!J208,Paramètrage!$A$6:$A$179,Paramètrage!$E$6:$E$179))</f>
        <v/>
      </c>
      <c r="O208" s="3" t="str">
        <f t="shared" si="79"/>
        <v/>
      </c>
      <c r="P208" s="3" t="str">
        <f t="shared" si="80"/>
        <v/>
      </c>
      <c r="Q208" s="3" t="str">
        <f t="shared" si="90"/>
        <v/>
      </c>
      <c r="R208" s="3" t="str">
        <f t="shared" si="81"/>
        <v/>
      </c>
      <c r="S208" s="3" t="str">
        <f t="shared" si="82"/>
        <v/>
      </c>
      <c r="T208" s="4" t="str">
        <f t="shared" si="83"/>
        <v/>
      </c>
      <c r="U208" s="5" t="str">
        <f t="shared" si="84"/>
        <v/>
      </c>
      <c r="V208" s="7" t="str">
        <f>IF(W208="","",IF(LOOKUP(W208,'Extration 3E date commande'!$A$6:$A$10000)=W208,LOOKUP(W208,'Extration 3E date commande'!$A$6:$A$10000,'Extration 3E date commande'!$C$6:$C$10000),"PAS DE DATE"))</f>
        <v/>
      </c>
    </row>
    <row r="209" spans="1:22" x14ac:dyDescent="0.25">
      <c r="A209" s="3" t="str">
        <f t="shared" si="74"/>
        <v/>
      </c>
      <c r="B209" s="3" t="str">
        <f t="shared" si="75"/>
        <v/>
      </c>
      <c r="C209" s="3" t="str">
        <f t="shared" si="89"/>
        <v/>
      </c>
      <c r="D209" s="3" t="str">
        <f t="shared" si="85"/>
        <v/>
      </c>
      <c r="E209" s="3" t="str">
        <f t="shared" si="86"/>
        <v/>
      </c>
      <c r="F209" s="3" t="str">
        <f t="shared" si="87"/>
        <v/>
      </c>
      <c r="G209" s="3" t="str">
        <f t="shared" si="88"/>
        <v/>
      </c>
      <c r="H209" s="3" t="str">
        <f t="shared" si="76"/>
        <v/>
      </c>
      <c r="I209" s="3" t="str">
        <f t="shared" si="77"/>
        <v/>
      </c>
      <c r="J209" s="2" t="str">
        <f t="shared" si="78"/>
        <v/>
      </c>
      <c r="K209" s="2" t="str">
        <f>IF(W209="","",LOOKUP('Extraction edi'!J209,Paramètrage!$A$6:$A$179,Paramètrage!$B$6:$B$179))</f>
        <v/>
      </c>
      <c r="L209" s="2" t="str">
        <f>IF(W209="","",LOOKUP('Extraction edi'!J209,Paramètrage!$A$6:$A$179,Paramètrage!$C$6:$C$179))</f>
        <v/>
      </c>
      <c r="M209" s="2" t="str">
        <f>IF(W209="","",LOOKUP('Extraction edi'!J209,Paramètrage!$A$6:$A$179,Paramètrage!$D$6:$D$179))</f>
        <v/>
      </c>
      <c r="N209" s="3" t="str">
        <f>IF(W209="","",LOOKUP('Extraction edi'!J209,Paramètrage!$A$6:$A$179,Paramètrage!$E$6:$E$179))</f>
        <v/>
      </c>
      <c r="O209" s="3" t="str">
        <f t="shared" si="79"/>
        <v/>
      </c>
      <c r="P209" s="3" t="str">
        <f t="shared" si="80"/>
        <v/>
      </c>
      <c r="Q209" s="3" t="str">
        <f t="shared" si="90"/>
        <v/>
      </c>
      <c r="R209" s="3" t="str">
        <f t="shared" si="81"/>
        <v/>
      </c>
      <c r="S209" s="3" t="str">
        <f t="shared" si="82"/>
        <v/>
      </c>
      <c r="T209" s="4" t="str">
        <f t="shared" si="83"/>
        <v/>
      </c>
      <c r="U209" s="5" t="str">
        <f t="shared" si="84"/>
        <v/>
      </c>
      <c r="V209" s="7" t="str">
        <f>IF(W209="","",IF(LOOKUP(W209,'Extration 3E date commande'!$A$6:$A$10000)=W209,LOOKUP(W209,'Extration 3E date commande'!$A$6:$A$10000,'Extration 3E date commande'!$C$6:$C$10000),"PAS DE DATE"))</f>
        <v/>
      </c>
    </row>
    <row r="210" spans="1:22" x14ac:dyDescent="0.25">
      <c r="A210" s="3" t="str">
        <f t="shared" si="74"/>
        <v/>
      </c>
      <c r="B210" s="3" t="str">
        <f t="shared" si="75"/>
        <v/>
      </c>
      <c r="C210" s="3" t="str">
        <f t="shared" si="89"/>
        <v/>
      </c>
      <c r="D210" s="3" t="str">
        <f t="shared" si="85"/>
        <v/>
      </c>
      <c r="E210" s="3" t="str">
        <f t="shared" si="86"/>
        <v/>
      </c>
      <c r="F210" s="3" t="str">
        <f t="shared" si="87"/>
        <v/>
      </c>
      <c r="G210" s="3" t="str">
        <f t="shared" si="88"/>
        <v/>
      </c>
      <c r="H210" s="3" t="str">
        <f t="shared" si="76"/>
        <v/>
      </c>
      <c r="I210" s="3" t="str">
        <f t="shared" si="77"/>
        <v/>
      </c>
      <c r="J210" s="2" t="str">
        <f t="shared" si="78"/>
        <v/>
      </c>
      <c r="K210" s="2" t="str">
        <f>IF(W210="","",LOOKUP('Extraction edi'!J210,Paramètrage!$A$6:$A$179,Paramètrage!$B$6:$B$179))</f>
        <v/>
      </c>
      <c r="L210" s="2" t="str">
        <f>IF(W210="","",LOOKUP('Extraction edi'!J210,Paramètrage!$A$6:$A$179,Paramètrage!$C$6:$C$179))</f>
        <v/>
      </c>
      <c r="M210" s="2" t="str">
        <f>IF(W210="","",LOOKUP('Extraction edi'!J210,Paramètrage!$A$6:$A$179,Paramètrage!$D$6:$D$179))</f>
        <v/>
      </c>
      <c r="N210" s="3" t="str">
        <f>IF(W210="","",LOOKUP('Extraction edi'!J210,Paramètrage!$A$6:$A$179,Paramètrage!$E$6:$E$179))</f>
        <v/>
      </c>
      <c r="O210" s="3" t="str">
        <f t="shared" si="79"/>
        <v/>
      </c>
      <c r="P210" s="3" t="str">
        <f t="shared" si="80"/>
        <v/>
      </c>
      <c r="Q210" s="3" t="str">
        <f t="shared" si="90"/>
        <v/>
      </c>
      <c r="R210" s="3" t="str">
        <f t="shared" si="81"/>
        <v/>
      </c>
      <c r="S210" s="3" t="str">
        <f t="shared" si="82"/>
        <v/>
      </c>
      <c r="T210" s="4" t="str">
        <f t="shared" si="83"/>
        <v/>
      </c>
      <c r="U210" s="5" t="str">
        <f t="shared" si="84"/>
        <v/>
      </c>
      <c r="V210" s="7" t="str">
        <f>IF(W210="","",IF(LOOKUP(W210,'Extration 3E date commande'!$A$6:$A$10000)=W210,LOOKUP(W210,'Extration 3E date commande'!$A$6:$A$10000,'Extration 3E date commande'!$C$6:$C$10000),"PAS DE DATE"))</f>
        <v/>
      </c>
    </row>
    <row r="211" spans="1:22" x14ac:dyDescent="0.25">
      <c r="A211" s="3" t="str">
        <f t="shared" si="74"/>
        <v/>
      </c>
      <c r="B211" s="3" t="str">
        <f t="shared" si="75"/>
        <v/>
      </c>
      <c r="C211" s="3" t="str">
        <f t="shared" si="89"/>
        <v/>
      </c>
      <c r="D211" s="3" t="str">
        <f t="shared" si="85"/>
        <v/>
      </c>
      <c r="E211" s="3" t="str">
        <f t="shared" si="86"/>
        <v/>
      </c>
      <c r="F211" s="3" t="str">
        <f t="shared" si="87"/>
        <v/>
      </c>
      <c r="G211" s="3" t="str">
        <f t="shared" si="88"/>
        <v/>
      </c>
      <c r="H211" s="3" t="str">
        <f t="shared" si="76"/>
        <v/>
      </c>
      <c r="I211" s="3" t="str">
        <f t="shared" si="77"/>
        <v/>
      </c>
      <c r="J211" s="2" t="str">
        <f t="shared" si="78"/>
        <v/>
      </c>
      <c r="K211" s="2" t="str">
        <f>IF(W211="","",LOOKUP('Extraction edi'!J211,Paramètrage!$A$6:$A$179,Paramètrage!$B$6:$B$179))</f>
        <v/>
      </c>
      <c r="L211" s="2" t="str">
        <f>IF(W211="","",LOOKUP('Extraction edi'!J211,Paramètrage!$A$6:$A$179,Paramètrage!$C$6:$C$179))</f>
        <v/>
      </c>
      <c r="M211" s="2" t="str">
        <f>IF(W211="","",LOOKUP('Extraction edi'!J211,Paramètrage!$A$6:$A$179,Paramètrage!$D$6:$D$179))</f>
        <v/>
      </c>
      <c r="N211" s="3" t="str">
        <f>IF(W211="","",LOOKUP('Extraction edi'!J211,Paramètrage!$A$6:$A$179,Paramètrage!$E$6:$E$179))</f>
        <v/>
      </c>
      <c r="O211" s="3" t="str">
        <f t="shared" si="79"/>
        <v/>
      </c>
      <c r="P211" s="3" t="str">
        <f t="shared" si="80"/>
        <v/>
      </c>
      <c r="Q211" s="3" t="str">
        <f t="shared" si="90"/>
        <v/>
      </c>
      <c r="R211" s="3" t="str">
        <f t="shared" si="81"/>
        <v/>
      </c>
      <c r="S211" s="3" t="str">
        <f t="shared" si="82"/>
        <v/>
      </c>
      <c r="T211" s="4" t="str">
        <f t="shared" si="83"/>
        <v/>
      </c>
      <c r="U211" s="5" t="str">
        <f t="shared" si="84"/>
        <v/>
      </c>
      <c r="V211" s="7" t="str">
        <f>IF(W211="","",IF(LOOKUP(W211,'Extration 3E date commande'!$A$6:$A$10000)=W211,LOOKUP(W211,'Extration 3E date commande'!$A$6:$A$10000,'Extration 3E date commande'!$C$6:$C$10000),"PAS DE DATE"))</f>
        <v/>
      </c>
    </row>
    <row r="212" spans="1:22" x14ac:dyDescent="0.25">
      <c r="A212" s="3" t="str">
        <f t="shared" si="74"/>
        <v/>
      </c>
      <c r="B212" s="3" t="str">
        <f t="shared" si="75"/>
        <v/>
      </c>
      <c r="C212" s="3" t="str">
        <f t="shared" si="89"/>
        <v/>
      </c>
      <c r="D212" s="3" t="str">
        <f t="shared" si="85"/>
        <v/>
      </c>
      <c r="E212" s="3" t="str">
        <f t="shared" si="86"/>
        <v/>
      </c>
      <c r="F212" s="3" t="str">
        <f t="shared" si="87"/>
        <v/>
      </c>
      <c r="G212" s="3" t="str">
        <f t="shared" si="88"/>
        <v/>
      </c>
      <c r="H212" s="3" t="str">
        <f t="shared" si="76"/>
        <v/>
      </c>
      <c r="I212" s="3" t="str">
        <f t="shared" si="77"/>
        <v/>
      </c>
      <c r="J212" s="2" t="str">
        <f t="shared" si="78"/>
        <v/>
      </c>
      <c r="K212" s="2" t="str">
        <f>IF(W212="","",LOOKUP('Extraction edi'!J212,Paramètrage!$A$6:$A$179,Paramètrage!$B$6:$B$179))</f>
        <v/>
      </c>
      <c r="L212" s="2" t="str">
        <f>IF(W212="","",LOOKUP('Extraction edi'!J212,Paramètrage!$A$6:$A$179,Paramètrage!$C$6:$C$179))</f>
        <v/>
      </c>
      <c r="M212" s="2" t="str">
        <f>IF(W212="","",LOOKUP('Extraction edi'!J212,Paramètrage!$A$6:$A$179,Paramètrage!$D$6:$D$179))</f>
        <v/>
      </c>
      <c r="N212" s="3" t="str">
        <f>IF(W212="","",LOOKUP('Extraction edi'!J212,Paramètrage!$A$6:$A$179,Paramètrage!$E$6:$E$179))</f>
        <v/>
      </c>
      <c r="O212" s="3" t="str">
        <f t="shared" si="79"/>
        <v/>
      </c>
      <c r="P212" s="3" t="str">
        <f t="shared" si="80"/>
        <v/>
      </c>
      <c r="Q212" s="3" t="str">
        <f t="shared" si="90"/>
        <v/>
      </c>
      <c r="R212" s="3" t="str">
        <f t="shared" si="81"/>
        <v/>
      </c>
      <c r="S212" s="3" t="str">
        <f t="shared" si="82"/>
        <v/>
      </c>
      <c r="T212" s="4" t="str">
        <f t="shared" si="83"/>
        <v/>
      </c>
      <c r="U212" s="5" t="str">
        <f t="shared" si="84"/>
        <v/>
      </c>
      <c r="V212" s="7" t="str">
        <f>IF(W212="","",IF(LOOKUP(W212,'Extration 3E date commande'!$A$6:$A$10000)=W212,LOOKUP(W212,'Extration 3E date commande'!$A$6:$A$10000,'Extration 3E date commande'!$C$6:$C$10000),"PAS DE DATE"))</f>
        <v/>
      </c>
    </row>
    <row r="213" spans="1:22" x14ac:dyDescent="0.25">
      <c r="A213" s="3" t="str">
        <f t="shared" si="74"/>
        <v/>
      </c>
      <c r="B213" s="3" t="str">
        <f t="shared" si="75"/>
        <v/>
      </c>
      <c r="C213" s="3" t="str">
        <f t="shared" si="89"/>
        <v/>
      </c>
      <c r="D213" s="3" t="str">
        <f t="shared" si="85"/>
        <v/>
      </c>
      <c r="E213" s="3" t="str">
        <f t="shared" si="86"/>
        <v/>
      </c>
      <c r="F213" s="3" t="str">
        <f t="shared" si="87"/>
        <v/>
      </c>
      <c r="G213" s="3" t="str">
        <f t="shared" si="88"/>
        <v/>
      </c>
      <c r="H213" s="3" t="str">
        <f t="shared" si="76"/>
        <v/>
      </c>
      <c r="I213" s="3" t="str">
        <f t="shared" si="77"/>
        <v/>
      </c>
      <c r="J213" s="2" t="str">
        <f t="shared" si="78"/>
        <v/>
      </c>
      <c r="K213" s="2" t="str">
        <f>IF(W213="","",LOOKUP('Extraction edi'!J213,Paramètrage!$A$6:$A$179,Paramètrage!$B$6:$B$179))</f>
        <v/>
      </c>
      <c r="L213" s="2" t="str">
        <f>IF(W213="","",LOOKUP('Extraction edi'!J213,Paramètrage!$A$6:$A$179,Paramètrage!$C$6:$C$179))</f>
        <v/>
      </c>
      <c r="M213" s="2" t="str">
        <f>IF(W213="","",LOOKUP('Extraction edi'!J213,Paramètrage!$A$6:$A$179,Paramètrage!$D$6:$D$179))</f>
        <v/>
      </c>
      <c r="N213" s="3" t="str">
        <f>IF(W213="","",LOOKUP('Extraction edi'!J213,Paramètrage!$A$6:$A$179,Paramètrage!$E$6:$E$179))</f>
        <v/>
      </c>
      <c r="O213" s="3" t="str">
        <f t="shared" si="79"/>
        <v/>
      </c>
      <c r="P213" s="3" t="str">
        <f t="shared" si="80"/>
        <v/>
      </c>
      <c r="Q213" s="3" t="str">
        <f t="shared" si="90"/>
        <v/>
      </c>
      <c r="R213" s="3" t="str">
        <f t="shared" si="81"/>
        <v/>
      </c>
      <c r="S213" s="3" t="str">
        <f t="shared" si="82"/>
        <v/>
      </c>
      <c r="T213" s="4" t="str">
        <f t="shared" si="83"/>
        <v/>
      </c>
      <c r="U213" s="5" t="str">
        <f t="shared" si="84"/>
        <v/>
      </c>
      <c r="V213" s="7" t="str">
        <f>IF(W213="","",IF(LOOKUP(W213,'Extration 3E date commande'!$A$6:$A$10000)=W213,LOOKUP(W213,'Extration 3E date commande'!$A$6:$A$10000,'Extration 3E date commande'!$C$6:$C$10000),"PAS DE DATE"))</f>
        <v/>
      </c>
    </row>
    <row r="214" spans="1:22" x14ac:dyDescent="0.25">
      <c r="A214" s="3" t="str">
        <f t="shared" ref="A214:A277" si="91">IF(W214="","",LEFT(W214,7))</f>
        <v/>
      </c>
      <c r="B214" s="3" t="str">
        <f t="shared" ref="B214:B277" si="92">IF(W214="","",RIGHT(W214,3))</f>
        <v/>
      </c>
      <c r="C214" s="3" t="str">
        <f t="shared" si="89"/>
        <v/>
      </c>
      <c r="D214" s="3" t="str">
        <f t="shared" si="85"/>
        <v/>
      </c>
      <c r="E214" s="3" t="str">
        <f t="shared" si="86"/>
        <v/>
      </c>
      <c r="F214" s="3" t="str">
        <f t="shared" si="87"/>
        <v/>
      </c>
      <c r="G214" s="3" t="str">
        <f t="shared" si="88"/>
        <v/>
      </c>
      <c r="H214" s="3" t="str">
        <f t="shared" ref="H214:H277" si="93">IF(W214="","",X214)</f>
        <v/>
      </c>
      <c r="I214" s="3" t="str">
        <f t="shared" ref="I214:I277" si="94">IF(W214="","",Z214)</f>
        <v/>
      </c>
      <c r="J214" s="2" t="str">
        <f t="shared" ref="J214:J277" si="95">IF(W214="","",IF(AND(T214=FALSE,T213=FALSE,T212=FALSE,T211=FALSE,T210=FALSE),AA209,IF(AND(T214=FALSE,T213=FALSE,T212=FALSE,T211=FALSE),AA210,IF(AND(T214=FALSE,T213=FALSE,T212=FALSE),AA211,IF(AND(T214=FALSE,T213=FALSE),AA212,IF(T214=FALSE,AA213,AA214))))))</f>
        <v/>
      </c>
      <c r="K214" s="2" t="str">
        <f>IF(W214="","",LOOKUP('Extraction edi'!J214,Paramètrage!$A$6:$A$179,Paramètrage!$B$6:$B$179))</f>
        <v/>
      </c>
      <c r="L214" s="2" t="str">
        <f>IF(W214="","",LOOKUP('Extraction edi'!J214,Paramètrage!$A$6:$A$179,Paramètrage!$C$6:$C$179))</f>
        <v/>
      </c>
      <c r="M214" s="2" t="str">
        <f>IF(W214="","",LOOKUP('Extraction edi'!J214,Paramètrage!$A$6:$A$179,Paramètrage!$D$6:$D$179))</f>
        <v/>
      </c>
      <c r="N214" s="3" t="str">
        <f>IF(W214="","",LOOKUP('Extraction edi'!J214,Paramètrage!$A$6:$A$179,Paramètrage!$E$6:$E$179))</f>
        <v/>
      </c>
      <c r="O214" s="3" t="str">
        <f t="shared" ref="O214:O277" si="96">IF(W214="","",IF(LEFT(AA214,4)="soub",AB214,IF(LEFT(AA214,3)="cim",AB214,AA214)))</f>
        <v/>
      </c>
      <c r="P214" s="3" t="str">
        <f t="shared" ref="P214:P277" si="97">IF(LEFT(U214,1)="N",SUBSTITUTE(AB214,"*",""),IF(LEFT(U214,1)="S",SUBSTITUTE(AB214,"*",""),IF(LEFT(U214,1)="G",SUBSTITUTE(AB214,"*",""),IF(LEN(U214)=11,SUBSTITUTE(AB214,"*",""),U214))))</f>
        <v/>
      </c>
      <c r="Q214" s="3" t="str">
        <f t="shared" si="90"/>
        <v/>
      </c>
      <c r="R214" s="3" t="str">
        <f t="shared" ref="R214:R277" si="98">IF(W214="","",IF(RIGHT(L214,7)="RAL9001",L214,IF(LEFT(AE214,1)="N",AE214,IF(LEFT(AE214,1)="S",AE214,IF(LEFT(AE214,1)="G",AE214,"")))))</f>
        <v/>
      </c>
      <c r="S214" s="3" t="str">
        <f t="shared" ref="S214:S277" si="99">IF(W214="","",IF(RIGHT(M214,7)="RAL9001",M214,IF(LEFT(AC214,1)="N",AC214,IF(LEFT(AC214,1)="S",AC214,IF(LEFT(AC214,1)="G",AC214,IF(LEFT(AD214,1)="N",AD214,IF(LEFT(AD214,1)="S",AD214,IF(LEFT(AD214,1)="G",AD214,""))))))))</f>
        <v/>
      </c>
      <c r="T214" s="4" t="str">
        <f t="shared" ref="T214:T277" si="100">IF(W214="","",IF(LEFT(AA214,4)&lt;&gt;"soub",IF(LEFT(AA214,3)&lt;&gt;"cim"=FALSE,AA214),AA214))</f>
        <v/>
      </c>
      <c r="U214" s="5" t="str">
        <f t="shared" ref="U214:U277" si="101">SUBSTITUTE(AC214,"*","")</f>
        <v/>
      </c>
      <c r="V214" s="7" t="str">
        <f>IF(W214="","",IF(LOOKUP(W214,'Extration 3E date commande'!$A$6:$A$10000)=W214,LOOKUP(W214,'Extration 3E date commande'!$A$6:$A$10000,'Extration 3E date commande'!$C$6:$C$10000),"PAS DE DATE"))</f>
        <v/>
      </c>
    </row>
    <row r="215" spans="1:22" x14ac:dyDescent="0.25">
      <c r="A215" s="3" t="str">
        <f t="shared" si="91"/>
        <v/>
      </c>
      <c r="B215" s="3" t="str">
        <f t="shared" si="92"/>
        <v/>
      </c>
      <c r="C215" s="3" t="str">
        <f t="shared" si="89"/>
        <v/>
      </c>
      <c r="D215" s="3" t="str">
        <f t="shared" si="85"/>
        <v/>
      </c>
      <c r="E215" s="3" t="str">
        <f t="shared" si="86"/>
        <v/>
      </c>
      <c r="F215" s="3" t="str">
        <f t="shared" si="87"/>
        <v/>
      </c>
      <c r="G215" s="3" t="str">
        <f t="shared" si="88"/>
        <v/>
      </c>
      <c r="H215" s="3" t="str">
        <f t="shared" si="93"/>
        <v/>
      </c>
      <c r="I215" s="3" t="str">
        <f t="shared" si="94"/>
        <v/>
      </c>
      <c r="J215" s="2" t="str">
        <f t="shared" si="95"/>
        <v/>
      </c>
      <c r="K215" s="2" t="str">
        <f>IF(W215="","",LOOKUP('Extraction edi'!J215,Paramètrage!$A$6:$A$179,Paramètrage!$B$6:$B$179))</f>
        <v/>
      </c>
      <c r="L215" s="2" t="str">
        <f>IF(W215="","",LOOKUP('Extraction edi'!J215,Paramètrage!$A$6:$A$179,Paramètrage!$C$6:$C$179))</f>
        <v/>
      </c>
      <c r="M215" s="2" t="str">
        <f>IF(W215="","",LOOKUP('Extraction edi'!J215,Paramètrage!$A$6:$A$179,Paramètrage!$D$6:$D$179))</f>
        <v/>
      </c>
      <c r="N215" s="3" t="str">
        <f>IF(W215="","",LOOKUP('Extraction edi'!J215,Paramètrage!$A$6:$A$179,Paramètrage!$E$6:$E$179))</f>
        <v/>
      </c>
      <c r="O215" s="3" t="str">
        <f t="shared" si="96"/>
        <v/>
      </c>
      <c r="P215" s="3" t="str">
        <f t="shared" si="97"/>
        <v/>
      </c>
      <c r="Q215" s="3" t="str">
        <f t="shared" si="90"/>
        <v/>
      </c>
      <c r="R215" s="3" t="str">
        <f t="shared" si="98"/>
        <v/>
      </c>
      <c r="S215" s="3" t="str">
        <f t="shared" si="99"/>
        <v/>
      </c>
      <c r="T215" s="4" t="str">
        <f t="shared" si="100"/>
        <v/>
      </c>
      <c r="U215" s="5" t="str">
        <f t="shared" si="101"/>
        <v/>
      </c>
      <c r="V215" s="7" t="str">
        <f>IF(W215="","",IF(LOOKUP(W215,'Extration 3E date commande'!$A$6:$A$10000)=W215,LOOKUP(W215,'Extration 3E date commande'!$A$6:$A$10000,'Extration 3E date commande'!$C$6:$C$10000),"PAS DE DATE"))</f>
        <v/>
      </c>
    </row>
    <row r="216" spans="1:22" x14ac:dyDescent="0.25">
      <c r="A216" s="3" t="str">
        <f t="shared" si="91"/>
        <v/>
      </c>
      <c r="B216" s="3" t="str">
        <f t="shared" si="92"/>
        <v/>
      </c>
      <c r="C216" s="3" t="str">
        <f t="shared" si="89"/>
        <v/>
      </c>
      <c r="D216" s="3" t="str">
        <f t="shared" si="85"/>
        <v/>
      </c>
      <c r="E216" s="3" t="str">
        <f t="shared" si="86"/>
        <v/>
      </c>
      <c r="F216" s="3" t="str">
        <f t="shared" si="87"/>
        <v/>
      </c>
      <c r="G216" s="3" t="str">
        <f t="shared" si="88"/>
        <v/>
      </c>
      <c r="H216" s="3" t="str">
        <f t="shared" si="93"/>
        <v/>
      </c>
      <c r="I216" s="3" t="str">
        <f t="shared" si="94"/>
        <v/>
      </c>
      <c r="J216" s="2" t="str">
        <f t="shared" si="95"/>
        <v/>
      </c>
      <c r="K216" s="2" t="str">
        <f>IF(W216="","",LOOKUP('Extraction edi'!J216,Paramètrage!$A$6:$A$179,Paramètrage!$B$6:$B$179))</f>
        <v/>
      </c>
      <c r="L216" s="2" t="str">
        <f>IF(W216="","",LOOKUP('Extraction edi'!J216,Paramètrage!$A$6:$A$179,Paramètrage!$C$6:$C$179))</f>
        <v/>
      </c>
      <c r="M216" s="2" t="str">
        <f>IF(W216="","",LOOKUP('Extraction edi'!J216,Paramètrage!$A$6:$A$179,Paramètrage!$D$6:$D$179))</f>
        <v/>
      </c>
      <c r="N216" s="3" t="str">
        <f>IF(W216="","",LOOKUP('Extraction edi'!J216,Paramètrage!$A$6:$A$179,Paramètrage!$E$6:$E$179))</f>
        <v/>
      </c>
      <c r="O216" s="3" t="str">
        <f t="shared" si="96"/>
        <v/>
      </c>
      <c r="P216" s="3" t="str">
        <f t="shared" si="97"/>
        <v/>
      </c>
      <c r="Q216" s="3" t="str">
        <f t="shared" si="90"/>
        <v/>
      </c>
      <c r="R216" s="3" t="str">
        <f t="shared" si="98"/>
        <v/>
      </c>
      <c r="S216" s="3" t="str">
        <f t="shared" si="99"/>
        <v/>
      </c>
      <c r="T216" s="4" t="str">
        <f t="shared" si="100"/>
        <v/>
      </c>
      <c r="U216" s="5" t="str">
        <f t="shared" si="101"/>
        <v/>
      </c>
      <c r="V216" s="7" t="str">
        <f>IF(W216="","",IF(LOOKUP(W216,'Extration 3E date commande'!$A$6:$A$10000)=W216,LOOKUP(W216,'Extration 3E date commande'!$A$6:$A$10000,'Extration 3E date commande'!$C$6:$C$10000),"PAS DE DATE"))</f>
        <v/>
      </c>
    </row>
    <row r="217" spans="1:22" x14ac:dyDescent="0.25">
      <c r="A217" s="3" t="str">
        <f t="shared" si="91"/>
        <v/>
      </c>
      <c r="B217" s="3" t="str">
        <f t="shared" si="92"/>
        <v/>
      </c>
      <c r="C217" s="3" t="str">
        <f t="shared" si="89"/>
        <v/>
      </c>
      <c r="D217" s="3" t="str">
        <f t="shared" si="85"/>
        <v/>
      </c>
      <c r="E217" s="3" t="str">
        <f t="shared" si="86"/>
        <v/>
      </c>
      <c r="F217" s="3" t="str">
        <f t="shared" si="87"/>
        <v/>
      </c>
      <c r="G217" s="3" t="str">
        <f t="shared" si="88"/>
        <v/>
      </c>
      <c r="H217" s="3" t="str">
        <f t="shared" si="93"/>
        <v/>
      </c>
      <c r="I217" s="3" t="str">
        <f t="shared" si="94"/>
        <v/>
      </c>
      <c r="J217" s="2" t="str">
        <f t="shared" si="95"/>
        <v/>
      </c>
      <c r="K217" s="2" t="str">
        <f>IF(W217="","",LOOKUP('Extraction edi'!J217,Paramètrage!$A$6:$A$179,Paramètrage!$B$6:$B$179))</f>
        <v/>
      </c>
      <c r="L217" s="2" t="str">
        <f>IF(W217="","",LOOKUP('Extraction edi'!J217,Paramètrage!$A$6:$A$179,Paramètrage!$C$6:$C$179))</f>
        <v/>
      </c>
      <c r="M217" s="2" t="str">
        <f>IF(W217="","",LOOKUP('Extraction edi'!J217,Paramètrage!$A$6:$A$179,Paramètrage!$D$6:$D$179))</f>
        <v/>
      </c>
      <c r="N217" s="3" t="str">
        <f>IF(W217="","",LOOKUP('Extraction edi'!J217,Paramètrage!$A$6:$A$179,Paramètrage!$E$6:$E$179))</f>
        <v/>
      </c>
      <c r="O217" s="3" t="str">
        <f t="shared" si="96"/>
        <v/>
      </c>
      <c r="P217" s="3" t="str">
        <f t="shared" si="97"/>
        <v/>
      </c>
      <c r="Q217" s="3" t="str">
        <f t="shared" si="90"/>
        <v/>
      </c>
      <c r="R217" s="3" t="str">
        <f t="shared" si="98"/>
        <v/>
      </c>
      <c r="S217" s="3" t="str">
        <f t="shared" si="99"/>
        <v/>
      </c>
      <c r="T217" s="4" t="str">
        <f t="shared" si="100"/>
        <v/>
      </c>
      <c r="U217" s="5" t="str">
        <f t="shared" si="101"/>
        <v/>
      </c>
      <c r="V217" s="7" t="str">
        <f>IF(W217="","",IF(LOOKUP(W217,'Extration 3E date commande'!$A$6:$A$10000)=W217,LOOKUP(W217,'Extration 3E date commande'!$A$6:$A$10000,'Extration 3E date commande'!$C$6:$C$10000),"PAS DE DATE"))</f>
        <v/>
      </c>
    </row>
    <row r="218" spans="1:22" x14ac:dyDescent="0.25">
      <c r="A218" s="3" t="str">
        <f t="shared" si="91"/>
        <v/>
      </c>
      <c r="B218" s="3" t="str">
        <f t="shared" si="92"/>
        <v/>
      </c>
      <c r="C218" s="3" t="str">
        <f t="shared" si="89"/>
        <v/>
      </c>
      <c r="D218" s="3" t="str">
        <f t="shared" si="85"/>
        <v/>
      </c>
      <c r="E218" s="3" t="str">
        <f t="shared" si="86"/>
        <v/>
      </c>
      <c r="F218" s="3" t="str">
        <f t="shared" si="87"/>
        <v/>
      </c>
      <c r="G218" s="3" t="str">
        <f t="shared" si="88"/>
        <v/>
      </c>
      <c r="H218" s="3" t="str">
        <f t="shared" si="93"/>
        <v/>
      </c>
      <c r="I218" s="3" t="str">
        <f t="shared" si="94"/>
        <v/>
      </c>
      <c r="J218" s="2" t="str">
        <f t="shared" si="95"/>
        <v/>
      </c>
      <c r="K218" s="2" t="str">
        <f>IF(W218="","",LOOKUP('Extraction edi'!J218,Paramètrage!$A$6:$A$179,Paramètrage!$B$6:$B$179))</f>
        <v/>
      </c>
      <c r="L218" s="2" t="str">
        <f>IF(W218="","",LOOKUP('Extraction edi'!J218,Paramètrage!$A$6:$A$179,Paramètrage!$C$6:$C$179))</f>
        <v/>
      </c>
      <c r="M218" s="2" t="str">
        <f>IF(W218="","",LOOKUP('Extraction edi'!J218,Paramètrage!$A$6:$A$179,Paramètrage!$D$6:$D$179))</f>
        <v/>
      </c>
      <c r="N218" s="3" t="str">
        <f>IF(W218="","",LOOKUP('Extraction edi'!J218,Paramètrage!$A$6:$A$179,Paramètrage!$E$6:$E$179))</f>
        <v/>
      </c>
      <c r="O218" s="3" t="str">
        <f t="shared" si="96"/>
        <v/>
      </c>
      <c r="P218" s="3" t="str">
        <f t="shared" si="97"/>
        <v/>
      </c>
      <c r="Q218" s="3" t="str">
        <f t="shared" si="90"/>
        <v/>
      </c>
      <c r="R218" s="3" t="str">
        <f t="shared" si="98"/>
        <v/>
      </c>
      <c r="S218" s="3" t="str">
        <f t="shared" si="99"/>
        <v/>
      </c>
      <c r="T218" s="4" t="str">
        <f t="shared" si="100"/>
        <v/>
      </c>
      <c r="U218" s="5" t="str">
        <f t="shared" si="101"/>
        <v/>
      </c>
      <c r="V218" s="7" t="str">
        <f>IF(W218="","",IF(LOOKUP(W218,'Extration 3E date commande'!$A$6:$A$10000)=W218,LOOKUP(W218,'Extration 3E date commande'!$A$6:$A$10000,'Extration 3E date commande'!$C$6:$C$10000),"PAS DE DATE"))</f>
        <v/>
      </c>
    </row>
    <row r="219" spans="1:22" x14ac:dyDescent="0.25">
      <c r="A219" s="3" t="str">
        <f t="shared" si="91"/>
        <v/>
      </c>
      <c r="B219" s="3" t="str">
        <f t="shared" si="92"/>
        <v/>
      </c>
      <c r="C219" s="3" t="str">
        <f t="shared" si="89"/>
        <v/>
      </c>
      <c r="D219" s="3" t="str">
        <f t="shared" si="85"/>
        <v/>
      </c>
      <c r="E219" s="3" t="str">
        <f t="shared" si="86"/>
        <v/>
      </c>
      <c r="F219" s="3" t="str">
        <f t="shared" si="87"/>
        <v/>
      </c>
      <c r="G219" s="3" t="str">
        <f t="shared" si="88"/>
        <v/>
      </c>
      <c r="H219" s="3" t="str">
        <f t="shared" si="93"/>
        <v/>
      </c>
      <c r="I219" s="3" t="str">
        <f t="shared" si="94"/>
        <v/>
      </c>
      <c r="J219" s="2" t="str">
        <f t="shared" si="95"/>
        <v/>
      </c>
      <c r="K219" s="2" t="str">
        <f>IF(W219="","",LOOKUP('Extraction edi'!J219,Paramètrage!$A$6:$A$179,Paramètrage!$B$6:$B$179))</f>
        <v/>
      </c>
      <c r="L219" s="2" t="str">
        <f>IF(W219="","",LOOKUP('Extraction edi'!J219,Paramètrage!$A$6:$A$179,Paramètrage!$C$6:$C$179))</f>
        <v/>
      </c>
      <c r="M219" s="2" t="str">
        <f>IF(W219="","",LOOKUP('Extraction edi'!J219,Paramètrage!$A$6:$A$179,Paramètrage!$D$6:$D$179))</f>
        <v/>
      </c>
      <c r="N219" s="3" t="str">
        <f>IF(W219="","",LOOKUP('Extraction edi'!J219,Paramètrage!$A$6:$A$179,Paramètrage!$E$6:$E$179))</f>
        <v/>
      </c>
      <c r="O219" s="3" t="str">
        <f t="shared" si="96"/>
        <v/>
      </c>
      <c r="P219" s="3" t="str">
        <f t="shared" si="97"/>
        <v/>
      </c>
      <c r="Q219" s="3" t="str">
        <f t="shared" si="90"/>
        <v/>
      </c>
      <c r="R219" s="3" t="str">
        <f t="shared" si="98"/>
        <v/>
      </c>
      <c r="S219" s="3" t="str">
        <f t="shared" si="99"/>
        <v/>
      </c>
      <c r="T219" s="4" t="str">
        <f t="shared" si="100"/>
        <v/>
      </c>
      <c r="U219" s="5" t="str">
        <f t="shared" si="101"/>
        <v/>
      </c>
      <c r="V219" s="7" t="str">
        <f>IF(W219="","",IF(LOOKUP(W219,'Extration 3E date commande'!$A$6:$A$10000)=W219,LOOKUP(W219,'Extration 3E date commande'!$A$6:$A$10000,'Extration 3E date commande'!$C$6:$C$10000),"PAS DE DATE"))</f>
        <v/>
      </c>
    </row>
    <row r="220" spans="1:22" x14ac:dyDescent="0.25">
      <c r="A220" s="3" t="str">
        <f t="shared" si="91"/>
        <v/>
      </c>
      <c r="B220" s="3" t="str">
        <f t="shared" si="92"/>
        <v/>
      </c>
      <c r="C220" s="3" t="str">
        <f t="shared" si="89"/>
        <v/>
      </c>
      <c r="D220" s="3" t="str">
        <f t="shared" si="85"/>
        <v/>
      </c>
      <c r="E220" s="3" t="str">
        <f t="shared" si="86"/>
        <v/>
      </c>
      <c r="F220" s="3" t="str">
        <f t="shared" si="87"/>
        <v/>
      </c>
      <c r="G220" s="3" t="str">
        <f t="shared" si="88"/>
        <v/>
      </c>
      <c r="H220" s="3" t="str">
        <f t="shared" si="93"/>
        <v/>
      </c>
      <c r="I220" s="3" t="str">
        <f t="shared" si="94"/>
        <v/>
      </c>
      <c r="J220" s="2" t="str">
        <f t="shared" si="95"/>
        <v/>
      </c>
      <c r="K220" s="2" t="str">
        <f>IF(W220="","",LOOKUP('Extraction edi'!J220,Paramètrage!$A$6:$A$179,Paramètrage!$B$6:$B$179))</f>
        <v/>
      </c>
      <c r="L220" s="2" t="str">
        <f>IF(W220="","",LOOKUP('Extraction edi'!J220,Paramètrage!$A$6:$A$179,Paramètrage!$C$6:$C$179))</f>
        <v/>
      </c>
      <c r="M220" s="2" t="str">
        <f>IF(W220="","",LOOKUP('Extraction edi'!J220,Paramètrage!$A$6:$A$179,Paramètrage!$D$6:$D$179))</f>
        <v/>
      </c>
      <c r="N220" s="3" t="str">
        <f>IF(W220="","",LOOKUP('Extraction edi'!J220,Paramètrage!$A$6:$A$179,Paramètrage!$E$6:$E$179))</f>
        <v/>
      </c>
      <c r="O220" s="3" t="str">
        <f t="shared" si="96"/>
        <v/>
      </c>
      <c r="P220" s="3" t="str">
        <f t="shared" si="97"/>
        <v/>
      </c>
      <c r="Q220" s="3" t="str">
        <f t="shared" si="90"/>
        <v/>
      </c>
      <c r="R220" s="3" t="str">
        <f t="shared" si="98"/>
        <v/>
      </c>
      <c r="S220" s="3" t="str">
        <f t="shared" si="99"/>
        <v/>
      </c>
      <c r="T220" s="4" t="str">
        <f t="shared" si="100"/>
        <v/>
      </c>
      <c r="U220" s="5" t="str">
        <f t="shared" si="101"/>
        <v/>
      </c>
      <c r="V220" s="7" t="str">
        <f>IF(W220="","",IF(LOOKUP(W220,'Extration 3E date commande'!$A$6:$A$10000)=W220,LOOKUP(W220,'Extration 3E date commande'!$A$6:$A$10000,'Extration 3E date commande'!$C$6:$C$10000),"PAS DE DATE"))</f>
        <v/>
      </c>
    </row>
    <row r="221" spans="1:22" x14ac:dyDescent="0.25">
      <c r="A221" s="3" t="str">
        <f t="shared" si="91"/>
        <v/>
      </c>
      <c r="B221" s="3" t="str">
        <f t="shared" si="92"/>
        <v/>
      </c>
      <c r="C221" s="3" t="str">
        <f t="shared" si="89"/>
        <v/>
      </c>
      <c r="D221" s="3" t="str">
        <f t="shared" si="85"/>
        <v/>
      </c>
      <c r="E221" s="3" t="str">
        <f t="shared" si="86"/>
        <v/>
      </c>
      <c r="F221" s="3" t="str">
        <f t="shared" si="87"/>
        <v/>
      </c>
      <c r="G221" s="3" t="str">
        <f t="shared" si="88"/>
        <v/>
      </c>
      <c r="H221" s="3" t="str">
        <f t="shared" si="93"/>
        <v/>
      </c>
      <c r="I221" s="3" t="str">
        <f t="shared" si="94"/>
        <v/>
      </c>
      <c r="J221" s="2" t="str">
        <f t="shared" si="95"/>
        <v/>
      </c>
      <c r="K221" s="2" t="str">
        <f>IF(W221="","",LOOKUP('Extraction edi'!J221,Paramètrage!$A$6:$A$179,Paramètrage!$B$6:$B$179))</f>
        <v/>
      </c>
      <c r="L221" s="2" t="str">
        <f>IF(W221="","",LOOKUP('Extraction edi'!J221,Paramètrage!$A$6:$A$179,Paramètrage!$C$6:$C$179))</f>
        <v/>
      </c>
      <c r="M221" s="2" t="str">
        <f>IF(W221="","",LOOKUP('Extraction edi'!J221,Paramètrage!$A$6:$A$179,Paramètrage!$D$6:$D$179))</f>
        <v/>
      </c>
      <c r="N221" s="3" t="str">
        <f>IF(W221="","",LOOKUP('Extraction edi'!J221,Paramètrage!$A$6:$A$179,Paramètrage!$E$6:$E$179))</f>
        <v/>
      </c>
      <c r="O221" s="3" t="str">
        <f t="shared" si="96"/>
        <v/>
      </c>
      <c r="P221" s="3" t="str">
        <f t="shared" si="97"/>
        <v/>
      </c>
      <c r="Q221" s="3" t="str">
        <f t="shared" si="90"/>
        <v/>
      </c>
      <c r="R221" s="3" t="str">
        <f t="shared" si="98"/>
        <v/>
      </c>
      <c r="S221" s="3" t="str">
        <f t="shared" si="99"/>
        <v/>
      </c>
      <c r="T221" s="4" t="str">
        <f t="shared" si="100"/>
        <v/>
      </c>
      <c r="U221" s="5" t="str">
        <f t="shared" si="101"/>
        <v/>
      </c>
      <c r="V221" s="7" t="str">
        <f>IF(W221="","",IF(LOOKUP(W221,'Extration 3E date commande'!$A$6:$A$10000)=W221,LOOKUP(W221,'Extration 3E date commande'!$A$6:$A$10000,'Extration 3E date commande'!$C$6:$C$10000),"PAS DE DATE"))</f>
        <v/>
      </c>
    </row>
    <row r="222" spans="1:22" x14ac:dyDescent="0.25">
      <c r="A222" s="3" t="str">
        <f t="shared" si="91"/>
        <v/>
      </c>
      <c r="B222" s="3" t="str">
        <f t="shared" si="92"/>
        <v/>
      </c>
      <c r="C222" s="3" t="str">
        <f t="shared" si="89"/>
        <v/>
      </c>
      <c r="D222" s="3" t="str">
        <f t="shared" si="85"/>
        <v/>
      </c>
      <c r="E222" s="3" t="str">
        <f t="shared" si="86"/>
        <v/>
      </c>
      <c r="F222" s="3" t="str">
        <f t="shared" si="87"/>
        <v/>
      </c>
      <c r="G222" s="3" t="str">
        <f t="shared" si="88"/>
        <v/>
      </c>
      <c r="H222" s="3" t="str">
        <f t="shared" si="93"/>
        <v/>
      </c>
      <c r="I222" s="3" t="str">
        <f t="shared" si="94"/>
        <v/>
      </c>
      <c r="J222" s="2" t="str">
        <f t="shared" si="95"/>
        <v/>
      </c>
      <c r="K222" s="2" t="str">
        <f>IF(W222="","",LOOKUP('Extraction edi'!J222,Paramètrage!$A$6:$A$179,Paramètrage!$B$6:$B$179))</f>
        <v/>
      </c>
      <c r="L222" s="2" t="str">
        <f>IF(W222="","",LOOKUP('Extraction edi'!J222,Paramètrage!$A$6:$A$179,Paramètrage!$C$6:$C$179))</f>
        <v/>
      </c>
      <c r="M222" s="2" t="str">
        <f>IF(W222="","",LOOKUP('Extraction edi'!J222,Paramètrage!$A$6:$A$179,Paramètrage!$D$6:$D$179))</f>
        <v/>
      </c>
      <c r="N222" s="3" t="str">
        <f>IF(W222="","",LOOKUP('Extraction edi'!J222,Paramètrage!$A$6:$A$179,Paramètrage!$E$6:$E$179))</f>
        <v/>
      </c>
      <c r="O222" s="3" t="str">
        <f t="shared" si="96"/>
        <v/>
      </c>
      <c r="P222" s="3" t="str">
        <f t="shared" si="97"/>
        <v/>
      </c>
      <c r="Q222" s="3" t="str">
        <f t="shared" si="90"/>
        <v/>
      </c>
      <c r="R222" s="3" t="str">
        <f t="shared" si="98"/>
        <v/>
      </c>
      <c r="S222" s="3" t="str">
        <f t="shared" si="99"/>
        <v/>
      </c>
      <c r="T222" s="4" t="str">
        <f t="shared" si="100"/>
        <v/>
      </c>
      <c r="U222" s="5" t="str">
        <f t="shared" si="101"/>
        <v/>
      </c>
      <c r="V222" s="7" t="str">
        <f>IF(W222="","",IF(LOOKUP(W222,'Extration 3E date commande'!$A$6:$A$10000)=W222,LOOKUP(W222,'Extration 3E date commande'!$A$6:$A$10000,'Extration 3E date commande'!$C$6:$C$10000),"PAS DE DATE"))</f>
        <v/>
      </c>
    </row>
    <row r="223" spans="1:22" x14ac:dyDescent="0.25">
      <c r="A223" s="3" t="str">
        <f t="shared" si="91"/>
        <v/>
      </c>
      <c r="B223" s="3" t="str">
        <f t="shared" si="92"/>
        <v/>
      </c>
      <c r="C223" s="3" t="str">
        <f t="shared" si="89"/>
        <v/>
      </c>
      <c r="D223" s="3" t="str">
        <f t="shared" si="85"/>
        <v/>
      </c>
      <c r="E223" s="3" t="str">
        <f t="shared" si="86"/>
        <v/>
      </c>
      <c r="F223" s="3" t="str">
        <f t="shared" si="87"/>
        <v/>
      </c>
      <c r="G223" s="3" t="str">
        <f t="shared" si="88"/>
        <v/>
      </c>
      <c r="H223" s="3" t="str">
        <f t="shared" si="93"/>
        <v/>
      </c>
      <c r="I223" s="3" t="str">
        <f t="shared" si="94"/>
        <v/>
      </c>
      <c r="J223" s="2" t="str">
        <f t="shared" si="95"/>
        <v/>
      </c>
      <c r="K223" s="2" t="str">
        <f>IF(W223="","",LOOKUP('Extraction edi'!J223,Paramètrage!$A$6:$A$179,Paramètrage!$B$6:$B$179))</f>
        <v/>
      </c>
      <c r="L223" s="2" t="str">
        <f>IF(W223="","",LOOKUP('Extraction edi'!J223,Paramètrage!$A$6:$A$179,Paramètrage!$C$6:$C$179))</f>
        <v/>
      </c>
      <c r="M223" s="2" t="str">
        <f>IF(W223="","",LOOKUP('Extraction edi'!J223,Paramètrage!$A$6:$A$179,Paramètrage!$D$6:$D$179))</f>
        <v/>
      </c>
      <c r="N223" s="3" t="str">
        <f>IF(W223="","",LOOKUP('Extraction edi'!J223,Paramètrage!$A$6:$A$179,Paramètrage!$E$6:$E$179))</f>
        <v/>
      </c>
      <c r="O223" s="3" t="str">
        <f t="shared" si="96"/>
        <v/>
      </c>
      <c r="P223" s="3" t="str">
        <f t="shared" si="97"/>
        <v/>
      </c>
      <c r="Q223" s="3" t="str">
        <f t="shared" si="90"/>
        <v/>
      </c>
      <c r="R223" s="3" t="str">
        <f t="shared" si="98"/>
        <v/>
      </c>
      <c r="S223" s="3" t="str">
        <f t="shared" si="99"/>
        <v/>
      </c>
      <c r="T223" s="4" t="str">
        <f t="shared" si="100"/>
        <v/>
      </c>
      <c r="U223" s="5" t="str">
        <f t="shared" si="101"/>
        <v/>
      </c>
      <c r="V223" s="7" t="str">
        <f>IF(W223="","",IF(LOOKUP(W223,'Extration 3E date commande'!$A$6:$A$10000)=W223,LOOKUP(W223,'Extration 3E date commande'!$A$6:$A$10000,'Extration 3E date commande'!$C$6:$C$10000),"PAS DE DATE"))</f>
        <v/>
      </c>
    </row>
    <row r="224" spans="1:22" x14ac:dyDescent="0.25">
      <c r="A224" s="3" t="str">
        <f t="shared" si="91"/>
        <v/>
      </c>
      <c r="B224" s="3" t="str">
        <f t="shared" si="92"/>
        <v/>
      </c>
      <c r="C224" s="3" t="str">
        <f t="shared" si="89"/>
        <v/>
      </c>
      <c r="D224" s="3" t="str">
        <f t="shared" si="85"/>
        <v/>
      </c>
      <c r="E224" s="3" t="str">
        <f t="shared" si="86"/>
        <v/>
      </c>
      <c r="F224" s="3" t="str">
        <f t="shared" si="87"/>
        <v/>
      </c>
      <c r="G224" s="3" t="str">
        <f t="shared" si="88"/>
        <v/>
      </c>
      <c r="H224" s="3" t="str">
        <f t="shared" si="93"/>
        <v/>
      </c>
      <c r="I224" s="3" t="str">
        <f t="shared" si="94"/>
        <v/>
      </c>
      <c r="J224" s="2" t="str">
        <f t="shared" si="95"/>
        <v/>
      </c>
      <c r="K224" s="2" t="str">
        <f>IF(W224="","",LOOKUP('Extraction edi'!J224,Paramètrage!$A$6:$A$179,Paramètrage!$B$6:$B$179))</f>
        <v/>
      </c>
      <c r="L224" s="2" t="str">
        <f>IF(W224="","",LOOKUP('Extraction edi'!J224,Paramètrage!$A$6:$A$179,Paramètrage!$C$6:$C$179))</f>
        <v/>
      </c>
      <c r="M224" s="2" t="str">
        <f>IF(W224="","",LOOKUP('Extraction edi'!J224,Paramètrage!$A$6:$A$179,Paramètrage!$D$6:$D$179))</f>
        <v/>
      </c>
      <c r="N224" s="3" t="str">
        <f>IF(W224="","",LOOKUP('Extraction edi'!J224,Paramètrage!$A$6:$A$179,Paramètrage!$E$6:$E$179))</f>
        <v/>
      </c>
      <c r="O224" s="3" t="str">
        <f t="shared" si="96"/>
        <v/>
      </c>
      <c r="P224" s="3" t="str">
        <f t="shared" si="97"/>
        <v/>
      </c>
      <c r="Q224" s="3" t="str">
        <f t="shared" si="90"/>
        <v/>
      </c>
      <c r="R224" s="3" t="str">
        <f t="shared" si="98"/>
        <v/>
      </c>
      <c r="S224" s="3" t="str">
        <f t="shared" si="99"/>
        <v/>
      </c>
      <c r="T224" s="4" t="str">
        <f t="shared" si="100"/>
        <v/>
      </c>
      <c r="U224" s="5" t="str">
        <f t="shared" si="101"/>
        <v/>
      </c>
      <c r="V224" s="7" t="str">
        <f>IF(W224="","",IF(LOOKUP(W224,'Extration 3E date commande'!$A$6:$A$10000)=W224,LOOKUP(W224,'Extration 3E date commande'!$A$6:$A$10000,'Extration 3E date commande'!$C$6:$C$10000),"PAS DE DATE"))</f>
        <v/>
      </c>
    </row>
    <row r="225" spans="1:22" x14ac:dyDescent="0.25">
      <c r="A225" s="3" t="str">
        <f t="shared" si="91"/>
        <v/>
      </c>
      <c r="B225" s="3" t="str">
        <f t="shared" si="92"/>
        <v/>
      </c>
      <c r="C225" s="3" t="str">
        <f t="shared" si="89"/>
        <v/>
      </c>
      <c r="D225" s="3" t="str">
        <f t="shared" si="85"/>
        <v/>
      </c>
      <c r="E225" s="3" t="str">
        <f t="shared" si="86"/>
        <v/>
      </c>
      <c r="F225" s="3" t="str">
        <f t="shared" si="87"/>
        <v/>
      </c>
      <c r="G225" s="3" t="str">
        <f t="shared" si="88"/>
        <v/>
      </c>
      <c r="H225" s="3" t="str">
        <f t="shared" si="93"/>
        <v/>
      </c>
      <c r="I225" s="3" t="str">
        <f t="shared" si="94"/>
        <v/>
      </c>
      <c r="J225" s="2" t="str">
        <f t="shared" si="95"/>
        <v/>
      </c>
      <c r="K225" s="2" t="str">
        <f>IF(W225="","",LOOKUP('Extraction edi'!J225,Paramètrage!$A$6:$A$179,Paramètrage!$B$6:$B$179))</f>
        <v/>
      </c>
      <c r="L225" s="2" t="str">
        <f>IF(W225="","",LOOKUP('Extraction edi'!J225,Paramètrage!$A$6:$A$179,Paramètrage!$C$6:$C$179))</f>
        <v/>
      </c>
      <c r="M225" s="2" t="str">
        <f>IF(W225="","",LOOKUP('Extraction edi'!J225,Paramètrage!$A$6:$A$179,Paramètrage!$D$6:$D$179))</f>
        <v/>
      </c>
      <c r="N225" s="3" t="str">
        <f>IF(W225="","",LOOKUP('Extraction edi'!J225,Paramètrage!$A$6:$A$179,Paramètrage!$E$6:$E$179))</f>
        <v/>
      </c>
      <c r="O225" s="3" t="str">
        <f t="shared" si="96"/>
        <v/>
      </c>
      <c r="P225" s="3" t="str">
        <f t="shared" si="97"/>
        <v/>
      </c>
      <c r="Q225" s="3" t="str">
        <f t="shared" si="90"/>
        <v/>
      </c>
      <c r="R225" s="3" t="str">
        <f t="shared" si="98"/>
        <v/>
      </c>
      <c r="S225" s="3" t="str">
        <f t="shared" si="99"/>
        <v/>
      </c>
      <c r="T225" s="4" t="str">
        <f t="shared" si="100"/>
        <v/>
      </c>
      <c r="U225" s="5" t="str">
        <f t="shared" si="101"/>
        <v/>
      </c>
      <c r="V225" s="7" t="str">
        <f>IF(W225="","",IF(LOOKUP(W225,'Extration 3E date commande'!$A$6:$A$10000)=W225,LOOKUP(W225,'Extration 3E date commande'!$A$6:$A$10000,'Extration 3E date commande'!$C$6:$C$10000),"PAS DE DATE"))</f>
        <v/>
      </c>
    </row>
    <row r="226" spans="1:22" x14ac:dyDescent="0.25">
      <c r="A226" s="3" t="str">
        <f t="shared" si="91"/>
        <v/>
      </c>
      <c r="B226" s="3" t="str">
        <f t="shared" si="92"/>
        <v/>
      </c>
      <c r="C226" s="3" t="str">
        <f t="shared" si="89"/>
        <v/>
      </c>
      <c r="D226" s="3" t="str">
        <f t="shared" si="85"/>
        <v/>
      </c>
      <c r="E226" s="3" t="str">
        <f t="shared" si="86"/>
        <v/>
      </c>
      <c r="F226" s="3" t="str">
        <f t="shared" si="87"/>
        <v/>
      </c>
      <c r="G226" s="3" t="str">
        <f t="shared" si="88"/>
        <v/>
      </c>
      <c r="H226" s="3" t="str">
        <f t="shared" si="93"/>
        <v/>
      </c>
      <c r="I226" s="3" t="str">
        <f t="shared" si="94"/>
        <v/>
      </c>
      <c r="J226" s="2" t="str">
        <f t="shared" si="95"/>
        <v/>
      </c>
      <c r="K226" s="2" t="str">
        <f>IF(W226="","",LOOKUP('Extraction edi'!J226,Paramètrage!$A$6:$A$179,Paramètrage!$B$6:$B$179))</f>
        <v/>
      </c>
      <c r="L226" s="2" t="str">
        <f>IF(W226="","",LOOKUP('Extraction edi'!J226,Paramètrage!$A$6:$A$179,Paramètrage!$C$6:$C$179))</f>
        <v/>
      </c>
      <c r="M226" s="2" t="str">
        <f>IF(W226="","",LOOKUP('Extraction edi'!J226,Paramètrage!$A$6:$A$179,Paramètrage!$D$6:$D$179))</f>
        <v/>
      </c>
      <c r="N226" s="3" t="str">
        <f>IF(W226="","",LOOKUP('Extraction edi'!J226,Paramètrage!$A$6:$A$179,Paramètrage!$E$6:$E$179))</f>
        <v/>
      </c>
      <c r="O226" s="3" t="str">
        <f t="shared" si="96"/>
        <v/>
      </c>
      <c r="P226" s="3" t="str">
        <f t="shared" si="97"/>
        <v/>
      </c>
      <c r="Q226" s="3" t="str">
        <f t="shared" si="90"/>
        <v/>
      </c>
      <c r="R226" s="3" t="str">
        <f t="shared" si="98"/>
        <v/>
      </c>
      <c r="S226" s="3" t="str">
        <f t="shared" si="99"/>
        <v/>
      </c>
      <c r="T226" s="4" t="str">
        <f t="shared" si="100"/>
        <v/>
      </c>
      <c r="U226" s="5" t="str">
        <f t="shared" si="101"/>
        <v/>
      </c>
      <c r="V226" s="7" t="str">
        <f>IF(W226="","",IF(LOOKUP(W226,'Extration 3E date commande'!$A$6:$A$10000)=W226,LOOKUP(W226,'Extration 3E date commande'!$A$6:$A$10000,'Extration 3E date commande'!$C$6:$C$10000),"PAS DE DATE"))</f>
        <v/>
      </c>
    </row>
    <row r="227" spans="1:22" x14ac:dyDescent="0.25">
      <c r="A227" s="3" t="str">
        <f t="shared" si="91"/>
        <v/>
      </c>
      <c r="B227" s="3" t="str">
        <f t="shared" si="92"/>
        <v/>
      </c>
      <c r="C227" s="3" t="str">
        <f t="shared" si="89"/>
        <v/>
      </c>
      <c r="D227" s="3" t="str">
        <f t="shared" si="85"/>
        <v/>
      </c>
      <c r="E227" s="3" t="str">
        <f t="shared" si="86"/>
        <v/>
      </c>
      <c r="F227" s="3" t="str">
        <f t="shared" si="87"/>
        <v/>
      </c>
      <c r="G227" s="3" t="str">
        <f t="shared" si="88"/>
        <v/>
      </c>
      <c r="H227" s="3" t="str">
        <f t="shared" si="93"/>
        <v/>
      </c>
      <c r="I227" s="3" t="str">
        <f t="shared" si="94"/>
        <v/>
      </c>
      <c r="J227" s="2" t="str">
        <f t="shared" si="95"/>
        <v/>
      </c>
      <c r="K227" s="2" t="str">
        <f>IF(W227="","",LOOKUP('Extraction edi'!J227,Paramètrage!$A$6:$A$179,Paramètrage!$B$6:$B$179))</f>
        <v/>
      </c>
      <c r="L227" s="2" t="str">
        <f>IF(W227="","",LOOKUP('Extraction edi'!J227,Paramètrage!$A$6:$A$179,Paramètrage!$C$6:$C$179))</f>
        <v/>
      </c>
      <c r="M227" s="2" t="str">
        <f>IF(W227="","",LOOKUP('Extraction edi'!J227,Paramètrage!$A$6:$A$179,Paramètrage!$D$6:$D$179))</f>
        <v/>
      </c>
      <c r="N227" s="3" t="str">
        <f>IF(W227="","",LOOKUP('Extraction edi'!J227,Paramètrage!$A$6:$A$179,Paramètrage!$E$6:$E$179))</f>
        <v/>
      </c>
      <c r="O227" s="3" t="str">
        <f t="shared" si="96"/>
        <v/>
      </c>
      <c r="P227" s="3" t="str">
        <f t="shared" si="97"/>
        <v/>
      </c>
      <c r="Q227" s="3" t="str">
        <f t="shared" si="90"/>
        <v/>
      </c>
      <c r="R227" s="3" t="str">
        <f t="shared" si="98"/>
        <v/>
      </c>
      <c r="S227" s="3" t="str">
        <f t="shared" si="99"/>
        <v/>
      </c>
      <c r="T227" s="4" t="str">
        <f t="shared" si="100"/>
        <v/>
      </c>
      <c r="U227" s="5" t="str">
        <f t="shared" si="101"/>
        <v/>
      </c>
      <c r="V227" s="7" t="str">
        <f>IF(W227="","",IF(LOOKUP(W227,'Extration 3E date commande'!$A$6:$A$10000)=W227,LOOKUP(W227,'Extration 3E date commande'!$A$6:$A$10000,'Extration 3E date commande'!$C$6:$C$10000),"PAS DE DATE"))</f>
        <v/>
      </c>
    </row>
    <row r="228" spans="1:22" x14ac:dyDescent="0.25">
      <c r="A228" s="3" t="str">
        <f t="shared" si="91"/>
        <v/>
      </c>
      <c r="B228" s="3" t="str">
        <f t="shared" si="92"/>
        <v/>
      </c>
      <c r="C228" s="3" t="str">
        <f t="shared" si="89"/>
        <v/>
      </c>
      <c r="D228" s="3" t="str">
        <f t="shared" si="85"/>
        <v/>
      </c>
      <c r="E228" s="3" t="str">
        <f t="shared" si="86"/>
        <v/>
      </c>
      <c r="F228" s="3" t="str">
        <f t="shared" si="87"/>
        <v/>
      </c>
      <c r="G228" s="3" t="str">
        <f t="shared" si="88"/>
        <v/>
      </c>
      <c r="H228" s="3" t="str">
        <f t="shared" si="93"/>
        <v/>
      </c>
      <c r="I228" s="3" t="str">
        <f t="shared" si="94"/>
        <v/>
      </c>
      <c r="J228" s="2" t="str">
        <f t="shared" si="95"/>
        <v/>
      </c>
      <c r="K228" s="2" t="str">
        <f>IF(W228="","",LOOKUP('Extraction edi'!J228,Paramètrage!$A$6:$A$179,Paramètrage!$B$6:$B$179))</f>
        <v/>
      </c>
      <c r="L228" s="2" t="str">
        <f>IF(W228="","",LOOKUP('Extraction edi'!J228,Paramètrage!$A$6:$A$179,Paramètrage!$C$6:$C$179))</f>
        <v/>
      </c>
      <c r="M228" s="2" t="str">
        <f>IF(W228="","",LOOKUP('Extraction edi'!J228,Paramètrage!$A$6:$A$179,Paramètrage!$D$6:$D$179))</f>
        <v/>
      </c>
      <c r="N228" s="3" t="str">
        <f>IF(W228="","",LOOKUP('Extraction edi'!J228,Paramètrage!$A$6:$A$179,Paramètrage!$E$6:$E$179))</f>
        <v/>
      </c>
      <c r="O228" s="3" t="str">
        <f t="shared" si="96"/>
        <v/>
      </c>
      <c r="P228" s="3" t="str">
        <f t="shared" si="97"/>
        <v/>
      </c>
      <c r="Q228" s="3" t="str">
        <f t="shared" si="90"/>
        <v/>
      </c>
      <c r="R228" s="3" t="str">
        <f t="shared" si="98"/>
        <v/>
      </c>
      <c r="S228" s="3" t="str">
        <f t="shared" si="99"/>
        <v/>
      </c>
      <c r="T228" s="4" t="str">
        <f t="shared" si="100"/>
        <v/>
      </c>
      <c r="U228" s="5" t="str">
        <f t="shared" si="101"/>
        <v/>
      </c>
      <c r="V228" s="7" t="str">
        <f>IF(W228="","",IF(LOOKUP(W228,'Extration 3E date commande'!$A$6:$A$10000)=W228,LOOKUP(W228,'Extration 3E date commande'!$A$6:$A$10000,'Extration 3E date commande'!$C$6:$C$10000),"PAS DE DATE"))</f>
        <v/>
      </c>
    </row>
    <row r="229" spans="1:22" x14ac:dyDescent="0.25">
      <c r="A229" s="3" t="str">
        <f t="shared" si="91"/>
        <v/>
      </c>
      <c r="B229" s="3" t="str">
        <f t="shared" si="92"/>
        <v/>
      </c>
      <c r="C229" s="3" t="str">
        <f t="shared" si="89"/>
        <v/>
      </c>
      <c r="D229" s="3" t="str">
        <f t="shared" si="85"/>
        <v/>
      </c>
      <c r="E229" s="3" t="str">
        <f t="shared" si="86"/>
        <v/>
      </c>
      <c r="F229" s="3" t="str">
        <f t="shared" si="87"/>
        <v/>
      </c>
      <c r="G229" s="3" t="str">
        <f t="shared" si="88"/>
        <v/>
      </c>
      <c r="H229" s="3" t="str">
        <f t="shared" si="93"/>
        <v/>
      </c>
      <c r="I229" s="3" t="str">
        <f t="shared" si="94"/>
        <v/>
      </c>
      <c r="J229" s="2" t="str">
        <f t="shared" si="95"/>
        <v/>
      </c>
      <c r="K229" s="2" t="str">
        <f>IF(W229="","",LOOKUP('Extraction edi'!J229,Paramètrage!$A$6:$A$179,Paramètrage!$B$6:$B$179))</f>
        <v/>
      </c>
      <c r="L229" s="2" t="str">
        <f>IF(W229="","",LOOKUP('Extraction edi'!J229,Paramètrage!$A$6:$A$179,Paramètrage!$C$6:$C$179))</f>
        <v/>
      </c>
      <c r="M229" s="2" t="str">
        <f>IF(W229="","",LOOKUP('Extraction edi'!J229,Paramètrage!$A$6:$A$179,Paramètrage!$D$6:$D$179))</f>
        <v/>
      </c>
      <c r="N229" s="3" t="str">
        <f>IF(W229="","",LOOKUP('Extraction edi'!J229,Paramètrage!$A$6:$A$179,Paramètrage!$E$6:$E$179))</f>
        <v/>
      </c>
      <c r="O229" s="3" t="str">
        <f t="shared" si="96"/>
        <v/>
      </c>
      <c r="P229" s="3" t="str">
        <f t="shared" si="97"/>
        <v/>
      </c>
      <c r="Q229" s="3" t="str">
        <f t="shared" si="90"/>
        <v/>
      </c>
      <c r="R229" s="3" t="str">
        <f t="shared" si="98"/>
        <v/>
      </c>
      <c r="S229" s="3" t="str">
        <f t="shared" si="99"/>
        <v/>
      </c>
      <c r="T229" s="4" t="str">
        <f t="shared" si="100"/>
        <v/>
      </c>
      <c r="U229" s="5" t="str">
        <f t="shared" si="101"/>
        <v/>
      </c>
      <c r="V229" s="7" t="str">
        <f>IF(W229="","",IF(LOOKUP(W229,'Extration 3E date commande'!$A$6:$A$10000)=W229,LOOKUP(W229,'Extration 3E date commande'!$A$6:$A$10000,'Extration 3E date commande'!$C$6:$C$10000),"PAS DE DATE"))</f>
        <v/>
      </c>
    </row>
    <row r="230" spans="1:22" x14ac:dyDescent="0.25">
      <c r="A230" s="3" t="str">
        <f t="shared" si="91"/>
        <v/>
      </c>
      <c r="B230" s="3" t="str">
        <f t="shared" si="92"/>
        <v/>
      </c>
      <c r="C230" s="3" t="str">
        <f t="shared" si="89"/>
        <v/>
      </c>
      <c r="D230" s="3" t="str">
        <f t="shared" si="85"/>
        <v/>
      </c>
      <c r="E230" s="3" t="str">
        <f t="shared" si="86"/>
        <v/>
      </c>
      <c r="F230" s="3" t="str">
        <f t="shared" si="87"/>
        <v/>
      </c>
      <c r="G230" s="3" t="str">
        <f t="shared" si="88"/>
        <v/>
      </c>
      <c r="H230" s="3" t="str">
        <f t="shared" si="93"/>
        <v/>
      </c>
      <c r="I230" s="3" t="str">
        <f t="shared" si="94"/>
        <v/>
      </c>
      <c r="J230" s="2" t="str">
        <f t="shared" si="95"/>
        <v/>
      </c>
      <c r="K230" s="2" t="str">
        <f>IF(W230="","",LOOKUP('Extraction edi'!J230,Paramètrage!$A$6:$A$179,Paramètrage!$B$6:$B$179))</f>
        <v/>
      </c>
      <c r="L230" s="2" t="str">
        <f>IF(W230="","",LOOKUP('Extraction edi'!J230,Paramètrage!$A$6:$A$179,Paramètrage!$C$6:$C$179))</f>
        <v/>
      </c>
      <c r="M230" s="2" t="str">
        <f>IF(W230="","",LOOKUP('Extraction edi'!J230,Paramètrage!$A$6:$A$179,Paramètrage!$D$6:$D$179))</f>
        <v/>
      </c>
      <c r="N230" s="3" t="str">
        <f>IF(W230="","",LOOKUP('Extraction edi'!J230,Paramètrage!$A$6:$A$179,Paramètrage!$E$6:$E$179))</f>
        <v/>
      </c>
      <c r="O230" s="3" t="str">
        <f t="shared" si="96"/>
        <v/>
      </c>
      <c r="P230" s="3" t="str">
        <f t="shared" si="97"/>
        <v/>
      </c>
      <c r="Q230" s="3" t="str">
        <f t="shared" si="90"/>
        <v/>
      </c>
      <c r="R230" s="3" t="str">
        <f t="shared" si="98"/>
        <v/>
      </c>
      <c r="S230" s="3" t="str">
        <f t="shared" si="99"/>
        <v/>
      </c>
      <c r="T230" s="4" t="str">
        <f t="shared" si="100"/>
        <v/>
      </c>
      <c r="U230" s="5" t="str">
        <f t="shared" si="101"/>
        <v/>
      </c>
      <c r="V230" s="7" t="str">
        <f>IF(W230="","",IF(LOOKUP(W230,'Extration 3E date commande'!$A$6:$A$10000)=W230,LOOKUP(W230,'Extration 3E date commande'!$A$6:$A$10000,'Extration 3E date commande'!$C$6:$C$10000),"PAS DE DATE"))</f>
        <v/>
      </c>
    </row>
    <row r="231" spans="1:22" x14ac:dyDescent="0.25">
      <c r="A231" s="3" t="str">
        <f t="shared" si="91"/>
        <v/>
      </c>
      <c r="B231" s="3" t="str">
        <f t="shared" si="92"/>
        <v/>
      </c>
      <c r="C231" s="3" t="str">
        <f t="shared" si="89"/>
        <v/>
      </c>
      <c r="D231" s="3" t="str">
        <f t="shared" si="85"/>
        <v/>
      </c>
      <c r="E231" s="3" t="str">
        <f t="shared" si="86"/>
        <v/>
      </c>
      <c r="F231" s="3" t="str">
        <f t="shared" si="87"/>
        <v/>
      </c>
      <c r="G231" s="3" t="str">
        <f t="shared" si="88"/>
        <v/>
      </c>
      <c r="H231" s="3" t="str">
        <f t="shared" si="93"/>
        <v/>
      </c>
      <c r="I231" s="3" t="str">
        <f t="shared" si="94"/>
        <v/>
      </c>
      <c r="J231" s="2" t="str">
        <f t="shared" si="95"/>
        <v/>
      </c>
      <c r="K231" s="2" t="str">
        <f>IF(W231="","",LOOKUP('Extraction edi'!J231,Paramètrage!$A$6:$A$179,Paramètrage!$B$6:$B$179))</f>
        <v/>
      </c>
      <c r="L231" s="2" t="str">
        <f>IF(W231="","",LOOKUP('Extraction edi'!J231,Paramètrage!$A$6:$A$179,Paramètrage!$C$6:$C$179))</f>
        <v/>
      </c>
      <c r="M231" s="2" t="str">
        <f>IF(W231="","",LOOKUP('Extraction edi'!J231,Paramètrage!$A$6:$A$179,Paramètrage!$D$6:$D$179))</f>
        <v/>
      </c>
      <c r="N231" s="3" t="str">
        <f>IF(W231="","",LOOKUP('Extraction edi'!J231,Paramètrage!$A$6:$A$179,Paramètrage!$E$6:$E$179))</f>
        <v/>
      </c>
      <c r="O231" s="3" t="str">
        <f t="shared" si="96"/>
        <v/>
      </c>
      <c r="P231" s="3" t="str">
        <f t="shared" si="97"/>
        <v/>
      </c>
      <c r="Q231" s="3" t="str">
        <f t="shared" si="90"/>
        <v/>
      </c>
      <c r="R231" s="3" t="str">
        <f t="shared" si="98"/>
        <v/>
      </c>
      <c r="S231" s="3" t="str">
        <f t="shared" si="99"/>
        <v/>
      </c>
      <c r="T231" s="4" t="str">
        <f t="shared" si="100"/>
        <v/>
      </c>
      <c r="U231" s="5" t="str">
        <f t="shared" si="101"/>
        <v/>
      </c>
      <c r="V231" s="7" t="str">
        <f>IF(W231="","",IF(LOOKUP(W231,'Extration 3E date commande'!$A$6:$A$10000)=W231,LOOKUP(W231,'Extration 3E date commande'!$A$6:$A$10000,'Extration 3E date commande'!$C$6:$C$10000),"PAS DE DATE"))</f>
        <v/>
      </c>
    </row>
    <row r="232" spans="1:22" x14ac:dyDescent="0.25">
      <c r="A232" s="3" t="str">
        <f t="shared" si="91"/>
        <v/>
      </c>
      <c r="B232" s="3" t="str">
        <f t="shared" si="92"/>
        <v/>
      </c>
      <c r="C232" s="3" t="str">
        <f t="shared" si="89"/>
        <v/>
      </c>
      <c r="D232" s="3" t="str">
        <f t="shared" si="85"/>
        <v/>
      </c>
      <c r="E232" s="3" t="str">
        <f t="shared" si="86"/>
        <v/>
      </c>
      <c r="F232" s="3" t="str">
        <f t="shared" si="87"/>
        <v/>
      </c>
      <c r="G232" s="3" t="str">
        <f t="shared" si="88"/>
        <v/>
      </c>
      <c r="H232" s="3" t="str">
        <f t="shared" si="93"/>
        <v/>
      </c>
      <c r="I232" s="3" t="str">
        <f t="shared" si="94"/>
        <v/>
      </c>
      <c r="J232" s="2" t="str">
        <f t="shared" si="95"/>
        <v/>
      </c>
      <c r="K232" s="2" t="str">
        <f>IF(W232="","",LOOKUP('Extraction edi'!J232,Paramètrage!$A$6:$A$179,Paramètrage!$B$6:$B$179))</f>
        <v/>
      </c>
      <c r="L232" s="2" t="str">
        <f>IF(W232="","",LOOKUP('Extraction edi'!J232,Paramètrage!$A$6:$A$179,Paramètrage!$C$6:$C$179))</f>
        <v/>
      </c>
      <c r="M232" s="2" t="str">
        <f>IF(W232="","",LOOKUP('Extraction edi'!J232,Paramètrage!$A$6:$A$179,Paramètrage!$D$6:$D$179))</f>
        <v/>
      </c>
      <c r="N232" s="3" t="str">
        <f>IF(W232="","",LOOKUP('Extraction edi'!J232,Paramètrage!$A$6:$A$179,Paramètrage!$E$6:$E$179))</f>
        <v/>
      </c>
      <c r="O232" s="3" t="str">
        <f t="shared" si="96"/>
        <v/>
      </c>
      <c r="P232" s="3" t="str">
        <f t="shared" si="97"/>
        <v/>
      </c>
      <c r="Q232" s="3" t="str">
        <f t="shared" si="90"/>
        <v/>
      </c>
      <c r="R232" s="3" t="str">
        <f t="shared" si="98"/>
        <v/>
      </c>
      <c r="S232" s="3" t="str">
        <f t="shared" si="99"/>
        <v/>
      </c>
      <c r="T232" s="4" t="str">
        <f t="shared" si="100"/>
        <v/>
      </c>
      <c r="U232" s="5" t="str">
        <f t="shared" si="101"/>
        <v/>
      </c>
      <c r="V232" s="7" t="str">
        <f>IF(W232="","",IF(LOOKUP(W232,'Extration 3E date commande'!$A$6:$A$10000)=W232,LOOKUP(W232,'Extration 3E date commande'!$A$6:$A$10000,'Extration 3E date commande'!$C$6:$C$10000),"PAS DE DATE"))</f>
        <v/>
      </c>
    </row>
    <row r="233" spans="1:22" x14ac:dyDescent="0.25">
      <c r="A233" s="3" t="str">
        <f t="shared" si="91"/>
        <v/>
      </c>
      <c r="B233" s="3" t="str">
        <f t="shared" si="92"/>
        <v/>
      </c>
      <c r="C233" s="3" t="str">
        <f t="shared" si="89"/>
        <v/>
      </c>
      <c r="D233" s="3" t="str">
        <f t="shared" si="85"/>
        <v/>
      </c>
      <c r="E233" s="3" t="str">
        <f t="shared" si="86"/>
        <v/>
      </c>
      <c r="F233" s="3" t="str">
        <f t="shared" si="87"/>
        <v/>
      </c>
      <c r="G233" s="3" t="str">
        <f t="shared" si="88"/>
        <v/>
      </c>
      <c r="H233" s="3" t="str">
        <f t="shared" si="93"/>
        <v/>
      </c>
      <c r="I233" s="3" t="str">
        <f t="shared" si="94"/>
        <v/>
      </c>
      <c r="J233" s="2" t="str">
        <f t="shared" si="95"/>
        <v/>
      </c>
      <c r="K233" s="2" t="str">
        <f>IF(W233="","",LOOKUP('Extraction edi'!J233,Paramètrage!$A$6:$A$179,Paramètrage!$B$6:$B$179))</f>
        <v/>
      </c>
      <c r="L233" s="2" t="str">
        <f>IF(W233="","",LOOKUP('Extraction edi'!J233,Paramètrage!$A$6:$A$179,Paramètrage!$C$6:$C$179))</f>
        <v/>
      </c>
      <c r="M233" s="2" t="str">
        <f>IF(W233="","",LOOKUP('Extraction edi'!J233,Paramètrage!$A$6:$A$179,Paramètrage!$D$6:$D$179))</f>
        <v/>
      </c>
      <c r="N233" s="3" t="str">
        <f>IF(W233="","",LOOKUP('Extraction edi'!J233,Paramètrage!$A$6:$A$179,Paramètrage!$E$6:$E$179))</f>
        <v/>
      </c>
      <c r="O233" s="3" t="str">
        <f t="shared" si="96"/>
        <v/>
      </c>
      <c r="P233" s="3" t="str">
        <f t="shared" si="97"/>
        <v/>
      </c>
      <c r="Q233" s="3" t="str">
        <f t="shared" si="90"/>
        <v/>
      </c>
      <c r="R233" s="3" t="str">
        <f t="shared" si="98"/>
        <v/>
      </c>
      <c r="S233" s="3" t="str">
        <f t="shared" si="99"/>
        <v/>
      </c>
      <c r="T233" s="4" t="str">
        <f t="shared" si="100"/>
        <v/>
      </c>
      <c r="U233" s="5" t="str">
        <f t="shared" si="101"/>
        <v/>
      </c>
      <c r="V233" s="7" t="str">
        <f>IF(W233="","",IF(LOOKUP(W233,'Extration 3E date commande'!$A$6:$A$10000)=W233,LOOKUP(W233,'Extration 3E date commande'!$A$6:$A$10000,'Extration 3E date commande'!$C$6:$C$10000),"PAS DE DATE"))</f>
        <v/>
      </c>
    </row>
    <row r="234" spans="1:22" x14ac:dyDescent="0.25">
      <c r="A234" s="3" t="str">
        <f t="shared" si="91"/>
        <v/>
      </c>
      <c r="B234" s="3" t="str">
        <f t="shared" si="92"/>
        <v/>
      </c>
      <c r="C234" s="3" t="str">
        <f t="shared" si="89"/>
        <v/>
      </c>
      <c r="D234" s="3" t="str">
        <f t="shared" si="85"/>
        <v/>
      </c>
      <c r="E234" s="3" t="str">
        <f t="shared" si="86"/>
        <v/>
      </c>
      <c r="F234" s="3" t="str">
        <f t="shared" si="87"/>
        <v/>
      </c>
      <c r="G234" s="3" t="str">
        <f t="shared" si="88"/>
        <v/>
      </c>
      <c r="H234" s="3" t="str">
        <f t="shared" si="93"/>
        <v/>
      </c>
      <c r="I234" s="3" t="str">
        <f t="shared" si="94"/>
        <v/>
      </c>
      <c r="J234" s="2" t="str">
        <f t="shared" si="95"/>
        <v/>
      </c>
      <c r="K234" s="2" t="str">
        <f>IF(W234="","",LOOKUP('Extraction edi'!J234,Paramètrage!$A$6:$A$179,Paramètrage!$B$6:$B$179))</f>
        <v/>
      </c>
      <c r="L234" s="2" t="str">
        <f>IF(W234="","",LOOKUP('Extraction edi'!J234,Paramètrage!$A$6:$A$179,Paramètrage!$C$6:$C$179))</f>
        <v/>
      </c>
      <c r="M234" s="2" t="str">
        <f>IF(W234="","",LOOKUP('Extraction edi'!J234,Paramètrage!$A$6:$A$179,Paramètrage!$D$6:$D$179))</f>
        <v/>
      </c>
      <c r="N234" s="3" t="str">
        <f>IF(W234="","",LOOKUP('Extraction edi'!J234,Paramètrage!$A$6:$A$179,Paramètrage!$E$6:$E$179))</f>
        <v/>
      </c>
      <c r="O234" s="3" t="str">
        <f t="shared" si="96"/>
        <v/>
      </c>
      <c r="P234" s="3" t="str">
        <f t="shared" si="97"/>
        <v/>
      </c>
      <c r="Q234" s="3" t="str">
        <f t="shared" si="90"/>
        <v/>
      </c>
      <c r="R234" s="3" t="str">
        <f t="shared" si="98"/>
        <v/>
      </c>
      <c r="S234" s="3" t="str">
        <f t="shared" si="99"/>
        <v/>
      </c>
      <c r="T234" s="4" t="str">
        <f t="shared" si="100"/>
        <v/>
      </c>
      <c r="U234" s="5" t="str">
        <f t="shared" si="101"/>
        <v/>
      </c>
      <c r="V234" s="7" t="str">
        <f>IF(W234="","",IF(LOOKUP(W234,'Extration 3E date commande'!$A$6:$A$10000)=W234,LOOKUP(W234,'Extration 3E date commande'!$A$6:$A$10000,'Extration 3E date commande'!$C$6:$C$10000),"PAS DE DATE"))</f>
        <v/>
      </c>
    </row>
    <row r="235" spans="1:22" x14ac:dyDescent="0.25">
      <c r="A235" s="3" t="str">
        <f t="shared" si="91"/>
        <v/>
      </c>
      <c r="B235" s="3" t="str">
        <f t="shared" si="92"/>
        <v/>
      </c>
      <c r="C235" s="3" t="str">
        <f t="shared" si="89"/>
        <v/>
      </c>
      <c r="D235" s="3" t="str">
        <f t="shared" si="85"/>
        <v/>
      </c>
      <c r="E235" s="3" t="str">
        <f t="shared" si="86"/>
        <v/>
      </c>
      <c r="F235" s="3" t="str">
        <f t="shared" si="87"/>
        <v/>
      </c>
      <c r="G235" s="3" t="str">
        <f t="shared" si="88"/>
        <v/>
      </c>
      <c r="H235" s="3" t="str">
        <f t="shared" si="93"/>
        <v/>
      </c>
      <c r="I235" s="3" t="str">
        <f t="shared" si="94"/>
        <v/>
      </c>
      <c r="J235" s="2" t="str">
        <f t="shared" si="95"/>
        <v/>
      </c>
      <c r="K235" s="2" t="str">
        <f>IF(W235="","",LOOKUP('Extraction edi'!J235,Paramètrage!$A$6:$A$179,Paramètrage!$B$6:$B$179))</f>
        <v/>
      </c>
      <c r="L235" s="2" t="str">
        <f>IF(W235="","",LOOKUP('Extraction edi'!J235,Paramètrage!$A$6:$A$179,Paramètrage!$C$6:$C$179))</f>
        <v/>
      </c>
      <c r="M235" s="2" t="str">
        <f>IF(W235="","",LOOKUP('Extraction edi'!J235,Paramètrage!$A$6:$A$179,Paramètrage!$D$6:$D$179))</f>
        <v/>
      </c>
      <c r="N235" s="3" t="str">
        <f>IF(W235="","",LOOKUP('Extraction edi'!J235,Paramètrage!$A$6:$A$179,Paramètrage!$E$6:$E$179))</f>
        <v/>
      </c>
      <c r="O235" s="3" t="str">
        <f t="shared" si="96"/>
        <v/>
      </c>
      <c r="P235" s="3" t="str">
        <f t="shared" si="97"/>
        <v/>
      </c>
      <c r="Q235" s="3" t="str">
        <f t="shared" si="90"/>
        <v/>
      </c>
      <c r="R235" s="3" t="str">
        <f t="shared" si="98"/>
        <v/>
      </c>
      <c r="S235" s="3" t="str">
        <f t="shared" si="99"/>
        <v/>
      </c>
      <c r="T235" s="4" t="str">
        <f t="shared" si="100"/>
        <v/>
      </c>
      <c r="U235" s="5" t="str">
        <f t="shared" si="101"/>
        <v/>
      </c>
      <c r="V235" s="7" t="str">
        <f>IF(W235="","",IF(LOOKUP(W235,'Extration 3E date commande'!$A$6:$A$10000)=W235,LOOKUP(W235,'Extration 3E date commande'!$A$6:$A$10000,'Extration 3E date commande'!$C$6:$C$10000),"PAS DE DATE"))</f>
        <v/>
      </c>
    </row>
    <row r="236" spans="1:22" x14ac:dyDescent="0.25">
      <c r="A236" s="3" t="str">
        <f t="shared" si="91"/>
        <v/>
      </c>
      <c r="B236" s="3" t="str">
        <f t="shared" si="92"/>
        <v/>
      </c>
      <c r="C236" s="3" t="str">
        <f t="shared" si="89"/>
        <v/>
      </c>
      <c r="D236" s="3" t="str">
        <f t="shared" si="85"/>
        <v/>
      </c>
      <c r="E236" s="3" t="str">
        <f t="shared" si="86"/>
        <v/>
      </c>
      <c r="F236" s="3" t="str">
        <f t="shared" si="87"/>
        <v/>
      </c>
      <c r="G236" s="3" t="str">
        <f t="shared" si="88"/>
        <v/>
      </c>
      <c r="H236" s="3" t="str">
        <f t="shared" si="93"/>
        <v/>
      </c>
      <c r="I236" s="3" t="str">
        <f t="shared" si="94"/>
        <v/>
      </c>
      <c r="J236" s="2" t="str">
        <f t="shared" si="95"/>
        <v/>
      </c>
      <c r="K236" s="2" t="str">
        <f>IF(W236="","",LOOKUP('Extraction edi'!J236,Paramètrage!$A$6:$A$179,Paramètrage!$B$6:$B$179))</f>
        <v/>
      </c>
      <c r="L236" s="2" t="str">
        <f>IF(W236="","",LOOKUP('Extraction edi'!J236,Paramètrage!$A$6:$A$179,Paramètrage!$C$6:$C$179))</f>
        <v/>
      </c>
      <c r="M236" s="2" t="str">
        <f>IF(W236="","",LOOKUP('Extraction edi'!J236,Paramètrage!$A$6:$A$179,Paramètrage!$D$6:$D$179))</f>
        <v/>
      </c>
      <c r="N236" s="3" t="str">
        <f>IF(W236="","",LOOKUP('Extraction edi'!J236,Paramètrage!$A$6:$A$179,Paramètrage!$E$6:$E$179))</f>
        <v/>
      </c>
      <c r="O236" s="3" t="str">
        <f t="shared" si="96"/>
        <v/>
      </c>
      <c r="P236" s="3" t="str">
        <f t="shared" si="97"/>
        <v/>
      </c>
      <c r="Q236" s="3" t="str">
        <f t="shared" si="90"/>
        <v/>
      </c>
      <c r="R236" s="3" t="str">
        <f t="shared" si="98"/>
        <v/>
      </c>
      <c r="S236" s="3" t="str">
        <f t="shared" si="99"/>
        <v/>
      </c>
      <c r="T236" s="4" t="str">
        <f t="shared" si="100"/>
        <v/>
      </c>
      <c r="U236" s="5" t="str">
        <f t="shared" si="101"/>
        <v/>
      </c>
      <c r="V236" s="7" t="str">
        <f>IF(W236="","",IF(LOOKUP(W236,'Extration 3E date commande'!$A$6:$A$10000)=W236,LOOKUP(W236,'Extration 3E date commande'!$A$6:$A$10000,'Extration 3E date commande'!$C$6:$C$10000),"PAS DE DATE"))</f>
        <v/>
      </c>
    </row>
    <row r="237" spans="1:22" x14ac:dyDescent="0.25">
      <c r="A237" s="3" t="str">
        <f t="shared" si="91"/>
        <v/>
      </c>
      <c r="B237" s="3" t="str">
        <f t="shared" si="92"/>
        <v/>
      </c>
      <c r="C237" s="3" t="str">
        <f t="shared" si="89"/>
        <v/>
      </c>
      <c r="D237" s="3" t="str">
        <f t="shared" si="85"/>
        <v/>
      </c>
      <c r="E237" s="3" t="str">
        <f t="shared" si="86"/>
        <v/>
      </c>
      <c r="F237" s="3" t="str">
        <f t="shared" si="87"/>
        <v/>
      </c>
      <c r="G237" s="3" t="str">
        <f t="shared" si="88"/>
        <v/>
      </c>
      <c r="H237" s="3" t="str">
        <f t="shared" si="93"/>
        <v/>
      </c>
      <c r="I237" s="3" t="str">
        <f t="shared" si="94"/>
        <v/>
      </c>
      <c r="J237" s="2" t="str">
        <f t="shared" si="95"/>
        <v/>
      </c>
      <c r="K237" s="2" t="str">
        <f>IF(W237="","",LOOKUP('Extraction edi'!J237,Paramètrage!$A$6:$A$179,Paramètrage!$B$6:$B$179))</f>
        <v/>
      </c>
      <c r="L237" s="2" t="str">
        <f>IF(W237="","",LOOKUP('Extraction edi'!J237,Paramètrage!$A$6:$A$179,Paramètrage!$C$6:$C$179))</f>
        <v/>
      </c>
      <c r="M237" s="2" t="str">
        <f>IF(W237="","",LOOKUP('Extraction edi'!J237,Paramètrage!$A$6:$A$179,Paramètrage!$D$6:$D$179))</f>
        <v/>
      </c>
      <c r="N237" s="3" t="str">
        <f>IF(W237="","",LOOKUP('Extraction edi'!J237,Paramètrage!$A$6:$A$179,Paramètrage!$E$6:$E$179))</f>
        <v/>
      </c>
      <c r="O237" s="3" t="str">
        <f t="shared" si="96"/>
        <v/>
      </c>
      <c r="P237" s="3" t="str">
        <f t="shared" si="97"/>
        <v/>
      </c>
      <c r="Q237" s="3" t="str">
        <f t="shared" si="90"/>
        <v/>
      </c>
      <c r="R237" s="3" t="str">
        <f t="shared" si="98"/>
        <v/>
      </c>
      <c r="S237" s="3" t="str">
        <f t="shared" si="99"/>
        <v/>
      </c>
      <c r="T237" s="4" t="str">
        <f t="shared" si="100"/>
        <v/>
      </c>
      <c r="U237" s="5" t="str">
        <f t="shared" si="101"/>
        <v/>
      </c>
      <c r="V237" s="7" t="str">
        <f>IF(W237="","",IF(LOOKUP(W237,'Extration 3E date commande'!$A$6:$A$10000)=W237,LOOKUP(W237,'Extration 3E date commande'!$A$6:$A$10000,'Extration 3E date commande'!$C$6:$C$10000),"PAS DE DATE"))</f>
        <v/>
      </c>
    </row>
    <row r="238" spans="1:22" x14ac:dyDescent="0.25">
      <c r="A238" s="3" t="str">
        <f t="shared" si="91"/>
        <v/>
      </c>
      <c r="B238" s="3" t="str">
        <f t="shared" si="92"/>
        <v/>
      </c>
      <c r="C238" s="3" t="str">
        <f t="shared" si="89"/>
        <v/>
      </c>
      <c r="D238" s="3" t="str">
        <f t="shared" si="85"/>
        <v/>
      </c>
      <c r="E238" s="3" t="str">
        <f t="shared" si="86"/>
        <v/>
      </c>
      <c r="F238" s="3" t="str">
        <f t="shared" si="87"/>
        <v/>
      </c>
      <c r="G238" s="3" t="str">
        <f t="shared" si="88"/>
        <v/>
      </c>
      <c r="H238" s="3" t="str">
        <f t="shared" si="93"/>
        <v/>
      </c>
      <c r="I238" s="3" t="str">
        <f t="shared" si="94"/>
        <v/>
      </c>
      <c r="J238" s="2" t="str">
        <f t="shared" si="95"/>
        <v/>
      </c>
      <c r="K238" s="2" t="str">
        <f>IF(W238="","",LOOKUP('Extraction edi'!J238,Paramètrage!$A$6:$A$179,Paramètrage!$B$6:$B$179))</f>
        <v/>
      </c>
      <c r="L238" s="2" t="str">
        <f>IF(W238="","",LOOKUP('Extraction edi'!J238,Paramètrage!$A$6:$A$179,Paramètrage!$C$6:$C$179))</f>
        <v/>
      </c>
      <c r="M238" s="2" t="str">
        <f>IF(W238="","",LOOKUP('Extraction edi'!J238,Paramètrage!$A$6:$A$179,Paramètrage!$D$6:$D$179))</f>
        <v/>
      </c>
      <c r="N238" s="3" t="str">
        <f>IF(W238="","",LOOKUP('Extraction edi'!J238,Paramètrage!$A$6:$A$179,Paramètrage!$E$6:$E$179))</f>
        <v/>
      </c>
      <c r="O238" s="3" t="str">
        <f t="shared" si="96"/>
        <v/>
      </c>
      <c r="P238" s="3" t="str">
        <f t="shared" si="97"/>
        <v/>
      </c>
      <c r="Q238" s="3" t="str">
        <f t="shared" si="90"/>
        <v/>
      </c>
      <c r="R238" s="3" t="str">
        <f t="shared" si="98"/>
        <v/>
      </c>
      <c r="S238" s="3" t="str">
        <f t="shared" si="99"/>
        <v/>
      </c>
      <c r="T238" s="4" t="str">
        <f t="shared" si="100"/>
        <v/>
      </c>
      <c r="U238" s="5" t="str">
        <f t="shared" si="101"/>
        <v/>
      </c>
      <c r="V238" s="7" t="str">
        <f>IF(W238="","",IF(LOOKUP(W238,'Extration 3E date commande'!$A$6:$A$10000)=W238,LOOKUP(W238,'Extration 3E date commande'!$A$6:$A$10000,'Extration 3E date commande'!$C$6:$C$10000),"PAS DE DATE"))</f>
        <v/>
      </c>
    </row>
    <row r="239" spans="1:22" x14ac:dyDescent="0.25">
      <c r="A239" s="3" t="str">
        <f t="shared" si="91"/>
        <v/>
      </c>
      <c r="B239" s="3" t="str">
        <f t="shared" si="92"/>
        <v/>
      </c>
      <c r="C239" s="3" t="str">
        <f t="shared" si="89"/>
        <v/>
      </c>
      <c r="D239" s="3" t="str">
        <f t="shared" si="85"/>
        <v/>
      </c>
      <c r="E239" s="3" t="str">
        <f t="shared" si="86"/>
        <v/>
      </c>
      <c r="F239" s="3" t="str">
        <f t="shared" si="87"/>
        <v/>
      </c>
      <c r="G239" s="3" t="str">
        <f t="shared" si="88"/>
        <v/>
      </c>
      <c r="H239" s="3" t="str">
        <f t="shared" si="93"/>
        <v/>
      </c>
      <c r="I239" s="3" t="str">
        <f t="shared" si="94"/>
        <v/>
      </c>
      <c r="J239" s="2" t="str">
        <f t="shared" si="95"/>
        <v/>
      </c>
      <c r="K239" s="2" t="str">
        <f>IF(W239="","",LOOKUP('Extraction edi'!J239,Paramètrage!$A$6:$A$179,Paramètrage!$B$6:$B$179))</f>
        <v/>
      </c>
      <c r="L239" s="2" t="str">
        <f>IF(W239="","",LOOKUP('Extraction edi'!J239,Paramètrage!$A$6:$A$179,Paramètrage!$C$6:$C$179))</f>
        <v/>
      </c>
      <c r="M239" s="2" t="str">
        <f>IF(W239="","",LOOKUP('Extraction edi'!J239,Paramètrage!$A$6:$A$179,Paramètrage!$D$6:$D$179))</f>
        <v/>
      </c>
      <c r="N239" s="3" t="str">
        <f>IF(W239="","",LOOKUP('Extraction edi'!J239,Paramètrage!$A$6:$A$179,Paramètrage!$E$6:$E$179))</f>
        <v/>
      </c>
      <c r="O239" s="3" t="str">
        <f t="shared" si="96"/>
        <v/>
      </c>
      <c r="P239" s="3" t="str">
        <f t="shared" si="97"/>
        <v/>
      </c>
      <c r="Q239" s="3" t="str">
        <f t="shared" si="90"/>
        <v/>
      </c>
      <c r="R239" s="3" t="str">
        <f t="shared" si="98"/>
        <v/>
      </c>
      <c r="S239" s="3" t="str">
        <f t="shared" si="99"/>
        <v/>
      </c>
      <c r="T239" s="4" t="str">
        <f t="shared" si="100"/>
        <v/>
      </c>
      <c r="U239" s="5" t="str">
        <f t="shared" si="101"/>
        <v/>
      </c>
      <c r="V239" s="7" t="str">
        <f>IF(W239="","",IF(LOOKUP(W239,'Extration 3E date commande'!$A$6:$A$10000)=W239,LOOKUP(W239,'Extration 3E date commande'!$A$6:$A$10000,'Extration 3E date commande'!$C$6:$C$10000),"PAS DE DATE"))</f>
        <v/>
      </c>
    </row>
    <row r="240" spans="1:22" x14ac:dyDescent="0.25">
      <c r="A240" s="3" t="str">
        <f t="shared" si="91"/>
        <v/>
      </c>
      <c r="B240" s="3" t="str">
        <f t="shared" si="92"/>
        <v/>
      </c>
      <c r="C240" s="3" t="str">
        <f t="shared" si="89"/>
        <v/>
      </c>
      <c r="D240" s="3" t="str">
        <f t="shared" si="85"/>
        <v/>
      </c>
      <c r="E240" s="3" t="str">
        <f t="shared" si="86"/>
        <v/>
      </c>
      <c r="F240" s="3" t="str">
        <f t="shared" si="87"/>
        <v/>
      </c>
      <c r="G240" s="3" t="str">
        <f t="shared" si="88"/>
        <v/>
      </c>
      <c r="H240" s="3" t="str">
        <f t="shared" si="93"/>
        <v/>
      </c>
      <c r="I240" s="3" t="str">
        <f t="shared" si="94"/>
        <v/>
      </c>
      <c r="J240" s="2" t="str">
        <f t="shared" si="95"/>
        <v/>
      </c>
      <c r="K240" s="2" t="str">
        <f>IF(W240="","",LOOKUP('Extraction edi'!J240,Paramètrage!$A$6:$A$179,Paramètrage!$B$6:$B$179))</f>
        <v/>
      </c>
      <c r="L240" s="2" t="str">
        <f>IF(W240="","",LOOKUP('Extraction edi'!J240,Paramètrage!$A$6:$A$179,Paramètrage!$C$6:$C$179))</f>
        <v/>
      </c>
      <c r="M240" s="2" t="str">
        <f>IF(W240="","",LOOKUP('Extraction edi'!J240,Paramètrage!$A$6:$A$179,Paramètrage!$D$6:$D$179))</f>
        <v/>
      </c>
      <c r="N240" s="3" t="str">
        <f>IF(W240="","",LOOKUP('Extraction edi'!J240,Paramètrage!$A$6:$A$179,Paramètrage!$E$6:$E$179))</f>
        <v/>
      </c>
      <c r="O240" s="3" t="str">
        <f t="shared" si="96"/>
        <v/>
      </c>
      <c r="P240" s="3" t="str">
        <f t="shared" si="97"/>
        <v/>
      </c>
      <c r="Q240" s="3" t="str">
        <f t="shared" si="90"/>
        <v/>
      </c>
      <c r="R240" s="3" t="str">
        <f t="shared" si="98"/>
        <v/>
      </c>
      <c r="S240" s="3" t="str">
        <f t="shared" si="99"/>
        <v/>
      </c>
      <c r="T240" s="4" t="str">
        <f t="shared" si="100"/>
        <v/>
      </c>
      <c r="U240" s="5" t="str">
        <f t="shared" si="101"/>
        <v/>
      </c>
      <c r="V240" s="7" t="str">
        <f>IF(W240="","",IF(LOOKUP(W240,'Extration 3E date commande'!$A$6:$A$10000)=W240,LOOKUP(W240,'Extration 3E date commande'!$A$6:$A$10000,'Extration 3E date commande'!$C$6:$C$10000),"PAS DE DATE"))</f>
        <v/>
      </c>
    </row>
    <row r="241" spans="1:22" x14ac:dyDescent="0.25">
      <c r="A241" s="3" t="str">
        <f t="shared" si="91"/>
        <v/>
      </c>
      <c r="B241" s="3" t="str">
        <f t="shared" si="92"/>
        <v/>
      </c>
      <c r="C241" s="3" t="str">
        <f t="shared" si="89"/>
        <v/>
      </c>
      <c r="D241" s="3" t="str">
        <f t="shared" si="85"/>
        <v/>
      </c>
      <c r="E241" s="3" t="str">
        <f t="shared" si="86"/>
        <v/>
      </c>
      <c r="F241" s="3" t="str">
        <f t="shared" si="87"/>
        <v/>
      </c>
      <c r="G241" s="3" t="str">
        <f t="shared" si="88"/>
        <v/>
      </c>
      <c r="H241" s="3" t="str">
        <f t="shared" si="93"/>
        <v/>
      </c>
      <c r="I241" s="3" t="str">
        <f t="shared" si="94"/>
        <v/>
      </c>
      <c r="J241" s="2" t="str">
        <f t="shared" si="95"/>
        <v/>
      </c>
      <c r="K241" s="2" t="str">
        <f>IF(W241="","",LOOKUP('Extraction edi'!J241,Paramètrage!$A$6:$A$179,Paramètrage!$B$6:$B$179))</f>
        <v/>
      </c>
      <c r="L241" s="2" t="str">
        <f>IF(W241="","",LOOKUP('Extraction edi'!J241,Paramètrage!$A$6:$A$179,Paramètrage!$C$6:$C$179))</f>
        <v/>
      </c>
      <c r="M241" s="2" t="str">
        <f>IF(W241="","",LOOKUP('Extraction edi'!J241,Paramètrage!$A$6:$A$179,Paramètrage!$D$6:$D$179))</f>
        <v/>
      </c>
      <c r="N241" s="3" t="str">
        <f>IF(W241="","",LOOKUP('Extraction edi'!J241,Paramètrage!$A$6:$A$179,Paramètrage!$E$6:$E$179))</f>
        <v/>
      </c>
      <c r="O241" s="3" t="str">
        <f t="shared" si="96"/>
        <v/>
      </c>
      <c r="P241" s="3" t="str">
        <f t="shared" si="97"/>
        <v/>
      </c>
      <c r="Q241" s="3" t="str">
        <f t="shared" si="90"/>
        <v/>
      </c>
      <c r="R241" s="3" t="str">
        <f t="shared" si="98"/>
        <v/>
      </c>
      <c r="S241" s="3" t="str">
        <f t="shared" si="99"/>
        <v/>
      </c>
      <c r="T241" s="4" t="str">
        <f t="shared" si="100"/>
        <v/>
      </c>
      <c r="U241" s="5" t="str">
        <f t="shared" si="101"/>
        <v/>
      </c>
      <c r="V241" s="7" t="str">
        <f>IF(W241="","",IF(LOOKUP(W241,'Extration 3E date commande'!$A$6:$A$10000)=W241,LOOKUP(W241,'Extration 3E date commande'!$A$6:$A$10000,'Extration 3E date commande'!$C$6:$C$10000),"PAS DE DATE"))</f>
        <v/>
      </c>
    </row>
    <row r="242" spans="1:22" x14ac:dyDescent="0.25">
      <c r="A242" s="3" t="str">
        <f t="shared" si="91"/>
        <v/>
      </c>
      <c r="B242" s="3" t="str">
        <f t="shared" si="92"/>
        <v/>
      </c>
      <c r="C242" s="3" t="str">
        <f t="shared" si="89"/>
        <v/>
      </c>
      <c r="D242" s="3" t="str">
        <f t="shared" si="85"/>
        <v/>
      </c>
      <c r="E242" s="3" t="str">
        <f t="shared" si="86"/>
        <v/>
      </c>
      <c r="F242" s="3" t="str">
        <f t="shared" si="87"/>
        <v/>
      </c>
      <c r="G242" s="3" t="str">
        <f t="shared" si="88"/>
        <v/>
      </c>
      <c r="H242" s="3" t="str">
        <f t="shared" si="93"/>
        <v/>
      </c>
      <c r="I242" s="3" t="str">
        <f t="shared" si="94"/>
        <v/>
      </c>
      <c r="J242" s="2" t="str">
        <f t="shared" si="95"/>
        <v/>
      </c>
      <c r="K242" s="2" t="str">
        <f>IF(W242="","",LOOKUP('Extraction edi'!J242,Paramètrage!$A$6:$A$179,Paramètrage!$B$6:$B$179))</f>
        <v/>
      </c>
      <c r="L242" s="2" t="str">
        <f>IF(W242="","",LOOKUP('Extraction edi'!J242,Paramètrage!$A$6:$A$179,Paramètrage!$C$6:$C$179))</f>
        <v/>
      </c>
      <c r="M242" s="2" t="str">
        <f>IF(W242="","",LOOKUP('Extraction edi'!J242,Paramètrage!$A$6:$A$179,Paramètrage!$D$6:$D$179))</f>
        <v/>
      </c>
      <c r="N242" s="3" t="str">
        <f>IF(W242="","",LOOKUP('Extraction edi'!J242,Paramètrage!$A$6:$A$179,Paramètrage!$E$6:$E$179))</f>
        <v/>
      </c>
      <c r="O242" s="3" t="str">
        <f t="shared" si="96"/>
        <v/>
      </c>
      <c r="P242" s="3" t="str">
        <f t="shared" si="97"/>
        <v/>
      </c>
      <c r="Q242" s="3" t="str">
        <f t="shared" si="90"/>
        <v/>
      </c>
      <c r="R242" s="3" t="str">
        <f t="shared" si="98"/>
        <v/>
      </c>
      <c r="S242" s="3" t="str">
        <f t="shared" si="99"/>
        <v/>
      </c>
      <c r="T242" s="4" t="str">
        <f t="shared" si="100"/>
        <v/>
      </c>
      <c r="U242" s="5" t="str">
        <f t="shared" si="101"/>
        <v/>
      </c>
      <c r="V242" s="7" t="str">
        <f>IF(W242="","",IF(LOOKUP(W242,'Extration 3E date commande'!$A$6:$A$10000)=W242,LOOKUP(W242,'Extration 3E date commande'!$A$6:$A$10000,'Extration 3E date commande'!$C$6:$C$10000),"PAS DE DATE"))</f>
        <v/>
      </c>
    </row>
    <row r="243" spans="1:22" x14ac:dyDescent="0.25">
      <c r="A243" s="3" t="str">
        <f t="shared" si="91"/>
        <v/>
      </c>
      <c r="B243" s="3" t="str">
        <f t="shared" si="92"/>
        <v/>
      </c>
      <c r="C243" s="3" t="str">
        <f t="shared" si="89"/>
        <v/>
      </c>
      <c r="D243" s="3" t="str">
        <f t="shared" si="85"/>
        <v/>
      </c>
      <c r="E243" s="3" t="str">
        <f t="shared" si="86"/>
        <v/>
      </c>
      <c r="F243" s="3" t="str">
        <f t="shared" si="87"/>
        <v/>
      </c>
      <c r="G243" s="3" t="str">
        <f t="shared" si="88"/>
        <v/>
      </c>
      <c r="H243" s="3" t="str">
        <f t="shared" si="93"/>
        <v/>
      </c>
      <c r="I243" s="3" t="str">
        <f t="shared" si="94"/>
        <v/>
      </c>
      <c r="J243" s="2" t="str">
        <f t="shared" si="95"/>
        <v/>
      </c>
      <c r="K243" s="2" t="str">
        <f>IF(W243="","",LOOKUP('Extraction edi'!J243,Paramètrage!$A$6:$A$179,Paramètrage!$B$6:$B$179))</f>
        <v/>
      </c>
      <c r="L243" s="2" t="str">
        <f>IF(W243="","",LOOKUP('Extraction edi'!J243,Paramètrage!$A$6:$A$179,Paramètrage!$C$6:$C$179))</f>
        <v/>
      </c>
      <c r="M243" s="2" t="str">
        <f>IF(W243="","",LOOKUP('Extraction edi'!J243,Paramètrage!$A$6:$A$179,Paramètrage!$D$6:$D$179))</f>
        <v/>
      </c>
      <c r="N243" s="3" t="str">
        <f>IF(W243="","",LOOKUP('Extraction edi'!J243,Paramètrage!$A$6:$A$179,Paramètrage!$E$6:$E$179))</f>
        <v/>
      </c>
      <c r="O243" s="3" t="str">
        <f t="shared" si="96"/>
        <v/>
      </c>
      <c r="P243" s="3" t="str">
        <f t="shared" si="97"/>
        <v/>
      </c>
      <c r="Q243" s="3" t="str">
        <f t="shared" si="90"/>
        <v/>
      </c>
      <c r="R243" s="3" t="str">
        <f t="shared" si="98"/>
        <v/>
      </c>
      <c r="S243" s="3" t="str">
        <f t="shared" si="99"/>
        <v/>
      </c>
      <c r="T243" s="4" t="str">
        <f t="shared" si="100"/>
        <v/>
      </c>
      <c r="U243" s="5" t="str">
        <f t="shared" si="101"/>
        <v/>
      </c>
      <c r="V243" s="7" t="str">
        <f>IF(W243="","",IF(LOOKUP(W243,'Extration 3E date commande'!$A$6:$A$10000)=W243,LOOKUP(W243,'Extration 3E date commande'!$A$6:$A$10000,'Extration 3E date commande'!$C$6:$C$10000),"PAS DE DATE"))</f>
        <v/>
      </c>
    </row>
    <row r="244" spans="1:22" x14ac:dyDescent="0.25">
      <c r="A244" s="3" t="str">
        <f t="shared" si="91"/>
        <v/>
      </c>
      <c r="B244" s="3" t="str">
        <f t="shared" si="92"/>
        <v/>
      </c>
      <c r="C244" s="3" t="str">
        <f t="shared" si="89"/>
        <v/>
      </c>
      <c r="D244" s="3" t="str">
        <f t="shared" si="85"/>
        <v/>
      </c>
      <c r="E244" s="3" t="str">
        <f t="shared" si="86"/>
        <v/>
      </c>
      <c r="F244" s="3" t="str">
        <f t="shared" si="87"/>
        <v/>
      </c>
      <c r="G244" s="3" t="str">
        <f t="shared" si="88"/>
        <v/>
      </c>
      <c r="H244" s="3" t="str">
        <f t="shared" si="93"/>
        <v/>
      </c>
      <c r="I244" s="3" t="str">
        <f t="shared" si="94"/>
        <v/>
      </c>
      <c r="J244" s="2" t="str">
        <f t="shared" si="95"/>
        <v/>
      </c>
      <c r="K244" s="2" t="str">
        <f>IF(W244="","",LOOKUP('Extraction edi'!J244,Paramètrage!$A$6:$A$179,Paramètrage!$B$6:$B$179))</f>
        <v/>
      </c>
      <c r="L244" s="2" t="str">
        <f>IF(W244="","",LOOKUP('Extraction edi'!J244,Paramètrage!$A$6:$A$179,Paramètrage!$C$6:$C$179))</f>
        <v/>
      </c>
      <c r="M244" s="2" t="str">
        <f>IF(W244="","",LOOKUP('Extraction edi'!J244,Paramètrage!$A$6:$A$179,Paramètrage!$D$6:$D$179))</f>
        <v/>
      </c>
      <c r="N244" s="3" t="str">
        <f>IF(W244="","",LOOKUP('Extraction edi'!J244,Paramètrage!$A$6:$A$179,Paramètrage!$E$6:$E$179))</f>
        <v/>
      </c>
      <c r="O244" s="3" t="str">
        <f t="shared" si="96"/>
        <v/>
      </c>
      <c r="P244" s="3" t="str">
        <f t="shared" si="97"/>
        <v/>
      </c>
      <c r="Q244" s="3" t="str">
        <f t="shared" si="90"/>
        <v/>
      </c>
      <c r="R244" s="3" t="str">
        <f t="shared" si="98"/>
        <v/>
      </c>
      <c r="S244" s="3" t="str">
        <f t="shared" si="99"/>
        <v/>
      </c>
      <c r="T244" s="4" t="str">
        <f t="shared" si="100"/>
        <v/>
      </c>
      <c r="U244" s="5" t="str">
        <f t="shared" si="101"/>
        <v/>
      </c>
      <c r="V244" s="7" t="str">
        <f>IF(W244="","",IF(LOOKUP(W244,'Extration 3E date commande'!$A$6:$A$10000)=W244,LOOKUP(W244,'Extration 3E date commande'!$A$6:$A$10000,'Extration 3E date commande'!$C$6:$C$10000),"PAS DE DATE"))</f>
        <v/>
      </c>
    </row>
    <row r="245" spans="1:22" x14ac:dyDescent="0.25">
      <c r="A245" s="3" t="str">
        <f t="shared" si="91"/>
        <v/>
      </c>
      <c r="B245" s="3" t="str">
        <f t="shared" si="92"/>
        <v/>
      </c>
      <c r="C245" s="3" t="str">
        <f t="shared" si="89"/>
        <v/>
      </c>
      <c r="D245" s="3" t="str">
        <f t="shared" si="85"/>
        <v/>
      </c>
      <c r="E245" s="3" t="str">
        <f t="shared" si="86"/>
        <v/>
      </c>
      <c r="F245" s="3" t="str">
        <f t="shared" si="87"/>
        <v/>
      </c>
      <c r="G245" s="3" t="str">
        <f t="shared" si="88"/>
        <v/>
      </c>
      <c r="H245" s="3" t="str">
        <f t="shared" si="93"/>
        <v/>
      </c>
      <c r="I245" s="3" t="str">
        <f t="shared" si="94"/>
        <v/>
      </c>
      <c r="J245" s="2" t="str">
        <f t="shared" si="95"/>
        <v/>
      </c>
      <c r="K245" s="2" t="str">
        <f>IF(W245="","",LOOKUP('Extraction edi'!J245,Paramètrage!$A$6:$A$179,Paramètrage!$B$6:$B$179))</f>
        <v/>
      </c>
      <c r="L245" s="2" t="str">
        <f>IF(W245="","",LOOKUP('Extraction edi'!J245,Paramètrage!$A$6:$A$179,Paramètrage!$C$6:$C$179))</f>
        <v/>
      </c>
      <c r="M245" s="2" t="str">
        <f>IF(W245="","",LOOKUP('Extraction edi'!J245,Paramètrage!$A$6:$A$179,Paramètrage!$D$6:$D$179))</f>
        <v/>
      </c>
      <c r="N245" s="3" t="str">
        <f>IF(W245="","",LOOKUP('Extraction edi'!J245,Paramètrage!$A$6:$A$179,Paramètrage!$E$6:$E$179))</f>
        <v/>
      </c>
      <c r="O245" s="3" t="str">
        <f t="shared" si="96"/>
        <v/>
      </c>
      <c r="P245" s="3" t="str">
        <f t="shared" si="97"/>
        <v/>
      </c>
      <c r="Q245" s="3" t="str">
        <f t="shared" si="90"/>
        <v/>
      </c>
      <c r="R245" s="3" t="str">
        <f t="shared" si="98"/>
        <v/>
      </c>
      <c r="S245" s="3" t="str">
        <f t="shared" si="99"/>
        <v/>
      </c>
      <c r="T245" s="4" t="str">
        <f t="shared" si="100"/>
        <v/>
      </c>
      <c r="U245" s="5" t="str">
        <f t="shared" si="101"/>
        <v/>
      </c>
      <c r="V245" s="7" t="str">
        <f>IF(W245="","",IF(LOOKUP(W245,'Extration 3E date commande'!$A$6:$A$10000)=W245,LOOKUP(W245,'Extration 3E date commande'!$A$6:$A$10000,'Extration 3E date commande'!$C$6:$C$10000),"PAS DE DATE"))</f>
        <v/>
      </c>
    </row>
    <row r="246" spans="1:22" x14ac:dyDescent="0.25">
      <c r="A246" s="3" t="str">
        <f t="shared" si="91"/>
        <v/>
      </c>
      <c r="B246" s="3" t="str">
        <f t="shared" si="92"/>
        <v/>
      </c>
      <c r="C246" s="3" t="str">
        <f t="shared" si="89"/>
        <v/>
      </c>
      <c r="D246" s="3" t="str">
        <f t="shared" si="85"/>
        <v/>
      </c>
      <c r="E246" s="3" t="str">
        <f t="shared" si="86"/>
        <v/>
      </c>
      <c r="F246" s="3" t="str">
        <f t="shared" si="87"/>
        <v/>
      </c>
      <c r="G246" s="3" t="str">
        <f t="shared" si="88"/>
        <v/>
      </c>
      <c r="H246" s="3" t="str">
        <f t="shared" si="93"/>
        <v/>
      </c>
      <c r="I246" s="3" t="str">
        <f t="shared" si="94"/>
        <v/>
      </c>
      <c r="J246" s="2" t="str">
        <f t="shared" si="95"/>
        <v/>
      </c>
      <c r="K246" s="2" t="str">
        <f>IF(W246="","",LOOKUP('Extraction edi'!J246,Paramètrage!$A$6:$A$179,Paramètrage!$B$6:$B$179))</f>
        <v/>
      </c>
      <c r="L246" s="2" t="str">
        <f>IF(W246="","",LOOKUP('Extraction edi'!J246,Paramètrage!$A$6:$A$179,Paramètrage!$C$6:$C$179))</f>
        <v/>
      </c>
      <c r="M246" s="2" t="str">
        <f>IF(W246="","",LOOKUP('Extraction edi'!J246,Paramètrage!$A$6:$A$179,Paramètrage!$D$6:$D$179))</f>
        <v/>
      </c>
      <c r="N246" s="3" t="str">
        <f>IF(W246="","",LOOKUP('Extraction edi'!J246,Paramètrage!$A$6:$A$179,Paramètrage!$E$6:$E$179))</f>
        <v/>
      </c>
      <c r="O246" s="3" t="str">
        <f t="shared" si="96"/>
        <v/>
      </c>
      <c r="P246" s="3" t="str">
        <f t="shared" si="97"/>
        <v/>
      </c>
      <c r="Q246" s="3" t="str">
        <f t="shared" si="90"/>
        <v/>
      </c>
      <c r="R246" s="3" t="str">
        <f t="shared" si="98"/>
        <v/>
      </c>
      <c r="S246" s="3" t="str">
        <f t="shared" si="99"/>
        <v/>
      </c>
      <c r="T246" s="4" t="str">
        <f t="shared" si="100"/>
        <v/>
      </c>
      <c r="U246" s="5" t="str">
        <f t="shared" si="101"/>
        <v/>
      </c>
      <c r="V246" s="7" t="str">
        <f>IF(W246="","",IF(LOOKUP(W246,'Extration 3E date commande'!$A$6:$A$10000)=W246,LOOKUP(W246,'Extration 3E date commande'!$A$6:$A$10000,'Extration 3E date commande'!$C$6:$C$10000),"PAS DE DATE"))</f>
        <v/>
      </c>
    </row>
    <row r="247" spans="1:22" x14ac:dyDescent="0.25">
      <c r="A247" s="3" t="str">
        <f t="shared" si="91"/>
        <v/>
      </c>
      <c r="B247" s="3" t="str">
        <f t="shared" si="92"/>
        <v/>
      </c>
      <c r="C247" s="3" t="str">
        <f t="shared" si="89"/>
        <v/>
      </c>
      <c r="D247" s="3" t="str">
        <f t="shared" si="85"/>
        <v/>
      </c>
      <c r="E247" s="3" t="str">
        <f t="shared" si="86"/>
        <v/>
      </c>
      <c r="F247" s="3" t="str">
        <f t="shared" si="87"/>
        <v/>
      </c>
      <c r="G247" s="3" t="str">
        <f t="shared" si="88"/>
        <v/>
      </c>
      <c r="H247" s="3" t="str">
        <f t="shared" si="93"/>
        <v/>
      </c>
      <c r="I247" s="3" t="str">
        <f t="shared" si="94"/>
        <v/>
      </c>
      <c r="J247" s="2" t="str">
        <f t="shared" si="95"/>
        <v/>
      </c>
      <c r="K247" s="2" t="str">
        <f>IF(W247="","",LOOKUP('Extraction edi'!J247,Paramètrage!$A$6:$A$179,Paramètrage!$B$6:$B$179))</f>
        <v/>
      </c>
      <c r="L247" s="2" t="str">
        <f>IF(W247="","",LOOKUP('Extraction edi'!J247,Paramètrage!$A$6:$A$179,Paramètrage!$C$6:$C$179))</f>
        <v/>
      </c>
      <c r="M247" s="2" t="str">
        <f>IF(W247="","",LOOKUP('Extraction edi'!J247,Paramètrage!$A$6:$A$179,Paramètrage!$D$6:$D$179))</f>
        <v/>
      </c>
      <c r="N247" s="3" t="str">
        <f>IF(W247="","",LOOKUP('Extraction edi'!J247,Paramètrage!$A$6:$A$179,Paramètrage!$E$6:$E$179))</f>
        <v/>
      </c>
      <c r="O247" s="3" t="str">
        <f t="shared" si="96"/>
        <v/>
      </c>
      <c r="P247" s="3" t="str">
        <f t="shared" si="97"/>
        <v/>
      </c>
      <c r="Q247" s="3" t="str">
        <f t="shared" si="90"/>
        <v/>
      </c>
      <c r="R247" s="3" t="str">
        <f t="shared" si="98"/>
        <v/>
      </c>
      <c r="S247" s="3" t="str">
        <f t="shared" si="99"/>
        <v/>
      </c>
      <c r="T247" s="4" t="str">
        <f t="shared" si="100"/>
        <v/>
      </c>
      <c r="U247" s="5" t="str">
        <f t="shared" si="101"/>
        <v/>
      </c>
      <c r="V247" s="7" t="str">
        <f>IF(W247="","",IF(LOOKUP(W247,'Extration 3E date commande'!$A$6:$A$10000)=W247,LOOKUP(W247,'Extration 3E date commande'!$A$6:$A$10000,'Extration 3E date commande'!$C$6:$C$10000),"PAS DE DATE"))</f>
        <v/>
      </c>
    </row>
    <row r="248" spans="1:22" x14ac:dyDescent="0.25">
      <c r="A248" s="3" t="str">
        <f t="shared" si="91"/>
        <v/>
      </c>
      <c r="B248" s="3" t="str">
        <f t="shared" si="92"/>
        <v/>
      </c>
      <c r="C248" s="3" t="str">
        <f t="shared" si="89"/>
        <v/>
      </c>
      <c r="D248" s="3" t="str">
        <f t="shared" si="85"/>
        <v/>
      </c>
      <c r="E248" s="3" t="str">
        <f t="shared" si="86"/>
        <v/>
      </c>
      <c r="F248" s="3" t="str">
        <f t="shared" si="87"/>
        <v/>
      </c>
      <c r="G248" s="3" t="str">
        <f t="shared" si="88"/>
        <v/>
      </c>
      <c r="H248" s="3" t="str">
        <f t="shared" si="93"/>
        <v/>
      </c>
      <c r="I248" s="3" t="str">
        <f t="shared" si="94"/>
        <v/>
      </c>
      <c r="J248" s="2" t="str">
        <f t="shared" si="95"/>
        <v/>
      </c>
      <c r="K248" s="2" t="str">
        <f>IF(W248="","",LOOKUP('Extraction edi'!J248,Paramètrage!$A$6:$A$179,Paramètrage!$B$6:$B$179))</f>
        <v/>
      </c>
      <c r="L248" s="2" t="str">
        <f>IF(W248="","",LOOKUP('Extraction edi'!J248,Paramètrage!$A$6:$A$179,Paramètrage!$C$6:$C$179))</f>
        <v/>
      </c>
      <c r="M248" s="2" t="str">
        <f>IF(W248="","",LOOKUP('Extraction edi'!J248,Paramètrage!$A$6:$A$179,Paramètrage!$D$6:$D$179))</f>
        <v/>
      </c>
      <c r="N248" s="3" t="str">
        <f>IF(W248="","",LOOKUP('Extraction edi'!J248,Paramètrage!$A$6:$A$179,Paramètrage!$E$6:$E$179))</f>
        <v/>
      </c>
      <c r="O248" s="3" t="str">
        <f t="shared" si="96"/>
        <v/>
      </c>
      <c r="P248" s="3" t="str">
        <f t="shared" si="97"/>
        <v/>
      </c>
      <c r="Q248" s="3" t="str">
        <f t="shared" si="90"/>
        <v/>
      </c>
      <c r="R248" s="3" t="str">
        <f t="shared" si="98"/>
        <v/>
      </c>
      <c r="S248" s="3" t="str">
        <f t="shared" si="99"/>
        <v/>
      </c>
      <c r="T248" s="4" t="str">
        <f t="shared" si="100"/>
        <v/>
      </c>
      <c r="U248" s="5" t="str">
        <f t="shared" si="101"/>
        <v/>
      </c>
      <c r="V248" s="7" t="str">
        <f>IF(W248="","",IF(LOOKUP(W248,'Extration 3E date commande'!$A$6:$A$10000)=W248,LOOKUP(W248,'Extration 3E date commande'!$A$6:$A$10000,'Extration 3E date commande'!$C$6:$C$10000),"PAS DE DATE"))</f>
        <v/>
      </c>
    </row>
    <row r="249" spans="1:22" x14ac:dyDescent="0.25">
      <c r="A249" s="3" t="str">
        <f t="shared" si="91"/>
        <v/>
      </c>
      <c r="B249" s="3" t="str">
        <f t="shared" si="92"/>
        <v/>
      </c>
      <c r="C249" s="3" t="str">
        <f t="shared" si="89"/>
        <v/>
      </c>
      <c r="D249" s="3" t="str">
        <f t="shared" si="85"/>
        <v/>
      </c>
      <c r="E249" s="3" t="str">
        <f t="shared" si="86"/>
        <v/>
      </c>
      <c r="F249" s="3" t="str">
        <f t="shared" si="87"/>
        <v/>
      </c>
      <c r="G249" s="3" t="str">
        <f t="shared" si="88"/>
        <v/>
      </c>
      <c r="H249" s="3" t="str">
        <f t="shared" si="93"/>
        <v/>
      </c>
      <c r="I249" s="3" t="str">
        <f t="shared" si="94"/>
        <v/>
      </c>
      <c r="J249" s="2" t="str">
        <f t="shared" si="95"/>
        <v/>
      </c>
      <c r="K249" s="2" t="str">
        <f>IF(W249="","",LOOKUP('Extraction edi'!J249,Paramètrage!$A$6:$A$179,Paramètrage!$B$6:$B$179))</f>
        <v/>
      </c>
      <c r="L249" s="2" t="str">
        <f>IF(W249="","",LOOKUP('Extraction edi'!J249,Paramètrage!$A$6:$A$179,Paramètrage!$C$6:$C$179))</f>
        <v/>
      </c>
      <c r="M249" s="2" t="str">
        <f>IF(W249="","",LOOKUP('Extraction edi'!J249,Paramètrage!$A$6:$A$179,Paramètrage!$D$6:$D$179))</f>
        <v/>
      </c>
      <c r="N249" s="3" t="str">
        <f>IF(W249="","",LOOKUP('Extraction edi'!J249,Paramètrage!$A$6:$A$179,Paramètrage!$E$6:$E$179))</f>
        <v/>
      </c>
      <c r="O249" s="3" t="str">
        <f t="shared" si="96"/>
        <v/>
      </c>
      <c r="P249" s="3" t="str">
        <f t="shared" si="97"/>
        <v/>
      </c>
      <c r="Q249" s="3" t="str">
        <f t="shared" si="90"/>
        <v/>
      </c>
      <c r="R249" s="3" t="str">
        <f t="shared" si="98"/>
        <v/>
      </c>
      <c r="S249" s="3" t="str">
        <f t="shared" si="99"/>
        <v/>
      </c>
      <c r="T249" s="4" t="str">
        <f t="shared" si="100"/>
        <v/>
      </c>
      <c r="U249" s="5" t="str">
        <f t="shared" si="101"/>
        <v/>
      </c>
      <c r="V249" s="7" t="str">
        <f>IF(W249="","",IF(LOOKUP(W249,'Extration 3E date commande'!$A$6:$A$10000)=W249,LOOKUP(W249,'Extration 3E date commande'!$A$6:$A$10000,'Extration 3E date commande'!$C$6:$C$10000),"PAS DE DATE"))</f>
        <v/>
      </c>
    </row>
    <row r="250" spans="1:22" x14ac:dyDescent="0.25">
      <c r="A250" s="3" t="str">
        <f t="shared" si="91"/>
        <v/>
      </c>
      <c r="B250" s="3" t="str">
        <f t="shared" si="92"/>
        <v/>
      </c>
      <c r="C250" s="3" t="str">
        <f t="shared" si="89"/>
        <v/>
      </c>
      <c r="D250" s="3" t="str">
        <f t="shared" si="85"/>
        <v/>
      </c>
      <c r="E250" s="3" t="str">
        <f t="shared" si="86"/>
        <v/>
      </c>
      <c r="F250" s="3" t="str">
        <f t="shared" si="87"/>
        <v/>
      </c>
      <c r="G250" s="3" t="str">
        <f t="shared" si="88"/>
        <v/>
      </c>
      <c r="H250" s="3" t="str">
        <f t="shared" si="93"/>
        <v/>
      </c>
      <c r="I250" s="3" t="str">
        <f t="shared" si="94"/>
        <v/>
      </c>
      <c r="J250" s="2" t="str">
        <f t="shared" si="95"/>
        <v/>
      </c>
      <c r="K250" s="2" t="str">
        <f>IF(W250="","",LOOKUP('Extraction edi'!J250,Paramètrage!$A$6:$A$179,Paramètrage!$B$6:$B$179))</f>
        <v/>
      </c>
      <c r="L250" s="2" t="str">
        <f>IF(W250="","",LOOKUP('Extraction edi'!J250,Paramètrage!$A$6:$A$179,Paramètrage!$C$6:$C$179))</f>
        <v/>
      </c>
      <c r="M250" s="2" t="str">
        <f>IF(W250="","",LOOKUP('Extraction edi'!J250,Paramètrage!$A$6:$A$179,Paramètrage!$D$6:$D$179))</f>
        <v/>
      </c>
      <c r="N250" s="3" t="str">
        <f>IF(W250="","",LOOKUP('Extraction edi'!J250,Paramètrage!$A$6:$A$179,Paramètrage!$E$6:$E$179))</f>
        <v/>
      </c>
      <c r="O250" s="3" t="str">
        <f t="shared" si="96"/>
        <v/>
      </c>
      <c r="P250" s="3" t="str">
        <f t="shared" si="97"/>
        <v/>
      </c>
      <c r="Q250" s="3" t="str">
        <f t="shared" si="90"/>
        <v/>
      </c>
      <c r="R250" s="3" t="str">
        <f t="shared" si="98"/>
        <v/>
      </c>
      <c r="S250" s="3" t="str">
        <f t="shared" si="99"/>
        <v/>
      </c>
      <c r="T250" s="4" t="str">
        <f t="shared" si="100"/>
        <v/>
      </c>
      <c r="U250" s="5" t="str">
        <f t="shared" si="101"/>
        <v/>
      </c>
      <c r="V250" s="7" t="str">
        <f>IF(W250="","",IF(LOOKUP(W250,'Extration 3E date commande'!$A$6:$A$10000)=W250,LOOKUP(W250,'Extration 3E date commande'!$A$6:$A$10000,'Extration 3E date commande'!$C$6:$C$10000),"PAS DE DATE"))</f>
        <v/>
      </c>
    </row>
    <row r="251" spans="1:22" x14ac:dyDescent="0.25">
      <c r="A251" s="3" t="str">
        <f t="shared" si="91"/>
        <v/>
      </c>
      <c r="B251" s="3" t="str">
        <f t="shared" si="92"/>
        <v/>
      </c>
      <c r="C251" s="3" t="str">
        <f t="shared" si="89"/>
        <v/>
      </c>
      <c r="D251" s="3" t="str">
        <f t="shared" si="85"/>
        <v/>
      </c>
      <c r="E251" s="3" t="str">
        <f t="shared" si="86"/>
        <v/>
      </c>
      <c r="F251" s="3" t="str">
        <f t="shared" si="87"/>
        <v/>
      </c>
      <c r="G251" s="3" t="str">
        <f t="shared" si="88"/>
        <v/>
      </c>
      <c r="H251" s="3" t="str">
        <f t="shared" si="93"/>
        <v/>
      </c>
      <c r="I251" s="3" t="str">
        <f t="shared" si="94"/>
        <v/>
      </c>
      <c r="J251" s="2" t="str">
        <f t="shared" si="95"/>
        <v/>
      </c>
      <c r="K251" s="2" t="str">
        <f>IF(W251="","",LOOKUP('Extraction edi'!J251,Paramètrage!$A$6:$A$179,Paramètrage!$B$6:$B$179))</f>
        <v/>
      </c>
      <c r="L251" s="2" t="str">
        <f>IF(W251="","",LOOKUP('Extraction edi'!J251,Paramètrage!$A$6:$A$179,Paramètrage!$C$6:$C$179))</f>
        <v/>
      </c>
      <c r="M251" s="2" t="str">
        <f>IF(W251="","",LOOKUP('Extraction edi'!J251,Paramètrage!$A$6:$A$179,Paramètrage!$D$6:$D$179))</f>
        <v/>
      </c>
      <c r="N251" s="3" t="str">
        <f>IF(W251="","",LOOKUP('Extraction edi'!J251,Paramètrage!$A$6:$A$179,Paramètrage!$E$6:$E$179))</f>
        <v/>
      </c>
      <c r="O251" s="3" t="str">
        <f t="shared" si="96"/>
        <v/>
      </c>
      <c r="P251" s="3" t="str">
        <f t="shared" si="97"/>
        <v/>
      </c>
      <c r="Q251" s="3" t="str">
        <f t="shared" si="90"/>
        <v/>
      </c>
      <c r="R251" s="3" t="str">
        <f t="shared" si="98"/>
        <v/>
      </c>
      <c r="S251" s="3" t="str">
        <f t="shared" si="99"/>
        <v/>
      </c>
      <c r="T251" s="4" t="str">
        <f t="shared" si="100"/>
        <v/>
      </c>
      <c r="U251" s="5" t="str">
        <f t="shared" si="101"/>
        <v/>
      </c>
      <c r="V251" s="7" t="str">
        <f>IF(W251="","",IF(LOOKUP(W251,'Extration 3E date commande'!$A$6:$A$10000)=W251,LOOKUP(W251,'Extration 3E date commande'!$A$6:$A$10000,'Extration 3E date commande'!$C$6:$C$10000),"PAS DE DATE"))</f>
        <v/>
      </c>
    </row>
    <row r="252" spans="1:22" x14ac:dyDescent="0.25">
      <c r="A252" s="3" t="str">
        <f t="shared" si="91"/>
        <v/>
      </c>
      <c r="B252" s="3" t="str">
        <f t="shared" si="92"/>
        <v/>
      </c>
      <c r="C252" s="3" t="str">
        <f t="shared" si="89"/>
        <v/>
      </c>
      <c r="D252" s="3" t="str">
        <f t="shared" si="85"/>
        <v/>
      </c>
      <c r="E252" s="3" t="str">
        <f t="shared" si="86"/>
        <v/>
      </c>
      <c r="F252" s="3" t="str">
        <f t="shared" si="87"/>
        <v/>
      </c>
      <c r="G252" s="3" t="str">
        <f t="shared" si="88"/>
        <v/>
      </c>
      <c r="H252" s="3" t="str">
        <f t="shared" si="93"/>
        <v/>
      </c>
      <c r="I252" s="3" t="str">
        <f t="shared" si="94"/>
        <v/>
      </c>
      <c r="J252" s="2" t="str">
        <f t="shared" si="95"/>
        <v/>
      </c>
      <c r="K252" s="2" t="str">
        <f>IF(W252="","",LOOKUP('Extraction edi'!J252,Paramètrage!$A$6:$A$179,Paramètrage!$B$6:$B$179))</f>
        <v/>
      </c>
      <c r="L252" s="2" t="str">
        <f>IF(W252="","",LOOKUP('Extraction edi'!J252,Paramètrage!$A$6:$A$179,Paramètrage!$C$6:$C$179))</f>
        <v/>
      </c>
      <c r="M252" s="2" t="str">
        <f>IF(W252="","",LOOKUP('Extraction edi'!J252,Paramètrage!$A$6:$A$179,Paramètrage!$D$6:$D$179))</f>
        <v/>
      </c>
      <c r="N252" s="3" t="str">
        <f>IF(W252="","",LOOKUP('Extraction edi'!J252,Paramètrage!$A$6:$A$179,Paramètrage!$E$6:$E$179))</f>
        <v/>
      </c>
      <c r="O252" s="3" t="str">
        <f t="shared" si="96"/>
        <v/>
      </c>
      <c r="P252" s="3" t="str">
        <f t="shared" si="97"/>
        <v/>
      </c>
      <c r="Q252" s="3" t="str">
        <f t="shared" si="90"/>
        <v/>
      </c>
      <c r="R252" s="3" t="str">
        <f t="shared" si="98"/>
        <v/>
      </c>
      <c r="S252" s="3" t="str">
        <f t="shared" si="99"/>
        <v/>
      </c>
      <c r="T252" s="4" t="str">
        <f t="shared" si="100"/>
        <v/>
      </c>
      <c r="U252" s="5" t="str">
        <f t="shared" si="101"/>
        <v/>
      </c>
      <c r="V252" s="7" t="str">
        <f>IF(W252="","",IF(LOOKUP(W252,'Extration 3E date commande'!$A$6:$A$10000)=W252,LOOKUP(W252,'Extration 3E date commande'!$A$6:$A$10000,'Extration 3E date commande'!$C$6:$C$10000),"PAS DE DATE"))</f>
        <v/>
      </c>
    </row>
    <row r="253" spans="1:22" x14ac:dyDescent="0.25">
      <c r="A253" s="3" t="str">
        <f t="shared" si="91"/>
        <v/>
      </c>
      <c r="B253" s="3" t="str">
        <f t="shared" si="92"/>
        <v/>
      </c>
      <c r="C253" s="3" t="str">
        <f t="shared" si="89"/>
        <v/>
      </c>
      <c r="D253" s="3" t="str">
        <f t="shared" si="85"/>
        <v/>
      </c>
      <c r="E253" s="3" t="str">
        <f t="shared" si="86"/>
        <v/>
      </c>
      <c r="F253" s="3" t="str">
        <f t="shared" si="87"/>
        <v/>
      </c>
      <c r="G253" s="3" t="str">
        <f t="shared" si="88"/>
        <v/>
      </c>
      <c r="H253" s="3" t="str">
        <f t="shared" si="93"/>
        <v/>
      </c>
      <c r="I253" s="3" t="str">
        <f t="shared" si="94"/>
        <v/>
      </c>
      <c r="J253" s="2" t="str">
        <f t="shared" si="95"/>
        <v/>
      </c>
      <c r="K253" s="2" t="str">
        <f>IF(W253="","",LOOKUP('Extraction edi'!J253,Paramètrage!$A$6:$A$179,Paramètrage!$B$6:$B$179))</f>
        <v/>
      </c>
      <c r="L253" s="2" t="str">
        <f>IF(W253="","",LOOKUP('Extraction edi'!J253,Paramètrage!$A$6:$A$179,Paramètrage!$C$6:$C$179))</f>
        <v/>
      </c>
      <c r="M253" s="2" t="str">
        <f>IF(W253="","",LOOKUP('Extraction edi'!J253,Paramètrage!$A$6:$A$179,Paramètrage!$D$6:$D$179))</f>
        <v/>
      </c>
      <c r="N253" s="3" t="str">
        <f>IF(W253="","",LOOKUP('Extraction edi'!J253,Paramètrage!$A$6:$A$179,Paramètrage!$E$6:$E$179))</f>
        <v/>
      </c>
      <c r="O253" s="3" t="str">
        <f t="shared" si="96"/>
        <v/>
      </c>
      <c r="P253" s="3" t="str">
        <f t="shared" si="97"/>
        <v/>
      </c>
      <c r="Q253" s="3" t="str">
        <f t="shared" si="90"/>
        <v/>
      </c>
      <c r="R253" s="3" t="str">
        <f t="shared" si="98"/>
        <v/>
      </c>
      <c r="S253" s="3" t="str">
        <f t="shared" si="99"/>
        <v/>
      </c>
      <c r="T253" s="4" t="str">
        <f t="shared" si="100"/>
        <v/>
      </c>
      <c r="U253" s="5" t="str">
        <f t="shared" si="101"/>
        <v/>
      </c>
      <c r="V253" s="7" t="str">
        <f>IF(W253="","",IF(LOOKUP(W253,'Extration 3E date commande'!$A$6:$A$10000)=W253,LOOKUP(W253,'Extration 3E date commande'!$A$6:$A$10000,'Extration 3E date commande'!$C$6:$C$10000),"PAS DE DATE"))</f>
        <v/>
      </c>
    </row>
    <row r="254" spans="1:22" x14ac:dyDescent="0.25">
      <c r="A254" s="3" t="str">
        <f t="shared" si="91"/>
        <v/>
      </c>
      <c r="B254" s="3" t="str">
        <f t="shared" si="92"/>
        <v/>
      </c>
      <c r="C254" s="3" t="str">
        <f t="shared" si="89"/>
        <v/>
      </c>
      <c r="D254" s="3" t="str">
        <f t="shared" si="85"/>
        <v/>
      </c>
      <c r="E254" s="3" t="str">
        <f t="shared" si="86"/>
        <v/>
      </c>
      <c r="F254" s="3" t="str">
        <f t="shared" si="87"/>
        <v/>
      </c>
      <c r="G254" s="3" t="str">
        <f t="shared" si="88"/>
        <v/>
      </c>
      <c r="H254" s="3" t="str">
        <f t="shared" si="93"/>
        <v/>
      </c>
      <c r="I254" s="3" t="str">
        <f t="shared" si="94"/>
        <v/>
      </c>
      <c r="J254" s="2" t="str">
        <f t="shared" si="95"/>
        <v/>
      </c>
      <c r="K254" s="2" t="str">
        <f>IF(W254="","",LOOKUP('Extraction edi'!J254,Paramètrage!$A$6:$A$179,Paramètrage!$B$6:$B$179))</f>
        <v/>
      </c>
      <c r="L254" s="2" t="str">
        <f>IF(W254="","",LOOKUP('Extraction edi'!J254,Paramètrage!$A$6:$A$179,Paramètrage!$C$6:$C$179))</f>
        <v/>
      </c>
      <c r="M254" s="2" t="str">
        <f>IF(W254="","",LOOKUP('Extraction edi'!J254,Paramètrage!$A$6:$A$179,Paramètrage!$D$6:$D$179))</f>
        <v/>
      </c>
      <c r="N254" s="3" t="str">
        <f>IF(W254="","",LOOKUP('Extraction edi'!J254,Paramètrage!$A$6:$A$179,Paramètrage!$E$6:$E$179))</f>
        <v/>
      </c>
      <c r="O254" s="3" t="str">
        <f t="shared" si="96"/>
        <v/>
      </c>
      <c r="P254" s="3" t="str">
        <f t="shared" si="97"/>
        <v/>
      </c>
      <c r="Q254" s="3" t="str">
        <f t="shared" si="90"/>
        <v/>
      </c>
      <c r="R254" s="3" t="str">
        <f t="shared" si="98"/>
        <v/>
      </c>
      <c r="S254" s="3" t="str">
        <f t="shared" si="99"/>
        <v/>
      </c>
      <c r="T254" s="4" t="str">
        <f t="shared" si="100"/>
        <v/>
      </c>
      <c r="U254" s="5" t="str">
        <f t="shared" si="101"/>
        <v/>
      </c>
      <c r="V254" s="7" t="str">
        <f>IF(W254="","",IF(LOOKUP(W254,'Extration 3E date commande'!$A$6:$A$10000)=W254,LOOKUP(W254,'Extration 3E date commande'!$A$6:$A$10000,'Extration 3E date commande'!$C$6:$C$10000),"PAS DE DATE"))</f>
        <v/>
      </c>
    </row>
    <row r="255" spans="1:22" x14ac:dyDescent="0.25">
      <c r="A255" s="3" t="str">
        <f t="shared" si="91"/>
        <v/>
      </c>
      <c r="B255" s="3" t="str">
        <f t="shared" si="92"/>
        <v/>
      </c>
      <c r="C255" s="3" t="str">
        <f t="shared" si="89"/>
        <v/>
      </c>
      <c r="D255" s="3" t="str">
        <f t="shared" si="85"/>
        <v/>
      </c>
      <c r="E255" s="3" t="str">
        <f t="shared" si="86"/>
        <v/>
      </c>
      <c r="F255" s="3" t="str">
        <f t="shared" si="87"/>
        <v/>
      </c>
      <c r="G255" s="3" t="str">
        <f t="shared" si="88"/>
        <v/>
      </c>
      <c r="H255" s="3" t="str">
        <f t="shared" si="93"/>
        <v/>
      </c>
      <c r="I255" s="3" t="str">
        <f t="shared" si="94"/>
        <v/>
      </c>
      <c r="J255" s="2" t="str">
        <f t="shared" si="95"/>
        <v/>
      </c>
      <c r="K255" s="2" t="str">
        <f>IF(W255="","",LOOKUP('Extraction edi'!J255,Paramètrage!$A$6:$A$179,Paramètrage!$B$6:$B$179))</f>
        <v/>
      </c>
      <c r="L255" s="2" t="str">
        <f>IF(W255="","",LOOKUP('Extraction edi'!J255,Paramètrage!$A$6:$A$179,Paramètrage!$C$6:$C$179))</f>
        <v/>
      </c>
      <c r="M255" s="2" t="str">
        <f>IF(W255="","",LOOKUP('Extraction edi'!J255,Paramètrage!$A$6:$A$179,Paramètrage!$D$6:$D$179))</f>
        <v/>
      </c>
      <c r="N255" s="3" t="str">
        <f>IF(W255="","",LOOKUP('Extraction edi'!J255,Paramètrage!$A$6:$A$179,Paramètrage!$E$6:$E$179))</f>
        <v/>
      </c>
      <c r="O255" s="3" t="str">
        <f t="shared" si="96"/>
        <v/>
      </c>
      <c r="P255" s="3" t="str">
        <f t="shared" si="97"/>
        <v/>
      </c>
      <c r="Q255" s="3" t="str">
        <f t="shared" si="90"/>
        <v/>
      </c>
      <c r="R255" s="3" t="str">
        <f t="shared" si="98"/>
        <v/>
      </c>
      <c r="S255" s="3" t="str">
        <f t="shared" si="99"/>
        <v/>
      </c>
      <c r="T255" s="4" t="str">
        <f t="shared" si="100"/>
        <v/>
      </c>
      <c r="U255" s="5" t="str">
        <f t="shared" si="101"/>
        <v/>
      </c>
      <c r="V255" s="7" t="str">
        <f>IF(W255="","",IF(LOOKUP(W255,'Extration 3E date commande'!$A$6:$A$10000)=W255,LOOKUP(W255,'Extration 3E date commande'!$A$6:$A$10000,'Extration 3E date commande'!$C$6:$C$10000),"PAS DE DATE"))</f>
        <v/>
      </c>
    </row>
    <row r="256" spans="1:22" x14ac:dyDescent="0.25">
      <c r="A256" s="3" t="str">
        <f t="shared" si="91"/>
        <v/>
      </c>
      <c r="B256" s="3" t="str">
        <f t="shared" si="92"/>
        <v/>
      </c>
      <c r="C256" s="3" t="str">
        <f t="shared" si="89"/>
        <v/>
      </c>
      <c r="D256" s="3" t="str">
        <f t="shared" si="85"/>
        <v/>
      </c>
      <c r="E256" s="3" t="str">
        <f t="shared" si="86"/>
        <v/>
      </c>
      <c r="F256" s="3" t="str">
        <f t="shared" si="87"/>
        <v/>
      </c>
      <c r="G256" s="3" t="str">
        <f t="shared" si="88"/>
        <v/>
      </c>
      <c r="H256" s="3" t="str">
        <f t="shared" si="93"/>
        <v/>
      </c>
      <c r="I256" s="3" t="str">
        <f t="shared" si="94"/>
        <v/>
      </c>
      <c r="J256" s="2" t="str">
        <f t="shared" si="95"/>
        <v/>
      </c>
      <c r="K256" s="2" t="str">
        <f>IF(W256="","",LOOKUP('Extraction edi'!J256,Paramètrage!$A$6:$A$179,Paramètrage!$B$6:$B$179))</f>
        <v/>
      </c>
      <c r="L256" s="2" t="str">
        <f>IF(W256="","",LOOKUP('Extraction edi'!J256,Paramètrage!$A$6:$A$179,Paramètrage!$C$6:$C$179))</f>
        <v/>
      </c>
      <c r="M256" s="2" t="str">
        <f>IF(W256="","",LOOKUP('Extraction edi'!J256,Paramètrage!$A$6:$A$179,Paramètrage!$D$6:$D$179))</f>
        <v/>
      </c>
      <c r="N256" s="3" t="str">
        <f>IF(W256="","",LOOKUP('Extraction edi'!J256,Paramètrage!$A$6:$A$179,Paramètrage!$E$6:$E$179))</f>
        <v/>
      </c>
      <c r="O256" s="3" t="str">
        <f t="shared" si="96"/>
        <v/>
      </c>
      <c r="P256" s="3" t="str">
        <f t="shared" si="97"/>
        <v/>
      </c>
      <c r="Q256" s="3" t="str">
        <f t="shared" si="90"/>
        <v/>
      </c>
      <c r="R256" s="3" t="str">
        <f t="shared" si="98"/>
        <v/>
      </c>
      <c r="S256" s="3" t="str">
        <f t="shared" si="99"/>
        <v/>
      </c>
      <c r="T256" s="4" t="str">
        <f t="shared" si="100"/>
        <v/>
      </c>
      <c r="U256" s="5" t="str">
        <f t="shared" si="101"/>
        <v/>
      </c>
      <c r="V256" s="7" t="str">
        <f>IF(W256="","",IF(LOOKUP(W256,'Extration 3E date commande'!$A$6:$A$10000)=W256,LOOKUP(W256,'Extration 3E date commande'!$A$6:$A$10000,'Extration 3E date commande'!$C$6:$C$10000),"PAS DE DATE"))</f>
        <v/>
      </c>
    </row>
    <row r="257" spans="1:22" x14ac:dyDescent="0.25">
      <c r="A257" s="3" t="str">
        <f t="shared" si="91"/>
        <v/>
      </c>
      <c r="B257" s="3" t="str">
        <f t="shared" si="92"/>
        <v/>
      </c>
      <c r="C257" s="3" t="str">
        <f t="shared" si="89"/>
        <v/>
      </c>
      <c r="D257" s="3" t="str">
        <f t="shared" si="85"/>
        <v/>
      </c>
      <c r="E257" s="3" t="str">
        <f t="shared" si="86"/>
        <v/>
      </c>
      <c r="F257" s="3" t="str">
        <f t="shared" si="87"/>
        <v/>
      </c>
      <c r="G257" s="3" t="str">
        <f t="shared" si="88"/>
        <v/>
      </c>
      <c r="H257" s="3" t="str">
        <f t="shared" si="93"/>
        <v/>
      </c>
      <c r="I257" s="3" t="str">
        <f t="shared" si="94"/>
        <v/>
      </c>
      <c r="J257" s="2" t="str">
        <f t="shared" si="95"/>
        <v/>
      </c>
      <c r="K257" s="2" t="str">
        <f>IF(W257="","",LOOKUP('Extraction edi'!J257,Paramètrage!$A$6:$A$179,Paramètrage!$B$6:$B$179))</f>
        <v/>
      </c>
      <c r="L257" s="2" t="str">
        <f>IF(W257="","",LOOKUP('Extraction edi'!J257,Paramètrage!$A$6:$A$179,Paramètrage!$C$6:$C$179))</f>
        <v/>
      </c>
      <c r="M257" s="2" t="str">
        <f>IF(W257="","",LOOKUP('Extraction edi'!J257,Paramètrage!$A$6:$A$179,Paramètrage!$D$6:$D$179))</f>
        <v/>
      </c>
      <c r="N257" s="3" t="str">
        <f>IF(W257="","",LOOKUP('Extraction edi'!J257,Paramètrage!$A$6:$A$179,Paramètrage!$E$6:$E$179))</f>
        <v/>
      </c>
      <c r="O257" s="3" t="str">
        <f t="shared" si="96"/>
        <v/>
      </c>
      <c r="P257" s="3" t="str">
        <f t="shared" si="97"/>
        <v/>
      </c>
      <c r="Q257" s="3" t="str">
        <f t="shared" si="90"/>
        <v/>
      </c>
      <c r="R257" s="3" t="str">
        <f t="shared" si="98"/>
        <v/>
      </c>
      <c r="S257" s="3" t="str">
        <f t="shared" si="99"/>
        <v/>
      </c>
      <c r="T257" s="4" t="str">
        <f t="shared" si="100"/>
        <v/>
      </c>
      <c r="U257" s="5" t="str">
        <f t="shared" si="101"/>
        <v/>
      </c>
      <c r="V257" s="7" t="str">
        <f>IF(W257="","",IF(LOOKUP(W257,'Extration 3E date commande'!$A$6:$A$10000)=W257,LOOKUP(W257,'Extration 3E date commande'!$A$6:$A$10000,'Extration 3E date commande'!$C$6:$C$10000),"PAS DE DATE"))</f>
        <v/>
      </c>
    </row>
    <row r="258" spans="1:22" x14ac:dyDescent="0.25">
      <c r="A258" s="3" t="str">
        <f t="shared" si="91"/>
        <v/>
      </c>
      <c r="B258" s="3" t="str">
        <f t="shared" si="92"/>
        <v/>
      </c>
      <c r="C258" s="3" t="str">
        <f t="shared" si="89"/>
        <v/>
      </c>
      <c r="D258" s="3" t="str">
        <f t="shared" si="85"/>
        <v/>
      </c>
      <c r="E258" s="3" t="str">
        <f t="shared" si="86"/>
        <v/>
      </c>
      <c r="F258" s="3" t="str">
        <f t="shared" si="87"/>
        <v/>
      </c>
      <c r="G258" s="3" t="str">
        <f t="shared" si="88"/>
        <v/>
      </c>
      <c r="H258" s="3" t="str">
        <f t="shared" si="93"/>
        <v/>
      </c>
      <c r="I258" s="3" t="str">
        <f t="shared" si="94"/>
        <v/>
      </c>
      <c r="J258" s="2" t="str">
        <f t="shared" si="95"/>
        <v/>
      </c>
      <c r="K258" s="2" t="str">
        <f>IF(W258="","",LOOKUP('Extraction edi'!J258,Paramètrage!$A$6:$A$179,Paramètrage!$B$6:$B$179))</f>
        <v/>
      </c>
      <c r="L258" s="2" t="str">
        <f>IF(W258="","",LOOKUP('Extraction edi'!J258,Paramètrage!$A$6:$A$179,Paramètrage!$C$6:$C$179))</f>
        <v/>
      </c>
      <c r="M258" s="2" t="str">
        <f>IF(W258="","",LOOKUP('Extraction edi'!J258,Paramètrage!$A$6:$A$179,Paramètrage!$D$6:$D$179))</f>
        <v/>
      </c>
      <c r="N258" s="3" t="str">
        <f>IF(W258="","",LOOKUP('Extraction edi'!J258,Paramètrage!$A$6:$A$179,Paramètrage!$E$6:$E$179))</f>
        <v/>
      </c>
      <c r="O258" s="3" t="str">
        <f t="shared" si="96"/>
        <v/>
      </c>
      <c r="P258" s="3" t="str">
        <f t="shared" si="97"/>
        <v/>
      </c>
      <c r="Q258" s="3" t="str">
        <f t="shared" si="90"/>
        <v/>
      </c>
      <c r="R258" s="3" t="str">
        <f t="shared" si="98"/>
        <v/>
      </c>
      <c r="S258" s="3" t="str">
        <f t="shared" si="99"/>
        <v/>
      </c>
      <c r="T258" s="4" t="str">
        <f t="shared" si="100"/>
        <v/>
      </c>
      <c r="U258" s="5" t="str">
        <f t="shared" si="101"/>
        <v/>
      </c>
      <c r="V258" s="7" t="str">
        <f>IF(W258="","",IF(LOOKUP(W258,'Extration 3E date commande'!$A$6:$A$10000)=W258,LOOKUP(W258,'Extration 3E date commande'!$A$6:$A$10000,'Extration 3E date commande'!$C$6:$C$10000),"PAS DE DATE"))</f>
        <v/>
      </c>
    </row>
    <row r="259" spans="1:22" x14ac:dyDescent="0.25">
      <c r="A259" s="3" t="str">
        <f t="shared" si="91"/>
        <v/>
      </c>
      <c r="B259" s="3" t="str">
        <f t="shared" si="92"/>
        <v/>
      </c>
      <c r="C259" s="3" t="str">
        <f t="shared" si="89"/>
        <v/>
      </c>
      <c r="D259" s="3" t="str">
        <f t="shared" si="85"/>
        <v/>
      </c>
      <c r="E259" s="3" t="str">
        <f t="shared" si="86"/>
        <v/>
      </c>
      <c r="F259" s="3" t="str">
        <f t="shared" si="87"/>
        <v/>
      </c>
      <c r="G259" s="3" t="str">
        <f t="shared" si="88"/>
        <v/>
      </c>
      <c r="H259" s="3" t="str">
        <f t="shared" si="93"/>
        <v/>
      </c>
      <c r="I259" s="3" t="str">
        <f t="shared" si="94"/>
        <v/>
      </c>
      <c r="J259" s="2" t="str">
        <f t="shared" si="95"/>
        <v/>
      </c>
      <c r="K259" s="2" t="str">
        <f>IF(W259="","",LOOKUP('Extraction edi'!J259,Paramètrage!$A$6:$A$179,Paramètrage!$B$6:$B$179))</f>
        <v/>
      </c>
      <c r="L259" s="2" t="str">
        <f>IF(W259="","",LOOKUP('Extraction edi'!J259,Paramètrage!$A$6:$A$179,Paramètrage!$C$6:$C$179))</f>
        <v/>
      </c>
      <c r="M259" s="2" t="str">
        <f>IF(W259="","",LOOKUP('Extraction edi'!J259,Paramètrage!$A$6:$A$179,Paramètrage!$D$6:$D$179))</f>
        <v/>
      </c>
      <c r="N259" s="3" t="str">
        <f>IF(W259="","",LOOKUP('Extraction edi'!J259,Paramètrage!$A$6:$A$179,Paramètrage!$E$6:$E$179))</f>
        <v/>
      </c>
      <c r="O259" s="3" t="str">
        <f t="shared" si="96"/>
        <v/>
      </c>
      <c r="P259" s="3" t="str">
        <f t="shared" si="97"/>
        <v/>
      </c>
      <c r="Q259" s="3" t="str">
        <f t="shared" si="90"/>
        <v/>
      </c>
      <c r="R259" s="3" t="str">
        <f t="shared" si="98"/>
        <v/>
      </c>
      <c r="S259" s="3" t="str">
        <f t="shared" si="99"/>
        <v/>
      </c>
      <c r="T259" s="4" t="str">
        <f t="shared" si="100"/>
        <v/>
      </c>
      <c r="U259" s="5" t="str">
        <f t="shared" si="101"/>
        <v/>
      </c>
      <c r="V259" s="7" t="str">
        <f>IF(W259="","",IF(LOOKUP(W259,'Extration 3E date commande'!$A$6:$A$10000)=W259,LOOKUP(W259,'Extration 3E date commande'!$A$6:$A$10000,'Extration 3E date commande'!$C$6:$C$10000),"PAS DE DATE"))</f>
        <v/>
      </c>
    </row>
    <row r="260" spans="1:22" x14ac:dyDescent="0.25">
      <c r="A260" s="3" t="str">
        <f t="shared" si="91"/>
        <v/>
      </c>
      <c r="B260" s="3" t="str">
        <f t="shared" si="92"/>
        <v/>
      </c>
      <c r="C260" s="3" t="str">
        <f t="shared" si="89"/>
        <v/>
      </c>
      <c r="D260" s="3" t="str">
        <f t="shared" si="85"/>
        <v/>
      </c>
      <c r="E260" s="3" t="str">
        <f t="shared" si="86"/>
        <v/>
      </c>
      <c r="F260" s="3" t="str">
        <f t="shared" si="87"/>
        <v/>
      </c>
      <c r="G260" s="3" t="str">
        <f t="shared" si="88"/>
        <v/>
      </c>
      <c r="H260" s="3" t="str">
        <f t="shared" si="93"/>
        <v/>
      </c>
      <c r="I260" s="3" t="str">
        <f t="shared" si="94"/>
        <v/>
      </c>
      <c r="J260" s="2" t="str">
        <f t="shared" si="95"/>
        <v/>
      </c>
      <c r="K260" s="2" t="str">
        <f>IF(W260="","",LOOKUP('Extraction edi'!J260,Paramètrage!$A$6:$A$179,Paramètrage!$B$6:$B$179))</f>
        <v/>
      </c>
      <c r="L260" s="2" t="str">
        <f>IF(W260="","",LOOKUP('Extraction edi'!J260,Paramètrage!$A$6:$A$179,Paramètrage!$C$6:$C$179))</f>
        <v/>
      </c>
      <c r="M260" s="2" t="str">
        <f>IF(W260="","",LOOKUP('Extraction edi'!J260,Paramètrage!$A$6:$A$179,Paramètrage!$D$6:$D$179))</f>
        <v/>
      </c>
      <c r="N260" s="3" t="str">
        <f>IF(W260="","",LOOKUP('Extraction edi'!J260,Paramètrage!$A$6:$A$179,Paramètrage!$E$6:$E$179))</f>
        <v/>
      </c>
      <c r="O260" s="3" t="str">
        <f t="shared" si="96"/>
        <v/>
      </c>
      <c r="P260" s="3" t="str">
        <f t="shared" si="97"/>
        <v/>
      </c>
      <c r="Q260" s="3" t="str">
        <f t="shared" si="90"/>
        <v/>
      </c>
      <c r="R260" s="3" t="str">
        <f t="shared" si="98"/>
        <v/>
      </c>
      <c r="S260" s="3" t="str">
        <f t="shared" si="99"/>
        <v/>
      </c>
      <c r="T260" s="4" t="str">
        <f t="shared" si="100"/>
        <v/>
      </c>
      <c r="U260" s="5" t="str">
        <f t="shared" si="101"/>
        <v/>
      </c>
      <c r="V260" s="7" t="str">
        <f>IF(W260="","",IF(LOOKUP(W260,'Extration 3E date commande'!$A$6:$A$10000)=W260,LOOKUP(W260,'Extration 3E date commande'!$A$6:$A$10000,'Extration 3E date commande'!$C$6:$C$10000),"PAS DE DATE"))</f>
        <v/>
      </c>
    </row>
    <row r="261" spans="1:22" x14ac:dyDescent="0.25">
      <c r="A261" s="3" t="str">
        <f t="shared" si="91"/>
        <v/>
      </c>
      <c r="B261" s="3" t="str">
        <f t="shared" si="92"/>
        <v/>
      </c>
      <c r="C261" s="3" t="str">
        <f t="shared" si="89"/>
        <v/>
      </c>
      <c r="D261" s="3" t="str">
        <f t="shared" si="85"/>
        <v/>
      </c>
      <c r="E261" s="3" t="str">
        <f t="shared" si="86"/>
        <v/>
      </c>
      <c r="F261" s="3" t="str">
        <f t="shared" si="87"/>
        <v/>
      </c>
      <c r="G261" s="3" t="str">
        <f t="shared" si="88"/>
        <v/>
      </c>
      <c r="H261" s="3" t="str">
        <f t="shared" si="93"/>
        <v/>
      </c>
      <c r="I261" s="3" t="str">
        <f t="shared" si="94"/>
        <v/>
      </c>
      <c r="J261" s="2" t="str">
        <f t="shared" si="95"/>
        <v/>
      </c>
      <c r="K261" s="2" t="str">
        <f>IF(W261="","",LOOKUP('Extraction edi'!J261,Paramètrage!$A$6:$A$179,Paramètrage!$B$6:$B$179))</f>
        <v/>
      </c>
      <c r="L261" s="2" t="str">
        <f>IF(W261="","",LOOKUP('Extraction edi'!J261,Paramètrage!$A$6:$A$179,Paramètrage!$C$6:$C$179))</f>
        <v/>
      </c>
      <c r="M261" s="2" t="str">
        <f>IF(W261="","",LOOKUP('Extraction edi'!J261,Paramètrage!$A$6:$A$179,Paramètrage!$D$6:$D$179))</f>
        <v/>
      </c>
      <c r="N261" s="3" t="str">
        <f>IF(W261="","",LOOKUP('Extraction edi'!J261,Paramètrage!$A$6:$A$179,Paramètrage!$E$6:$E$179))</f>
        <v/>
      </c>
      <c r="O261" s="3" t="str">
        <f t="shared" si="96"/>
        <v/>
      </c>
      <c r="P261" s="3" t="str">
        <f t="shared" si="97"/>
        <v/>
      </c>
      <c r="Q261" s="3" t="str">
        <f t="shared" si="90"/>
        <v/>
      </c>
      <c r="R261" s="3" t="str">
        <f t="shared" si="98"/>
        <v/>
      </c>
      <c r="S261" s="3" t="str">
        <f t="shared" si="99"/>
        <v/>
      </c>
      <c r="T261" s="4" t="str">
        <f t="shared" si="100"/>
        <v/>
      </c>
      <c r="U261" s="5" t="str">
        <f t="shared" si="101"/>
        <v/>
      </c>
      <c r="V261" s="7" t="str">
        <f>IF(W261="","",IF(LOOKUP(W261,'Extration 3E date commande'!$A$6:$A$10000)=W261,LOOKUP(W261,'Extration 3E date commande'!$A$6:$A$10000,'Extration 3E date commande'!$C$6:$C$10000),"PAS DE DATE"))</f>
        <v/>
      </c>
    </row>
    <row r="262" spans="1:22" x14ac:dyDescent="0.25">
      <c r="A262" s="3" t="str">
        <f t="shared" si="91"/>
        <v/>
      </c>
      <c r="B262" s="3" t="str">
        <f t="shared" si="92"/>
        <v/>
      </c>
      <c r="C262" s="3" t="str">
        <f t="shared" si="89"/>
        <v/>
      </c>
      <c r="D262" s="3" t="str">
        <f t="shared" ref="D262:D325" si="102">IF(ISERROR(SEARCH("P",B262)),"","PE")</f>
        <v/>
      </c>
      <c r="E262" s="3" t="str">
        <f t="shared" ref="E262:E325" si="103">IF(ISERROR(SEARCH("U",B262))=FALSE,"ALU",IF(ISERROR(SEARCH("Y",B262)),"","ALU"))</f>
        <v/>
      </c>
      <c r="F262" s="3" t="str">
        <f t="shared" ref="F262:F325" si="104">IF(ISERROR(SEARCH("H",B262))=FALSE,"TEX",IF(ISERROR(SEARCH("Z",B262)),IF(ISERROR(SEARCH("X",B262)),"","TEX")))</f>
        <v/>
      </c>
      <c r="G262" s="3" t="str">
        <f t="shared" ref="G262:G325" si="105">IF(B262="","",IF(C262="SAV","NEG/RELI/SAV",IF(C262="NEGOCE","NEG/RELI/SAV",IF(C262="RELI","NEG/RELI/SAV",IF(E262="ALU","ALU",IF(D262="PE","PE",IF(F262="TEX","TEX","STD")))))))</f>
        <v/>
      </c>
      <c r="H262" s="3" t="str">
        <f t="shared" si="93"/>
        <v/>
      </c>
      <c r="I262" s="3" t="str">
        <f t="shared" si="94"/>
        <v/>
      </c>
      <c r="J262" s="2" t="str">
        <f t="shared" si="95"/>
        <v/>
      </c>
      <c r="K262" s="2" t="str">
        <f>IF(W262="","",LOOKUP('Extraction edi'!J262,Paramètrage!$A$6:$A$179,Paramètrage!$B$6:$B$179))</f>
        <v/>
      </c>
      <c r="L262" s="2" t="str">
        <f>IF(W262="","",LOOKUP('Extraction edi'!J262,Paramètrage!$A$6:$A$179,Paramètrage!$C$6:$C$179))</f>
        <v/>
      </c>
      <c r="M262" s="2" t="str">
        <f>IF(W262="","",LOOKUP('Extraction edi'!J262,Paramètrage!$A$6:$A$179,Paramètrage!$D$6:$D$179))</f>
        <v/>
      </c>
      <c r="N262" s="3" t="str">
        <f>IF(W262="","",LOOKUP('Extraction edi'!J262,Paramètrage!$A$6:$A$179,Paramètrage!$E$6:$E$179))</f>
        <v/>
      </c>
      <c r="O262" s="3" t="str">
        <f t="shared" si="96"/>
        <v/>
      </c>
      <c r="P262" s="3" t="str">
        <f t="shared" si="97"/>
        <v/>
      </c>
      <c r="Q262" s="3" t="str">
        <f t="shared" si="90"/>
        <v/>
      </c>
      <c r="R262" s="3" t="str">
        <f t="shared" si="98"/>
        <v/>
      </c>
      <c r="S262" s="3" t="str">
        <f t="shared" si="99"/>
        <v/>
      </c>
      <c r="T262" s="4" t="str">
        <f t="shared" si="100"/>
        <v/>
      </c>
      <c r="U262" s="5" t="str">
        <f t="shared" si="101"/>
        <v/>
      </c>
      <c r="V262" s="7" t="str">
        <f>IF(W262="","",IF(LOOKUP(W262,'Extration 3E date commande'!$A$6:$A$10000)=W262,LOOKUP(W262,'Extration 3E date commande'!$A$6:$A$10000,'Extration 3E date commande'!$C$6:$C$10000),"PAS DE DATE"))</f>
        <v/>
      </c>
    </row>
    <row r="263" spans="1:22" x14ac:dyDescent="0.25">
      <c r="A263" s="3" t="str">
        <f t="shared" si="91"/>
        <v/>
      </c>
      <c r="B263" s="3" t="str">
        <f t="shared" si="92"/>
        <v/>
      </c>
      <c r="C263" s="3" t="str">
        <f t="shared" ref="C263:C326" si="106">IF(ISERROR(SEARCH("ELI",B263))=FALSE,"RELIQUAT",IF(ISERROR(SEARCH("N",B263))=FALSE,"NEGOCE",IF(ISERROR(SEARCH("S",B263))=FALSE,"SAV",IF(ISERROR(SEARCH("J",B263)),"","SAV"))))</f>
        <v/>
      </c>
      <c r="D263" s="3" t="str">
        <f t="shared" si="102"/>
        <v/>
      </c>
      <c r="E263" s="3" t="str">
        <f t="shared" si="103"/>
        <v/>
      </c>
      <c r="F263" s="3" t="str">
        <f t="shared" si="104"/>
        <v/>
      </c>
      <c r="G263" s="3" t="str">
        <f t="shared" si="105"/>
        <v/>
      </c>
      <c r="H263" s="3" t="str">
        <f t="shared" si="93"/>
        <v/>
      </c>
      <c r="I263" s="3" t="str">
        <f t="shared" si="94"/>
        <v/>
      </c>
      <c r="J263" s="2" t="str">
        <f t="shared" si="95"/>
        <v/>
      </c>
      <c r="K263" s="2" t="str">
        <f>IF(W263="","",LOOKUP('Extraction edi'!J263,Paramètrage!$A$6:$A$179,Paramètrage!$B$6:$B$179))</f>
        <v/>
      </c>
      <c r="L263" s="2" t="str">
        <f>IF(W263="","",LOOKUP('Extraction edi'!J263,Paramètrage!$A$6:$A$179,Paramètrage!$C$6:$C$179))</f>
        <v/>
      </c>
      <c r="M263" s="2" t="str">
        <f>IF(W263="","",LOOKUP('Extraction edi'!J263,Paramètrage!$A$6:$A$179,Paramètrage!$D$6:$D$179))</f>
        <v/>
      </c>
      <c r="N263" s="3" t="str">
        <f>IF(W263="","",LOOKUP('Extraction edi'!J263,Paramètrage!$A$6:$A$179,Paramètrage!$E$6:$E$179))</f>
        <v/>
      </c>
      <c r="O263" s="3" t="str">
        <f t="shared" si="96"/>
        <v/>
      </c>
      <c r="P263" s="3" t="str">
        <f t="shared" si="97"/>
        <v/>
      </c>
      <c r="Q263" s="3" t="str">
        <f t="shared" si="90"/>
        <v/>
      </c>
      <c r="R263" s="3" t="str">
        <f t="shared" si="98"/>
        <v/>
      </c>
      <c r="S263" s="3" t="str">
        <f t="shared" si="99"/>
        <v/>
      </c>
      <c r="T263" s="4" t="str">
        <f t="shared" si="100"/>
        <v/>
      </c>
      <c r="U263" s="5" t="str">
        <f t="shared" si="101"/>
        <v/>
      </c>
      <c r="V263" s="7" t="str">
        <f>IF(W263="","",IF(LOOKUP(W263,'Extration 3E date commande'!$A$6:$A$10000)=W263,LOOKUP(W263,'Extration 3E date commande'!$A$6:$A$10000,'Extration 3E date commande'!$C$6:$C$10000),"PAS DE DATE"))</f>
        <v/>
      </c>
    </row>
    <row r="264" spans="1:22" x14ac:dyDescent="0.25">
      <c r="A264" s="3" t="str">
        <f t="shared" si="91"/>
        <v/>
      </c>
      <c r="B264" s="3" t="str">
        <f t="shared" si="92"/>
        <v/>
      </c>
      <c r="C264" s="3" t="str">
        <f t="shared" si="106"/>
        <v/>
      </c>
      <c r="D264" s="3" t="str">
        <f t="shared" si="102"/>
        <v/>
      </c>
      <c r="E264" s="3" t="str">
        <f t="shared" si="103"/>
        <v/>
      </c>
      <c r="F264" s="3" t="str">
        <f t="shared" si="104"/>
        <v/>
      </c>
      <c r="G264" s="3" t="str">
        <f t="shared" si="105"/>
        <v/>
      </c>
      <c r="H264" s="3" t="str">
        <f t="shared" si="93"/>
        <v/>
      </c>
      <c r="I264" s="3" t="str">
        <f t="shared" si="94"/>
        <v/>
      </c>
      <c r="J264" s="2" t="str">
        <f t="shared" si="95"/>
        <v/>
      </c>
      <c r="K264" s="2" t="str">
        <f>IF(W264="","",LOOKUP('Extraction edi'!J264,Paramètrage!$A$6:$A$179,Paramètrage!$B$6:$B$179))</f>
        <v/>
      </c>
      <c r="L264" s="2" t="str">
        <f>IF(W264="","",LOOKUP('Extraction edi'!J264,Paramètrage!$A$6:$A$179,Paramètrage!$C$6:$C$179))</f>
        <v/>
      </c>
      <c r="M264" s="2" t="str">
        <f>IF(W264="","",LOOKUP('Extraction edi'!J264,Paramètrage!$A$6:$A$179,Paramètrage!$D$6:$D$179))</f>
        <v/>
      </c>
      <c r="N264" s="3" t="str">
        <f>IF(W264="","",LOOKUP('Extraction edi'!J264,Paramètrage!$A$6:$A$179,Paramètrage!$E$6:$E$179))</f>
        <v/>
      </c>
      <c r="O264" s="3" t="str">
        <f t="shared" si="96"/>
        <v/>
      </c>
      <c r="P264" s="3" t="str">
        <f t="shared" si="97"/>
        <v/>
      </c>
      <c r="Q264" s="3" t="str">
        <f t="shared" si="90"/>
        <v/>
      </c>
      <c r="R264" s="3" t="str">
        <f t="shared" si="98"/>
        <v/>
      </c>
      <c r="S264" s="3" t="str">
        <f t="shared" si="99"/>
        <v/>
      </c>
      <c r="T264" s="4" t="str">
        <f t="shared" si="100"/>
        <v/>
      </c>
      <c r="U264" s="5" t="str">
        <f t="shared" si="101"/>
        <v/>
      </c>
      <c r="V264" s="7" t="str">
        <f>IF(W264="","",IF(LOOKUP(W264,'Extration 3E date commande'!$A$6:$A$10000)=W264,LOOKUP(W264,'Extration 3E date commande'!$A$6:$A$10000,'Extration 3E date commande'!$C$6:$C$10000),"PAS DE DATE"))</f>
        <v/>
      </c>
    </row>
    <row r="265" spans="1:22" x14ac:dyDescent="0.25">
      <c r="A265" s="3" t="str">
        <f t="shared" si="91"/>
        <v/>
      </c>
      <c r="B265" s="3" t="str">
        <f t="shared" si="92"/>
        <v/>
      </c>
      <c r="C265" s="3" t="str">
        <f t="shared" si="106"/>
        <v/>
      </c>
      <c r="D265" s="3" t="str">
        <f t="shared" si="102"/>
        <v/>
      </c>
      <c r="E265" s="3" t="str">
        <f t="shared" si="103"/>
        <v/>
      </c>
      <c r="F265" s="3" t="str">
        <f t="shared" si="104"/>
        <v/>
      </c>
      <c r="G265" s="3" t="str">
        <f t="shared" si="105"/>
        <v/>
      </c>
      <c r="H265" s="3" t="str">
        <f t="shared" si="93"/>
        <v/>
      </c>
      <c r="I265" s="3" t="str">
        <f t="shared" si="94"/>
        <v/>
      </c>
      <c r="J265" s="2" t="str">
        <f t="shared" si="95"/>
        <v/>
      </c>
      <c r="K265" s="2" t="str">
        <f>IF(W265="","",LOOKUP('Extraction edi'!J265,Paramètrage!$A$6:$A$179,Paramètrage!$B$6:$B$179))</f>
        <v/>
      </c>
      <c r="L265" s="2" t="str">
        <f>IF(W265="","",LOOKUP('Extraction edi'!J265,Paramètrage!$A$6:$A$179,Paramètrage!$C$6:$C$179))</f>
        <v/>
      </c>
      <c r="M265" s="2" t="str">
        <f>IF(W265="","",LOOKUP('Extraction edi'!J265,Paramètrage!$A$6:$A$179,Paramètrage!$D$6:$D$179))</f>
        <v/>
      </c>
      <c r="N265" s="3" t="str">
        <f>IF(W265="","",LOOKUP('Extraction edi'!J265,Paramètrage!$A$6:$A$179,Paramètrage!$E$6:$E$179))</f>
        <v/>
      </c>
      <c r="O265" s="3" t="str">
        <f t="shared" si="96"/>
        <v/>
      </c>
      <c r="P265" s="3" t="str">
        <f t="shared" si="97"/>
        <v/>
      </c>
      <c r="Q265" s="3" t="str">
        <f t="shared" si="90"/>
        <v/>
      </c>
      <c r="R265" s="3" t="str">
        <f t="shared" si="98"/>
        <v/>
      </c>
      <c r="S265" s="3" t="str">
        <f t="shared" si="99"/>
        <v/>
      </c>
      <c r="T265" s="4" t="str">
        <f t="shared" si="100"/>
        <v/>
      </c>
      <c r="U265" s="5" t="str">
        <f t="shared" si="101"/>
        <v/>
      </c>
      <c r="V265" s="7" t="str">
        <f>IF(W265="","",IF(LOOKUP(W265,'Extration 3E date commande'!$A$6:$A$10000)=W265,LOOKUP(W265,'Extration 3E date commande'!$A$6:$A$10000,'Extration 3E date commande'!$C$6:$C$10000),"PAS DE DATE"))</f>
        <v/>
      </c>
    </row>
    <row r="266" spans="1:22" x14ac:dyDescent="0.25">
      <c r="A266" s="3" t="str">
        <f t="shared" si="91"/>
        <v/>
      </c>
      <c r="B266" s="3" t="str">
        <f t="shared" si="92"/>
        <v/>
      </c>
      <c r="C266" s="3" t="str">
        <f t="shared" si="106"/>
        <v/>
      </c>
      <c r="D266" s="3" t="str">
        <f t="shared" si="102"/>
        <v/>
      </c>
      <c r="E266" s="3" t="str">
        <f t="shared" si="103"/>
        <v/>
      </c>
      <c r="F266" s="3" t="str">
        <f t="shared" si="104"/>
        <v/>
      </c>
      <c r="G266" s="3" t="str">
        <f t="shared" si="105"/>
        <v/>
      </c>
      <c r="H266" s="3" t="str">
        <f t="shared" si="93"/>
        <v/>
      </c>
      <c r="I266" s="3" t="str">
        <f t="shared" si="94"/>
        <v/>
      </c>
      <c r="J266" s="2" t="str">
        <f t="shared" si="95"/>
        <v/>
      </c>
      <c r="K266" s="2" t="str">
        <f>IF(W266="","",LOOKUP('Extraction edi'!J266,Paramètrage!$A$6:$A$179,Paramètrage!$B$6:$B$179))</f>
        <v/>
      </c>
      <c r="L266" s="2" t="str">
        <f>IF(W266="","",LOOKUP('Extraction edi'!J266,Paramètrage!$A$6:$A$179,Paramètrage!$C$6:$C$179))</f>
        <v/>
      </c>
      <c r="M266" s="2" t="str">
        <f>IF(W266="","",LOOKUP('Extraction edi'!J266,Paramètrage!$A$6:$A$179,Paramètrage!$D$6:$D$179))</f>
        <v/>
      </c>
      <c r="N266" s="3" t="str">
        <f>IF(W266="","",LOOKUP('Extraction edi'!J266,Paramètrage!$A$6:$A$179,Paramètrage!$E$6:$E$179))</f>
        <v/>
      </c>
      <c r="O266" s="3" t="str">
        <f t="shared" si="96"/>
        <v/>
      </c>
      <c r="P266" s="3" t="str">
        <f t="shared" si="97"/>
        <v/>
      </c>
      <c r="Q266" s="3" t="str">
        <f t="shared" si="90"/>
        <v/>
      </c>
      <c r="R266" s="3" t="str">
        <f t="shared" si="98"/>
        <v/>
      </c>
      <c r="S266" s="3" t="str">
        <f t="shared" si="99"/>
        <v/>
      </c>
      <c r="T266" s="4" t="str">
        <f t="shared" si="100"/>
        <v/>
      </c>
      <c r="U266" s="5" t="str">
        <f t="shared" si="101"/>
        <v/>
      </c>
      <c r="V266" s="7" t="str">
        <f>IF(W266="","",IF(LOOKUP(W266,'Extration 3E date commande'!$A$6:$A$10000)=W266,LOOKUP(W266,'Extration 3E date commande'!$A$6:$A$10000,'Extration 3E date commande'!$C$6:$C$10000),"PAS DE DATE"))</f>
        <v/>
      </c>
    </row>
    <row r="267" spans="1:22" x14ac:dyDescent="0.25">
      <c r="A267" s="3" t="str">
        <f t="shared" si="91"/>
        <v/>
      </c>
      <c r="B267" s="3" t="str">
        <f t="shared" si="92"/>
        <v/>
      </c>
      <c r="C267" s="3" t="str">
        <f t="shared" si="106"/>
        <v/>
      </c>
      <c r="D267" s="3" t="str">
        <f t="shared" si="102"/>
        <v/>
      </c>
      <c r="E267" s="3" t="str">
        <f t="shared" si="103"/>
        <v/>
      </c>
      <c r="F267" s="3" t="str">
        <f t="shared" si="104"/>
        <v/>
      </c>
      <c r="G267" s="3" t="str">
        <f t="shared" si="105"/>
        <v/>
      </c>
      <c r="H267" s="3" t="str">
        <f t="shared" si="93"/>
        <v/>
      </c>
      <c r="I267" s="3" t="str">
        <f t="shared" si="94"/>
        <v/>
      </c>
      <c r="J267" s="2" t="str">
        <f t="shared" si="95"/>
        <v/>
      </c>
      <c r="K267" s="2" t="str">
        <f>IF(W267="","",LOOKUP('Extraction edi'!J267,Paramètrage!$A$6:$A$179,Paramètrage!$B$6:$B$179))</f>
        <v/>
      </c>
      <c r="L267" s="2" t="str">
        <f>IF(W267="","",LOOKUP('Extraction edi'!J267,Paramètrage!$A$6:$A$179,Paramètrage!$C$6:$C$179))</f>
        <v/>
      </c>
      <c r="M267" s="2" t="str">
        <f>IF(W267="","",LOOKUP('Extraction edi'!J267,Paramètrage!$A$6:$A$179,Paramètrage!$D$6:$D$179))</f>
        <v/>
      </c>
      <c r="N267" s="3" t="str">
        <f>IF(W267="","",LOOKUP('Extraction edi'!J267,Paramètrage!$A$6:$A$179,Paramètrage!$E$6:$E$179))</f>
        <v/>
      </c>
      <c r="O267" s="3" t="str">
        <f t="shared" si="96"/>
        <v/>
      </c>
      <c r="P267" s="3" t="str">
        <f t="shared" si="97"/>
        <v/>
      </c>
      <c r="Q267" s="3" t="str">
        <f t="shared" si="90"/>
        <v/>
      </c>
      <c r="R267" s="3" t="str">
        <f t="shared" si="98"/>
        <v/>
      </c>
      <c r="S267" s="3" t="str">
        <f t="shared" si="99"/>
        <v/>
      </c>
      <c r="T267" s="4" t="str">
        <f t="shared" si="100"/>
        <v/>
      </c>
      <c r="U267" s="5" t="str">
        <f t="shared" si="101"/>
        <v/>
      </c>
      <c r="V267" s="7" t="str">
        <f>IF(W267="","",IF(LOOKUP(W267,'Extration 3E date commande'!$A$6:$A$10000)=W267,LOOKUP(W267,'Extration 3E date commande'!$A$6:$A$10000,'Extration 3E date commande'!$C$6:$C$10000),"PAS DE DATE"))</f>
        <v/>
      </c>
    </row>
    <row r="268" spans="1:22" x14ac:dyDescent="0.25">
      <c r="A268" s="3" t="str">
        <f t="shared" si="91"/>
        <v/>
      </c>
      <c r="B268" s="3" t="str">
        <f t="shared" si="92"/>
        <v/>
      </c>
      <c r="C268" s="3" t="str">
        <f t="shared" si="106"/>
        <v/>
      </c>
      <c r="D268" s="3" t="str">
        <f t="shared" si="102"/>
        <v/>
      </c>
      <c r="E268" s="3" t="str">
        <f t="shared" si="103"/>
        <v/>
      </c>
      <c r="F268" s="3" t="str">
        <f t="shared" si="104"/>
        <v/>
      </c>
      <c r="G268" s="3" t="str">
        <f t="shared" si="105"/>
        <v/>
      </c>
      <c r="H268" s="3" t="str">
        <f t="shared" si="93"/>
        <v/>
      </c>
      <c r="I268" s="3" t="str">
        <f t="shared" si="94"/>
        <v/>
      </c>
      <c r="J268" s="2" t="str">
        <f t="shared" si="95"/>
        <v/>
      </c>
      <c r="K268" s="2" t="str">
        <f>IF(W268="","",LOOKUP('Extraction edi'!J268,Paramètrage!$A$6:$A$179,Paramètrage!$B$6:$B$179))</f>
        <v/>
      </c>
      <c r="L268" s="2" t="str">
        <f>IF(W268="","",LOOKUP('Extraction edi'!J268,Paramètrage!$A$6:$A$179,Paramètrage!$C$6:$C$179))</f>
        <v/>
      </c>
      <c r="M268" s="2" t="str">
        <f>IF(W268="","",LOOKUP('Extraction edi'!J268,Paramètrage!$A$6:$A$179,Paramètrage!$D$6:$D$179))</f>
        <v/>
      </c>
      <c r="N268" s="3" t="str">
        <f>IF(W268="","",LOOKUP('Extraction edi'!J268,Paramètrage!$A$6:$A$179,Paramètrage!$E$6:$E$179))</f>
        <v/>
      </c>
      <c r="O268" s="3" t="str">
        <f t="shared" si="96"/>
        <v/>
      </c>
      <c r="P268" s="3" t="str">
        <f t="shared" si="97"/>
        <v/>
      </c>
      <c r="Q268" s="3" t="str">
        <f t="shared" si="90"/>
        <v/>
      </c>
      <c r="R268" s="3" t="str">
        <f t="shared" si="98"/>
        <v/>
      </c>
      <c r="S268" s="3" t="str">
        <f t="shared" si="99"/>
        <v/>
      </c>
      <c r="T268" s="4" t="str">
        <f t="shared" si="100"/>
        <v/>
      </c>
      <c r="U268" s="5" t="str">
        <f t="shared" si="101"/>
        <v/>
      </c>
      <c r="V268" s="7" t="str">
        <f>IF(W268="","",IF(LOOKUP(W268,'Extration 3E date commande'!$A$6:$A$10000)=W268,LOOKUP(W268,'Extration 3E date commande'!$A$6:$A$10000,'Extration 3E date commande'!$C$6:$C$10000),"PAS DE DATE"))</f>
        <v/>
      </c>
    </row>
    <row r="269" spans="1:22" x14ac:dyDescent="0.25">
      <c r="A269" s="3" t="str">
        <f t="shared" si="91"/>
        <v/>
      </c>
      <c r="B269" s="3" t="str">
        <f t="shared" si="92"/>
        <v/>
      </c>
      <c r="C269" s="3" t="str">
        <f t="shared" si="106"/>
        <v/>
      </c>
      <c r="D269" s="3" t="str">
        <f t="shared" si="102"/>
        <v/>
      </c>
      <c r="E269" s="3" t="str">
        <f t="shared" si="103"/>
        <v/>
      </c>
      <c r="F269" s="3" t="str">
        <f t="shared" si="104"/>
        <v/>
      </c>
      <c r="G269" s="3" t="str">
        <f t="shared" si="105"/>
        <v/>
      </c>
      <c r="H269" s="3" t="str">
        <f t="shared" si="93"/>
        <v/>
      </c>
      <c r="I269" s="3" t="str">
        <f t="shared" si="94"/>
        <v/>
      </c>
      <c r="J269" s="2" t="str">
        <f t="shared" si="95"/>
        <v/>
      </c>
      <c r="K269" s="2" t="str">
        <f>IF(W269="","",LOOKUP('Extraction edi'!J269,Paramètrage!$A$6:$A$179,Paramètrage!$B$6:$B$179))</f>
        <v/>
      </c>
      <c r="L269" s="2" t="str">
        <f>IF(W269="","",LOOKUP('Extraction edi'!J269,Paramètrage!$A$6:$A$179,Paramètrage!$C$6:$C$179))</f>
        <v/>
      </c>
      <c r="M269" s="2" t="str">
        <f>IF(W269="","",LOOKUP('Extraction edi'!J269,Paramètrage!$A$6:$A$179,Paramètrage!$D$6:$D$179))</f>
        <v/>
      </c>
      <c r="N269" s="3" t="str">
        <f>IF(W269="","",LOOKUP('Extraction edi'!J269,Paramètrage!$A$6:$A$179,Paramètrage!$E$6:$E$179))</f>
        <v/>
      </c>
      <c r="O269" s="3" t="str">
        <f t="shared" si="96"/>
        <v/>
      </c>
      <c r="P269" s="3" t="str">
        <f t="shared" si="97"/>
        <v/>
      </c>
      <c r="Q269" s="3" t="str">
        <f t="shared" si="90"/>
        <v/>
      </c>
      <c r="R269" s="3" t="str">
        <f t="shared" si="98"/>
        <v/>
      </c>
      <c r="S269" s="3" t="str">
        <f t="shared" si="99"/>
        <v/>
      </c>
      <c r="T269" s="4" t="str">
        <f t="shared" si="100"/>
        <v/>
      </c>
      <c r="U269" s="5" t="str">
        <f t="shared" si="101"/>
        <v/>
      </c>
      <c r="V269" s="7" t="str">
        <f>IF(W269="","",IF(LOOKUP(W269,'Extration 3E date commande'!$A$6:$A$10000)=W269,LOOKUP(W269,'Extration 3E date commande'!$A$6:$A$10000,'Extration 3E date commande'!$C$6:$C$10000),"PAS DE DATE"))</f>
        <v/>
      </c>
    </row>
    <row r="270" spans="1:22" x14ac:dyDescent="0.25">
      <c r="A270" s="3" t="str">
        <f t="shared" si="91"/>
        <v/>
      </c>
      <c r="B270" s="3" t="str">
        <f t="shared" si="92"/>
        <v/>
      </c>
      <c r="C270" s="3" t="str">
        <f t="shared" si="106"/>
        <v/>
      </c>
      <c r="D270" s="3" t="str">
        <f t="shared" si="102"/>
        <v/>
      </c>
      <c r="E270" s="3" t="str">
        <f t="shared" si="103"/>
        <v/>
      </c>
      <c r="F270" s="3" t="str">
        <f t="shared" si="104"/>
        <v/>
      </c>
      <c r="G270" s="3" t="str">
        <f t="shared" si="105"/>
        <v/>
      </c>
      <c r="H270" s="3" t="str">
        <f t="shared" si="93"/>
        <v/>
      </c>
      <c r="I270" s="3" t="str">
        <f t="shared" si="94"/>
        <v/>
      </c>
      <c r="J270" s="2" t="str">
        <f t="shared" si="95"/>
        <v/>
      </c>
      <c r="K270" s="2" t="str">
        <f>IF(W270="","",LOOKUP('Extraction edi'!J270,Paramètrage!$A$6:$A$179,Paramètrage!$B$6:$B$179))</f>
        <v/>
      </c>
      <c r="L270" s="2" t="str">
        <f>IF(W270="","",LOOKUP('Extraction edi'!J270,Paramètrage!$A$6:$A$179,Paramètrage!$C$6:$C$179))</f>
        <v/>
      </c>
      <c r="M270" s="2" t="str">
        <f>IF(W270="","",LOOKUP('Extraction edi'!J270,Paramètrage!$A$6:$A$179,Paramètrage!$D$6:$D$179))</f>
        <v/>
      </c>
      <c r="N270" s="3" t="str">
        <f>IF(W270="","",LOOKUP('Extraction edi'!J270,Paramètrage!$A$6:$A$179,Paramètrage!$E$6:$E$179))</f>
        <v/>
      </c>
      <c r="O270" s="3" t="str">
        <f t="shared" si="96"/>
        <v/>
      </c>
      <c r="P270" s="3" t="str">
        <f t="shared" si="97"/>
        <v/>
      </c>
      <c r="Q270" s="3" t="str">
        <f t="shared" si="90"/>
        <v/>
      </c>
      <c r="R270" s="3" t="str">
        <f t="shared" si="98"/>
        <v/>
      </c>
      <c r="S270" s="3" t="str">
        <f t="shared" si="99"/>
        <v/>
      </c>
      <c r="T270" s="4" t="str">
        <f t="shared" si="100"/>
        <v/>
      </c>
      <c r="U270" s="5" t="str">
        <f t="shared" si="101"/>
        <v/>
      </c>
      <c r="V270" s="7" t="str">
        <f>IF(W270="","",IF(LOOKUP(W270,'Extration 3E date commande'!$A$6:$A$10000)=W270,LOOKUP(W270,'Extration 3E date commande'!$A$6:$A$10000,'Extration 3E date commande'!$C$6:$C$10000),"PAS DE DATE"))</f>
        <v/>
      </c>
    </row>
    <row r="271" spans="1:22" x14ac:dyDescent="0.25">
      <c r="A271" s="3" t="str">
        <f t="shared" si="91"/>
        <v/>
      </c>
      <c r="B271" s="3" t="str">
        <f t="shared" si="92"/>
        <v/>
      </c>
      <c r="C271" s="3" t="str">
        <f t="shared" si="106"/>
        <v/>
      </c>
      <c r="D271" s="3" t="str">
        <f t="shared" si="102"/>
        <v/>
      </c>
      <c r="E271" s="3" t="str">
        <f t="shared" si="103"/>
        <v/>
      </c>
      <c r="F271" s="3" t="str">
        <f t="shared" si="104"/>
        <v/>
      </c>
      <c r="G271" s="3" t="str">
        <f t="shared" si="105"/>
        <v/>
      </c>
      <c r="H271" s="3" t="str">
        <f t="shared" si="93"/>
        <v/>
      </c>
      <c r="I271" s="3" t="str">
        <f t="shared" si="94"/>
        <v/>
      </c>
      <c r="J271" s="2" t="str">
        <f t="shared" si="95"/>
        <v/>
      </c>
      <c r="K271" s="2" t="str">
        <f>IF(W271="","",LOOKUP('Extraction edi'!J271,Paramètrage!$A$6:$A$179,Paramètrage!$B$6:$B$179))</f>
        <v/>
      </c>
      <c r="L271" s="2" t="str">
        <f>IF(W271="","",LOOKUP('Extraction edi'!J271,Paramètrage!$A$6:$A$179,Paramètrage!$C$6:$C$179))</f>
        <v/>
      </c>
      <c r="M271" s="2" t="str">
        <f>IF(W271="","",LOOKUP('Extraction edi'!J271,Paramètrage!$A$6:$A$179,Paramètrage!$D$6:$D$179))</f>
        <v/>
      </c>
      <c r="N271" s="3" t="str">
        <f>IF(W271="","",LOOKUP('Extraction edi'!J271,Paramètrage!$A$6:$A$179,Paramètrage!$E$6:$E$179))</f>
        <v/>
      </c>
      <c r="O271" s="3" t="str">
        <f t="shared" si="96"/>
        <v/>
      </c>
      <c r="P271" s="3" t="str">
        <f t="shared" si="97"/>
        <v/>
      </c>
      <c r="Q271" s="3" t="str">
        <f t="shared" ref="Q271:Q334" si="107">IF(ISERROR(SEARCH("laq",J271))=FALSE,"laquage RAL :",IF(ISERROR(SEARCH("lq",J271))=FALSE,"laquage RAL :",IF(ISERROR(SEARCH("ANO",J270))=FALSE,"laquage RAL :",IF(ISERROR(SEARCH("IVOI",J271)),"","laquage RAL :"))))</f>
        <v/>
      </c>
      <c r="R271" s="3" t="str">
        <f t="shared" si="98"/>
        <v/>
      </c>
      <c r="S271" s="3" t="str">
        <f t="shared" si="99"/>
        <v/>
      </c>
      <c r="T271" s="4" t="str">
        <f t="shared" si="100"/>
        <v/>
      </c>
      <c r="U271" s="5" t="str">
        <f t="shared" si="101"/>
        <v/>
      </c>
      <c r="V271" s="7" t="str">
        <f>IF(W271="","",IF(LOOKUP(W271,'Extration 3E date commande'!$A$6:$A$10000)=W271,LOOKUP(W271,'Extration 3E date commande'!$A$6:$A$10000,'Extration 3E date commande'!$C$6:$C$10000),"PAS DE DATE"))</f>
        <v/>
      </c>
    </row>
    <row r="272" spans="1:22" x14ac:dyDescent="0.25">
      <c r="A272" s="3" t="str">
        <f t="shared" si="91"/>
        <v/>
      </c>
      <c r="B272" s="3" t="str">
        <f t="shared" si="92"/>
        <v/>
      </c>
      <c r="C272" s="3" t="str">
        <f t="shared" si="106"/>
        <v/>
      </c>
      <c r="D272" s="3" t="str">
        <f t="shared" si="102"/>
        <v/>
      </c>
      <c r="E272" s="3" t="str">
        <f t="shared" si="103"/>
        <v/>
      </c>
      <c r="F272" s="3" t="str">
        <f t="shared" si="104"/>
        <v/>
      </c>
      <c r="G272" s="3" t="str">
        <f t="shared" si="105"/>
        <v/>
      </c>
      <c r="H272" s="3" t="str">
        <f t="shared" si="93"/>
        <v/>
      </c>
      <c r="I272" s="3" t="str">
        <f t="shared" si="94"/>
        <v/>
      </c>
      <c r="J272" s="2" t="str">
        <f t="shared" si="95"/>
        <v/>
      </c>
      <c r="K272" s="2" t="str">
        <f>IF(W272="","",LOOKUP('Extraction edi'!J272,Paramètrage!$A$6:$A$179,Paramètrage!$B$6:$B$179))</f>
        <v/>
      </c>
      <c r="L272" s="2" t="str">
        <f>IF(W272="","",LOOKUP('Extraction edi'!J272,Paramètrage!$A$6:$A$179,Paramètrage!$C$6:$C$179))</f>
        <v/>
      </c>
      <c r="M272" s="2" t="str">
        <f>IF(W272="","",LOOKUP('Extraction edi'!J272,Paramètrage!$A$6:$A$179,Paramètrage!$D$6:$D$179))</f>
        <v/>
      </c>
      <c r="N272" s="3" t="str">
        <f>IF(W272="","",LOOKUP('Extraction edi'!J272,Paramètrage!$A$6:$A$179,Paramètrage!$E$6:$E$179))</f>
        <v/>
      </c>
      <c r="O272" s="3" t="str">
        <f t="shared" si="96"/>
        <v/>
      </c>
      <c r="P272" s="3" t="str">
        <f t="shared" si="97"/>
        <v/>
      </c>
      <c r="Q272" s="3" t="str">
        <f t="shared" si="107"/>
        <v/>
      </c>
      <c r="R272" s="3" t="str">
        <f t="shared" si="98"/>
        <v/>
      </c>
      <c r="S272" s="3" t="str">
        <f t="shared" si="99"/>
        <v/>
      </c>
      <c r="T272" s="4" t="str">
        <f t="shared" si="100"/>
        <v/>
      </c>
      <c r="U272" s="5" t="str">
        <f t="shared" si="101"/>
        <v/>
      </c>
      <c r="V272" s="7" t="str">
        <f>IF(W272="","",IF(LOOKUP(W272,'Extration 3E date commande'!$A$6:$A$10000)=W272,LOOKUP(W272,'Extration 3E date commande'!$A$6:$A$10000,'Extration 3E date commande'!$C$6:$C$10000),"PAS DE DATE"))</f>
        <v/>
      </c>
    </row>
    <row r="273" spans="1:22" x14ac:dyDescent="0.25">
      <c r="A273" s="3" t="str">
        <f t="shared" si="91"/>
        <v/>
      </c>
      <c r="B273" s="3" t="str">
        <f t="shared" si="92"/>
        <v/>
      </c>
      <c r="C273" s="3" t="str">
        <f t="shared" si="106"/>
        <v/>
      </c>
      <c r="D273" s="3" t="str">
        <f t="shared" si="102"/>
        <v/>
      </c>
      <c r="E273" s="3" t="str">
        <f t="shared" si="103"/>
        <v/>
      </c>
      <c r="F273" s="3" t="str">
        <f t="shared" si="104"/>
        <v/>
      </c>
      <c r="G273" s="3" t="str">
        <f t="shared" si="105"/>
        <v/>
      </c>
      <c r="H273" s="3" t="str">
        <f t="shared" si="93"/>
        <v/>
      </c>
      <c r="I273" s="3" t="str">
        <f t="shared" si="94"/>
        <v/>
      </c>
      <c r="J273" s="2" t="str">
        <f t="shared" si="95"/>
        <v/>
      </c>
      <c r="K273" s="2" t="str">
        <f>IF(W273="","",LOOKUP('Extraction edi'!J273,Paramètrage!$A$6:$A$179,Paramètrage!$B$6:$B$179))</f>
        <v/>
      </c>
      <c r="L273" s="2" t="str">
        <f>IF(W273="","",LOOKUP('Extraction edi'!J273,Paramètrage!$A$6:$A$179,Paramètrage!$C$6:$C$179))</f>
        <v/>
      </c>
      <c r="M273" s="2" t="str">
        <f>IF(W273="","",LOOKUP('Extraction edi'!J273,Paramètrage!$A$6:$A$179,Paramètrage!$D$6:$D$179))</f>
        <v/>
      </c>
      <c r="N273" s="3" t="str">
        <f>IF(W273="","",LOOKUP('Extraction edi'!J273,Paramètrage!$A$6:$A$179,Paramètrage!$E$6:$E$179))</f>
        <v/>
      </c>
      <c r="O273" s="3" t="str">
        <f t="shared" si="96"/>
        <v/>
      </c>
      <c r="P273" s="3" t="str">
        <f t="shared" si="97"/>
        <v/>
      </c>
      <c r="Q273" s="3" t="str">
        <f t="shared" si="107"/>
        <v/>
      </c>
      <c r="R273" s="3" t="str">
        <f t="shared" si="98"/>
        <v/>
      </c>
      <c r="S273" s="3" t="str">
        <f t="shared" si="99"/>
        <v/>
      </c>
      <c r="T273" s="4" t="str">
        <f t="shared" si="100"/>
        <v/>
      </c>
      <c r="U273" s="5" t="str">
        <f t="shared" si="101"/>
        <v/>
      </c>
      <c r="V273" s="7" t="str">
        <f>IF(W273="","",IF(LOOKUP(W273,'Extration 3E date commande'!$A$6:$A$10000)=W273,LOOKUP(W273,'Extration 3E date commande'!$A$6:$A$10000,'Extration 3E date commande'!$C$6:$C$10000),"PAS DE DATE"))</f>
        <v/>
      </c>
    </row>
    <row r="274" spans="1:22" x14ac:dyDescent="0.25">
      <c r="A274" s="3" t="str">
        <f t="shared" si="91"/>
        <v/>
      </c>
      <c r="B274" s="3" t="str">
        <f t="shared" si="92"/>
        <v/>
      </c>
      <c r="C274" s="3" t="str">
        <f t="shared" si="106"/>
        <v/>
      </c>
      <c r="D274" s="3" t="str">
        <f t="shared" si="102"/>
        <v/>
      </c>
      <c r="E274" s="3" t="str">
        <f t="shared" si="103"/>
        <v/>
      </c>
      <c r="F274" s="3" t="str">
        <f t="shared" si="104"/>
        <v/>
      </c>
      <c r="G274" s="3" t="str">
        <f t="shared" si="105"/>
        <v/>
      </c>
      <c r="H274" s="3" t="str">
        <f t="shared" si="93"/>
        <v/>
      </c>
      <c r="I274" s="3" t="str">
        <f t="shared" si="94"/>
        <v/>
      </c>
      <c r="J274" s="2" t="str">
        <f t="shared" si="95"/>
        <v/>
      </c>
      <c r="K274" s="2" t="str">
        <f>IF(W274="","",LOOKUP('Extraction edi'!J274,Paramètrage!$A$6:$A$179,Paramètrage!$B$6:$B$179))</f>
        <v/>
      </c>
      <c r="L274" s="2" t="str">
        <f>IF(W274="","",LOOKUP('Extraction edi'!J274,Paramètrage!$A$6:$A$179,Paramètrage!$C$6:$C$179))</f>
        <v/>
      </c>
      <c r="M274" s="2" t="str">
        <f>IF(W274="","",LOOKUP('Extraction edi'!J274,Paramètrage!$A$6:$A$179,Paramètrage!$D$6:$D$179))</f>
        <v/>
      </c>
      <c r="N274" s="3" t="str">
        <f>IF(W274="","",LOOKUP('Extraction edi'!J274,Paramètrage!$A$6:$A$179,Paramètrage!$E$6:$E$179))</f>
        <v/>
      </c>
      <c r="O274" s="3" t="str">
        <f t="shared" si="96"/>
        <v/>
      </c>
      <c r="P274" s="3" t="str">
        <f t="shared" si="97"/>
        <v/>
      </c>
      <c r="Q274" s="3" t="str">
        <f t="shared" si="107"/>
        <v/>
      </c>
      <c r="R274" s="3" t="str">
        <f t="shared" si="98"/>
        <v/>
      </c>
      <c r="S274" s="3" t="str">
        <f t="shared" si="99"/>
        <v/>
      </c>
      <c r="T274" s="4" t="str">
        <f t="shared" si="100"/>
        <v/>
      </c>
      <c r="U274" s="5" t="str">
        <f t="shared" si="101"/>
        <v/>
      </c>
      <c r="V274" s="7" t="str">
        <f>IF(W274="","",IF(LOOKUP(W274,'Extration 3E date commande'!$A$6:$A$10000)=W274,LOOKUP(W274,'Extration 3E date commande'!$A$6:$A$10000,'Extration 3E date commande'!$C$6:$C$10000),"PAS DE DATE"))</f>
        <v/>
      </c>
    </row>
    <row r="275" spans="1:22" x14ac:dyDescent="0.25">
      <c r="A275" s="3" t="str">
        <f t="shared" si="91"/>
        <v/>
      </c>
      <c r="B275" s="3" t="str">
        <f t="shared" si="92"/>
        <v/>
      </c>
      <c r="C275" s="3" t="str">
        <f t="shared" si="106"/>
        <v/>
      </c>
      <c r="D275" s="3" t="str">
        <f t="shared" si="102"/>
        <v/>
      </c>
      <c r="E275" s="3" t="str">
        <f t="shared" si="103"/>
        <v/>
      </c>
      <c r="F275" s="3" t="str">
        <f t="shared" si="104"/>
        <v/>
      </c>
      <c r="G275" s="3" t="str">
        <f t="shared" si="105"/>
        <v/>
      </c>
      <c r="H275" s="3" t="str">
        <f t="shared" si="93"/>
        <v/>
      </c>
      <c r="I275" s="3" t="str">
        <f t="shared" si="94"/>
        <v/>
      </c>
      <c r="J275" s="2" t="str">
        <f t="shared" si="95"/>
        <v/>
      </c>
      <c r="K275" s="2" t="str">
        <f>IF(W275="","",LOOKUP('Extraction edi'!J275,Paramètrage!$A$6:$A$179,Paramètrage!$B$6:$B$179))</f>
        <v/>
      </c>
      <c r="L275" s="2" t="str">
        <f>IF(W275="","",LOOKUP('Extraction edi'!J275,Paramètrage!$A$6:$A$179,Paramètrage!$C$6:$C$179))</f>
        <v/>
      </c>
      <c r="M275" s="2" t="str">
        <f>IF(W275="","",LOOKUP('Extraction edi'!J275,Paramètrage!$A$6:$A$179,Paramètrage!$D$6:$D$179))</f>
        <v/>
      </c>
      <c r="N275" s="3" t="str">
        <f>IF(W275="","",LOOKUP('Extraction edi'!J275,Paramètrage!$A$6:$A$179,Paramètrage!$E$6:$E$179))</f>
        <v/>
      </c>
      <c r="O275" s="3" t="str">
        <f t="shared" si="96"/>
        <v/>
      </c>
      <c r="P275" s="3" t="str">
        <f t="shared" si="97"/>
        <v/>
      </c>
      <c r="Q275" s="3" t="str">
        <f t="shared" si="107"/>
        <v/>
      </c>
      <c r="R275" s="3" t="str">
        <f t="shared" si="98"/>
        <v/>
      </c>
      <c r="S275" s="3" t="str">
        <f t="shared" si="99"/>
        <v/>
      </c>
      <c r="T275" s="4" t="str">
        <f t="shared" si="100"/>
        <v/>
      </c>
      <c r="U275" s="5" t="str">
        <f t="shared" si="101"/>
        <v/>
      </c>
      <c r="V275" s="7" t="str">
        <f>IF(W275="","",IF(LOOKUP(W275,'Extration 3E date commande'!$A$6:$A$10000)=W275,LOOKUP(W275,'Extration 3E date commande'!$A$6:$A$10000,'Extration 3E date commande'!$C$6:$C$10000),"PAS DE DATE"))</f>
        <v/>
      </c>
    </row>
    <row r="276" spans="1:22" x14ac:dyDescent="0.25">
      <c r="A276" s="3" t="str">
        <f t="shared" si="91"/>
        <v/>
      </c>
      <c r="B276" s="3" t="str">
        <f t="shared" si="92"/>
        <v/>
      </c>
      <c r="C276" s="3" t="str">
        <f t="shared" si="106"/>
        <v/>
      </c>
      <c r="D276" s="3" t="str">
        <f t="shared" si="102"/>
        <v/>
      </c>
      <c r="E276" s="3" t="str">
        <f t="shared" si="103"/>
        <v/>
      </c>
      <c r="F276" s="3" t="str">
        <f t="shared" si="104"/>
        <v/>
      </c>
      <c r="G276" s="3" t="str">
        <f t="shared" si="105"/>
        <v/>
      </c>
      <c r="H276" s="3" t="str">
        <f t="shared" si="93"/>
        <v/>
      </c>
      <c r="I276" s="3" t="str">
        <f t="shared" si="94"/>
        <v/>
      </c>
      <c r="J276" s="2" t="str">
        <f t="shared" si="95"/>
        <v/>
      </c>
      <c r="K276" s="2" t="str">
        <f>IF(W276="","",LOOKUP('Extraction edi'!J276,Paramètrage!$A$6:$A$179,Paramètrage!$B$6:$B$179))</f>
        <v/>
      </c>
      <c r="L276" s="2" t="str">
        <f>IF(W276="","",LOOKUP('Extraction edi'!J276,Paramètrage!$A$6:$A$179,Paramètrage!$C$6:$C$179))</f>
        <v/>
      </c>
      <c r="M276" s="2" t="str">
        <f>IF(W276="","",LOOKUP('Extraction edi'!J276,Paramètrage!$A$6:$A$179,Paramètrage!$D$6:$D$179))</f>
        <v/>
      </c>
      <c r="N276" s="3" t="str">
        <f>IF(W276="","",LOOKUP('Extraction edi'!J276,Paramètrage!$A$6:$A$179,Paramètrage!$E$6:$E$179))</f>
        <v/>
      </c>
      <c r="O276" s="3" t="str">
        <f t="shared" si="96"/>
        <v/>
      </c>
      <c r="P276" s="3" t="str">
        <f t="shared" si="97"/>
        <v/>
      </c>
      <c r="Q276" s="3" t="str">
        <f t="shared" si="107"/>
        <v/>
      </c>
      <c r="R276" s="3" t="str">
        <f t="shared" si="98"/>
        <v/>
      </c>
      <c r="S276" s="3" t="str">
        <f t="shared" si="99"/>
        <v/>
      </c>
      <c r="T276" s="4" t="str">
        <f t="shared" si="100"/>
        <v/>
      </c>
      <c r="U276" s="5" t="str">
        <f t="shared" si="101"/>
        <v/>
      </c>
      <c r="V276" s="7" t="str">
        <f>IF(W276="","",IF(LOOKUP(W276,'Extration 3E date commande'!$A$6:$A$10000)=W276,LOOKUP(W276,'Extration 3E date commande'!$A$6:$A$10000,'Extration 3E date commande'!$C$6:$C$10000),"PAS DE DATE"))</f>
        <v/>
      </c>
    </row>
    <row r="277" spans="1:22" x14ac:dyDescent="0.25">
      <c r="A277" s="3" t="str">
        <f t="shared" si="91"/>
        <v/>
      </c>
      <c r="B277" s="3" t="str">
        <f t="shared" si="92"/>
        <v/>
      </c>
      <c r="C277" s="3" t="str">
        <f t="shared" si="106"/>
        <v/>
      </c>
      <c r="D277" s="3" t="str">
        <f t="shared" si="102"/>
        <v/>
      </c>
      <c r="E277" s="3" t="str">
        <f t="shared" si="103"/>
        <v/>
      </c>
      <c r="F277" s="3" t="str">
        <f t="shared" si="104"/>
        <v/>
      </c>
      <c r="G277" s="3" t="str">
        <f t="shared" si="105"/>
        <v/>
      </c>
      <c r="H277" s="3" t="str">
        <f t="shared" si="93"/>
        <v/>
      </c>
      <c r="I277" s="3" t="str">
        <f t="shared" si="94"/>
        <v/>
      </c>
      <c r="J277" s="2" t="str">
        <f t="shared" si="95"/>
        <v/>
      </c>
      <c r="K277" s="2" t="str">
        <f>IF(W277="","",LOOKUP('Extraction edi'!J277,Paramètrage!$A$6:$A$179,Paramètrage!$B$6:$B$179))</f>
        <v/>
      </c>
      <c r="L277" s="2" t="str">
        <f>IF(W277="","",LOOKUP('Extraction edi'!J277,Paramètrage!$A$6:$A$179,Paramètrage!$C$6:$C$179))</f>
        <v/>
      </c>
      <c r="M277" s="2" t="str">
        <f>IF(W277="","",LOOKUP('Extraction edi'!J277,Paramètrage!$A$6:$A$179,Paramètrage!$D$6:$D$179))</f>
        <v/>
      </c>
      <c r="N277" s="3" t="str">
        <f>IF(W277="","",LOOKUP('Extraction edi'!J277,Paramètrage!$A$6:$A$179,Paramètrage!$E$6:$E$179))</f>
        <v/>
      </c>
      <c r="O277" s="3" t="str">
        <f t="shared" si="96"/>
        <v/>
      </c>
      <c r="P277" s="3" t="str">
        <f t="shared" si="97"/>
        <v/>
      </c>
      <c r="Q277" s="3" t="str">
        <f t="shared" si="107"/>
        <v/>
      </c>
      <c r="R277" s="3" t="str">
        <f t="shared" si="98"/>
        <v/>
      </c>
      <c r="S277" s="3" t="str">
        <f t="shared" si="99"/>
        <v/>
      </c>
      <c r="T277" s="4" t="str">
        <f t="shared" si="100"/>
        <v/>
      </c>
      <c r="U277" s="5" t="str">
        <f t="shared" si="101"/>
        <v/>
      </c>
      <c r="V277" s="7" t="str">
        <f>IF(W277="","",IF(LOOKUP(W277,'Extration 3E date commande'!$A$6:$A$10000)=W277,LOOKUP(W277,'Extration 3E date commande'!$A$6:$A$10000,'Extration 3E date commande'!$C$6:$C$10000),"PAS DE DATE"))</f>
        <v/>
      </c>
    </row>
    <row r="278" spans="1:22" x14ac:dyDescent="0.25">
      <c r="A278" s="3" t="str">
        <f t="shared" ref="A278:A341" si="108">IF(W278="","",LEFT(W278,7))</f>
        <v/>
      </c>
      <c r="B278" s="3" t="str">
        <f t="shared" ref="B278:B341" si="109">IF(W278="","",RIGHT(W278,3))</f>
        <v/>
      </c>
      <c r="C278" s="3" t="str">
        <f t="shared" si="106"/>
        <v/>
      </c>
      <c r="D278" s="3" t="str">
        <f t="shared" si="102"/>
        <v/>
      </c>
      <c r="E278" s="3" t="str">
        <f t="shared" si="103"/>
        <v/>
      </c>
      <c r="F278" s="3" t="str">
        <f t="shared" si="104"/>
        <v/>
      </c>
      <c r="G278" s="3" t="str">
        <f t="shared" si="105"/>
        <v/>
      </c>
      <c r="H278" s="3" t="str">
        <f t="shared" ref="H278:H341" si="110">IF(W278="","",X278)</f>
        <v/>
      </c>
      <c r="I278" s="3" t="str">
        <f t="shared" ref="I278:I341" si="111">IF(W278="","",Z278)</f>
        <v/>
      </c>
      <c r="J278" s="2" t="str">
        <f t="shared" ref="J278:J341" si="112">IF(W278="","",IF(AND(T278=FALSE,T277=FALSE,T276=FALSE,T275=FALSE,T274=FALSE),AA273,IF(AND(T278=FALSE,T277=FALSE,T276=FALSE,T275=FALSE),AA274,IF(AND(T278=FALSE,T277=FALSE,T276=FALSE),AA275,IF(AND(T278=FALSE,T277=FALSE),AA276,IF(T278=FALSE,AA277,AA278))))))</f>
        <v/>
      </c>
      <c r="K278" s="2" t="str">
        <f>IF(W278="","",LOOKUP('Extraction edi'!J278,Paramètrage!$A$6:$A$179,Paramètrage!$B$6:$B$179))</f>
        <v/>
      </c>
      <c r="L278" s="2" t="str">
        <f>IF(W278="","",LOOKUP('Extraction edi'!J278,Paramètrage!$A$6:$A$179,Paramètrage!$C$6:$C$179))</f>
        <v/>
      </c>
      <c r="M278" s="2" t="str">
        <f>IF(W278="","",LOOKUP('Extraction edi'!J278,Paramètrage!$A$6:$A$179,Paramètrage!$D$6:$D$179))</f>
        <v/>
      </c>
      <c r="N278" s="3" t="str">
        <f>IF(W278="","",LOOKUP('Extraction edi'!J278,Paramètrage!$A$6:$A$179,Paramètrage!$E$6:$E$179))</f>
        <v/>
      </c>
      <c r="O278" s="3" t="str">
        <f t="shared" ref="O278:O341" si="113">IF(W278="","",IF(LEFT(AA278,4)="soub",AB278,IF(LEFT(AA278,3)="cim",AB278,AA278)))</f>
        <v/>
      </c>
      <c r="P278" s="3" t="str">
        <f t="shared" ref="P278:P341" si="114">IF(LEFT(U278,1)="N",SUBSTITUTE(AB278,"*",""),IF(LEFT(U278,1)="S",SUBSTITUTE(AB278,"*",""),IF(LEFT(U278,1)="G",SUBSTITUTE(AB278,"*",""),IF(LEN(U278)=11,SUBSTITUTE(AB278,"*",""),U278))))</f>
        <v/>
      </c>
      <c r="Q278" s="3" t="str">
        <f t="shared" si="107"/>
        <v/>
      </c>
      <c r="R278" s="3" t="str">
        <f t="shared" ref="R278:R341" si="115">IF(W278="","",IF(RIGHT(L278,7)="RAL9001",L278,IF(LEFT(AE278,1)="N",AE278,IF(LEFT(AE278,1)="S",AE278,IF(LEFT(AE278,1)="G",AE278,"")))))</f>
        <v/>
      </c>
      <c r="S278" s="3" t="str">
        <f t="shared" ref="S278:S341" si="116">IF(W278="","",IF(RIGHT(M278,7)="RAL9001",M278,IF(LEFT(AC278,1)="N",AC278,IF(LEFT(AC278,1)="S",AC278,IF(LEFT(AC278,1)="G",AC278,IF(LEFT(AD278,1)="N",AD278,IF(LEFT(AD278,1)="S",AD278,IF(LEFT(AD278,1)="G",AD278,""))))))))</f>
        <v/>
      </c>
      <c r="T278" s="4" t="str">
        <f t="shared" ref="T278:T341" si="117">IF(W278="","",IF(LEFT(AA278,4)&lt;&gt;"soub",IF(LEFT(AA278,3)&lt;&gt;"cim"=FALSE,AA278),AA278))</f>
        <v/>
      </c>
      <c r="U278" s="5" t="str">
        <f t="shared" ref="U278:U341" si="118">SUBSTITUTE(AC278,"*","")</f>
        <v/>
      </c>
      <c r="V278" s="7" t="str">
        <f>IF(W278="","",IF(LOOKUP(W278,'Extration 3E date commande'!$A$6:$A$10000)=W278,LOOKUP(W278,'Extration 3E date commande'!$A$6:$A$10000,'Extration 3E date commande'!$C$6:$C$10000),"PAS DE DATE"))</f>
        <v/>
      </c>
    </row>
    <row r="279" spans="1:22" x14ac:dyDescent="0.25">
      <c r="A279" s="3" t="str">
        <f t="shared" si="108"/>
        <v/>
      </c>
      <c r="B279" s="3" t="str">
        <f t="shared" si="109"/>
        <v/>
      </c>
      <c r="C279" s="3" t="str">
        <f t="shared" si="106"/>
        <v/>
      </c>
      <c r="D279" s="3" t="str">
        <f t="shared" si="102"/>
        <v/>
      </c>
      <c r="E279" s="3" t="str">
        <f t="shared" si="103"/>
        <v/>
      </c>
      <c r="F279" s="3" t="str">
        <f t="shared" si="104"/>
        <v/>
      </c>
      <c r="G279" s="3" t="str">
        <f t="shared" si="105"/>
        <v/>
      </c>
      <c r="H279" s="3" t="str">
        <f t="shared" si="110"/>
        <v/>
      </c>
      <c r="I279" s="3" t="str">
        <f t="shared" si="111"/>
        <v/>
      </c>
      <c r="J279" s="2" t="str">
        <f t="shared" si="112"/>
        <v/>
      </c>
      <c r="K279" s="2" t="str">
        <f>IF(W279="","",LOOKUP('Extraction edi'!J279,Paramètrage!$A$6:$A$179,Paramètrage!$B$6:$B$179))</f>
        <v/>
      </c>
      <c r="L279" s="2" t="str">
        <f>IF(W279="","",LOOKUP('Extraction edi'!J279,Paramètrage!$A$6:$A$179,Paramètrage!$C$6:$C$179))</f>
        <v/>
      </c>
      <c r="M279" s="2" t="str">
        <f>IF(W279="","",LOOKUP('Extraction edi'!J279,Paramètrage!$A$6:$A$179,Paramètrage!$D$6:$D$179))</f>
        <v/>
      </c>
      <c r="N279" s="3" t="str">
        <f>IF(W279="","",LOOKUP('Extraction edi'!J279,Paramètrage!$A$6:$A$179,Paramètrage!$E$6:$E$179))</f>
        <v/>
      </c>
      <c r="O279" s="3" t="str">
        <f t="shared" si="113"/>
        <v/>
      </c>
      <c r="P279" s="3" t="str">
        <f t="shared" si="114"/>
        <v/>
      </c>
      <c r="Q279" s="3" t="str">
        <f t="shared" si="107"/>
        <v/>
      </c>
      <c r="R279" s="3" t="str">
        <f t="shared" si="115"/>
        <v/>
      </c>
      <c r="S279" s="3" t="str">
        <f t="shared" si="116"/>
        <v/>
      </c>
      <c r="T279" s="4" t="str">
        <f t="shared" si="117"/>
        <v/>
      </c>
      <c r="U279" s="5" t="str">
        <f t="shared" si="118"/>
        <v/>
      </c>
      <c r="V279" s="7" t="str">
        <f>IF(W279="","",IF(LOOKUP(W279,'Extration 3E date commande'!$A$6:$A$10000)=W279,LOOKUP(W279,'Extration 3E date commande'!$A$6:$A$10000,'Extration 3E date commande'!$C$6:$C$10000),"PAS DE DATE"))</f>
        <v/>
      </c>
    </row>
    <row r="280" spans="1:22" x14ac:dyDescent="0.25">
      <c r="A280" s="3" t="str">
        <f t="shared" si="108"/>
        <v/>
      </c>
      <c r="B280" s="3" t="str">
        <f t="shared" si="109"/>
        <v/>
      </c>
      <c r="C280" s="3" t="str">
        <f t="shared" si="106"/>
        <v/>
      </c>
      <c r="D280" s="3" t="str">
        <f t="shared" si="102"/>
        <v/>
      </c>
      <c r="E280" s="3" t="str">
        <f t="shared" si="103"/>
        <v/>
      </c>
      <c r="F280" s="3" t="str">
        <f t="shared" si="104"/>
        <v/>
      </c>
      <c r="G280" s="3" t="str">
        <f t="shared" si="105"/>
        <v/>
      </c>
      <c r="H280" s="3" t="str">
        <f t="shared" si="110"/>
        <v/>
      </c>
      <c r="I280" s="3" t="str">
        <f t="shared" si="111"/>
        <v/>
      </c>
      <c r="J280" s="2" t="str">
        <f t="shared" si="112"/>
        <v/>
      </c>
      <c r="K280" s="2" t="str">
        <f>IF(W280="","",LOOKUP('Extraction edi'!J280,Paramètrage!$A$6:$A$179,Paramètrage!$B$6:$B$179))</f>
        <v/>
      </c>
      <c r="L280" s="2" t="str">
        <f>IF(W280="","",LOOKUP('Extraction edi'!J280,Paramètrage!$A$6:$A$179,Paramètrage!$C$6:$C$179))</f>
        <v/>
      </c>
      <c r="M280" s="2" t="str">
        <f>IF(W280="","",LOOKUP('Extraction edi'!J280,Paramètrage!$A$6:$A$179,Paramètrage!$D$6:$D$179))</f>
        <v/>
      </c>
      <c r="N280" s="3" t="str">
        <f>IF(W280="","",LOOKUP('Extraction edi'!J280,Paramètrage!$A$6:$A$179,Paramètrage!$E$6:$E$179))</f>
        <v/>
      </c>
      <c r="O280" s="3" t="str">
        <f t="shared" si="113"/>
        <v/>
      </c>
      <c r="P280" s="3" t="str">
        <f t="shared" si="114"/>
        <v/>
      </c>
      <c r="Q280" s="3" t="str">
        <f t="shared" si="107"/>
        <v/>
      </c>
      <c r="R280" s="3" t="str">
        <f t="shared" si="115"/>
        <v/>
      </c>
      <c r="S280" s="3" t="str">
        <f t="shared" si="116"/>
        <v/>
      </c>
      <c r="T280" s="4" t="str">
        <f t="shared" si="117"/>
        <v/>
      </c>
      <c r="U280" s="5" t="str">
        <f t="shared" si="118"/>
        <v/>
      </c>
      <c r="V280" s="7" t="str">
        <f>IF(W280="","",IF(LOOKUP(W280,'Extration 3E date commande'!$A$6:$A$10000)=W280,LOOKUP(W280,'Extration 3E date commande'!$A$6:$A$10000,'Extration 3E date commande'!$C$6:$C$10000),"PAS DE DATE"))</f>
        <v/>
      </c>
    </row>
    <row r="281" spans="1:22" x14ac:dyDescent="0.25">
      <c r="A281" s="3" t="str">
        <f t="shared" si="108"/>
        <v/>
      </c>
      <c r="B281" s="3" t="str">
        <f t="shared" si="109"/>
        <v/>
      </c>
      <c r="C281" s="3" t="str">
        <f t="shared" si="106"/>
        <v/>
      </c>
      <c r="D281" s="3" t="str">
        <f t="shared" si="102"/>
        <v/>
      </c>
      <c r="E281" s="3" t="str">
        <f t="shared" si="103"/>
        <v/>
      </c>
      <c r="F281" s="3" t="str">
        <f t="shared" si="104"/>
        <v/>
      </c>
      <c r="G281" s="3" t="str">
        <f t="shared" si="105"/>
        <v/>
      </c>
      <c r="H281" s="3" t="str">
        <f t="shared" si="110"/>
        <v/>
      </c>
      <c r="I281" s="3" t="str">
        <f t="shared" si="111"/>
        <v/>
      </c>
      <c r="J281" s="2" t="str">
        <f t="shared" si="112"/>
        <v/>
      </c>
      <c r="K281" s="2" t="str">
        <f>IF(W281="","",LOOKUP('Extraction edi'!J281,Paramètrage!$A$6:$A$179,Paramètrage!$B$6:$B$179))</f>
        <v/>
      </c>
      <c r="L281" s="2" t="str">
        <f>IF(W281="","",LOOKUP('Extraction edi'!J281,Paramètrage!$A$6:$A$179,Paramètrage!$C$6:$C$179))</f>
        <v/>
      </c>
      <c r="M281" s="2" t="str">
        <f>IF(W281="","",LOOKUP('Extraction edi'!J281,Paramètrage!$A$6:$A$179,Paramètrage!$D$6:$D$179))</f>
        <v/>
      </c>
      <c r="N281" s="3" t="str">
        <f>IF(W281="","",LOOKUP('Extraction edi'!J281,Paramètrage!$A$6:$A$179,Paramètrage!$E$6:$E$179))</f>
        <v/>
      </c>
      <c r="O281" s="3" t="str">
        <f t="shared" si="113"/>
        <v/>
      </c>
      <c r="P281" s="3" t="str">
        <f t="shared" si="114"/>
        <v/>
      </c>
      <c r="Q281" s="3" t="str">
        <f t="shared" si="107"/>
        <v/>
      </c>
      <c r="R281" s="3" t="str">
        <f t="shared" si="115"/>
        <v/>
      </c>
      <c r="S281" s="3" t="str">
        <f t="shared" si="116"/>
        <v/>
      </c>
      <c r="T281" s="4" t="str">
        <f t="shared" si="117"/>
        <v/>
      </c>
      <c r="U281" s="5" t="str">
        <f t="shared" si="118"/>
        <v/>
      </c>
      <c r="V281" s="7" t="str">
        <f>IF(W281="","",IF(LOOKUP(W281,'Extration 3E date commande'!$A$6:$A$10000)=W281,LOOKUP(W281,'Extration 3E date commande'!$A$6:$A$10000,'Extration 3E date commande'!$C$6:$C$10000),"PAS DE DATE"))</f>
        <v/>
      </c>
    </row>
    <row r="282" spans="1:22" x14ac:dyDescent="0.25">
      <c r="A282" s="3" t="str">
        <f t="shared" si="108"/>
        <v/>
      </c>
      <c r="B282" s="3" t="str">
        <f t="shared" si="109"/>
        <v/>
      </c>
      <c r="C282" s="3" t="str">
        <f t="shared" si="106"/>
        <v/>
      </c>
      <c r="D282" s="3" t="str">
        <f t="shared" si="102"/>
        <v/>
      </c>
      <c r="E282" s="3" t="str">
        <f t="shared" si="103"/>
        <v/>
      </c>
      <c r="F282" s="3" t="str">
        <f t="shared" si="104"/>
        <v/>
      </c>
      <c r="G282" s="3" t="str">
        <f t="shared" si="105"/>
        <v/>
      </c>
      <c r="H282" s="3" t="str">
        <f t="shared" si="110"/>
        <v/>
      </c>
      <c r="I282" s="3" t="str">
        <f t="shared" si="111"/>
        <v/>
      </c>
      <c r="J282" s="2" t="str">
        <f t="shared" si="112"/>
        <v/>
      </c>
      <c r="K282" s="2" t="str">
        <f>IF(W282="","",LOOKUP('Extraction edi'!J282,Paramètrage!$A$6:$A$179,Paramètrage!$B$6:$B$179))</f>
        <v/>
      </c>
      <c r="L282" s="2" t="str">
        <f>IF(W282="","",LOOKUP('Extraction edi'!J282,Paramètrage!$A$6:$A$179,Paramètrage!$C$6:$C$179))</f>
        <v/>
      </c>
      <c r="M282" s="2" t="str">
        <f>IF(W282="","",LOOKUP('Extraction edi'!J282,Paramètrage!$A$6:$A$179,Paramètrage!$D$6:$D$179))</f>
        <v/>
      </c>
      <c r="N282" s="3" t="str">
        <f>IF(W282="","",LOOKUP('Extraction edi'!J282,Paramètrage!$A$6:$A$179,Paramètrage!$E$6:$E$179))</f>
        <v/>
      </c>
      <c r="O282" s="3" t="str">
        <f t="shared" si="113"/>
        <v/>
      </c>
      <c r="P282" s="3" t="str">
        <f t="shared" si="114"/>
        <v/>
      </c>
      <c r="Q282" s="3" t="str">
        <f t="shared" si="107"/>
        <v/>
      </c>
      <c r="R282" s="3" t="str">
        <f t="shared" si="115"/>
        <v/>
      </c>
      <c r="S282" s="3" t="str">
        <f t="shared" si="116"/>
        <v/>
      </c>
      <c r="T282" s="4" t="str">
        <f t="shared" si="117"/>
        <v/>
      </c>
      <c r="U282" s="5" t="str">
        <f t="shared" si="118"/>
        <v/>
      </c>
      <c r="V282" s="7" t="str">
        <f>IF(W282="","",IF(LOOKUP(W282,'Extration 3E date commande'!$A$6:$A$10000)=W282,LOOKUP(W282,'Extration 3E date commande'!$A$6:$A$10000,'Extration 3E date commande'!$C$6:$C$10000),"PAS DE DATE"))</f>
        <v/>
      </c>
    </row>
    <row r="283" spans="1:22" x14ac:dyDescent="0.25">
      <c r="A283" s="3" t="str">
        <f t="shared" si="108"/>
        <v/>
      </c>
      <c r="B283" s="3" t="str">
        <f t="shared" si="109"/>
        <v/>
      </c>
      <c r="C283" s="3" t="str">
        <f t="shared" si="106"/>
        <v/>
      </c>
      <c r="D283" s="3" t="str">
        <f t="shared" si="102"/>
        <v/>
      </c>
      <c r="E283" s="3" t="str">
        <f t="shared" si="103"/>
        <v/>
      </c>
      <c r="F283" s="3" t="str">
        <f t="shared" si="104"/>
        <v/>
      </c>
      <c r="G283" s="3" t="str">
        <f t="shared" si="105"/>
        <v/>
      </c>
      <c r="H283" s="3" t="str">
        <f t="shared" si="110"/>
        <v/>
      </c>
      <c r="I283" s="3" t="str">
        <f t="shared" si="111"/>
        <v/>
      </c>
      <c r="J283" s="2" t="str">
        <f t="shared" si="112"/>
        <v/>
      </c>
      <c r="K283" s="2" t="str">
        <f>IF(W283="","",LOOKUP('Extraction edi'!J283,Paramètrage!$A$6:$A$179,Paramètrage!$B$6:$B$179))</f>
        <v/>
      </c>
      <c r="L283" s="2" t="str">
        <f>IF(W283="","",LOOKUP('Extraction edi'!J283,Paramètrage!$A$6:$A$179,Paramètrage!$C$6:$C$179))</f>
        <v/>
      </c>
      <c r="M283" s="2" t="str">
        <f>IF(W283="","",LOOKUP('Extraction edi'!J283,Paramètrage!$A$6:$A$179,Paramètrage!$D$6:$D$179))</f>
        <v/>
      </c>
      <c r="N283" s="3" t="str">
        <f>IF(W283="","",LOOKUP('Extraction edi'!J283,Paramètrage!$A$6:$A$179,Paramètrage!$E$6:$E$179))</f>
        <v/>
      </c>
      <c r="O283" s="3" t="str">
        <f t="shared" si="113"/>
        <v/>
      </c>
      <c r="P283" s="3" t="str">
        <f t="shared" si="114"/>
        <v/>
      </c>
      <c r="Q283" s="3" t="str">
        <f t="shared" si="107"/>
        <v/>
      </c>
      <c r="R283" s="3" t="str">
        <f t="shared" si="115"/>
        <v/>
      </c>
      <c r="S283" s="3" t="str">
        <f t="shared" si="116"/>
        <v/>
      </c>
      <c r="T283" s="4" t="str">
        <f t="shared" si="117"/>
        <v/>
      </c>
      <c r="U283" s="5" t="str">
        <f t="shared" si="118"/>
        <v/>
      </c>
      <c r="V283" s="7" t="str">
        <f>IF(W283="","",IF(LOOKUP(W283,'Extration 3E date commande'!$A$6:$A$10000)=W283,LOOKUP(W283,'Extration 3E date commande'!$A$6:$A$10000,'Extration 3E date commande'!$C$6:$C$10000),"PAS DE DATE"))</f>
        <v/>
      </c>
    </row>
    <row r="284" spans="1:22" x14ac:dyDescent="0.25">
      <c r="A284" s="3" t="str">
        <f t="shared" si="108"/>
        <v/>
      </c>
      <c r="B284" s="3" t="str">
        <f t="shared" si="109"/>
        <v/>
      </c>
      <c r="C284" s="3" t="str">
        <f t="shared" si="106"/>
        <v/>
      </c>
      <c r="D284" s="3" t="str">
        <f t="shared" si="102"/>
        <v/>
      </c>
      <c r="E284" s="3" t="str">
        <f t="shared" si="103"/>
        <v/>
      </c>
      <c r="F284" s="3" t="str">
        <f t="shared" si="104"/>
        <v/>
      </c>
      <c r="G284" s="3" t="str">
        <f t="shared" si="105"/>
        <v/>
      </c>
      <c r="H284" s="3" t="str">
        <f t="shared" si="110"/>
        <v/>
      </c>
      <c r="I284" s="3" t="str">
        <f t="shared" si="111"/>
        <v/>
      </c>
      <c r="J284" s="2" t="str">
        <f t="shared" si="112"/>
        <v/>
      </c>
      <c r="K284" s="2" t="str">
        <f>IF(W284="","",LOOKUP('Extraction edi'!J284,Paramètrage!$A$6:$A$179,Paramètrage!$B$6:$B$179))</f>
        <v/>
      </c>
      <c r="L284" s="2" t="str">
        <f>IF(W284="","",LOOKUP('Extraction edi'!J284,Paramètrage!$A$6:$A$179,Paramètrage!$C$6:$C$179))</f>
        <v/>
      </c>
      <c r="M284" s="2" t="str">
        <f>IF(W284="","",LOOKUP('Extraction edi'!J284,Paramètrage!$A$6:$A$179,Paramètrage!$D$6:$D$179))</f>
        <v/>
      </c>
      <c r="N284" s="3" t="str">
        <f>IF(W284="","",LOOKUP('Extraction edi'!J284,Paramètrage!$A$6:$A$179,Paramètrage!$E$6:$E$179))</f>
        <v/>
      </c>
      <c r="O284" s="3" t="str">
        <f t="shared" si="113"/>
        <v/>
      </c>
      <c r="P284" s="3" t="str">
        <f t="shared" si="114"/>
        <v/>
      </c>
      <c r="Q284" s="3" t="str">
        <f t="shared" si="107"/>
        <v/>
      </c>
      <c r="R284" s="3" t="str">
        <f t="shared" si="115"/>
        <v/>
      </c>
      <c r="S284" s="3" t="str">
        <f t="shared" si="116"/>
        <v/>
      </c>
      <c r="T284" s="4" t="str">
        <f t="shared" si="117"/>
        <v/>
      </c>
      <c r="U284" s="5" t="str">
        <f t="shared" si="118"/>
        <v/>
      </c>
      <c r="V284" s="7" t="str">
        <f>IF(W284="","",IF(LOOKUP(W284,'Extration 3E date commande'!$A$6:$A$10000)=W284,LOOKUP(W284,'Extration 3E date commande'!$A$6:$A$10000,'Extration 3E date commande'!$C$6:$C$10000),"PAS DE DATE"))</f>
        <v/>
      </c>
    </row>
    <row r="285" spans="1:22" x14ac:dyDescent="0.25">
      <c r="A285" s="3" t="str">
        <f t="shared" si="108"/>
        <v/>
      </c>
      <c r="B285" s="3" t="str">
        <f t="shared" si="109"/>
        <v/>
      </c>
      <c r="C285" s="3" t="str">
        <f t="shared" si="106"/>
        <v/>
      </c>
      <c r="D285" s="3" t="str">
        <f t="shared" si="102"/>
        <v/>
      </c>
      <c r="E285" s="3" t="str">
        <f t="shared" si="103"/>
        <v/>
      </c>
      <c r="F285" s="3" t="str">
        <f t="shared" si="104"/>
        <v/>
      </c>
      <c r="G285" s="3" t="str">
        <f t="shared" si="105"/>
        <v/>
      </c>
      <c r="H285" s="3" t="str">
        <f t="shared" si="110"/>
        <v/>
      </c>
      <c r="I285" s="3" t="str">
        <f t="shared" si="111"/>
        <v/>
      </c>
      <c r="J285" s="2" t="str">
        <f t="shared" si="112"/>
        <v/>
      </c>
      <c r="K285" s="2" t="str">
        <f>IF(W285="","",LOOKUP('Extraction edi'!J285,Paramètrage!$A$6:$A$179,Paramètrage!$B$6:$B$179))</f>
        <v/>
      </c>
      <c r="L285" s="2" t="str">
        <f>IF(W285="","",LOOKUP('Extraction edi'!J285,Paramètrage!$A$6:$A$179,Paramètrage!$C$6:$C$179))</f>
        <v/>
      </c>
      <c r="M285" s="2" t="str">
        <f>IF(W285="","",LOOKUP('Extraction edi'!J285,Paramètrage!$A$6:$A$179,Paramètrage!$D$6:$D$179))</f>
        <v/>
      </c>
      <c r="N285" s="3" t="str">
        <f>IF(W285="","",LOOKUP('Extraction edi'!J285,Paramètrage!$A$6:$A$179,Paramètrage!$E$6:$E$179))</f>
        <v/>
      </c>
      <c r="O285" s="3" t="str">
        <f t="shared" si="113"/>
        <v/>
      </c>
      <c r="P285" s="3" t="str">
        <f t="shared" si="114"/>
        <v/>
      </c>
      <c r="Q285" s="3" t="str">
        <f t="shared" si="107"/>
        <v/>
      </c>
      <c r="R285" s="3" t="str">
        <f t="shared" si="115"/>
        <v/>
      </c>
      <c r="S285" s="3" t="str">
        <f t="shared" si="116"/>
        <v/>
      </c>
      <c r="T285" s="4" t="str">
        <f t="shared" si="117"/>
        <v/>
      </c>
      <c r="U285" s="5" t="str">
        <f t="shared" si="118"/>
        <v/>
      </c>
      <c r="V285" s="7" t="str">
        <f>IF(W285="","",IF(LOOKUP(W285,'Extration 3E date commande'!$A$6:$A$10000)=W285,LOOKUP(W285,'Extration 3E date commande'!$A$6:$A$10000,'Extration 3E date commande'!$C$6:$C$10000),"PAS DE DATE"))</f>
        <v/>
      </c>
    </row>
    <row r="286" spans="1:22" x14ac:dyDescent="0.25">
      <c r="A286" s="3" t="str">
        <f t="shared" si="108"/>
        <v/>
      </c>
      <c r="B286" s="3" t="str">
        <f t="shared" si="109"/>
        <v/>
      </c>
      <c r="C286" s="3" t="str">
        <f t="shared" si="106"/>
        <v/>
      </c>
      <c r="D286" s="3" t="str">
        <f t="shared" si="102"/>
        <v/>
      </c>
      <c r="E286" s="3" t="str">
        <f t="shared" si="103"/>
        <v/>
      </c>
      <c r="F286" s="3" t="str">
        <f t="shared" si="104"/>
        <v/>
      </c>
      <c r="G286" s="3" t="str">
        <f t="shared" si="105"/>
        <v/>
      </c>
      <c r="H286" s="3" t="str">
        <f t="shared" si="110"/>
        <v/>
      </c>
      <c r="I286" s="3" t="str">
        <f t="shared" si="111"/>
        <v/>
      </c>
      <c r="J286" s="2" t="str">
        <f t="shared" si="112"/>
        <v/>
      </c>
      <c r="K286" s="2" t="str">
        <f>IF(W286="","",LOOKUP('Extraction edi'!J286,Paramètrage!$A$6:$A$179,Paramètrage!$B$6:$B$179))</f>
        <v/>
      </c>
      <c r="L286" s="2" t="str">
        <f>IF(W286="","",LOOKUP('Extraction edi'!J286,Paramètrage!$A$6:$A$179,Paramètrage!$C$6:$C$179))</f>
        <v/>
      </c>
      <c r="M286" s="2" t="str">
        <f>IF(W286="","",LOOKUP('Extraction edi'!J286,Paramètrage!$A$6:$A$179,Paramètrage!$D$6:$D$179))</f>
        <v/>
      </c>
      <c r="N286" s="3" t="str">
        <f>IF(W286="","",LOOKUP('Extraction edi'!J286,Paramètrage!$A$6:$A$179,Paramètrage!$E$6:$E$179))</f>
        <v/>
      </c>
      <c r="O286" s="3" t="str">
        <f t="shared" si="113"/>
        <v/>
      </c>
      <c r="P286" s="3" t="str">
        <f t="shared" si="114"/>
        <v/>
      </c>
      <c r="Q286" s="3" t="str">
        <f t="shared" si="107"/>
        <v/>
      </c>
      <c r="R286" s="3" t="str">
        <f t="shared" si="115"/>
        <v/>
      </c>
      <c r="S286" s="3" t="str">
        <f t="shared" si="116"/>
        <v/>
      </c>
      <c r="T286" s="4" t="str">
        <f t="shared" si="117"/>
        <v/>
      </c>
      <c r="U286" s="5" t="str">
        <f t="shared" si="118"/>
        <v/>
      </c>
      <c r="V286" s="7" t="str">
        <f>IF(W286="","",IF(LOOKUP(W286,'Extration 3E date commande'!$A$6:$A$10000)=W286,LOOKUP(W286,'Extration 3E date commande'!$A$6:$A$10000,'Extration 3E date commande'!$C$6:$C$10000),"PAS DE DATE"))</f>
        <v/>
      </c>
    </row>
    <row r="287" spans="1:22" x14ac:dyDescent="0.25">
      <c r="A287" s="3" t="str">
        <f t="shared" si="108"/>
        <v/>
      </c>
      <c r="B287" s="3" t="str">
        <f t="shared" si="109"/>
        <v/>
      </c>
      <c r="C287" s="3" t="str">
        <f t="shared" si="106"/>
        <v/>
      </c>
      <c r="D287" s="3" t="str">
        <f t="shared" si="102"/>
        <v/>
      </c>
      <c r="E287" s="3" t="str">
        <f t="shared" si="103"/>
        <v/>
      </c>
      <c r="F287" s="3" t="str">
        <f t="shared" si="104"/>
        <v/>
      </c>
      <c r="G287" s="3" t="str">
        <f t="shared" si="105"/>
        <v/>
      </c>
      <c r="H287" s="3" t="str">
        <f t="shared" si="110"/>
        <v/>
      </c>
      <c r="I287" s="3" t="str">
        <f t="shared" si="111"/>
        <v/>
      </c>
      <c r="J287" s="2" t="str">
        <f t="shared" si="112"/>
        <v/>
      </c>
      <c r="K287" s="2" t="str">
        <f>IF(W287="","",LOOKUP('Extraction edi'!J287,Paramètrage!$A$6:$A$179,Paramètrage!$B$6:$B$179))</f>
        <v/>
      </c>
      <c r="L287" s="2" t="str">
        <f>IF(W287="","",LOOKUP('Extraction edi'!J287,Paramètrage!$A$6:$A$179,Paramètrage!$C$6:$C$179))</f>
        <v/>
      </c>
      <c r="M287" s="2" t="str">
        <f>IF(W287="","",LOOKUP('Extraction edi'!J287,Paramètrage!$A$6:$A$179,Paramètrage!$D$6:$D$179))</f>
        <v/>
      </c>
      <c r="N287" s="3" t="str">
        <f>IF(W287="","",LOOKUP('Extraction edi'!J287,Paramètrage!$A$6:$A$179,Paramètrage!$E$6:$E$179))</f>
        <v/>
      </c>
      <c r="O287" s="3" t="str">
        <f t="shared" si="113"/>
        <v/>
      </c>
      <c r="P287" s="3" t="str">
        <f t="shared" si="114"/>
        <v/>
      </c>
      <c r="Q287" s="3" t="str">
        <f t="shared" si="107"/>
        <v/>
      </c>
      <c r="R287" s="3" t="str">
        <f t="shared" si="115"/>
        <v/>
      </c>
      <c r="S287" s="3" t="str">
        <f t="shared" si="116"/>
        <v/>
      </c>
      <c r="T287" s="4" t="str">
        <f t="shared" si="117"/>
        <v/>
      </c>
      <c r="U287" s="5" t="str">
        <f t="shared" si="118"/>
        <v/>
      </c>
      <c r="V287" s="7" t="str">
        <f>IF(W287="","",IF(LOOKUP(W287,'Extration 3E date commande'!$A$6:$A$10000)=W287,LOOKUP(W287,'Extration 3E date commande'!$A$6:$A$10000,'Extration 3E date commande'!$C$6:$C$10000),"PAS DE DATE"))</f>
        <v/>
      </c>
    </row>
    <row r="288" spans="1:22" x14ac:dyDescent="0.25">
      <c r="A288" s="3" t="str">
        <f t="shared" si="108"/>
        <v/>
      </c>
      <c r="B288" s="3" t="str">
        <f t="shared" si="109"/>
        <v/>
      </c>
      <c r="C288" s="3" t="str">
        <f t="shared" si="106"/>
        <v/>
      </c>
      <c r="D288" s="3" t="str">
        <f t="shared" si="102"/>
        <v/>
      </c>
      <c r="E288" s="3" t="str">
        <f t="shared" si="103"/>
        <v/>
      </c>
      <c r="F288" s="3" t="str">
        <f t="shared" si="104"/>
        <v/>
      </c>
      <c r="G288" s="3" t="str">
        <f t="shared" si="105"/>
        <v/>
      </c>
      <c r="H288" s="3" t="str">
        <f t="shared" si="110"/>
        <v/>
      </c>
      <c r="I288" s="3" t="str">
        <f t="shared" si="111"/>
        <v/>
      </c>
      <c r="J288" s="2" t="str">
        <f t="shared" si="112"/>
        <v/>
      </c>
      <c r="K288" s="2" t="str">
        <f>IF(W288="","",LOOKUP('Extraction edi'!J288,Paramètrage!$A$6:$A$179,Paramètrage!$B$6:$B$179))</f>
        <v/>
      </c>
      <c r="L288" s="2" t="str">
        <f>IF(W288="","",LOOKUP('Extraction edi'!J288,Paramètrage!$A$6:$A$179,Paramètrage!$C$6:$C$179))</f>
        <v/>
      </c>
      <c r="M288" s="2" t="str">
        <f>IF(W288="","",LOOKUP('Extraction edi'!J288,Paramètrage!$A$6:$A$179,Paramètrage!$D$6:$D$179))</f>
        <v/>
      </c>
      <c r="N288" s="3" t="str">
        <f>IF(W288="","",LOOKUP('Extraction edi'!J288,Paramètrage!$A$6:$A$179,Paramètrage!$E$6:$E$179))</f>
        <v/>
      </c>
      <c r="O288" s="3" t="str">
        <f t="shared" si="113"/>
        <v/>
      </c>
      <c r="P288" s="3" t="str">
        <f t="shared" si="114"/>
        <v/>
      </c>
      <c r="Q288" s="3" t="str">
        <f t="shared" si="107"/>
        <v/>
      </c>
      <c r="R288" s="3" t="str">
        <f t="shared" si="115"/>
        <v/>
      </c>
      <c r="S288" s="3" t="str">
        <f t="shared" si="116"/>
        <v/>
      </c>
      <c r="T288" s="4" t="str">
        <f t="shared" si="117"/>
        <v/>
      </c>
      <c r="U288" s="5" t="str">
        <f t="shared" si="118"/>
        <v/>
      </c>
      <c r="V288" s="7" t="str">
        <f>IF(W288="","",IF(LOOKUP(W288,'Extration 3E date commande'!$A$6:$A$10000)=W288,LOOKUP(W288,'Extration 3E date commande'!$A$6:$A$10000,'Extration 3E date commande'!$C$6:$C$10000),"PAS DE DATE"))</f>
        <v/>
      </c>
    </row>
    <row r="289" spans="1:22" x14ac:dyDescent="0.25">
      <c r="A289" s="3" t="str">
        <f t="shared" si="108"/>
        <v/>
      </c>
      <c r="B289" s="3" t="str">
        <f t="shared" si="109"/>
        <v/>
      </c>
      <c r="C289" s="3" t="str">
        <f t="shared" si="106"/>
        <v/>
      </c>
      <c r="D289" s="3" t="str">
        <f t="shared" si="102"/>
        <v/>
      </c>
      <c r="E289" s="3" t="str">
        <f t="shared" si="103"/>
        <v/>
      </c>
      <c r="F289" s="3" t="str">
        <f t="shared" si="104"/>
        <v/>
      </c>
      <c r="G289" s="3" t="str">
        <f t="shared" si="105"/>
        <v/>
      </c>
      <c r="H289" s="3" t="str">
        <f t="shared" si="110"/>
        <v/>
      </c>
      <c r="I289" s="3" t="str">
        <f t="shared" si="111"/>
        <v/>
      </c>
      <c r="J289" s="2" t="str">
        <f t="shared" si="112"/>
        <v/>
      </c>
      <c r="K289" s="2" t="str">
        <f>IF(W289="","",LOOKUP('Extraction edi'!J289,Paramètrage!$A$6:$A$179,Paramètrage!$B$6:$B$179))</f>
        <v/>
      </c>
      <c r="L289" s="2" t="str">
        <f>IF(W289="","",LOOKUP('Extraction edi'!J289,Paramètrage!$A$6:$A$179,Paramètrage!$C$6:$C$179))</f>
        <v/>
      </c>
      <c r="M289" s="2" t="str">
        <f>IF(W289="","",LOOKUP('Extraction edi'!J289,Paramètrage!$A$6:$A$179,Paramètrage!$D$6:$D$179))</f>
        <v/>
      </c>
      <c r="N289" s="3" t="str">
        <f>IF(W289="","",LOOKUP('Extraction edi'!J289,Paramètrage!$A$6:$A$179,Paramètrage!$E$6:$E$179))</f>
        <v/>
      </c>
      <c r="O289" s="3" t="str">
        <f t="shared" si="113"/>
        <v/>
      </c>
      <c r="P289" s="3" t="str">
        <f t="shared" si="114"/>
        <v/>
      </c>
      <c r="Q289" s="3" t="str">
        <f t="shared" si="107"/>
        <v/>
      </c>
      <c r="R289" s="3" t="str">
        <f t="shared" si="115"/>
        <v/>
      </c>
      <c r="S289" s="3" t="str">
        <f t="shared" si="116"/>
        <v/>
      </c>
      <c r="T289" s="4" t="str">
        <f t="shared" si="117"/>
        <v/>
      </c>
      <c r="U289" s="5" t="str">
        <f t="shared" si="118"/>
        <v/>
      </c>
      <c r="V289" s="7" t="str">
        <f>IF(W289="","",IF(LOOKUP(W289,'Extration 3E date commande'!$A$6:$A$10000)=W289,LOOKUP(W289,'Extration 3E date commande'!$A$6:$A$10000,'Extration 3E date commande'!$C$6:$C$10000),"PAS DE DATE"))</f>
        <v/>
      </c>
    </row>
    <row r="290" spans="1:22" x14ac:dyDescent="0.25">
      <c r="A290" s="3" t="str">
        <f t="shared" si="108"/>
        <v/>
      </c>
      <c r="B290" s="3" t="str">
        <f t="shared" si="109"/>
        <v/>
      </c>
      <c r="C290" s="3" t="str">
        <f t="shared" si="106"/>
        <v/>
      </c>
      <c r="D290" s="3" t="str">
        <f t="shared" si="102"/>
        <v/>
      </c>
      <c r="E290" s="3" t="str">
        <f t="shared" si="103"/>
        <v/>
      </c>
      <c r="F290" s="3" t="str">
        <f t="shared" si="104"/>
        <v/>
      </c>
      <c r="G290" s="3" t="str">
        <f t="shared" si="105"/>
        <v/>
      </c>
      <c r="H290" s="3" t="str">
        <f t="shared" si="110"/>
        <v/>
      </c>
      <c r="I290" s="3" t="str">
        <f t="shared" si="111"/>
        <v/>
      </c>
      <c r="J290" s="2" t="str">
        <f t="shared" si="112"/>
        <v/>
      </c>
      <c r="K290" s="2" t="str">
        <f>IF(W290="","",LOOKUP('Extraction edi'!J290,Paramètrage!$A$6:$A$179,Paramètrage!$B$6:$B$179))</f>
        <v/>
      </c>
      <c r="L290" s="2" t="str">
        <f>IF(W290="","",LOOKUP('Extraction edi'!J290,Paramètrage!$A$6:$A$179,Paramètrage!$C$6:$C$179))</f>
        <v/>
      </c>
      <c r="M290" s="2" t="str">
        <f>IF(W290="","",LOOKUP('Extraction edi'!J290,Paramètrage!$A$6:$A$179,Paramètrage!$D$6:$D$179))</f>
        <v/>
      </c>
      <c r="N290" s="3" t="str">
        <f>IF(W290="","",LOOKUP('Extraction edi'!J290,Paramètrage!$A$6:$A$179,Paramètrage!$E$6:$E$179))</f>
        <v/>
      </c>
      <c r="O290" s="3" t="str">
        <f t="shared" si="113"/>
        <v/>
      </c>
      <c r="P290" s="3" t="str">
        <f t="shared" si="114"/>
        <v/>
      </c>
      <c r="Q290" s="3" t="str">
        <f t="shared" si="107"/>
        <v/>
      </c>
      <c r="R290" s="3" t="str">
        <f t="shared" si="115"/>
        <v/>
      </c>
      <c r="S290" s="3" t="str">
        <f t="shared" si="116"/>
        <v/>
      </c>
      <c r="T290" s="4" t="str">
        <f t="shared" si="117"/>
        <v/>
      </c>
      <c r="U290" s="5" t="str">
        <f t="shared" si="118"/>
        <v/>
      </c>
      <c r="V290" s="7" t="str">
        <f>IF(W290="","",IF(LOOKUP(W290,'Extration 3E date commande'!$A$6:$A$10000)=W290,LOOKUP(W290,'Extration 3E date commande'!$A$6:$A$10000,'Extration 3E date commande'!$C$6:$C$10000),"PAS DE DATE"))</f>
        <v/>
      </c>
    </row>
    <row r="291" spans="1:22" x14ac:dyDescent="0.25">
      <c r="A291" s="3" t="str">
        <f t="shared" si="108"/>
        <v/>
      </c>
      <c r="B291" s="3" t="str">
        <f t="shared" si="109"/>
        <v/>
      </c>
      <c r="C291" s="3" t="str">
        <f t="shared" si="106"/>
        <v/>
      </c>
      <c r="D291" s="3" t="str">
        <f t="shared" si="102"/>
        <v/>
      </c>
      <c r="E291" s="3" t="str">
        <f t="shared" si="103"/>
        <v/>
      </c>
      <c r="F291" s="3" t="str">
        <f t="shared" si="104"/>
        <v/>
      </c>
      <c r="G291" s="3" t="str">
        <f t="shared" si="105"/>
        <v/>
      </c>
      <c r="H291" s="3" t="str">
        <f t="shared" si="110"/>
        <v/>
      </c>
      <c r="I291" s="3" t="str">
        <f t="shared" si="111"/>
        <v/>
      </c>
      <c r="J291" s="2" t="str">
        <f t="shared" si="112"/>
        <v/>
      </c>
      <c r="K291" s="2" t="str">
        <f>IF(W291="","",LOOKUP('Extraction edi'!J291,Paramètrage!$A$6:$A$179,Paramètrage!$B$6:$B$179))</f>
        <v/>
      </c>
      <c r="L291" s="2" t="str">
        <f>IF(W291="","",LOOKUP('Extraction edi'!J291,Paramètrage!$A$6:$A$179,Paramètrage!$C$6:$C$179))</f>
        <v/>
      </c>
      <c r="M291" s="2" t="str">
        <f>IF(W291="","",LOOKUP('Extraction edi'!J291,Paramètrage!$A$6:$A$179,Paramètrage!$D$6:$D$179))</f>
        <v/>
      </c>
      <c r="N291" s="3" t="str">
        <f>IF(W291="","",LOOKUP('Extraction edi'!J291,Paramètrage!$A$6:$A$179,Paramètrage!$E$6:$E$179))</f>
        <v/>
      </c>
      <c r="O291" s="3" t="str">
        <f t="shared" si="113"/>
        <v/>
      </c>
      <c r="P291" s="3" t="str">
        <f t="shared" si="114"/>
        <v/>
      </c>
      <c r="Q291" s="3" t="str">
        <f t="shared" si="107"/>
        <v/>
      </c>
      <c r="R291" s="3" t="str">
        <f t="shared" si="115"/>
        <v/>
      </c>
      <c r="S291" s="3" t="str">
        <f t="shared" si="116"/>
        <v/>
      </c>
      <c r="T291" s="4" t="str">
        <f t="shared" si="117"/>
        <v/>
      </c>
      <c r="U291" s="5" t="str">
        <f t="shared" si="118"/>
        <v/>
      </c>
      <c r="V291" s="7" t="str">
        <f>IF(W291="","",IF(LOOKUP(W291,'Extration 3E date commande'!$A$6:$A$10000)=W291,LOOKUP(W291,'Extration 3E date commande'!$A$6:$A$10000,'Extration 3E date commande'!$C$6:$C$10000),"PAS DE DATE"))</f>
        <v/>
      </c>
    </row>
    <row r="292" spans="1:22" x14ac:dyDescent="0.25">
      <c r="A292" s="3" t="str">
        <f t="shared" si="108"/>
        <v/>
      </c>
      <c r="B292" s="3" t="str">
        <f t="shared" si="109"/>
        <v/>
      </c>
      <c r="C292" s="3" t="str">
        <f t="shared" si="106"/>
        <v/>
      </c>
      <c r="D292" s="3" t="str">
        <f t="shared" si="102"/>
        <v/>
      </c>
      <c r="E292" s="3" t="str">
        <f t="shared" si="103"/>
        <v/>
      </c>
      <c r="F292" s="3" t="str">
        <f t="shared" si="104"/>
        <v/>
      </c>
      <c r="G292" s="3" t="str">
        <f t="shared" si="105"/>
        <v/>
      </c>
      <c r="H292" s="3" t="str">
        <f t="shared" si="110"/>
        <v/>
      </c>
      <c r="I292" s="3" t="str">
        <f t="shared" si="111"/>
        <v/>
      </c>
      <c r="J292" s="2" t="str">
        <f t="shared" si="112"/>
        <v/>
      </c>
      <c r="K292" s="2" t="str">
        <f>IF(W292="","",LOOKUP('Extraction edi'!J292,Paramètrage!$A$6:$A$179,Paramètrage!$B$6:$B$179))</f>
        <v/>
      </c>
      <c r="L292" s="2" t="str">
        <f>IF(W292="","",LOOKUP('Extraction edi'!J292,Paramètrage!$A$6:$A$179,Paramètrage!$C$6:$C$179))</f>
        <v/>
      </c>
      <c r="M292" s="2" t="str">
        <f>IF(W292="","",LOOKUP('Extraction edi'!J292,Paramètrage!$A$6:$A$179,Paramètrage!$D$6:$D$179))</f>
        <v/>
      </c>
      <c r="N292" s="3" t="str">
        <f>IF(W292="","",LOOKUP('Extraction edi'!J292,Paramètrage!$A$6:$A$179,Paramètrage!$E$6:$E$179))</f>
        <v/>
      </c>
      <c r="O292" s="3" t="str">
        <f t="shared" si="113"/>
        <v/>
      </c>
      <c r="P292" s="3" t="str">
        <f t="shared" si="114"/>
        <v/>
      </c>
      <c r="Q292" s="3" t="str">
        <f t="shared" si="107"/>
        <v/>
      </c>
      <c r="R292" s="3" t="str">
        <f t="shared" si="115"/>
        <v/>
      </c>
      <c r="S292" s="3" t="str">
        <f t="shared" si="116"/>
        <v/>
      </c>
      <c r="T292" s="4" t="str">
        <f t="shared" si="117"/>
        <v/>
      </c>
      <c r="U292" s="5" t="str">
        <f t="shared" si="118"/>
        <v/>
      </c>
      <c r="V292" s="7" t="str">
        <f>IF(W292="","",IF(LOOKUP(W292,'Extration 3E date commande'!$A$6:$A$10000)=W292,LOOKUP(W292,'Extration 3E date commande'!$A$6:$A$10000,'Extration 3E date commande'!$C$6:$C$10000),"PAS DE DATE"))</f>
        <v/>
      </c>
    </row>
    <row r="293" spans="1:22" x14ac:dyDescent="0.25">
      <c r="A293" s="3" t="str">
        <f t="shared" si="108"/>
        <v/>
      </c>
      <c r="B293" s="3" t="str">
        <f t="shared" si="109"/>
        <v/>
      </c>
      <c r="C293" s="3" t="str">
        <f t="shared" si="106"/>
        <v/>
      </c>
      <c r="D293" s="3" t="str">
        <f t="shared" si="102"/>
        <v/>
      </c>
      <c r="E293" s="3" t="str">
        <f t="shared" si="103"/>
        <v/>
      </c>
      <c r="F293" s="3" t="str">
        <f t="shared" si="104"/>
        <v/>
      </c>
      <c r="G293" s="3" t="str">
        <f t="shared" si="105"/>
        <v/>
      </c>
      <c r="H293" s="3" t="str">
        <f t="shared" si="110"/>
        <v/>
      </c>
      <c r="I293" s="3" t="str">
        <f t="shared" si="111"/>
        <v/>
      </c>
      <c r="J293" s="2" t="str">
        <f t="shared" si="112"/>
        <v/>
      </c>
      <c r="K293" s="2" t="str">
        <f>IF(W293="","",LOOKUP('Extraction edi'!J293,Paramètrage!$A$6:$A$179,Paramètrage!$B$6:$B$179))</f>
        <v/>
      </c>
      <c r="L293" s="2" t="str">
        <f>IF(W293="","",LOOKUP('Extraction edi'!J293,Paramètrage!$A$6:$A$179,Paramètrage!$C$6:$C$179))</f>
        <v/>
      </c>
      <c r="M293" s="2" t="str">
        <f>IF(W293="","",LOOKUP('Extraction edi'!J293,Paramètrage!$A$6:$A$179,Paramètrage!$D$6:$D$179))</f>
        <v/>
      </c>
      <c r="N293" s="3" t="str">
        <f>IF(W293="","",LOOKUP('Extraction edi'!J293,Paramètrage!$A$6:$A$179,Paramètrage!$E$6:$E$179))</f>
        <v/>
      </c>
      <c r="O293" s="3" t="str">
        <f t="shared" si="113"/>
        <v/>
      </c>
      <c r="P293" s="3" t="str">
        <f t="shared" si="114"/>
        <v/>
      </c>
      <c r="Q293" s="3" t="str">
        <f t="shared" si="107"/>
        <v/>
      </c>
      <c r="R293" s="3" t="str">
        <f t="shared" si="115"/>
        <v/>
      </c>
      <c r="S293" s="3" t="str">
        <f t="shared" si="116"/>
        <v/>
      </c>
      <c r="T293" s="4" t="str">
        <f t="shared" si="117"/>
        <v/>
      </c>
      <c r="U293" s="5" t="str">
        <f t="shared" si="118"/>
        <v/>
      </c>
      <c r="V293" s="7" t="str">
        <f>IF(W293="","",IF(LOOKUP(W293,'Extration 3E date commande'!$A$6:$A$10000)=W293,LOOKUP(W293,'Extration 3E date commande'!$A$6:$A$10000,'Extration 3E date commande'!$C$6:$C$10000),"PAS DE DATE"))</f>
        <v/>
      </c>
    </row>
    <row r="294" spans="1:22" x14ac:dyDescent="0.25">
      <c r="A294" s="3" t="str">
        <f t="shared" si="108"/>
        <v/>
      </c>
      <c r="B294" s="3" t="str">
        <f t="shared" si="109"/>
        <v/>
      </c>
      <c r="C294" s="3" t="str">
        <f t="shared" si="106"/>
        <v/>
      </c>
      <c r="D294" s="3" t="str">
        <f t="shared" si="102"/>
        <v/>
      </c>
      <c r="E294" s="3" t="str">
        <f t="shared" si="103"/>
        <v/>
      </c>
      <c r="F294" s="3" t="str">
        <f t="shared" si="104"/>
        <v/>
      </c>
      <c r="G294" s="3" t="str">
        <f t="shared" si="105"/>
        <v/>
      </c>
      <c r="H294" s="3" t="str">
        <f t="shared" si="110"/>
        <v/>
      </c>
      <c r="I294" s="3" t="str">
        <f t="shared" si="111"/>
        <v/>
      </c>
      <c r="J294" s="2" t="str">
        <f t="shared" si="112"/>
        <v/>
      </c>
      <c r="K294" s="2" t="str">
        <f>IF(W294="","",LOOKUP('Extraction edi'!J294,Paramètrage!$A$6:$A$179,Paramètrage!$B$6:$B$179))</f>
        <v/>
      </c>
      <c r="L294" s="2" t="str">
        <f>IF(W294="","",LOOKUP('Extraction edi'!J294,Paramètrage!$A$6:$A$179,Paramètrage!$C$6:$C$179))</f>
        <v/>
      </c>
      <c r="M294" s="2" t="str">
        <f>IF(W294="","",LOOKUP('Extraction edi'!J294,Paramètrage!$A$6:$A$179,Paramètrage!$D$6:$D$179))</f>
        <v/>
      </c>
      <c r="N294" s="3" t="str">
        <f>IF(W294="","",LOOKUP('Extraction edi'!J294,Paramètrage!$A$6:$A$179,Paramètrage!$E$6:$E$179))</f>
        <v/>
      </c>
      <c r="O294" s="3" t="str">
        <f t="shared" si="113"/>
        <v/>
      </c>
      <c r="P294" s="3" t="str">
        <f t="shared" si="114"/>
        <v/>
      </c>
      <c r="Q294" s="3" t="str">
        <f t="shared" si="107"/>
        <v/>
      </c>
      <c r="R294" s="3" t="str">
        <f t="shared" si="115"/>
        <v/>
      </c>
      <c r="S294" s="3" t="str">
        <f t="shared" si="116"/>
        <v/>
      </c>
      <c r="T294" s="4" t="str">
        <f t="shared" si="117"/>
        <v/>
      </c>
      <c r="U294" s="5" t="str">
        <f t="shared" si="118"/>
        <v/>
      </c>
      <c r="V294" s="7" t="str">
        <f>IF(W294="","",IF(LOOKUP(W294,'Extration 3E date commande'!$A$6:$A$10000)=W294,LOOKUP(W294,'Extration 3E date commande'!$A$6:$A$10000,'Extration 3E date commande'!$C$6:$C$10000),"PAS DE DATE"))</f>
        <v/>
      </c>
    </row>
    <row r="295" spans="1:22" x14ac:dyDescent="0.25">
      <c r="A295" s="3" t="str">
        <f t="shared" si="108"/>
        <v/>
      </c>
      <c r="B295" s="3" t="str">
        <f t="shared" si="109"/>
        <v/>
      </c>
      <c r="C295" s="3" t="str">
        <f t="shared" si="106"/>
        <v/>
      </c>
      <c r="D295" s="3" t="str">
        <f t="shared" si="102"/>
        <v/>
      </c>
      <c r="E295" s="3" t="str">
        <f t="shared" si="103"/>
        <v/>
      </c>
      <c r="F295" s="3" t="str">
        <f t="shared" si="104"/>
        <v/>
      </c>
      <c r="G295" s="3" t="str">
        <f t="shared" si="105"/>
        <v/>
      </c>
      <c r="H295" s="3" t="str">
        <f t="shared" si="110"/>
        <v/>
      </c>
      <c r="I295" s="3" t="str">
        <f t="shared" si="111"/>
        <v/>
      </c>
      <c r="J295" s="2" t="str">
        <f t="shared" si="112"/>
        <v/>
      </c>
      <c r="K295" s="2" t="str">
        <f>IF(W295="","",LOOKUP('Extraction edi'!J295,Paramètrage!$A$6:$A$179,Paramètrage!$B$6:$B$179))</f>
        <v/>
      </c>
      <c r="L295" s="2" t="str">
        <f>IF(W295="","",LOOKUP('Extraction edi'!J295,Paramètrage!$A$6:$A$179,Paramètrage!$C$6:$C$179))</f>
        <v/>
      </c>
      <c r="M295" s="2" t="str">
        <f>IF(W295="","",LOOKUP('Extraction edi'!J295,Paramètrage!$A$6:$A$179,Paramètrage!$D$6:$D$179))</f>
        <v/>
      </c>
      <c r="N295" s="3" t="str">
        <f>IF(W295="","",LOOKUP('Extraction edi'!J295,Paramètrage!$A$6:$A$179,Paramètrage!$E$6:$E$179))</f>
        <v/>
      </c>
      <c r="O295" s="3" t="str">
        <f t="shared" si="113"/>
        <v/>
      </c>
      <c r="P295" s="3" t="str">
        <f t="shared" si="114"/>
        <v/>
      </c>
      <c r="Q295" s="3" t="str">
        <f t="shared" si="107"/>
        <v/>
      </c>
      <c r="R295" s="3" t="str">
        <f t="shared" si="115"/>
        <v/>
      </c>
      <c r="S295" s="3" t="str">
        <f t="shared" si="116"/>
        <v/>
      </c>
      <c r="T295" s="4" t="str">
        <f t="shared" si="117"/>
        <v/>
      </c>
      <c r="U295" s="5" t="str">
        <f t="shared" si="118"/>
        <v/>
      </c>
      <c r="V295" s="7" t="str">
        <f>IF(W295="","",IF(LOOKUP(W295,'Extration 3E date commande'!$A$6:$A$10000)=W295,LOOKUP(W295,'Extration 3E date commande'!$A$6:$A$10000,'Extration 3E date commande'!$C$6:$C$10000),"PAS DE DATE"))</f>
        <v/>
      </c>
    </row>
    <row r="296" spans="1:22" x14ac:dyDescent="0.25">
      <c r="A296" s="3" t="str">
        <f t="shared" si="108"/>
        <v/>
      </c>
      <c r="B296" s="3" t="str">
        <f t="shared" si="109"/>
        <v/>
      </c>
      <c r="C296" s="3" t="str">
        <f t="shared" si="106"/>
        <v/>
      </c>
      <c r="D296" s="3" t="str">
        <f t="shared" si="102"/>
        <v/>
      </c>
      <c r="E296" s="3" t="str">
        <f t="shared" si="103"/>
        <v/>
      </c>
      <c r="F296" s="3" t="str">
        <f t="shared" si="104"/>
        <v/>
      </c>
      <c r="G296" s="3" t="str">
        <f t="shared" si="105"/>
        <v/>
      </c>
      <c r="H296" s="3" t="str">
        <f t="shared" si="110"/>
        <v/>
      </c>
      <c r="I296" s="3" t="str">
        <f t="shared" si="111"/>
        <v/>
      </c>
      <c r="J296" s="2" t="str">
        <f t="shared" si="112"/>
        <v/>
      </c>
      <c r="K296" s="2" t="str">
        <f>IF(W296="","",LOOKUP('Extraction edi'!J296,Paramètrage!$A$6:$A$179,Paramètrage!$B$6:$B$179))</f>
        <v/>
      </c>
      <c r="L296" s="2" t="str">
        <f>IF(W296="","",LOOKUP('Extraction edi'!J296,Paramètrage!$A$6:$A$179,Paramètrage!$C$6:$C$179))</f>
        <v/>
      </c>
      <c r="M296" s="2" t="str">
        <f>IF(W296="","",LOOKUP('Extraction edi'!J296,Paramètrage!$A$6:$A$179,Paramètrage!$D$6:$D$179))</f>
        <v/>
      </c>
      <c r="N296" s="3" t="str">
        <f>IF(W296="","",LOOKUP('Extraction edi'!J296,Paramètrage!$A$6:$A$179,Paramètrage!$E$6:$E$179))</f>
        <v/>
      </c>
      <c r="O296" s="3" t="str">
        <f t="shared" si="113"/>
        <v/>
      </c>
      <c r="P296" s="3" t="str">
        <f t="shared" si="114"/>
        <v/>
      </c>
      <c r="Q296" s="3" t="str">
        <f t="shared" si="107"/>
        <v/>
      </c>
      <c r="R296" s="3" t="str">
        <f t="shared" si="115"/>
        <v/>
      </c>
      <c r="S296" s="3" t="str">
        <f t="shared" si="116"/>
        <v/>
      </c>
      <c r="T296" s="4" t="str">
        <f t="shared" si="117"/>
        <v/>
      </c>
      <c r="U296" s="5" t="str">
        <f t="shared" si="118"/>
        <v/>
      </c>
      <c r="V296" s="7" t="str">
        <f>IF(W296="","",IF(LOOKUP(W296,'Extration 3E date commande'!$A$6:$A$10000)=W296,LOOKUP(W296,'Extration 3E date commande'!$A$6:$A$10000,'Extration 3E date commande'!$C$6:$C$10000),"PAS DE DATE"))</f>
        <v/>
      </c>
    </row>
    <row r="297" spans="1:22" x14ac:dyDescent="0.25">
      <c r="A297" s="3" t="str">
        <f t="shared" si="108"/>
        <v/>
      </c>
      <c r="B297" s="3" t="str">
        <f t="shared" si="109"/>
        <v/>
      </c>
      <c r="C297" s="3" t="str">
        <f t="shared" si="106"/>
        <v/>
      </c>
      <c r="D297" s="3" t="str">
        <f t="shared" si="102"/>
        <v/>
      </c>
      <c r="E297" s="3" t="str">
        <f t="shared" si="103"/>
        <v/>
      </c>
      <c r="F297" s="3" t="str">
        <f t="shared" si="104"/>
        <v/>
      </c>
      <c r="G297" s="3" t="str">
        <f t="shared" si="105"/>
        <v/>
      </c>
      <c r="H297" s="3" t="str">
        <f t="shared" si="110"/>
        <v/>
      </c>
      <c r="I297" s="3" t="str">
        <f t="shared" si="111"/>
        <v/>
      </c>
      <c r="J297" s="2" t="str">
        <f t="shared" si="112"/>
        <v/>
      </c>
      <c r="K297" s="2" t="str">
        <f>IF(W297="","",LOOKUP('Extraction edi'!J297,Paramètrage!$A$6:$A$179,Paramètrage!$B$6:$B$179))</f>
        <v/>
      </c>
      <c r="L297" s="2" t="str">
        <f>IF(W297="","",LOOKUP('Extraction edi'!J297,Paramètrage!$A$6:$A$179,Paramètrage!$C$6:$C$179))</f>
        <v/>
      </c>
      <c r="M297" s="2" t="str">
        <f>IF(W297="","",LOOKUP('Extraction edi'!J297,Paramètrage!$A$6:$A$179,Paramètrage!$D$6:$D$179))</f>
        <v/>
      </c>
      <c r="N297" s="3" t="str">
        <f>IF(W297="","",LOOKUP('Extraction edi'!J297,Paramètrage!$A$6:$A$179,Paramètrage!$E$6:$E$179))</f>
        <v/>
      </c>
      <c r="O297" s="3" t="str">
        <f t="shared" si="113"/>
        <v/>
      </c>
      <c r="P297" s="3" t="str">
        <f t="shared" si="114"/>
        <v/>
      </c>
      <c r="Q297" s="3" t="str">
        <f t="shared" si="107"/>
        <v/>
      </c>
      <c r="R297" s="3" t="str">
        <f t="shared" si="115"/>
        <v/>
      </c>
      <c r="S297" s="3" t="str">
        <f t="shared" si="116"/>
        <v/>
      </c>
      <c r="T297" s="4" t="str">
        <f t="shared" si="117"/>
        <v/>
      </c>
      <c r="U297" s="5" t="str">
        <f t="shared" si="118"/>
        <v/>
      </c>
      <c r="V297" s="7" t="str">
        <f>IF(W297="","",IF(LOOKUP(W297,'Extration 3E date commande'!$A$6:$A$10000)=W297,LOOKUP(W297,'Extration 3E date commande'!$A$6:$A$10000,'Extration 3E date commande'!$C$6:$C$10000),"PAS DE DATE"))</f>
        <v/>
      </c>
    </row>
    <row r="298" spans="1:22" x14ac:dyDescent="0.25">
      <c r="A298" s="3" t="str">
        <f t="shared" si="108"/>
        <v/>
      </c>
      <c r="B298" s="3" t="str">
        <f t="shared" si="109"/>
        <v/>
      </c>
      <c r="C298" s="3" t="str">
        <f t="shared" si="106"/>
        <v/>
      </c>
      <c r="D298" s="3" t="str">
        <f t="shared" si="102"/>
        <v/>
      </c>
      <c r="E298" s="3" t="str">
        <f t="shared" si="103"/>
        <v/>
      </c>
      <c r="F298" s="3" t="str">
        <f t="shared" si="104"/>
        <v/>
      </c>
      <c r="G298" s="3" t="str">
        <f t="shared" si="105"/>
        <v/>
      </c>
      <c r="H298" s="3" t="str">
        <f t="shared" si="110"/>
        <v/>
      </c>
      <c r="I298" s="3" t="str">
        <f t="shared" si="111"/>
        <v/>
      </c>
      <c r="J298" s="2" t="str">
        <f t="shared" si="112"/>
        <v/>
      </c>
      <c r="K298" s="2" t="str">
        <f>IF(W298="","",LOOKUP('Extraction edi'!J298,Paramètrage!$A$6:$A$179,Paramètrage!$B$6:$B$179))</f>
        <v/>
      </c>
      <c r="L298" s="2" t="str">
        <f>IF(W298="","",LOOKUP('Extraction edi'!J298,Paramètrage!$A$6:$A$179,Paramètrage!$C$6:$C$179))</f>
        <v/>
      </c>
      <c r="M298" s="2" t="str">
        <f>IF(W298="","",LOOKUP('Extraction edi'!J298,Paramètrage!$A$6:$A$179,Paramètrage!$D$6:$D$179))</f>
        <v/>
      </c>
      <c r="N298" s="3" t="str">
        <f>IF(W298="","",LOOKUP('Extraction edi'!J298,Paramètrage!$A$6:$A$179,Paramètrage!$E$6:$E$179))</f>
        <v/>
      </c>
      <c r="O298" s="3" t="str">
        <f t="shared" si="113"/>
        <v/>
      </c>
      <c r="P298" s="3" t="str">
        <f t="shared" si="114"/>
        <v/>
      </c>
      <c r="Q298" s="3" t="str">
        <f t="shared" si="107"/>
        <v/>
      </c>
      <c r="R298" s="3" t="str">
        <f t="shared" si="115"/>
        <v/>
      </c>
      <c r="S298" s="3" t="str">
        <f t="shared" si="116"/>
        <v/>
      </c>
      <c r="T298" s="4" t="str">
        <f t="shared" si="117"/>
        <v/>
      </c>
      <c r="U298" s="5" t="str">
        <f t="shared" si="118"/>
        <v/>
      </c>
      <c r="V298" s="7" t="str">
        <f>IF(W298="","",IF(LOOKUP(W298,'Extration 3E date commande'!$A$6:$A$10000)=W298,LOOKUP(W298,'Extration 3E date commande'!$A$6:$A$10000,'Extration 3E date commande'!$C$6:$C$10000),"PAS DE DATE"))</f>
        <v/>
      </c>
    </row>
    <row r="299" spans="1:22" x14ac:dyDescent="0.25">
      <c r="A299" s="3" t="str">
        <f t="shared" si="108"/>
        <v/>
      </c>
      <c r="B299" s="3" t="str">
        <f t="shared" si="109"/>
        <v/>
      </c>
      <c r="C299" s="3" t="str">
        <f t="shared" si="106"/>
        <v/>
      </c>
      <c r="D299" s="3" t="str">
        <f t="shared" si="102"/>
        <v/>
      </c>
      <c r="E299" s="3" t="str">
        <f t="shared" si="103"/>
        <v/>
      </c>
      <c r="F299" s="3" t="str">
        <f t="shared" si="104"/>
        <v/>
      </c>
      <c r="G299" s="3" t="str">
        <f t="shared" si="105"/>
        <v/>
      </c>
      <c r="H299" s="3" t="str">
        <f t="shared" si="110"/>
        <v/>
      </c>
      <c r="I299" s="3" t="str">
        <f t="shared" si="111"/>
        <v/>
      </c>
      <c r="J299" s="2" t="str">
        <f t="shared" si="112"/>
        <v/>
      </c>
      <c r="K299" s="2" t="str">
        <f>IF(W299="","",LOOKUP('Extraction edi'!J299,Paramètrage!$A$6:$A$179,Paramètrage!$B$6:$B$179))</f>
        <v/>
      </c>
      <c r="L299" s="2" t="str">
        <f>IF(W299="","",LOOKUP('Extraction edi'!J299,Paramètrage!$A$6:$A$179,Paramètrage!$C$6:$C$179))</f>
        <v/>
      </c>
      <c r="M299" s="2" t="str">
        <f>IF(W299="","",LOOKUP('Extraction edi'!J299,Paramètrage!$A$6:$A$179,Paramètrage!$D$6:$D$179))</f>
        <v/>
      </c>
      <c r="N299" s="3" t="str">
        <f>IF(W299="","",LOOKUP('Extraction edi'!J299,Paramètrage!$A$6:$A$179,Paramètrage!$E$6:$E$179))</f>
        <v/>
      </c>
      <c r="O299" s="3" t="str">
        <f t="shared" si="113"/>
        <v/>
      </c>
      <c r="P299" s="3" t="str">
        <f t="shared" si="114"/>
        <v/>
      </c>
      <c r="Q299" s="3" t="str">
        <f t="shared" si="107"/>
        <v/>
      </c>
      <c r="R299" s="3" t="str">
        <f t="shared" si="115"/>
        <v/>
      </c>
      <c r="S299" s="3" t="str">
        <f t="shared" si="116"/>
        <v/>
      </c>
      <c r="T299" s="4" t="str">
        <f t="shared" si="117"/>
        <v/>
      </c>
      <c r="U299" s="5" t="str">
        <f t="shared" si="118"/>
        <v/>
      </c>
      <c r="V299" s="7" t="str">
        <f>IF(W299="","",IF(LOOKUP(W299,'Extration 3E date commande'!$A$6:$A$10000)=W299,LOOKUP(W299,'Extration 3E date commande'!$A$6:$A$10000,'Extration 3E date commande'!$C$6:$C$10000),"PAS DE DATE"))</f>
        <v/>
      </c>
    </row>
    <row r="300" spans="1:22" x14ac:dyDescent="0.25">
      <c r="A300" s="3" t="str">
        <f t="shared" si="108"/>
        <v/>
      </c>
      <c r="B300" s="3" t="str">
        <f t="shared" si="109"/>
        <v/>
      </c>
      <c r="C300" s="3" t="str">
        <f t="shared" si="106"/>
        <v/>
      </c>
      <c r="D300" s="3" t="str">
        <f t="shared" si="102"/>
        <v/>
      </c>
      <c r="E300" s="3" t="str">
        <f t="shared" si="103"/>
        <v/>
      </c>
      <c r="F300" s="3" t="str">
        <f t="shared" si="104"/>
        <v/>
      </c>
      <c r="G300" s="3" t="str">
        <f t="shared" si="105"/>
        <v/>
      </c>
      <c r="H300" s="3" t="str">
        <f t="shared" si="110"/>
        <v/>
      </c>
      <c r="I300" s="3" t="str">
        <f t="shared" si="111"/>
        <v/>
      </c>
      <c r="J300" s="2" t="str">
        <f t="shared" si="112"/>
        <v/>
      </c>
      <c r="K300" s="2" t="str">
        <f>IF(W300="","",LOOKUP('Extraction edi'!J300,Paramètrage!$A$6:$A$179,Paramètrage!$B$6:$B$179))</f>
        <v/>
      </c>
      <c r="L300" s="2" t="str">
        <f>IF(W300="","",LOOKUP('Extraction edi'!J300,Paramètrage!$A$6:$A$179,Paramètrage!$C$6:$C$179))</f>
        <v/>
      </c>
      <c r="M300" s="2" t="str">
        <f>IF(W300="","",LOOKUP('Extraction edi'!J300,Paramètrage!$A$6:$A$179,Paramètrage!$D$6:$D$179))</f>
        <v/>
      </c>
      <c r="N300" s="3" t="str">
        <f>IF(W300="","",LOOKUP('Extraction edi'!J300,Paramètrage!$A$6:$A$179,Paramètrage!$E$6:$E$179))</f>
        <v/>
      </c>
      <c r="O300" s="3" t="str">
        <f t="shared" si="113"/>
        <v/>
      </c>
      <c r="P300" s="3" t="str">
        <f t="shared" si="114"/>
        <v/>
      </c>
      <c r="Q300" s="3" t="str">
        <f t="shared" si="107"/>
        <v/>
      </c>
      <c r="R300" s="3" t="str">
        <f t="shared" si="115"/>
        <v/>
      </c>
      <c r="S300" s="3" t="str">
        <f t="shared" si="116"/>
        <v/>
      </c>
      <c r="T300" s="4" t="str">
        <f t="shared" si="117"/>
        <v/>
      </c>
      <c r="U300" s="5" t="str">
        <f t="shared" si="118"/>
        <v/>
      </c>
      <c r="V300" s="7" t="str">
        <f>IF(W300="","",IF(LOOKUP(W300,'Extration 3E date commande'!$A$6:$A$10000)=W300,LOOKUP(W300,'Extration 3E date commande'!$A$6:$A$10000,'Extration 3E date commande'!$C$6:$C$10000),"PAS DE DATE"))</f>
        <v/>
      </c>
    </row>
    <row r="301" spans="1:22" x14ac:dyDescent="0.25">
      <c r="A301" s="3" t="str">
        <f t="shared" si="108"/>
        <v/>
      </c>
      <c r="B301" s="3" t="str">
        <f t="shared" si="109"/>
        <v/>
      </c>
      <c r="C301" s="3" t="str">
        <f t="shared" si="106"/>
        <v/>
      </c>
      <c r="D301" s="3" t="str">
        <f t="shared" si="102"/>
        <v/>
      </c>
      <c r="E301" s="3" t="str">
        <f t="shared" si="103"/>
        <v/>
      </c>
      <c r="F301" s="3" t="str">
        <f t="shared" si="104"/>
        <v/>
      </c>
      <c r="G301" s="3" t="str">
        <f t="shared" si="105"/>
        <v/>
      </c>
      <c r="H301" s="3" t="str">
        <f t="shared" si="110"/>
        <v/>
      </c>
      <c r="I301" s="3" t="str">
        <f t="shared" si="111"/>
        <v/>
      </c>
      <c r="J301" s="2" t="str">
        <f t="shared" si="112"/>
        <v/>
      </c>
      <c r="K301" s="2" t="str">
        <f>IF(W301="","",LOOKUP('Extraction edi'!J301,Paramètrage!$A$6:$A$179,Paramètrage!$B$6:$B$179))</f>
        <v/>
      </c>
      <c r="L301" s="2" t="str">
        <f>IF(W301="","",LOOKUP('Extraction edi'!J301,Paramètrage!$A$6:$A$179,Paramètrage!$C$6:$C$179))</f>
        <v/>
      </c>
      <c r="M301" s="2" t="str">
        <f>IF(W301="","",LOOKUP('Extraction edi'!J301,Paramètrage!$A$6:$A$179,Paramètrage!$D$6:$D$179))</f>
        <v/>
      </c>
      <c r="N301" s="3" t="str">
        <f>IF(W301="","",LOOKUP('Extraction edi'!J301,Paramètrage!$A$6:$A$179,Paramètrage!$E$6:$E$179))</f>
        <v/>
      </c>
      <c r="O301" s="3" t="str">
        <f t="shared" si="113"/>
        <v/>
      </c>
      <c r="P301" s="3" t="str">
        <f t="shared" si="114"/>
        <v/>
      </c>
      <c r="Q301" s="3" t="str">
        <f t="shared" si="107"/>
        <v/>
      </c>
      <c r="R301" s="3" t="str">
        <f t="shared" si="115"/>
        <v/>
      </c>
      <c r="S301" s="3" t="str">
        <f t="shared" si="116"/>
        <v/>
      </c>
      <c r="T301" s="4" t="str">
        <f t="shared" si="117"/>
        <v/>
      </c>
      <c r="U301" s="5" t="str">
        <f t="shared" si="118"/>
        <v/>
      </c>
      <c r="V301" s="7" t="str">
        <f>IF(W301="","",IF(LOOKUP(W301,'Extration 3E date commande'!$A$6:$A$10000)=W301,LOOKUP(W301,'Extration 3E date commande'!$A$6:$A$10000,'Extration 3E date commande'!$C$6:$C$10000),"PAS DE DATE"))</f>
        <v/>
      </c>
    </row>
    <row r="302" spans="1:22" x14ac:dyDescent="0.25">
      <c r="A302" s="3" t="str">
        <f t="shared" si="108"/>
        <v/>
      </c>
      <c r="B302" s="3" t="str">
        <f t="shared" si="109"/>
        <v/>
      </c>
      <c r="C302" s="3" t="str">
        <f t="shared" si="106"/>
        <v/>
      </c>
      <c r="D302" s="3" t="str">
        <f t="shared" si="102"/>
        <v/>
      </c>
      <c r="E302" s="3" t="str">
        <f t="shared" si="103"/>
        <v/>
      </c>
      <c r="F302" s="3" t="str">
        <f t="shared" si="104"/>
        <v/>
      </c>
      <c r="G302" s="3" t="str">
        <f t="shared" si="105"/>
        <v/>
      </c>
      <c r="H302" s="3" t="str">
        <f t="shared" si="110"/>
        <v/>
      </c>
      <c r="I302" s="3" t="str">
        <f t="shared" si="111"/>
        <v/>
      </c>
      <c r="J302" s="2" t="str">
        <f t="shared" si="112"/>
        <v/>
      </c>
      <c r="K302" s="2" t="str">
        <f>IF(W302="","",LOOKUP('Extraction edi'!J302,Paramètrage!$A$6:$A$179,Paramètrage!$B$6:$B$179))</f>
        <v/>
      </c>
      <c r="L302" s="2" t="str">
        <f>IF(W302="","",LOOKUP('Extraction edi'!J302,Paramètrage!$A$6:$A$179,Paramètrage!$C$6:$C$179))</f>
        <v/>
      </c>
      <c r="M302" s="2" t="str">
        <f>IF(W302="","",LOOKUP('Extraction edi'!J302,Paramètrage!$A$6:$A$179,Paramètrage!$D$6:$D$179))</f>
        <v/>
      </c>
      <c r="N302" s="3" t="str">
        <f>IF(W302="","",LOOKUP('Extraction edi'!J302,Paramètrage!$A$6:$A$179,Paramètrage!$E$6:$E$179))</f>
        <v/>
      </c>
      <c r="O302" s="3" t="str">
        <f t="shared" si="113"/>
        <v/>
      </c>
      <c r="P302" s="3" t="str">
        <f t="shared" si="114"/>
        <v/>
      </c>
      <c r="Q302" s="3" t="str">
        <f t="shared" si="107"/>
        <v/>
      </c>
      <c r="R302" s="3" t="str">
        <f t="shared" si="115"/>
        <v/>
      </c>
      <c r="S302" s="3" t="str">
        <f t="shared" si="116"/>
        <v/>
      </c>
      <c r="T302" s="4" t="str">
        <f t="shared" si="117"/>
        <v/>
      </c>
      <c r="U302" s="5" t="str">
        <f t="shared" si="118"/>
        <v/>
      </c>
      <c r="V302" s="7" t="str">
        <f>IF(W302="","",IF(LOOKUP(W302,'Extration 3E date commande'!$A$6:$A$10000)=W302,LOOKUP(W302,'Extration 3E date commande'!$A$6:$A$10000,'Extration 3E date commande'!$C$6:$C$10000),"PAS DE DATE"))</f>
        <v/>
      </c>
    </row>
    <row r="303" spans="1:22" x14ac:dyDescent="0.25">
      <c r="A303" s="3" t="str">
        <f t="shared" si="108"/>
        <v/>
      </c>
      <c r="B303" s="3" t="str">
        <f t="shared" si="109"/>
        <v/>
      </c>
      <c r="C303" s="3" t="str">
        <f t="shared" si="106"/>
        <v/>
      </c>
      <c r="D303" s="3" t="str">
        <f t="shared" si="102"/>
        <v/>
      </c>
      <c r="E303" s="3" t="str">
        <f t="shared" si="103"/>
        <v/>
      </c>
      <c r="F303" s="3" t="str">
        <f t="shared" si="104"/>
        <v/>
      </c>
      <c r="G303" s="3" t="str">
        <f t="shared" si="105"/>
        <v/>
      </c>
      <c r="H303" s="3" t="str">
        <f t="shared" si="110"/>
        <v/>
      </c>
      <c r="I303" s="3" t="str">
        <f t="shared" si="111"/>
        <v/>
      </c>
      <c r="J303" s="2" t="str">
        <f t="shared" si="112"/>
        <v/>
      </c>
      <c r="K303" s="2" t="str">
        <f>IF(W303="","",LOOKUP('Extraction edi'!J303,Paramètrage!$A$6:$A$179,Paramètrage!$B$6:$B$179))</f>
        <v/>
      </c>
      <c r="L303" s="2" t="str">
        <f>IF(W303="","",LOOKUP('Extraction edi'!J303,Paramètrage!$A$6:$A$179,Paramètrage!$C$6:$C$179))</f>
        <v/>
      </c>
      <c r="M303" s="2" t="str">
        <f>IF(W303="","",LOOKUP('Extraction edi'!J303,Paramètrage!$A$6:$A$179,Paramètrage!$D$6:$D$179))</f>
        <v/>
      </c>
      <c r="N303" s="3" t="str">
        <f>IF(W303="","",LOOKUP('Extraction edi'!J303,Paramètrage!$A$6:$A$179,Paramètrage!$E$6:$E$179))</f>
        <v/>
      </c>
      <c r="O303" s="3" t="str">
        <f t="shared" si="113"/>
        <v/>
      </c>
      <c r="P303" s="3" t="str">
        <f t="shared" si="114"/>
        <v/>
      </c>
      <c r="Q303" s="3" t="str">
        <f t="shared" si="107"/>
        <v/>
      </c>
      <c r="R303" s="3" t="str">
        <f t="shared" si="115"/>
        <v/>
      </c>
      <c r="S303" s="3" t="str">
        <f t="shared" si="116"/>
        <v/>
      </c>
      <c r="T303" s="4" t="str">
        <f t="shared" si="117"/>
        <v/>
      </c>
      <c r="U303" s="5" t="str">
        <f t="shared" si="118"/>
        <v/>
      </c>
      <c r="V303" s="7" t="str">
        <f>IF(W303="","",IF(LOOKUP(W303,'Extration 3E date commande'!$A$6:$A$10000)=W303,LOOKUP(W303,'Extration 3E date commande'!$A$6:$A$10000,'Extration 3E date commande'!$C$6:$C$10000),"PAS DE DATE"))</f>
        <v/>
      </c>
    </row>
    <row r="304" spans="1:22" x14ac:dyDescent="0.25">
      <c r="A304" s="3" t="str">
        <f t="shared" si="108"/>
        <v/>
      </c>
      <c r="B304" s="3" t="str">
        <f t="shared" si="109"/>
        <v/>
      </c>
      <c r="C304" s="3" t="str">
        <f t="shared" si="106"/>
        <v/>
      </c>
      <c r="D304" s="3" t="str">
        <f t="shared" si="102"/>
        <v/>
      </c>
      <c r="E304" s="3" t="str">
        <f t="shared" si="103"/>
        <v/>
      </c>
      <c r="F304" s="3" t="str">
        <f t="shared" si="104"/>
        <v/>
      </c>
      <c r="G304" s="3" t="str">
        <f t="shared" si="105"/>
        <v/>
      </c>
      <c r="H304" s="3" t="str">
        <f t="shared" si="110"/>
        <v/>
      </c>
      <c r="I304" s="3" t="str">
        <f t="shared" si="111"/>
        <v/>
      </c>
      <c r="J304" s="2" t="str">
        <f t="shared" si="112"/>
        <v/>
      </c>
      <c r="K304" s="2" t="str">
        <f>IF(W304="","",LOOKUP('Extraction edi'!J304,Paramètrage!$A$6:$A$179,Paramètrage!$B$6:$B$179))</f>
        <v/>
      </c>
      <c r="L304" s="2" t="str">
        <f>IF(W304="","",LOOKUP('Extraction edi'!J304,Paramètrage!$A$6:$A$179,Paramètrage!$C$6:$C$179))</f>
        <v/>
      </c>
      <c r="M304" s="2" t="str">
        <f>IF(W304="","",LOOKUP('Extraction edi'!J304,Paramètrage!$A$6:$A$179,Paramètrage!$D$6:$D$179))</f>
        <v/>
      </c>
      <c r="N304" s="3" t="str">
        <f>IF(W304="","",LOOKUP('Extraction edi'!J304,Paramètrage!$A$6:$A$179,Paramètrage!$E$6:$E$179))</f>
        <v/>
      </c>
      <c r="O304" s="3" t="str">
        <f t="shared" si="113"/>
        <v/>
      </c>
      <c r="P304" s="3" t="str">
        <f t="shared" si="114"/>
        <v/>
      </c>
      <c r="Q304" s="3" t="str">
        <f t="shared" si="107"/>
        <v/>
      </c>
      <c r="R304" s="3" t="str">
        <f t="shared" si="115"/>
        <v/>
      </c>
      <c r="S304" s="3" t="str">
        <f t="shared" si="116"/>
        <v/>
      </c>
      <c r="T304" s="4" t="str">
        <f t="shared" si="117"/>
        <v/>
      </c>
      <c r="U304" s="5" t="str">
        <f t="shared" si="118"/>
        <v/>
      </c>
      <c r="V304" s="7" t="str">
        <f>IF(W304="","",IF(LOOKUP(W304,'Extration 3E date commande'!$A$6:$A$10000)=W304,LOOKUP(W304,'Extration 3E date commande'!$A$6:$A$10000,'Extration 3E date commande'!$C$6:$C$10000),"PAS DE DATE"))</f>
        <v/>
      </c>
    </row>
    <row r="305" spans="1:22" x14ac:dyDescent="0.25">
      <c r="A305" s="3" t="str">
        <f t="shared" si="108"/>
        <v/>
      </c>
      <c r="B305" s="3" t="str">
        <f t="shared" si="109"/>
        <v/>
      </c>
      <c r="C305" s="3" t="str">
        <f t="shared" si="106"/>
        <v/>
      </c>
      <c r="D305" s="3" t="str">
        <f t="shared" si="102"/>
        <v/>
      </c>
      <c r="E305" s="3" t="str">
        <f t="shared" si="103"/>
        <v/>
      </c>
      <c r="F305" s="3" t="str">
        <f t="shared" si="104"/>
        <v/>
      </c>
      <c r="G305" s="3" t="str">
        <f t="shared" si="105"/>
        <v/>
      </c>
      <c r="H305" s="3" t="str">
        <f t="shared" si="110"/>
        <v/>
      </c>
      <c r="I305" s="3" t="str">
        <f t="shared" si="111"/>
        <v/>
      </c>
      <c r="J305" s="2" t="str">
        <f t="shared" si="112"/>
        <v/>
      </c>
      <c r="K305" s="2" t="str">
        <f>IF(W305="","",LOOKUP('Extraction edi'!J305,Paramètrage!$A$6:$A$179,Paramètrage!$B$6:$B$179))</f>
        <v/>
      </c>
      <c r="L305" s="2" t="str">
        <f>IF(W305="","",LOOKUP('Extraction edi'!J305,Paramètrage!$A$6:$A$179,Paramètrage!$C$6:$C$179))</f>
        <v/>
      </c>
      <c r="M305" s="2" t="str">
        <f>IF(W305="","",LOOKUP('Extraction edi'!J305,Paramètrage!$A$6:$A$179,Paramètrage!$D$6:$D$179))</f>
        <v/>
      </c>
      <c r="N305" s="3" t="str">
        <f>IF(W305="","",LOOKUP('Extraction edi'!J305,Paramètrage!$A$6:$A$179,Paramètrage!$E$6:$E$179))</f>
        <v/>
      </c>
      <c r="O305" s="3" t="str">
        <f t="shared" si="113"/>
        <v/>
      </c>
      <c r="P305" s="3" t="str">
        <f t="shared" si="114"/>
        <v/>
      </c>
      <c r="Q305" s="3" t="str">
        <f t="shared" si="107"/>
        <v/>
      </c>
      <c r="R305" s="3" t="str">
        <f t="shared" si="115"/>
        <v/>
      </c>
      <c r="S305" s="3" t="str">
        <f t="shared" si="116"/>
        <v/>
      </c>
      <c r="T305" s="4" t="str">
        <f t="shared" si="117"/>
        <v/>
      </c>
      <c r="U305" s="5" t="str">
        <f t="shared" si="118"/>
        <v/>
      </c>
      <c r="V305" s="7" t="str">
        <f>IF(W305="","",IF(LOOKUP(W305,'Extration 3E date commande'!$A$6:$A$10000)=W305,LOOKUP(W305,'Extration 3E date commande'!$A$6:$A$10000,'Extration 3E date commande'!$C$6:$C$10000),"PAS DE DATE"))</f>
        <v/>
      </c>
    </row>
    <row r="306" spans="1:22" x14ac:dyDescent="0.25">
      <c r="A306" s="3" t="str">
        <f t="shared" si="108"/>
        <v/>
      </c>
      <c r="B306" s="3" t="str">
        <f t="shared" si="109"/>
        <v/>
      </c>
      <c r="C306" s="3" t="str">
        <f t="shared" si="106"/>
        <v/>
      </c>
      <c r="D306" s="3" t="str">
        <f t="shared" si="102"/>
        <v/>
      </c>
      <c r="E306" s="3" t="str">
        <f t="shared" si="103"/>
        <v/>
      </c>
      <c r="F306" s="3" t="str">
        <f t="shared" si="104"/>
        <v/>
      </c>
      <c r="G306" s="3" t="str">
        <f t="shared" si="105"/>
        <v/>
      </c>
      <c r="H306" s="3" t="str">
        <f t="shared" si="110"/>
        <v/>
      </c>
      <c r="I306" s="3" t="str">
        <f t="shared" si="111"/>
        <v/>
      </c>
      <c r="J306" s="2" t="str">
        <f t="shared" si="112"/>
        <v/>
      </c>
      <c r="K306" s="2" t="str">
        <f>IF(W306="","",LOOKUP('Extraction edi'!J306,Paramètrage!$A$6:$A$179,Paramètrage!$B$6:$B$179))</f>
        <v/>
      </c>
      <c r="L306" s="2" t="str">
        <f>IF(W306="","",LOOKUP('Extraction edi'!J306,Paramètrage!$A$6:$A$179,Paramètrage!$C$6:$C$179))</f>
        <v/>
      </c>
      <c r="M306" s="2" t="str">
        <f>IF(W306="","",LOOKUP('Extraction edi'!J306,Paramètrage!$A$6:$A$179,Paramètrage!$D$6:$D$179))</f>
        <v/>
      </c>
      <c r="N306" s="3" t="str">
        <f>IF(W306="","",LOOKUP('Extraction edi'!J306,Paramètrage!$A$6:$A$179,Paramètrage!$E$6:$E$179))</f>
        <v/>
      </c>
      <c r="O306" s="3" t="str">
        <f t="shared" si="113"/>
        <v/>
      </c>
      <c r="P306" s="3" t="str">
        <f t="shared" si="114"/>
        <v/>
      </c>
      <c r="Q306" s="3" t="str">
        <f t="shared" si="107"/>
        <v/>
      </c>
      <c r="R306" s="3" t="str">
        <f t="shared" si="115"/>
        <v/>
      </c>
      <c r="S306" s="3" t="str">
        <f t="shared" si="116"/>
        <v/>
      </c>
      <c r="T306" s="4" t="str">
        <f t="shared" si="117"/>
        <v/>
      </c>
      <c r="U306" s="5" t="str">
        <f t="shared" si="118"/>
        <v/>
      </c>
      <c r="V306" s="7" t="str">
        <f>IF(W306="","",IF(LOOKUP(W306,'Extration 3E date commande'!$A$6:$A$10000)=W306,LOOKUP(W306,'Extration 3E date commande'!$A$6:$A$10000,'Extration 3E date commande'!$C$6:$C$10000),"PAS DE DATE"))</f>
        <v/>
      </c>
    </row>
    <row r="307" spans="1:22" x14ac:dyDescent="0.25">
      <c r="A307" s="3" t="str">
        <f t="shared" si="108"/>
        <v/>
      </c>
      <c r="B307" s="3" t="str">
        <f t="shared" si="109"/>
        <v/>
      </c>
      <c r="C307" s="3" t="str">
        <f t="shared" si="106"/>
        <v/>
      </c>
      <c r="D307" s="3" t="str">
        <f t="shared" si="102"/>
        <v/>
      </c>
      <c r="E307" s="3" t="str">
        <f t="shared" si="103"/>
        <v/>
      </c>
      <c r="F307" s="3" t="str">
        <f t="shared" si="104"/>
        <v/>
      </c>
      <c r="G307" s="3" t="str">
        <f t="shared" si="105"/>
        <v/>
      </c>
      <c r="H307" s="3" t="str">
        <f t="shared" si="110"/>
        <v/>
      </c>
      <c r="I307" s="3" t="str">
        <f t="shared" si="111"/>
        <v/>
      </c>
      <c r="J307" s="2" t="str">
        <f t="shared" si="112"/>
        <v/>
      </c>
      <c r="K307" s="2" t="str">
        <f>IF(W307="","",LOOKUP('Extraction edi'!J307,Paramètrage!$A$6:$A$179,Paramètrage!$B$6:$B$179))</f>
        <v/>
      </c>
      <c r="L307" s="2" t="str">
        <f>IF(W307="","",LOOKUP('Extraction edi'!J307,Paramètrage!$A$6:$A$179,Paramètrage!$C$6:$C$179))</f>
        <v/>
      </c>
      <c r="M307" s="2" t="str">
        <f>IF(W307="","",LOOKUP('Extraction edi'!J307,Paramètrage!$A$6:$A$179,Paramètrage!$D$6:$D$179))</f>
        <v/>
      </c>
      <c r="N307" s="3" t="str">
        <f>IF(W307="","",LOOKUP('Extraction edi'!J307,Paramètrage!$A$6:$A$179,Paramètrage!$E$6:$E$179))</f>
        <v/>
      </c>
      <c r="O307" s="3" t="str">
        <f t="shared" si="113"/>
        <v/>
      </c>
      <c r="P307" s="3" t="str">
        <f t="shared" si="114"/>
        <v/>
      </c>
      <c r="Q307" s="3" t="str">
        <f t="shared" si="107"/>
        <v/>
      </c>
      <c r="R307" s="3" t="str">
        <f t="shared" si="115"/>
        <v/>
      </c>
      <c r="S307" s="3" t="str">
        <f t="shared" si="116"/>
        <v/>
      </c>
      <c r="T307" s="4" t="str">
        <f t="shared" si="117"/>
        <v/>
      </c>
      <c r="U307" s="5" t="str">
        <f t="shared" si="118"/>
        <v/>
      </c>
      <c r="V307" s="7" t="str">
        <f>IF(W307="","",IF(LOOKUP(W307,'Extration 3E date commande'!$A$6:$A$10000)=W307,LOOKUP(W307,'Extration 3E date commande'!$A$6:$A$10000,'Extration 3E date commande'!$C$6:$C$10000),"PAS DE DATE"))</f>
        <v/>
      </c>
    </row>
    <row r="308" spans="1:22" x14ac:dyDescent="0.25">
      <c r="A308" s="3" t="str">
        <f t="shared" si="108"/>
        <v/>
      </c>
      <c r="B308" s="3" t="str">
        <f t="shared" si="109"/>
        <v/>
      </c>
      <c r="C308" s="3" t="str">
        <f t="shared" si="106"/>
        <v/>
      </c>
      <c r="D308" s="3" t="str">
        <f t="shared" si="102"/>
        <v/>
      </c>
      <c r="E308" s="3" t="str">
        <f t="shared" si="103"/>
        <v/>
      </c>
      <c r="F308" s="3" t="str">
        <f t="shared" si="104"/>
        <v/>
      </c>
      <c r="G308" s="3" t="str">
        <f t="shared" si="105"/>
        <v/>
      </c>
      <c r="H308" s="3" t="str">
        <f t="shared" si="110"/>
        <v/>
      </c>
      <c r="I308" s="3" t="str">
        <f t="shared" si="111"/>
        <v/>
      </c>
      <c r="J308" s="2" t="str">
        <f t="shared" si="112"/>
        <v/>
      </c>
      <c r="K308" s="2" t="str">
        <f>IF(W308="","",LOOKUP('Extraction edi'!J308,Paramètrage!$A$6:$A$179,Paramètrage!$B$6:$B$179))</f>
        <v/>
      </c>
      <c r="L308" s="2" t="str">
        <f>IF(W308="","",LOOKUP('Extraction edi'!J308,Paramètrage!$A$6:$A$179,Paramètrage!$C$6:$C$179))</f>
        <v/>
      </c>
      <c r="M308" s="2" t="str">
        <f>IF(W308="","",LOOKUP('Extraction edi'!J308,Paramètrage!$A$6:$A$179,Paramètrage!$D$6:$D$179))</f>
        <v/>
      </c>
      <c r="N308" s="3" t="str">
        <f>IF(W308="","",LOOKUP('Extraction edi'!J308,Paramètrage!$A$6:$A$179,Paramètrage!$E$6:$E$179))</f>
        <v/>
      </c>
      <c r="O308" s="3" t="str">
        <f t="shared" si="113"/>
        <v/>
      </c>
      <c r="P308" s="3" t="str">
        <f t="shared" si="114"/>
        <v/>
      </c>
      <c r="Q308" s="3" t="str">
        <f t="shared" si="107"/>
        <v/>
      </c>
      <c r="R308" s="3" t="str">
        <f t="shared" si="115"/>
        <v/>
      </c>
      <c r="S308" s="3" t="str">
        <f t="shared" si="116"/>
        <v/>
      </c>
      <c r="T308" s="4" t="str">
        <f t="shared" si="117"/>
        <v/>
      </c>
      <c r="U308" s="5" t="str">
        <f t="shared" si="118"/>
        <v/>
      </c>
      <c r="V308" s="7" t="str">
        <f>IF(W308="","",IF(LOOKUP(W308,'Extration 3E date commande'!$A$6:$A$10000)=W308,LOOKUP(W308,'Extration 3E date commande'!$A$6:$A$10000,'Extration 3E date commande'!$C$6:$C$10000),"PAS DE DATE"))</f>
        <v/>
      </c>
    </row>
    <row r="309" spans="1:22" x14ac:dyDescent="0.25">
      <c r="A309" s="3" t="str">
        <f t="shared" si="108"/>
        <v/>
      </c>
      <c r="B309" s="3" t="str">
        <f t="shared" si="109"/>
        <v/>
      </c>
      <c r="C309" s="3" t="str">
        <f t="shared" si="106"/>
        <v/>
      </c>
      <c r="D309" s="3" t="str">
        <f t="shared" si="102"/>
        <v/>
      </c>
      <c r="E309" s="3" t="str">
        <f t="shared" si="103"/>
        <v/>
      </c>
      <c r="F309" s="3" t="str">
        <f t="shared" si="104"/>
        <v/>
      </c>
      <c r="G309" s="3" t="str">
        <f t="shared" si="105"/>
        <v/>
      </c>
      <c r="H309" s="3" t="str">
        <f t="shared" si="110"/>
        <v/>
      </c>
      <c r="I309" s="3" t="str">
        <f t="shared" si="111"/>
        <v/>
      </c>
      <c r="J309" s="2" t="str">
        <f t="shared" si="112"/>
        <v/>
      </c>
      <c r="K309" s="2" t="str">
        <f>IF(W309="","",LOOKUP('Extraction edi'!J309,Paramètrage!$A$6:$A$179,Paramètrage!$B$6:$B$179))</f>
        <v/>
      </c>
      <c r="L309" s="2" t="str">
        <f>IF(W309="","",LOOKUP('Extraction edi'!J309,Paramètrage!$A$6:$A$179,Paramètrage!$C$6:$C$179))</f>
        <v/>
      </c>
      <c r="M309" s="2" t="str">
        <f>IF(W309="","",LOOKUP('Extraction edi'!J309,Paramètrage!$A$6:$A$179,Paramètrage!$D$6:$D$179))</f>
        <v/>
      </c>
      <c r="N309" s="3" t="str">
        <f>IF(W309="","",LOOKUP('Extraction edi'!J309,Paramètrage!$A$6:$A$179,Paramètrage!$E$6:$E$179))</f>
        <v/>
      </c>
      <c r="O309" s="3" t="str">
        <f t="shared" si="113"/>
        <v/>
      </c>
      <c r="P309" s="3" t="str">
        <f t="shared" si="114"/>
        <v/>
      </c>
      <c r="Q309" s="3" t="str">
        <f t="shared" si="107"/>
        <v/>
      </c>
      <c r="R309" s="3" t="str">
        <f t="shared" si="115"/>
        <v/>
      </c>
      <c r="S309" s="3" t="str">
        <f t="shared" si="116"/>
        <v/>
      </c>
      <c r="T309" s="4" t="str">
        <f t="shared" si="117"/>
        <v/>
      </c>
      <c r="U309" s="5" t="str">
        <f t="shared" si="118"/>
        <v/>
      </c>
      <c r="V309" s="7" t="str">
        <f>IF(W309="","",IF(LOOKUP(W309,'Extration 3E date commande'!$A$6:$A$10000)=W309,LOOKUP(W309,'Extration 3E date commande'!$A$6:$A$10000,'Extration 3E date commande'!$C$6:$C$10000),"PAS DE DATE"))</f>
        <v/>
      </c>
    </row>
    <row r="310" spans="1:22" x14ac:dyDescent="0.25">
      <c r="A310" s="3" t="str">
        <f t="shared" si="108"/>
        <v/>
      </c>
      <c r="B310" s="3" t="str">
        <f t="shared" si="109"/>
        <v/>
      </c>
      <c r="C310" s="3" t="str">
        <f t="shared" si="106"/>
        <v/>
      </c>
      <c r="D310" s="3" t="str">
        <f t="shared" si="102"/>
        <v/>
      </c>
      <c r="E310" s="3" t="str">
        <f t="shared" si="103"/>
        <v/>
      </c>
      <c r="F310" s="3" t="str">
        <f t="shared" si="104"/>
        <v/>
      </c>
      <c r="G310" s="3" t="str">
        <f t="shared" si="105"/>
        <v/>
      </c>
      <c r="H310" s="3" t="str">
        <f t="shared" si="110"/>
        <v/>
      </c>
      <c r="I310" s="3" t="str">
        <f t="shared" si="111"/>
        <v/>
      </c>
      <c r="J310" s="2" t="str">
        <f t="shared" si="112"/>
        <v/>
      </c>
      <c r="K310" s="2" t="str">
        <f>IF(W310="","",LOOKUP('Extraction edi'!J310,Paramètrage!$A$6:$A$179,Paramètrage!$B$6:$B$179))</f>
        <v/>
      </c>
      <c r="L310" s="2" t="str">
        <f>IF(W310="","",LOOKUP('Extraction edi'!J310,Paramètrage!$A$6:$A$179,Paramètrage!$C$6:$C$179))</f>
        <v/>
      </c>
      <c r="M310" s="2" t="str">
        <f>IF(W310="","",LOOKUP('Extraction edi'!J310,Paramètrage!$A$6:$A$179,Paramètrage!$D$6:$D$179))</f>
        <v/>
      </c>
      <c r="N310" s="3" t="str">
        <f>IF(W310="","",LOOKUP('Extraction edi'!J310,Paramètrage!$A$6:$A$179,Paramètrage!$E$6:$E$179))</f>
        <v/>
      </c>
      <c r="O310" s="3" t="str">
        <f t="shared" si="113"/>
        <v/>
      </c>
      <c r="P310" s="3" t="str">
        <f t="shared" si="114"/>
        <v/>
      </c>
      <c r="Q310" s="3" t="str">
        <f t="shared" si="107"/>
        <v/>
      </c>
      <c r="R310" s="3" t="str">
        <f t="shared" si="115"/>
        <v/>
      </c>
      <c r="S310" s="3" t="str">
        <f t="shared" si="116"/>
        <v/>
      </c>
      <c r="T310" s="4" t="str">
        <f t="shared" si="117"/>
        <v/>
      </c>
      <c r="U310" s="5" t="str">
        <f t="shared" si="118"/>
        <v/>
      </c>
      <c r="V310" s="7" t="str">
        <f>IF(W310="","",IF(LOOKUP(W310,'Extration 3E date commande'!$A$6:$A$10000)=W310,LOOKUP(W310,'Extration 3E date commande'!$A$6:$A$10000,'Extration 3E date commande'!$C$6:$C$10000),"PAS DE DATE"))</f>
        <v/>
      </c>
    </row>
    <row r="311" spans="1:22" x14ac:dyDescent="0.25">
      <c r="A311" s="3" t="str">
        <f t="shared" si="108"/>
        <v/>
      </c>
      <c r="B311" s="3" t="str">
        <f t="shared" si="109"/>
        <v/>
      </c>
      <c r="C311" s="3" t="str">
        <f t="shared" si="106"/>
        <v/>
      </c>
      <c r="D311" s="3" t="str">
        <f t="shared" si="102"/>
        <v/>
      </c>
      <c r="E311" s="3" t="str">
        <f t="shared" si="103"/>
        <v/>
      </c>
      <c r="F311" s="3" t="str">
        <f t="shared" si="104"/>
        <v/>
      </c>
      <c r="G311" s="3" t="str">
        <f t="shared" si="105"/>
        <v/>
      </c>
      <c r="H311" s="3" t="str">
        <f t="shared" si="110"/>
        <v/>
      </c>
      <c r="I311" s="3" t="str">
        <f t="shared" si="111"/>
        <v/>
      </c>
      <c r="J311" s="2" t="str">
        <f t="shared" si="112"/>
        <v/>
      </c>
      <c r="K311" s="2" t="str">
        <f>IF(W311="","",LOOKUP('Extraction edi'!J311,Paramètrage!$A$6:$A$179,Paramètrage!$B$6:$B$179))</f>
        <v/>
      </c>
      <c r="L311" s="2" t="str">
        <f>IF(W311="","",LOOKUP('Extraction edi'!J311,Paramètrage!$A$6:$A$179,Paramètrage!$C$6:$C$179))</f>
        <v/>
      </c>
      <c r="M311" s="2" t="str">
        <f>IF(W311="","",LOOKUP('Extraction edi'!J311,Paramètrage!$A$6:$A$179,Paramètrage!$D$6:$D$179))</f>
        <v/>
      </c>
      <c r="N311" s="3" t="str">
        <f>IF(W311="","",LOOKUP('Extraction edi'!J311,Paramètrage!$A$6:$A$179,Paramètrage!$E$6:$E$179))</f>
        <v/>
      </c>
      <c r="O311" s="3" t="str">
        <f t="shared" si="113"/>
        <v/>
      </c>
      <c r="P311" s="3" t="str">
        <f t="shared" si="114"/>
        <v/>
      </c>
      <c r="Q311" s="3" t="str">
        <f t="shared" si="107"/>
        <v/>
      </c>
      <c r="R311" s="3" t="str">
        <f t="shared" si="115"/>
        <v/>
      </c>
      <c r="S311" s="3" t="str">
        <f t="shared" si="116"/>
        <v/>
      </c>
      <c r="T311" s="4" t="str">
        <f t="shared" si="117"/>
        <v/>
      </c>
      <c r="U311" s="5" t="str">
        <f t="shared" si="118"/>
        <v/>
      </c>
      <c r="V311" s="7" t="str">
        <f>IF(W311="","",IF(LOOKUP(W311,'Extration 3E date commande'!$A$6:$A$10000)=W311,LOOKUP(W311,'Extration 3E date commande'!$A$6:$A$10000,'Extration 3E date commande'!$C$6:$C$10000),"PAS DE DATE"))</f>
        <v/>
      </c>
    </row>
    <row r="312" spans="1:22" x14ac:dyDescent="0.25">
      <c r="A312" s="3" t="str">
        <f t="shared" si="108"/>
        <v/>
      </c>
      <c r="B312" s="3" t="str">
        <f t="shared" si="109"/>
        <v/>
      </c>
      <c r="C312" s="3" t="str">
        <f t="shared" si="106"/>
        <v/>
      </c>
      <c r="D312" s="3" t="str">
        <f t="shared" si="102"/>
        <v/>
      </c>
      <c r="E312" s="3" t="str">
        <f t="shared" si="103"/>
        <v/>
      </c>
      <c r="F312" s="3" t="str">
        <f t="shared" si="104"/>
        <v/>
      </c>
      <c r="G312" s="3" t="str">
        <f t="shared" si="105"/>
        <v/>
      </c>
      <c r="H312" s="3" t="str">
        <f t="shared" si="110"/>
        <v/>
      </c>
      <c r="I312" s="3" t="str">
        <f t="shared" si="111"/>
        <v/>
      </c>
      <c r="J312" s="2" t="str">
        <f t="shared" si="112"/>
        <v/>
      </c>
      <c r="K312" s="2" t="str">
        <f>IF(W312="","",LOOKUP('Extraction edi'!J312,Paramètrage!$A$6:$A$179,Paramètrage!$B$6:$B$179))</f>
        <v/>
      </c>
      <c r="L312" s="2" t="str">
        <f>IF(W312="","",LOOKUP('Extraction edi'!J312,Paramètrage!$A$6:$A$179,Paramètrage!$C$6:$C$179))</f>
        <v/>
      </c>
      <c r="M312" s="2" t="str">
        <f>IF(W312="","",LOOKUP('Extraction edi'!J312,Paramètrage!$A$6:$A$179,Paramètrage!$D$6:$D$179))</f>
        <v/>
      </c>
      <c r="N312" s="3" t="str">
        <f>IF(W312="","",LOOKUP('Extraction edi'!J312,Paramètrage!$A$6:$A$179,Paramètrage!$E$6:$E$179))</f>
        <v/>
      </c>
      <c r="O312" s="3" t="str">
        <f t="shared" si="113"/>
        <v/>
      </c>
      <c r="P312" s="3" t="str">
        <f t="shared" si="114"/>
        <v/>
      </c>
      <c r="Q312" s="3" t="str">
        <f t="shared" si="107"/>
        <v/>
      </c>
      <c r="R312" s="3" t="str">
        <f t="shared" si="115"/>
        <v/>
      </c>
      <c r="S312" s="3" t="str">
        <f t="shared" si="116"/>
        <v/>
      </c>
      <c r="T312" s="4" t="str">
        <f t="shared" si="117"/>
        <v/>
      </c>
      <c r="U312" s="5" t="str">
        <f t="shared" si="118"/>
        <v/>
      </c>
      <c r="V312" s="7" t="str">
        <f>IF(W312="","",IF(LOOKUP(W312,'Extration 3E date commande'!$A$6:$A$10000)=W312,LOOKUP(W312,'Extration 3E date commande'!$A$6:$A$10000,'Extration 3E date commande'!$C$6:$C$10000),"PAS DE DATE"))</f>
        <v/>
      </c>
    </row>
    <row r="313" spans="1:22" x14ac:dyDescent="0.25">
      <c r="A313" s="3" t="str">
        <f t="shared" si="108"/>
        <v/>
      </c>
      <c r="B313" s="3" t="str">
        <f t="shared" si="109"/>
        <v/>
      </c>
      <c r="C313" s="3" t="str">
        <f t="shared" si="106"/>
        <v/>
      </c>
      <c r="D313" s="3" t="str">
        <f t="shared" si="102"/>
        <v/>
      </c>
      <c r="E313" s="3" t="str">
        <f t="shared" si="103"/>
        <v/>
      </c>
      <c r="F313" s="3" t="str">
        <f t="shared" si="104"/>
        <v/>
      </c>
      <c r="G313" s="3" t="str">
        <f t="shared" si="105"/>
        <v/>
      </c>
      <c r="H313" s="3" t="str">
        <f t="shared" si="110"/>
        <v/>
      </c>
      <c r="I313" s="3" t="str">
        <f t="shared" si="111"/>
        <v/>
      </c>
      <c r="J313" s="2" t="str">
        <f t="shared" si="112"/>
        <v/>
      </c>
      <c r="K313" s="2" t="str">
        <f>IF(W313="","",LOOKUP('Extraction edi'!J313,Paramètrage!$A$6:$A$179,Paramètrage!$B$6:$B$179))</f>
        <v/>
      </c>
      <c r="L313" s="2" t="str">
        <f>IF(W313="","",LOOKUP('Extraction edi'!J313,Paramètrage!$A$6:$A$179,Paramètrage!$C$6:$C$179))</f>
        <v/>
      </c>
      <c r="M313" s="2" t="str">
        <f>IF(W313="","",LOOKUP('Extraction edi'!J313,Paramètrage!$A$6:$A$179,Paramètrage!$D$6:$D$179))</f>
        <v/>
      </c>
      <c r="N313" s="3" t="str">
        <f>IF(W313="","",LOOKUP('Extraction edi'!J313,Paramètrage!$A$6:$A$179,Paramètrage!$E$6:$E$179))</f>
        <v/>
      </c>
      <c r="O313" s="3" t="str">
        <f t="shared" si="113"/>
        <v/>
      </c>
      <c r="P313" s="3" t="str">
        <f t="shared" si="114"/>
        <v/>
      </c>
      <c r="Q313" s="3" t="str">
        <f t="shared" si="107"/>
        <v/>
      </c>
      <c r="R313" s="3" t="str">
        <f t="shared" si="115"/>
        <v/>
      </c>
      <c r="S313" s="3" t="str">
        <f t="shared" si="116"/>
        <v/>
      </c>
      <c r="T313" s="4" t="str">
        <f t="shared" si="117"/>
        <v/>
      </c>
      <c r="U313" s="5" t="str">
        <f t="shared" si="118"/>
        <v/>
      </c>
      <c r="V313" s="7" t="str">
        <f>IF(W313="","",IF(LOOKUP(W313,'Extration 3E date commande'!$A$6:$A$10000)=W313,LOOKUP(W313,'Extration 3E date commande'!$A$6:$A$10000,'Extration 3E date commande'!$C$6:$C$10000),"PAS DE DATE"))</f>
        <v/>
      </c>
    </row>
    <row r="314" spans="1:22" x14ac:dyDescent="0.25">
      <c r="A314" s="3" t="str">
        <f t="shared" si="108"/>
        <v/>
      </c>
      <c r="B314" s="3" t="str">
        <f t="shared" si="109"/>
        <v/>
      </c>
      <c r="C314" s="3" t="str">
        <f t="shared" si="106"/>
        <v/>
      </c>
      <c r="D314" s="3" t="str">
        <f t="shared" si="102"/>
        <v/>
      </c>
      <c r="E314" s="3" t="str">
        <f t="shared" si="103"/>
        <v/>
      </c>
      <c r="F314" s="3" t="str">
        <f t="shared" si="104"/>
        <v/>
      </c>
      <c r="G314" s="3" t="str">
        <f t="shared" si="105"/>
        <v/>
      </c>
      <c r="H314" s="3" t="str">
        <f t="shared" si="110"/>
        <v/>
      </c>
      <c r="I314" s="3" t="str">
        <f t="shared" si="111"/>
        <v/>
      </c>
      <c r="J314" s="2" t="str">
        <f t="shared" si="112"/>
        <v/>
      </c>
      <c r="K314" s="2" t="str">
        <f>IF(W314="","",LOOKUP('Extraction edi'!J314,Paramètrage!$A$6:$A$179,Paramètrage!$B$6:$B$179))</f>
        <v/>
      </c>
      <c r="L314" s="2" t="str">
        <f>IF(W314="","",LOOKUP('Extraction edi'!J314,Paramètrage!$A$6:$A$179,Paramètrage!$C$6:$C$179))</f>
        <v/>
      </c>
      <c r="M314" s="2" t="str">
        <f>IF(W314="","",LOOKUP('Extraction edi'!J314,Paramètrage!$A$6:$A$179,Paramètrage!$D$6:$D$179))</f>
        <v/>
      </c>
      <c r="N314" s="3" t="str">
        <f>IF(W314="","",LOOKUP('Extraction edi'!J314,Paramètrage!$A$6:$A$179,Paramètrage!$E$6:$E$179))</f>
        <v/>
      </c>
      <c r="O314" s="3" t="str">
        <f t="shared" si="113"/>
        <v/>
      </c>
      <c r="P314" s="3" t="str">
        <f t="shared" si="114"/>
        <v/>
      </c>
      <c r="Q314" s="3" t="str">
        <f t="shared" si="107"/>
        <v/>
      </c>
      <c r="R314" s="3" t="str">
        <f t="shared" si="115"/>
        <v/>
      </c>
      <c r="S314" s="3" t="str">
        <f t="shared" si="116"/>
        <v/>
      </c>
      <c r="T314" s="4" t="str">
        <f t="shared" si="117"/>
        <v/>
      </c>
      <c r="U314" s="5" t="str">
        <f t="shared" si="118"/>
        <v/>
      </c>
      <c r="V314" s="7" t="str">
        <f>IF(W314="","",IF(LOOKUP(W314,'Extration 3E date commande'!$A$6:$A$10000)=W314,LOOKUP(W314,'Extration 3E date commande'!$A$6:$A$10000,'Extration 3E date commande'!$C$6:$C$10000),"PAS DE DATE"))</f>
        <v/>
      </c>
    </row>
    <row r="315" spans="1:22" x14ac:dyDescent="0.25">
      <c r="A315" s="3" t="str">
        <f t="shared" si="108"/>
        <v/>
      </c>
      <c r="B315" s="3" t="str">
        <f t="shared" si="109"/>
        <v/>
      </c>
      <c r="C315" s="3" t="str">
        <f t="shared" si="106"/>
        <v/>
      </c>
      <c r="D315" s="3" t="str">
        <f t="shared" si="102"/>
        <v/>
      </c>
      <c r="E315" s="3" t="str">
        <f t="shared" si="103"/>
        <v/>
      </c>
      <c r="F315" s="3" t="str">
        <f t="shared" si="104"/>
        <v/>
      </c>
      <c r="G315" s="3" t="str">
        <f t="shared" si="105"/>
        <v/>
      </c>
      <c r="H315" s="3" t="str">
        <f t="shared" si="110"/>
        <v/>
      </c>
      <c r="I315" s="3" t="str">
        <f t="shared" si="111"/>
        <v/>
      </c>
      <c r="J315" s="2" t="str">
        <f t="shared" si="112"/>
        <v/>
      </c>
      <c r="K315" s="2" t="str">
        <f>IF(W315="","",LOOKUP('Extraction edi'!J315,Paramètrage!$A$6:$A$179,Paramètrage!$B$6:$B$179))</f>
        <v/>
      </c>
      <c r="L315" s="2" t="str">
        <f>IF(W315="","",LOOKUP('Extraction edi'!J315,Paramètrage!$A$6:$A$179,Paramètrage!$C$6:$C$179))</f>
        <v/>
      </c>
      <c r="M315" s="2" t="str">
        <f>IF(W315="","",LOOKUP('Extraction edi'!J315,Paramètrage!$A$6:$A$179,Paramètrage!$D$6:$D$179))</f>
        <v/>
      </c>
      <c r="N315" s="3" t="str">
        <f>IF(W315="","",LOOKUP('Extraction edi'!J315,Paramètrage!$A$6:$A$179,Paramètrage!$E$6:$E$179))</f>
        <v/>
      </c>
      <c r="O315" s="3" t="str">
        <f t="shared" si="113"/>
        <v/>
      </c>
      <c r="P315" s="3" t="str">
        <f t="shared" si="114"/>
        <v/>
      </c>
      <c r="Q315" s="3" t="str">
        <f t="shared" si="107"/>
        <v/>
      </c>
      <c r="R315" s="3" t="str">
        <f t="shared" si="115"/>
        <v/>
      </c>
      <c r="S315" s="3" t="str">
        <f t="shared" si="116"/>
        <v/>
      </c>
      <c r="T315" s="4" t="str">
        <f t="shared" si="117"/>
        <v/>
      </c>
      <c r="U315" s="5" t="str">
        <f t="shared" si="118"/>
        <v/>
      </c>
      <c r="V315" s="7" t="str">
        <f>IF(W315="","",IF(LOOKUP(W315,'Extration 3E date commande'!$A$6:$A$10000)=W315,LOOKUP(W315,'Extration 3E date commande'!$A$6:$A$10000,'Extration 3E date commande'!$C$6:$C$10000),"PAS DE DATE"))</f>
        <v/>
      </c>
    </row>
    <row r="316" spans="1:22" x14ac:dyDescent="0.25">
      <c r="A316" s="3" t="str">
        <f t="shared" si="108"/>
        <v/>
      </c>
      <c r="B316" s="3" t="str">
        <f t="shared" si="109"/>
        <v/>
      </c>
      <c r="C316" s="3" t="str">
        <f t="shared" si="106"/>
        <v/>
      </c>
      <c r="D316" s="3" t="str">
        <f t="shared" si="102"/>
        <v/>
      </c>
      <c r="E316" s="3" t="str">
        <f t="shared" si="103"/>
        <v/>
      </c>
      <c r="F316" s="3" t="str">
        <f t="shared" si="104"/>
        <v/>
      </c>
      <c r="G316" s="3" t="str">
        <f t="shared" si="105"/>
        <v/>
      </c>
      <c r="H316" s="3" t="str">
        <f t="shared" si="110"/>
        <v/>
      </c>
      <c r="I316" s="3" t="str">
        <f t="shared" si="111"/>
        <v/>
      </c>
      <c r="J316" s="2" t="str">
        <f t="shared" si="112"/>
        <v/>
      </c>
      <c r="K316" s="2" t="str">
        <f>IF(W316="","",LOOKUP('Extraction edi'!J316,Paramètrage!$A$6:$A$179,Paramètrage!$B$6:$B$179))</f>
        <v/>
      </c>
      <c r="L316" s="2" t="str">
        <f>IF(W316="","",LOOKUP('Extraction edi'!J316,Paramètrage!$A$6:$A$179,Paramètrage!$C$6:$C$179))</f>
        <v/>
      </c>
      <c r="M316" s="2" t="str">
        <f>IF(W316="","",LOOKUP('Extraction edi'!J316,Paramètrage!$A$6:$A$179,Paramètrage!$D$6:$D$179))</f>
        <v/>
      </c>
      <c r="N316" s="3" t="str">
        <f>IF(W316="","",LOOKUP('Extraction edi'!J316,Paramètrage!$A$6:$A$179,Paramètrage!$E$6:$E$179))</f>
        <v/>
      </c>
      <c r="O316" s="3" t="str">
        <f t="shared" si="113"/>
        <v/>
      </c>
      <c r="P316" s="3" t="str">
        <f t="shared" si="114"/>
        <v/>
      </c>
      <c r="Q316" s="3" t="str">
        <f t="shared" si="107"/>
        <v/>
      </c>
      <c r="R316" s="3" t="str">
        <f t="shared" si="115"/>
        <v/>
      </c>
      <c r="S316" s="3" t="str">
        <f t="shared" si="116"/>
        <v/>
      </c>
      <c r="T316" s="4" t="str">
        <f t="shared" si="117"/>
        <v/>
      </c>
      <c r="U316" s="5" t="str">
        <f t="shared" si="118"/>
        <v/>
      </c>
      <c r="V316" s="7" t="str">
        <f>IF(W316="","",IF(LOOKUP(W316,'Extration 3E date commande'!$A$6:$A$10000)=W316,LOOKUP(W316,'Extration 3E date commande'!$A$6:$A$10000,'Extration 3E date commande'!$C$6:$C$10000),"PAS DE DATE"))</f>
        <v/>
      </c>
    </row>
    <row r="317" spans="1:22" x14ac:dyDescent="0.25">
      <c r="A317" s="3" t="str">
        <f t="shared" si="108"/>
        <v/>
      </c>
      <c r="B317" s="3" t="str">
        <f t="shared" si="109"/>
        <v/>
      </c>
      <c r="C317" s="3" t="str">
        <f t="shared" si="106"/>
        <v/>
      </c>
      <c r="D317" s="3" t="str">
        <f t="shared" si="102"/>
        <v/>
      </c>
      <c r="E317" s="3" t="str">
        <f t="shared" si="103"/>
        <v/>
      </c>
      <c r="F317" s="3" t="str">
        <f t="shared" si="104"/>
        <v/>
      </c>
      <c r="G317" s="3" t="str">
        <f t="shared" si="105"/>
        <v/>
      </c>
      <c r="H317" s="3" t="str">
        <f t="shared" si="110"/>
        <v/>
      </c>
      <c r="I317" s="3" t="str">
        <f t="shared" si="111"/>
        <v/>
      </c>
      <c r="J317" s="2" t="str">
        <f t="shared" si="112"/>
        <v/>
      </c>
      <c r="K317" s="2" t="str">
        <f>IF(W317="","",LOOKUP('Extraction edi'!J317,Paramètrage!$A$6:$A$179,Paramètrage!$B$6:$B$179))</f>
        <v/>
      </c>
      <c r="L317" s="2" t="str">
        <f>IF(W317="","",LOOKUP('Extraction edi'!J317,Paramètrage!$A$6:$A$179,Paramètrage!$C$6:$C$179))</f>
        <v/>
      </c>
      <c r="M317" s="2" t="str">
        <f>IF(W317="","",LOOKUP('Extraction edi'!J317,Paramètrage!$A$6:$A$179,Paramètrage!$D$6:$D$179))</f>
        <v/>
      </c>
      <c r="N317" s="3" t="str">
        <f>IF(W317="","",LOOKUP('Extraction edi'!J317,Paramètrage!$A$6:$A$179,Paramètrage!$E$6:$E$179))</f>
        <v/>
      </c>
      <c r="O317" s="3" t="str">
        <f t="shared" si="113"/>
        <v/>
      </c>
      <c r="P317" s="3" t="str">
        <f t="shared" si="114"/>
        <v/>
      </c>
      <c r="Q317" s="3" t="str">
        <f t="shared" si="107"/>
        <v/>
      </c>
      <c r="R317" s="3" t="str">
        <f t="shared" si="115"/>
        <v/>
      </c>
      <c r="S317" s="3" t="str">
        <f t="shared" si="116"/>
        <v/>
      </c>
      <c r="T317" s="4" t="str">
        <f t="shared" si="117"/>
        <v/>
      </c>
      <c r="U317" s="5" t="str">
        <f t="shared" si="118"/>
        <v/>
      </c>
      <c r="V317" s="7" t="str">
        <f>IF(W317="","",IF(LOOKUP(W317,'Extration 3E date commande'!$A$6:$A$10000)=W317,LOOKUP(W317,'Extration 3E date commande'!$A$6:$A$10000,'Extration 3E date commande'!$C$6:$C$10000),"PAS DE DATE"))</f>
        <v/>
      </c>
    </row>
    <row r="318" spans="1:22" x14ac:dyDescent="0.25">
      <c r="A318" s="3" t="str">
        <f t="shared" si="108"/>
        <v/>
      </c>
      <c r="B318" s="3" t="str">
        <f t="shared" si="109"/>
        <v/>
      </c>
      <c r="C318" s="3" t="str">
        <f t="shared" si="106"/>
        <v/>
      </c>
      <c r="D318" s="3" t="str">
        <f t="shared" si="102"/>
        <v/>
      </c>
      <c r="E318" s="3" t="str">
        <f t="shared" si="103"/>
        <v/>
      </c>
      <c r="F318" s="3" t="str">
        <f t="shared" si="104"/>
        <v/>
      </c>
      <c r="G318" s="3" t="str">
        <f t="shared" si="105"/>
        <v/>
      </c>
      <c r="H318" s="3" t="str">
        <f t="shared" si="110"/>
        <v/>
      </c>
      <c r="I318" s="3" t="str">
        <f t="shared" si="111"/>
        <v/>
      </c>
      <c r="J318" s="2" t="str">
        <f t="shared" si="112"/>
        <v/>
      </c>
      <c r="K318" s="2" t="str">
        <f>IF(W318="","",LOOKUP('Extraction edi'!J318,Paramètrage!$A$6:$A$179,Paramètrage!$B$6:$B$179))</f>
        <v/>
      </c>
      <c r="L318" s="2" t="str">
        <f>IF(W318="","",LOOKUP('Extraction edi'!J318,Paramètrage!$A$6:$A$179,Paramètrage!$C$6:$C$179))</f>
        <v/>
      </c>
      <c r="M318" s="2" t="str">
        <f>IF(W318="","",LOOKUP('Extraction edi'!J318,Paramètrage!$A$6:$A$179,Paramètrage!$D$6:$D$179))</f>
        <v/>
      </c>
      <c r="N318" s="3" t="str">
        <f>IF(W318="","",LOOKUP('Extraction edi'!J318,Paramètrage!$A$6:$A$179,Paramètrage!$E$6:$E$179))</f>
        <v/>
      </c>
      <c r="O318" s="3" t="str">
        <f t="shared" si="113"/>
        <v/>
      </c>
      <c r="P318" s="3" t="str">
        <f t="shared" si="114"/>
        <v/>
      </c>
      <c r="Q318" s="3" t="str">
        <f t="shared" si="107"/>
        <v/>
      </c>
      <c r="R318" s="3" t="str">
        <f t="shared" si="115"/>
        <v/>
      </c>
      <c r="S318" s="3" t="str">
        <f t="shared" si="116"/>
        <v/>
      </c>
      <c r="T318" s="4" t="str">
        <f t="shared" si="117"/>
        <v/>
      </c>
      <c r="U318" s="5" t="str">
        <f t="shared" si="118"/>
        <v/>
      </c>
      <c r="V318" s="7" t="str">
        <f>IF(W318="","",IF(LOOKUP(W318,'Extration 3E date commande'!$A$6:$A$10000)=W318,LOOKUP(W318,'Extration 3E date commande'!$A$6:$A$10000,'Extration 3E date commande'!$C$6:$C$10000),"PAS DE DATE"))</f>
        <v/>
      </c>
    </row>
    <row r="319" spans="1:22" x14ac:dyDescent="0.25">
      <c r="A319" s="3" t="str">
        <f t="shared" si="108"/>
        <v/>
      </c>
      <c r="B319" s="3" t="str">
        <f t="shared" si="109"/>
        <v/>
      </c>
      <c r="C319" s="3" t="str">
        <f t="shared" si="106"/>
        <v/>
      </c>
      <c r="D319" s="3" t="str">
        <f t="shared" si="102"/>
        <v/>
      </c>
      <c r="E319" s="3" t="str">
        <f t="shared" si="103"/>
        <v/>
      </c>
      <c r="F319" s="3" t="str">
        <f t="shared" si="104"/>
        <v/>
      </c>
      <c r="G319" s="3" t="str">
        <f t="shared" si="105"/>
        <v/>
      </c>
      <c r="H319" s="3" t="str">
        <f t="shared" si="110"/>
        <v/>
      </c>
      <c r="I319" s="3" t="str">
        <f t="shared" si="111"/>
        <v/>
      </c>
      <c r="J319" s="2" t="str">
        <f t="shared" si="112"/>
        <v/>
      </c>
      <c r="K319" s="2" t="str">
        <f>IF(W319="","",LOOKUP('Extraction edi'!J319,Paramètrage!$A$6:$A$179,Paramètrage!$B$6:$B$179))</f>
        <v/>
      </c>
      <c r="L319" s="2" t="str">
        <f>IF(W319="","",LOOKUP('Extraction edi'!J319,Paramètrage!$A$6:$A$179,Paramètrage!$C$6:$C$179))</f>
        <v/>
      </c>
      <c r="M319" s="2" t="str">
        <f>IF(W319="","",LOOKUP('Extraction edi'!J319,Paramètrage!$A$6:$A$179,Paramètrage!$D$6:$D$179))</f>
        <v/>
      </c>
      <c r="N319" s="3" t="str">
        <f>IF(W319="","",LOOKUP('Extraction edi'!J319,Paramètrage!$A$6:$A$179,Paramètrage!$E$6:$E$179))</f>
        <v/>
      </c>
      <c r="O319" s="3" t="str">
        <f t="shared" si="113"/>
        <v/>
      </c>
      <c r="P319" s="3" t="str">
        <f t="shared" si="114"/>
        <v/>
      </c>
      <c r="Q319" s="3" t="str">
        <f t="shared" si="107"/>
        <v/>
      </c>
      <c r="R319" s="3" t="str">
        <f t="shared" si="115"/>
        <v/>
      </c>
      <c r="S319" s="3" t="str">
        <f t="shared" si="116"/>
        <v/>
      </c>
      <c r="T319" s="4" t="str">
        <f t="shared" si="117"/>
        <v/>
      </c>
      <c r="U319" s="5" t="str">
        <f t="shared" si="118"/>
        <v/>
      </c>
      <c r="V319" s="7" t="str">
        <f>IF(W319="","",IF(LOOKUP(W319,'Extration 3E date commande'!$A$6:$A$10000)=W319,LOOKUP(W319,'Extration 3E date commande'!$A$6:$A$10000,'Extration 3E date commande'!$C$6:$C$10000),"PAS DE DATE"))</f>
        <v/>
      </c>
    </row>
    <row r="320" spans="1:22" x14ac:dyDescent="0.25">
      <c r="A320" s="3" t="str">
        <f t="shared" si="108"/>
        <v/>
      </c>
      <c r="B320" s="3" t="str">
        <f t="shared" si="109"/>
        <v/>
      </c>
      <c r="C320" s="3" t="str">
        <f t="shared" si="106"/>
        <v/>
      </c>
      <c r="D320" s="3" t="str">
        <f t="shared" si="102"/>
        <v/>
      </c>
      <c r="E320" s="3" t="str">
        <f t="shared" si="103"/>
        <v/>
      </c>
      <c r="F320" s="3" t="str">
        <f t="shared" si="104"/>
        <v/>
      </c>
      <c r="G320" s="3" t="str">
        <f t="shared" si="105"/>
        <v/>
      </c>
      <c r="H320" s="3" t="str">
        <f t="shared" si="110"/>
        <v/>
      </c>
      <c r="I320" s="3" t="str">
        <f t="shared" si="111"/>
        <v/>
      </c>
      <c r="J320" s="2" t="str">
        <f t="shared" si="112"/>
        <v/>
      </c>
      <c r="K320" s="2" t="str">
        <f>IF(W320="","",LOOKUP('Extraction edi'!J320,Paramètrage!$A$6:$A$179,Paramètrage!$B$6:$B$179))</f>
        <v/>
      </c>
      <c r="L320" s="2" t="str">
        <f>IF(W320="","",LOOKUP('Extraction edi'!J320,Paramètrage!$A$6:$A$179,Paramètrage!$C$6:$C$179))</f>
        <v/>
      </c>
      <c r="M320" s="2" t="str">
        <f>IF(W320="","",LOOKUP('Extraction edi'!J320,Paramètrage!$A$6:$A$179,Paramètrage!$D$6:$D$179))</f>
        <v/>
      </c>
      <c r="N320" s="3" t="str">
        <f>IF(W320="","",LOOKUP('Extraction edi'!J320,Paramètrage!$A$6:$A$179,Paramètrage!$E$6:$E$179))</f>
        <v/>
      </c>
      <c r="O320" s="3" t="str">
        <f t="shared" si="113"/>
        <v/>
      </c>
      <c r="P320" s="3" t="str">
        <f t="shared" si="114"/>
        <v/>
      </c>
      <c r="Q320" s="3" t="str">
        <f t="shared" si="107"/>
        <v/>
      </c>
      <c r="R320" s="3" t="str">
        <f t="shared" si="115"/>
        <v/>
      </c>
      <c r="S320" s="3" t="str">
        <f t="shared" si="116"/>
        <v/>
      </c>
      <c r="T320" s="4" t="str">
        <f t="shared" si="117"/>
        <v/>
      </c>
      <c r="U320" s="5" t="str">
        <f t="shared" si="118"/>
        <v/>
      </c>
      <c r="V320" s="7" t="str">
        <f>IF(W320="","",IF(LOOKUP(W320,'Extration 3E date commande'!$A$6:$A$10000)=W320,LOOKUP(W320,'Extration 3E date commande'!$A$6:$A$10000,'Extration 3E date commande'!$C$6:$C$10000),"PAS DE DATE"))</f>
        <v/>
      </c>
    </row>
    <row r="321" spans="1:22" x14ac:dyDescent="0.25">
      <c r="A321" s="3" t="str">
        <f t="shared" si="108"/>
        <v/>
      </c>
      <c r="B321" s="3" t="str">
        <f t="shared" si="109"/>
        <v/>
      </c>
      <c r="C321" s="3" t="str">
        <f t="shared" si="106"/>
        <v/>
      </c>
      <c r="D321" s="3" t="str">
        <f t="shared" si="102"/>
        <v/>
      </c>
      <c r="E321" s="3" t="str">
        <f t="shared" si="103"/>
        <v/>
      </c>
      <c r="F321" s="3" t="str">
        <f t="shared" si="104"/>
        <v/>
      </c>
      <c r="G321" s="3" t="str">
        <f t="shared" si="105"/>
        <v/>
      </c>
      <c r="H321" s="3" t="str">
        <f t="shared" si="110"/>
        <v/>
      </c>
      <c r="I321" s="3" t="str">
        <f t="shared" si="111"/>
        <v/>
      </c>
      <c r="J321" s="2" t="str">
        <f t="shared" si="112"/>
        <v/>
      </c>
      <c r="K321" s="2" t="str">
        <f>IF(W321="","",LOOKUP('Extraction edi'!J321,Paramètrage!$A$6:$A$179,Paramètrage!$B$6:$B$179))</f>
        <v/>
      </c>
      <c r="L321" s="2" t="str">
        <f>IF(W321="","",LOOKUP('Extraction edi'!J321,Paramètrage!$A$6:$A$179,Paramètrage!$C$6:$C$179))</f>
        <v/>
      </c>
      <c r="M321" s="2" t="str">
        <f>IF(W321="","",LOOKUP('Extraction edi'!J321,Paramètrage!$A$6:$A$179,Paramètrage!$D$6:$D$179))</f>
        <v/>
      </c>
      <c r="N321" s="3" t="str">
        <f>IF(W321="","",LOOKUP('Extraction edi'!J321,Paramètrage!$A$6:$A$179,Paramètrage!$E$6:$E$179))</f>
        <v/>
      </c>
      <c r="O321" s="3" t="str">
        <f t="shared" si="113"/>
        <v/>
      </c>
      <c r="P321" s="3" t="str">
        <f t="shared" si="114"/>
        <v/>
      </c>
      <c r="Q321" s="3" t="str">
        <f t="shared" si="107"/>
        <v/>
      </c>
      <c r="R321" s="3" t="str">
        <f t="shared" si="115"/>
        <v/>
      </c>
      <c r="S321" s="3" t="str">
        <f t="shared" si="116"/>
        <v/>
      </c>
      <c r="T321" s="4" t="str">
        <f t="shared" si="117"/>
        <v/>
      </c>
      <c r="U321" s="5" t="str">
        <f t="shared" si="118"/>
        <v/>
      </c>
      <c r="V321" s="7" t="str">
        <f>IF(W321="","",IF(LOOKUP(W321,'Extration 3E date commande'!$A$6:$A$10000)=W321,LOOKUP(W321,'Extration 3E date commande'!$A$6:$A$10000,'Extration 3E date commande'!$C$6:$C$10000),"PAS DE DATE"))</f>
        <v/>
      </c>
    </row>
    <row r="322" spans="1:22" x14ac:dyDescent="0.25">
      <c r="A322" s="3" t="str">
        <f t="shared" si="108"/>
        <v/>
      </c>
      <c r="B322" s="3" t="str">
        <f t="shared" si="109"/>
        <v/>
      </c>
      <c r="C322" s="3" t="str">
        <f t="shared" si="106"/>
        <v/>
      </c>
      <c r="D322" s="3" t="str">
        <f t="shared" si="102"/>
        <v/>
      </c>
      <c r="E322" s="3" t="str">
        <f t="shared" si="103"/>
        <v/>
      </c>
      <c r="F322" s="3" t="str">
        <f t="shared" si="104"/>
        <v/>
      </c>
      <c r="G322" s="3" t="str">
        <f t="shared" si="105"/>
        <v/>
      </c>
      <c r="H322" s="3" t="str">
        <f t="shared" si="110"/>
        <v/>
      </c>
      <c r="I322" s="3" t="str">
        <f t="shared" si="111"/>
        <v/>
      </c>
      <c r="J322" s="2" t="str">
        <f t="shared" si="112"/>
        <v/>
      </c>
      <c r="K322" s="2" t="str">
        <f>IF(W322="","",LOOKUP('Extraction edi'!J322,Paramètrage!$A$6:$A$179,Paramètrage!$B$6:$B$179))</f>
        <v/>
      </c>
      <c r="L322" s="2" t="str">
        <f>IF(W322="","",LOOKUP('Extraction edi'!J322,Paramètrage!$A$6:$A$179,Paramètrage!$C$6:$C$179))</f>
        <v/>
      </c>
      <c r="M322" s="2" t="str">
        <f>IF(W322="","",LOOKUP('Extraction edi'!J322,Paramètrage!$A$6:$A$179,Paramètrage!$D$6:$D$179))</f>
        <v/>
      </c>
      <c r="N322" s="3" t="str">
        <f>IF(W322="","",LOOKUP('Extraction edi'!J322,Paramètrage!$A$6:$A$179,Paramètrage!$E$6:$E$179))</f>
        <v/>
      </c>
      <c r="O322" s="3" t="str">
        <f t="shared" si="113"/>
        <v/>
      </c>
      <c r="P322" s="3" t="str">
        <f t="shared" si="114"/>
        <v/>
      </c>
      <c r="Q322" s="3" t="str">
        <f t="shared" si="107"/>
        <v/>
      </c>
      <c r="R322" s="3" t="str">
        <f t="shared" si="115"/>
        <v/>
      </c>
      <c r="S322" s="3" t="str">
        <f t="shared" si="116"/>
        <v/>
      </c>
      <c r="T322" s="4" t="str">
        <f t="shared" si="117"/>
        <v/>
      </c>
      <c r="U322" s="5" t="str">
        <f t="shared" si="118"/>
        <v/>
      </c>
      <c r="V322" s="7" t="str">
        <f>IF(W322="","",IF(LOOKUP(W322,'Extration 3E date commande'!$A$6:$A$10000)=W322,LOOKUP(W322,'Extration 3E date commande'!$A$6:$A$10000,'Extration 3E date commande'!$C$6:$C$10000),"PAS DE DATE"))</f>
        <v/>
      </c>
    </row>
    <row r="323" spans="1:22" x14ac:dyDescent="0.25">
      <c r="A323" s="3" t="str">
        <f t="shared" si="108"/>
        <v/>
      </c>
      <c r="B323" s="3" t="str">
        <f t="shared" si="109"/>
        <v/>
      </c>
      <c r="C323" s="3" t="str">
        <f t="shared" si="106"/>
        <v/>
      </c>
      <c r="D323" s="3" t="str">
        <f t="shared" si="102"/>
        <v/>
      </c>
      <c r="E323" s="3" t="str">
        <f t="shared" si="103"/>
        <v/>
      </c>
      <c r="F323" s="3" t="str">
        <f t="shared" si="104"/>
        <v/>
      </c>
      <c r="G323" s="3" t="str">
        <f t="shared" si="105"/>
        <v/>
      </c>
      <c r="H323" s="3" t="str">
        <f t="shared" si="110"/>
        <v/>
      </c>
      <c r="I323" s="3" t="str">
        <f t="shared" si="111"/>
        <v/>
      </c>
      <c r="J323" s="2" t="str">
        <f t="shared" si="112"/>
        <v/>
      </c>
      <c r="K323" s="2" t="str">
        <f>IF(W323="","",LOOKUP('Extraction edi'!J323,Paramètrage!$A$6:$A$179,Paramètrage!$B$6:$B$179))</f>
        <v/>
      </c>
      <c r="L323" s="2" t="str">
        <f>IF(W323="","",LOOKUP('Extraction edi'!J323,Paramètrage!$A$6:$A$179,Paramètrage!$C$6:$C$179))</f>
        <v/>
      </c>
      <c r="M323" s="2" t="str">
        <f>IF(W323="","",LOOKUP('Extraction edi'!J323,Paramètrage!$A$6:$A$179,Paramètrage!$D$6:$D$179))</f>
        <v/>
      </c>
      <c r="N323" s="3" t="str">
        <f>IF(W323="","",LOOKUP('Extraction edi'!J323,Paramètrage!$A$6:$A$179,Paramètrage!$E$6:$E$179))</f>
        <v/>
      </c>
      <c r="O323" s="3" t="str">
        <f t="shared" si="113"/>
        <v/>
      </c>
      <c r="P323" s="3" t="str">
        <f t="shared" si="114"/>
        <v/>
      </c>
      <c r="Q323" s="3" t="str">
        <f t="shared" si="107"/>
        <v/>
      </c>
      <c r="R323" s="3" t="str">
        <f t="shared" si="115"/>
        <v/>
      </c>
      <c r="S323" s="3" t="str">
        <f t="shared" si="116"/>
        <v/>
      </c>
      <c r="T323" s="4" t="str">
        <f t="shared" si="117"/>
        <v/>
      </c>
      <c r="U323" s="5" t="str">
        <f t="shared" si="118"/>
        <v/>
      </c>
      <c r="V323" s="7" t="str">
        <f>IF(W323="","",IF(LOOKUP(W323,'Extration 3E date commande'!$A$6:$A$10000)=W323,LOOKUP(W323,'Extration 3E date commande'!$A$6:$A$10000,'Extration 3E date commande'!$C$6:$C$10000),"PAS DE DATE"))</f>
        <v/>
      </c>
    </row>
    <row r="324" spans="1:22" x14ac:dyDescent="0.25">
      <c r="A324" s="3" t="str">
        <f t="shared" si="108"/>
        <v/>
      </c>
      <c r="B324" s="3" t="str">
        <f t="shared" si="109"/>
        <v/>
      </c>
      <c r="C324" s="3" t="str">
        <f t="shared" si="106"/>
        <v/>
      </c>
      <c r="D324" s="3" t="str">
        <f t="shared" si="102"/>
        <v/>
      </c>
      <c r="E324" s="3" t="str">
        <f t="shared" si="103"/>
        <v/>
      </c>
      <c r="F324" s="3" t="str">
        <f t="shared" si="104"/>
        <v/>
      </c>
      <c r="G324" s="3" t="str">
        <f t="shared" si="105"/>
        <v/>
      </c>
      <c r="H324" s="3" t="str">
        <f t="shared" si="110"/>
        <v/>
      </c>
      <c r="I324" s="3" t="str">
        <f t="shared" si="111"/>
        <v/>
      </c>
      <c r="J324" s="2" t="str">
        <f t="shared" si="112"/>
        <v/>
      </c>
      <c r="K324" s="2" t="str">
        <f>IF(W324="","",LOOKUP('Extraction edi'!J324,Paramètrage!$A$6:$A$179,Paramètrage!$B$6:$B$179))</f>
        <v/>
      </c>
      <c r="L324" s="2" t="str">
        <f>IF(W324="","",LOOKUP('Extraction edi'!J324,Paramètrage!$A$6:$A$179,Paramètrage!$C$6:$C$179))</f>
        <v/>
      </c>
      <c r="M324" s="2" t="str">
        <f>IF(W324="","",LOOKUP('Extraction edi'!J324,Paramètrage!$A$6:$A$179,Paramètrage!$D$6:$D$179))</f>
        <v/>
      </c>
      <c r="N324" s="3" t="str">
        <f>IF(W324="","",LOOKUP('Extraction edi'!J324,Paramètrage!$A$6:$A$179,Paramètrage!$E$6:$E$179))</f>
        <v/>
      </c>
      <c r="O324" s="3" t="str">
        <f t="shared" si="113"/>
        <v/>
      </c>
      <c r="P324" s="3" t="str">
        <f t="shared" si="114"/>
        <v/>
      </c>
      <c r="Q324" s="3" t="str">
        <f t="shared" si="107"/>
        <v/>
      </c>
      <c r="R324" s="3" t="str">
        <f t="shared" si="115"/>
        <v/>
      </c>
      <c r="S324" s="3" t="str">
        <f t="shared" si="116"/>
        <v/>
      </c>
      <c r="T324" s="4" t="str">
        <f t="shared" si="117"/>
        <v/>
      </c>
      <c r="U324" s="5" t="str">
        <f t="shared" si="118"/>
        <v/>
      </c>
      <c r="V324" s="7" t="str">
        <f>IF(W324="","",IF(LOOKUP(W324,'Extration 3E date commande'!$A$6:$A$10000)=W324,LOOKUP(W324,'Extration 3E date commande'!$A$6:$A$10000,'Extration 3E date commande'!$C$6:$C$10000),"PAS DE DATE"))</f>
        <v/>
      </c>
    </row>
    <row r="325" spans="1:22" x14ac:dyDescent="0.25">
      <c r="A325" s="3" t="str">
        <f t="shared" si="108"/>
        <v/>
      </c>
      <c r="B325" s="3" t="str">
        <f t="shared" si="109"/>
        <v/>
      </c>
      <c r="C325" s="3" t="str">
        <f t="shared" si="106"/>
        <v/>
      </c>
      <c r="D325" s="3" t="str">
        <f t="shared" si="102"/>
        <v/>
      </c>
      <c r="E325" s="3" t="str">
        <f t="shared" si="103"/>
        <v/>
      </c>
      <c r="F325" s="3" t="str">
        <f t="shared" si="104"/>
        <v/>
      </c>
      <c r="G325" s="3" t="str">
        <f t="shared" si="105"/>
        <v/>
      </c>
      <c r="H325" s="3" t="str">
        <f t="shared" si="110"/>
        <v/>
      </c>
      <c r="I325" s="3" t="str">
        <f t="shared" si="111"/>
        <v/>
      </c>
      <c r="J325" s="2" t="str">
        <f t="shared" si="112"/>
        <v/>
      </c>
      <c r="K325" s="2" t="str">
        <f>IF(W325="","",LOOKUP('Extraction edi'!J325,Paramètrage!$A$6:$A$179,Paramètrage!$B$6:$B$179))</f>
        <v/>
      </c>
      <c r="L325" s="2" t="str">
        <f>IF(W325="","",LOOKUP('Extraction edi'!J325,Paramètrage!$A$6:$A$179,Paramètrage!$C$6:$C$179))</f>
        <v/>
      </c>
      <c r="M325" s="2" t="str">
        <f>IF(W325="","",LOOKUP('Extraction edi'!J325,Paramètrage!$A$6:$A$179,Paramètrage!$D$6:$D$179))</f>
        <v/>
      </c>
      <c r="N325" s="3" t="str">
        <f>IF(W325="","",LOOKUP('Extraction edi'!J325,Paramètrage!$A$6:$A$179,Paramètrage!$E$6:$E$179))</f>
        <v/>
      </c>
      <c r="O325" s="3" t="str">
        <f t="shared" si="113"/>
        <v/>
      </c>
      <c r="P325" s="3" t="str">
        <f t="shared" si="114"/>
        <v/>
      </c>
      <c r="Q325" s="3" t="str">
        <f t="shared" si="107"/>
        <v/>
      </c>
      <c r="R325" s="3" t="str">
        <f t="shared" si="115"/>
        <v/>
      </c>
      <c r="S325" s="3" t="str">
        <f t="shared" si="116"/>
        <v/>
      </c>
      <c r="T325" s="4" t="str">
        <f t="shared" si="117"/>
        <v/>
      </c>
      <c r="U325" s="5" t="str">
        <f t="shared" si="118"/>
        <v/>
      </c>
      <c r="V325" s="7" t="str">
        <f>IF(W325="","",IF(LOOKUP(W325,'Extration 3E date commande'!$A$6:$A$10000)=W325,LOOKUP(W325,'Extration 3E date commande'!$A$6:$A$10000,'Extration 3E date commande'!$C$6:$C$10000),"PAS DE DATE"))</f>
        <v/>
      </c>
    </row>
    <row r="326" spans="1:22" x14ac:dyDescent="0.25">
      <c r="A326" s="3" t="str">
        <f t="shared" si="108"/>
        <v/>
      </c>
      <c r="B326" s="3" t="str">
        <f t="shared" si="109"/>
        <v/>
      </c>
      <c r="C326" s="3" t="str">
        <f t="shared" si="106"/>
        <v/>
      </c>
      <c r="D326" s="3" t="str">
        <f t="shared" ref="D326:D389" si="119">IF(ISERROR(SEARCH("P",B326)),"","PE")</f>
        <v/>
      </c>
      <c r="E326" s="3" t="str">
        <f t="shared" ref="E326:E389" si="120">IF(ISERROR(SEARCH("U",B326))=FALSE,"ALU",IF(ISERROR(SEARCH("Y",B326)),"","ALU"))</f>
        <v/>
      </c>
      <c r="F326" s="3" t="str">
        <f t="shared" ref="F326:F389" si="121">IF(ISERROR(SEARCH("H",B326))=FALSE,"TEX",IF(ISERROR(SEARCH("Z",B326)),IF(ISERROR(SEARCH("X",B326)),"","TEX")))</f>
        <v/>
      </c>
      <c r="G326" s="3" t="str">
        <f t="shared" ref="G326:G389" si="122">IF(B326="","",IF(C326="SAV","NEG/RELI/SAV",IF(C326="NEGOCE","NEG/RELI/SAV",IF(C326="RELI","NEG/RELI/SAV",IF(E326="ALU","ALU",IF(D326="PE","PE",IF(F326="TEX","TEX","STD")))))))</f>
        <v/>
      </c>
      <c r="H326" s="3" t="str">
        <f t="shared" si="110"/>
        <v/>
      </c>
      <c r="I326" s="3" t="str">
        <f t="shared" si="111"/>
        <v/>
      </c>
      <c r="J326" s="2" t="str">
        <f t="shared" si="112"/>
        <v/>
      </c>
      <c r="K326" s="2" t="str">
        <f>IF(W326="","",LOOKUP('Extraction edi'!J326,Paramètrage!$A$6:$A$179,Paramètrage!$B$6:$B$179))</f>
        <v/>
      </c>
      <c r="L326" s="2" t="str">
        <f>IF(W326="","",LOOKUP('Extraction edi'!J326,Paramètrage!$A$6:$A$179,Paramètrage!$C$6:$C$179))</f>
        <v/>
      </c>
      <c r="M326" s="2" t="str">
        <f>IF(W326="","",LOOKUP('Extraction edi'!J326,Paramètrage!$A$6:$A$179,Paramètrage!$D$6:$D$179))</f>
        <v/>
      </c>
      <c r="N326" s="3" t="str">
        <f>IF(W326="","",LOOKUP('Extraction edi'!J326,Paramètrage!$A$6:$A$179,Paramètrage!$E$6:$E$179))</f>
        <v/>
      </c>
      <c r="O326" s="3" t="str">
        <f t="shared" si="113"/>
        <v/>
      </c>
      <c r="P326" s="3" t="str">
        <f t="shared" si="114"/>
        <v/>
      </c>
      <c r="Q326" s="3" t="str">
        <f t="shared" si="107"/>
        <v/>
      </c>
      <c r="R326" s="3" t="str">
        <f t="shared" si="115"/>
        <v/>
      </c>
      <c r="S326" s="3" t="str">
        <f t="shared" si="116"/>
        <v/>
      </c>
      <c r="T326" s="4" t="str">
        <f t="shared" si="117"/>
        <v/>
      </c>
      <c r="U326" s="5" t="str">
        <f t="shared" si="118"/>
        <v/>
      </c>
      <c r="V326" s="7" t="str">
        <f>IF(W326="","",IF(LOOKUP(W326,'Extration 3E date commande'!$A$6:$A$10000)=W326,LOOKUP(W326,'Extration 3E date commande'!$A$6:$A$10000,'Extration 3E date commande'!$C$6:$C$10000),"PAS DE DATE"))</f>
        <v/>
      </c>
    </row>
    <row r="327" spans="1:22" x14ac:dyDescent="0.25">
      <c r="A327" s="3" t="str">
        <f t="shared" si="108"/>
        <v/>
      </c>
      <c r="B327" s="3" t="str">
        <f t="shared" si="109"/>
        <v/>
      </c>
      <c r="C327" s="3" t="str">
        <f t="shared" ref="C327:C390" si="123">IF(ISERROR(SEARCH("ELI",B327))=FALSE,"RELIQUAT",IF(ISERROR(SEARCH("N",B327))=FALSE,"NEGOCE",IF(ISERROR(SEARCH("S",B327))=FALSE,"SAV",IF(ISERROR(SEARCH("J",B327)),"","SAV"))))</f>
        <v/>
      </c>
      <c r="D327" s="3" t="str">
        <f t="shared" si="119"/>
        <v/>
      </c>
      <c r="E327" s="3" t="str">
        <f t="shared" si="120"/>
        <v/>
      </c>
      <c r="F327" s="3" t="str">
        <f t="shared" si="121"/>
        <v/>
      </c>
      <c r="G327" s="3" t="str">
        <f t="shared" si="122"/>
        <v/>
      </c>
      <c r="H327" s="3" t="str">
        <f t="shared" si="110"/>
        <v/>
      </c>
      <c r="I327" s="3" t="str">
        <f t="shared" si="111"/>
        <v/>
      </c>
      <c r="J327" s="2" t="str">
        <f t="shared" si="112"/>
        <v/>
      </c>
      <c r="K327" s="2" t="str">
        <f>IF(W327="","",LOOKUP('Extraction edi'!J327,Paramètrage!$A$6:$A$179,Paramètrage!$B$6:$B$179))</f>
        <v/>
      </c>
      <c r="L327" s="2" t="str">
        <f>IF(W327="","",LOOKUP('Extraction edi'!J327,Paramètrage!$A$6:$A$179,Paramètrage!$C$6:$C$179))</f>
        <v/>
      </c>
      <c r="M327" s="2" t="str">
        <f>IF(W327="","",LOOKUP('Extraction edi'!J327,Paramètrage!$A$6:$A$179,Paramètrage!$D$6:$D$179))</f>
        <v/>
      </c>
      <c r="N327" s="3" t="str">
        <f>IF(W327="","",LOOKUP('Extraction edi'!J327,Paramètrage!$A$6:$A$179,Paramètrage!$E$6:$E$179))</f>
        <v/>
      </c>
      <c r="O327" s="3" t="str">
        <f t="shared" si="113"/>
        <v/>
      </c>
      <c r="P327" s="3" t="str">
        <f t="shared" si="114"/>
        <v/>
      </c>
      <c r="Q327" s="3" t="str">
        <f t="shared" si="107"/>
        <v/>
      </c>
      <c r="R327" s="3" t="str">
        <f t="shared" si="115"/>
        <v/>
      </c>
      <c r="S327" s="3" t="str">
        <f t="shared" si="116"/>
        <v/>
      </c>
      <c r="T327" s="4" t="str">
        <f t="shared" si="117"/>
        <v/>
      </c>
      <c r="U327" s="5" t="str">
        <f t="shared" si="118"/>
        <v/>
      </c>
      <c r="V327" s="7" t="str">
        <f>IF(W327="","",IF(LOOKUP(W327,'Extration 3E date commande'!$A$6:$A$10000)=W327,LOOKUP(W327,'Extration 3E date commande'!$A$6:$A$10000,'Extration 3E date commande'!$C$6:$C$10000),"PAS DE DATE"))</f>
        <v/>
      </c>
    </row>
    <row r="328" spans="1:22" x14ac:dyDescent="0.25">
      <c r="A328" s="3" t="str">
        <f t="shared" si="108"/>
        <v/>
      </c>
      <c r="B328" s="3" t="str">
        <f t="shared" si="109"/>
        <v/>
      </c>
      <c r="C328" s="3" t="str">
        <f t="shared" si="123"/>
        <v/>
      </c>
      <c r="D328" s="3" t="str">
        <f t="shared" si="119"/>
        <v/>
      </c>
      <c r="E328" s="3" t="str">
        <f t="shared" si="120"/>
        <v/>
      </c>
      <c r="F328" s="3" t="str">
        <f t="shared" si="121"/>
        <v/>
      </c>
      <c r="G328" s="3" t="str">
        <f t="shared" si="122"/>
        <v/>
      </c>
      <c r="H328" s="3" t="str">
        <f t="shared" si="110"/>
        <v/>
      </c>
      <c r="I328" s="3" t="str">
        <f t="shared" si="111"/>
        <v/>
      </c>
      <c r="J328" s="2" t="str">
        <f t="shared" si="112"/>
        <v/>
      </c>
      <c r="K328" s="2" t="str">
        <f>IF(W328="","",LOOKUP('Extraction edi'!J328,Paramètrage!$A$6:$A$179,Paramètrage!$B$6:$B$179))</f>
        <v/>
      </c>
      <c r="L328" s="2" t="str">
        <f>IF(W328="","",LOOKUP('Extraction edi'!J328,Paramètrage!$A$6:$A$179,Paramètrage!$C$6:$C$179))</f>
        <v/>
      </c>
      <c r="M328" s="2" t="str">
        <f>IF(W328="","",LOOKUP('Extraction edi'!J328,Paramètrage!$A$6:$A$179,Paramètrage!$D$6:$D$179))</f>
        <v/>
      </c>
      <c r="N328" s="3" t="str">
        <f>IF(W328="","",LOOKUP('Extraction edi'!J328,Paramètrage!$A$6:$A$179,Paramètrage!$E$6:$E$179))</f>
        <v/>
      </c>
      <c r="O328" s="3" t="str">
        <f t="shared" si="113"/>
        <v/>
      </c>
      <c r="P328" s="3" t="str">
        <f t="shared" si="114"/>
        <v/>
      </c>
      <c r="Q328" s="3" t="str">
        <f t="shared" si="107"/>
        <v/>
      </c>
      <c r="R328" s="3" t="str">
        <f t="shared" si="115"/>
        <v/>
      </c>
      <c r="S328" s="3" t="str">
        <f t="shared" si="116"/>
        <v/>
      </c>
      <c r="T328" s="4" t="str">
        <f t="shared" si="117"/>
        <v/>
      </c>
      <c r="U328" s="5" t="str">
        <f t="shared" si="118"/>
        <v/>
      </c>
      <c r="V328" s="7" t="str">
        <f>IF(W328="","",IF(LOOKUP(W328,'Extration 3E date commande'!$A$6:$A$10000)=W328,LOOKUP(W328,'Extration 3E date commande'!$A$6:$A$10000,'Extration 3E date commande'!$C$6:$C$10000),"PAS DE DATE"))</f>
        <v/>
      </c>
    </row>
    <row r="329" spans="1:22" x14ac:dyDescent="0.25">
      <c r="A329" s="3" t="str">
        <f t="shared" si="108"/>
        <v/>
      </c>
      <c r="B329" s="3" t="str">
        <f t="shared" si="109"/>
        <v/>
      </c>
      <c r="C329" s="3" t="str">
        <f t="shared" si="123"/>
        <v/>
      </c>
      <c r="D329" s="3" t="str">
        <f t="shared" si="119"/>
        <v/>
      </c>
      <c r="E329" s="3" t="str">
        <f t="shared" si="120"/>
        <v/>
      </c>
      <c r="F329" s="3" t="str">
        <f t="shared" si="121"/>
        <v/>
      </c>
      <c r="G329" s="3" t="str">
        <f t="shared" si="122"/>
        <v/>
      </c>
      <c r="H329" s="3" t="str">
        <f t="shared" si="110"/>
        <v/>
      </c>
      <c r="I329" s="3" t="str">
        <f t="shared" si="111"/>
        <v/>
      </c>
      <c r="J329" s="2" t="str">
        <f t="shared" si="112"/>
        <v/>
      </c>
      <c r="K329" s="2" t="str">
        <f>IF(W329="","",LOOKUP('Extraction edi'!J329,Paramètrage!$A$6:$A$179,Paramètrage!$B$6:$B$179))</f>
        <v/>
      </c>
      <c r="L329" s="2" t="str">
        <f>IF(W329="","",LOOKUP('Extraction edi'!J329,Paramètrage!$A$6:$A$179,Paramètrage!$C$6:$C$179))</f>
        <v/>
      </c>
      <c r="M329" s="2" t="str">
        <f>IF(W329="","",LOOKUP('Extraction edi'!J329,Paramètrage!$A$6:$A$179,Paramètrage!$D$6:$D$179))</f>
        <v/>
      </c>
      <c r="N329" s="3" t="str">
        <f>IF(W329="","",LOOKUP('Extraction edi'!J329,Paramètrage!$A$6:$A$179,Paramètrage!$E$6:$E$179))</f>
        <v/>
      </c>
      <c r="O329" s="3" t="str">
        <f t="shared" si="113"/>
        <v/>
      </c>
      <c r="P329" s="3" t="str">
        <f t="shared" si="114"/>
        <v/>
      </c>
      <c r="Q329" s="3" t="str">
        <f t="shared" si="107"/>
        <v/>
      </c>
      <c r="R329" s="3" t="str">
        <f t="shared" si="115"/>
        <v/>
      </c>
      <c r="S329" s="3" t="str">
        <f t="shared" si="116"/>
        <v/>
      </c>
      <c r="T329" s="4" t="str">
        <f t="shared" si="117"/>
        <v/>
      </c>
      <c r="U329" s="5" t="str">
        <f t="shared" si="118"/>
        <v/>
      </c>
      <c r="V329" s="7" t="str">
        <f>IF(W329="","",IF(LOOKUP(W329,'Extration 3E date commande'!$A$6:$A$10000)=W329,LOOKUP(W329,'Extration 3E date commande'!$A$6:$A$10000,'Extration 3E date commande'!$C$6:$C$10000),"PAS DE DATE"))</f>
        <v/>
      </c>
    </row>
    <row r="330" spans="1:22" x14ac:dyDescent="0.25">
      <c r="A330" s="3" t="str">
        <f t="shared" si="108"/>
        <v/>
      </c>
      <c r="B330" s="3" t="str">
        <f t="shared" si="109"/>
        <v/>
      </c>
      <c r="C330" s="3" t="str">
        <f t="shared" si="123"/>
        <v/>
      </c>
      <c r="D330" s="3" t="str">
        <f t="shared" si="119"/>
        <v/>
      </c>
      <c r="E330" s="3" t="str">
        <f t="shared" si="120"/>
        <v/>
      </c>
      <c r="F330" s="3" t="str">
        <f t="shared" si="121"/>
        <v/>
      </c>
      <c r="G330" s="3" t="str">
        <f t="shared" si="122"/>
        <v/>
      </c>
      <c r="H330" s="3" t="str">
        <f t="shared" si="110"/>
        <v/>
      </c>
      <c r="I330" s="3" t="str">
        <f t="shared" si="111"/>
        <v/>
      </c>
      <c r="J330" s="2" t="str">
        <f t="shared" si="112"/>
        <v/>
      </c>
      <c r="K330" s="2" t="str">
        <f>IF(W330="","",LOOKUP('Extraction edi'!J330,Paramètrage!$A$6:$A$179,Paramètrage!$B$6:$B$179))</f>
        <v/>
      </c>
      <c r="L330" s="2" t="str">
        <f>IF(W330="","",LOOKUP('Extraction edi'!J330,Paramètrage!$A$6:$A$179,Paramètrage!$C$6:$C$179))</f>
        <v/>
      </c>
      <c r="M330" s="2" t="str">
        <f>IF(W330="","",LOOKUP('Extraction edi'!J330,Paramètrage!$A$6:$A$179,Paramètrage!$D$6:$D$179))</f>
        <v/>
      </c>
      <c r="N330" s="3" t="str">
        <f>IF(W330="","",LOOKUP('Extraction edi'!J330,Paramètrage!$A$6:$A$179,Paramètrage!$E$6:$E$179))</f>
        <v/>
      </c>
      <c r="O330" s="3" t="str">
        <f t="shared" si="113"/>
        <v/>
      </c>
      <c r="P330" s="3" t="str">
        <f t="shared" si="114"/>
        <v/>
      </c>
      <c r="Q330" s="3" t="str">
        <f t="shared" si="107"/>
        <v/>
      </c>
      <c r="R330" s="3" t="str">
        <f t="shared" si="115"/>
        <v/>
      </c>
      <c r="S330" s="3" t="str">
        <f t="shared" si="116"/>
        <v/>
      </c>
      <c r="T330" s="4" t="str">
        <f t="shared" si="117"/>
        <v/>
      </c>
      <c r="U330" s="5" t="str">
        <f t="shared" si="118"/>
        <v/>
      </c>
      <c r="V330" s="7" t="str">
        <f>IF(W330="","",IF(LOOKUP(W330,'Extration 3E date commande'!$A$6:$A$10000)=W330,LOOKUP(W330,'Extration 3E date commande'!$A$6:$A$10000,'Extration 3E date commande'!$C$6:$C$10000),"PAS DE DATE"))</f>
        <v/>
      </c>
    </row>
    <row r="331" spans="1:22" x14ac:dyDescent="0.25">
      <c r="A331" s="3" t="str">
        <f t="shared" si="108"/>
        <v/>
      </c>
      <c r="B331" s="3" t="str">
        <f t="shared" si="109"/>
        <v/>
      </c>
      <c r="C331" s="3" t="str">
        <f t="shared" si="123"/>
        <v/>
      </c>
      <c r="D331" s="3" t="str">
        <f t="shared" si="119"/>
        <v/>
      </c>
      <c r="E331" s="3" t="str">
        <f t="shared" si="120"/>
        <v/>
      </c>
      <c r="F331" s="3" t="str">
        <f t="shared" si="121"/>
        <v/>
      </c>
      <c r="G331" s="3" t="str">
        <f t="shared" si="122"/>
        <v/>
      </c>
      <c r="H331" s="3" t="str">
        <f t="shared" si="110"/>
        <v/>
      </c>
      <c r="I331" s="3" t="str">
        <f t="shared" si="111"/>
        <v/>
      </c>
      <c r="J331" s="2" t="str">
        <f t="shared" si="112"/>
        <v/>
      </c>
      <c r="K331" s="2" t="str">
        <f>IF(W331="","",LOOKUP('Extraction edi'!J331,Paramètrage!$A$6:$A$179,Paramètrage!$B$6:$B$179))</f>
        <v/>
      </c>
      <c r="L331" s="2" t="str">
        <f>IF(W331="","",LOOKUP('Extraction edi'!J331,Paramètrage!$A$6:$A$179,Paramètrage!$C$6:$C$179))</f>
        <v/>
      </c>
      <c r="M331" s="2" t="str">
        <f>IF(W331="","",LOOKUP('Extraction edi'!J331,Paramètrage!$A$6:$A$179,Paramètrage!$D$6:$D$179))</f>
        <v/>
      </c>
      <c r="N331" s="3" t="str">
        <f>IF(W331="","",LOOKUP('Extraction edi'!J331,Paramètrage!$A$6:$A$179,Paramètrage!$E$6:$E$179))</f>
        <v/>
      </c>
      <c r="O331" s="3" t="str">
        <f t="shared" si="113"/>
        <v/>
      </c>
      <c r="P331" s="3" t="str">
        <f t="shared" si="114"/>
        <v/>
      </c>
      <c r="Q331" s="3" t="str">
        <f t="shared" si="107"/>
        <v/>
      </c>
      <c r="R331" s="3" t="str">
        <f t="shared" si="115"/>
        <v/>
      </c>
      <c r="S331" s="3" t="str">
        <f t="shared" si="116"/>
        <v/>
      </c>
      <c r="T331" s="4" t="str">
        <f t="shared" si="117"/>
        <v/>
      </c>
      <c r="U331" s="5" t="str">
        <f t="shared" si="118"/>
        <v/>
      </c>
      <c r="V331" s="7" t="str">
        <f>IF(W331="","",IF(LOOKUP(W331,'Extration 3E date commande'!$A$6:$A$10000)=W331,LOOKUP(W331,'Extration 3E date commande'!$A$6:$A$10000,'Extration 3E date commande'!$C$6:$C$10000),"PAS DE DATE"))</f>
        <v/>
      </c>
    </row>
    <row r="332" spans="1:22" x14ac:dyDescent="0.25">
      <c r="A332" s="3" t="str">
        <f t="shared" si="108"/>
        <v/>
      </c>
      <c r="B332" s="3" t="str">
        <f t="shared" si="109"/>
        <v/>
      </c>
      <c r="C332" s="3" t="str">
        <f t="shared" si="123"/>
        <v/>
      </c>
      <c r="D332" s="3" t="str">
        <f t="shared" si="119"/>
        <v/>
      </c>
      <c r="E332" s="3" t="str">
        <f t="shared" si="120"/>
        <v/>
      </c>
      <c r="F332" s="3" t="str">
        <f t="shared" si="121"/>
        <v/>
      </c>
      <c r="G332" s="3" t="str">
        <f t="shared" si="122"/>
        <v/>
      </c>
      <c r="H332" s="3" t="str">
        <f t="shared" si="110"/>
        <v/>
      </c>
      <c r="I332" s="3" t="str">
        <f t="shared" si="111"/>
        <v/>
      </c>
      <c r="J332" s="2" t="str">
        <f t="shared" si="112"/>
        <v/>
      </c>
      <c r="K332" s="2" t="str">
        <f>IF(W332="","",LOOKUP('Extraction edi'!J332,Paramètrage!$A$6:$A$179,Paramètrage!$B$6:$B$179))</f>
        <v/>
      </c>
      <c r="L332" s="2" t="str">
        <f>IF(W332="","",LOOKUP('Extraction edi'!J332,Paramètrage!$A$6:$A$179,Paramètrage!$C$6:$C$179))</f>
        <v/>
      </c>
      <c r="M332" s="2" t="str">
        <f>IF(W332="","",LOOKUP('Extraction edi'!J332,Paramètrage!$A$6:$A$179,Paramètrage!$D$6:$D$179))</f>
        <v/>
      </c>
      <c r="N332" s="3" t="str">
        <f>IF(W332="","",LOOKUP('Extraction edi'!J332,Paramètrage!$A$6:$A$179,Paramètrage!$E$6:$E$179))</f>
        <v/>
      </c>
      <c r="O332" s="3" t="str">
        <f t="shared" si="113"/>
        <v/>
      </c>
      <c r="P332" s="3" t="str">
        <f t="shared" si="114"/>
        <v/>
      </c>
      <c r="Q332" s="3" t="str">
        <f t="shared" si="107"/>
        <v/>
      </c>
      <c r="R332" s="3" t="str">
        <f t="shared" si="115"/>
        <v/>
      </c>
      <c r="S332" s="3" t="str">
        <f t="shared" si="116"/>
        <v/>
      </c>
      <c r="T332" s="4" t="str">
        <f t="shared" si="117"/>
        <v/>
      </c>
      <c r="U332" s="5" t="str">
        <f t="shared" si="118"/>
        <v/>
      </c>
      <c r="V332" s="7" t="str">
        <f>IF(W332="","",IF(LOOKUP(W332,'Extration 3E date commande'!$A$6:$A$10000)=W332,LOOKUP(W332,'Extration 3E date commande'!$A$6:$A$10000,'Extration 3E date commande'!$C$6:$C$10000),"PAS DE DATE"))</f>
        <v/>
      </c>
    </row>
    <row r="333" spans="1:22" x14ac:dyDescent="0.25">
      <c r="A333" s="3" t="str">
        <f t="shared" si="108"/>
        <v/>
      </c>
      <c r="B333" s="3" t="str">
        <f t="shared" si="109"/>
        <v/>
      </c>
      <c r="C333" s="3" t="str">
        <f t="shared" si="123"/>
        <v/>
      </c>
      <c r="D333" s="3" t="str">
        <f t="shared" si="119"/>
        <v/>
      </c>
      <c r="E333" s="3" t="str">
        <f t="shared" si="120"/>
        <v/>
      </c>
      <c r="F333" s="3" t="str">
        <f t="shared" si="121"/>
        <v/>
      </c>
      <c r="G333" s="3" t="str">
        <f t="shared" si="122"/>
        <v/>
      </c>
      <c r="H333" s="3" t="str">
        <f t="shared" si="110"/>
        <v/>
      </c>
      <c r="I333" s="3" t="str">
        <f t="shared" si="111"/>
        <v/>
      </c>
      <c r="J333" s="2" t="str">
        <f t="shared" si="112"/>
        <v/>
      </c>
      <c r="K333" s="2" t="str">
        <f>IF(W333="","",LOOKUP('Extraction edi'!J333,Paramètrage!$A$6:$A$179,Paramètrage!$B$6:$B$179))</f>
        <v/>
      </c>
      <c r="L333" s="2" t="str">
        <f>IF(W333="","",LOOKUP('Extraction edi'!J333,Paramètrage!$A$6:$A$179,Paramètrage!$C$6:$C$179))</f>
        <v/>
      </c>
      <c r="M333" s="2" t="str">
        <f>IF(W333="","",LOOKUP('Extraction edi'!J333,Paramètrage!$A$6:$A$179,Paramètrage!$D$6:$D$179))</f>
        <v/>
      </c>
      <c r="N333" s="3" t="str">
        <f>IF(W333="","",LOOKUP('Extraction edi'!J333,Paramètrage!$A$6:$A$179,Paramètrage!$E$6:$E$179))</f>
        <v/>
      </c>
      <c r="O333" s="3" t="str">
        <f t="shared" si="113"/>
        <v/>
      </c>
      <c r="P333" s="3" t="str">
        <f t="shared" si="114"/>
        <v/>
      </c>
      <c r="Q333" s="3" t="str">
        <f t="shared" si="107"/>
        <v/>
      </c>
      <c r="R333" s="3" t="str">
        <f t="shared" si="115"/>
        <v/>
      </c>
      <c r="S333" s="3" t="str">
        <f t="shared" si="116"/>
        <v/>
      </c>
      <c r="T333" s="4" t="str">
        <f t="shared" si="117"/>
        <v/>
      </c>
      <c r="U333" s="5" t="str">
        <f t="shared" si="118"/>
        <v/>
      </c>
      <c r="V333" s="7" t="str">
        <f>IF(W333="","",IF(LOOKUP(W333,'Extration 3E date commande'!$A$6:$A$10000)=W333,LOOKUP(W333,'Extration 3E date commande'!$A$6:$A$10000,'Extration 3E date commande'!$C$6:$C$10000),"PAS DE DATE"))</f>
        <v/>
      </c>
    </row>
    <row r="334" spans="1:22" x14ac:dyDescent="0.25">
      <c r="A334" s="3" t="str">
        <f t="shared" si="108"/>
        <v/>
      </c>
      <c r="B334" s="3" t="str">
        <f t="shared" si="109"/>
        <v/>
      </c>
      <c r="C334" s="3" t="str">
        <f t="shared" si="123"/>
        <v/>
      </c>
      <c r="D334" s="3" t="str">
        <f t="shared" si="119"/>
        <v/>
      </c>
      <c r="E334" s="3" t="str">
        <f t="shared" si="120"/>
        <v/>
      </c>
      <c r="F334" s="3" t="str">
        <f t="shared" si="121"/>
        <v/>
      </c>
      <c r="G334" s="3" t="str">
        <f t="shared" si="122"/>
        <v/>
      </c>
      <c r="H334" s="3" t="str">
        <f t="shared" si="110"/>
        <v/>
      </c>
      <c r="I334" s="3" t="str">
        <f t="shared" si="111"/>
        <v/>
      </c>
      <c r="J334" s="2" t="str">
        <f t="shared" si="112"/>
        <v/>
      </c>
      <c r="K334" s="2" t="str">
        <f>IF(W334="","",LOOKUP('Extraction edi'!J334,Paramètrage!$A$6:$A$179,Paramètrage!$B$6:$B$179))</f>
        <v/>
      </c>
      <c r="L334" s="2" t="str">
        <f>IF(W334="","",LOOKUP('Extraction edi'!J334,Paramètrage!$A$6:$A$179,Paramètrage!$C$6:$C$179))</f>
        <v/>
      </c>
      <c r="M334" s="2" t="str">
        <f>IF(W334="","",LOOKUP('Extraction edi'!J334,Paramètrage!$A$6:$A$179,Paramètrage!$D$6:$D$179))</f>
        <v/>
      </c>
      <c r="N334" s="3" t="str">
        <f>IF(W334="","",LOOKUP('Extraction edi'!J334,Paramètrage!$A$6:$A$179,Paramètrage!$E$6:$E$179))</f>
        <v/>
      </c>
      <c r="O334" s="3" t="str">
        <f t="shared" si="113"/>
        <v/>
      </c>
      <c r="P334" s="3" t="str">
        <f t="shared" si="114"/>
        <v/>
      </c>
      <c r="Q334" s="3" t="str">
        <f t="shared" si="107"/>
        <v/>
      </c>
      <c r="R334" s="3" t="str">
        <f t="shared" si="115"/>
        <v/>
      </c>
      <c r="S334" s="3" t="str">
        <f t="shared" si="116"/>
        <v/>
      </c>
      <c r="T334" s="4" t="str">
        <f t="shared" si="117"/>
        <v/>
      </c>
      <c r="U334" s="5" t="str">
        <f t="shared" si="118"/>
        <v/>
      </c>
      <c r="V334" s="7" t="str">
        <f>IF(W334="","",IF(LOOKUP(W334,'Extration 3E date commande'!$A$6:$A$10000)=W334,LOOKUP(W334,'Extration 3E date commande'!$A$6:$A$10000,'Extration 3E date commande'!$C$6:$C$10000),"PAS DE DATE"))</f>
        <v/>
      </c>
    </row>
    <row r="335" spans="1:22" x14ac:dyDescent="0.25">
      <c r="A335" s="3" t="str">
        <f t="shared" si="108"/>
        <v/>
      </c>
      <c r="B335" s="3" t="str">
        <f t="shared" si="109"/>
        <v/>
      </c>
      <c r="C335" s="3" t="str">
        <f t="shared" si="123"/>
        <v/>
      </c>
      <c r="D335" s="3" t="str">
        <f t="shared" si="119"/>
        <v/>
      </c>
      <c r="E335" s="3" t="str">
        <f t="shared" si="120"/>
        <v/>
      </c>
      <c r="F335" s="3" t="str">
        <f t="shared" si="121"/>
        <v/>
      </c>
      <c r="G335" s="3" t="str">
        <f t="shared" si="122"/>
        <v/>
      </c>
      <c r="H335" s="3" t="str">
        <f t="shared" si="110"/>
        <v/>
      </c>
      <c r="I335" s="3" t="str">
        <f t="shared" si="111"/>
        <v/>
      </c>
      <c r="J335" s="2" t="str">
        <f t="shared" si="112"/>
        <v/>
      </c>
      <c r="K335" s="2" t="str">
        <f>IF(W335="","",LOOKUP('Extraction edi'!J335,Paramètrage!$A$6:$A$179,Paramètrage!$B$6:$B$179))</f>
        <v/>
      </c>
      <c r="L335" s="2" t="str">
        <f>IF(W335="","",LOOKUP('Extraction edi'!J335,Paramètrage!$A$6:$A$179,Paramètrage!$C$6:$C$179))</f>
        <v/>
      </c>
      <c r="M335" s="2" t="str">
        <f>IF(W335="","",LOOKUP('Extraction edi'!J335,Paramètrage!$A$6:$A$179,Paramètrage!$D$6:$D$179))</f>
        <v/>
      </c>
      <c r="N335" s="3" t="str">
        <f>IF(W335="","",LOOKUP('Extraction edi'!J335,Paramètrage!$A$6:$A$179,Paramètrage!$E$6:$E$179))</f>
        <v/>
      </c>
      <c r="O335" s="3" t="str">
        <f t="shared" si="113"/>
        <v/>
      </c>
      <c r="P335" s="3" t="str">
        <f t="shared" si="114"/>
        <v/>
      </c>
      <c r="Q335" s="3" t="str">
        <f t="shared" ref="Q335:Q398" si="124">IF(ISERROR(SEARCH("laq",J335))=FALSE,"laquage RAL :",IF(ISERROR(SEARCH("lq",J335))=FALSE,"laquage RAL :",IF(ISERROR(SEARCH("ANO",J334))=FALSE,"laquage RAL :",IF(ISERROR(SEARCH("IVOI",J335)),"","laquage RAL :"))))</f>
        <v/>
      </c>
      <c r="R335" s="3" t="str">
        <f t="shared" si="115"/>
        <v/>
      </c>
      <c r="S335" s="3" t="str">
        <f t="shared" si="116"/>
        <v/>
      </c>
      <c r="T335" s="4" t="str">
        <f t="shared" si="117"/>
        <v/>
      </c>
      <c r="U335" s="5" t="str">
        <f t="shared" si="118"/>
        <v/>
      </c>
      <c r="V335" s="7" t="str">
        <f>IF(W335="","",IF(LOOKUP(W335,'Extration 3E date commande'!$A$6:$A$10000)=W335,LOOKUP(W335,'Extration 3E date commande'!$A$6:$A$10000,'Extration 3E date commande'!$C$6:$C$10000),"PAS DE DATE"))</f>
        <v/>
      </c>
    </row>
    <row r="336" spans="1:22" x14ac:dyDescent="0.25">
      <c r="A336" s="3" t="str">
        <f t="shared" si="108"/>
        <v/>
      </c>
      <c r="B336" s="3" t="str">
        <f t="shared" si="109"/>
        <v/>
      </c>
      <c r="C336" s="3" t="str">
        <f t="shared" si="123"/>
        <v/>
      </c>
      <c r="D336" s="3" t="str">
        <f t="shared" si="119"/>
        <v/>
      </c>
      <c r="E336" s="3" t="str">
        <f t="shared" si="120"/>
        <v/>
      </c>
      <c r="F336" s="3" t="str">
        <f t="shared" si="121"/>
        <v/>
      </c>
      <c r="G336" s="3" t="str">
        <f t="shared" si="122"/>
        <v/>
      </c>
      <c r="H336" s="3" t="str">
        <f t="shared" si="110"/>
        <v/>
      </c>
      <c r="I336" s="3" t="str">
        <f t="shared" si="111"/>
        <v/>
      </c>
      <c r="J336" s="2" t="str">
        <f t="shared" si="112"/>
        <v/>
      </c>
      <c r="K336" s="2" t="str">
        <f>IF(W336="","",LOOKUP('Extraction edi'!J336,Paramètrage!$A$6:$A$179,Paramètrage!$B$6:$B$179))</f>
        <v/>
      </c>
      <c r="L336" s="2" t="str">
        <f>IF(W336="","",LOOKUP('Extraction edi'!J336,Paramètrage!$A$6:$A$179,Paramètrage!$C$6:$C$179))</f>
        <v/>
      </c>
      <c r="M336" s="2" t="str">
        <f>IF(W336="","",LOOKUP('Extraction edi'!J336,Paramètrage!$A$6:$A$179,Paramètrage!$D$6:$D$179))</f>
        <v/>
      </c>
      <c r="N336" s="3" t="str">
        <f>IF(W336="","",LOOKUP('Extraction edi'!J336,Paramètrage!$A$6:$A$179,Paramètrage!$E$6:$E$179))</f>
        <v/>
      </c>
      <c r="O336" s="3" t="str">
        <f t="shared" si="113"/>
        <v/>
      </c>
      <c r="P336" s="3" t="str">
        <f t="shared" si="114"/>
        <v/>
      </c>
      <c r="Q336" s="3" t="str">
        <f t="shared" si="124"/>
        <v/>
      </c>
      <c r="R336" s="3" t="str">
        <f t="shared" si="115"/>
        <v/>
      </c>
      <c r="S336" s="3" t="str">
        <f t="shared" si="116"/>
        <v/>
      </c>
      <c r="T336" s="4" t="str">
        <f t="shared" si="117"/>
        <v/>
      </c>
      <c r="U336" s="5" t="str">
        <f t="shared" si="118"/>
        <v/>
      </c>
      <c r="V336" s="7" t="str">
        <f>IF(W336="","",IF(LOOKUP(W336,'Extration 3E date commande'!$A$6:$A$10000)=W336,LOOKUP(W336,'Extration 3E date commande'!$A$6:$A$10000,'Extration 3E date commande'!$C$6:$C$10000),"PAS DE DATE"))</f>
        <v/>
      </c>
    </row>
    <row r="337" spans="1:22" x14ac:dyDescent="0.25">
      <c r="A337" s="3" t="str">
        <f t="shared" si="108"/>
        <v/>
      </c>
      <c r="B337" s="3" t="str">
        <f t="shared" si="109"/>
        <v/>
      </c>
      <c r="C337" s="3" t="str">
        <f t="shared" si="123"/>
        <v/>
      </c>
      <c r="D337" s="3" t="str">
        <f t="shared" si="119"/>
        <v/>
      </c>
      <c r="E337" s="3" t="str">
        <f t="shared" si="120"/>
        <v/>
      </c>
      <c r="F337" s="3" t="str">
        <f t="shared" si="121"/>
        <v/>
      </c>
      <c r="G337" s="3" t="str">
        <f t="shared" si="122"/>
        <v/>
      </c>
      <c r="H337" s="3" t="str">
        <f t="shared" si="110"/>
        <v/>
      </c>
      <c r="I337" s="3" t="str">
        <f t="shared" si="111"/>
        <v/>
      </c>
      <c r="J337" s="2" t="str">
        <f t="shared" si="112"/>
        <v/>
      </c>
      <c r="K337" s="2" t="str">
        <f>IF(W337="","",LOOKUP('Extraction edi'!J337,Paramètrage!$A$6:$A$179,Paramètrage!$B$6:$B$179))</f>
        <v/>
      </c>
      <c r="L337" s="2" t="str">
        <f>IF(W337="","",LOOKUP('Extraction edi'!J337,Paramètrage!$A$6:$A$179,Paramètrage!$C$6:$C$179))</f>
        <v/>
      </c>
      <c r="M337" s="2" t="str">
        <f>IF(W337="","",LOOKUP('Extraction edi'!J337,Paramètrage!$A$6:$A$179,Paramètrage!$D$6:$D$179))</f>
        <v/>
      </c>
      <c r="N337" s="3" t="str">
        <f>IF(W337="","",LOOKUP('Extraction edi'!J337,Paramètrage!$A$6:$A$179,Paramètrage!$E$6:$E$179))</f>
        <v/>
      </c>
      <c r="O337" s="3" t="str">
        <f t="shared" si="113"/>
        <v/>
      </c>
      <c r="P337" s="3" t="str">
        <f t="shared" si="114"/>
        <v/>
      </c>
      <c r="Q337" s="3" t="str">
        <f t="shared" si="124"/>
        <v/>
      </c>
      <c r="R337" s="3" t="str">
        <f t="shared" si="115"/>
        <v/>
      </c>
      <c r="S337" s="3" t="str">
        <f t="shared" si="116"/>
        <v/>
      </c>
      <c r="T337" s="4" t="str">
        <f t="shared" si="117"/>
        <v/>
      </c>
      <c r="U337" s="5" t="str">
        <f t="shared" si="118"/>
        <v/>
      </c>
      <c r="V337" s="7" t="str">
        <f>IF(W337="","",IF(LOOKUP(W337,'Extration 3E date commande'!$A$6:$A$10000)=W337,LOOKUP(W337,'Extration 3E date commande'!$A$6:$A$10000,'Extration 3E date commande'!$C$6:$C$10000),"PAS DE DATE"))</f>
        <v/>
      </c>
    </row>
    <row r="338" spans="1:22" x14ac:dyDescent="0.25">
      <c r="A338" s="3" t="str">
        <f t="shared" si="108"/>
        <v/>
      </c>
      <c r="B338" s="3" t="str">
        <f t="shared" si="109"/>
        <v/>
      </c>
      <c r="C338" s="3" t="str">
        <f t="shared" si="123"/>
        <v/>
      </c>
      <c r="D338" s="3" t="str">
        <f t="shared" si="119"/>
        <v/>
      </c>
      <c r="E338" s="3" t="str">
        <f t="shared" si="120"/>
        <v/>
      </c>
      <c r="F338" s="3" t="str">
        <f t="shared" si="121"/>
        <v/>
      </c>
      <c r="G338" s="3" t="str">
        <f t="shared" si="122"/>
        <v/>
      </c>
      <c r="H338" s="3" t="str">
        <f t="shared" si="110"/>
        <v/>
      </c>
      <c r="I338" s="3" t="str">
        <f t="shared" si="111"/>
        <v/>
      </c>
      <c r="J338" s="2" t="str">
        <f t="shared" si="112"/>
        <v/>
      </c>
      <c r="K338" s="2" t="str">
        <f>IF(W338="","",LOOKUP('Extraction edi'!J338,Paramètrage!$A$6:$A$179,Paramètrage!$B$6:$B$179))</f>
        <v/>
      </c>
      <c r="L338" s="2" t="str">
        <f>IF(W338="","",LOOKUP('Extraction edi'!J338,Paramètrage!$A$6:$A$179,Paramètrage!$C$6:$C$179))</f>
        <v/>
      </c>
      <c r="M338" s="2" t="str">
        <f>IF(W338="","",LOOKUP('Extraction edi'!J338,Paramètrage!$A$6:$A$179,Paramètrage!$D$6:$D$179))</f>
        <v/>
      </c>
      <c r="N338" s="3" t="str">
        <f>IF(W338="","",LOOKUP('Extraction edi'!J338,Paramètrage!$A$6:$A$179,Paramètrage!$E$6:$E$179))</f>
        <v/>
      </c>
      <c r="O338" s="3" t="str">
        <f t="shared" si="113"/>
        <v/>
      </c>
      <c r="P338" s="3" t="str">
        <f t="shared" si="114"/>
        <v/>
      </c>
      <c r="Q338" s="3" t="str">
        <f t="shared" si="124"/>
        <v/>
      </c>
      <c r="R338" s="3" t="str">
        <f t="shared" si="115"/>
        <v/>
      </c>
      <c r="S338" s="3" t="str">
        <f t="shared" si="116"/>
        <v/>
      </c>
      <c r="T338" s="4" t="str">
        <f t="shared" si="117"/>
        <v/>
      </c>
      <c r="U338" s="5" t="str">
        <f t="shared" si="118"/>
        <v/>
      </c>
      <c r="V338" s="7" t="str">
        <f>IF(W338="","",IF(LOOKUP(W338,'Extration 3E date commande'!$A$6:$A$10000)=W338,LOOKUP(W338,'Extration 3E date commande'!$A$6:$A$10000,'Extration 3E date commande'!$C$6:$C$10000),"PAS DE DATE"))</f>
        <v/>
      </c>
    </row>
    <row r="339" spans="1:22" x14ac:dyDescent="0.25">
      <c r="A339" s="3" t="str">
        <f t="shared" si="108"/>
        <v/>
      </c>
      <c r="B339" s="3" t="str">
        <f t="shared" si="109"/>
        <v/>
      </c>
      <c r="C339" s="3" t="str">
        <f t="shared" si="123"/>
        <v/>
      </c>
      <c r="D339" s="3" t="str">
        <f t="shared" si="119"/>
        <v/>
      </c>
      <c r="E339" s="3" t="str">
        <f t="shared" si="120"/>
        <v/>
      </c>
      <c r="F339" s="3" t="str">
        <f t="shared" si="121"/>
        <v/>
      </c>
      <c r="G339" s="3" t="str">
        <f t="shared" si="122"/>
        <v/>
      </c>
      <c r="H339" s="3" t="str">
        <f t="shared" si="110"/>
        <v/>
      </c>
      <c r="I339" s="3" t="str">
        <f t="shared" si="111"/>
        <v/>
      </c>
      <c r="J339" s="2" t="str">
        <f t="shared" si="112"/>
        <v/>
      </c>
      <c r="K339" s="2" t="str">
        <f>IF(W339="","",LOOKUP('Extraction edi'!J339,Paramètrage!$A$6:$A$179,Paramètrage!$B$6:$B$179))</f>
        <v/>
      </c>
      <c r="L339" s="2" t="str">
        <f>IF(W339="","",LOOKUP('Extraction edi'!J339,Paramètrage!$A$6:$A$179,Paramètrage!$C$6:$C$179))</f>
        <v/>
      </c>
      <c r="M339" s="2" t="str">
        <f>IF(W339="","",LOOKUP('Extraction edi'!J339,Paramètrage!$A$6:$A$179,Paramètrage!$D$6:$D$179))</f>
        <v/>
      </c>
      <c r="N339" s="3" t="str">
        <f>IF(W339="","",LOOKUP('Extraction edi'!J339,Paramètrage!$A$6:$A$179,Paramètrage!$E$6:$E$179))</f>
        <v/>
      </c>
      <c r="O339" s="3" t="str">
        <f t="shared" si="113"/>
        <v/>
      </c>
      <c r="P339" s="3" t="str">
        <f t="shared" si="114"/>
        <v/>
      </c>
      <c r="Q339" s="3" t="str">
        <f t="shared" si="124"/>
        <v/>
      </c>
      <c r="R339" s="3" t="str">
        <f t="shared" si="115"/>
        <v/>
      </c>
      <c r="S339" s="3" t="str">
        <f t="shared" si="116"/>
        <v/>
      </c>
      <c r="T339" s="4" t="str">
        <f t="shared" si="117"/>
        <v/>
      </c>
      <c r="U339" s="5" t="str">
        <f t="shared" si="118"/>
        <v/>
      </c>
      <c r="V339" s="7" t="str">
        <f>IF(W339="","",IF(LOOKUP(W339,'Extration 3E date commande'!$A$6:$A$10000)=W339,LOOKUP(W339,'Extration 3E date commande'!$A$6:$A$10000,'Extration 3E date commande'!$C$6:$C$10000),"PAS DE DATE"))</f>
        <v/>
      </c>
    </row>
    <row r="340" spans="1:22" x14ac:dyDescent="0.25">
      <c r="A340" s="3" t="str">
        <f t="shared" si="108"/>
        <v/>
      </c>
      <c r="B340" s="3" t="str">
        <f t="shared" si="109"/>
        <v/>
      </c>
      <c r="C340" s="3" t="str">
        <f t="shared" si="123"/>
        <v/>
      </c>
      <c r="D340" s="3" t="str">
        <f t="shared" si="119"/>
        <v/>
      </c>
      <c r="E340" s="3" t="str">
        <f t="shared" si="120"/>
        <v/>
      </c>
      <c r="F340" s="3" t="str">
        <f t="shared" si="121"/>
        <v/>
      </c>
      <c r="G340" s="3" t="str">
        <f t="shared" si="122"/>
        <v/>
      </c>
      <c r="H340" s="3" t="str">
        <f t="shared" si="110"/>
        <v/>
      </c>
      <c r="I340" s="3" t="str">
        <f t="shared" si="111"/>
        <v/>
      </c>
      <c r="J340" s="2" t="str">
        <f t="shared" si="112"/>
        <v/>
      </c>
      <c r="K340" s="2" t="str">
        <f>IF(W340="","",LOOKUP('Extraction edi'!J340,Paramètrage!$A$6:$A$179,Paramètrage!$B$6:$B$179))</f>
        <v/>
      </c>
      <c r="L340" s="2" t="str">
        <f>IF(W340="","",LOOKUP('Extraction edi'!J340,Paramètrage!$A$6:$A$179,Paramètrage!$C$6:$C$179))</f>
        <v/>
      </c>
      <c r="M340" s="2" t="str">
        <f>IF(W340="","",LOOKUP('Extraction edi'!J340,Paramètrage!$A$6:$A$179,Paramètrage!$D$6:$D$179))</f>
        <v/>
      </c>
      <c r="N340" s="3" t="str">
        <f>IF(W340="","",LOOKUP('Extraction edi'!J340,Paramètrage!$A$6:$A$179,Paramètrage!$E$6:$E$179))</f>
        <v/>
      </c>
      <c r="O340" s="3" t="str">
        <f t="shared" si="113"/>
        <v/>
      </c>
      <c r="P340" s="3" t="str">
        <f t="shared" si="114"/>
        <v/>
      </c>
      <c r="Q340" s="3" t="str">
        <f t="shared" si="124"/>
        <v/>
      </c>
      <c r="R340" s="3" t="str">
        <f t="shared" si="115"/>
        <v/>
      </c>
      <c r="S340" s="3" t="str">
        <f t="shared" si="116"/>
        <v/>
      </c>
      <c r="T340" s="4" t="str">
        <f t="shared" si="117"/>
        <v/>
      </c>
      <c r="U340" s="5" t="str">
        <f t="shared" si="118"/>
        <v/>
      </c>
      <c r="V340" s="7" t="str">
        <f>IF(W340="","",IF(LOOKUP(W340,'Extration 3E date commande'!$A$6:$A$10000)=W340,LOOKUP(W340,'Extration 3E date commande'!$A$6:$A$10000,'Extration 3E date commande'!$C$6:$C$10000),"PAS DE DATE"))</f>
        <v/>
      </c>
    </row>
    <row r="341" spans="1:22" x14ac:dyDescent="0.25">
      <c r="A341" s="3" t="str">
        <f t="shared" si="108"/>
        <v/>
      </c>
      <c r="B341" s="3" t="str">
        <f t="shared" si="109"/>
        <v/>
      </c>
      <c r="C341" s="3" t="str">
        <f t="shared" si="123"/>
        <v/>
      </c>
      <c r="D341" s="3" t="str">
        <f t="shared" si="119"/>
        <v/>
      </c>
      <c r="E341" s="3" t="str">
        <f t="shared" si="120"/>
        <v/>
      </c>
      <c r="F341" s="3" t="str">
        <f t="shared" si="121"/>
        <v/>
      </c>
      <c r="G341" s="3" t="str">
        <f t="shared" si="122"/>
        <v/>
      </c>
      <c r="H341" s="3" t="str">
        <f t="shared" si="110"/>
        <v/>
      </c>
      <c r="I341" s="3" t="str">
        <f t="shared" si="111"/>
        <v/>
      </c>
      <c r="J341" s="2" t="str">
        <f t="shared" si="112"/>
        <v/>
      </c>
      <c r="K341" s="2" t="str">
        <f>IF(W341="","",LOOKUP('Extraction edi'!J341,Paramètrage!$A$6:$A$179,Paramètrage!$B$6:$B$179))</f>
        <v/>
      </c>
      <c r="L341" s="2" t="str">
        <f>IF(W341="","",LOOKUP('Extraction edi'!J341,Paramètrage!$A$6:$A$179,Paramètrage!$C$6:$C$179))</f>
        <v/>
      </c>
      <c r="M341" s="2" t="str">
        <f>IF(W341="","",LOOKUP('Extraction edi'!J341,Paramètrage!$A$6:$A$179,Paramètrage!$D$6:$D$179))</f>
        <v/>
      </c>
      <c r="N341" s="3" t="str">
        <f>IF(W341="","",LOOKUP('Extraction edi'!J341,Paramètrage!$A$6:$A$179,Paramètrage!$E$6:$E$179))</f>
        <v/>
      </c>
      <c r="O341" s="3" t="str">
        <f t="shared" si="113"/>
        <v/>
      </c>
      <c r="P341" s="3" t="str">
        <f t="shared" si="114"/>
        <v/>
      </c>
      <c r="Q341" s="3" t="str">
        <f t="shared" si="124"/>
        <v/>
      </c>
      <c r="R341" s="3" t="str">
        <f t="shared" si="115"/>
        <v/>
      </c>
      <c r="S341" s="3" t="str">
        <f t="shared" si="116"/>
        <v/>
      </c>
      <c r="T341" s="4" t="str">
        <f t="shared" si="117"/>
        <v/>
      </c>
      <c r="U341" s="5" t="str">
        <f t="shared" si="118"/>
        <v/>
      </c>
      <c r="V341" s="7" t="str">
        <f>IF(W341="","",IF(LOOKUP(W341,'Extration 3E date commande'!$A$6:$A$10000)=W341,LOOKUP(W341,'Extration 3E date commande'!$A$6:$A$10000,'Extration 3E date commande'!$C$6:$C$10000),"PAS DE DATE"))</f>
        <v/>
      </c>
    </row>
    <row r="342" spans="1:22" x14ac:dyDescent="0.25">
      <c r="A342" s="3" t="str">
        <f t="shared" ref="A342:A405" si="125">IF(W342="","",LEFT(W342,7))</f>
        <v/>
      </c>
      <c r="B342" s="3" t="str">
        <f t="shared" ref="B342:B405" si="126">IF(W342="","",RIGHT(W342,3))</f>
        <v/>
      </c>
      <c r="C342" s="3" t="str">
        <f t="shared" si="123"/>
        <v/>
      </c>
      <c r="D342" s="3" t="str">
        <f t="shared" si="119"/>
        <v/>
      </c>
      <c r="E342" s="3" t="str">
        <f t="shared" si="120"/>
        <v/>
      </c>
      <c r="F342" s="3" t="str">
        <f t="shared" si="121"/>
        <v/>
      </c>
      <c r="G342" s="3" t="str">
        <f t="shared" si="122"/>
        <v/>
      </c>
      <c r="H342" s="3" t="str">
        <f t="shared" ref="H342:H405" si="127">IF(W342="","",X342)</f>
        <v/>
      </c>
      <c r="I342" s="3" t="str">
        <f t="shared" ref="I342:I405" si="128">IF(W342="","",Z342)</f>
        <v/>
      </c>
      <c r="J342" s="2" t="str">
        <f t="shared" ref="J342:J405" si="129">IF(W342="","",IF(AND(T342=FALSE,T341=FALSE,T340=FALSE,T339=FALSE,T338=FALSE),AA337,IF(AND(T342=FALSE,T341=FALSE,T340=FALSE,T339=FALSE),AA338,IF(AND(T342=FALSE,T341=FALSE,T340=FALSE),AA339,IF(AND(T342=FALSE,T341=FALSE),AA340,IF(T342=FALSE,AA341,AA342))))))</f>
        <v/>
      </c>
      <c r="K342" s="2" t="str">
        <f>IF(W342="","",LOOKUP('Extraction edi'!J342,Paramètrage!$A$6:$A$179,Paramètrage!$B$6:$B$179))</f>
        <v/>
      </c>
      <c r="L342" s="2" t="str">
        <f>IF(W342="","",LOOKUP('Extraction edi'!J342,Paramètrage!$A$6:$A$179,Paramètrage!$C$6:$C$179))</f>
        <v/>
      </c>
      <c r="M342" s="2" t="str">
        <f>IF(W342="","",LOOKUP('Extraction edi'!J342,Paramètrage!$A$6:$A$179,Paramètrage!$D$6:$D$179))</f>
        <v/>
      </c>
      <c r="N342" s="3" t="str">
        <f>IF(W342="","",LOOKUP('Extraction edi'!J342,Paramètrage!$A$6:$A$179,Paramètrage!$E$6:$E$179))</f>
        <v/>
      </c>
      <c r="O342" s="3" t="str">
        <f t="shared" ref="O342:O405" si="130">IF(W342="","",IF(LEFT(AA342,4)="soub",AB342,IF(LEFT(AA342,3)="cim",AB342,AA342)))</f>
        <v/>
      </c>
      <c r="P342" s="3" t="str">
        <f t="shared" ref="P342:P405" si="131">IF(LEFT(U342,1)="N",SUBSTITUTE(AB342,"*",""),IF(LEFT(U342,1)="S",SUBSTITUTE(AB342,"*",""),IF(LEFT(U342,1)="G",SUBSTITUTE(AB342,"*",""),IF(LEN(U342)=11,SUBSTITUTE(AB342,"*",""),U342))))</f>
        <v/>
      </c>
      <c r="Q342" s="3" t="str">
        <f t="shared" si="124"/>
        <v/>
      </c>
      <c r="R342" s="3" t="str">
        <f t="shared" ref="R342:R405" si="132">IF(W342="","",IF(RIGHT(L342,7)="RAL9001",L342,IF(LEFT(AE342,1)="N",AE342,IF(LEFT(AE342,1)="S",AE342,IF(LEFT(AE342,1)="G",AE342,"")))))</f>
        <v/>
      </c>
      <c r="S342" s="3" t="str">
        <f t="shared" ref="S342:S405" si="133">IF(W342="","",IF(RIGHT(M342,7)="RAL9001",M342,IF(LEFT(AC342,1)="N",AC342,IF(LEFT(AC342,1)="S",AC342,IF(LEFT(AC342,1)="G",AC342,IF(LEFT(AD342,1)="N",AD342,IF(LEFT(AD342,1)="S",AD342,IF(LEFT(AD342,1)="G",AD342,""))))))))</f>
        <v/>
      </c>
      <c r="T342" s="4" t="str">
        <f t="shared" ref="T342:T405" si="134">IF(W342="","",IF(LEFT(AA342,4)&lt;&gt;"soub",IF(LEFT(AA342,3)&lt;&gt;"cim"=FALSE,AA342),AA342))</f>
        <v/>
      </c>
      <c r="U342" s="5" t="str">
        <f t="shared" ref="U342:U405" si="135">SUBSTITUTE(AC342,"*","")</f>
        <v/>
      </c>
      <c r="V342" s="7" t="str">
        <f>IF(W342="","",IF(LOOKUP(W342,'Extration 3E date commande'!$A$6:$A$10000)=W342,LOOKUP(W342,'Extration 3E date commande'!$A$6:$A$10000,'Extration 3E date commande'!$C$6:$C$10000),"PAS DE DATE"))</f>
        <v/>
      </c>
    </row>
    <row r="343" spans="1:22" x14ac:dyDescent="0.25">
      <c r="A343" s="3" t="str">
        <f t="shared" si="125"/>
        <v/>
      </c>
      <c r="B343" s="3" t="str">
        <f t="shared" si="126"/>
        <v/>
      </c>
      <c r="C343" s="3" t="str">
        <f t="shared" si="123"/>
        <v/>
      </c>
      <c r="D343" s="3" t="str">
        <f t="shared" si="119"/>
        <v/>
      </c>
      <c r="E343" s="3" t="str">
        <f t="shared" si="120"/>
        <v/>
      </c>
      <c r="F343" s="3" t="str">
        <f t="shared" si="121"/>
        <v/>
      </c>
      <c r="G343" s="3" t="str">
        <f t="shared" si="122"/>
        <v/>
      </c>
      <c r="H343" s="3" t="str">
        <f t="shared" si="127"/>
        <v/>
      </c>
      <c r="I343" s="3" t="str">
        <f t="shared" si="128"/>
        <v/>
      </c>
      <c r="J343" s="2" t="str">
        <f t="shared" si="129"/>
        <v/>
      </c>
      <c r="K343" s="2" t="str">
        <f>IF(W343="","",LOOKUP('Extraction edi'!J343,Paramètrage!$A$6:$A$179,Paramètrage!$B$6:$B$179))</f>
        <v/>
      </c>
      <c r="L343" s="2" t="str">
        <f>IF(W343="","",LOOKUP('Extraction edi'!J343,Paramètrage!$A$6:$A$179,Paramètrage!$C$6:$C$179))</f>
        <v/>
      </c>
      <c r="M343" s="2" t="str">
        <f>IF(W343="","",LOOKUP('Extraction edi'!J343,Paramètrage!$A$6:$A$179,Paramètrage!$D$6:$D$179))</f>
        <v/>
      </c>
      <c r="N343" s="3" t="str">
        <f>IF(W343="","",LOOKUP('Extraction edi'!J343,Paramètrage!$A$6:$A$179,Paramètrage!$E$6:$E$179))</f>
        <v/>
      </c>
      <c r="O343" s="3" t="str">
        <f t="shared" si="130"/>
        <v/>
      </c>
      <c r="P343" s="3" t="str">
        <f t="shared" si="131"/>
        <v/>
      </c>
      <c r="Q343" s="3" t="str">
        <f t="shared" si="124"/>
        <v/>
      </c>
      <c r="R343" s="3" t="str">
        <f t="shared" si="132"/>
        <v/>
      </c>
      <c r="S343" s="3" t="str">
        <f t="shared" si="133"/>
        <v/>
      </c>
      <c r="T343" s="4" t="str">
        <f t="shared" si="134"/>
        <v/>
      </c>
      <c r="U343" s="5" t="str">
        <f t="shared" si="135"/>
        <v/>
      </c>
      <c r="V343" s="7" t="str">
        <f>IF(W343="","",IF(LOOKUP(W343,'Extration 3E date commande'!$A$6:$A$10000)=W343,LOOKUP(W343,'Extration 3E date commande'!$A$6:$A$10000,'Extration 3E date commande'!$C$6:$C$10000),"PAS DE DATE"))</f>
        <v/>
      </c>
    </row>
    <row r="344" spans="1:22" x14ac:dyDescent="0.25">
      <c r="A344" s="3" t="str">
        <f t="shared" si="125"/>
        <v/>
      </c>
      <c r="B344" s="3" t="str">
        <f t="shared" si="126"/>
        <v/>
      </c>
      <c r="C344" s="3" t="str">
        <f t="shared" si="123"/>
        <v/>
      </c>
      <c r="D344" s="3" t="str">
        <f t="shared" si="119"/>
        <v/>
      </c>
      <c r="E344" s="3" t="str">
        <f t="shared" si="120"/>
        <v/>
      </c>
      <c r="F344" s="3" t="str">
        <f t="shared" si="121"/>
        <v/>
      </c>
      <c r="G344" s="3" t="str">
        <f t="shared" si="122"/>
        <v/>
      </c>
      <c r="H344" s="3" t="str">
        <f t="shared" si="127"/>
        <v/>
      </c>
      <c r="I344" s="3" t="str">
        <f t="shared" si="128"/>
        <v/>
      </c>
      <c r="J344" s="2" t="str">
        <f t="shared" si="129"/>
        <v/>
      </c>
      <c r="K344" s="2" t="str">
        <f>IF(W344="","",LOOKUP('Extraction edi'!J344,Paramètrage!$A$6:$A$179,Paramètrage!$B$6:$B$179))</f>
        <v/>
      </c>
      <c r="L344" s="2" t="str">
        <f>IF(W344="","",LOOKUP('Extraction edi'!J344,Paramètrage!$A$6:$A$179,Paramètrage!$C$6:$C$179))</f>
        <v/>
      </c>
      <c r="M344" s="2" t="str">
        <f>IF(W344="","",LOOKUP('Extraction edi'!J344,Paramètrage!$A$6:$A$179,Paramètrage!$D$6:$D$179))</f>
        <v/>
      </c>
      <c r="N344" s="3" t="str">
        <f>IF(W344="","",LOOKUP('Extraction edi'!J344,Paramètrage!$A$6:$A$179,Paramètrage!$E$6:$E$179))</f>
        <v/>
      </c>
      <c r="O344" s="3" t="str">
        <f t="shared" si="130"/>
        <v/>
      </c>
      <c r="P344" s="3" t="str">
        <f t="shared" si="131"/>
        <v/>
      </c>
      <c r="Q344" s="3" t="str">
        <f t="shared" si="124"/>
        <v/>
      </c>
      <c r="R344" s="3" t="str">
        <f t="shared" si="132"/>
        <v/>
      </c>
      <c r="S344" s="3" t="str">
        <f t="shared" si="133"/>
        <v/>
      </c>
      <c r="T344" s="4" t="str">
        <f t="shared" si="134"/>
        <v/>
      </c>
      <c r="U344" s="5" t="str">
        <f t="shared" si="135"/>
        <v/>
      </c>
      <c r="V344" s="7" t="str">
        <f>IF(W344="","",IF(LOOKUP(W344,'Extration 3E date commande'!$A$6:$A$10000)=W344,LOOKUP(W344,'Extration 3E date commande'!$A$6:$A$10000,'Extration 3E date commande'!$C$6:$C$10000),"PAS DE DATE"))</f>
        <v/>
      </c>
    </row>
    <row r="345" spans="1:22" x14ac:dyDescent="0.25">
      <c r="A345" s="3" t="str">
        <f t="shared" si="125"/>
        <v/>
      </c>
      <c r="B345" s="3" t="str">
        <f t="shared" si="126"/>
        <v/>
      </c>
      <c r="C345" s="3" t="str">
        <f t="shared" si="123"/>
        <v/>
      </c>
      <c r="D345" s="3" t="str">
        <f t="shared" si="119"/>
        <v/>
      </c>
      <c r="E345" s="3" t="str">
        <f t="shared" si="120"/>
        <v/>
      </c>
      <c r="F345" s="3" t="str">
        <f t="shared" si="121"/>
        <v/>
      </c>
      <c r="G345" s="3" t="str">
        <f t="shared" si="122"/>
        <v/>
      </c>
      <c r="H345" s="3" t="str">
        <f t="shared" si="127"/>
        <v/>
      </c>
      <c r="I345" s="3" t="str">
        <f t="shared" si="128"/>
        <v/>
      </c>
      <c r="J345" s="2" t="str">
        <f t="shared" si="129"/>
        <v/>
      </c>
      <c r="K345" s="2" t="str">
        <f>IF(W345="","",LOOKUP('Extraction edi'!J345,Paramètrage!$A$6:$A$179,Paramètrage!$B$6:$B$179))</f>
        <v/>
      </c>
      <c r="L345" s="2" t="str">
        <f>IF(W345="","",LOOKUP('Extraction edi'!J345,Paramètrage!$A$6:$A$179,Paramètrage!$C$6:$C$179))</f>
        <v/>
      </c>
      <c r="M345" s="2" t="str">
        <f>IF(W345="","",LOOKUP('Extraction edi'!J345,Paramètrage!$A$6:$A$179,Paramètrage!$D$6:$D$179))</f>
        <v/>
      </c>
      <c r="N345" s="3" t="str">
        <f>IF(W345="","",LOOKUP('Extraction edi'!J345,Paramètrage!$A$6:$A$179,Paramètrage!$E$6:$E$179))</f>
        <v/>
      </c>
      <c r="O345" s="3" t="str">
        <f t="shared" si="130"/>
        <v/>
      </c>
      <c r="P345" s="3" t="str">
        <f t="shared" si="131"/>
        <v/>
      </c>
      <c r="Q345" s="3" t="str">
        <f t="shared" si="124"/>
        <v/>
      </c>
      <c r="R345" s="3" t="str">
        <f t="shared" si="132"/>
        <v/>
      </c>
      <c r="S345" s="3" t="str">
        <f t="shared" si="133"/>
        <v/>
      </c>
      <c r="T345" s="4" t="str">
        <f t="shared" si="134"/>
        <v/>
      </c>
      <c r="U345" s="5" t="str">
        <f t="shared" si="135"/>
        <v/>
      </c>
      <c r="V345" s="7" t="str">
        <f>IF(W345="","",IF(LOOKUP(W345,'Extration 3E date commande'!$A$6:$A$10000)=W345,LOOKUP(W345,'Extration 3E date commande'!$A$6:$A$10000,'Extration 3E date commande'!$C$6:$C$10000),"PAS DE DATE"))</f>
        <v/>
      </c>
    </row>
    <row r="346" spans="1:22" x14ac:dyDescent="0.25">
      <c r="A346" s="3" t="str">
        <f t="shared" si="125"/>
        <v/>
      </c>
      <c r="B346" s="3" t="str">
        <f t="shared" si="126"/>
        <v/>
      </c>
      <c r="C346" s="3" t="str">
        <f t="shared" si="123"/>
        <v/>
      </c>
      <c r="D346" s="3" t="str">
        <f t="shared" si="119"/>
        <v/>
      </c>
      <c r="E346" s="3" t="str">
        <f t="shared" si="120"/>
        <v/>
      </c>
      <c r="F346" s="3" t="str">
        <f t="shared" si="121"/>
        <v/>
      </c>
      <c r="G346" s="3" t="str">
        <f t="shared" si="122"/>
        <v/>
      </c>
      <c r="H346" s="3" t="str">
        <f t="shared" si="127"/>
        <v/>
      </c>
      <c r="I346" s="3" t="str">
        <f t="shared" si="128"/>
        <v/>
      </c>
      <c r="J346" s="2" t="str">
        <f t="shared" si="129"/>
        <v/>
      </c>
      <c r="K346" s="2" t="str">
        <f>IF(W346="","",LOOKUP('Extraction edi'!J346,Paramètrage!$A$6:$A$179,Paramètrage!$B$6:$B$179))</f>
        <v/>
      </c>
      <c r="L346" s="2" t="str">
        <f>IF(W346="","",LOOKUP('Extraction edi'!J346,Paramètrage!$A$6:$A$179,Paramètrage!$C$6:$C$179))</f>
        <v/>
      </c>
      <c r="M346" s="2" t="str">
        <f>IF(W346="","",LOOKUP('Extraction edi'!J346,Paramètrage!$A$6:$A$179,Paramètrage!$D$6:$D$179))</f>
        <v/>
      </c>
      <c r="N346" s="3" t="str">
        <f>IF(W346="","",LOOKUP('Extraction edi'!J346,Paramètrage!$A$6:$A$179,Paramètrage!$E$6:$E$179))</f>
        <v/>
      </c>
      <c r="O346" s="3" t="str">
        <f t="shared" si="130"/>
        <v/>
      </c>
      <c r="P346" s="3" t="str">
        <f t="shared" si="131"/>
        <v/>
      </c>
      <c r="Q346" s="3" t="str">
        <f t="shared" si="124"/>
        <v/>
      </c>
      <c r="R346" s="3" t="str">
        <f t="shared" si="132"/>
        <v/>
      </c>
      <c r="S346" s="3" t="str">
        <f t="shared" si="133"/>
        <v/>
      </c>
      <c r="T346" s="4" t="str">
        <f t="shared" si="134"/>
        <v/>
      </c>
      <c r="U346" s="5" t="str">
        <f t="shared" si="135"/>
        <v/>
      </c>
      <c r="V346" s="7" t="str">
        <f>IF(W346="","",IF(LOOKUP(W346,'Extration 3E date commande'!$A$6:$A$10000)=W346,LOOKUP(W346,'Extration 3E date commande'!$A$6:$A$10000,'Extration 3E date commande'!$C$6:$C$10000),"PAS DE DATE"))</f>
        <v/>
      </c>
    </row>
    <row r="347" spans="1:22" x14ac:dyDescent="0.25">
      <c r="A347" s="3" t="str">
        <f t="shared" si="125"/>
        <v/>
      </c>
      <c r="B347" s="3" t="str">
        <f t="shared" si="126"/>
        <v/>
      </c>
      <c r="C347" s="3" t="str">
        <f t="shared" si="123"/>
        <v/>
      </c>
      <c r="D347" s="3" t="str">
        <f t="shared" si="119"/>
        <v/>
      </c>
      <c r="E347" s="3" t="str">
        <f t="shared" si="120"/>
        <v/>
      </c>
      <c r="F347" s="3" t="str">
        <f t="shared" si="121"/>
        <v/>
      </c>
      <c r="G347" s="3" t="str">
        <f t="shared" si="122"/>
        <v/>
      </c>
      <c r="H347" s="3" t="str">
        <f t="shared" si="127"/>
        <v/>
      </c>
      <c r="I347" s="3" t="str">
        <f t="shared" si="128"/>
        <v/>
      </c>
      <c r="J347" s="2" t="str">
        <f t="shared" si="129"/>
        <v/>
      </c>
      <c r="K347" s="2" t="str">
        <f>IF(W347="","",LOOKUP('Extraction edi'!J347,Paramètrage!$A$6:$A$179,Paramètrage!$B$6:$B$179))</f>
        <v/>
      </c>
      <c r="L347" s="2" t="str">
        <f>IF(W347="","",LOOKUP('Extraction edi'!J347,Paramètrage!$A$6:$A$179,Paramètrage!$C$6:$C$179))</f>
        <v/>
      </c>
      <c r="M347" s="2" t="str">
        <f>IF(W347="","",LOOKUP('Extraction edi'!J347,Paramètrage!$A$6:$A$179,Paramètrage!$D$6:$D$179))</f>
        <v/>
      </c>
      <c r="N347" s="3" t="str">
        <f>IF(W347="","",LOOKUP('Extraction edi'!J347,Paramètrage!$A$6:$A$179,Paramètrage!$E$6:$E$179))</f>
        <v/>
      </c>
      <c r="O347" s="3" t="str">
        <f t="shared" si="130"/>
        <v/>
      </c>
      <c r="P347" s="3" t="str">
        <f t="shared" si="131"/>
        <v/>
      </c>
      <c r="Q347" s="3" t="str">
        <f t="shared" si="124"/>
        <v/>
      </c>
      <c r="R347" s="3" t="str">
        <f t="shared" si="132"/>
        <v/>
      </c>
      <c r="S347" s="3" t="str">
        <f t="shared" si="133"/>
        <v/>
      </c>
      <c r="T347" s="4" t="str">
        <f t="shared" si="134"/>
        <v/>
      </c>
      <c r="U347" s="5" t="str">
        <f t="shared" si="135"/>
        <v/>
      </c>
      <c r="V347" s="7" t="str">
        <f>IF(W347="","",IF(LOOKUP(W347,'Extration 3E date commande'!$A$6:$A$10000)=W347,LOOKUP(W347,'Extration 3E date commande'!$A$6:$A$10000,'Extration 3E date commande'!$C$6:$C$10000),"PAS DE DATE"))</f>
        <v/>
      </c>
    </row>
    <row r="348" spans="1:22" x14ac:dyDescent="0.25">
      <c r="A348" s="3" t="str">
        <f t="shared" si="125"/>
        <v/>
      </c>
      <c r="B348" s="3" t="str">
        <f t="shared" si="126"/>
        <v/>
      </c>
      <c r="C348" s="3" t="str">
        <f t="shared" si="123"/>
        <v/>
      </c>
      <c r="D348" s="3" t="str">
        <f t="shared" si="119"/>
        <v/>
      </c>
      <c r="E348" s="3" t="str">
        <f t="shared" si="120"/>
        <v/>
      </c>
      <c r="F348" s="3" t="str">
        <f t="shared" si="121"/>
        <v/>
      </c>
      <c r="G348" s="3" t="str">
        <f t="shared" si="122"/>
        <v/>
      </c>
      <c r="H348" s="3" t="str">
        <f t="shared" si="127"/>
        <v/>
      </c>
      <c r="I348" s="3" t="str">
        <f t="shared" si="128"/>
        <v/>
      </c>
      <c r="J348" s="2" t="str">
        <f t="shared" si="129"/>
        <v/>
      </c>
      <c r="K348" s="2" t="str">
        <f>IF(W348="","",LOOKUP('Extraction edi'!J348,Paramètrage!$A$6:$A$179,Paramètrage!$B$6:$B$179))</f>
        <v/>
      </c>
      <c r="L348" s="2" t="str">
        <f>IF(W348="","",LOOKUP('Extraction edi'!J348,Paramètrage!$A$6:$A$179,Paramètrage!$C$6:$C$179))</f>
        <v/>
      </c>
      <c r="M348" s="2" t="str">
        <f>IF(W348="","",LOOKUP('Extraction edi'!J348,Paramètrage!$A$6:$A$179,Paramètrage!$D$6:$D$179))</f>
        <v/>
      </c>
      <c r="N348" s="3" t="str">
        <f>IF(W348="","",LOOKUP('Extraction edi'!J348,Paramètrage!$A$6:$A$179,Paramètrage!$E$6:$E$179))</f>
        <v/>
      </c>
      <c r="O348" s="3" t="str">
        <f t="shared" si="130"/>
        <v/>
      </c>
      <c r="P348" s="3" t="str">
        <f t="shared" si="131"/>
        <v/>
      </c>
      <c r="Q348" s="3" t="str">
        <f t="shared" si="124"/>
        <v/>
      </c>
      <c r="R348" s="3" t="str">
        <f t="shared" si="132"/>
        <v/>
      </c>
      <c r="S348" s="3" t="str">
        <f t="shared" si="133"/>
        <v/>
      </c>
      <c r="T348" s="4" t="str">
        <f t="shared" si="134"/>
        <v/>
      </c>
      <c r="U348" s="5" t="str">
        <f t="shared" si="135"/>
        <v/>
      </c>
      <c r="V348" s="7" t="str">
        <f>IF(W348="","",IF(LOOKUP(W348,'Extration 3E date commande'!$A$6:$A$10000)=W348,LOOKUP(W348,'Extration 3E date commande'!$A$6:$A$10000,'Extration 3E date commande'!$C$6:$C$10000),"PAS DE DATE"))</f>
        <v/>
      </c>
    </row>
    <row r="349" spans="1:22" x14ac:dyDescent="0.25">
      <c r="A349" s="3" t="str">
        <f t="shared" si="125"/>
        <v/>
      </c>
      <c r="B349" s="3" t="str">
        <f t="shared" si="126"/>
        <v/>
      </c>
      <c r="C349" s="3" t="str">
        <f t="shared" si="123"/>
        <v/>
      </c>
      <c r="D349" s="3" t="str">
        <f t="shared" si="119"/>
        <v/>
      </c>
      <c r="E349" s="3" t="str">
        <f t="shared" si="120"/>
        <v/>
      </c>
      <c r="F349" s="3" t="str">
        <f t="shared" si="121"/>
        <v/>
      </c>
      <c r="G349" s="3" t="str">
        <f t="shared" si="122"/>
        <v/>
      </c>
      <c r="H349" s="3" t="str">
        <f t="shared" si="127"/>
        <v/>
      </c>
      <c r="I349" s="3" t="str">
        <f t="shared" si="128"/>
        <v/>
      </c>
      <c r="J349" s="2" t="str">
        <f t="shared" si="129"/>
        <v/>
      </c>
      <c r="K349" s="2" t="str">
        <f>IF(W349="","",LOOKUP('Extraction edi'!J349,Paramètrage!$A$6:$A$179,Paramètrage!$B$6:$B$179))</f>
        <v/>
      </c>
      <c r="L349" s="2" t="str">
        <f>IF(W349="","",LOOKUP('Extraction edi'!J349,Paramètrage!$A$6:$A$179,Paramètrage!$C$6:$C$179))</f>
        <v/>
      </c>
      <c r="M349" s="2" t="str">
        <f>IF(W349="","",LOOKUP('Extraction edi'!J349,Paramètrage!$A$6:$A$179,Paramètrage!$D$6:$D$179))</f>
        <v/>
      </c>
      <c r="N349" s="3" t="str">
        <f>IF(W349="","",LOOKUP('Extraction edi'!J349,Paramètrage!$A$6:$A$179,Paramètrage!$E$6:$E$179))</f>
        <v/>
      </c>
      <c r="O349" s="3" t="str">
        <f t="shared" si="130"/>
        <v/>
      </c>
      <c r="P349" s="3" t="str">
        <f t="shared" si="131"/>
        <v/>
      </c>
      <c r="Q349" s="3" t="str">
        <f t="shared" si="124"/>
        <v/>
      </c>
      <c r="R349" s="3" t="str">
        <f t="shared" si="132"/>
        <v/>
      </c>
      <c r="S349" s="3" t="str">
        <f t="shared" si="133"/>
        <v/>
      </c>
      <c r="T349" s="4" t="str">
        <f t="shared" si="134"/>
        <v/>
      </c>
      <c r="U349" s="5" t="str">
        <f t="shared" si="135"/>
        <v/>
      </c>
      <c r="V349" s="7" t="str">
        <f>IF(W349="","",IF(LOOKUP(W349,'Extration 3E date commande'!$A$6:$A$10000)=W349,LOOKUP(W349,'Extration 3E date commande'!$A$6:$A$10000,'Extration 3E date commande'!$C$6:$C$10000),"PAS DE DATE"))</f>
        <v/>
      </c>
    </row>
    <row r="350" spans="1:22" x14ac:dyDescent="0.25">
      <c r="A350" s="3" t="str">
        <f t="shared" si="125"/>
        <v/>
      </c>
      <c r="B350" s="3" t="str">
        <f t="shared" si="126"/>
        <v/>
      </c>
      <c r="C350" s="3" t="str">
        <f t="shared" si="123"/>
        <v/>
      </c>
      <c r="D350" s="3" t="str">
        <f t="shared" si="119"/>
        <v/>
      </c>
      <c r="E350" s="3" t="str">
        <f t="shared" si="120"/>
        <v/>
      </c>
      <c r="F350" s="3" t="str">
        <f t="shared" si="121"/>
        <v/>
      </c>
      <c r="G350" s="3" t="str">
        <f t="shared" si="122"/>
        <v/>
      </c>
      <c r="H350" s="3" t="str">
        <f t="shared" si="127"/>
        <v/>
      </c>
      <c r="I350" s="3" t="str">
        <f t="shared" si="128"/>
        <v/>
      </c>
      <c r="J350" s="2" t="str">
        <f t="shared" si="129"/>
        <v/>
      </c>
      <c r="K350" s="2" t="str">
        <f>IF(W350="","",LOOKUP('Extraction edi'!J350,Paramètrage!$A$6:$A$179,Paramètrage!$B$6:$B$179))</f>
        <v/>
      </c>
      <c r="L350" s="2" t="str">
        <f>IF(W350="","",LOOKUP('Extraction edi'!J350,Paramètrage!$A$6:$A$179,Paramètrage!$C$6:$C$179))</f>
        <v/>
      </c>
      <c r="M350" s="2" t="str">
        <f>IF(W350="","",LOOKUP('Extraction edi'!J350,Paramètrage!$A$6:$A$179,Paramètrage!$D$6:$D$179))</f>
        <v/>
      </c>
      <c r="N350" s="3" t="str">
        <f>IF(W350="","",LOOKUP('Extraction edi'!J350,Paramètrage!$A$6:$A$179,Paramètrage!$E$6:$E$179))</f>
        <v/>
      </c>
      <c r="O350" s="3" t="str">
        <f t="shared" si="130"/>
        <v/>
      </c>
      <c r="P350" s="3" t="str">
        <f t="shared" si="131"/>
        <v/>
      </c>
      <c r="Q350" s="3" t="str">
        <f t="shared" si="124"/>
        <v/>
      </c>
      <c r="R350" s="3" t="str">
        <f t="shared" si="132"/>
        <v/>
      </c>
      <c r="S350" s="3" t="str">
        <f t="shared" si="133"/>
        <v/>
      </c>
      <c r="T350" s="4" t="str">
        <f t="shared" si="134"/>
        <v/>
      </c>
      <c r="U350" s="5" t="str">
        <f t="shared" si="135"/>
        <v/>
      </c>
      <c r="V350" s="7" t="str">
        <f>IF(W350="","",IF(LOOKUP(W350,'Extration 3E date commande'!$A$6:$A$10000)=W350,LOOKUP(W350,'Extration 3E date commande'!$A$6:$A$10000,'Extration 3E date commande'!$C$6:$C$10000),"PAS DE DATE"))</f>
        <v/>
      </c>
    </row>
    <row r="351" spans="1:22" x14ac:dyDescent="0.25">
      <c r="A351" s="3" t="str">
        <f t="shared" si="125"/>
        <v/>
      </c>
      <c r="B351" s="3" t="str">
        <f t="shared" si="126"/>
        <v/>
      </c>
      <c r="C351" s="3" t="str">
        <f t="shared" si="123"/>
        <v/>
      </c>
      <c r="D351" s="3" t="str">
        <f t="shared" si="119"/>
        <v/>
      </c>
      <c r="E351" s="3" t="str">
        <f t="shared" si="120"/>
        <v/>
      </c>
      <c r="F351" s="3" t="str">
        <f t="shared" si="121"/>
        <v/>
      </c>
      <c r="G351" s="3" t="str">
        <f t="shared" si="122"/>
        <v/>
      </c>
      <c r="H351" s="3" t="str">
        <f t="shared" si="127"/>
        <v/>
      </c>
      <c r="I351" s="3" t="str">
        <f t="shared" si="128"/>
        <v/>
      </c>
      <c r="J351" s="2" t="str">
        <f t="shared" si="129"/>
        <v/>
      </c>
      <c r="K351" s="2" t="str">
        <f>IF(W351="","",LOOKUP('Extraction edi'!J351,Paramètrage!$A$6:$A$179,Paramètrage!$B$6:$B$179))</f>
        <v/>
      </c>
      <c r="L351" s="2" t="str">
        <f>IF(W351="","",LOOKUP('Extraction edi'!J351,Paramètrage!$A$6:$A$179,Paramètrage!$C$6:$C$179))</f>
        <v/>
      </c>
      <c r="M351" s="2" t="str">
        <f>IF(W351="","",LOOKUP('Extraction edi'!J351,Paramètrage!$A$6:$A$179,Paramètrage!$D$6:$D$179))</f>
        <v/>
      </c>
      <c r="N351" s="3" t="str">
        <f>IF(W351="","",LOOKUP('Extraction edi'!J351,Paramètrage!$A$6:$A$179,Paramètrage!$E$6:$E$179))</f>
        <v/>
      </c>
      <c r="O351" s="3" t="str">
        <f t="shared" si="130"/>
        <v/>
      </c>
      <c r="P351" s="3" t="str">
        <f t="shared" si="131"/>
        <v/>
      </c>
      <c r="Q351" s="3" t="str">
        <f t="shared" si="124"/>
        <v/>
      </c>
      <c r="R351" s="3" t="str">
        <f t="shared" si="132"/>
        <v/>
      </c>
      <c r="S351" s="3" t="str">
        <f t="shared" si="133"/>
        <v/>
      </c>
      <c r="T351" s="4" t="str">
        <f t="shared" si="134"/>
        <v/>
      </c>
      <c r="U351" s="5" t="str">
        <f t="shared" si="135"/>
        <v/>
      </c>
      <c r="V351" s="7" t="str">
        <f>IF(W351="","",IF(LOOKUP(W351,'Extration 3E date commande'!$A$6:$A$10000)=W351,LOOKUP(W351,'Extration 3E date commande'!$A$6:$A$10000,'Extration 3E date commande'!$C$6:$C$10000),"PAS DE DATE"))</f>
        <v/>
      </c>
    </row>
    <row r="352" spans="1:22" x14ac:dyDescent="0.25">
      <c r="A352" s="3" t="str">
        <f t="shared" si="125"/>
        <v/>
      </c>
      <c r="B352" s="3" t="str">
        <f t="shared" si="126"/>
        <v/>
      </c>
      <c r="C352" s="3" t="str">
        <f t="shared" si="123"/>
        <v/>
      </c>
      <c r="D352" s="3" t="str">
        <f t="shared" si="119"/>
        <v/>
      </c>
      <c r="E352" s="3" t="str">
        <f t="shared" si="120"/>
        <v/>
      </c>
      <c r="F352" s="3" t="str">
        <f t="shared" si="121"/>
        <v/>
      </c>
      <c r="G352" s="3" t="str">
        <f t="shared" si="122"/>
        <v/>
      </c>
      <c r="H352" s="3" t="str">
        <f t="shared" si="127"/>
        <v/>
      </c>
      <c r="I352" s="3" t="str">
        <f t="shared" si="128"/>
        <v/>
      </c>
      <c r="J352" s="2" t="str">
        <f t="shared" si="129"/>
        <v/>
      </c>
      <c r="K352" s="2" t="str">
        <f>IF(W352="","",LOOKUP('Extraction edi'!J352,Paramètrage!$A$6:$A$179,Paramètrage!$B$6:$B$179))</f>
        <v/>
      </c>
      <c r="L352" s="2" t="str">
        <f>IF(W352="","",LOOKUP('Extraction edi'!J352,Paramètrage!$A$6:$A$179,Paramètrage!$C$6:$C$179))</f>
        <v/>
      </c>
      <c r="M352" s="2" t="str">
        <f>IF(W352="","",LOOKUP('Extraction edi'!J352,Paramètrage!$A$6:$A$179,Paramètrage!$D$6:$D$179))</f>
        <v/>
      </c>
      <c r="N352" s="3" t="str">
        <f>IF(W352="","",LOOKUP('Extraction edi'!J352,Paramètrage!$A$6:$A$179,Paramètrage!$E$6:$E$179))</f>
        <v/>
      </c>
      <c r="O352" s="3" t="str">
        <f t="shared" si="130"/>
        <v/>
      </c>
      <c r="P352" s="3" t="str">
        <f t="shared" si="131"/>
        <v/>
      </c>
      <c r="Q352" s="3" t="str">
        <f t="shared" si="124"/>
        <v/>
      </c>
      <c r="R352" s="3" t="str">
        <f t="shared" si="132"/>
        <v/>
      </c>
      <c r="S352" s="3" t="str">
        <f t="shared" si="133"/>
        <v/>
      </c>
      <c r="T352" s="4" t="str">
        <f t="shared" si="134"/>
        <v/>
      </c>
      <c r="U352" s="5" t="str">
        <f t="shared" si="135"/>
        <v/>
      </c>
      <c r="V352" s="7" t="str">
        <f>IF(W352="","",IF(LOOKUP(W352,'Extration 3E date commande'!$A$6:$A$10000)=W352,LOOKUP(W352,'Extration 3E date commande'!$A$6:$A$10000,'Extration 3E date commande'!$C$6:$C$10000),"PAS DE DATE"))</f>
        <v/>
      </c>
    </row>
    <row r="353" spans="1:22" x14ac:dyDescent="0.25">
      <c r="A353" s="3" t="str">
        <f t="shared" si="125"/>
        <v/>
      </c>
      <c r="B353" s="3" t="str">
        <f t="shared" si="126"/>
        <v/>
      </c>
      <c r="C353" s="3" t="str">
        <f t="shared" si="123"/>
        <v/>
      </c>
      <c r="D353" s="3" t="str">
        <f t="shared" si="119"/>
        <v/>
      </c>
      <c r="E353" s="3" t="str">
        <f t="shared" si="120"/>
        <v/>
      </c>
      <c r="F353" s="3" t="str">
        <f t="shared" si="121"/>
        <v/>
      </c>
      <c r="G353" s="3" t="str">
        <f t="shared" si="122"/>
        <v/>
      </c>
      <c r="H353" s="3" t="str">
        <f t="shared" si="127"/>
        <v/>
      </c>
      <c r="I353" s="3" t="str">
        <f t="shared" si="128"/>
        <v/>
      </c>
      <c r="J353" s="2" t="str">
        <f t="shared" si="129"/>
        <v/>
      </c>
      <c r="K353" s="2" t="str">
        <f>IF(W353="","",LOOKUP('Extraction edi'!J353,Paramètrage!$A$6:$A$179,Paramètrage!$B$6:$B$179))</f>
        <v/>
      </c>
      <c r="L353" s="2" t="str">
        <f>IF(W353="","",LOOKUP('Extraction edi'!J353,Paramètrage!$A$6:$A$179,Paramètrage!$C$6:$C$179))</f>
        <v/>
      </c>
      <c r="M353" s="2" t="str">
        <f>IF(W353="","",LOOKUP('Extraction edi'!J353,Paramètrage!$A$6:$A$179,Paramètrage!$D$6:$D$179))</f>
        <v/>
      </c>
      <c r="N353" s="3" t="str">
        <f>IF(W353="","",LOOKUP('Extraction edi'!J353,Paramètrage!$A$6:$A$179,Paramètrage!$E$6:$E$179))</f>
        <v/>
      </c>
      <c r="O353" s="3" t="str">
        <f t="shared" si="130"/>
        <v/>
      </c>
      <c r="P353" s="3" t="str">
        <f t="shared" si="131"/>
        <v/>
      </c>
      <c r="Q353" s="3" t="str">
        <f t="shared" si="124"/>
        <v/>
      </c>
      <c r="R353" s="3" t="str">
        <f t="shared" si="132"/>
        <v/>
      </c>
      <c r="S353" s="3" t="str">
        <f t="shared" si="133"/>
        <v/>
      </c>
      <c r="T353" s="4" t="str">
        <f t="shared" si="134"/>
        <v/>
      </c>
      <c r="U353" s="5" t="str">
        <f t="shared" si="135"/>
        <v/>
      </c>
      <c r="V353" s="7" t="str">
        <f>IF(W353="","",IF(LOOKUP(W353,'Extration 3E date commande'!$A$6:$A$10000)=W353,LOOKUP(W353,'Extration 3E date commande'!$A$6:$A$10000,'Extration 3E date commande'!$C$6:$C$10000),"PAS DE DATE"))</f>
        <v/>
      </c>
    </row>
    <row r="354" spans="1:22" x14ac:dyDescent="0.25">
      <c r="A354" s="3" t="str">
        <f t="shared" si="125"/>
        <v/>
      </c>
      <c r="B354" s="3" t="str">
        <f t="shared" si="126"/>
        <v/>
      </c>
      <c r="C354" s="3" t="str">
        <f t="shared" si="123"/>
        <v/>
      </c>
      <c r="D354" s="3" t="str">
        <f t="shared" si="119"/>
        <v/>
      </c>
      <c r="E354" s="3" t="str">
        <f t="shared" si="120"/>
        <v/>
      </c>
      <c r="F354" s="3" t="str">
        <f t="shared" si="121"/>
        <v/>
      </c>
      <c r="G354" s="3" t="str">
        <f t="shared" si="122"/>
        <v/>
      </c>
      <c r="H354" s="3" t="str">
        <f t="shared" si="127"/>
        <v/>
      </c>
      <c r="I354" s="3" t="str">
        <f t="shared" si="128"/>
        <v/>
      </c>
      <c r="J354" s="2" t="str">
        <f t="shared" si="129"/>
        <v/>
      </c>
      <c r="K354" s="2" t="str">
        <f>IF(W354="","",LOOKUP('Extraction edi'!J354,Paramètrage!$A$6:$A$179,Paramètrage!$B$6:$B$179))</f>
        <v/>
      </c>
      <c r="L354" s="2" t="str">
        <f>IF(W354="","",LOOKUP('Extraction edi'!J354,Paramètrage!$A$6:$A$179,Paramètrage!$C$6:$C$179))</f>
        <v/>
      </c>
      <c r="M354" s="2" t="str">
        <f>IF(W354="","",LOOKUP('Extraction edi'!J354,Paramètrage!$A$6:$A$179,Paramètrage!$D$6:$D$179))</f>
        <v/>
      </c>
      <c r="N354" s="3" t="str">
        <f>IF(W354="","",LOOKUP('Extraction edi'!J354,Paramètrage!$A$6:$A$179,Paramètrage!$E$6:$E$179))</f>
        <v/>
      </c>
      <c r="O354" s="3" t="str">
        <f t="shared" si="130"/>
        <v/>
      </c>
      <c r="P354" s="3" t="str">
        <f t="shared" si="131"/>
        <v/>
      </c>
      <c r="Q354" s="3" t="str">
        <f t="shared" si="124"/>
        <v/>
      </c>
      <c r="R354" s="3" t="str">
        <f t="shared" si="132"/>
        <v/>
      </c>
      <c r="S354" s="3" t="str">
        <f t="shared" si="133"/>
        <v/>
      </c>
      <c r="T354" s="4" t="str">
        <f t="shared" si="134"/>
        <v/>
      </c>
      <c r="U354" s="5" t="str">
        <f t="shared" si="135"/>
        <v/>
      </c>
      <c r="V354" s="7" t="str">
        <f>IF(W354="","",IF(LOOKUP(W354,'Extration 3E date commande'!$A$6:$A$10000)=W354,LOOKUP(W354,'Extration 3E date commande'!$A$6:$A$10000,'Extration 3E date commande'!$C$6:$C$10000),"PAS DE DATE"))</f>
        <v/>
      </c>
    </row>
    <row r="355" spans="1:22" x14ac:dyDescent="0.25">
      <c r="A355" s="3" t="str">
        <f t="shared" si="125"/>
        <v/>
      </c>
      <c r="B355" s="3" t="str">
        <f t="shared" si="126"/>
        <v/>
      </c>
      <c r="C355" s="3" t="str">
        <f t="shared" si="123"/>
        <v/>
      </c>
      <c r="D355" s="3" t="str">
        <f t="shared" si="119"/>
        <v/>
      </c>
      <c r="E355" s="3" t="str">
        <f t="shared" si="120"/>
        <v/>
      </c>
      <c r="F355" s="3" t="str">
        <f t="shared" si="121"/>
        <v/>
      </c>
      <c r="G355" s="3" t="str">
        <f t="shared" si="122"/>
        <v/>
      </c>
      <c r="H355" s="3" t="str">
        <f t="shared" si="127"/>
        <v/>
      </c>
      <c r="I355" s="3" t="str">
        <f t="shared" si="128"/>
        <v/>
      </c>
      <c r="J355" s="2" t="str">
        <f t="shared" si="129"/>
        <v/>
      </c>
      <c r="K355" s="2" t="str">
        <f>IF(W355="","",LOOKUP('Extraction edi'!J355,Paramètrage!$A$6:$A$179,Paramètrage!$B$6:$B$179))</f>
        <v/>
      </c>
      <c r="L355" s="2" t="str">
        <f>IF(W355="","",LOOKUP('Extraction edi'!J355,Paramètrage!$A$6:$A$179,Paramètrage!$C$6:$C$179))</f>
        <v/>
      </c>
      <c r="M355" s="2" t="str">
        <f>IF(W355="","",LOOKUP('Extraction edi'!J355,Paramètrage!$A$6:$A$179,Paramètrage!$D$6:$D$179))</f>
        <v/>
      </c>
      <c r="N355" s="3" t="str">
        <f>IF(W355="","",LOOKUP('Extraction edi'!J355,Paramètrage!$A$6:$A$179,Paramètrage!$E$6:$E$179))</f>
        <v/>
      </c>
      <c r="O355" s="3" t="str">
        <f t="shared" si="130"/>
        <v/>
      </c>
      <c r="P355" s="3" t="str">
        <f t="shared" si="131"/>
        <v/>
      </c>
      <c r="Q355" s="3" t="str">
        <f t="shared" si="124"/>
        <v/>
      </c>
      <c r="R355" s="3" t="str">
        <f t="shared" si="132"/>
        <v/>
      </c>
      <c r="S355" s="3" t="str">
        <f t="shared" si="133"/>
        <v/>
      </c>
      <c r="T355" s="4" t="str">
        <f t="shared" si="134"/>
        <v/>
      </c>
      <c r="U355" s="5" t="str">
        <f t="shared" si="135"/>
        <v/>
      </c>
      <c r="V355" s="7" t="str">
        <f>IF(W355="","",IF(LOOKUP(W355,'Extration 3E date commande'!$A$6:$A$10000)=W355,LOOKUP(W355,'Extration 3E date commande'!$A$6:$A$10000,'Extration 3E date commande'!$C$6:$C$10000),"PAS DE DATE"))</f>
        <v/>
      </c>
    </row>
    <row r="356" spans="1:22" x14ac:dyDescent="0.25">
      <c r="A356" s="3" t="str">
        <f t="shared" si="125"/>
        <v/>
      </c>
      <c r="B356" s="3" t="str">
        <f t="shared" si="126"/>
        <v/>
      </c>
      <c r="C356" s="3" t="str">
        <f t="shared" si="123"/>
        <v/>
      </c>
      <c r="D356" s="3" t="str">
        <f t="shared" si="119"/>
        <v/>
      </c>
      <c r="E356" s="3" t="str">
        <f t="shared" si="120"/>
        <v/>
      </c>
      <c r="F356" s="3" t="str">
        <f t="shared" si="121"/>
        <v/>
      </c>
      <c r="G356" s="3" t="str">
        <f t="shared" si="122"/>
        <v/>
      </c>
      <c r="H356" s="3" t="str">
        <f t="shared" si="127"/>
        <v/>
      </c>
      <c r="I356" s="3" t="str">
        <f t="shared" si="128"/>
        <v/>
      </c>
      <c r="J356" s="2" t="str">
        <f t="shared" si="129"/>
        <v/>
      </c>
      <c r="K356" s="2" t="str">
        <f>IF(W356="","",LOOKUP('Extraction edi'!J356,Paramètrage!$A$6:$A$179,Paramètrage!$B$6:$B$179))</f>
        <v/>
      </c>
      <c r="L356" s="2" t="str">
        <f>IF(W356="","",LOOKUP('Extraction edi'!J356,Paramètrage!$A$6:$A$179,Paramètrage!$C$6:$C$179))</f>
        <v/>
      </c>
      <c r="M356" s="2" t="str">
        <f>IF(W356="","",LOOKUP('Extraction edi'!J356,Paramètrage!$A$6:$A$179,Paramètrage!$D$6:$D$179))</f>
        <v/>
      </c>
      <c r="N356" s="3" t="str">
        <f>IF(W356="","",LOOKUP('Extraction edi'!J356,Paramètrage!$A$6:$A$179,Paramètrage!$E$6:$E$179))</f>
        <v/>
      </c>
      <c r="O356" s="3" t="str">
        <f t="shared" si="130"/>
        <v/>
      </c>
      <c r="P356" s="3" t="str">
        <f t="shared" si="131"/>
        <v/>
      </c>
      <c r="Q356" s="3" t="str">
        <f t="shared" si="124"/>
        <v/>
      </c>
      <c r="R356" s="3" t="str">
        <f t="shared" si="132"/>
        <v/>
      </c>
      <c r="S356" s="3" t="str">
        <f t="shared" si="133"/>
        <v/>
      </c>
      <c r="T356" s="4" t="str">
        <f t="shared" si="134"/>
        <v/>
      </c>
      <c r="U356" s="5" t="str">
        <f t="shared" si="135"/>
        <v/>
      </c>
      <c r="V356" s="7" t="str">
        <f>IF(W356="","",IF(LOOKUP(W356,'Extration 3E date commande'!$A$6:$A$10000)=W356,LOOKUP(W356,'Extration 3E date commande'!$A$6:$A$10000,'Extration 3E date commande'!$C$6:$C$10000),"PAS DE DATE"))</f>
        <v/>
      </c>
    </row>
    <row r="357" spans="1:22" x14ac:dyDescent="0.25">
      <c r="A357" s="3" t="str">
        <f t="shared" si="125"/>
        <v/>
      </c>
      <c r="B357" s="3" t="str">
        <f t="shared" si="126"/>
        <v/>
      </c>
      <c r="C357" s="3" t="str">
        <f t="shared" si="123"/>
        <v/>
      </c>
      <c r="D357" s="3" t="str">
        <f t="shared" si="119"/>
        <v/>
      </c>
      <c r="E357" s="3" t="str">
        <f t="shared" si="120"/>
        <v/>
      </c>
      <c r="F357" s="3" t="str">
        <f t="shared" si="121"/>
        <v/>
      </c>
      <c r="G357" s="3" t="str">
        <f t="shared" si="122"/>
        <v/>
      </c>
      <c r="H357" s="3" t="str">
        <f t="shared" si="127"/>
        <v/>
      </c>
      <c r="I357" s="3" t="str">
        <f t="shared" si="128"/>
        <v/>
      </c>
      <c r="J357" s="2" t="str">
        <f t="shared" si="129"/>
        <v/>
      </c>
      <c r="K357" s="2" t="str">
        <f>IF(W357="","",LOOKUP('Extraction edi'!J357,Paramètrage!$A$6:$A$179,Paramètrage!$B$6:$B$179))</f>
        <v/>
      </c>
      <c r="L357" s="2" t="str">
        <f>IF(W357="","",LOOKUP('Extraction edi'!J357,Paramètrage!$A$6:$A$179,Paramètrage!$C$6:$C$179))</f>
        <v/>
      </c>
      <c r="M357" s="2" t="str">
        <f>IF(W357="","",LOOKUP('Extraction edi'!J357,Paramètrage!$A$6:$A$179,Paramètrage!$D$6:$D$179))</f>
        <v/>
      </c>
      <c r="N357" s="3" t="str">
        <f>IF(W357="","",LOOKUP('Extraction edi'!J357,Paramètrage!$A$6:$A$179,Paramètrage!$E$6:$E$179))</f>
        <v/>
      </c>
      <c r="O357" s="3" t="str">
        <f t="shared" si="130"/>
        <v/>
      </c>
      <c r="P357" s="3" t="str">
        <f t="shared" si="131"/>
        <v/>
      </c>
      <c r="Q357" s="3" t="str">
        <f t="shared" si="124"/>
        <v/>
      </c>
      <c r="R357" s="3" t="str">
        <f t="shared" si="132"/>
        <v/>
      </c>
      <c r="S357" s="3" t="str">
        <f t="shared" si="133"/>
        <v/>
      </c>
      <c r="T357" s="4" t="str">
        <f t="shared" si="134"/>
        <v/>
      </c>
      <c r="U357" s="5" t="str">
        <f t="shared" si="135"/>
        <v/>
      </c>
      <c r="V357" s="7" t="str">
        <f>IF(W357="","",IF(LOOKUP(W357,'Extration 3E date commande'!$A$6:$A$10000)=W357,LOOKUP(W357,'Extration 3E date commande'!$A$6:$A$10000,'Extration 3E date commande'!$C$6:$C$10000),"PAS DE DATE"))</f>
        <v/>
      </c>
    </row>
    <row r="358" spans="1:22" x14ac:dyDescent="0.25">
      <c r="A358" s="3" t="str">
        <f t="shared" si="125"/>
        <v/>
      </c>
      <c r="B358" s="3" t="str">
        <f t="shared" si="126"/>
        <v/>
      </c>
      <c r="C358" s="3" t="str">
        <f t="shared" si="123"/>
        <v/>
      </c>
      <c r="D358" s="3" t="str">
        <f t="shared" si="119"/>
        <v/>
      </c>
      <c r="E358" s="3" t="str">
        <f t="shared" si="120"/>
        <v/>
      </c>
      <c r="F358" s="3" t="str">
        <f t="shared" si="121"/>
        <v/>
      </c>
      <c r="G358" s="3" t="str">
        <f t="shared" si="122"/>
        <v/>
      </c>
      <c r="H358" s="3" t="str">
        <f t="shared" si="127"/>
        <v/>
      </c>
      <c r="I358" s="3" t="str">
        <f t="shared" si="128"/>
        <v/>
      </c>
      <c r="J358" s="2" t="str">
        <f t="shared" si="129"/>
        <v/>
      </c>
      <c r="K358" s="2" t="str">
        <f>IF(W358="","",LOOKUP('Extraction edi'!J358,Paramètrage!$A$6:$A$179,Paramètrage!$B$6:$B$179))</f>
        <v/>
      </c>
      <c r="L358" s="2" t="str">
        <f>IF(W358="","",LOOKUP('Extraction edi'!J358,Paramètrage!$A$6:$A$179,Paramètrage!$C$6:$C$179))</f>
        <v/>
      </c>
      <c r="M358" s="2" t="str">
        <f>IF(W358="","",LOOKUP('Extraction edi'!J358,Paramètrage!$A$6:$A$179,Paramètrage!$D$6:$D$179))</f>
        <v/>
      </c>
      <c r="N358" s="3" t="str">
        <f>IF(W358="","",LOOKUP('Extraction edi'!J358,Paramètrage!$A$6:$A$179,Paramètrage!$E$6:$E$179))</f>
        <v/>
      </c>
      <c r="O358" s="3" t="str">
        <f t="shared" si="130"/>
        <v/>
      </c>
      <c r="P358" s="3" t="str">
        <f t="shared" si="131"/>
        <v/>
      </c>
      <c r="Q358" s="3" t="str">
        <f t="shared" si="124"/>
        <v/>
      </c>
      <c r="R358" s="3" t="str">
        <f t="shared" si="132"/>
        <v/>
      </c>
      <c r="S358" s="3" t="str">
        <f t="shared" si="133"/>
        <v/>
      </c>
      <c r="T358" s="4" t="str">
        <f t="shared" si="134"/>
        <v/>
      </c>
      <c r="U358" s="5" t="str">
        <f t="shared" si="135"/>
        <v/>
      </c>
      <c r="V358" s="7" t="str">
        <f>IF(W358="","",IF(LOOKUP(W358,'Extration 3E date commande'!$A$6:$A$10000)=W358,LOOKUP(W358,'Extration 3E date commande'!$A$6:$A$10000,'Extration 3E date commande'!$C$6:$C$10000),"PAS DE DATE"))</f>
        <v/>
      </c>
    </row>
    <row r="359" spans="1:22" x14ac:dyDescent="0.25">
      <c r="A359" s="3" t="str">
        <f t="shared" si="125"/>
        <v/>
      </c>
      <c r="B359" s="3" t="str">
        <f t="shared" si="126"/>
        <v/>
      </c>
      <c r="C359" s="3" t="str">
        <f t="shared" si="123"/>
        <v/>
      </c>
      <c r="D359" s="3" t="str">
        <f t="shared" si="119"/>
        <v/>
      </c>
      <c r="E359" s="3" t="str">
        <f t="shared" si="120"/>
        <v/>
      </c>
      <c r="F359" s="3" t="str">
        <f t="shared" si="121"/>
        <v/>
      </c>
      <c r="G359" s="3" t="str">
        <f t="shared" si="122"/>
        <v/>
      </c>
      <c r="H359" s="3" t="str">
        <f t="shared" si="127"/>
        <v/>
      </c>
      <c r="I359" s="3" t="str">
        <f t="shared" si="128"/>
        <v/>
      </c>
      <c r="J359" s="2" t="str">
        <f t="shared" si="129"/>
        <v/>
      </c>
      <c r="K359" s="2" t="str">
        <f>IF(W359="","",LOOKUP('Extraction edi'!J359,Paramètrage!$A$6:$A$179,Paramètrage!$B$6:$B$179))</f>
        <v/>
      </c>
      <c r="L359" s="2" t="str">
        <f>IF(W359="","",LOOKUP('Extraction edi'!J359,Paramètrage!$A$6:$A$179,Paramètrage!$C$6:$C$179))</f>
        <v/>
      </c>
      <c r="M359" s="2" t="str">
        <f>IF(W359="","",LOOKUP('Extraction edi'!J359,Paramètrage!$A$6:$A$179,Paramètrage!$D$6:$D$179))</f>
        <v/>
      </c>
      <c r="N359" s="3" t="str">
        <f>IF(W359="","",LOOKUP('Extraction edi'!J359,Paramètrage!$A$6:$A$179,Paramètrage!$E$6:$E$179))</f>
        <v/>
      </c>
      <c r="O359" s="3" t="str">
        <f t="shared" si="130"/>
        <v/>
      </c>
      <c r="P359" s="3" t="str">
        <f t="shared" si="131"/>
        <v/>
      </c>
      <c r="Q359" s="3" t="str">
        <f t="shared" si="124"/>
        <v/>
      </c>
      <c r="R359" s="3" t="str">
        <f t="shared" si="132"/>
        <v/>
      </c>
      <c r="S359" s="3" t="str">
        <f t="shared" si="133"/>
        <v/>
      </c>
      <c r="T359" s="4" t="str">
        <f t="shared" si="134"/>
        <v/>
      </c>
      <c r="U359" s="5" t="str">
        <f t="shared" si="135"/>
        <v/>
      </c>
      <c r="V359" s="7" t="str">
        <f>IF(W359="","",IF(LOOKUP(W359,'Extration 3E date commande'!$A$6:$A$10000)=W359,LOOKUP(W359,'Extration 3E date commande'!$A$6:$A$10000,'Extration 3E date commande'!$C$6:$C$10000),"PAS DE DATE"))</f>
        <v/>
      </c>
    </row>
    <row r="360" spans="1:22" x14ac:dyDescent="0.25">
      <c r="A360" s="3" t="str">
        <f t="shared" si="125"/>
        <v/>
      </c>
      <c r="B360" s="3" t="str">
        <f t="shared" si="126"/>
        <v/>
      </c>
      <c r="C360" s="3" t="str">
        <f t="shared" si="123"/>
        <v/>
      </c>
      <c r="D360" s="3" t="str">
        <f t="shared" si="119"/>
        <v/>
      </c>
      <c r="E360" s="3" t="str">
        <f t="shared" si="120"/>
        <v/>
      </c>
      <c r="F360" s="3" t="str">
        <f t="shared" si="121"/>
        <v/>
      </c>
      <c r="G360" s="3" t="str">
        <f t="shared" si="122"/>
        <v/>
      </c>
      <c r="H360" s="3" t="str">
        <f t="shared" si="127"/>
        <v/>
      </c>
      <c r="I360" s="3" t="str">
        <f t="shared" si="128"/>
        <v/>
      </c>
      <c r="J360" s="2" t="str">
        <f t="shared" si="129"/>
        <v/>
      </c>
      <c r="K360" s="2" t="str">
        <f>IF(W360="","",LOOKUP('Extraction edi'!J360,Paramètrage!$A$6:$A$179,Paramètrage!$B$6:$B$179))</f>
        <v/>
      </c>
      <c r="L360" s="2" t="str">
        <f>IF(W360="","",LOOKUP('Extraction edi'!J360,Paramètrage!$A$6:$A$179,Paramètrage!$C$6:$C$179))</f>
        <v/>
      </c>
      <c r="M360" s="2" t="str">
        <f>IF(W360="","",LOOKUP('Extraction edi'!J360,Paramètrage!$A$6:$A$179,Paramètrage!$D$6:$D$179))</f>
        <v/>
      </c>
      <c r="N360" s="3" t="str">
        <f>IF(W360="","",LOOKUP('Extraction edi'!J360,Paramètrage!$A$6:$A$179,Paramètrage!$E$6:$E$179))</f>
        <v/>
      </c>
      <c r="O360" s="3" t="str">
        <f t="shared" si="130"/>
        <v/>
      </c>
      <c r="P360" s="3" t="str">
        <f t="shared" si="131"/>
        <v/>
      </c>
      <c r="Q360" s="3" t="str">
        <f t="shared" si="124"/>
        <v/>
      </c>
      <c r="R360" s="3" t="str">
        <f t="shared" si="132"/>
        <v/>
      </c>
      <c r="S360" s="3" t="str">
        <f t="shared" si="133"/>
        <v/>
      </c>
      <c r="T360" s="4" t="str">
        <f t="shared" si="134"/>
        <v/>
      </c>
      <c r="U360" s="5" t="str">
        <f t="shared" si="135"/>
        <v/>
      </c>
      <c r="V360" s="7" t="str">
        <f>IF(W360="","",IF(LOOKUP(W360,'Extration 3E date commande'!$A$6:$A$10000)=W360,LOOKUP(W360,'Extration 3E date commande'!$A$6:$A$10000,'Extration 3E date commande'!$C$6:$C$10000),"PAS DE DATE"))</f>
        <v/>
      </c>
    </row>
    <row r="361" spans="1:22" x14ac:dyDescent="0.25">
      <c r="A361" s="3" t="str">
        <f t="shared" si="125"/>
        <v/>
      </c>
      <c r="B361" s="3" t="str">
        <f t="shared" si="126"/>
        <v/>
      </c>
      <c r="C361" s="3" t="str">
        <f t="shared" si="123"/>
        <v/>
      </c>
      <c r="D361" s="3" t="str">
        <f t="shared" si="119"/>
        <v/>
      </c>
      <c r="E361" s="3" t="str">
        <f t="shared" si="120"/>
        <v/>
      </c>
      <c r="F361" s="3" t="str">
        <f t="shared" si="121"/>
        <v/>
      </c>
      <c r="G361" s="3" t="str">
        <f t="shared" si="122"/>
        <v/>
      </c>
      <c r="H361" s="3" t="str">
        <f t="shared" si="127"/>
        <v/>
      </c>
      <c r="I361" s="3" t="str">
        <f t="shared" si="128"/>
        <v/>
      </c>
      <c r="J361" s="2" t="str">
        <f t="shared" si="129"/>
        <v/>
      </c>
      <c r="K361" s="2" t="str">
        <f>IF(W361="","",LOOKUP('Extraction edi'!J361,Paramètrage!$A$6:$A$179,Paramètrage!$B$6:$B$179))</f>
        <v/>
      </c>
      <c r="L361" s="2" t="str">
        <f>IF(W361="","",LOOKUP('Extraction edi'!J361,Paramètrage!$A$6:$A$179,Paramètrage!$C$6:$C$179))</f>
        <v/>
      </c>
      <c r="M361" s="2" t="str">
        <f>IF(W361="","",LOOKUP('Extraction edi'!J361,Paramètrage!$A$6:$A$179,Paramètrage!$D$6:$D$179))</f>
        <v/>
      </c>
      <c r="N361" s="3" t="str">
        <f>IF(W361="","",LOOKUP('Extraction edi'!J361,Paramètrage!$A$6:$A$179,Paramètrage!$E$6:$E$179))</f>
        <v/>
      </c>
      <c r="O361" s="3" t="str">
        <f t="shared" si="130"/>
        <v/>
      </c>
      <c r="P361" s="3" t="str">
        <f t="shared" si="131"/>
        <v/>
      </c>
      <c r="Q361" s="3" t="str">
        <f t="shared" si="124"/>
        <v/>
      </c>
      <c r="R361" s="3" t="str">
        <f t="shared" si="132"/>
        <v/>
      </c>
      <c r="S361" s="3" t="str">
        <f t="shared" si="133"/>
        <v/>
      </c>
      <c r="T361" s="4" t="str">
        <f t="shared" si="134"/>
        <v/>
      </c>
      <c r="U361" s="5" t="str">
        <f t="shared" si="135"/>
        <v/>
      </c>
      <c r="V361" s="7" t="str">
        <f>IF(W361="","",IF(LOOKUP(W361,'Extration 3E date commande'!$A$6:$A$10000)=W361,LOOKUP(W361,'Extration 3E date commande'!$A$6:$A$10000,'Extration 3E date commande'!$C$6:$C$10000),"PAS DE DATE"))</f>
        <v/>
      </c>
    </row>
    <row r="362" spans="1:22" x14ac:dyDescent="0.25">
      <c r="A362" s="3" t="str">
        <f t="shared" si="125"/>
        <v/>
      </c>
      <c r="B362" s="3" t="str">
        <f t="shared" si="126"/>
        <v/>
      </c>
      <c r="C362" s="3" t="str">
        <f t="shared" si="123"/>
        <v/>
      </c>
      <c r="D362" s="3" t="str">
        <f t="shared" si="119"/>
        <v/>
      </c>
      <c r="E362" s="3" t="str">
        <f t="shared" si="120"/>
        <v/>
      </c>
      <c r="F362" s="3" t="str">
        <f t="shared" si="121"/>
        <v/>
      </c>
      <c r="G362" s="3" t="str">
        <f t="shared" si="122"/>
        <v/>
      </c>
      <c r="H362" s="3" t="str">
        <f t="shared" si="127"/>
        <v/>
      </c>
      <c r="I362" s="3" t="str">
        <f t="shared" si="128"/>
        <v/>
      </c>
      <c r="J362" s="2" t="str">
        <f t="shared" si="129"/>
        <v/>
      </c>
      <c r="K362" s="2" t="str">
        <f>IF(W362="","",LOOKUP('Extraction edi'!J362,Paramètrage!$A$6:$A$179,Paramètrage!$B$6:$B$179))</f>
        <v/>
      </c>
      <c r="L362" s="2" t="str">
        <f>IF(W362="","",LOOKUP('Extraction edi'!J362,Paramètrage!$A$6:$A$179,Paramètrage!$C$6:$C$179))</f>
        <v/>
      </c>
      <c r="M362" s="2" t="str">
        <f>IF(W362="","",LOOKUP('Extraction edi'!J362,Paramètrage!$A$6:$A$179,Paramètrage!$D$6:$D$179))</f>
        <v/>
      </c>
      <c r="N362" s="3" t="str">
        <f>IF(W362="","",LOOKUP('Extraction edi'!J362,Paramètrage!$A$6:$A$179,Paramètrage!$E$6:$E$179))</f>
        <v/>
      </c>
      <c r="O362" s="3" t="str">
        <f t="shared" si="130"/>
        <v/>
      </c>
      <c r="P362" s="3" t="str">
        <f t="shared" si="131"/>
        <v/>
      </c>
      <c r="Q362" s="3" t="str">
        <f t="shared" si="124"/>
        <v/>
      </c>
      <c r="R362" s="3" t="str">
        <f t="shared" si="132"/>
        <v/>
      </c>
      <c r="S362" s="3" t="str">
        <f t="shared" si="133"/>
        <v/>
      </c>
      <c r="T362" s="4" t="str">
        <f t="shared" si="134"/>
        <v/>
      </c>
      <c r="U362" s="5" t="str">
        <f t="shared" si="135"/>
        <v/>
      </c>
      <c r="V362" s="7" t="str">
        <f>IF(W362="","",IF(LOOKUP(W362,'Extration 3E date commande'!$A$6:$A$10000)=W362,LOOKUP(W362,'Extration 3E date commande'!$A$6:$A$10000,'Extration 3E date commande'!$C$6:$C$10000),"PAS DE DATE"))</f>
        <v/>
      </c>
    </row>
    <row r="363" spans="1:22" x14ac:dyDescent="0.25">
      <c r="A363" s="3" t="str">
        <f t="shared" si="125"/>
        <v/>
      </c>
      <c r="B363" s="3" t="str">
        <f t="shared" si="126"/>
        <v/>
      </c>
      <c r="C363" s="3" t="str">
        <f t="shared" si="123"/>
        <v/>
      </c>
      <c r="D363" s="3" t="str">
        <f t="shared" si="119"/>
        <v/>
      </c>
      <c r="E363" s="3" t="str">
        <f t="shared" si="120"/>
        <v/>
      </c>
      <c r="F363" s="3" t="str">
        <f t="shared" si="121"/>
        <v/>
      </c>
      <c r="G363" s="3" t="str">
        <f t="shared" si="122"/>
        <v/>
      </c>
      <c r="H363" s="3" t="str">
        <f t="shared" si="127"/>
        <v/>
      </c>
      <c r="I363" s="3" t="str">
        <f t="shared" si="128"/>
        <v/>
      </c>
      <c r="J363" s="2" t="str">
        <f t="shared" si="129"/>
        <v/>
      </c>
      <c r="K363" s="2" t="str">
        <f>IF(W363="","",LOOKUP('Extraction edi'!J363,Paramètrage!$A$6:$A$179,Paramètrage!$B$6:$B$179))</f>
        <v/>
      </c>
      <c r="L363" s="2" t="str">
        <f>IF(W363="","",LOOKUP('Extraction edi'!J363,Paramètrage!$A$6:$A$179,Paramètrage!$C$6:$C$179))</f>
        <v/>
      </c>
      <c r="M363" s="2" t="str">
        <f>IF(W363="","",LOOKUP('Extraction edi'!J363,Paramètrage!$A$6:$A$179,Paramètrage!$D$6:$D$179))</f>
        <v/>
      </c>
      <c r="N363" s="3" t="str">
        <f>IF(W363="","",LOOKUP('Extraction edi'!J363,Paramètrage!$A$6:$A$179,Paramètrage!$E$6:$E$179))</f>
        <v/>
      </c>
      <c r="O363" s="3" t="str">
        <f t="shared" si="130"/>
        <v/>
      </c>
      <c r="P363" s="3" t="str">
        <f t="shared" si="131"/>
        <v/>
      </c>
      <c r="Q363" s="3" t="str">
        <f t="shared" si="124"/>
        <v/>
      </c>
      <c r="R363" s="3" t="str">
        <f t="shared" si="132"/>
        <v/>
      </c>
      <c r="S363" s="3" t="str">
        <f t="shared" si="133"/>
        <v/>
      </c>
      <c r="T363" s="4" t="str">
        <f t="shared" si="134"/>
        <v/>
      </c>
      <c r="U363" s="5" t="str">
        <f t="shared" si="135"/>
        <v/>
      </c>
      <c r="V363" s="7" t="str">
        <f>IF(W363="","",IF(LOOKUP(W363,'Extration 3E date commande'!$A$6:$A$10000)=W363,LOOKUP(W363,'Extration 3E date commande'!$A$6:$A$10000,'Extration 3E date commande'!$C$6:$C$10000),"PAS DE DATE"))</f>
        <v/>
      </c>
    </row>
    <row r="364" spans="1:22" x14ac:dyDescent="0.25">
      <c r="A364" s="3" t="str">
        <f t="shared" si="125"/>
        <v/>
      </c>
      <c r="B364" s="3" t="str">
        <f t="shared" si="126"/>
        <v/>
      </c>
      <c r="C364" s="3" t="str">
        <f t="shared" si="123"/>
        <v/>
      </c>
      <c r="D364" s="3" t="str">
        <f t="shared" si="119"/>
        <v/>
      </c>
      <c r="E364" s="3" t="str">
        <f t="shared" si="120"/>
        <v/>
      </c>
      <c r="F364" s="3" t="str">
        <f t="shared" si="121"/>
        <v/>
      </c>
      <c r="G364" s="3" t="str">
        <f t="shared" si="122"/>
        <v/>
      </c>
      <c r="H364" s="3" t="str">
        <f t="shared" si="127"/>
        <v/>
      </c>
      <c r="I364" s="3" t="str">
        <f t="shared" si="128"/>
        <v/>
      </c>
      <c r="J364" s="2" t="str">
        <f t="shared" si="129"/>
        <v/>
      </c>
      <c r="K364" s="2" t="str">
        <f>IF(W364="","",LOOKUP('Extraction edi'!J364,Paramètrage!$A$6:$A$179,Paramètrage!$B$6:$B$179))</f>
        <v/>
      </c>
      <c r="L364" s="2" t="str">
        <f>IF(W364="","",LOOKUP('Extraction edi'!J364,Paramètrage!$A$6:$A$179,Paramètrage!$C$6:$C$179))</f>
        <v/>
      </c>
      <c r="M364" s="2" t="str">
        <f>IF(W364="","",LOOKUP('Extraction edi'!J364,Paramètrage!$A$6:$A$179,Paramètrage!$D$6:$D$179))</f>
        <v/>
      </c>
      <c r="N364" s="3" t="str">
        <f>IF(W364="","",LOOKUP('Extraction edi'!J364,Paramètrage!$A$6:$A$179,Paramètrage!$E$6:$E$179))</f>
        <v/>
      </c>
      <c r="O364" s="3" t="str">
        <f t="shared" si="130"/>
        <v/>
      </c>
      <c r="P364" s="3" t="str">
        <f t="shared" si="131"/>
        <v/>
      </c>
      <c r="Q364" s="3" t="str">
        <f t="shared" si="124"/>
        <v/>
      </c>
      <c r="R364" s="3" t="str">
        <f t="shared" si="132"/>
        <v/>
      </c>
      <c r="S364" s="3" t="str">
        <f t="shared" si="133"/>
        <v/>
      </c>
      <c r="T364" s="4" t="str">
        <f t="shared" si="134"/>
        <v/>
      </c>
      <c r="U364" s="5" t="str">
        <f t="shared" si="135"/>
        <v/>
      </c>
      <c r="V364" s="7" t="str">
        <f>IF(W364="","",IF(LOOKUP(W364,'Extration 3E date commande'!$A$6:$A$10000)=W364,LOOKUP(W364,'Extration 3E date commande'!$A$6:$A$10000,'Extration 3E date commande'!$C$6:$C$10000),"PAS DE DATE"))</f>
        <v/>
      </c>
    </row>
    <row r="365" spans="1:22" x14ac:dyDescent="0.25">
      <c r="A365" s="3" t="str">
        <f t="shared" si="125"/>
        <v/>
      </c>
      <c r="B365" s="3" t="str">
        <f t="shared" si="126"/>
        <v/>
      </c>
      <c r="C365" s="3" t="str">
        <f t="shared" si="123"/>
        <v/>
      </c>
      <c r="D365" s="3" t="str">
        <f t="shared" si="119"/>
        <v/>
      </c>
      <c r="E365" s="3" t="str">
        <f t="shared" si="120"/>
        <v/>
      </c>
      <c r="F365" s="3" t="str">
        <f t="shared" si="121"/>
        <v/>
      </c>
      <c r="G365" s="3" t="str">
        <f t="shared" si="122"/>
        <v/>
      </c>
      <c r="H365" s="3" t="str">
        <f t="shared" si="127"/>
        <v/>
      </c>
      <c r="I365" s="3" t="str">
        <f t="shared" si="128"/>
        <v/>
      </c>
      <c r="J365" s="2" t="str">
        <f t="shared" si="129"/>
        <v/>
      </c>
      <c r="K365" s="2" t="str">
        <f>IF(W365="","",LOOKUP('Extraction edi'!J365,Paramètrage!$A$6:$A$179,Paramètrage!$B$6:$B$179))</f>
        <v/>
      </c>
      <c r="L365" s="2" t="str">
        <f>IF(W365="","",LOOKUP('Extraction edi'!J365,Paramètrage!$A$6:$A$179,Paramètrage!$C$6:$C$179))</f>
        <v/>
      </c>
      <c r="M365" s="2" t="str">
        <f>IF(W365="","",LOOKUP('Extraction edi'!J365,Paramètrage!$A$6:$A$179,Paramètrage!$D$6:$D$179))</f>
        <v/>
      </c>
      <c r="N365" s="3" t="str">
        <f>IF(W365="","",LOOKUP('Extraction edi'!J365,Paramètrage!$A$6:$A$179,Paramètrage!$E$6:$E$179))</f>
        <v/>
      </c>
      <c r="O365" s="3" t="str">
        <f t="shared" si="130"/>
        <v/>
      </c>
      <c r="P365" s="3" t="str">
        <f t="shared" si="131"/>
        <v/>
      </c>
      <c r="Q365" s="3" t="str">
        <f t="shared" si="124"/>
        <v/>
      </c>
      <c r="R365" s="3" t="str">
        <f t="shared" si="132"/>
        <v/>
      </c>
      <c r="S365" s="3" t="str">
        <f t="shared" si="133"/>
        <v/>
      </c>
      <c r="T365" s="4" t="str">
        <f t="shared" si="134"/>
        <v/>
      </c>
      <c r="U365" s="5" t="str">
        <f t="shared" si="135"/>
        <v/>
      </c>
      <c r="V365" s="7" t="str">
        <f>IF(W365="","",IF(LOOKUP(W365,'Extration 3E date commande'!$A$6:$A$10000)=W365,LOOKUP(W365,'Extration 3E date commande'!$A$6:$A$10000,'Extration 3E date commande'!$C$6:$C$10000),"PAS DE DATE"))</f>
        <v/>
      </c>
    </row>
    <row r="366" spans="1:22" x14ac:dyDescent="0.25">
      <c r="A366" s="3" t="str">
        <f t="shared" si="125"/>
        <v/>
      </c>
      <c r="B366" s="3" t="str">
        <f t="shared" si="126"/>
        <v/>
      </c>
      <c r="C366" s="3" t="str">
        <f t="shared" si="123"/>
        <v/>
      </c>
      <c r="D366" s="3" t="str">
        <f t="shared" si="119"/>
        <v/>
      </c>
      <c r="E366" s="3" t="str">
        <f t="shared" si="120"/>
        <v/>
      </c>
      <c r="F366" s="3" t="str">
        <f t="shared" si="121"/>
        <v/>
      </c>
      <c r="G366" s="3" t="str">
        <f t="shared" si="122"/>
        <v/>
      </c>
      <c r="H366" s="3" t="str">
        <f t="shared" si="127"/>
        <v/>
      </c>
      <c r="I366" s="3" t="str">
        <f t="shared" si="128"/>
        <v/>
      </c>
      <c r="J366" s="2" t="str">
        <f t="shared" si="129"/>
        <v/>
      </c>
      <c r="K366" s="2" t="str">
        <f>IF(W366="","",LOOKUP('Extraction edi'!J366,Paramètrage!$A$6:$A$179,Paramètrage!$B$6:$B$179))</f>
        <v/>
      </c>
      <c r="L366" s="2" t="str">
        <f>IF(W366="","",LOOKUP('Extraction edi'!J366,Paramètrage!$A$6:$A$179,Paramètrage!$C$6:$C$179))</f>
        <v/>
      </c>
      <c r="M366" s="2" t="str">
        <f>IF(W366="","",LOOKUP('Extraction edi'!J366,Paramètrage!$A$6:$A$179,Paramètrage!$D$6:$D$179))</f>
        <v/>
      </c>
      <c r="N366" s="3" t="str">
        <f>IF(W366="","",LOOKUP('Extraction edi'!J366,Paramètrage!$A$6:$A$179,Paramètrage!$E$6:$E$179))</f>
        <v/>
      </c>
      <c r="O366" s="3" t="str">
        <f t="shared" si="130"/>
        <v/>
      </c>
      <c r="P366" s="3" t="str">
        <f t="shared" si="131"/>
        <v/>
      </c>
      <c r="Q366" s="3" t="str">
        <f t="shared" si="124"/>
        <v/>
      </c>
      <c r="R366" s="3" t="str">
        <f t="shared" si="132"/>
        <v/>
      </c>
      <c r="S366" s="3" t="str">
        <f t="shared" si="133"/>
        <v/>
      </c>
      <c r="T366" s="4" t="str">
        <f t="shared" si="134"/>
        <v/>
      </c>
      <c r="U366" s="5" t="str">
        <f t="shared" si="135"/>
        <v/>
      </c>
      <c r="V366" s="7" t="str">
        <f>IF(W366="","",IF(LOOKUP(W366,'Extration 3E date commande'!$A$6:$A$10000)=W366,LOOKUP(W366,'Extration 3E date commande'!$A$6:$A$10000,'Extration 3E date commande'!$C$6:$C$10000),"PAS DE DATE"))</f>
        <v/>
      </c>
    </row>
    <row r="367" spans="1:22" x14ac:dyDescent="0.25">
      <c r="A367" s="3" t="str">
        <f t="shared" si="125"/>
        <v/>
      </c>
      <c r="B367" s="3" t="str">
        <f t="shared" si="126"/>
        <v/>
      </c>
      <c r="C367" s="3" t="str">
        <f t="shared" si="123"/>
        <v/>
      </c>
      <c r="D367" s="3" t="str">
        <f t="shared" si="119"/>
        <v/>
      </c>
      <c r="E367" s="3" t="str">
        <f t="shared" si="120"/>
        <v/>
      </c>
      <c r="F367" s="3" t="str">
        <f t="shared" si="121"/>
        <v/>
      </c>
      <c r="G367" s="3" t="str">
        <f t="shared" si="122"/>
        <v/>
      </c>
      <c r="H367" s="3" t="str">
        <f t="shared" si="127"/>
        <v/>
      </c>
      <c r="I367" s="3" t="str">
        <f t="shared" si="128"/>
        <v/>
      </c>
      <c r="J367" s="2" t="str">
        <f t="shared" si="129"/>
        <v/>
      </c>
      <c r="K367" s="2" t="str">
        <f>IF(W367="","",LOOKUP('Extraction edi'!J367,Paramètrage!$A$6:$A$179,Paramètrage!$B$6:$B$179))</f>
        <v/>
      </c>
      <c r="L367" s="2" t="str">
        <f>IF(W367="","",LOOKUP('Extraction edi'!J367,Paramètrage!$A$6:$A$179,Paramètrage!$C$6:$C$179))</f>
        <v/>
      </c>
      <c r="M367" s="2" t="str">
        <f>IF(W367="","",LOOKUP('Extraction edi'!J367,Paramètrage!$A$6:$A$179,Paramètrage!$D$6:$D$179))</f>
        <v/>
      </c>
      <c r="N367" s="3" t="str">
        <f>IF(W367="","",LOOKUP('Extraction edi'!J367,Paramètrage!$A$6:$A$179,Paramètrage!$E$6:$E$179))</f>
        <v/>
      </c>
      <c r="O367" s="3" t="str">
        <f t="shared" si="130"/>
        <v/>
      </c>
      <c r="P367" s="3" t="str">
        <f t="shared" si="131"/>
        <v/>
      </c>
      <c r="Q367" s="3" t="str">
        <f t="shared" si="124"/>
        <v/>
      </c>
      <c r="R367" s="3" t="str">
        <f t="shared" si="132"/>
        <v/>
      </c>
      <c r="S367" s="3" t="str">
        <f t="shared" si="133"/>
        <v/>
      </c>
      <c r="T367" s="4" t="str">
        <f t="shared" si="134"/>
        <v/>
      </c>
      <c r="U367" s="5" t="str">
        <f t="shared" si="135"/>
        <v/>
      </c>
      <c r="V367" s="7" t="str">
        <f>IF(W367="","",IF(LOOKUP(W367,'Extration 3E date commande'!$A$6:$A$10000)=W367,LOOKUP(W367,'Extration 3E date commande'!$A$6:$A$10000,'Extration 3E date commande'!$C$6:$C$10000),"PAS DE DATE"))</f>
        <v/>
      </c>
    </row>
    <row r="368" spans="1:22" x14ac:dyDescent="0.25">
      <c r="A368" s="3" t="str">
        <f t="shared" si="125"/>
        <v/>
      </c>
      <c r="B368" s="3" t="str">
        <f t="shared" si="126"/>
        <v/>
      </c>
      <c r="C368" s="3" t="str">
        <f t="shared" si="123"/>
        <v/>
      </c>
      <c r="D368" s="3" t="str">
        <f t="shared" si="119"/>
        <v/>
      </c>
      <c r="E368" s="3" t="str">
        <f t="shared" si="120"/>
        <v/>
      </c>
      <c r="F368" s="3" t="str">
        <f t="shared" si="121"/>
        <v/>
      </c>
      <c r="G368" s="3" t="str">
        <f t="shared" si="122"/>
        <v/>
      </c>
      <c r="H368" s="3" t="str">
        <f t="shared" si="127"/>
        <v/>
      </c>
      <c r="I368" s="3" t="str">
        <f t="shared" si="128"/>
        <v/>
      </c>
      <c r="J368" s="2" t="str">
        <f t="shared" si="129"/>
        <v/>
      </c>
      <c r="K368" s="2" t="str">
        <f>IF(W368="","",LOOKUP('Extraction edi'!J368,Paramètrage!$A$6:$A$179,Paramètrage!$B$6:$B$179))</f>
        <v/>
      </c>
      <c r="L368" s="2" t="str">
        <f>IF(W368="","",LOOKUP('Extraction edi'!J368,Paramètrage!$A$6:$A$179,Paramètrage!$C$6:$C$179))</f>
        <v/>
      </c>
      <c r="M368" s="2" t="str">
        <f>IF(W368="","",LOOKUP('Extraction edi'!J368,Paramètrage!$A$6:$A$179,Paramètrage!$D$6:$D$179))</f>
        <v/>
      </c>
      <c r="N368" s="3" t="str">
        <f>IF(W368="","",LOOKUP('Extraction edi'!J368,Paramètrage!$A$6:$A$179,Paramètrage!$E$6:$E$179))</f>
        <v/>
      </c>
      <c r="O368" s="3" t="str">
        <f t="shared" si="130"/>
        <v/>
      </c>
      <c r="P368" s="3" t="str">
        <f t="shared" si="131"/>
        <v/>
      </c>
      <c r="Q368" s="3" t="str">
        <f t="shared" si="124"/>
        <v/>
      </c>
      <c r="R368" s="3" t="str">
        <f t="shared" si="132"/>
        <v/>
      </c>
      <c r="S368" s="3" t="str">
        <f t="shared" si="133"/>
        <v/>
      </c>
      <c r="T368" s="4" t="str">
        <f t="shared" si="134"/>
        <v/>
      </c>
      <c r="U368" s="5" t="str">
        <f t="shared" si="135"/>
        <v/>
      </c>
      <c r="V368" s="7" t="str">
        <f>IF(W368="","",IF(LOOKUP(W368,'Extration 3E date commande'!$A$6:$A$10000)=W368,LOOKUP(W368,'Extration 3E date commande'!$A$6:$A$10000,'Extration 3E date commande'!$C$6:$C$10000),"PAS DE DATE"))</f>
        <v/>
      </c>
    </row>
    <row r="369" spans="1:22" x14ac:dyDescent="0.25">
      <c r="A369" s="3" t="str">
        <f t="shared" si="125"/>
        <v/>
      </c>
      <c r="B369" s="3" t="str">
        <f t="shared" si="126"/>
        <v/>
      </c>
      <c r="C369" s="3" t="str">
        <f t="shared" si="123"/>
        <v/>
      </c>
      <c r="D369" s="3" t="str">
        <f t="shared" si="119"/>
        <v/>
      </c>
      <c r="E369" s="3" t="str">
        <f t="shared" si="120"/>
        <v/>
      </c>
      <c r="F369" s="3" t="str">
        <f t="shared" si="121"/>
        <v/>
      </c>
      <c r="G369" s="3" t="str">
        <f t="shared" si="122"/>
        <v/>
      </c>
      <c r="H369" s="3" t="str">
        <f t="shared" si="127"/>
        <v/>
      </c>
      <c r="I369" s="3" t="str">
        <f t="shared" si="128"/>
        <v/>
      </c>
      <c r="J369" s="2" t="str">
        <f t="shared" si="129"/>
        <v/>
      </c>
      <c r="K369" s="2" t="str">
        <f>IF(W369="","",LOOKUP('Extraction edi'!J369,Paramètrage!$A$6:$A$179,Paramètrage!$B$6:$B$179))</f>
        <v/>
      </c>
      <c r="L369" s="2" t="str">
        <f>IF(W369="","",LOOKUP('Extraction edi'!J369,Paramètrage!$A$6:$A$179,Paramètrage!$C$6:$C$179))</f>
        <v/>
      </c>
      <c r="M369" s="2" t="str">
        <f>IF(W369="","",LOOKUP('Extraction edi'!J369,Paramètrage!$A$6:$A$179,Paramètrage!$D$6:$D$179))</f>
        <v/>
      </c>
      <c r="N369" s="3" t="str">
        <f>IF(W369="","",LOOKUP('Extraction edi'!J369,Paramètrage!$A$6:$A$179,Paramètrage!$E$6:$E$179))</f>
        <v/>
      </c>
      <c r="O369" s="3" t="str">
        <f t="shared" si="130"/>
        <v/>
      </c>
      <c r="P369" s="3" t="str">
        <f t="shared" si="131"/>
        <v/>
      </c>
      <c r="Q369" s="3" t="str">
        <f t="shared" si="124"/>
        <v/>
      </c>
      <c r="R369" s="3" t="str">
        <f t="shared" si="132"/>
        <v/>
      </c>
      <c r="S369" s="3" t="str">
        <f t="shared" si="133"/>
        <v/>
      </c>
      <c r="T369" s="4" t="str">
        <f t="shared" si="134"/>
        <v/>
      </c>
      <c r="U369" s="5" t="str">
        <f t="shared" si="135"/>
        <v/>
      </c>
      <c r="V369" s="7" t="str">
        <f>IF(W369="","",IF(LOOKUP(W369,'Extration 3E date commande'!$A$6:$A$10000)=W369,LOOKUP(W369,'Extration 3E date commande'!$A$6:$A$10000,'Extration 3E date commande'!$C$6:$C$10000),"PAS DE DATE"))</f>
        <v/>
      </c>
    </row>
    <row r="370" spans="1:22" x14ac:dyDescent="0.25">
      <c r="A370" s="3" t="str">
        <f t="shared" si="125"/>
        <v/>
      </c>
      <c r="B370" s="3" t="str">
        <f t="shared" si="126"/>
        <v/>
      </c>
      <c r="C370" s="3" t="str">
        <f t="shared" si="123"/>
        <v/>
      </c>
      <c r="D370" s="3" t="str">
        <f t="shared" si="119"/>
        <v/>
      </c>
      <c r="E370" s="3" t="str">
        <f t="shared" si="120"/>
        <v/>
      </c>
      <c r="F370" s="3" t="str">
        <f t="shared" si="121"/>
        <v/>
      </c>
      <c r="G370" s="3" t="str">
        <f t="shared" si="122"/>
        <v/>
      </c>
      <c r="H370" s="3" t="str">
        <f t="shared" si="127"/>
        <v/>
      </c>
      <c r="I370" s="3" t="str">
        <f t="shared" si="128"/>
        <v/>
      </c>
      <c r="J370" s="2" t="str">
        <f t="shared" si="129"/>
        <v/>
      </c>
      <c r="K370" s="2" t="str">
        <f>IF(W370="","",LOOKUP('Extraction edi'!J370,Paramètrage!$A$6:$A$179,Paramètrage!$B$6:$B$179))</f>
        <v/>
      </c>
      <c r="L370" s="2" t="str">
        <f>IF(W370="","",LOOKUP('Extraction edi'!J370,Paramètrage!$A$6:$A$179,Paramètrage!$C$6:$C$179))</f>
        <v/>
      </c>
      <c r="M370" s="2" t="str">
        <f>IF(W370="","",LOOKUP('Extraction edi'!J370,Paramètrage!$A$6:$A$179,Paramètrage!$D$6:$D$179))</f>
        <v/>
      </c>
      <c r="N370" s="3" t="str">
        <f>IF(W370="","",LOOKUP('Extraction edi'!J370,Paramètrage!$A$6:$A$179,Paramètrage!$E$6:$E$179))</f>
        <v/>
      </c>
      <c r="O370" s="3" t="str">
        <f t="shared" si="130"/>
        <v/>
      </c>
      <c r="P370" s="3" t="str">
        <f t="shared" si="131"/>
        <v/>
      </c>
      <c r="Q370" s="3" t="str">
        <f t="shared" si="124"/>
        <v/>
      </c>
      <c r="R370" s="3" t="str">
        <f t="shared" si="132"/>
        <v/>
      </c>
      <c r="S370" s="3" t="str">
        <f t="shared" si="133"/>
        <v/>
      </c>
      <c r="T370" s="4" t="str">
        <f t="shared" si="134"/>
        <v/>
      </c>
      <c r="U370" s="5" t="str">
        <f t="shared" si="135"/>
        <v/>
      </c>
      <c r="V370" s="7" t="str">
        <f>IF(W370="","",IF(LOOKUP(W370,'Extration 3E date commande'!$A$6:$A$10000)=W370,LOOKUP(W370,'Extration 3E date commande'!$A$6:$A$10000,'Extration 3E date commande'!$C$6:$C$10000),"PAS DE DATE"))</f>
        <v/>
      </c>
    </row>
    <row r="371" spans="1:22" x14ac:dyDescent="0.25">
      <c r="A371" s="3" t="str">
        <f t="shared" si="125"/>
        <v/>
      </c>
      <c r="B371" s="3" t="str">
        <f t="shared" si="126"/>
        <v/>
      </c>
      <c r="C371" s="3" t="str">
        <f t="shared" si="123"/>
        <v/>
      </c>
      <c r="D371" s="3" t="str">
        <f t="shared" si="119"/>
        <v/>
      </c>
      <c r="E371" s="3" t="str">
        <f t="shared" si="120"/>
        <v/>
      </c>
      <c r="F371" s="3" t="str">
        <f t="shared" si="121"/>
        <v/>
      </c>
      <c r="G371" s="3" t="str">
        <f t="shared" si="122"/>
        <v/>
      </c>
      <c r="H371" s="3" t="str">
        <f t="shared" si="127"/>
        <v/>
      </c>
      <c r="I371" s="3" t="str">
        <f t="shared" si="128"/>
        <v/>
      </c>
      <c r="J371" s="2" t="str">
        <f t="shared" si="129"/>
        <v/>
      </c>
      <c r="K371" s="2" t="str">
        <f>IF(W371="","",LOOKUP('Extraction edi'!J371,Paramètrage!$A$6:$A$179,Paramètrage!$B$6:$B$179))</f>
        <v/>
      </c>
      <c r="L371" s="2" t="str">
        <f>IF(W371="","",LOOKUP('Extraction edi'!J371,Paramètrage!$A$6:$A$179,Paramètrage!$C$6:$C$179))</f>
        <v/>
      </c>
      <c r="M371" s="2" t="str">
        <f>IF(W371="","",LOOKUP('Extraction edi'!J371,Paramètrage!$A$6:$A$179,Paramètrage!$D$6:$D$179))</f>
        <v/>
      </c>
      <c r="N371" s="3" t="str">
        <f>IF(W371="","",LOOKUP('Extraction edi'!J371,Paramètrage!$A$6:$A$179,Paramètrage!$E$6:$E$179))</f>
        <v/>
      </c>
      <c r="O371" s="3" t="str">
        <f t="shared" si="130"/>
        <v/>
      </c>
      <c r="P371" s="3" t="str">
        <f t="shared" si="131"/>
        <v/>
      </c>
      <c r="Q371" s="3" t="str">
        <f t="shared" si="124"/>
        <v/>
      </c>
      <c r="R371" s="3" t="str">
        <f t="shared" si="132"/>
        <v/>
      </c>
      <c r="S371" s="3" t="str">
        <f t="shared" si="133"/>
        <v/>
      </c>
      <c r="T371" s="4" t="str">
        <f t="shared" si="134"/>
        <v/>
      </c>
      <c r="U371" s="5" t="str">
        <f t="shared" si="135"/>
        <v/>
      </c>
      <c r="V371" s="7" t="str">
        <f>IF(W371="","",IF(LOOKUP(W371,'Extration 3E date commande'!$A$6:$A$10000)=W371,LOOKUP(W371,'Extration 3E date commande'!$A$6:$A$10000,'Extration 3E date commande'!$C$6:$C$10000),"PAS DE DATE"))</f>
        <v/>
      </c>
    </row>
    <row r="372" spans="1:22" x14ac:dyDescent="0.25">
      <c r="A372" s="3" t="str">
        <f t="shared" si="125"/>
        <v/>
      </c>
      <c r="B372" s="3" t="str">
        <f t="shared" si="126"/>
        <v/>
      </c>
      <c r="C372" s="3" t="str">
        <f t="shared" si="123"/>
        <v/>
      </c>
      <c r="D372" s="3" t="str">
        <f t="shared" si="119"/>
        <v/>
      </c>
      <c r="E372" s="3" t="str">
        <f t="shared" si="120"/>
        <v/>
      </c>
      <c r="F372" s="3" t="str">
        <f t="shared" si="121"/>
        <v/>
      </c>
      <c r="G372" s="3" t="str">
        <f t="shared" si="122"/>
        <v/>
      </c>
      <c r="H372" s="3" t="str">
        <f t="shared" si="127"/>
        <v/>
      </c>
      <c r="I372" s="3" t="str">
        <f t="shared" si="128"/>
        <v/>
      </c>
      <c r="J372" s="2" t="str">
        <f t="shared" si="129"/>
        <v/>
      </c>
      <c r="K372" s="2" t="str">
        <f>IF(W372="","",LOOKUP('Extraction edi'!J372,Paramètrage!$A$6:$A$179,Paramètrage!$B$6:$B$179))</f>
        <v/>
      </c>
      <c r="L372" s="2" t="str">
        <f>IF(W372="","",LOOKUP('Extraction edi'!J372,Paramètrage!$A$6:$A$179,Paramètrage!$C$6:$C$179))</f>
        <v/>
      </c>
      <c r="M372" s="2" t="str">
        <f>IF(W372="","",LOOKUP('Extraction edi'!J372,Paramètrage!$A$6:$A$179,Paramètrage!$D$6:$D$179))</f>
        <v/>
      </c>
      <c r="N372" s="3" t="str">
        <f>IF(W372="","",LOOKUP('Extraction edi'!J372,Paramètrage!$A$6:$A$179,Paramètrage!$E$6:$E$179))</f>
        <v/>
      </c>
      <c r="O372" s="3" t="str">
        <f t="shared" si="130"/>
        <v/>
      </c>
      <c r="P372" s="3" t="str">
        <f t="shared" si="131"/>
        <v/>
      </c>
      <c r="Q372" s="3" t="str">
        <f t="shared" si="124"/>
        <v/>
      </c>
      <c r="R372" s="3" t="str">
        <f t="shared" si="132"/>
        <v/>
      </c>
      <c r="S372" s="3" t="str">
        <f t="shared" si="133"/>
        <v/>
      </c>
      <c r="T372" s="4" t="str">
        <f t="shared" si="134"/>
        <v/>
      </c>
      <c r="U372" s="5" t="str">
        <f t="shared" si="135"/>
        <v/>
      </c>
      <c r="V372" s="7" t="str">
        <f>IF(W372="","",IF(LOOKUP(W372,'Extration 3E date commande'!$A$6:$A$10000)=W372,LOOKUP(W372,'Extration 3E date commande'!$A$6:$A$10000,'Extration 3E date commande'!$C$6:$C$10000),"PAS DE DATE"))</f>
        <v/>
      </c>
    </row>
    <row r="373" spans="1:22" x14ac:dyDescent="0.25">
      <c r="A373" s="3" t="str">
        <f t="shared" si="125"/>
        <v/>
      </c>
      <c r="B373" s="3" t="str">
        <f t="shared" si="126"/>
        <v/>
      </c>
      <c r="C373" s="3" t="str">
        <f t="shared" si="123"/>
        <v/>
      </c>
      <c r="D373" s="3" t="str">
        <f t="shared" si="119"/>
        <v/>
      </c>
      <c r="E373" s="3" t="str">
        <f t="shared" si="120"/>
        <v/>
      </c>
      <c r="F373" s="3" t="str">
        <f t="shared" si="121"/>
        <v/>
      </c>
      <c r="G373" s="3" t="str">
        <f t="shared" si="122"/>
        <v/>
      </c>
      <c r="H373" s="3" t="str">
        <f t="shared" si="127"/>
        <v/>
      </c>
      <c r="I373" s="3" t="str">
        <f t="shared" si="128"/>
        <v/>
      </c>
      <c r="J373" s="2" t="str">
        <f t="shared" si="129"/>
        <v/>
      </c>
      <c r="K373" s="2" t="str">
        <f>IF(W373="","",LOOKUP('Extraction edi'!J373,Paramètrage!$A$6:$A$179,Paramètrage!$B$6:$B$179))</f>
        <v/>
      </c>
      <c r="L373" s="2" t="str">
        <f>IF(W373="","",LOOKUP('Extraction edi'!J373,Paramètrage!$A$6:$A$179,Paramètrage!$C$6:$C$179))</f>
        <v/>
      </c>
      <c r="M373" s="2" t="str">
        <f>IF(W373="","",LOOKUP('Extraction edi'!J373,Paramètrage!$A$6:$A$179,Paramètrage!$D$6:$D$179))</f>
        <v/>
      </c>
      <c r="N373" s="3" t="str">
        <f>IF(W373="","",LOOKUP('Extraction edi'!J373,Paramètrage!$A$6:$A$179,Paramètrage!$E$6:$E$179))</f>
        <v/>
      </c>
      <c r="O373" s="3" t="str">
        <f t="shared" si="130"/>
        <v/>
      </c>
      <c r="P373" s="3" t="str">
        <f t="shared" si="131"/>
        <v/>
      </c>
      <c r="Q373" s="3" t="str">
        <f t="shared" si="124"/>
        <v/>
      </c>
      <c r="R373" s="3" t="str">
        <f t="shared" si="132"/>
        <v/>
      </c>
      <c r="S373" s="3" t="str">
        <f t="shared" si="133"/>
        <v/>
      </c>
      <c r="T373" s="4" t="str">
        <f t="shared" si="134"/>
        <v/>
      </c>
      <c r="U373" s="5" t="str">
        <f t="shared" si="135"/>
        <v/>
      </c>
      <c r="V373" s="7" t="str">
        <f>IF(W373="","",IF(LOOKUP(W373,'Extration 3E date commande'!$A$6:$A$10000)=W373,LOOKUP(W373,'Extration 3E date commande'!$A$6:$A$10000,'Extration 3E date commande'!$C$6:$C$10000),"PAS DE DATE"))</f>
        <v/>
      </c>
    </row>
    <row r="374" spans="1:22" x14ac:dyDescent="0.25">
      <c r="A374" s="3" t="str">
        <f t="shared" si="125"/>
        <v/>
      </c>
      <c r="B374" s="3" t="str">
        <f t="shared" si="126"/>
        <v/>
      </c>
      <c r="C374" s="3" t="str">
        <f t="shared" si="123"/>
        <v/>
      </c>
      <c r="D374" s="3" t="str">
        <f t="shared" si="119"/>
        <v/>
      </c>
      <c r="E374" s="3" t="str">
        <f t="shared" si="120"/>
        <v/>
      </c>
      <c r="F374" s="3" t="str">
        <f t="shared" si="121"/>
        <v/>
      </c>
      <c r="G374" s="3" t="str">
        <f t="shared" si="122"/>
        <v/>
      </c>
      <c r="H374" s="3" t="str">
        <f t="shared" si="127"/>
        <v/>
      </c>
      <c r="I374" s="3" t="str">
        <f t="shared" si="128"/>
        <v/>
      </c>
      <c r="J374" s="2" t="str">
        <f t="shared" si="129"/>
        <v/>
      </c>
      <c r="K374" s="2" t="str">
        <f>IF(W374="","",LOOKUP('Extraction edi'!J374,Paramètrage!$A$6:$A$179,Paramètrage!$B$6:$B$179))</f>
        <v/>
      </c>
      <c r="L374" s="2" t="str">
        <f>IF(W374="","",LOOKUP('Extraction edi'!J374,Paramètrage!$A$6:$A$179,Paramètrage!$C$6:$C$179))</f>
        <v/>
      </c>
      <c r="M374" s="2" t="str">
        <f>IF(W374="","",LOOKUP('Extraction edi'!J374,Paramètrage!$A$6:$A$179,Paramètrage!$D$6:$D$179))</f>
        <v/>
      </c>
      <c r="N374" s="3" t="str">
        <f>IF(W374="","",LOOKUP('Extraction edi'!J374,Paramètrage!$A$6:$A$179,Paramètrage!$E$6:$E$179))</f>
        <v/>
      </c>
      <c r="O374" s="3" t="str">
        <f t="shared" si="130"/>
        <v/>
      </c>
      <c r="P374" s="3" t="str">
        <f t="shared" si="131"/>
        <v/>
      </c>
      <c r="Q374" s="3" t="str">
        <f t="shared" si="124"/>
        <v/>
      </c>
      <c r="R374" s="3" t="str">
        <f t="shared" si="132"/>
        <v/>
      </c>
      <c r="S374" s="3" t="str">
        <f t="shared" si="133"/>
        <v/>
      </c>
      <c r="T374" s="4" t="str">
        <f t="shared" si="134"/>
        <v/>
      </c>
      <c r="U374" s="5" t="str">
        <f t="shared" si="135"/>
        <v/>
      </c>
      <c r="V374" s="7" t="str">
        <f>IF(W374="","",IF(LOOKUP(W374,'Extration 3E date commande'!$A$6:$A$10000)=W374,LOOKUP(W374,'Extration 3E date commande'!$A$6:$A$10000,'Extration 3E date commande'!$C$6:$C$10000),"PAS DE DATE"))</f>
        <v/>
      </c>
    </row>
    <row r="375" spans="1:22" x14ac:dyDescent="0.25">
      <c r="A375" s="3" t="str">
        <f t="shared" si="125"/>
        <v/>
      </c>
      <c r="B375" s="3" t="str">
        <f t="shared" si="126"/>
        <v/>
      </c>
      <c r="C375" s="3" t="str">
        <f t="shared" si="123"/>
        <v/>
      </c>
      <c r="D375" s="3" t="str">
        <f t="shared" si="119"/>
        <v/>
      </c>
      <c r="E375" s="3" t="str">
        <f t="shared" si="120"/>
        <v/>
      </c>
      <c r="F375" s="3" t="str">
        <f t="shared" si="121"/>
        <v/>
      </c>
      <c r="G375" s="3" t="str">
        <f t="shared" si="122"/>
        <v/>
      </c>
      <c r="H375" s="3" t="str">
        <f t="shared" si="127"/>
        <v/>
      </c>
      <c r="I375" s="3" t="str">
        <f t="shared" si="128"/>
        <v/>
      </c>
      <c r="J375" s="2" t="str">
        <f t="shared" si="129"/>
        <v/>
      </c>
      <c r="K375" s="2" t="str">
        <f>IF(W375="","",LOOKUP('Extraction edi'!J375,Paramètrage!$A$6:$A$179,Paramètrage!$B$6:$B$179))</f>
        <v/>
      </c>
      <c r="L375" s="2" t="str">
        <f>IF(W375="","",LOOKUP('Extraction edi'!J375,Paramètrage!$A$6:$A$179,Paramètrage!$C$6:$C$179))</f>
        <v/>
      </c>
      <c r="M375" s="2" t="str">
        <f>IF(W375="","",LOOKUP('Extraction edi'!J375,Paramètrage!$A$6:$A$179,Paramètrage!$D$6:$D$179))</f>
        <v/>
      </c>
      <c r="N375" s="3" t="str">
        <f>IF(W375="","",LOOKUP('Extraction edi'!J375,Paramètrage!$A$6:$A$179,Paramètrage!$E$6:$E$179))</f>
        <v/>
      </c>
      <c r="O375" s="3" t="str">
        <f t="shared" si="130"/>
        <v/>
      </c>
      <c r="P375" s="3" t="str">
        <f t="shared" si="131"/>
        <v/>
      </c>
      <c r="Q375" s="3" t="str">
        <f t="shared" si="124"/>
        <v/>
      </c>
      <c r="R375" s="3" t="str">
        <f t="shared" si="132"/>
        <v/>
      </c>
      <c r="S375" s="3" t="str">
        <f t="shared" si="133"/>
        <v/>
      </c>
      <c r="T375" s="4" t="str">
        <f t="shared" si="134"/>
        <v/>
      </c>
      <c r="U375" s="5" t="str">
        <f t="shared" si="135"/>
        <v/>
      </c>
      <c r="V375" s="7" t="str">
        <f>IF(W375="","",IF(LOOKUP(W375,'Extration 3E date commande'!$A$6:$A$10000)=W375,LOOKUP(W375,'Extration 3E date commande'!$A$6:$A$10000,'Extration 3E date commande'!$C$6:$C$10000),"PAS DE DATE"))</f>
        <v/>
      </c>
    </row>
    <row r="376" spans="1:22" x14ac:dyDescent="0.25">
      <c r="A376" s="3" t="str">
        <f t="shared" si="125"/>
        <v/>
      </c>
      <c r="B376" s="3" t="str">
        <f t="shared" si="126"/>
        <v/>
      </c>
      <c r="C376" s="3" t="str">
        <f t="shared" si="123"/>
        <v/>
      </c>
      <c r="D376" s="3" t="str">
        <f t="shared" si="119"/>
        <v/>
      </c>
      <c r="E376" s="3" t="str">
        <f t="shared" si="120"/>
        <v/>
      </c>
      <c r="F376" s="3" t="str">
        <f t="shared" si="121"/>
        <v/>
      </c>
      <c r="G376" s="3" t="str">
        <f t="shared" si="122"/>
        <v/>
      </c>
      <c r="H376" s="3" t="str">
        <f t="shared" si="127"/>
        <v/>
      </c>
      <c r="I376" s="3" t="str">
        <f t="shared" si="128"/>
        <v/>
      </c>
      <c r="J376" s="2" t="str">
        <f t="shared" si="129"/>
        <v/>
      </c>
      <c r="K376" s="2" t="str">
        <f>IF(W376="","",LOOKUP('Extraction edi'!J376,Paramètrage!$A$6:$A$179,Paramètrage!$B$6:$B$179))</f>
        <v/>
      </c>
      <c r="L376" s="2" t="str">
        <f>IF(W376="","",LOOKUP('Extraction edi'!J376,Paramètrage!$A$6:$A$179,Paramètrage!$C$6:$C$179))</f>
        <v/>
      </c>
      <c r="M376" s="2" t="str">
        <f>IF(W376="","",LOOKUP('Extraction edi'!J376,Paramètrage!$A$6:$A$179,Paramètrage!$D$6:$D$179))</f>
        <v/>
      </c>
      <c r="N376" s="3" t="str">
        <f>IF(W376="","",LOOKUP('Extraction edi'!J376,Paramètrage!$A$6:$A$179,Paramètrage!$E$6:$E$179))</f>
        <v/>
      </c>
      <c r="O376" s="3" t="str">
        <f t="shared" si="130"/>
        <v/>
      </c>
      <c r="P376" s="3" t="str">
        <f t="shared" si="131"/>
        <v/>
      </c>
      <c r="Q376" s="3" t="str">
        <f t="shared" si="124"/>
        <v/>
      </c>
      <c r="R376" s="3" t="str">
        <f t="shared" si="132"/>
        <v/>
      </c>
      <c r="S376" s="3" t="str">
        <f t="shared" si="133"/>
        <v/>
      </c>
      <c r="T376" s="4" t="str">
        <f t="shared" si="134"/>
        <v/>
      </c>
      <c r="U376" s="5" t="str">
        <f t="shared" si="135"/>
        <v/>
      </c>
      <c r="V376" s="7" t="str">
        <f>IF(W376="","",IF(LOOKUP(W376,'Extration 3E date commande'!$A$6:$A$10000)=W376,LOOKUP(W376,'Extration 3E date commande'!$A$6:$A$10000,'Extration 3E date commande'!$C$6:$C$10000),"PAS DE DATE"))</f>
        <v/>
      </c>
    </row>
    <row r="377" spans="1:22" x14ac:dyDescent="0.25">
      <c r="A377" s="3" t="str">
        <f t="shared" si="125"/>
        <v/>
      </c>
      <c r="B377" s="3" t="str">
        <f t="shared" si="126"/>
        <v/>
      </c>
      <c r="C377" s="3" t="str">
        <f t="shared" si="123"/>
        <v/>
      </c>
      <c r="D377" s="3" t="str">
        <f t="shared" si="119"/>
        <v/>
      </c>
      <c r="E377" s="3" t="str">
        <f t="shared" si="120"/>
        <v/>
      </c>
      <c r="F377" s="3" t="str">
        <f t="shared" si="121"/>
        <v/>
      </c>
      <c r="G377" s="3" t="str">
        <f t="shared" si="122"/>
        <v/>
      </c>
      <c r="H377" s="3" t="str">
        <f t="shared" si="127"/>
        <v/>
      </c>
      <c r="I377" s="3" t="str">
        <f t="shared" si="128"/>
        <v/>
      </c>
      <c r="J377" s="2" t="str">
        <f t="shared" si="129"/>
        <v/>
      </c>
      <c r="K377" s="2" t="str">
        <f>IF(W377="","",LOOKUP('Extraction edi'!J377,Paramètrage!$A$6:$A$179,Paramètrage!$B$6:$B$179))</f>
        <v/>
      </c>
      <c r="L377" s="2" t="str">
        <f>IF(W377="","",LOOKUP('Extraction edi'!J377,Paramètrage!$A$6:$A$179,Paramètrage!$C$6:$C$179))</f>
        <v/>
      </c>
      <c r="M377" s="2" t="str">
        <f>IF(W377="","",LOOKUP('Extraction edi'!J377,Paramètrage!$A$6:$A$179,Paramètrage!$D$6:$D$179))</f>
        <v/>
      </c>
      <c r="N377" s="3" t="str">
        <f>IF(W377="","",LOOKUP('Extraction edi'!J377,Paramètrage!$A$6:$A$179,Paramètrage!$E$6:$E$179))</f>
        <v/>
      </c>
      <c r="O377" s="3" t="str">
        <f t="shared" si="130"/>
        <v/>
      </c>
      <c r="P377" s="3" t="str">
        <f t="shared" si="131"/>
        <v/>
      </c>
      <c r="Q377" s="3" t="str">
        <f t="shared" si="124"/>
        <v/>
      </c>
      <c r="R377" s="3" t="str">
        <f t="shared" si="132"/>
        <v/>
      </c>
      <c r="S377" s="3" t="str">
        <f t="shared" si="133"/>
        <v/>
      </c>
      <c r="T377" s="4" t="str">
        <f t="shared" si="134"/>
        <v/>
      </c>
      <c r="U377" s="5" t="str">
        <f t="shared" si="135"/>
        <v/>
      </c>
      <c r="V377" s="7" t="str">
        <f>IF(W377="","",IF(LOOKUP(W377,'Extration 3E date commande'!$A$6:$A$10000)=W377,LOOKUP(W377,'Extration 3E date commande'!$A$6:$A$10000,'Extration 3E date commande'!$C$6:$C$10000),"PAS DE DATE"))</f>
        <v/>
      </c>
    </row>
    <row r="378" spans="1:22" x14ac:dyDescent="0.25">
      <c r="A378" s="3" t="str">
        <f t="shared" si="125"/>
        <v/>
      </c>
      <c r="B378" s="3" t="str">
        <f t="shared" si="126"/>
        <v/>
      </c>
      <c r="C378" s="3" t="str">
        <f t="shared" si="123"/>
        <v/>
      </c>
      <c r="D378" s="3" t="str">
        <f t="shared" si="119"/>
        <v/>
      </c>
      <c r="E378" s="3" t="str">
        <f t="shared" si="120"/>
        <v/>
      </c>
      <c r="F378" s="3" t="str">
        <f t="shared" si="121"/>
        <v/>
      </c>
      <c r="G378" s="3" t="str">
        <f t="shared" si="122"/>
        <v/>
      </c>
      <c r="H378" s="3" t="str">
        <f t="shared" si="127"/>
        <v/>
      </c>
      <c r="I378" s="3" t="str">
        <f t="shared" si="128"/>
        <v/>
      </c>
      <c r="J378" s="2" t="str">
        <f t="shared" si="129"/>
        <v/>
      </c>
      <c r="K378" s="2" t="str">
        <f>IF(W378="","",LOOKUP('Extraction edi'!J378,Paramètrage!$A$6:$A$179,Paramètrage!$B$6:$B$179))</f>
        <v/>
      </c>
      <c r="L378" s="2" t="str">
        <f>IF(W378="","",LOOKUP('Extraction edi'!J378,Paramètrage!$A$6:$A$179,Paramètrage!$C$6:$C$179))</f>
        <v/>
      </c>
      <c r="M378" s="2" t="str">
        <f>IF(W378="","",LOOKUP('Extraction edi'!J378,Paramètrage!$A$6:$A$179,Paramètrage!$D$6:$D$179))</f>
        <v/>
      </c>
      <c r="N378" s="3" t="str">
        <f>IF(W378="","",LOOKUP('Extraction edi'!J378,Paramètrage!$A$6:$A$179,Paramètrage!$E$6:$E$179))</f>
        <v/>
      </c>
      <c r="O378" s="3" t="str">
        <f t="shared" si="130"/>
        <v/>
      </c>
      <c r="P378" s="3" t="str">
        <f t="shared" si="131"/>
        <v/>
      </c>
      <c r="Q378" s="3" t="str">
        <f t="shared" si="124"/>
        <v/>
      </c>
      <c r="R378" s="3" t="str">
        <f t="shared" si="132"/>
        <v/>
      </c>
      <c r="S378" s="3" t="str">
        <f t="shared" si="133"/>
        <v/>
      </c>
      <c r="T378" s="4" t="str">
        <f t="shared" si="134"/>
        <v/>
      </c>
      <c r="U378" s="5" t="str">
        <f t="shared" si="135"/>
        <v/>
      </c>
      <c r="V378" s="7" t="str">
        <f>IF(W378="","",IF(LOOKUP(W378,'Extration 3E date commande'!$A$6:$A$10000)=W378,LOOKUP(W378,'Extration 3E date commande'!$A$6:$A$10000,'Extration 3E date commande'!$C$6:$C$10000),"PAS DE DATE"))</f>
        <v/>
      </c>
    </row>
    <row r="379" spans="1:22" x14ac:dyDescent="0.25">
      <c r="A379" s="3" t="str">
        <f t="shared" si="125"/>
        <v/>
      </c>
      <c r="B379" s="3" t="str">
        <f t="shared" si="126"/>
        <v/>
      </c>
      <c r="C379" s="3" t="str">
        <f t="shared" si="123"/>
        <v/>
      </c>
      <c r="D379" s="3" t="str">
        <f t="shared" si="119"/>
        <v/>
      </c>
      <c r="E379" s="3" t="str">
        <f t="shared" si="120"/>
        <v/>
      </c>
      <c r="F379" s="3" t="str">
        <f t="shared" si="121"/>
        <v/>
      </c>
      <c r="G379" s="3" t="str">
        <f t="shared" si="122"/>
        <v/>
      </c>
      <c r="H379" s="3" t="str">
        <f t="shared" si="127"/>
        <v/>
      </c>
      <c r="I379" s="3" t="str">
        <f t="shared" si="128"/>
        <v/>
      </c>
      <c r="J379" s="2" t="str">
        <f t="shared" si="129"/>
        <v/>
      </c>
      <c r="K379" s="2" t="str">
        <f>IF(W379="","",LOOKUP('Extraction edi'!J379,Paramètrage!$A$6:$A$179,Paramètrage!$B$6:$B$179))</f>
        <v/>
      </c>
      <c r="L379" s="2" t="str">
        <f>IF(W379="","",LOOKUP('Extraction edi'!J379,Paramètrage!$A$6:$A$179,Paramètrage!$C$6:$C$179))</f>
        <v/>
      </c>
      <c r="M379" s="2" t="str">
        <f>IF(W379="","",LOOKUP('Extraction edi'!J379,Paramètrage!$A$6:$A$179,Paramètrage!$D$6:$D$179))</f>
        <v/>
      </c>
      <c r="N379" s="3" t="str">
        <f>IF(W379="","",LOOKUP('Extraction edi'!J379,Paramètrage!$A$6:$A$179,Paramètrage!$E$6:$E$179))</f>
        <v/>
      </c>
      <c r="O379" s="3" t="str">
        <f t="shared" si="130"/>
        <v/>
      </c>
      <c r="P379" s="3" t="str">
        <f t="shared" si="131"/>
        <v/>
      </c>
      <c r="Q379" s="3" t="str">
        <f t="shared" si="124"/>
        <v/>
      </c>
      <c r="R379" s="3" t="str">
        <f t="shared" si="132"/>
        <v/>
      </c>
      <c r="S379" s="3" t="str">
        <f t="shared" si="133"/>
        <v/>
      </c>
      <c r="T379" s="4" t="str">
        <f t="shared" si="134"/>
        <v/>
      </c>
      <c r="U379" s="5" t="str">
        <f t="shared" si="135"/>
        <v/>
      </c>
      <c r="V379" s="7" t="str">
        <f>IF(W379="","",IF(LOOKUP(W379,'Extration 3E date commande'!$A$6:$A$10000)=W379,LOOKUP(W379,'Extration 3E date commande'!$A$6:$A$10000,'Extration 3E date commande'!$C$6:$C$10000),"PAS DE DATE"))</f>
        <v/>
      </c>
    </row>
    <row r="380" spans="1:22" x14ac:dyDescent="0.25">
      <c r="A380" s="3" t="str">
        <f t="shared" si="125"/>
        <v/>
      </c>
      <c r="B380" s="3" t="str">
        <f t="shared" si="126"/>
        <v/>
      </c>
      <c r="C380" s="3" t="str">
        <f t="shared" si="123"/>
        <v/>
      </c>
      <c r="D380" s="3" t="str">
        <f t="shared" si="119"/>
        <v/>
      </c>
      <c r="E380" s="3" t="str">
        <f t="shared" si="120"/>
        <v/>
      </c>
      <c r="F380" s="3" t="str">
        <f t="shared" si="121"/>
        <v/>
      </c>
      <c r="G380" s="3" t="str">
        <f t="shared" si="122"/>
        <v/>
      </c>
      <c r="H380" s="3" t="str">
        <f t="shared" si="127"/>
        <v/>
      </c>
      <c r="I380" s="3" t="str">
        <f t="shared" si="128"/>
        <v/>
      </c>
      <c r="J380" s="2" t="str">
        <f t="shared" si="129"/>
        <v/>
      </c>
      <c r="K380" s="2" t="str">
        <f>IF(W380="","",LOOKUP('Extraction edi'!J380,Paramètrage!$A$6:$A$179,Paramètrage!$B$6:$B$179))</f>
        <v/>
      </c>
      <c r="L380" s="2" t="str">
        <f>IF(W380="","",LOOKUP('Extraction edi'!J380,Paramètrage!$A$6:$A$179,Paramètrage!$C$6:$C$179))</f>
        <v/>
      </c>
      <c r="M380" s="2" t="str">
        <f>IF(W380="","",LOOKUP('Extraction edi'!J380,Paramètrage!$A$6:$A$179,Paramètrage!$D$6:$D$179))</f>
        <v/>
      </c>
      <c r="N380" s="3" t="str">
        <f>IF(W380="","",LOOKUP('Extraction edi'!J380,Paramètrage!$A$6:$A$179,Paramètrage!$E$6:$E$179))</f>
        <v/>
      </c>
      <c r="O380" s="3" t="str">
        <f t="shared" si="130"/>
        <v/>
      </c>
      <c r="P380" s="3" t="str">
        <f t="shared" si="131"/>
        <v/>
      </c>
      <c r="Q380" s="3" t="str">
        <f t="shared" si="124"/>
        <v/>
      </c>
      <c r="R380" s="3" t="str">
        <f t="shared" si="132"/>
        <v/>
      </c>
      <c r="S380" s="3" t="str">
        <f t="shared" si="133"/>
        <v/>
      </c>
      <c r="T380" s="4" t="str">
        <f t="shared" si="134"/>
        <v/>
      </c>
      <c r="U380" s="5" t="str">
        <f t="shared" si="135"/>
        <v/>
      </c>
      <c r="V380" s="7" t="str">
        <f>IF(W380="","",IF(LOOKUP(W380,'Extration 3E date commande'!$A$6:$A$10000)=W380,LOOKUP(W380,'Extration 3E date commande'!$A$6:$A$10000,'Extration 3E date commande'!$C$6:$C$10000),"PAS DE DATE"))</f>
        <v/>
      </c>
    </row>
    <row r="381" spans="1:22" x14ac:dyDescent="0.25">
      <c r="A381" s="3" t="str">
        <f t="shared" si="125"/>
        <v/>
      </c>
      <c r="B381" s="3" t="str">
        <f t="shared" si="126"/>
        <v/>
      </c>
      <c r="C381" s="3" t="str">
        <f t="shared" si="123"/>
        <v/>
      </c>
      <c r="D381" s="3" t="str">
        <f t="shared" si="119"/>
        <v/>
      </c>
      <c r="E381" s="3" t="str">
        <f t="shared" si="120"/>
        <v/>
      </c>
      <c r="F381" s="3" t="str">
        <f t="shared" si="121"/>
        <v/>
      </c>
      <c r="G381" s="3" t="str">
        <f t="shared" si="122"/>
        <v/>
      </c>
      <c r="H381" s="3" t="str">
        <f t="shared" si="127"/>
        <v/>
      </c>
      <c r="I381" s="3" t="str">
        <f t="shared" si="128"/>
        <v/>
      </c>
      <c r="J381" s="2" t="str">
        <f t="shared" si="129"/>
        <v/>
      </c>
      <c r="K381" s="2" t="str">
        <f>IF(W381="","",LOOKUP('Extraction edi'!J381,Paramètrage!$A$6:$A$179,Paramètrage!$B$6:$B$179))</f>
        <v/>
      </c>
      <c r="L381" s="2" t="str">
        <f>IF(W381="","",LOOKUP('Extraction edi'!J381,Paramètrage!$A$6:$A$179,Paramètrage!$C$6:$C$179))</f>
        <v/>
      </c>
      <c r="M381" s="2" t="str">
        <f>IF(W381="","",LOOKUP('Extraction edi'!J381,Paramètrage!$A$6:$A$179,Paramètrage!$D$6:$D$179))</f>
        <v/>
      </c>
      <c r="N381" s="3" t="str">
        <f>IF(W381="","",LOOKUP('Extraction edi'!J381,Paramètrage!$A$6:$A$179,Paramètrage!$E$6:$E$179))</f>
        <v/>
      </c>
      <c r="O381" s="3" t="str">
        <f t="shared" si="130"/>
        <v/>
      </c>
      <c r="P381" s="3" t="str">
        <f t="shared" si="131"/>
        <v/>
      </c>
      <c r="Q381" s="3" t="str">
        <f t="shared" si="124"/>
        <v/>
      </c>
      <c r="R381" s="3" t="str">
        <f t="shared" si="132"/>
        <v/>
      </c>
      <c r="S381" s="3" t="str">
        <f t="shared" si="133"/>
        <v/>
      </c>
      <c r="T381" s="4" t="str">
        <f t="shared" si="134"/>
        <v/>
      </c>
      <c r="U381" s="5" t="str">
        <f t="shared" si="135"/>
        <v/>
      </c>
      <c r="V381" s="7" t="str">
        <f>IF(W381="","",IF(LOOKUP(W381,'Extration 3E date commande'!$A$6:$A$10000)=W381,LOOKUP(W381,'Extration 3E date commande'!$A$6:$A$10000,'Extration 3E date commande'!$C$6:$C$10000),"PAS DE DATE"))</f>
        <v/>
      </c>
    </row>
    <row r="382" spans="1:22" x14ac:dyDescent="0.25">
      <c r="A382" s="3" t="str">
        <f t="shared" si="125"/>
        <v/>
      </c>
      <c r="B382" s="3" t="str">
        <f t="shared" si="126"/>
        <v/>
      </c>
      <c r="C382" s="3" t="str">
        <f t="shared" si="123"/>
        <v/>
      </c>
      <c r="D382" s="3" t="str">
        <f t="shared" si="119"/>
        <v/>
      </c>
      <c r="E382" s="3" t="str">
        <f t="shared" si="120"/>
        <v/>
      </c>
      <c r="F382" s="3" t="str">
        <f t="shared" si="121"/>
        <v/>
      </c>
      <c r="G382" s="3" t="str">
        <f t="shared" si="122"/>
        <v/>
      </c>
      <c r="H382" s="3" t="str">
        <f t="shared" si="127"/>
        <v/>
      </c>
      <c r="I382" s="3" t="str">
        <f t="shared" si="128"/>
        <v/>
      </c>
      <c r="J382" s="2" t="str">
        <f t="shared" si="129"/>
        <v/>
      </c>
      <c r="K382" s="2" t="str">
        <f>IF(W382="","",LOOKUP('Extraction edi'!J382,Paramètrage!$A$6:$A$179,Paramètrage!$B$6:$B$179))</f>
        <v/>
      </c>
      <c r="L382" s="2" t="str">
        <f>IF(W382="","",LOOKUP('Extraction edi'!J382,Paramètrage!$A$6:$A$179,Paramètrage!$C$6:$C$179))</f>
        <v/>
      </c>
      <c r="M382" s="2" t="str">
        <f>IF(W382="","",LOOKUP('Extraction edi'!J382,Paramètrage!$A$6:$A$179,Paramètrage!$D$6:$D$179))</f>
        <v/>
      </c>
      <c r="N382" s="3" t="str">
        <f>IF(W382="","",LOOKUP('Extraction edi'!J382,Paramètrage!$A$6:$A$179,Paramètrage!$E$6:$E$179))</f>
        <v/>
      </c>
      <c r="O382" s="3" t="str">
        <f t="shared" si="130"/>
        <v/>
      </c>
      <c r="P382" s="3" t="str">
        <f t="shared" si="131"/>
        <v/>
      </c>
      <c r="Q382" s="3" t="str">
        <f t="shared" si="124"/>
        <v/>
      </c>
      <c r="R382" s="3" t="str">
        <f t="shared" si="132"/>
        <v/>
      </c>
      <c r="S382" s="3" t="str">
        <f t="shared" si="133"/>
        <v/>
      </c>
      <c r="T382" s="4" t="str">
        <f t="shared" si="134"/>
        <v/>
      </c>
      <c r="U382" s="5" t="str">
        <f t="shared" si="135"/>
        <v/>
      </c>
      <c r="V382" s="7" t="str">
        <f>IF(W382="","",IF(LOOKUP(W382,'Extration 3E date commande'!$A$6:$A$10000)=W382,LOOKUP(W382,'Extration 3E date commande'!$A$6:$A$10000,'Extration 3E date commande'!$C$6:$C$10000),"PAS DE DATE"))</f>
        <v/>
      </c>
    </row>
    <row r="383" spans="1:22" x14ac:dyDescent="0.25">
      <c r="A383" s="3" t="str">
        <f t="shared" si="125"/>
        <v/>
      </c>
      <c r="B383" s="3" t="str">
        <f t="shared" si="126"/>
        <v/>
      </c>
      <c r="C383" s="3" t="str">
        <f t="shared" si="123"/>
        <v/>
      </c>
      <c r="D383" s="3" t="str">
        <f t="shared" si="119"/>
        <v/>
      </c>
      <c r="E383" s="3" t="str">
        <f t="shared" si="120"/>
        <v/>
      </c>
      <c r="F383" s="3" t="str">
        <f t="shared" si="121"/>
        <v/>
      </c>
      <c r="G383" s="3" t="str">
        <f t="shared" si="122"/>
        <v/>
      </c>
      <c r="H383" s="3" t="str">
        <f t="shared" si="127"/>
        <v/>
      </c>
      <c r="I383" s="3" t="str">
        <f t="shared" si="128"/>
        <v/>
      </c>
      <c r="J383" s="2" t="str">
        <f t="shared" si="129"/>
        <v/>
      </c>
      <c r="K383" s="2" t="str">
        <f>IF(W383="","",LOOKUP('Extraction edi'!J383,Paramètrage!$A$6:$A$179,Paramètrage!$B$6:$B$179))</f>
        <v/>
      </c>
      <c r="L383" s="2" t="str">
        <f>IF(W383="","",LOOKUP('Extraction edi'!J383,Paramètrage!$A$6:$A$179,Paramètrage!$C$6:$C$179))</f>
        <v/>
      </c>
      <c r="M383" s="2" t="str">
        <f>IF(W383="","",LOOKUP('Extraction edi'!J383,Paramètrage!$A$6:$A$179,Paramètrage!$D$6:$D$179))</f>
        <v/>
      </c>
      <c r="N383" s="3" t="str">
        <f>IF(W383="","",LOOKUP('Extraction edi'!J383,Paramètrage!$A$6:$A$179,Paramètrage!$E$6:$E$179))</f>
        <v/>
      </c>
      <c r="O383" s="3" t="str">
        <f t="shared" si="130"/>
        <v/>
      </c>
      <c r="P383" s="3" t="str">
        <f t="shared" si="131"/>
        <v/>
      </c>
      <c r="Q383" s="3" t="str">
        <f t="shared" si="124"/>
        <v/>
      </c>
      <c r="R383" s="3" t="str">
        <f t="shared" si="132"/>
        <v/>
      </c>
      <c r="S383" s="3" t="str">
        <f t="shared" si="133"/>
        <v/>
      </c>
      <c r="T383" s="4" t="str">
        <f t="shared" si="134"/>
        <v/>
      </c>
      <c r="U383" s="5" t="str">
        <f t="shared" si="135"/>
        <v/>
      </c>
      <c r="V383" s="7" t="str">
        <f>IF(W383="","",IF(LOOKUP(W383,'Extration 3E date commande'!$A$6:$A$10000)=W383,LOOKUP(W383,'Extration 3E date commande'!$A$6:$A$10000,'Extration 3E date commande'!$C$6:$C$10000),"PAS DE DATE"))</f>
        <v/>
      </c>
    </row>
    <row r="384" spans="1:22" x14ac:dyDescent="0.25">
      <c r="A384" s="3" t="str">
        <f t="shared" si="125"/>
        <v/>
      </c>
      <c r="B384" s="3" t="str">
        <f t="shared" si="126"/>
        <v/>
      </c>
      <c r="C384" s="3" t="str">
        <f t="shared" si="123"/>
        <v/>
      </c>
      <c r="D384" s="3" t="str">
        <f t="shared" si="119"/>
        <v/>
      </c>
      <c r="E384" s="3" t="str">
        <f t="shared" si="120"/>
        <v/>
      </c>
      <c r="F384" s="3" t="str">
        <f t="shared" si="121"/>
        <v/>
      </c>
      <c r="G384" s="3" t="str">
        <f t="shared" si="122"/>
        <v/>
      </c>
      <c r="H384" s="3" t="str">
        <f t="shared" si="127"/>
        <v/>
      </c>
      <c r="I384" s="3" t="str">
        <f t="shared" si="128"/>
        <v/>
      </c>
      <c r="J384" s="2" t="str">
        <f t="shared" si="129"/>
        <v/>
      </c>
      <c r="K384" s="2" t="str">
        <f>IF(W384="","",LOOKUP('Extraction edi'!J384,Paramètrage!$A$6:$A$179,Paramètrage!$B$6:$B$179))</f>
        <v/>
      </c>
      <c r="L384" s="2" t="str">
        <f>IF(W384="","",LOOKUP('Extraction edi'!J384,Paramètrage!$A$6:$A$179,Paramètrage!$C$6:$C$179))</f>
        <v/>
      </c>
      <c r="M384" s="2" t="str">
        <f>IF(W384="","",LOOKUP('Extraction edi'!J384,Paramètrage!$A$6:$A$179,Paramètrage!$D$6:$D$179))</f>
        <v/>
      </c>
      <c r="N384" s="3" t="str">
        <f>IF(W384="","",LOOKUP('Extraction edi'!J384,Paramètrage!$A$6:$A$179,Paramètrage!$E$6:$E$179))</f>
        <v/>
      </c>
      <c r="O384" s="3" t="str">
        <f t="shared" si="130"/>
        <v/>
      </c>
      <c r="P384" s="3" t="str">
        <f t="shared" si="131"/>
        <v/>
      </c>
      <c r="Q384" s="3" t="str">
        <f t="shared" si="124"/>
        <v/>
      </c>
      <c r="R384" s="3" t="str">
        <f t="shared" si="132"/>
        <v/>
      </c>
      <c r="S384" s="3" t="str">
        <f t="shared" si="133"/>
        <v/>
      </c>
      <c r="T384" s="4" t="str">
        <f t="shared" si="134"/>
        <v/>
      </c>
      <c r="U384" s="5" t="str">
        <f t="shared" si="135"/>
        <v/>
      </c>
      <c r="V384" s="7" t="str">
        <f>IF(W384="","",IF(LOOKUP(W384,'Extration 3E date commande'!$A$6:$A$10000)=W384,LOOKUP(W384,'Extration 3E date commande'!$A$6:$A$10000,'Extration 3E date commande'!$C$6:$C$10000),"PAS DE DATE"))</f>
        <v/>
      </c>
    </row>
    <row r="385" spans="1:22" x14ac:dyDescent="0.25">
      <c r="A385" s="3" t="str">
        <f t="shared" si="125"/>
        <v/>
      </c>
      <c r="B385" s="3" t="str">
        <f t="shared" si="126"/>
        <v/>
      </c>
      <c r="C385" s="3" t="str">
        <f t="shared" si="123"/>
        <v/>
      </c>
      <c r="D385" s="3" t="str">
        <f t="shared" si="119"/>
        <v/>
      </c>
      <c r="E385" s="3" t="str">
        <f t="shared" si="120"/>
        <v/>
      </c>
      <c r="F385" s="3" t="str">
        <f t="shared" si="121"/>
        <v/>
      </c>
      <c r="G385" s="3" t="str">
        <f t="shared" si="122"/>
        <v/>
      </c>
      <c r="H385" s="3" t="str">
        <f t="shared" si="127"/>
        <v/>
      </c>
      <c r="I385" s="3" t="str">
        <f t="shared" si="128"/>
        <v/>
      </c>
      <c r="J385" s="2" t="str">
        <f t="shared" si="129"/>
        <v/>
      </c>
      <c r="K385" s="2" t="str">
        <f>IF(W385="","",LOOKUP('Extraction edi'!J385,Paramètrage!$A$6:$A$179,Paramètrage!$B$6:$B$179))</f>
        <v/>
      </c>
      <c r="L385" s="2" t="str">
        <f>IF(W385="","",LOOKUP('Extraction edi'!J385,Paramètrage!$A$6:$A$179,Paramètrage!$C$6:$C$179))</f>
        <v/>
      </c>
      <c r="M385" s="2" t="str">
        <f>IF(W385="","",LOOKUP('Extraction edi'!J385,Paramètrage!$A$6:$A$179,Paramètrage!$D$6:$D$179))</f>
        <v/>
      </c>
      <c r="N385" s="3" t="str">
        <f>IF(W385="","",LOOKUP('Extraction edi'!J385,Paramètrage!$A$6:$A$179,Paramètrage!$E$6:$E$179))</f>
        <v/>
      </c>
      <c r="O385" s="3" t="str">
        <f t="shared" si="130"/>
        <v/>
      </c>
      <c r="P385" s="3" t="str">
        <f t="shared" si="131"/>
        <v/>
      </c>
      <c r="Q385" s="3" t="str">
        <f t="shared" si="124"/>
        <v/>
      </c>
      <c r="R385" s="3" t="str">
        <f t="shared" si="132"/>
        <v/>
      </c>
      <c r="S385" s="3" t="str">
        <f t="shared" si="133"/>
        <v/>
      </c>
      <c r="T385" s="4" t="str">
        <f t="shared" si="134"/>
        <v/>
      </c>
      <c r="U385" s="5" t="str">
        <f t="shared" si="135"/>
        <v/>
      </c>
      <c r="V385" s="7" t="str">
        <f>IF(W385="","",IF(LOOKUP(W385,'Extration 3E date commande'!$A$6:$A$10000)=W385,LOOKUP(W385,'Extration 3E date commande'!$A$6:$A$10000,'Extration 3E date commande'!$C$6:$C$10000),"PAS DE DATE"))</f>
        <v/>
      </c>
    </row>
    <row r="386" spans="1:22" x14ac:dyDescent="0.25">
      <c r="A386" s="3" t="str">
        <f t="shared" si="125"/>
        <v/>
      </c>
      <c r="B386" s="3" t="str">
        <f t="shared" si="126"/>
        <v/>
      </c>
      <c r="C386" s="3" t="str">
        <f t="shared" si="123"/>
        <v/>
      </c>
      <c r="D386" s="3" t="str">
        <f t="shared" si="119"/>
        <v/>
      </c>
      <c r="E386" s="3" t="str">
        <f t="shared" si="120"/>
        <v/>
      </c>
      <c r="F386" s="3" t="str">
        <f t="shared" si="121"/>
        <v/>
      </c>
      <c r="G386" s="3" t="str">
        <f t="shared" si="122"/>
        <v/>
      </c>
      <c r="H386" s="3" t="str">
        <f t="shared" si="127"/>
        <v/>
      </c>
      <c r="I386" s="3" t="str">
        <f t="shared" si="128"/>
        <v/>
      </c>
      <c r="J386" s="2" t="str">
        <f t="shared" si="129"/>
        <v/>
      </c>
      <c r="K386" s="2" t="str">
        <f>IF(W386="","",LOOKUP('Extraction edi'!J386,Paramètrage!$A$6:$A$179,Paramètrage!$B$6:$B$179))</f>
        <v/>
      </c>
      <c r="L386" s="2" t="str">
        <f>IF(W386="","",LOOKUP('Extraction edi'!J386,Paramètrage!$A$6:$A$179,Paramètrage!$C$6:$C$179))</f>
        <v/>
      </c>
      <c r="M386" s="2" t="str">
        <f>IF(W386="","",LOOKUP('Extraction edi'!J386,Paramètrage!$A$6:$A$179,Paramètrage!$D$6:$D$179))</f>
        <v/>
      </c>
      <c r="N386" s="3" t="str">
        <f>IF(W386="","",LOOKUP('Extraction edi'!J386,Paramètrage!$A$6:$A$179,Paramètrage!$E$6:$E$179))</f>
        <v/>
      </c>
      <c r="O386" s="3" t="str">
        <f t="shared" si="130"/>
        <v/>
      </c>
      <c r="P386" s="3" t="str">
        <f t="shared" si="131"/>
        <v/>
      </c>
      <c r="Q386" s="3" t="str">
        <f t="shared" si="124"/>
        <v/>
      </c>
      <c r="R386" s="3" t="str">
        <f t="shared" si="132"/>
        <v/>
      </c>
      <c r="S386" s="3" t="str">
        <f t="shared" si="133"/>
        <v/>
      </c>
      <c r="T386" s="4" t="str">
        <f t="shared" si="134"/>
        <v/>
      </c>
      <c r="U386" s="5" t="str">
        <f t="shared" si="135"/>
        <v/>
      </c>
      <c r="V386" s="7" t="str">
        <f>IF(W386="","",IF(LOOKUP(W386,'Extration 3E date commande'!$A$6:$A$10000)=W386,LOOKUP(W386,'Extration 3E date commande'!$A$6:$A$10000,'Extration 3E date commande'!$C$6:$C$10000),"PAS DE DATE"))</f>
        <v/>
      </c>
    </row>
    <row r="387" spans="1:22" x14ac:dyDescent="0.25">
      <c r="A387" s="3" t="str">
        <f t="shared" si="125"/>
        <v/>
      </c>
      <c r="B387" s="3" t="str">
        <f t="shared" si="126"/>
        <v/>
      </c>
      <c r="C387" s="3" t="str">
        <f t="shared" si="123"/>
        <v/>
      </c>
      <c r="D387" s="3" t="str">
        <f t="shared" si="119"/>
        <v/>
      </c>
      <c r="E387" s="3" t="str">
        <f t="shared" si="120"/>
        <v/>
      </c>
      <c r="F387" s="3" t="str">
        <f t="shared" si="121"/>
        <v/>
      </c>
      <c r="G387" s="3" t="str">
        <f t="shared" si="122"/>
        <v/>
      </c>
      <c r="H387" s="3" t="str">
        <f t="shared" si="127"/>
        <v/>
      </c>
      <c r="I387" s="3" t="str">
        <f t="shared" si="128"/>
        <v/>
      </c>
      <c r="J387" s="2" t="str">
        <f t="shared" si="129"/>
        <v/>
      </c>
      <c r="K387" s="2" t="str">
        <f>IF(W387="","",LOOKUP('Extraction edi'!J387,Paramètrage!$A$6:$A$179,Paramètrage!$B$6:$B$179))</f>
        <v/>
      </c>
      <c r="L387" s="2" t="str">
        <f>IF(W387="","",LOOKUP('Extraction edi'!J387,Paramètrage!$A$6:$A$179,Paramètrage!$C$6:$C$179))</f>
        <v/>
      </c>
      <c r="M387" s="2" t="str">
        <f>IF(W387="","",LOOKUP('Extraction edi'!J387,Paramètrage!$A$6:$A$179,Paramètrage!$D$6:$D$179))</f>
        <v/>
      </c>
      <c r="N387" s="3" t="str">
        <f>IF(W387="","",LOOKUP('Extraction edi'!J387,Paramètrage!$A$6:$A$179,Paramètrage!$E$6:$E$179))</f>
        <v/>
      </c>
      <c r="O387" s="3" t="str">
        <f t="shared" si="130"/>
        <v/>
      </c>
      <c r="P387" s="3" t="str">
        <f t="shared" si="131"/>
        <v/>
      </c>
      <c r="Q387" s="3" t="str">
        <f t="shared" si="124"/>
        <v/>
      </c>
      <c r="R387" s="3" t="str">
        <f t="shared" si="132"/>
        <v/>
      </c>
      <c r="S387" s="3" t="str">
        <f t="shared" si="133"/>
        <v/>
      </c>
      <c r="T387" s="4" t="str">
        <f t="shared" si="134"/>
        <v/>
      </c>
      <c r="U387" s="5" t="str">
        <f t="shared" si="135"/>
        <v/>
      </c>
      <c r="V387" s="7" t="str">
        <f>IF(W387="","",IF(LOOKUP(W387,'Extration 3E date commande'!$A$6:$A$10000)=W387,LOOKUP(W387,'Extration 3E date commande'!$A$6:$A$10000,'Extration 3E date commande'!$C$6:$C$10000),"PAS DE DATE"))</f>
        <v/>
      </c>
    </row>
    <row r="388" spans="1:22" x14ac:dyDescent="0.25">
      <c r="A388" s="3" t="str">
        <f t="shared" si="125"/>
        <v/>
      </c>
      <c r="B388" s="3" t="str">
        <f t="shared" si="126"/>
        <v/>
      </c>
      <c r="C388" s="3" t="str">
        <f t="shared" si="123"/>
        <v/>
      </c>
      <c r="D388" s="3" t="str">
        <f t="shared" si="119"/>
        <v/>
      </c>
      <c r="E388" s="3" t="str">
        <f t="shared" si="120"/>
        <v/>
      </c>
      <c r="F388" s="3" t="str">
        <f t="shared" si="121"/>
        <v/>
      </c>
      <c r="G388" s="3" t="str">
        <f t="shared" si="122"/>
        <v/>
      </c>
      <c r="H388" s="3" t="str">
        <f t="shared" si="127"/>
        <v/>
      </c>
      <c r="I388" s="3" t="str">
        <f t="shared" si="128"/>
        <v/>
      </c>
      <c r="J388" s="2" t="str">
        <f t="shared" si="129"/>
        <v/>
      </c>
      <c r="K388" s="2" t="str">
        <f>IF(W388="","",LOOKUP('Extraction edi'!J388,Paramètrage!$A$6:$A$179,Paramètrage!$B$6:$B$179))</f>
        <v/>
      </c>
      <c r="L388" s="2" t="str">
        <f>IF(W388="","",LOOKUP('Extraction edi'!J388,Paramètrage!$A$6:$A$179,Paramètrage!$C$6:$C$179))</f>
        <v/>
      </c>
      <c r="M388" s="2" t="str">
        <f>IF(W388="","",LOOKUP('Extraction edi'!J388,Paramètrage!$A$6:$A$179,Paramètrage!$D$6:$D$179))</f>
        <v/>
      </c>
      <c r="N388" s="3" t="str">
        <f>IF(W388="","",LOOKUP('Extraction edi'!J388,Paramètrage!$A$6:$A$179,Paramètrage!$E$6:$E$179))</f>
        <v/>
      </c>
      <c r="O388" s="3" t="str">
        <f t="shared" si="130"/>
        <v/>
      </c>
      <c r="P388" s="3" t="str">
        <f t="shared" si="131"/>
        <v/>
      </c>
      <c r="Q388" s="3" t="str">
        <f t="shared" si="124"/>
        <v/>
      </c>
      <c r="R388" s="3" t="str">
        <f t="shared" si="132"/>
        <v/>
      </c>
      <c r="S388" s="3" t="str">
        <f t="shared" si="133"/>
        <v/>
      </c>
      <c r="T388" s="4" t="str">
        <f t="shared" si="134"/>
        <v/>
      </c>
      <c r="U388" s="5" t="str">
        <f t="shared" si="135"/>
        <v/>
      </c>
      <c r="V388" s="7" t="str">
        <f>IF(W388="","",IF(LOOKUP(W388,'Extration 3E date commande'!$A$6:$A$10000)=W388,LOOKUP(W388,'Extration 3E date commande'!$A$6:$A$10000,'Extration 3E date commande'!$C$6:$C$10000),"PAS DE DATE"))</f>
        <v/>
      </c>
    </row>
    <row r="389" spans="1:22" x14ac:dyDescent="0.25">
      <c r="A389" s="3" t="str">
        <f t="shared" si="125"/>
        <v/>
      </c>
      <c r="B389" s="3" t="str">
        <f t="shared" si="126"/>
        <v/>
      </c>
      <c r="C389" s="3" t="str">
        <f t="shared" si="123"/>
        <v/>
      </c>
      <c r="D389" s="3" t="str">
        <f t="shared" si="119"/>
        <v/>
      </c>
      <c r="E389" s="3" t="str">
        <f t="shared" si="120"/>
        <v/>
      </c>
      <c r="F389" s="3" t="str">
        <f t="shared" si="121"/>
        <v/>
      </c>
      <c r="G389" s="3" t="str">
        <f t="shared" si="122"/>
        <v/>
      </c>
      <c r="H389" s="3" t="str">
        <f t="shared" si="127"/>
        <v/>
      </c>
      <c r="I389" s="3" t="str">
        <f t="shared" si="128"/>
        <v/>
      </c>
      <c r="J389" s="2" t="str">
        <f t="shared" si="129"/>
        <v/>
      </c>
      <c r="K389" s="2" t="str">
        <f>IF(W389="","",LOOKUP('Extraction edi'!J389,Paramètrage!$A$6:$A$179,Paramètrage!$B$6:$B$179))</f>
        <v/>
      </c>
      <c r="L389" s="2" t="str">
        <f>IF(W389="","",LOOKUP('Extraction edi'!J389,Paramètrage!$A$6:$A$179,Paramètrage!$C$6:$C$179))</f>
        <v/>
      </c>
      <c r="M389" s="2" t="str">
        <f>IF(W389="","",LOOKUP('Extraction edi'!J389,Paramètrage!$A$6:$A$179,Paramètrage!$D$6:$D$179))</f>
        <v/>
      </c>
      <c r="N389" s="3" t="str">
        <f>IF(W389="","",LOOKUP('Extraction edi'!J389,Paramètrage!$A$6:$A$179,Paramètrage!$E$6:$E$179))</f>
        <v/>
      </c>
      <c r="O389" s="3" t="str">
        <f t="shared" si="130"/>
        <v/>
      </c>
      <c r="P389" s="3" t="str">
        <f t="shared" si="131"/>
        <v/>
      </c>
      <c r="Q389" s="3" t="str">
        <f t="shared" si="124"/>
        <v/>
      </c>
      <c r="R389" s="3" t="str">
        <f t="shared" si="132"/>
        <v/>
      </c>
      <c r="S389" s="3" t="str">
        <f t="shared" si="133"/>
        <v/>
      </c>
      <c r="T389" s="4" t="str">
        <f t="shared" si="134"/>
        <v/>
      </c>
      <c r="U389" s="5" t="str">
        <f t="shared" si="135"/>
        <v/>
      </c>
      <c r="V389" s="7" t="str">
        <f>IF(W389="","",IF(LOOKUP(W389,'Extration 3E date commande'!$A$6:$A$10000)=W389,LOOKUP(W389,'Extration 3E date commande'!$A$6:$A$10000,'Extration 3E date commande'!$C$6:$C$10000),"PAS DE DATE"))</f>
        <v/>
      </c>
    </row>
    <row r="390" spans="1:22" x14ac:dyDescent="0.25">
      <c r="A390" s="3" t="str">
        <f t="shared" si="125"/>
        <v/>
      </c>
      <c r="B390" s="3" t="str">
        <f t="shared" si="126"/>
        <v/>
      </c>
      <c r="C390" s="3" t="str">
        <f t="shared" si="123"/>
        <v/>
      </c>
      <c r="D390" s="3" t="str">
        <f t="shared" ref="D390:D453" si="136">IF(ISERROR(SEARCH("P",B390)),"","PE")</f>
        <v/>
      </c>
      <c r="E390" s="3" t="str">
        <f t="shared" ref="E390:E453" si="137">IF(ISERROR(SEARCH("U",B390))=FALSE,"ALU",IF(ISERROR(SEARCH("Y",B390)),"","ALU"))</f>
        <v/>
      </c>
      <c r="F390" s="3" t="str">
        <f t="shared" ref="F390:F453" si="138">IF(ISERROR(SEARCH("H",B390))=FALSE,"TEX",IF(ISERROR(SEARCH("Z",B390)),IF(ISERROR(SEARCH("X",B390)),"","TEX")))</f>
        <v/>
      </c>
      <c r="G390" s="3" t="str">
        <f t="shared" ref="G390:G453" si="139">IF(B390="","",IF(C390="SAV","NEG/RELI/SAV",IF(C390="NEGOCE","NEG/RELI/SAV",IF(C390="RELI","NEG/RELI/SAV",IF(E390="ALU","ALU",IF(D390="PE","PE",IF(F390="TEX","TEX","STD")))))))</f>
        <v/>
      </c>
      <c r="H390" s="3" t="str">
        <f t="shared" si="127"/>
        <v/>
      </c>
      <c r="I390" s="3" t="str">
        <f t="shared" si="128"/>
        <v/>
      </c>
      <c r="J390" s="2" t="str">
        <f t="shared" si="129"/>
        <v/>
      </c>
      <c r="K390" s="2" t="str">
        <f>IF(W390="","",LOOKUP('Extraction edi'!J390,Paramètrage!$A$6:$A$179,Paramètrage!$B$6:$B$179))</f>
        <v/>
      </c>
      <c r="L390" s="2" t="str">
        <f>IF(W390="","",LOOKUP('Extraction edi'!J390,Paramètrage!$A$6:$A$179,Paramètrage!$C$6:$C$179))</f>
        <v/>
      </c>
      <c r="M390" s="2" t="str">
        <f>IF(W390="","",LOOKUP('Extraction edi'!J390,Paramètrage!$A$6:$A$179,Paramètrage!$D$6:$D$179))</f>
        <v/>
      </c>
      <c r="N390" s="3" t="str">
        <f>IF(W390="","",LOOKUP('Extraction edi'!J390,Paramètrage!$A$6:$A$179,Paramètrage!$E$6:$E$179))</f>
        <v/>
      </c>
      <c r="O390" s="3" t="str">
        <f t="shared" si="130"/>
        <v/>
      </c>
      <c r="P390" s="3" t="str">
        <f t="shared" si="131"/>
        <v/>
      </c>
      <c r="Q390" s="3" t="str">
        <f t="shared" si="124"/>
        <v/>
      </c>
      <c r="R390" s="3" t="str">
        <f t="shared" si="132"/>
        <v/>
      </c>
      <c r="S390" s="3" t="str">
        <f t="shared" si="133"/>
        <v/>
      </c>
      <c r="T390" s="4" t="str">
        <f t="shared" si="134"/>
        <v/>
      </c>
      <c r="U390" s="5" t="str">
        <f t="shared" si="135"/>
        <v/>
      </c>
      <c r="V390" s="7" t="str">
        <f>IF(W390="","",IF(LOOKUP(W390,'Extration 3E date commande'!$A$6:$A$10000)=W390,LOOKUP(W390,'Extration 3E date commande'!$A$6:$A$10000,'Extration 3E date commande'!$C$6:$C$10000),"PAS DE DATE"))</f>
        <v/>
      </c>
    </row>
    <row r="391" spans="1:22" x14ac:dyDescent="0.25">
      <c r="A391" s="3" t="str">
        <f t="shared" si="125"/>
        <v/>
      </c>
      <c r="B391" s="3" t="str">
        <f t="shared" si="126"/>
        <v/>
      </c>
      <c r="C391" s="3" t="str">
        <f t="shared" ref="C391:C454" si="140">IF(ISERROR(SEARCH("ELI",B391))=FALSE,"RELIQUAT",IF(ISERROR(SEARCH("N",B391))=FALSE,"NEGOCE",IF(ISERROR(SEARCH("S",B391))=FALSE,"SAV",IF(ISERROR(SEARCH("J",B391)),"","SAV"))))</f>
        <v/>
      </c>
      <c r="D391" s="3" t="str">
        <f t="shared" si="136"/>
        <v/>
      </c>
      <c r="E391" s="3" t="str">
        <f t="shared" si="137"/>
        <v/>
      </c>
      <c r="F391" s="3" t="str">
        <f t="shared" si="138"/>
        <v/>
      </c>
      <c r="G391" s="3" t="str">
        <f t="shared" si="139"/>
        <v/>
      </c>
      <c r="H391" s="3" t="str">
        <f t="shared" si="127"/>
        <v/>
      </c>
      <c r="I391" s="3" t="str">
        <f t="shared" si="128"/>
        <v/>
      </c>
      <c r="J391" s="2" t="str">
        <f t="shared" si="129"/>
        <v/>
      </c>
      <c r="K391" s="2" t="str">
        <f>IF(W391="","",LOOKUP('Extraction edi'!J391,Paramètrage!$A$6:$A$179,Paramètrage!$B$6:$B$179))</f>
        <v/>
      </c>
      <c r="L391" s="2" t="str">
        <f>IF(W391="","",LOOKUP('Extraction edi'!J391,Paramètrage!$A$6:$A$179,Paramètrage!$C$6:$C$179))</f>
        <v/>
      </c>
      <c r="M391" s="2" t="str">
        <f>IF(W391="","",LOOKUP('Extraction edi'!J391,Paramètrage!$A$6:$A$179,Paramètrage!$D$6:$D$179))</f>
        <v/>
      </c>
      <c r="N391" s="3" t="str">
        <f>IF(W391="","",LOOKUP('Extraction edi'!J391,Paramètrage!$A$6:$A$179,Paramètrage!$E$6:$E$179))</f>
        <v/>
      </c>
      <c r="O391" s="3" t="str">
        <f t="shared" si="130"/>
        <v/>
      </c>
      <c r="P391" s="3" t="str">
        <f t="shared" si="131"/>
        <v/>
      </c>
      <c r="Q391" s="3" t="str">
        <f t="shared" si="124"/>
        <v/>
      </c>
      <c r="R391" s="3" t="str">
        <f t="shared" si="132"/>
        <v/>
      </c>
      <c r="S391" s="3" t="str">
        <f t="shared" si="133"/>
        <v/>
      </c>
      <c r="T391" s="4" t="str">
        <f t="shared" si="134"/>
        <v/>
      </c>
      <c r="U391" s="5" t="str">
        <f t="shared" si="135"/>
        <v/>
      </c>
      <c r="V391" s="7" t="str">
        <f>IF(W391="","",IF(LOOKUP(W391,'Extration 3E date commande'!$A$6:$A$10000)=W391,LOOKUP(W391,'Extration 3E date commande'!$A$6:$A$10000,'Extration 3E date commande'!$C$6:$C$10000),"PAS DE DATE"))</f>
        <v/>
      </c>
    </row>
    <row r="392" spans="1:22" x14ac:dyDescent="0.25">
      <c r="A392" s="3" t="str">
        <f t="shared" si="125"/>
        <v/>
      </c>
      <c r="B392" s="3" t="str">
        <f t="shared" si="126"/>
        <v/>
      </c>
      <c r="C392" s="3" t="str">
        <f t="shared" si="140"/>
        <v/>
      </c>
      <c r="D392" s="3" t="str">
        <f t="shared" si="136"/>
        <v/>
      </c>
      <c r="E392" s="3" t="str">
        <f t="shared" si="137"/>
        <v/>
      </c>
      <c r="F392" s="3" t="str">
        <f t="shared" si="138"/>
        <v/>
      </c>
      <c r="G392" s="3" t="str">
        <f t="shared" si="139"/>
        <v/>
      </c>
      <c r="H392" s="3" t="str">
        <f t="shared" si="127"/>
        <v/>
      </c>
      <c r="I392" s="3" t="str">
        <f t="shared" si="128"/>
        <v/>
      </c>
      <c r="J392" s="2" t="str">
        <f t="shared" si="129"/>
        <v/>
      </c>
      <c r="K392" s="2" t="str">
        <f>IF(W392="","",LOOKUP('Extraction edi'!J392,Paramètrage!$A$6:$A$179,Paramètrage!$B$6:$B$179))</f>
        <v/>
      </c>
      <c r="L392" s="2" t="str">
        <f>IF(W392="","",LOOKUP('Extraction edi'!J392,Paramètrage!$A$6:$A$179,Paramètrage!$C$6:$C$179))</f>
        <v/>
      </c>
      <c r="M392" s="2" t="str">
        <f>IF(W392="","",LOOKUP('Extraction edi'!J392,Paramètrage!$A$6:$A$179,Paramètrage!$D$6:$D$179))</f>
        <v/>
      </c>
      <c r="N392" s="3" t="str">
        <f>IF(W392="","",LOOKUP('Extraction edi'!J392,Paramètrage!$A$6:$A$179,Paramètrage!$E$6:$E$179))</f>
        <v/>
      </c>
      <c r="O392" s="3" t="str">
        <f t="shared" si="130"/>
        <v/>
      </c>
      <c r="P392" s="3" t="str">
        <f t="shared" si="131"/>
        <v/>
      </c>
      <c r="Q392" s="3" t="str">
        <f t="shared" si="124"/>
        <v/>
      </c>
      <c r="R392" s="3" t="str">
        <f t="shared" si="132"/>
        <v/>
      </c>
      <c r="S392" s="3" t="str">
        <f t="shared" si="133"/>
        <v/>
      </c>
      <c r="T392" s="4" t="str">
        <f t="shared" si="134"/>
        <v/>
      </c>
      <c r="U392" s="5" t="str">
        <f t="shared" si="135"/>
        <v/>
      </c>
      <c r="V392" s="7" t="str">
        <f>IF(W392="","",IF(LOOKUP(W392,'Extration 3E date commande'!$A$6:$A$10000)=W392,LOOKUP(W392,'Extration 3E date commande'!$A$6:$A$10000,'Extration 3E date commande'!$C$6:$C$10000),"PAS DE DATE"))</f>
        <v/>
      </c>
    </row>
    <row r="393" spans="1:22" x14ac:dyDescent="0.25">
      <c r="A393" s="3" t="str">
        <f t="shared" si="125"/>
        <v/>
      </c>
      <c r="B393" s="3" t="str">
        <f t="shared" si="126"/>
        <v/>
      </c>
      <c r="C393" s="3" t="str">
        <f t="shared" si="140"/>
        <v/>
      </c>
      <c r="D393" s="3" t="str">
        <f t="shared" si="136"/>
        <v/>
      </c>
      <c r="E393" s="3" t="str">
        <f t="shared" si="137"/>
        <v/>
      </c>
      <c r="F393" s="3" t="str">
        <f t="shared" si="138"/>
        <v/>
      </c>
      <c r="G393" s="3" t="str">
        <f t="shared" si="139"/>
        <v/>
      </c>
      <c r="H393" s="3" t="str">
        <f t="shared" si="127"/>
        <v/>
      </c>
      <c r="I393" s="3" t="str">
        <f t="shared" si="128"/>
        <v/>
      </c>
      <c r="J393" s="2" t="str">
        <f t="shared" si="129"/>
        <v/>
      </c>
      <c r="K393" s="2" t="str">
        <f>IF(W393="","",LOOKUP('Extraction edi'!J393,Paramètrage!$A$6:$A$179,Paramètrage!$B$6:$B$179))</f>
        <v/>
      </c>
      <c r="L393" s="2" t="str">
        <f>IF(W393="","",LOOKUP('Extraction edi'!J393,Paramètrage!$A$6:$A$179,Paramètrage!$C$6:$C$179))</f>
        <v/>
      </c>
      <c r="M393" s="2" t="str">
        <f>IF(W393="","",LOOKUP('Extraction edi'!J393,Paramètrage!$A$6:$A$179,Paramètrage!$D$6:$D$179))</f>
        <v/>
      </c>
      <c r="N393" s="3" t="str">
        <f>IF(W393="","",LOOKUP('Extraction edi'!J393,Paramètrage!$A$6:$A$179,Paramètrage!$E$6:$E$179))</f>
        <v/>
      </c>
      <c r="O393" s="3" t="str">
        <f t="shared" si="130"/>
        <v/>
      </c>
      <c r="P393" s="3" t="str">
        <f t="shared" si="131"/>
        <v/>
      </c>
      <c r="Q393" s="3" t="str">
        <f t="shared" si="124"/>
        <v/>
      </c>
      <c r="R393" s="3" t="str">
        <f t="shared" si="132"/>
        <v/>
      </c>
      <c r="S393" s="3" t="str">
        <f t="shared" si="133"/>
        <v/>
      </c>
      <c r="T393" s="4" t="str">
        <f t="shared" si="134"/>
        <v/>
      </c>
      <c r="U393" s="5" t="str">
        <f t="shared" si="135"/>
        <v/>
      </c>
      <c r="V393" s="7" t="str">
        <f>IF(W393="","",IF(LOOKUP(W393,'Extration 3E date commande'!$A$6:$A$10000)=W393,LOOKUP(W393,'Extration 3E date commande'!$A$6:$A$10000,'Extration 3E date commande'!$C$6:$C$10000),"PAS DE DATE"))</f>
        <v/>
      </c>
    </row>
    <row r="394" spans="1:22" x14ac:dyDescent="0.25">
      <c r="A394" s="3" t="str">
        <f t="shared" si="125"/>
        <v/>
      </c>
      <c r="B394" s="3" t="str">
        <f t="shared" si="126"/>
        <v/>
      </c>
      <c r="C394" s="3" t="str">
        <f t="shared" si="140"/>
        <v/>
      </c>
      <c r="D394" s="3" t="str">
        <f t="shared" si="136"/>
        <v/>
      </c>
      <c r="E394" s="3" t="str">
        <f t="shared" si="137"/>
        <v/>
      </c>
      <c r="F394" s="3" t="str">
        <f t="shared" si="138"/>
        <v/>
      </c>
      <c r="G394" s="3" t="str">
        <f t="shared" si="139"/>
        <v/>
      </c>
      <c r="H394" s="3" t="str">
        <f t="shared" si="127"/>
        <v/>
      </c>
      <c r="I394" s="3" t="str">
        <f t="shared" si="128"/>
        <v/>
      </c>
      <c r="J394" s="2" t="str">
        <f t="shared" si="129"/>
        <v/>
      </c>
      <c r="K394" s="2" t="str">
        <f>IF(W394="","",LOOKUP('Extraction edi'!J394,Paramètrage!$A$6:$A$179,Paramètrage!$B$6:$B$179))</f>
        <v/>
      </c>
      <c r="L394" s="2" t="str">
        <f>IF(W394="","",LOOKUP('Extraction edi'!J394,Paramètrage!$A$6:$A$179,Paramètrage!$C$6:$C$179))</f>
        <v/>
      </c>
      <c r="M394" s="2" t="str">
        <f>IF(W394="","",LOOKUP('Extraction edi'!J394,Paramètrage!$A$6:$A$179,Paramètrage!$D$6:$D$179))</f>
        <v/>
      </c>
      <c r="N394" s="3" t="str">
        <f>IF(W394="","",LOOKUP('Extraction edi'!J394,Paramètrage!$A$6:$A$179,Paramètrage!$E$6:$E$179))</f>
        <v/>
      </c>
      <c r="O394" s="3" t="str">
        <f t="shared" si="130"/>
        <v/>
      </c>
      <c r="P394" s="3" t="str">
        <f t="shared" si="131"/>
        <v/>
      </c>
      <c r="Q394" s="3" t="str">
        <f t="shared" si="124"/>
        <v/>
      </c>
      <c r="R394" s="3" t="str">
        <f t="shared" si="132"/>
        <v/>
      </c>
      <c r="S394" s="3" t="str">
        <f t="shared" si="133"/>
        <v/>
      </c>
      <c r="T394" s="4" t="str">
        <f t="shared" si="134"/>
        <v/>
      </c>
      <c r="U394" s="5" t="str">
        <f t="shared" si="135"/>
        <v/>
      </c>
      <c r="V394" s="7" t="str">
        <f>IF(W394="","",IF(LOOKUP(W394,'Extration 3E date commande'!$A$6:$A$10000)=W394,LOOKUP(W394,'Extration 3E date commande'!$A$6:$A$10000,'Extration 3E date commande'!$C$6:$C$10000),"PAS DE DATE"))</f>
        <v/>
      </c>
    </row>
    <row r="395" spans="1:22" x14ac:dyDescent="0.25">
      <c r="A395" s="3" t="str">
        <f t="shared" si="125"/>
        <v/>
      </c>
      <c r="B395" s="3" t="str">
        <f t="shared" si="126"/>
        <v/>
      </c>
      <c r="C395" s="3" t="str">
        <f t="shared" si="140"/>
        <v/>
      </c>
      <c r="D395" s="3" t="str">
        <f t="shared" si="136"/>
        <v/>
      </c>
      <c r="E395" s="3" t="str">
        <f t="shared" si="137"/>
        <v/>
      </c>
      <c r="F395" s="3" t="str">
        <f t="shared" si="138"/>
        <v/>
      </c>
      <c r="G395" s="3" t="str">
        <f t="shared" si="139"/>
        <v/>
      </c>
      <c r="H395" s="3" t="str">
        <f t="shared" si="127"/>
        <v/>
      </c>
      <c r="I395" s="3" t="str">
        <f t="shared" si="128"/>
        <v/>
      </c>
      <c r="J395" s="2" t="str">
        <f t="shared" si="129"/>
        <v/>
      </c>
      <c r="K395" s="2" t="str">
        <f>IF(W395="","",LOOKUP('Extraction edi'!J395,Paramètrage!$A$6:$A$179,Paramètrage!$B$6:$B$179))</f>
        <v/>
      </c>
      <c r="L395" s="2" t="str">
        <f>IF(W395="","",LOOKUP('Extraction edi'!J395,Paramètrage!$A$6:$A$179,Paramètrage!$C$6:$C$179))</f>
        <v/>
      </c>
      <c r="M395" s="2" t="str">
        <f>IF(W395="","",LOOKUP('Extraction edi'!J395,Paramètrage!$A$6:$A$179,Paramètrage!$D$6:$D$179))</f>
        <v/>
      </c>
      <c r="N395" s="3" t="str">
        <f>IF(W395="","",LOOKUP('Extraction edi'!J395,Paramètrage!$A$6:$A$179,Paramètrage!$E$6:$E$179))</f>
        <v/>
      </c>
      <c r="O395" s="3" t="str">
        <f t="shared" si="130"/>
        <v/>
      </c>
      <c r="P395" s="3" t="str">
        <f t="shared" si="131"/>
        <v/>
      </c>
      <c r="Q395" s="3" t="str">
        <f t="shared" si="124"/>
        <v/>
      </c>
      <c r="R395" s="3" t="str">
        <f t="shared" si="132"/>
        <v/>
      </c>
      <c r="S395" s="3" t="str">
        <f t="shared" si="133"/>
        <v/>
      </c>
      <c r="T395" s="4" t="str">
        <f t="shared" si="134"/>
        <v/>
      </c>
      <c r="U395" s="5" t="str">
        <f t="shared" si="135"/>
        <v/>
      </c>
      <c r="V395" s="7" t="str">
        <f>IF(W395="","",IF(LOOKUP(W395,'Extration 3E date commande'!$A$6:$A$10000)=W395,LOOKUP(W395,'Extration 3E date commande'!$A$6:$A$10000,'Extration 3E date commande'!$C$6:$C$10000),"PAS DE DATE"))</f>
        <v/>
      </c>
    </row>
    <row r="396" spans="1:22" x14ac:dyDescent="0.25">
      <c r="A396" s="3" t="str">
        <f t="shared" si="125"/>
        <v/>
      </c>
      <c r="B396" s="3" t="str">
        <f t="shared" si="126"/>
        <v/>
      </c>
      <c r="C396" s="3" t="str">
        <f t="shared" si="140"/>
        <v/>
      </c>
      <c r="D396" s="3" t="str">
        <f t="shared" si="136"/>
        <v/>
      </c>
      <c r="E396" s="3" t="str">
        <f t="shared" si="137"/>
        <v/>
      </c>
      <c r="F396" s="3" t="str">
        <f t="shared" si="138"/>
        <v/>
      </c>
      <c r="G396" s="3" t="str">
        <f t="shared" si="139"/>
        <v/>
      </c>
      <c r="H396" s="3" t="str">
        <f t="shared" si="127"/>
        <v/>
      </c>
      <c r="I396" s="3" t="str">
        <f t="shared" si="128"/>
        <v/>
      </c>
      <c r="J396" s="2" t="str">
        <f t="shared" si="129"/>
        <v/>
      </c>
      <c r="K396" s="2" t="str">
        <f>IF(W396="","",LOOKUP('Extraction edi'!J396,Paramètrage!$A$6:$A$179,Paramètrage!$B$6:$B$179))</f>
        <v/>
      </c>
      <c r="L396" s="2" t="str">
        <f>IF(W396="","",LOOKUP('Extraction edi'!J396,Paramètrage!$A$6:$A$179,Paramètrage!$C$6:$C$179))</f>
        <v/>
      </c>
      <c r="M396" s="2" t="str">
        <f>IF(W396="","",LOOKUP('Extraction edi'!J396,Paramètrage!$A$6:$A$179,Paramètrage!$D$6:$D$179))</f>
        <v/>
      </c>
      <c r="N396" s="3" t="str">
        <f>IF(W396="","",LOOKUP('Extraction edi'!J396,Paramètrage!$A$6:$A$179,Paramètrage!$E$6:$E$179))</f>
        <v/>
      </c>
      <c r="O396" s="3" t="str">
        <f t="shared" si="130"/>
        <v/>
      </c>
      <c r="P396" s="3" t="str">
        <f t="shared" si="131"/>
        <v/>
      </c>
      <c r="Q396" s="3" t="str">
        <f t="shared" si="124"/>
        <v/>
      </c>
      <c r="R396" s="3" t="str">
        <f t="shared" si="132"/>
        <v/>
      </c>
      <c r="S396" s="3" t="str">
        <f t="shared" si="133"/>
        <v/>
      </c>
      <c r="T396" s="4" t="str">
        <f t="shared" si="134"/>
        <v/>
      </c>
      <c r="U396" s="5" t="str">
        <f t="shared" si="135"/>
        <v/>
      </c>
      <c r="V396" s="7" t="str">
        <f>IF(W396="","",IF(LOOKUP(W396,'Extration 3E date commande'!$A$6:$A$10000)=W396,LOOKUP(W396,'Extration 3E date commande'!$A$6:$A$10000,'Extration 3E date commande'!$C$6:$C$10000),"PAS DE DATE"))</f>
        <v/>
      </c>
    </row>
    <row r="397" spans="1:22" x14ac:dyDescent="0.25">
      <c r="A397" s="3" t="str">
        <f t="shared" si="125"/>
        <v/>
      </c>
      <c r="B397" s="3" t="str">
        <f t="shared" si="126"/>
        <v/>
      </c>
      <c r="C397" s="3" t="str">
        <f t="shared" si="140"/>
        <v/>
      </c>
      <c r="D397" s="3" t="str">
        <f t="shared" si="136"/>
        <v/>
      </c>
      <c r="E397" s="3" t="str">
        <f t="shared" si="137"/>
        <v/>
      </c>
      <c r="F397" s="3" t="str">
        <f t="shared" si="138"/>
        <v/>
      </c>
      <c r="G397" s="3" t="str">
        <f t="shared" si="139"/>
        <v/>
      </c>
      <c r="H397" s="3" t="str">
        <f t="shared" si="127"/>
        <v/>
      </c>
      <c r="I397" s="3" t="str">
        <f t="shared" si="128"/>
        <v/>
      </c>
      <c r="J397" s="2" t="str">
        <f t="shared" si="129"/>
        <v/>
      </c>
      <c r="K397" s="2" t="str">
        <f>IF(W397="","",LOOKUP('Extraction edi'!J397,Paramètrage!$A$6:$A$179,Paramètrage!$B$6:$B$179))</f>
        <v/>
      </c>
      <c r="L397" s="2" t="str">
        <f>IF(W397="","",LOOKUP('Extraction edi'!J397,Paramètrage!$A$6:$A$179,Paramètrage!$C$6:$C$179))</f>
        <v/>
      </c>
      <c r="M397" s="2" t="str">
        <f>IF(W397="","",LOOKUP('Extraction edi'!J397,Paramètrage!$A$6:$A$179,Paramètrage!$D$6:$D$179))</f>
        <v/>
      </c>
      <c r="N397" s="3" t="str">
        <f>IF(W397="","",LOOKUP('Extraction edi'!J397,Paramètrage!$A$6:$A$179,Paramètrage!$E$6:$E$179))</f>
        <v/>
      </c>
      <c r="O397" s="3" t="str">
        <f t="shared" si="130"/>
        <v/>
      </c>
      <c r="P397" s="3" t="str">
        <f t="shared" si="131"/>
        <v/>
      </c>
      <c r="Q397" s="3" t="str">
        <f t="shared" si="124"/>
        <v/>
      </c>
      <c r="R397" s="3" t="str">
        <f t="shared" si="132"/>
        <v/>
      </c>
      <c r="S397" s="3" t="str">
        <f t="shared" si="133"/>
        <v/>
      </c>
      <c r="T397" s="4" t="str">
        <f t="shared" si="134"/>
        <v/>
      </c>
      <c r="U397" s="5" t="str">
        <f t="shared" si="135"/>
        <v/>
      </c>
      <c r="V397" s="7" t="str">
        <f>IF(W397="","",IF(LOOKUP(W397,'Extration 3E date commande'!$A$6:$A$10000)=W397,LOOKUP(W397,'Extration 3E date commande'!$A$6:$A$10000,'Extration 3E date commande'!$C$6:$C$10000),"PAS DE DATE"))</f>
        <v/>
      </c>
    </row>
    <row r="398" spans="1:22" x14ac:dyDescent="0.25">
      <c r="A398" s="3" t="str">
        <f t="shared" si="125"/>
        <v/>
      </c>
      <c r="B398" s="3" t="str">
        <f t="shared" si="126"/>
        <v/>
      </c>
      <c r="C398" s="3" t="str">
        <f t="shared" si="140"/>
        <v/>
      </c>
      <c r="D398" s="3" t="str">
        <f t="shared" si="136"/>
        <v/>
      </c>
      <c r="E398" s="3" t="str">
        <f t="shared" si="137"/>
        <v/>
      </c>
      <c r="F398" s="3" t="str">
        <f t="shared" si="138"/>
        <v/>
      </c>
      <c r="G398" s="3" t="str">
        <f t="shared" si="139"/>
        <v/>
      </c>
      <c r="H398" s="3" t="str">
        <f t="shared" si="127"/>
        <v/>
      </c>
      <c r="I398" s="3" t="str">
        <f t="shared" si="128"/>
        <v/>
      </c>
      <c r="J398" s="2" t="str">
        <f t="shared" si="129"/>
        <v/>
      </c>
      <c r="K398" s="2" t="str">
        <f>IF(W398="","",LOOKUP('Extraction edi'!J398,Paramètrage!$A$6:$A$179,Paramètrage!$B$6:$B$179))</f>
        <v/>
      </c>
      <c r="L398" s="2" t="str">
        <f>IF(W398="","",LOOKUP('Extraction edi'!J398,Paramètrage!$A$6:$A$179,Paramètrage!$C$6:$C$179))</f>
        <v/>
      </c>
      <c r="M398" s="2" t="str">
        <f>IF(W398="","",LOOKUP('Extraction edi'!J398,Paramètrage!$A$6:$A$179,Paramètrage!$D$6:$D$179))</f>
        <v/>
      </c>
      <c r="N398" s="3" t="str">
        <f>IF(W398="","",LOOKUP('Extraction edi'!J398,Paramètrage!$A$6:$A$179,Paramètrage!$E$6:$E$179))</f>
        <v/>
      </c>
      <c r="O398" s="3" t="str">
        <f t="shared" si="130"/>
        <v/>
      </c>
      <c r="P398" s="3" t="str">
        <f t="shared" si="131"/>
        <v/>
      </c>
      <c r="Q398" s="3" t="str">
        <f t="shared" si="124"/>
        <v/>
      </c>
      <c r="R398" s="3" t="str">
        <f t="shared" si="132"/>
        <v/>
      </c>
      <c r="S398" s="3" t="str">
        <f t="shared" si="133"/>
        <v/>
      </c>
      <c r="T398" s="4" t="str">
        <f t="shared" si="134"/>
        <v/>
      </c>
      <c r="U398" s="5" t="str">
        <f t="shared" si="135"/>
        <v/>
      </c>
      <c r="V398" s="7" t="str">
        <f>IF(W398="","",IF(LOOKUP(W398,'Extration 3E date commande'!$A$6:$A$10000)=W398,LOOKUP(W398,'Extration 3E date commande'!$A$6:$A$10000,'Extration 3E date commande'!$C$6:$C$10000),"PAS DE DATE"))</f>
        <v/>
      </c>
    </row>
    <row r="399" spans="1:22" x14ac:dyDescent="0.25">
      <c r="A399" s="3" t="str">
        <f t="shared" si="125"/>
        <v/>
      </c>
      <c r="B399" s="3" t="str">
        <f t="shared" si="126"/>
        <v/>
      </c>
      <c r="C399" s="3" t="str">
        <f t="shared" si="140"/>
        <v/>
      </c>
      <c r="D399" s="3" t="str">
        <f t="shared" si="136"/>
        <v/>
      </c>
      <c r="E399" s="3" t="str">
        <f t="shared" si="137"/>
        <v/>
      </c>
      <c r="F399" s="3" t="str">
        <f t="shared" si="138"/>
        <v/>
      </c>
      <c r="G399" s="3" t="str">
        <f t="shared" si="139"/>
        <v/>
      </c>
      <c r="H399" s="3" t="str">
        <f t="shared" si="127"/>
        <v/>
      </c>
      <c r="I399" s="3" t="str">
        <f t="shared" si="128"/>
        <v/>
      </c>
      <c r="J399" s="2" t="str">
        <f t="shared" si="129"/>
        <v/>
      </c>
      <c r="K399" s="2" t="str">
        <f>IF(W399="","",LOOKUP('Extraction edi'!J399,Paramètrage!$A$6:$A$179,Paramètrage!$B$6:$B$179))</f>
        <v/>
      </c>
      <c r="L399" s="2" t="str">
        <f>IF(W399="","",LOOKUP('Extraction edi'!J399,Paramètrage!$A$6:$A$179,Paramètrage!$C$6:$C$179))</f>
        <v/>
      </c>
      <c r="M399" s="2" t="str">
        <f>IF(W399="","",LOOKUP('Extraction edi'!J399,Paramètrage!$A$6:$A$179,Paramètrage!$D$6:$D$179))</f>
        <v/>
      </c>
      <c r="N399" s="3" t="str">
        <f>IF(W399="","",LOOKUP('Extraction edi'!J399,Paramètrage!$A$6:$A$179,Paramètrage!$E$6:$E$179))</f>
        <v/>
      </c>
      <c r="O399" s="3" t="str">
        <f t="shared" si="130"/>
        <v/>
      </c>
      <c r="P399" s="3" t="str">
        <f t="shared" si="131"/>
        <v/>
      </c>
      <c r="Q399" s="3" t="str">
        <f t="shared" ref="Q399:Q462" si="141">IF(ISERROR(SEARCH("laq",J399))=FALSE,"laquage RAL :",IF(ISERROR(SEARCH("lq",J399))=FALSE,"laquage RAL :",IF(ISERROR(SEARCH("ANO",J398))=FALSE,"laquage RAL :",IF(ISERROR(SEARCH("IVOI",J399)),"","laquage RAL :"))))</f>
        <v/>
      </c>
      <c r="R399" s="3" t="str">
        <f t="shared" si="132"/>
        <v/>
      </c>
      <c r="S399" s="3" t="str">
        <f t="shared" si="133"/>
        <v/>
      </c>
      <c r="T399" s="4" t="str">
        <f t="shared" si="134"/>
        <v/>
      </c>
      <c r="U399" s="5" t="str">
        <f t="shared" si="135"/>
        <v/>
      </c>
      <c r="V399" s="7" t="str">
        <f>IF(W399="","",IF(LOOKUP(W399,'Extration 3E date commande'!$A$6:$A$10000)=W399,LOOKUP(W399,'Extration 3E date commande'!$A$6:$A$10000,'Extration 3E date commande'!$C$6:$C$10000),"PAS DE DATE"))</f>
        <v/>
      </c>
    </row>
    <row r="400" spans="1:22" x14ac:dyDescent="0.25">
      <c r="A400" s="3" t="str">
        <f t="shared" si="125"/>
        <v/>
      </c>
      <c r="B400" s="3" t="str">
        <f t="shared" si="126"/>
        <v/>
      </c>
      <c r="C400" s="3" t="str">
        <f t="shared" si="140"/>
        <v/>
      </c>
      <c r="D400" s="3" t="str">
        <f t="shared" si="136"/>
        <v/>
      </c>
      <c r="E400" s="3" t="str">
        <f t="shared" si="137"/>
        <v/>
      </c>
      <c r="F400" s="3" t="str">
        <f t="shared" si="138"/>
        <v/>
      </c>
      <c r="G400" s="3" t="str">
        <f t="shared" si="139"/>
        <v/>
      </c>
      <c r="H400" s="3" t="str">
        <f t="shared" si="127"/>
        <v/>
      </c>
      <c r="I400" s="3" t="str">
        <f t="shared" si="128"/>
        <v/>
      </c>
      <c r="J400" s="2" t="str">
        <f t="shared" si="129"/>
        <v/>
      </c>
      <c r="K400" s="2" t="str">
        <f>IF(W400="","",LOOKUP('Extraction edi'!J400,Paramètrage!$A$6:$A$179,Paramètrage!$B$6:$B$179))</f>
        <v/>
      </c>
      <c r="L400" s="2" t="str">
        <f>IF(W400="","",LOOKUP('Extraction edi'!J400,Paramètrage!$A$6:$A$179,Paramètrage!$C$6:$C$179))</f>
        <v/>
      </c>
      <c r="M400" s="2" t="str">
        <f>IF(W400="","",LOOKUP('Extraction edi'!J400,Paramètrage!$A$6:$A$179,Paramètrage!$D$6:$D$179))</f>
        <v/>
      </c>
      <c r="N400" s="3" t="str">
        <f>IF(W400="","",LOOKUP('Extraction edi'!J400,Paramètrage!$A$6:$A$179,Paramètrage!$E$6:$E$179))</f>
        <v/>
      </c>
      <c r="O400" s="3" t="str">
        <f t="shared" si="130"/>
        <v/>
      </c>
      <c r="P400" s="3" t="str">
        <f t="shared" si="131"/>
        <v/>
      </c>
      <c r="Q400" s="3" t="str">
        <f t="shared" si="141"/>
        <v/>
      </c>
      <c r="R400" s="3" t="str">
        <f t="shared" si="132"/>
        <v/>
      </c>
      <c r="S400" s="3" t="str">
        <f t="shared" si="133"/>
        <v/>
      </c>
      <c r="T400" s="4" t="str">
        <f t="shared" si="134"/>
        <v/>
      </c>
      <c r="U400" s="5" t="str">
        <f t="shared" si="135"/>
        <v/>
      </c>
      <c r="V400" s="7" t="str">
        <f>IF(W400="","",IF(LOOKUP(W400,'Extration 3E date commande'!$A$6:$A$10000)=W400,LOOKUP(W400,'Extration 3E date commande'!$A$6:$A$10000,'Extration 3E date commande'!$C$6:$C$10000),"PAS DE DATE"))</f>
        <v/>
      </c>
    </row>
    <row r="401" spans="1:22" x14ac:dyDescent="0.25">
      <c r="A401" s="3" t="str">
        <f t="shared" si="125"/>
        <v/>
      </c>
      <c r="B401" s="3" t="str">
        <f t="shared" si="126"/>
        <v/>
      </c>
      <c r="C401" s="3" t="str">
        <f t="shared" si="140"/>
        <v/>
      </c>
      <c r="D401" s="3" t="str">
        <f t="shared" si="136"/>
        <v/>
      </c>
      <c r="E401" s="3" t="str">
        <f t="shared" si="137"/>
        <v/>
      </c>
      <c r="F401" s="3" t="str">
        <f t="shared" si="138"/>
        <v/>
      </c>
      <c r="G401" s="3" t="str">
        <f t="shared" si="139"/>
        <v/>
      </c>
      <c r="H401" s="3" t="str">
        <f t="shared" si="127"/>
        <v/>
      </c>
      <c r="I401" s="3" t="str">
        <f t="shared" si="128"/>
        <v/>
      </c>
      <c r="J401" s="2" t="str">
        <f t="shared" si="129"/>
        <v/>
      </c>
      <c r="K401" s="2" t="str">
        <f>IF(W401="","",LOOKUP('Extraction edi'!J401,Paramètrage!$A$6:$A$179,Paramètrage!$B$6:$B$179))</f>
        <v/>
      </c>
      <c r="L401" s="2" t="str">
        <f>IF(W401="","",LOOKUP('Extraction edi'!J401,Paramètrage!$A$6:$A$179,Paramètrage!$C$6:$C$179))</f>
        <v/>
      </c>
      <c r="M401" s="2" t="str">
        <f>IF(W401="","",LOOKUP('Extraction edi'!J401,Paramètrage!$A$6:$A$179,Paramètrage!$D$6:$D$179))</f>
        <v/>
      </c>
      <c r="N401" s="3" t="str">
        <f>IF(W401="","",LOOKUP('Extraction edi'!J401,Paramètrage!$A$6:$A$179,Paramètrage!$E$6:$E$179))</f>
        <v/>
      </c>
      <c r="O401" s="3" t="str">
        <f t="shared" si="130"/>
        <v/>
      </c>
      <c r="P401" s="3" t="str">
        <f t="shared" si="131"/>
        <v/>
      </c>
      <c r="Q401" s="3" t="str">
        <f t="shared" si="141"/>
        <v/>
      </c>
      <c r="R401" s="3" t="str">
        <f t="shared" si="132"/>
        <v/>
      </c>
      <c r="S401" s="3" t="str">
        <f t="shared" si="133"/>
        <v/>
      </c>
      <c r="T401" s="4" t="str">
        <f t="shared" si="134"/>
        <v/>
      </c>
      <c r="U401" s="5" t="str">
        <f t="shared" si="135"/>
        <v/>
      </c>
      <c r="V401" s="7" t="str">
        <f>IF(W401="","",IF(LOOKUP(W401,'Extration 3E date commande'!$A$6:$A$10000)=W401,LOOKUP(W401,'Extration 3E date commande'!$A$6:$A$10000,'Extration 3E date commande'!$C$6:$C$10000),"PAS DE DATE"))</f>
        <v/>
      </c>
    </row>
    <row r="402" spans="1:22" x14ac:dyDescent="0.25">
      <c r="A402" s="3" t="str">
        <f t="shared" si="125"/>
        <v/>
      </c>
      <c r="B402" s="3" t="str">
        <f t="shared" si="126"/>
        <v/>
      </c>
      <c r="C402" s="3" t="str">
        <f t="shared" si="140"/>
        <v/>
      </c>
      <c r="D402" s="3" t="str">
        <f t="shared" si="136"/>
        <v/>
      </c>
      <c r="E402" s="3" t="str">
        <f t="shared" si="137"/>
        <v/>
      </c>
      <c r="F402" s="3" t="str">
        <f t="shared" si="138"/>
        <v/>
      </c>
      <c r="G402" s="3" t="str">
        <f t="shared" si="139"/>
        <v/>
      </c>
      <c r="H402" s="3" t="str">
        <f t="shared" si="127"/>
        <v/>
      </c>
      <c r="I402" s="3" t="str">
        <f t="shared" si="128"/>
        <v/>
      </c>
      <c r="J402" s="2" t="str">
        <f t="shared" si="129"/>
        <v/>
      </c>
      <c r="K402" s="2" t="str">
        <f>IF(W402="","",LOOKUP('Extraction edi'!J402,Paramètrage!$A$6:$A$179,Paramètrage!$B$6:$B$179))</f>
        <v/>
      </c>
      <c r="L402" s="2" t="str">
        <f>IF(W402="","",LOOKUP('Extraction edi'!J402,Paramètrage!$A$6:$A$179,Paramètrage!$C$6:$C$179))</f>
        <v/>
      </c>
      <c r="M402" s="2" t="str">
        <f>IF(W402="","",LOOKUP('Extraction edi'!J402,Paramètrage!$A$6:$A$179,Paramètrage!$D$6:$D$179))</f>
        <v/>
      </c>
      <c r="N402" s="3" t="str">
        <f>IF(W402="","",LOOKUP('Extraction edi'!J402,Paramètrage!$A$6:$A$179,Paramètrage!$E$6:$E$179))</f>
        <v/>
      </c>
      <c r="O402" s="3" t="str">
        <f t="shared" si="130"/>
        <v/>
      </c>
      <c r="P402" s="3" t="str">
        <f t="shared" si="131"/>
        <v/>
      </c>
      <c r="Q402" s="3" t="str">
        <f t="shared" si="141"/>
        <v/>
      </c>
      <c r="R402" s="3" t="str">
        <f t="shared" si="132"/>
        <v/>
      </c>
      <c r="S402" s="3" t="str">
        <f t="shared" si="133"/>
        <v/>
      </c>
      <c r="T402" s="4" t="str">
        <f t="shared" si="134"/>
        <v/>
      </c>
      <c r="U402" s="5" t="str">
        <f t="shared" si="135"/>
        <v/>
      </c>
      <c r="V402" s="7" t="str">
        <f>IF(W402="","",IF(LOOKUP(W402,'Extration 3E date commande'!$A$6:$A$10000)=W402,LOOKUP(W402,'Extration 3E date commande'!$A$6:$A$10000,'Extration 3E date commande'!$C$6:$C$10000),"PAS DE DATE"))</f>
        <v/>
      </c>
    </row>
    <row r="403" spans="1:22" x14ac:dyDescent="0.25">
      <c r="A403" s="3" t="str">
        <f t="shared" si="125"/>
        <v/>
      </c>
      <c r="B403" s="3" t="str">
        <f t="shared" si="126"/>
        <v/>
      </c>
      <c r="C403" s="3" t="str">
        <f t="shared" si="140"/>
        <v/>
      </c>
      <c r="D403" s="3" t="str">
        <f t="shared" si="136"/>
        <v/>
      </c>
      <c r="E403" s="3" t="str">
        <f t="shared" si="137"/>
        <v/>
      </c>
      <c r="F403" s="3" t="str">
        <f t="shared" si="138"/>
        <v/>
      </c>
      <c r="G403" s="3" t="str">
        <f t="shared" si="139"/>
        <v/>
      </c>
      <c r="H403" s="3" t="str">
        <f t="shared" si="127"/>
        <v/>
      </c>
      <c r="I403" s="3" t="str">
        <f t="shared" si="128"/>
        <v/>
      </c>
      <c r="J403" s="2" t="str">
        <f t="shared" si="129"/>
        <v/>
      </c>
      <c r="K403" s="2" t="str">
        <f>IF(W403="","",LOOKUP('Extraction edi'!J403,Paramètrage!$A$6:$A$179,Paramètrage!$B$6:$B$179))</f>
        <v/>
      </c>
      <c r="L403" s="2" t="str">
        <f>IF(W403="","",LOOKUP('Extraction edi'!J403,Paramètrage!$A$6:$A$179,Paramètrage!$C$6:$C$179))</f>
        <v/>
      </c>
      <c r="M403" s="2" t="str">
        <f>IF(W403="","",LOOKUP('Extraction edi'!J403,Paramètrage!$A$6:$A$179,Paramètrage!$D$6:$D$179))</f>
        <v/>
      </c>
      <c r="N403" s="3" t="str">
        <f>IF(W403="","",LOOKUP('Extraction edi'!J403,Paramètrage!$A$6:$A$179,Paramètrage!$E$6:$E$179))</f>
        <v/>
      </c>
      <c r="O403" s="3" t="str">
        <f t="shared" si="130"/>
        <v/>
      </c>
      <c r="P403" s="3" t="str">
        <f t="shared" si="131"/>
        <v/>
      </c>
      <c r="Q403" s="3" t="str">
        <f t="shared" si="141"/>
        <v/>
      </c>
      <c r="R403" s="3" t="str">
        <f t="shared" si="132"/>
        <v/>
      </c>
      <c r="S403" s="3" t="str">
        <f t="shared" si="133"/>
        <v/>
      </c>
      <c r="T403" s="4" t="str">
        <f t="shared" si="134"/>
        <v/>
      </c>
      <c r="U403" s="5" t="str">
        <f t="shared" si="135"/>
        <v/>
      </c>
      <c r="V403" s="7" t="str">
        <f>IF(W403="","",IF(LOOKUP(W403,'Extration 3E date commande'!$A$6:$A$10000)=W403,LOOKUP(W403,'Extration 3E date commande'!$A$6:$A$10000,'Extration 3E date commande'!$C$6:$C$10000),"PAS DE DATE"))</f>
        <v/>
      </c>
    </row>
    <row r="404" spans="1:22" x14ac:dyDescent="0.25">
      <c r="A404" s="3" t="str">
        <f t="shared" si="125"/>
        <v/>
      </c>
      <c r="B404" s="3" t="str">
        <f t="shared" si="126"/>
        <v/>
      </c>
      <c r="C404" s="3" t="str">
        <f t="shared" si="140"/>
        <v/>
      </c>
      <c r="D404" s="3" t="str">
        <f t="shared" si="136"/>
        <v/>
      </c>
      <c r="E404" s="3" t="str">
        <f t="shared" si="137"/>
        <v/>
      </c>
      <c r="F404" s="3" t="str">
        <f t="shared" si="138"/>
        <v/>
      </c>
      <c r="G404" s="3" t="str">
        <f t="shared" si="139"/>
        <v/>
      </c>
      <c r="H404" s="3" t="str">
        <f t="shared" si="127"/>
        <v/>
      </c>
      <c r="I404" s="3" t="str">
        <f t="shared" si="128"/>
        <v/>
      </c>
      <c r="J404" s="2" t="str">
        <f t="shared" si="129"/>
        <v/>
      </c>
      <c r="K404" s="2" t="str">
        <f>IF(W404="","",LOOKUP('Extraction edi'!J404,Paramètrage!$A$6:$A$179,Paramètrage!$B$6:$B$179))</f>
        <v/>
      </c>
      <c r="L404" s="2" t="str">
        <f>IF(W404="","",LOOKUP('Extraction edi'!J404,Paramètrage!$A$6:$A$179,Paramètrage!$C$6:$C$179))</f>
        <v/>
      </c>
      <c r="M404" s="2" t="str">
        <f>IF(W404="","",LOOKUP('Extraction edi'!J404,Paramètrage!$A$6:$A$179,Paramètrage!$D$6:$D$179))</f>
        <v/>
      </c>
      <c r="N404" s="3" t="str">
        <f>IF(W404="","",LOOKUP('Extraction edi'!J404,Paramètrage!$A$6:$A$179,Paramètrage!$E$6:$E$179))</f>
        <v/>
      </c>
      <c r="O404" s="3" t="str">
        <f t="shared" si="130"/>
        <v/>
      </c>
      <c r="P404" s="3" t="str">
        <f t="shared" si="131"/>
        <v/>
      </c>
      <c r="Q404" s="3" t="str">
        <f t="shared" si="141"/>
        <v/>
      </c>
      <c r="R404" s="3" t="str">
        <f t="shared" si="132"/>
        <v/>
      </c>
      <c r="S404" s="3" t="str">
        <f t="shared" si="133"/>
        <v/>
      </c>
      <c r="T404" s="4" t="str">
        <f t="shared" si="134"/>
        <v/>
      </c>
      <c r="U404" s="5" t="str">
        <f t="shared" si="135"/>
        <v/>
      </c>
      <c r="V404" s="7" t="str">
        <f>IF(W404="","",IF(LOOKUP(W404,'Extration 3E date commande'!$A$6:$A$10000)=W404,LOOKUP(W404,'Extration 3E date commande'!$A$6:$A$10000,'Extration 3E date commande'!$C$6:$C$10000),"PAS DE DATE"))</f>
        <v/>
      </c>
    </row>
    <row r="405" spans="1:22" x14ac:dyDescent="0.25">
      <c r="A405" s="3" t="str">
        <f t="shared" si="125"/>
        <v/>
      </c>
      <c r="B405" s="3" t="str">
        <f t="shared" si="126"/>
        <v/>
      </c>
      <c r="C405" s="3" t="str">
        <f t="shared" si="140"/>
        <v/>
      </c>
      <c r="D405" s="3" t="str">
        <f t="shared" si="136"/>
        <v/>
      </c>
      <c r="E405" s="3" t="str">
        <f t="shared" si="137"/>
        <v/>
      </c>
      <c r="F405" s="3" t="str">
        <f t="shared" si="138"/>
        <v/>
      </c>
      <c r="G405" s="3" t="str">
        <f t="shared" si="139"/>
        <v/>
      </c>
      <c r="H405" s="3" t="str">
        <f t="shared" si="127"/>
        <v/>
      </c>
      <c r="I405" s="3" t="str">
        <f t="shared" si="128"/>
        <v/>
      </c>
      <c r="J405" s="2" t="str">
        <f t="shared" si="129"/>
        <v/>
      </c>
      <c r="K405" s="2" t="str">
        <f>IF(W405="","",LOOKUP('Extraction edi'!J405,Paramètrage!$A$6:$A$179,Paramètrage!$B$6:$B$179))</f>
        <v/>
      </c>
      <c r="L405" s="2" t="str">
        <f>IF(W405="","",LOOKUP('Extraction edi'!J405,Paramètrage!$A$6:$A$179,Paramètrage!$C$6:$C$179))</f>
        <v/>
      </c>
      <c r="M405" s="2" t="str">
        <f>IF(W405="","",LOOKUP('Extraction edi'!J405,Paramètrage!$A$6:$A$179,Paramètrage!$D$6:$D$179))</f>
        <v/>
      </c>
      <c r="N405" s="3" t="str">
        <f>IF(W405="","",LOOKUP('Extraction edi'!J405,Paramètrage!$A$6:$A$179,Paramètrage!$E$6:$E$179))</f>
        <v/>
      </c>
      <c r="O405" s="3" t="str">
        <f t="shared" si="130"/>
        <v/>
      </c>
      <c r="P405" s="3" t="str">
        <f t="shared" si="131"/>
        <v/>
      </c>
      <c r="Q405" s="3" t="str">
        <f t="shared" si="141"/>
        <v/>
      </c>
      <c r="R405" s="3" t="str">
        <f t="shared" si="132"/>
        <v/>
      </c>
      <c r="S405" s="3" t="str">
        <f t="shared" si="133"/>
        <v/>
      </c>
      <c r="T405" s="4" t="str">
        <f t="shared" si="134"/>
        <v/>
      </c>
      <c r="U405" s="5" t="str">
        <f t="shared" si="135"/>
        <v/>
      </c>
      <c r="V405" s="7" t="str">
        <f>IF(W405="","",IF(LOOKUP(W405,'Extration 3E date commande'!$A$6:$A$10000)=W405,LOOKUP(W405,'Extration 3E date commande'!$A$6:$A$10000,'Extration 3E date commande'!$C$6:$C$10000),"PAS DE DATE"))</f>
        <v/>
      </c>
    </row>
    <row r="406" spans="1:22" x14ac:dyDescent="0.25">
      <c r="A406" s="3" t="str">
        <f t="shared" ref="A406:A469" si="142">IF(W406="","",LEFT(W406,7))</f>
        <v/>
      </c>
      <c r="B406" s="3" t="str">
        <f t="shared" ref="B406:B469" si="143">IF(W406="","",RIGHT(W406,3))</f>
        <v/>
      </c>
      <c r="C406" s="3" t="str">
        <f t="shared" si="140"/>
        <v/>
      </c>
      <c r="D406" s="3" t="str">
        <f t="shared" si="136"/>
        <v/>
      </c>
      <c r="E406" s="3" t="str">
        <f t="shared" si="137"/>
        <v/>
      </c>
      <c r="F406" s="3" t="str">
        <f t="shared" si="138"/>
        <v/>
      </c>
      <c r="G406" s="3" t="str">
        <f t="shared" si="139"/>
        <v/>
      </c>
      <c r="H406" s="3" t="str">
        <f t="shared" ref="H406:H469" si="144">IF(W406="","",X406)</f>
        <v/>
      </c>
      <c r="I406" s="3" t="str">
        <f t="shared" ref="I406:I469" si="145">IF(W406="","",Z406)</f>
        <v/>
      </c>
      <c r="J406" s="2" t="str">
        <f t="shared" ref="J406:J469" si="146">IF(W406="","",IF(AND(T406=FALSE,T405=FALSE,T404=FALSE,T403=FALSE,T402=FALSE),AA401,IF(AND(T406=FALSE,T405=FALSE,T404=FALSE,T403=FALSE),AA402,IF(AND(T406=FALSE,T405=FALSE,T404=FALSE),AA403,IF(AND(T406=FALSE,T405=FALSE),AA404,IF(T406=FALSE,AA405,AA406))))))</f>
        <v/>
      </c>
      <c r="K406" s="2" t="str">
        <f>IF(W406="","",LOOKUP('Extraction edi'!J406,Paramètrage!$A$6:$A$179,Paramètrage!$B$6:$B$179))</f>
        <v/>
      </c>
      <c r="L406" s="2" t="str">
        <f>IF(W406="","",LOOKUP('Extraction edi'!J406,Paramètrage!$A$6:$A$179,Paramètrage!$C$6:$C$179))</f>
        <v/>
      </c>
      <c r="M406" s="2" t="str">
        <f>IF(W406="","",LOOKUP('Extraction edi'!J406,Paramètrage!$A$6:$A$179,Paramètrage!$D$6:$D$179))</f>
        <v/>
      </c>
      <c r="N406" s="3" t="str">
        <f>IF(W406="","",LOOKUP('Extraction edi'!J406,Paramètrage!$A$6:$A$179,Paramètrage!$E$6:$E$179))</f>
        <v/>
      </c>
      <c r="O406" s="3" t="str">
        <f t="shared" ref="O406:O469" si="147">IF(W406="","",IF(LEFT(AA406,4)="soub",AB406,IF(LEFT(AA406,3)="cim",AB406,AA406)))</f>
        <v/>
      </c>
      <c r="P406" s="3" t="str">
        <f t="shared" ref="P406:P469" si="148">IF(LEFT(U406,1)="N",SUBSTITUTE(AB406,"*",""),IF(LEFT(U406,1)="S",SUBSTITUTE(AB406,"*",""),IF(LEFT(U406,1)="G",SUBSTITUTE(AB406,"*",""),IF(LEN(U406)=11,SUBSTITUTE(AB406,"*",""),U406))))</f>
        <v/>
      </c>
      <c r="Q406" s="3" t="str">
        <f t="shared" si="141"/>
        <v/>
      </c>
      <c r="R406" s="3" t="str">
        <f t="shared" ref="R406:R469" si="149">IF(W406="","",IF(RIGHT(L406,7)="RAL9001",L406,IF(LEFT(AE406,1)="N",AE406,IF(LEFT(AE406,1)="S",AE406,IF(LEFT(AE406,1)="G",AE406,"")))))</f>
        <v/>
      </c>
      <c r="S406" s="3" t="str">
        <f t="shared" ref="S406:S469" si="150">IF(W406="","",IF(RIGHT(M406,7)="RAL9001",M406,IF(LEFT(AC406,1)="N",AC406,IF(LEFT(AC406,1)="S",AC406,IF(LEFT(AC406,1)="G",AC406,IF(LEFT(AD406,1)="N",AD406,IF(LEFT(AD406,1)="S",AD406,IF(LEFT(AD406,1)="G",AD406,""))))))))</f>
        <v/>
      </c>
      <c r="T406" s="4" t="str">
        <f t="shared" ref="T406:T469" si="151">IF(W406="","",IF(LEFT(AA406,4)&lt;&gt;"soub",IF(LEFT(AA406,3)&lt;&gt;"cim"=FALSE,AA406),AA406))</f>
        <v/>
      </c>
      <c r="U406" s="5" t="str">
        <f t="shared" ref="U406:U469" si="152">SUBSTITUTE(AC406,"*","")</f>
        <v/>
      </c>
      <c r="V406" s="7" t="str">
        <f>IF(W406="","",IF(LOOKUP(W406,'Extration 3E date commande'!$A$6:$A$10000)=W406,LOOKUP(W406,'Extration 3E date commande'!$A$6:$A$10000,'Extration 3E date commande'!$C$6:$C$10000),"PAS DE DATE"))</f>
        <v/>
      </c>
    </row>
    <row r="407" spans="1:22" x14ac:dyDescent="0.25">
      <c r="A407" s="3" t="str">
        <f t="shared" si="142"/>
        <v/>
      </c>
      <c r="B407" s="3" t="str">
        <f t="shared" si="143"/>
        <v/>
      </c>
      <c r="C407" s="3" t="str">
        <f t="shared" si="140"/>
        <v/>
      </c>
      <c r="D407" s="3" t="str">
        <f t="shared" si="136"/>
        <v/>
      </c>
      <c r="E407" s="3" t="str">
        <f t="shared" si="137"/>
        <v/>
      </c>
      <c r="F407" s="3" t="str">
        <f t="shared" si="138"/>
        <v/>
      </c>
      <c r="G407" s="3" t="str">
        <f t="shared" si="139"/>
        <v/>
      </c>
      <c r="H407" s="3" t="str">
        <f t="shared" si="144"/>
        <v/>
      </c>
      <c r="I407" s="3" t="str">
        <f t="shared" si="145"/>
        <v/>
      </c>
      <c r="J407" s="2" t="str">
        <f t="shared" si="146"/>
        <v/>
      </c>
      <c r="K407" s="2" t="str">
        <f>IF(W407="","",LOOKUP('Extraction edi'!J407,Paramètrage!$A$6:$A$179,Paramètrage!$B$6:$B$179))</f>
        <v/>
      </c>
      <c r="L407" s="2" t="str">
        <f>IF(W407="","",LOOKUP('Extraction edi'!J407,Paramètrage!$A$6:$A$179,Paramètrage!$C$6:$C$179))</f>
        <v/>
      </c>
      <c r="M407" s="2" t="str">
        <f>IF(W407="","",LOOKUP('Extraction edi'!J407,Paramètrage!$A$6:$A$179,Paramètrage!$D$6:$D$179))</f>
        <v/>
      </c>
      <c r="N407" s="3" t="str">
        <f>IF(W407="","",LOOKUP('Extraction edi'!J407,Paramètrage!$A$6:$A$179,Paramètrage!$E$6:$E$179))</f>
        <v/>
      </c>
      <c r="O407" s="3" t="str">
        <f t="shared" si="147"/>
        <v/>
      </c>
      <c r="P407" s="3" t="str">
        <f t="shared" si="148"/>
        <v/>
      </c>
      <c r="Q407" s="3" t="str">
        <f t="shared" si="141"/>
        <v/>
      </c>
      <c r="R407" s="3" t="str">
        <f t="shared" si="149"/>
        <v/>
      </c>
      <c r="S407" s="3" t="str">
        <f t="shared" si="150"/>
        <v/>
      </c>
      <c r="T407" s="4" t="str">
        <f t="shared" si="151"/>
        <v/>
      </c>
      <c r="U407" s="5" t="str">
        <f t="shared" si="152"/>
        <v/>
      </c>
      <c r="V407" s="7" t="str">
        <f>IF(W407="","",IF(LOOKUP(W407,'Extration 3E date commande'!$A$6:$A$10000)=W407,LOOKUP(W407,'Extration 3E date commande'!$A$6:$A$10000,'Extration 3E date commande'!$C$6:$C$10000),"PAS DE DATE"))</f>
        <v/>
      </c>
    </row>
    <row r="408" spans="1:22" x14ac:dyDescent="0.25">
      <c r="A408" s="3" t="str">
        <f t="shared" si="142"/>
        <v/>
      </c>
      <c r="B408" s="3" t="str">
        <f t="shared" si="143"/>
        <v/>
      </c>
      <c r="C408" s="3" t="str">
        <f t="shared" si="140"/>
        <v/>
      </c>
      <c r="D408" s="3" t="str">
        <f t="shared" si="136"/>
        <v/>
      </c>
      <c r="E408" s="3" t="str">
        <f t="shared" si="137"/>
        <v/>
      </c>
      <c r="F408" s="3" t="str">
        <f t="shared" si="138"/>
        <v/>
      </c>
      <c r="G408" s="3" t="str">
        <f t="shared" si="139"/>
        <v/>
      </c>
      <c r="H408" s="3" t="str">
        <f t="shared" si="144"/>
        <v/>
      </c>
      <c r="I408" s="3" t="str">
        <f t="shared" si="145"/>
        <v/>
      </c>
      <c r="J408" s="2" t="str">
        <f t="shared" si="146"/>
        <v/>
      </c>
      <c r="K408" s="2" t="str">
        <f>IF(W408="","",LOOKUP('Extraction edi'!J408,Paramètrage!$A$6:$A$179,Paramètrage!$B$6:$B$179))</f>
        <v/>
      </c>
      <c r="L408" s="2" t="str">
        <f>IF(W408="","",LOOKUP('Extraction edi'!J408,Paramètrage!$A$6:$A$179,Paramètrage!$C$6:$C$179))</f>
        <v/>
      </c>
      <c r="M408" s="2" t="str">
        <f>IF(W408="","",LOOKUP('Extraction edi'!J408,Paramètrage!$A$6:$A$179,Paramètrage!$D$6:$D$179))</f>
        <v/>
      </c>
      <c r="N408" s="3" t="str">
        <f>IF(W408="","",LOOKUP('Extraction edi'!J408,Paramètrage!$A$6:$A$179,Paramètrage!$E$6:$E$179))</f>
        <v/>
      </c>
      <c r="O408" s="3" t="str">
        <f t="shared" si="147"/>
        <v/>
      </c>
      <c r="P408" s="3" t="str">
        <f t="shared" si="148"/>
        <v/>
      </c>
      <c r="Q408" s="3" t="str">
        <f t="shared" si="141"/>
        <v/>
      </c>
      <c r="R408" s="3" t="str">
        <f t="shared" si="149"/>
        <v/>
      </c>
      <c r="S408" s="3" t="str">
        <f t="shared" si="150"/>
        <v/>
      </c>
      <c r="T408" s="4" t="str">
        <f t="shared" si="151"/>
        <v/>
      </c>
      <c r="U408" s="5" t="str">
        <f t="shared" si="152"/>
        <v/>
      </c>
      <c r="V408" s="7" t="str">
        <f>IF(W408="","",IF(LOOKUP(W408,'Extration 3E date commande'!$A$6:$A$10000)=W408,LOOKUP(W408,'Extration 3E date commande'!$A$6:$A$10000,'Extration 3E date commande'!$C$6:$C$10000),"PAS DE DATE"))</f>
        <v/>
      </c>
    </row>
    <row r="409" spans="1:22" x14ac:dyDescent="0.25">
      <c r="A409" s="3" t="str">
        <f t="shared" si="142"/>
        <v/>
      </c>
      <c r="B409" s="3" t="str">
        <f t="shared" si="143"/>
        <v/>
      </c>
      <c r="C409" s="3" t="str">
        <f t="shared" si="140"/>
        <v/>
      </c>
      <c r="D409" s="3" t="str">
        <f t="shared" si="136"/>
        <v/>
      </c>
      <c r="E409" s="3" t="str">
        <f t="shared" si="137"/>
        <v/>
      </c>
      <c r="F409" s="3" t="str">
        <f t="shared" si="138"/>
        <v/>
      </c>
      <c r="G409" s="3" t="str">
        <f t="shared" si="139"/>
        <v/>
      </c>
      <c r="H409" s="3" t="str">
        <f t="shared" si="144"/>
        <v/>
      </c>
      <c r="I409" s="3" t="str">
        <f t="shared" si="145"/>
        <v/>
      </c>
      <c r="J409" s="2" t="str">
        <f t="shared" si="146"/>
        <v/>
      </c>
      <c r="K409" s="2" t="str">
        <f>IF(W409="","",LOOKUP('Extraction edi'!J409,Paramètrage!$A$6:$A$179,Paramètrage!$B$6:$B$179))</f>
        <v/>
      </c>
      <c r="L409" s="2" t="str">
        <f>IF(W409="","",LOOKUP('Extraction edi'!J409,Paramètrage!$A$6:$A$179,Paramètrage!$C$6:$C$179))</f>
        <v/>
      </c>
      <c r="M409" s="2" t="str">
        <f>IF(W409="","",LOOKUP('Extraction edi'!J409,Paramètrage!$A$6:$A$179,Paramètrage!$D$6:$D$179))</f>
        <v/>
      </c>
      <c r="N409" s="3" t="str">
        <f>IF(W409="","",LOOKUP('Extraction edi'!J409,Paramètrage!$A$6:$A$179,Paramètrage!$E$6:$E$179))</f>
        <v/>
      </c>
      <c r="O409" s="3" t="str">
        <f t="shared" si="147"/>
        <v/>
      </c>
      <c r="P409" s="3" t="str">
        <f t="shared" si="148"/>
        <v/>
      </c>
      <c r="Q409" s="3" t="str">
        <f t="shared" si="141"/>
        <v/>
      </c>
      <c r="R409" s="3" t="str">
        <f t="shared" si="149"/>
        <v/>
      </c>
      <c r="S409" s="3" t="str">
        <f t="shared" si="150"/>
        <v/>
      </c>
      <c r="T409" s="4" t="str">
        <f t="shared" si="151"/>
        <v/>
      </c>
      <c r="U409" s="5" t="str">
        <f t="shared" si="152"/>
        <v/>
      </c>
      <c r="V409" s="7" t="str">
        <f>IF(W409="","",IF(LOOKUP(W409,'Extration 3E date commande'!$A$6:$A$10000)=W409,LOOKUP(W409,'Extration 3E date commande'!$A$6:$A$10000,'Extration 3E date commande'!$C$6:$C$10000),"PAS DE DATE"))</f>
        <v/>
      </c>
    </row>
    <row r="410" spans="1:22" x14ac:dyDescent="0.25">
      <c r="A410" s="3" t="str">
        <f t="shared" si="142"/>
        <v/>
      </c>
      <c r="B410" s="3" t="str">
        <f t="shared" si="143"/>
        <v/>
      </c>
      <c r="C410" s="3" t="str">
        <f t="shared" si="140"/>
        <v/>
      </c>
      <c r="D410" s="3" t="str">
        <f t="shared" si="136"/>
        <v/>
      </c>
      <c r="E410" s="3" t="str">
        <f t="shared" si="137"/>
        <v/>
      </c>
      <c r="F410" s="3" t="str">
        <f t="shared" si="138"/>
        <v/>
      </c>
      <c r="G410" s="3" t="str">
        <f t="shared" si="139"/>
        <v/>
      </c>
      <c r="H410" s="3" t="str">
        <f t="shared" si="144"/>
        <v/>
      </c>
      <c r="I410" s="3" t="str">
        <f t="shared" si="145"/>
        <v/>
      </c>
      <c r="J410" s="2" t="str">
        <f t="shared" si="146"/>
        <v/>
      </c>
      <c r="K410" s="2" t="str">
        <f>IF(W410="","",LOOKUP('Extraction edi'!J410,Paramètrage!$A$6:$A$179,Paramètrage!$B$6:$B$179))</f>
        <v/>
      </c>
      <c r="L410" s="2" t="str">
        <f>IF(W410="","",LOOKUP('Extraction edi'!J410,Paramètrage!$A$6:$A$179,Paramètrage!$C$6:$C$179))</f>
        <v/>
      </c>
      <c r="M410" s="2" t="str">
        <f>IF(W410="","",LOOKUP('Extraction edi'!J410,Paramètrage!$A$6:$A$179,Paramètrage!$D$6:$D$179))</f>
        <v/>
      </c>
      <c r="N410" s="3" t="str">
        <f>IF(W410="","",LOOKUP('Extraction edi'!J410,Paramètrage!$A$6:$A$179,Paramètrage!$E$6:$E$179))</f>
        <v/>
      </c>
      <c r="O410" s="3" t="str">
        <f t="shared" si="147"/>
        <v/>
      </c>
      <c r="P410" s="3" t="str">
        <f t="shared" si="148"/>
        <v/>
      </c>
      <c r="Q410" s="3" t="str">
        <f t="shared" si="141"/>
        <v/>
      </c>
      <c r="R410" s="3" t="str">
        <f t="shared" si="149"/>
        <v/>
      </c>
      <c r="S410" s="3" t="str">
        <f t="shared" si="150"/>
        <v/>
      </c>
      <c r="T410" s="4" t="str">
        <f t="shared" si="151"/>
        <v/>
      </c>
      <c r="U410" s="5" t="str">
        <f t="shared" si="152"/>
        <v/>
      </c>
      <c r="V410" s="7" t="str">
        <f>IF(W410="","",IF(LOOKUP(W410,'Extration 3E date commande'!$A$6:$A$10000)=W410,LOOKUP(W410,'Extration 3E date commande'!$A$6:$A$10000,'Extration 3E date commande'!$C$6:$C$10000),"PAS DE DATE"))</f>
        <v/>
      </c>
    </row>
    <row r="411" spans="1:22" x14ac:dyDescent="0.25">
      <c r="A411" s="3" t="str">
        <f t="shared" si="142"/>
        <v/>
      </c>
      <c r="B411" s="3" t="str">
        <f t="shared" si="143"/>
        <v/>
      </c>
      <c r="C411" s="3" t="str">
        <f t="shared" si="140"/>
        <v/>
      </c>
      <c r="D411" s="3" t="str">
        <f t="shared" si="136"/>
        <v/>
      </c>
      <c r="E411" s="3" t="str">
        <f t="shared" si="137"/>
        <v/>
      </c>
      <c r="F411" s="3" t="str">
        <f t="shared" si="138"/>
        <v/>
      </c>
      <c r="G411" s="3" t="str">
        <f t="shared" si="139"/>
        <v/>
      </c>
      <c r="H411" s="3" t="str">
        <f t="shared" si="144"/>
        <v/>
      </c>
      <c r="I411" s="3" t="str">
        <f t="shared" si="145"/>
        <v/>
      </c>
      <c r="J411" s="2" t="str">
        <f t="shared" si="146"/>
        <v/>
      </c>
      <c r="K411" s="2" t="str">
        <f>IF(W411="","",LOOKUP('Extraction edi'!J411,Paramètrage!$A$6:$A$179,Paramètrage!$B$6:$B$179))</f>
        <v/>
      </c>
      <c r="L411" s="2" t="str">
        <f>IF(W411="","",LOOKUP('Extraction edi'!J411,Paramètrage!$A$6:$A$179,Paramètrage!$C$6:$C$179))</f>
        <v/>
      </c>
      <c r="M411" s="2" t="str">
        <f>IF(W411="","",LOOKUP('Extraction edi'!J411,Paramètrage!$A$6:$A$179,Paramètrage!$D$6:$D$179))</f>
        <v/>
      </c>
      <c r="N411" s="3" t="str">
        <f>IF(W411="","",LOOKUP('Extraction edi'!J411,Paramètrage!$A$6:$A$179,Paramètrage!$E$6:$E$179))</f>
        <v/>
      </c>
      <c r="O411" s="3" t="str">
        <f t="shared" si="147"/>
        <v/>
      </c>
      <c r="P411" s="3" t="str">
        <f t="shared" si="148"/>
        <v/>
      </c>
      <c r="Q411" s="3" t="str">
        <f t="shared" si="141"/>
        <v/>
      </c>
      <c r="R411" s="3" t="str">
        <f t="shared" si="149"/>
        <v/>
      </c>
      <c r="S411" s="3" t="str">
        <f t="shared" si="150"/>
        <v/>
      </c>
      <c r="T411" s="4" t="str">
        <f t="shared" si="151"/>
        <v/>
      </c>
      <c r="U411" s="5" t="str">
        <f t="shared" si="152"/>
        <v/>
      </c>
      <c r="V411" s="7" t="str">
        <f>IF(W411="","",IF(LOOKUP(W411,'Extration 3E date commande'!$A$6:$A$10000)=W411,LOOKUP(W411,'Extration 3E date commande'!$A$6:$A$10000,'Extration 3E date commande'!$C$6:$C$10000),"PAS DE DATE"))</f>
        <v/>
      </c>
    </row>
    <row r="412" spans="1:22" x14ac:dyDescent="0.25">
      <c r="A412" s="3" t="str">
        <f t="shared" si="142"/>
        <v/>
      </c>
      <c r="B412" s="3" t="str">
        <f t="shared" si="143"/>
        <v/>
      </c>
      <c r="C412" s="3" t="str">
        <f t="shared" si="140"/>
        <v/>
      </c>
      <c r="D412" s="3" t="str">
        <f t="shared" si="136"/>
        <v/>
      </c>
      <c r="E412" s="3" t="str">
        <f t="shared" si="137"/>
        <v/>
      </c>
      <c r="F412" s="3" t="str">
        <f t="shared" si="138"/>
        <v/>
      </c>
      <c r="G412" s="3" t="str">
        <f t="shared" si="139"/>
        <v/>
      </c>
      <c r="H412" s="3" t="str">
        <f t="shared" si="144"/>
        <v/>
      </c>
      <c r="I412" s="3" t="str">
        <f t="shared" si="145"/>
        <v/>
      </c>
      <c r="J412" s="2" t="str">
        <f t="shared" si="146"/>
        <v/>
      </c>
      <c r="K412" s="2" t="str">
        <f>IF(W412="","",LOOKUP('Extraction edi'!J412,Paramètrage!$A$6:$A$179,Paramètrage!$B$6:$B$179))</f>
        <v/>
      </c>
      <c r="L412" s="2" t="str">
        <f>IF(W412="","",LOOKUP('Extraction edi'!J412,Paramètrage!$A$6:$A$179,Paramètrage!$C$6:$C$179))</f>
        <v/>
      </c>
      <c r="M412" s="2" t="str">
        <f>IF(W412="","",LOOKUP('Extraction edi'!J412,Paramètrage!$A$6:$A$179,Paramètrage!$D$6:$D$179))</f>
        <v/>
      </c>
      <c r="N412" s="3" t="str">
        <f>IF(W412="","",LOOKUP('Extraction edi'!J412,Paramètrage!$A$6:$A$179,Paramètrage!$E$6:$E$179))</f>
        <v/>
      </c>
      <c r="O412" s="3" t="str">
        <f t="shared" si="147"/>
        <v/>
      </c>
      <c r="P412" s="3" t="str">
        <f t="shared" si="148"/>
        <v/>
      </c>
      <c r="Q412" s="3" t="str">
        <f t="shared" si="141"/>
        <v/>
      </c>
      <c r="R412" s="3" t="str">
        <f t="shared" si="149"/>
        <v/>
      </c>
      <c r="S412" s="3" t="str">
        <f t="shared" si="150"/>
        <v/>
      </c>
      <c r="T412" s="4" t="str">
        <f t="shared" si="151"/>
        <v/>
      </c>
      <c r="U412" s="5" t="str">
        <f t="shared" si="152"/>
        <v/>
      </c>
      <c r="V412" s="7" t="str">
        <f>IF(W412="","",IF(LOOKUP(W412,'Extration 3E date commande'!$A$6:$A$10000)=W412,LOOKUP(W412,'Extration 3E date commande'!$A$6:$A$10000,'Extration 3E date commande'!$C$6:$C$10000),"PAS DE DATE"))</f>
        <v/>
      </c>
    </row>
    <row r="413" spans="1:22" x14ac:dyDescent="0.25">
      <c r="A413" s="3" t="str">
        <f t="shared" si="142"/>
        <v/>
      </c>
      <c r="B413" s="3" t="str">
        <f t="shared" si="143"/>
        <v/>
      </c>
      <c r="C413" s="3" t="str">
        <f t="shared" si="140"/>
        <v/>
      </c>
      <c r="D413" s="3" t="str">
        <f t="shared" si="136"/>
        <v/>
      </c>
      <c r="E413" s="3" t="str">
        <f t="shared" si="137"/>
        <v/>
      </c>
      <c r="F413" s="3" t="str">
        <f t="shared" si="138"/>
        <v/>
      </c>
      <c r="G413" s="3" t="str">
        <f t="shared" si="139"/>
        <v/>
      </c>
      <c r="H413" s="3" t="str">
        <f t="shared" si="144"/>
        <v/>
      </c>
      <c r="I413" s="3" t="str">
        <f t="shared" si="145"/>
        <v/>
      </c>
      <c r="J413" s="2" t="str">
        <f t="shared" si="146"/>
        <v/>
      </c>
      <c r="K413" s="2" t="str">
        <f>IF(W413="","",LOOKUP('Extraction edi'!J413,Paramètrage!$A$6:$A$179,Paramètrage!$B$6:$B$179))</f>
        <v/>
      </c>
      <c r="L413" s="2" t="str">
        <f>IF(W413="","",LOOKUP('Extraction edi'!J413,Paramètrage!$A$6:$A$179,Paramètrage!$C$6:$C$179))</f>
        <v/>
      </c>
      <c r="M413" s="2" t="str">
        <f>IF(W413="","",LOOKUP('Extraction edi'!J413,Paramètrage!$A$6:$A$179,Paramètrage!$D$6:$D$179))</f>
        <v/>
      </c>
      <c r="N413" s="3" t="str">
        <f>IF(W413="","",LOOKUP('Extraction edi'!J413,Paramètrage!$A$6:$A$179,Paramètrage!$E$6:$E$179))</f>
        <v/>
      </c>
      <c r="O413" s="3" t="str">
        <f t="shared" si="147"/>
        <v/>
      </c>
      <c r="P413" s="3" t="str">
        <f t="shared" si="148"/>
        <v/>
      </c>
      <c r="Q413" s="3" t="str">
        <f t="shared" si="141"/>
        <v/>
      </c>
      <c r="R413" s="3" t="str">
        <f t="shared" si="149"/>
        <v/>
      </c>
      <c r="S413" s="3" t="str">
        <f t="shared" si="150"/>
        <v/>
      </c>
      <c r="T413" s="4" t="str">
        <f t="shared" si="151"/>
        <v/>
      </c>
      <c r="U413" s="5" t="str">
        <f t="shared" si="152"/>
        <v/>
      </c>
      <c r="V413" s="7" t="str">
        <f>IF(W413="","",IF(LOOKUP(W413,'Extration 3E date commande'!$A$6:$A$10000)=W413,LOOKUP(W413,'Extration 3E date commande'!$A$6:$A$10000,'Extration 3E date commande'!$C$6:$C$10000),"PAS DE DATE"))</f>
        <v/>
      </c>
    </row>
    <row r="414" spans="1:22" x14ac:dyDescent="0.25">
      <c r="A414" s="3" t="str">
        <f t="shared" si="142"/>
        <v/>
      </c>
      <c r="B414" s="3" t="str">
        <f t="shared" si="143"/>
        <v/>
      </c>
      <c r="C414" s="3" t="str">
        <f t="shared" si="140"/>
        <v/>
      </c>
      <c r="D414" s="3" t="str">
        <f t="shared" si="136"/>
        <v/>
      </c>
      <c r="E414" s="3" t="str">
        <f t="shared" si="137"/>
        <v/>
      </c>
      <c r="F414" s="3" t="str">
        <f t="shared" si="138"/>
        <v/>
      </c>
      <c r="G414" s="3" t="str">
        <f t="shared" si="139"/>
        <v/>
      </c>
      <c r="H414" s="3" t="str">
        <f t="shared" si="144"/>
        <v/>
      </c>
      <c r="I414" s="3" t="str">
        <f t="shared" si="145"/>
        <v/>
      </c>
      <c r="J414" s="2" t="str">
        <f t="shared" si="146"/>
        <v/>
      </c>
      <c r="K414" s="2" t="str">
        <f>IF(W414="","",LOOKUP('Extraction edi'!J414,Paramètrage!$A$6:$A$179,Paramètrage!$B$6:$B$179))</f>
        <v/>
      </c>
      <c r="L414" s="2" t="str">
        <f>IF(W414="","",LOOKUP('Extraction edi'!J414,Paramètrage!$A$6:$A$179,Paramètrage!$C$6:$C$179))</f>
        <v/>
      </c>
      <c r="M414" s="2" t="str">
        <f>IF(W414="","",LOOKUP('Extraction edi'!J414,Paramètrage!$A$6:$A$179,Paramètrage!$D$6:$D$179))</f>
        <v/>
      </c>
      <c r="N414" s="3" t="str">
        <f>IF(W414="","",LOOKUP('Extraction edi'!J414,Paramètrage!$A$6:$A$179,Paramètrage!$E$6:$E$179))</f>
        <v/>
      </c>
      <c r="O414" s="3" t="str">
        <f t="shared" si="147"/>
        <v/>
      </c>
      <c r="P414" s="3" t="str">
        <f t="shared" si="148"/>
        <v/>
      </c>
      <c r="Q414" s="3" t="str">
        <f t="shared" si="141"/>
        <v/>
      </c>
      <c r="R414" s="3" t="str">
        <f t="shared" si="149"/>
        <v/>
      </c>
      <c r="S414" s="3" t="str">
        <f t="shared" si="150"/>
        <v/>
      </c>
      <c r="T414" s="4" t="str">
        <f t="shared" si="151"/>
        <v/>
      </c>
      <c r="U414" s="5" t="str">
        <f t="shared" si="152"/>
        <v/>
      </c>
      <c r="V414" s="7" t="str">
        <f>IF(W414="","",IF(LOOKUP(W414,'Extration 3E date commande'!$A$6:$A$10000)=W414,LOOKUP(W414,'Extration 3E date commande'!$A$6:$A$10000,'Extration 3E date commande'!$C$6:$C$10000),"PAS DE DATE"))</f>
        <v/>
      </c>
    </row>
    <row r="415" spans="1:22" x14ac:dyDescent="0.25">
      <c r="A415" s="3" t="str">
        <f t="shared" si="142"/>
        <v/>
      </c>
      <c r="B415" s="3" t="str">
        <f t="shared" si="143"/>
        <v/>
      </c>
      <c r="C415" s="3" t="str">
        <f t="shared" si="140"/>
        <v/>
      </c>
      <c r="D415" s="3" t="str">
        <f t="shared" si="136"/>
        <v/>
      </c>
      <c r="E415" s="3" t="str">
        <f t="shared" si="137"/>
        <v/>
      </c>
      <c r="F415" s="3" t="str">
        <f t="shared" si="138"/>
        <v/>
      </c>
      <c r="G415" s="3" t="str">
        <f t="shared" si="139"/>
        <v/>
      </c>
      <c r="H415" s="3" t="str">
        <f t="shared" si="144"/>
        <v/>
      </c>
      <c r="I415" s="3" t="str">
        <f t="shared" si="145"/>
        <v/>
      </c>
      <c r="J415" s="2" t="str">
        <f t="shared" si="146"/>
        <v/>
      </c>
      <c r="K415" s="2" t="str">
        <f>IF(W415="","",LOOKUP('Extraction edi'!J415,Paramètrage!$A$6:$A$179,Paramètrage!$B$6:$B$179))</f>
        <v/>
      </c>
      <c r="L415" s="2" t="str">
        <f>IF(W415="","",LOOKUP('Extraction edi'!J415,Paramètrage!$A$6:$A$179,Paramètrage!$C$6:$C$179))</f>
        <v/>
      </c>
      <c r="M415" s="2" t="str">
        <f>IF(W415="","",LOOKUP('Extraction edi'!J415,Paramètrage!$A$6:$A$179,Paramètrage!$D$6:$D$179))</f>
        <v/>
      </c>
      <c r="N415" s="3" t="str">
        <f>IF(W415="","",LOOKUP('Extraction edi'!J415,Paramètrage!$A$6:$A$179,Paramètrage!$E$6:$E$179))</f>
        <v/>
      </c>
      <c r="O415" s="3" t="str">
        <f t="shared" si="147"/>
        <v/>
      </c>
      <c r="P415" s="3" t="str">
        <f t="shared" si="148"/>
        <v/>
      </c>
      <c r="Q415" s="3" t="str">
        <f t="shared" si="141"/>
        <v/>
      </c>
      <c r="R415" s="3" t="str">
        <f t="shared" si="149"/>
        <v/>
      </c>
      <c r="S415" s="3" t="str">
        <f t="shared" si="150"/>
        <v/>
      </c>
      <c r="T415" s="4" t="str">
        <f t="shared" si="151"/>
        <v/>
      </c>
      <c r="U415" s="5" t="str">
        <f t="shared" si="152"/>
        <v/>
      </c>
      <c r="V415" s="7" t="str">
        <f>IF(W415="","",IF(LOOKUP(W415,'Extration 3E date commande'!$A$6:$A$10000)=W415,LOOKUP(W415,'Extration 3E date commande'!$A$6:$A$10000,'Extration 3E date commande'!$C$6:$C$10000),"PAS DE DATE"))</f>
        <v/>
      </c>
    </row>
    <row r="416" spans="1:22" x14ac:dyDescent="0.25">
      <c r="A416" s="3" t="str">
        <f t="shared" si="142"/>
        <v/>
      </c>
      <c r="B416" s="3" t="str">
        <f t="shared" si="143"/>
        <v/>
      </c>
      <c r="C416" s="3" t="str">
        <f t="shared" si="140"/>
        <v/>
      </c>
      <c r="D416" s="3" t="str">
        <f t="shared" si="136"/>
        <v/>
      </c>
      <c r="E416" s="3" t="str">
        <f t="shared" si="137"/>
        <v/>
      </c>
      <c r="F416" s="3" t="str">
        <f t="shared" si="138"/>
        <v/>
      </c>
      <c r="G416" s="3" t="str">
        <f t="shared" si="139"/>
        <v/>
      </c>
      <c r="H416" s="3" t="str">
        <f t="shared" si="144"/>
        <v/>
      </c>
      <c r="I416" s="3" t="str">
        <f t="shared" si="145"/>
        <v/>
      </c>
      <c r="J416" s="2" t="str">
        <f t="shared" si="146"/>
        <v/>
      </c>
      <c r="K416" s="2" t="str">
        <f>IF(W416="","",LOOKUP('Extraction edi'!J416,Paramètrage!$A$6:$A$179,Paramètrage!$B$6:$B$179))</f>
        <v/>
      </c>
      <c r="L416" s="2" t="str">
        <f>IF(W416="","",LOOKUP('Extraction edi'!J416,Paramètrage!$A$6:$A$179,Paramètrage!$C$6:$C$179))</f>
        <v/>
      </c>
      <c r="M416" s="2" t="str">
        <f>IF(W416="","",LOOKUP('Extraction edi'!J416,Paramètrage!$A$6:$A$179,Paramètrage!$D$6:$D$179))</f>
        <v/>
      </c>
      <c r="N416" s="3" t="str">
        <f>IF(W416="","",LOOKUP('Extraction edi'!J416,Paramètrage!$A$6:$A$179,Paramètrage!$E$6:$E$179))</f>
        <v/>
      </c>
      <c r="O416" s="3" t="str">
        <f t="shared" si="147"/>
        <v/>
      </c>
      <c r="P416" s="3" t="str">
        <f t="shared" si="148"/>
        <v/>
      </c>
      <c r="Q416" s="3" t="str">
        <f t="shared" si="141"/>
        <v/>
      </c>
      <c r="R416" s="3" t="str">
        <f t="shared" si="149"/>
        <v/>
      </c>
      <c r="S416" s="3" t="str">
        <f t="shared" si="150"/>
        <v/>
      </c>
      <c r="T416" s="4" t="str">
        <f t="shared" si="151"/>
        <v/>
      </c>
      <c r="U416" s="5" t="str">
        <f t="shared" si="152"/>
        <v/>
      </c>
      <c r="V416" s="7" t="str">
        <f>IF(W416="","",IF(LOOKUP(W416,'Extration 3E date commande'!$A$6:$A$10000)=W416,LOOKUP(W416,'Extration 3E date commande'!$A$6:$A$10000,'Extration 3E date commande'!$C$6:$C$10000),"PAS DE DATE"))</f>
        <v/>
      </c>
    </row>
    <row r="417" spans="1:22" x14ac:dyDescent="0.25">
      <c r="A417" s="3" t="str">
        <f t="shared" si="142"/>
        <v/>
      </c>
      <c r="B417" s="3" t="str">
        <f t="shared" si="143"/>
        <v/>
      </c>
      <c r="C417" s="3" t="str">
        <f t="shared" si="140"/>
        <v/>
      </c>
      <c r="D417" s="3" t="str">
        <f t="shared" si="136"/>
        <v/>
      </c>
      <c r="E417" s="3" t="str">
        <f t="shared" si="137"/>
        <v/>
      </c>
      <c r="F417" s="3" t="str">
        <f t="shared" si="138"/>
        <v/>
      </c>
      <c r="G417" s="3" t="str">
        <f t="shared" si="139"/>
        <v/>
      </c>
      <c r="H417" s="3" t="str">
        <f t="shared" si="144"/>
        <v/>
      </c>
      <c r="I417" s="3" t="str">
        <f t="shared" si="145"/>
        <v/>
      </c>
      <c r="J417" s="2" t="str">
        <f t="shared" si="146"/>
        <v/>
      </c>
      <c r="K417" s="2" t="str">
        <f>IF(W417="","",LOOKUP('Extraction edi'!J417,Paramètrage!$A$6:$A$179,Paramètrage!$B$6:$B$179))</f>
        <v/>
      </c>
      <c r="L417" s="2" t="str">
        <f>IF(W417="","",LOOKUP('Extraction edi'!J417,Paramètrage!$A$6:$A$179,Paramètrage!$C$6:$C$179))</f>
        <v/>
      </c>
      <c r="M417" s="2" t="str">
        <f>IF(W417="","",LOOKUP('Extraction edi'!J417,Paramètrage!$A$6:$A$179,Paramètrage!$D$6:$D$179))</f>
        <v/>
      </c>
      <c r="N417" s="3" t="str">
        <f>IF(W417="","",LOOKUP('Extraction edi'!J417,Paramètrage!$A$6:$A$179,Paramètrage!$E$6:$E$179))</f>
        <v/>
      </c>
      <c r="O417" s="3" t="str">
        <f t="shared" si="147"/>
        <v/>
      </c>
      <c r="P417" s="3" t="str">
        <f t="shared" si="148"/>
        <v/>
      </c>
      <c r="Q417" s="3" t="str">
        <f t="shared" si="141"/>
        <v/>
      </c>
      <c r="R417" s="3" t="str">
        <f t="shared" si="149"/>
        <v/>
      </c>
      <c r="S417" s="3" t="str">
        <f t="shared" si="150"/>
        <v/>
      </c>
      <c r="T417" s="4" t="str">
        <f t="shared" si="151"/>
        <v/>
      </c>
      <c r="U417" s="5" t="str">
        <f t="shared" si="152"/>
        <v/>
      </c>
      <c r="V417" s="7" t="str">
        <f>IF(W417="","",IF(LOOKUP(W417,'Extration 3E date commande'!$A$6:$A$10000)=W417,LOOKUP(W417,'Extration 3E date commande'!$A$6:$A$10000,'Extration 3E date commande'!$C$6:$C$10000),"PAS DE DATE"))</f>
        <v/>
      </c>
    </row>
    <row r="418" spans="1:22" x14ac:dyDescent="0.25">
      <c r="A418" s="3" t="str">
        <f t="shared" si="142"/>
        <v/>
      </c>
      <c r="B418" s="3" t="str">
        <f t="shared" si="143"/>
        <v/>
      </c>
      <c r="C418" s="3" t="str">
        <f t="shared" si="140"/>
        <v/>
      </c>
      <c r="D418" s="3" t="str">
        <f t="shared" si="136"/>
        <v/>
      </c>
      <c r="E418" s="3" t="str">
        <f t="shared" si="137"/>
        <v/>
      </c>
      <c r="F418" s="3" t="str">
        <f t="shared" si="138"/>
        <v/>
      </c>
      <c r="G418" s="3" t="str">
        <f t="shared" si="139"/>
        <v/>
      </c>
      <c r="H418" s="3" t="str">
        <f t="shared" si="144"/>
        <v/>
      </c>
      <c r="I418" s="3" t="str">
        <f t="shared" si="145"/>
        <v/>
      </c>
      <c r="J418" s="2" t="str">
        <f t="shared" si="146"/>
        <v/>
      </c>
      <c r="K418" s="2" t="str">
        <f>IF(W418="","",LOOKUP('Extraction edi'!J418,Paramètrage!$A$6:$A$179,Paramètrage!$B$6:$B$179))</f>
        <v/>
      </c>
      <c r="L418" s="2" t="str">
        <f>IF(W418="","",LOOKUP('Extraction edi'!J418,Paramètrage!$A$6:$A$179,Paramètrage!$C$6:$C$179))</f>
        <v/>
      </c>
      <c r="M418" s="2" t="str">
        <f>IF(W418="","",LOOKUP('Extraction edi'!J418,Paramètrage!$A$6:$A$179,Paramètrage!$D$6:$D$179))</f>
        <v/>
      </c>
      <c r="N418" s="3" t="str">
        <f>IF(W418="","",LOOKUP('Extraction edi'!J418,Paramètrage!$A$6:$A$179,Paramètrage!$E$6:$E$179))</f>
        <v/>
      </c>
      <c r="O418" s="3" t="str">
        <f t="shared" si="147"/>
        <v/>
      </c>
      <c r="P418" s="3" t="str">
        <f t="shared" si="148"/>
        <v/>
      </c>
      <c r="Q418" s="3" t="str">
        <f t="shared" si="141"/>
        <v/>
      </c>
      <c r="R418" s="3" t="str">
        <f t="shared" si="149"/>
        <v/>
      </c>
      <c r="S418" s="3" t="str">
        <f t="shared" si="150"/>
        <v/>
      </c>
      <c r="T418" s="4" t="str">
        <f t="shared" si="151"/>
        <v/>
      </c>
      <c r="U418" s="5" t="str">
        <f t="shared" si="152"/>
        <v/>
      </c>
      <c r="V418" s="7" t="str">
        <f>IF(W418="","",IF(LOOKUP(W418,'Extration 3E date commande'!$A$6:$A$10000)=W418,LOOKUP(W418,'Extration 3E date commande'!$A$6:$A$10000,'Extration 3E date commande'!$C$6:$C$10000),"PAS DE DATE"))</f>
        <v/>
      </c>
    </row>
    <row r="419" spans="1:22" x14ac:dyDescent="0.25">
      <c r="A419" s="3" t="str">
        <f t="shared" si="142"/>
        <v/>
      </c>
      <c r="B419" s="3" t="str">
        <f t="shared" si="143"/>
        <v/>
      </c>
      <c r="C419" s="3" t="str">
        <f t="shared" si="140"/>
        <v/>
      </c>
      <c r="D419" s="3" t="str">
        <f t="shared" si="136"/>
        <v/>
      </c>
      <c r="E419" s="3" t="str">
        <f t="shared" si="137"/>
        <v/>
      </c>
      <c r="F419" s="3" t="str">
        <f t="shared" si="138"/>
        <v/>
      </c>
      <c r="G419" s="3" t="str">
        <f t="shared" si="139"/>
        <v/>
      </c>
      <c r="H419" s="3" t="str">
        <f t="shared" si="144"/>
        <v/>
      </c>
      <c r="I419" s="3" t="str">
        <f t="shared" si="145"/>
        <v/>
      </c>
      <c r="J419" s="2" t="str">
        <f t="shared" si="146"/>
        <v/>
      </c>
      <c r="K419" s="2" t="str">
        <f>IF(W419="","",LOOKUP('Extraction edi'!J419,Paramètrage!$A$6:$A$179,Paramètrage!$B$6:$B$179))</f>
        <v/>
      </c>
      <c r="L419" s="2" t="str">
        <f>IF(W419="","",LOOKUP('Extraction edi'!J419,Paramètrage!$A$6:$A$179,Paramètrage!$C$6:$C$179))</f>
        <v/>
      </c>
      <c r="M419" s="2" t="str">
        <f>IF(W419="","",LOOKUP('Extraction edi'!J419,Paramètrage!$A$6:$A$179,Paramètrage!$D$6:$D$179))</f>
        <v/>
      </c>
      <c r="N419" s="3" t="str">
        <f>IF(W419="","",LOOKUP('Extraction edi'!J419,Paramètrage!$A$6:$A$179,Paramètrage!$E$6:$E$179))</f>
        <v/>
      </c>
      <c r="O419" s="3" t="str">
        <f t="shared" si="147"/>
        <v/>
      </c>
      <c r="P419" s="3" t="str">
        <f t="shared" si="148"/>
        <v/>
      </c>
      <c r="Q419" s="3" t="str">
        <f t="shared" si="141"/>
        <v/>
      </c>
      <c r="R419" s="3" t="str">
        <f t="shared" si="149"/>
        <v/>
      </c>
      <c r="S419" s="3" t="str">
        <f t="shared" si="150"/>
        <v/>
      </c>
      <c r="T419" s="4" t="str">
        <f t="shared" si="151"/>
        <v/>
      </c>
      <c r="U419" s="5" t="str">
        <f t="shared" si="152"/>
        <v/>
      </c>
      <c r="V419" s="7" t="str">
        <f>IF(W419="","",IF(LOOKUP(W419,'Extration 3E date commande'!$A$6:$A$10000)=W419,LOOKUP(W419,'Extration 3E date commande'!$A$6:$A$10000,'Extration 3E date commande'!$C$6:$C$10000),"PAS DE DATE"))</f>
        <v/>
      </c>
    </row>
    <row r="420" spans="1:22" x14ac:dyDescent="0.25">
      <c r="A420" s="3" t="str">
        <f t="shared" si="142"/>
        <v/>
      </c>
      <c r="B420" s="3" t="str">
        <f t="shared" si="143"/>
        <v/>
      </c>
      <c r="C420" s="3" t="str">
        <f t="shared" si="140"/>
        <v/>
      </c>
      <c r="D420" s="3" t="str">
        <f t="shared" si="136"/>
        <v/>
      </c>
      <c r="E420" s="3" t="str">
        <f t="shared" si="137"/>
        <v/>
      </c>
      <c r="F420" s="3" t="str">
        <f t="shared" si="138"/>
        <v/>
      </c>
      <c r="G420" s="3" t="str">
        <f t="shared" si="139"/>
        <v/>
      </c>
      <c r="H420" s="3" t="str">
        <f t="shared" si="144"/>
        <v/>
      </c>
      <c r="I420" s="3" t="str">
        <f t="shared" si="145"/>
        <v/>
      </c>
      <c r="J420" s="2" t="str">
        <f t="shared" si="146"/>
        <v/>
      </c>
      <c r="K420" s="2" t="str">
        <f>IF(W420="","",LOOKUP('Extraction edi'!J420,Paramètrage!$A$6:$A$179,Paramètrage!$B$6:$B$179))</f>
        <v/>
      </c>
      <c r="L420" s="2" t="str">
        <f>IF(W420="","",LOOKUP('Extraction edi'!J420,Paramètrage!$A$6:$A$179,Paramètrage!$C$6:$C$179))</f>
        <v/>
      </c>
      <c r="M420" s="2" t="str">
        <f>IF(W420="","",LOOKUP('Extraction edi'!J420,Paramètrage!$A$6:$A$179,Paramètrage!$D$6:$D$179))</f>
        <v/>
      </c>
      <c r="N420" s="3" t="str">
        <f>IF(W420="","",LOOKUP('Extraction edi'!J420,Paramètrage!$A$6:$A$179,Paramètrage!$E$6:$E$179))</f>
        <v/>
      </c>
      <c r="O420" s="3" t="str">
        <f t="shared" si="147"/>
        <v/>
      </c>
      <c r="P420" s="3" t="str">
        <f t="shared" si="148"/>
        <v/>
      </c>
      <c r="Q420" s="3" t="str">
        <f t="shared" si="141"/>
        <v/>
      </c>
      <c r="R420" s="3" t="str">
        <f t="shared" si="149"/>
        <v/>
      </c>
      <c r="S420" s="3" t="str">
        <f t="shared" si="150"/>
        <v/>
      </c>
      <c r="T420" s="4" t="str">
        <f t="shared" si="151"/>
        <v/>
      </c>
      <c r="U420" s="5" t="str">
        <f t="shared" si="152"/>
        <v/>
      </c>
      <c r="V420" s="7" t="str">
        <f>IF(W420="","",IF(LOOKUP(W420,'Extration 3E date commande'!$A$6:$A$10000)=W420,LOOKUP(W420,'Extration 3E date commande'!$A$6:$A$10000,'Extration 3E date commande'!$C$6:$C$10000),"PAS DE DATE"))</f>
        <v/>
      </c>
    </row>
    <row r="421" spans="1:22" x14ac:dyDescent="0.25">
      <c r="A421" s="3" t="str">
        <f t="shared" si="142"/>
        <v/>
      </c>
      <c r="B421" s="3" t="str">
        <f t="shared" si="143"/>
        <v/>
      </c>
      <c r="C421" s="3" t="str">
        <f t="shared" si="140"/>
        <v/>
      </c>
      <c r="D421" s="3" t="str">
        <f t="shared" si="136"/>
        <v/>
      </c>
      <c r="E421" s="3" t="str">
        <f t="shared" si="137"/>
        <v/>
      </c>
      <c r="F421" s="3" t="str">
        <f t="shared" si="138"/>
        <v/>
      </c>
      <c r="G421" s="3" t="str">
        <f t="shared" si="139"/>
        <v/>
      </c>
      <c r="H421" s="3" t="str">
        <f t="shared" si="144"/>
        <v/>
      </c>
      <c r="I421" s="3" t="str">
        <f t="shared" si="145"/>
        <v/>
      </c>
      <c r="J421" s="2" t="str">
        <f t="shared" si="146"/>
        <v/>
      </c>
      <c r="K421" s="2" t="str">
        <f>IF(W421="","",LOOKUP('Extraction edi'!J421,Paramètrage!$A$6:$A$179,Paramètrage!$B$6:$B$179))</f>
        <v/>
      </c>
      <c r="L421" s="2" t="str">
        <f>IF(W421="","",LOOKUP('Extraction edi'!J421,Paramètrage!$A$6:$A$179,Paramètrage!$C$6:$C$179))</f>
        <v/>
      </c>
      <c r="M421" s="2" t="str">
        <f>IF(W421="","",LOOKUP('Extraction edi'!J421,Paramètrage!$A$6:$A$179,Paramètrage!$D$6:$D$179))</f>
        <v/>
      </c>
      <c r="N421" s="3" t="str">
        <f>IF(W421="","",LOOKUP('Extraction edi'!J421,Paramètrage!$A$6:$A$179,Paramètrage!$E$6:$E$179))</f>
        <v/>
      </c>
      <c r="O421" s="3" t="str">
        <f t="shared" si="147"/>
        <v/>
      </c>
      <c r="P421" s="3" t="str">
        <f t="shared" si="148"/>
        <v/>
      </c>
      <c r="Q421" s="3" t="str">
        <f t="shared" si="141"/>
        <v/>
      </c>
      <c r="R421" s="3" t="str">
        <f t="shared" si="149"/>
        <v/>
      </c>
      <c r="S421" s="3" t="str">
        <f t="shared" si="150"/>
        <v/>
      </c>
      <c r="T421" s="4" t="str">
        <f t="shared" si="151"/>
        <v/>
      </c>
      <c r="U421" s="5" t="str">
        <f t="shared" si="152"/>
        <v/>
      </c>
      <c r="V421" s="7" t="str">
        <f>IF(W421="","",IF(LOOKUP(W421,'Extration 3E date commande'!$A$6:$A$10000)=W421,LOOKUP(W421,'Extration 3E date commande'!$A$6:$A$10000,'Extration 3E date commande'!$C$6:$C$10000),"PAS DE DATE"))</f>
        <v/>
      </c>
    </row>
    <row r="422" spans="1:22" x14ac:dyDescent="0.25">
      <c r="A422" s="3" t="str">
        <f t="shared" si="142"/>
        <v/>
      </c>
      <c r="B422" s="3" t="str">
        <f t="shared" si="143"/>
        <v/>
      </c>
      <c r="C422" s="3" t="str">
        <f t="shared" si="140"/>
        <v/>
      </c>
      <c r="D422" s="3" t="str">
        <f t="shared" si="136"/>
        <v/>
      </c>
      <c r="E422" s="3" t="str">
        <f t="shared" si="137"/>
        <v/>
      </c>
      <c r="F422" s="3" t="str">
        <f t="shared" si="138"/>
        <v/>
      </c>
      <c r="G422" s="3" t="str">
        <f t="shared" si="139"/>
        <v/>
      </c>
      <c r="H422" s="3" t="str">
        <f t="shared" si="144"/>
        <v/>
      </c>
      <c r="I422" s="3" t="str">
        <f t="shared" si="145"/>
        <v/>
      </c>
      <c r="J422" s="2" t="str">
        <f t="shared" si="146"/>
        <v/>
      </c>
      <c r="K422" s="2" t="str">
        <f>IF(W422="","",LOOKUP('Extraction edi'!J422,Paramètrage!$A$6:$A$179,Paramètrage!$B$6:$B$179))</f>
        <v/>
      </c>
      <c r="L422" s="2" t="str">
        <f>IF(W422="","",LOOKUP('Extraction edi'!J422,Paramètrage!$A$6:$A$179,Paramètrage!$C$6:$C$179))</f>
        <v/>
      </c>
      <c r="M422" s="2" t="str">
        <f>IF(W422="","",LOOKUP('Extraction edi'!J422,Paramètrage!$A$6:$A$179,Paramètrage!$D$6:$D$179))</f>
        <v/>
      </c>
      <c r="N422" s="3" t="str">
        <f>IF(W422="","",LOOKUP('Extraction edi'!J422,Paramètrage!$A$6:$A$179,Paramètrage!$E$6:$E$179))</f>
        <v/>
      </c>
      <c r="O422" s="3" t="str">
        <f t="shared" si="147"/>
        <v/>
      </c>
      <c r="P422" s="3" t="str">
        <f t="shared" si="148"/>
        <v/>
      </c>
      <c r="Q422" s="3" t="str">
        <f t="shared" si="141"/>
        <v/>
      </c>
      <c r="R422" s="3" t="str">
        <f t="shared" si="149"/>
        <v/>
      </c>
      <c r="S422" s="3" t="str">
        <f t="shared" si="150"/>
        <v/>
      </c>
      <c r="T422" s="4" t="str">
        <f t="shared" si="151"/>
        <v/>
      </c>
      <c r="U422" s="5" t="str">
        <f t="shared" si="152"/>
        <v/>
      </c>
      <c r="V422" s="7" t="str">
        <f>IF(W422="","",IF(LOOKUP(W422,'Extration 3E date commande'!$A$6:$A$10000)=W422,LOOKUP(W422,'Extration 3E date commande'!$A$6:$A$10000,'Extration 3E date commande'!$C$6:$C$10000),"PAS DE DATE"))</f>
        <v/>
      </c>
    </row>
    <row r="423" spans="1:22" x14ac:dyDescent="0.25">
      <c r="A423" s="3" t="str">
        <f t="shared" si="142"/>
        <v/>
      </c>
      <c r="B423" s="3" t="str">
        <f t="shared" si="143"/>
        <v/>
      </c>
      <c r="C423" s="3" t="str">
        <f t="shared" si="140"/>
        <v/>
      </c>
      <c r="D423" s="3" t="str">
        <f t="shared" si="136"/>
        <v/>
      </c>
      <c r="E423" s="3" t="str">
        <f t="shared" si="137"/>
        <v/>
      </c>
      <c r="F423" s="3" t="str">
        <f t="shared" si="138"/>
        <v/>
      </c>
      <c r="G423" s="3" t="str">
        <f t="shared" si="139"/>
        <v/>
      </c>
      <c r="H423" s="3" t="str">
        <f t="shared" si="144"/>
        <v/>
      </c>
      <c r="I423" s="3" t="str">
        <f t="shared" si="145"/>
        <v/>
      </c>
      <c r="J423" s="2" t="str">
        <f t="shared" si="146"/>
        <v/>
      </c>
      <c r="K423" s="2" t="str">
        <f>IF(W423="","",LOOKUP('Extraction edi'!J423,Paramètrage!$A$6:$A$179,Paramètrage!$B$6:$B$179))</f>
        <v/>
      </c>
      <c r="L423" s="2" t="str">
        <f>IF(W423="","",LOOKUP('Extraction edi'!J423,Paramètrage!$A$6:$A$179,Paramètrage!$C$6:$C$179))</f>
        <v/>
      </c>
      <c r="M423" s="2" t="str">
        <f>IF(W423="","",LOOKUP('Extraction edi'!J423,Paramètrage!$A$6:$A$179,Paramètrage!$D$6:$D$179))</f>
        <v/>
      </c>
      <c r="N423" s="3" t="str">
        <f>IF(W423="","",LOOKUP('Extraction edi'!J423,Paramètrage!$A$6:$A$179,Paramètrage!$E$6:$E$179))</f>
        <v/>
      </c>
      <c r="O423" s="3" t="str">
        <f t="shared" si="147"/>
        <v/>
      </c>
      <c r="P423" s="3" t="str">
        <f t="shared" si="148"/>
        <v/>
      </c>
      <c r="Q423" s="3" t="str">
        <f t="shared" si="141"/>
        <v/>
      </c>
      <c r="R423" s="3" t="str">
        <f t="shared" si="149"/>
        <v/>
      </c>
      <c r="S423" s="3" t="str">
        <f t="shared" si="150"/>
        <v/>
      </c>
      <c r="T423" s="4" t="str">
        <f t="shared" si="151"/>
        <v/>
      </c>
      <c r="U423" s="5" t="str">
        <f t="shared" si="152"/>
        <v/>
      </c>
      <c r="V423" s="7" t="str">
        <f>IF(W423="","",IF(LOOKUP(W423,'Extration 3E date commande'!$A$6:$A$10000)=W423,LOOKUP(W423,'Extration 3E date commande'!$A$6:$A$10000,'Extration 3E date commande'!$C$6:$C$10000),"PAS DE DATE"))</f>
        <v/>
      </c>
    </row>
    <row r="424" spans="1:22" x14ac:dyDescent="0.25">
      <c r="A424" s="3" t="str">
        <f t="shared" si="142"/>
        <v/>
      </c>
      <c r="B424" s="3" t="str">
        <f t="shared" si="143"/>
        <v/>
      </c>
      <c r="C424" s="3" t="str">
        <f t="shared" si="140"/>
        <v/>
      </c>
      <c r="D424" s="3" t="str">
        <f t="shared" si="136"/>
        <v/>
      </c>
      <c r="E424" s="3" t="str">
        <f t="shared" si="137"/>
        <v/>
      </c>
      <c r="F424" s="3" t="str">
        <f t="shared" si="138"/>
        <v/>
      </c>
      <c r="G424" s="3" t="str">
        <f t="shared" si="139"/>
        <v/>
      </c>
      <c r="H424" s="3" t="str">
        <f t="shared" si="144"/>
        <v/>
      </c>
      <c r="I424" s="3" t="str">
        <f t="shared" si="145"/>
        <v/>
      </c>
      <c r="J424" s="2" t="str">
        <f t="shared" si="146"/>
        <v/>
      </c>
      <c r="K424" s="2" t="str">
        <f>IF(W424="","",LOOKUP('Extraction edi'!J424,Paramètrage!$A$6:$A$179,Paramètrage!$B$6:$B$179))</f>
        <v/>
      </c>
      <c r="L424" s="2" t="str">
        <f>IF(W424="","",LOOKUP('Extraction edi'!J424,Paramètrage!$A$6:$A$179,Paramètrage!$C$6:$C$179))</f>
        <v/>
      </c>
      <c r="M424" s="2" t="str">
        <f>IF(W424="","",LOOKUP('Extraction edi'!J424,Paramètrage!$A$6:$A$179,Paramètrage!$D$6:$D$179))</f>
        <v/>
      </c>
      <c r="N424" s="3" t="str">
        <f>IF(W424="","",LOOKUP('Extraction edi'!J424,Paramètrage!$A$6:$A$179,Paramètrage!$E$6:$E$179))</f>
        <v/>
      </c>
      <c r="O424" s="3" t="str">
        <f t="shared" si="147"/>
        <v/>
      </c>
      <c r="P424" s="3" t="str">
        <f t="shared" si="148"/>
        <v/>
      </c>
      <c r="Q424" s="3" t="str">
        <f t="shared" si="141"/>
        <v/>
      </c>
      <c r="R424" s="3" t="str">
        <f t="shared" si="149"/>
        <v/>
      </c>
      <c r="S424" s="3" t="str">
        <f t="shared" si="150"/>
        <v/>
      </c>
      <c r="T424" s="4" t="str">
        <f t="shared" si="151"/>
        <v/>
      </c>
      <c r="U424" s="5" t="str">
        <f t="shared" si="152"/>
        <v/>
      </c>
      <c r="V424" s="7" t="str">
        <f>IF(W424="","",IF(LOOKUP(W424,'Extration 3E date commande'!$A$6:$A$10000)=W424,LOOKUP(W424,'Extration 3E date commande'!$A$6:$A$10000,'Extration 3E date commande'!$C$6:$C$10000),"PAS DE DATE"))</f>
        <v/>
      </c>
    </row>
    <row r="425" spans="1:22" x14ac:dyDescent="0.25">
      <c r="A425" s="3" t="str">
        <f t="shared" si="142"/>
        <v/>
      </c>
      <c r="B425" s="3" t="str">
        <f t="shared" si="143"/>
        <v/>
      </c>
      <c r="C425" s="3" t="str">
        <f t="shared" si="140"/>
        <v/>
      </c>
      <c r="D425" s="3" t="str">
        <f t="shared" si="136"/>
        <v/>
      </c>
      <c r="E425" s="3" t="str">
        <f t="shared" si="137"/>
        <v/>
      </c>
      <c r="F425" s="3" t="str">
        <f t="shared" si="138"/>
        <v/>
      </c>
      <c r="G425" s="3" t="str">
        <f t="shared" si="139"/>
        <v/>
      </c>
      <c r="H425" s="3" t="str">
        <f t="shared" si="144"/>
        <v/>
      </c>
      <c r="I425" s="3" t="str">
        <f t="shared" si="145"/>
        <v/>
      </c>
      <c r="J425" s="2" t="str">
        <f t="shared" si="146"/>
        <v/>
      </c>
      <c r="K425" s="2" t="str">
        <f>IF(W425="","",LOOKUP('Extraction edi'!J425,Paramètrage!$A$6:$A$179,Paramètrage!$B$6:$B$179))</f>
        <v/>
      </c>
      <c r="L425" s="2" t="str">
        <f>IF(W425="","",LOOKUP('Extraction edi'!J425,Paramètrage!$A$6:$A$179,Paramètrage!$C$6:$C$179))</f>
        <v/>
      </c>
      <c r="M425" s="2" t="str">
        <f>IF(W425="","",LOOKUP('Extraction edi'!J425,Paramètrage!$A$6:$A$179,Paramètrage!$D$6:$D$179))</f>
        <v/>
      </c>
      <c r="N425" s="3" t="str">
        <f>IF(W425="","",LOOKUP('Extraction edi'!J425,Paramètrage!$A$6:$A$179,Paramètrage!$E$6:$E$179))</f>
        <v/>
      </c>
      <c r="O425" s="3" t="str">
        <f t="shared" si="147"/>
        <v/>
      </c>
      <c r="P425" s="3" t="str">
        <f t="shared" si="148"/>
        <v/>
      </c>
      <c r="Q425" s="3" t="str">
        <f t="shared" si="141"/>
        <v/>
      </c>
      <c r="R425" s="3" t="str">
        <f t="shared" si="149"/>
        <v/>
      </c>
      <c r="S425" s="3" t="str">
        <f t="shared" si="150"/>
        <v/>
      </c>
      <c r="T425" s="4" t="str">
        <f t="shared" si="151"/>
        <v/>
      </c>
      <c r="U425" s="5" t="str">
        <f t="shared" si="152"/>
        <v/>
      </c>
      <c r="V425" s="7" t="str">
        <f>IF(W425="","",IF(LOOKUP(W425,'Extration 3E date commande'!$A$6:$A$10000)=W425,LOOKUP(W425,'Extration 3E date commande'!$A$6:$A$10000,'Extration 3E date commande'!$C$6:$C$10000),"PAS DE DATE"))</f>
        <v/>
      </c>
    </row>
    <row r="426" spans="1:22" x14ac:dyDescent="0.25">
      <c r="A426" s="3" t="str">
        <f t="shared" si="142"/>
        <v/>
      </c>
      <c r="B426" s="3" t="str">
        <f t="shared" si="143"/>
        <v/>
      </c>
      <c r="C426" s="3" t="str">
        <f t="shared" si="140"/>
        <v/>
      </c>
      <c r="D426" s="3" t="str">
        <f t="shared" si="136"/>
        <v/>
      </c>
      <c r="E426" s="3" t="str">
        <f t="shared" si="137"/>
        <v/>
      </c>
      <c r="F426" s="3" t="str">
        <f t="shared" si="138"/>
        <v/>
      </c>
      <c r="G426" s="3" t="str">
        <f t="shared" si="139"/>
        <v/>
      </c>
      <c r="H426" s="3" t="str">
        <f t="shared" si="144"/>
        <v/>
      </c>
      <c r="I426" s="3" t="str">
        <f t="shared" si="145"/>
        <v/>
      </c>
      <c r="J426" s="2" t="str">
        <f t="shared" si="146"/>
        <v/>
      </c>
      <c r="K426" s="2" t="str">
        <f>IF(W426="","",LOOKUP('Extraction edi'!J426,Paramètrage!$A$6:$A$179,Paramètrage!$B$6:$B$179))</f>
        <v/>
      </c>
      <c r="L426" s="2" t="str">
        <f>IF(W426="","",LOOKUP('Extraction edi'!J426,Paramètrage!$A$6:$A$179,Paramètrage!$C$6:$C$179))</f>
        <v/>
      </c>
      <c r="M426" s="2" t="str">
        <f>IF(W426="","",LOOKUP('Extraction edi'!J426,Paramètrage!$A$6:$A$179,Paramètrage!$D$6:$D$179))</f>
        <v/>
      </c>
      <c r="N426" s="3" t="str">
        <f>IF(W426="","",LOOKUP('Extraction edi'!J426,Paramètrage!$A$6:$A$179,Paramètrage!$E$6:$E$179))</f>
        <v/>
      </c>
      <c r="O426" s="3" t="str">
        <f t="shared" si="147"/>
        <v/>
      </c>
      <c r="P426" s="3" t="str">
        <f t="shared" si="148"/>
        <v/>
      </c>
      <c r="Q426" s="3" t="str">
        <f t="shared" si="141"/>
        <v/>
      </c>
      <c r="R426" s="3" t="str">
        <f t="shared" si="149"/>
        <v/>
      </c>
      <c r="S426" s="3" t="str">
        <f t="shared" si="150"/>
        <v/>
      </c>
      <c r="T426" s="4" t="str">
        <f t="shared" si="151"/>
        <v/>
      </c>
      <c r="U426" s="5" t="str">
        <f t="shared" si="152"/>
        <v/>
      </c>
      <c r="V426" s="7" t="str">
        <f>IF(W426="","",IF(LOOKUP(W426,'Extration 3E date commande'!$A$6:$A$10000)=W426,LOOKUP(W426,'Extration 3E date commande'!$A$6:$A$10000,'Extration 3E date commande'!$C$6:$C$10000),"PAS DE DATE"))</f>
        <v/>
      </c>
    </row>
    <row r="427" spans="1:22" x14ac:dyDescent="0.25">
      <c r="A427" s="3" t="str">
        <f t="shared" si="142"/>
        <v/>
      </c>
      <c r="B427" s="3" t="str">
        <f t="shared" si="143"/>
        <v/>
      </c>
      <c r="C427" s="3" t="str">
        <f t="shared" si="140"/>
        <v/>
      </c>
      <c r="D427" s="3" t="str">
        <f t="shared" si="136"/>
        <v/>
      </c>
      <c r="E427" s="3" t="str">
        <f t="shared" si="137"/>
        <v/>
      </c>
      <c r="F427" s="3" t="str">
        <f t="shared" si="138"/>
        <v/>
      </c>
      <c r="G427" s="3" t="str">
        <f t="shared" si="139"/>
        <v/>
      </c>
      <c r="H427" s="3" t="str">
        <f t="shared" si="144"/>
        <v/>
      </c>
      <c r="I427" s="3" t="str">
        <f t="shared" si="145"/>
        <v/>
      </c>
      <c r="J427" s="2" t="str">
        <f t="shared" si="146"/>
        <v/>
      </c>
      <c r="K427" s="2" t="str">
        <f>IF(W427="","",LOOKUP('Extraction edi'!J427,Paramètrage!$A$6:$A$179,Paramètrage!$B$6:$B$179))</f>
        <v/>
      </c>
      <c r="L427" s="2" t="str">
        <f>IF(W427="","",LOOKUP('Extraction edi'!J427,Paramètrage!$A$6:$A$179,Paramètrage!$C$6:$C$179))</f>
        <v/>
      </c>
      <c r="M427" s="2" t="str">
        <f>IF(W427="","",LOOKUP('Extraction edi'!J427,Paramètrage!$A$6:$A$179,Paramètrage!$D$6:$D$179))</f>
        <v/>
      </c>
      <c r="N427" s="3" t="str">
        <f>IF(W427="","",LOOKUP('Extraction edi'!J427,Paramètrage!$A$6:$A$179,Paramètrage!$E$6:$E$179))</f>
        <v/>
      </c>
      <c r="O427" s="3" t="str">
        <f t="shared" si="147"/>
        <v/>
      </c>
      <c r="P427" s="3" t="str">
        <f t="shared" si="148"/>
        <v/>
      </c>
      <c r="Q427" s="3" t="str">
        <f t="shared" si="141"/>
        <v/>
      </c>
      <c r="R427" s="3" t="str">
        <f t="shared" si="149"/>
        <v/>
      </c>
      <c r="S427" s="3" t="str">
        <f t="shared" si="150"/>
        <v/>
      </c>
      <c r="T427" s="4" t="str">
        <f t="shared" si="151"/>
        <v/>
      </c>
      <c r="U427" s="5" t="str">
        <f t="shared" si="152"/>
        <v/>
      </c>
      <c r="V427" s="7" t="str">
        <f>IF(W427="","",IF(LOOKUP(W427,'Extration 3E date commande'!$A$6:$A$10000)=W427,LOOKUP(W427,'Extration 3E date commande'!$A$6:$A$10000,'Extration 3E date commande'!$C$6:$C$10000),"PAS DE DATE"))</f>
        <v/>
      </c>
    </row>
    <row r="428" spans="1:22" x14ac:dyDescent="0.25">
      <c r="A428" s="3" t="str">
        <f t="shared" si="142"/>
        <v/>
      </c>
      <c r="B428" s="3" t="str">
        <f t="shared" si="143"/>
        <v/>
      </c>
      <c r="C428" s="3" t="str">
        <f t="shared" si="140"/>
        <v/>
      </c>
      <c r="D428" s="3" t="str">
        <f t="shared" si="136"/>
        <v/>
      </c>
      <c r="E428" s="3" t="str">
        <f t="shared" si="137"/>
        <v/>
      </c>
      <c r="F428" s="3" t="str">
        <f t="shared" si="138"/>
        <v/>
      </c>
      <c r="G428" s="3" t="str">
        <f t="shared" si="139"/>
        <v/>
      </c>
      <c r="H428" s="3" t="str">
        <f t="shared" si="144"/>
        <v/>
      </c>
      <c r="I428" s="3" t="str">
        <f t="shared" si="145"/>
        <v/>
      </c>
      <c r="J428" s="2" t="str">
        <f t="shared" si="146"/>
        <v/>
      </c>
      <c r="K428" s="2" t="str">
        <f>IF(W428="","",LOOKUP('Extraction edi'!J428,Paramètrage!$A$6:$A$179,Paramètrage!$B$6:$B$179))</f>
        <v/>
      </c>
      <c r="L428" s="2" t="str">
        <f>IF(W428="","",LOOKUP('Extraction edi'!J428,Paramètrage!$A$6:$A$179,Paramètrage!$C$6:$C$179))</f>
        <v/>
      </c>
      <c r="M428" s="2" t="str">
        <f>IF(W428="","",LOOKUP('Extraction edi'!J428,Paramètrage!$A$6:$A$179,Paramètrage!$D$6:$D$179))</f>
        <v/>
      </c>
      <c r="N428" s="3" t="str">
        <f>IF(W428="","",LOOKUP('Extraction edi'!J428,Paramètrage!$A$6:$A$179,Paramètrage!$E$6:$E$179))</f>
        <v/>
      </c>
      <c r="O428" s="3" t="str">
        <f t="shared" si="147"/>
        <v/>
      </c>
      <c r="P428" s="3" t="str">
        <f t="shared" si="148"/>
        <v/>
      </c>
      <c r="Q428" s="3" t="str">
        <f t="shared" si="141"/>
        <v/>
      </c>
      <c r="R428" s="3" t="str">
        <f t="shared" si="149"/>
        <v/>
      </c>
      <c r="S428" s="3" t="str">
        <f t="shared" si="150"/>
        <v/>
      </c>
      <c r="T428" s="4" t="str">
        <f t="shared" si="151"/>
        <v/>
      </c>
      <c r="U428" s="5" t="str">
        <f t="shared" si="152"/>
        <v/>
      </c>
      <c r="V428" s="7" t="str">
        <f>IF(W428="","",IF(LOOKUP(W428,'Extration 3E date commande'!$A$6:$A$10000)=W428,LOOKUP(W428,'Extration 3E date commande'!$A$6:$A$10000,'Extration 3E date commande'!$C$6:$C$10000),"PAS DE DATE"))</f>
        <v/>
      </c>
    </row>
    <row r="429" spans="1:22" x14ac:dyDescent="0.25">
      <c r="A429" s="3" t="str">
        <f t="shared" si="142"/>
        <v/>
      </c>
      <c r="B429" s="3" t="str">
        <f t="shared" si="143"/>
        <v/>
      </c>
      <c r="C429" s="3" t="str">
        <f t="shared" si="140"/>
        <v/>
      </c>
      <c r="D429" s="3" t="str">
        <f t="shared" si="136"/>
        <v/>
      </c>
      <c r="E429" s="3" t="str">
        <f t="shared" si="137"/>
        <v/>
      </c>
      <c r="F429" s="3" t="str">
        <f t="shared" si="138"/>
        <v/>
      </c>
      <c r="G429" s="3" t="str">
        <f t="shared" si="139"/>
        <v/>
      </c>
      <c r="H429" s="3" t="str">
        <f t="shared" si="144"/>
        <v/>
      </c>
      <c r="I429" s="3" t="str">
        <f t="shared" si="145"/>
        <v/>
      </c>
      <c r="J429" s="2" t="str">
        <f t="shared" si="146"/>
        <v/>
      </c>
      <c r="K429" s="2" t="str">
        <f>IF(W429="","",LOOKUP('Extraction edi'!J429,Paramètrage!$A$6:$A$179,Paramètrage!$B$6:$B$179))</f>
        <v/>
      </c>
      <c r="L429" s="2" t="str">
        <f>IF(W429="","",LOOKUP('Extraction edi'!J429,Paramètrage!$A$6:$A$179,Paramètrage!$C$6:$C$179))</f>
        <v/>
      </c>
      <c r="M429" s="2" t="str">
        <f>IF(W429="","",LOOKUP('Extraction edi'!J429,Paramètrage!$A$6:$A$179,Paramètrage!$D$6:$D$179))</f>
        <v/>
      </c>
      <c r="N429" s="3" t="str">
        <f>IF(W429="","",LOOKUP('Extraction edi'!J429,Paramètrage!$A$6:$A$179,Paramètrage!$E$6:$E$179))</f>
        <v/>
      </c>
      <c r="O429" s="3" t="str">
        <f t="shared" si="147"/>
        <v/>
      </c>
      <c r="P429" s="3" t="str">
        <f t="shared" si="148"/>
        <v/>
      </c>
      <c r="Q429" s="3" t="str">
        <f t="shared" si="141"/>
        <v/>
      </c>
      <c r="R429" s="3" t="str">
        <f t="shared" si="149"/>
        <v/>
      </c>
      <c r="S429" s="3" t="str">
        <f t="shared" si="150"/>
        <v/>
      </c>
      <c r="T429" s="4" t="str">
        <f t="shared" si="151"/>
        <v/>
      </c>
      <c r="U429" s="5" t="str">
        <f t="shared" si="152"/>
        <v/>
      </c>
      <c r="V429" s="7" t="str">
        <f>IF(W429="","",IF(LOOKUP(W429,'Extration 3E date commande'!$A$6:$A$10000)=W429,LOOKUP(W429,'Extration 3E date commande'!$A$6:$A$10000,'Extration 3E date commande'!$C$6:$C$10000),"PAS DE DATE"))</f>
        <v/>
      </c>
    </row>
    <row r="430" spans="1:22" x14ac:dyDescent="0.25">
      <c r="A430" s="3" t="str">
        <f t="shared" si="142"/>
        <v/>
      </c>
      <c r="B430" s="3" t="str">
        <f t="shared" si="143"/>
        <v/>
      </c>
      <c r="C430" s="3" t="str">
        <f t="shared" si="140"/>
        <v/>
      </c>
      <c r="D430" s="3" t="str">
        <f t="shared" si="136"/>
        <v/>
      </c>
      <c r="E430" s="3" t="str">
        <f t="shared" si="137"/>
        <v/>
      </c>
      <c r="F430" s="3" t="str">
        <f t="shared" si="138"/>
        <v/>
      </c>
      <c r="G430" s="3" t="str">
        <f t="shared" si="139"/>
        <v/>
      </c>
      <c r="H430" s="3" t="str">
        <f t="shared" si="144"/>
        <v/>
      </c>
      <c r="I430" s="3" t="str">
        <f t="shared" si="145"/>
        <v/>
      </c>
      <c r="J430" s="2" t="str">
        <f t="shared" si="146"/>
        <v/>
      </c>
      <c r="K430" s="2" t="str">
        <f>IF(W430="","",LOOKUP('Extraction edi'!J430,Paramètrage!$A$6:$A$179,Paramètrage!$B$6:$B$179))</f>
        <v/>
      </c>
      <c r="L430" s="2" t="str">
        <f>IF(W430="","",LOOKUP('Extraction edi'!J430,Paramètrage!$A$6:$A$179,Paramètrage!$C$6:$C$179))</f>
        <v/>
      </c>
      <c r="M430" s="2" t="str">
        <f>IF(W430="","",LOOKUP('Extraction edi'!J430,Paramètrage!$A$6:$A$179,Paramètrage!$D$6:$D$179))</f>
        <v/>
      </c>
      <c r="N430" s="3" t="str">
        <f>IF(W430="","",LOOKUP('Extraction edi'!J430,Paramètrage!$A$6:$A$179,Paramètrage!$E$6:$E$179))</f>
        <v/>
      </c>
      <c r="O430" s="3" t="str">
        <f t="shared" si="147"/>
        <v/>
      </c>
      <c r="P430" s="3" t="str">
        <f t="shared" si="148"/>
        <v/>
      </c>
      <c r="Q430" s="3" t="str">
        <f t="shared" si="141"/>
        <v/>
      </c>
      <c r="R430" s="3" t="str">
        <f t="shared" si="149"/>
        <v/>
      </c>
      <c r="S430" s="3" t="str">
        <f t="shared" si="150"/>
        <v/>
      </c>
      <c r="T430" s="4" t="str">
        <f t="shared" si="151"/>
        <v/>
      </c>
      <c r="U430" s="5" t="str">
        <f t="shared" si="152"/>
        <v/>
      </c>
      <c r="V430" s="7" t="str">
        <f>IF(W430="","",IF(LOOKUP(W430,'Extration 3E date commande'!$A$6:$A$10000)=W430,LOOKUP(W430,'Extration 3E date commande'!$A$6:$A$10000,'Extration 3E date commande'!$C$6:$C$10000),"PAS DE DATE"))</f>
        <v/>
      </c>
    </row>
    <row r="431" spans="1:22" x14ac:dyDescent="0.25">
      <c r="A431" s="3" t="str">
        <f t="shared" si="142"/>
        <v/>
      </c>
      <c r="B431" s="3" t="str">
        <f t="shared" si="143"/>
        <v/>
      </c>
      <c r="C431" s="3" t="str">
        <f t="shared" si="140"/>
        <v/>
      </c>
      <c r="D431" s="3" t="str">
        <f t="shared" si="136"/>
        <v/>
      </c>
      <c r="E431" s="3" t="str">
        <f t="shared" si="137"/>
        <v/>
      </c>
      <c r="F431" s="3" t="str">
        <f t="shared" si="138"/>
        <v/>
      </c>
      <c r="G431" s="3" t="str">
        <f t="shared" si="139"/>
        <v/>
      </c>
      <c r="H431" s="3" t="str">
        <f t="shared" si="144"/>
        <v/>
      </c>
      <c r="I431" s="3" t="str">
        <f t="shared" si="145"/>
        <v/>
      </c>
      <c r="J431" s="2" t="str">
        <f t="shared" si="146"/>
        <v/>
      </c>
      <c r="K431" s="2" t="str">
        <f>IF(W431="","",LOOKUP('Extraction edi'!J431,Paramètrage!$A$6:$A$179,Paramètrage!$B$6:$B$179))</f>
        <v/>
      </c>
      <c r="L431" s="2" t="str">
        <f>IF(W431="","",LOOKUP('Extraction edi'!J431,Paramètrage!$A$6:$A$179,Paramètrage!$C$6:$C$179))</f>
        <v/>
      </c>
      <c r="M431" s="2" t="str">
        <f>IF(W431="","",LOOKUP('Extraction edi'!J431,Paramètrage!$A$6:$A$179,Paramètrage!$D$6:$D$179))</f>
        <v/>
      </c>
      <c r="N431" s="3" t="str">
        <f>IF(W431="","",LOOKUP('Extraction edi'!J431,Paramètrage!$A$6:$A$179,Paramètrage!$E$6:$E$179))</f>
        <v/>
      </c>
      <c r="O431" s="3" t="str">
        <f t="shared" si="147"/>
        <v/>
      </c>
      <c r="P431" s="3" t="str">
        <f t="shared" si="148"/>
        <v/>
      </c>
      <c r="Q431" s="3" t="str">
        <f t="shared" si="141"/>
        <v/>
      </c>
      <c r="R431" s="3" t="str">
        <f t="shared" si="149"/>
        <v/>
      </c>
      <c r="S431" s="3" t="str">
        <f t="shared" si="150"/>
        <v/>
      </c>
      <c r="T431" s="4" t="str">
        <f t="shared" si="151"/>
        <v/>
      </c>
      <c r="U431" s="5" t="str">
        <f t="shared" si="152"/>
        <v/>
      </c>
      <c r="V431" s="7" t="str">
        <f>IF(W431="","",IF(LOOKUP(W431,'Extration 3E date commande'!$A$6:$A$10000)=W431,LOOKUP(W431,'Extration 3E date commande'!$A$6:$A$10000,'Extration 3E date commande'!$C$6:$C$10000),"PAS DE DATE"))</f>
        <v/>
      </c>
    </row>
    <row r="432" spans="1:22" x14ac:dyDescent="0.25">
      <c r="A432" s="3" t="str">
        <f t="shared" si="142"/>
        <v/>
      </c>
      <c r="B432" s="3" t="str">
        <f t="shared" si="143"/>
        <v/>
      </c>
      <c r="C432" s="3" t="str">
        <f t="shared" si="140"/>
        <v/>
      </c>
      <c r="D432" s="3" t="str">
        <f t="shared" si="136"/>
        <v/>
      </c>
      <c r="E432" s="3" t="str">
        <f t="shared" si="137"/>
        <v/>
      </c>
      <c r="F432" s="3" t="str">
        <f t="shared" si="138"/>
        <v/>
      </c>
      <c r="G432" s="3" t="str">
        <f t="shared" si="139"/>
        <v/>
      </c>
      <c r="H432" s="3" t="str">
        <f t="shared" si="144"/>
        <v/>
      </c>
      <c r="I432" s="3" t="str">
        <f t="shared" si="145"/>
        <v/>
      </c>
      <c r="J432" s="2" t="str">
        <f t="shared" si="146"/>
        <v/>
      </c>
      <c r="K432" s="2" t="str">
        <f>IF(W432="","",LOOKUP('Extraction edi'!J432,Paramètrage!$A$6:$A$179,Paramètrage!$B$6:$B$179))</f>
        <v/>
      </c>
      <c r="L432" s="2" t="str">
        <f>IF(W432="","",LOOKUP('Extraction edi'!J432,Paramètrage!$A$6:$A$179,Paramètrage!$C$6:$C$179))</f>
        <v/>
      </c>
      <c r="M432" s="2" t="str">
        <f>IF(W432="","",LOOKUP('Extraction edi'!J432,Paramètrage!$A$6:$A$179,Paramètrage!$D$6:$D$179))</f>
        <v/>
      </c>
      <c r="N432" s="3" t="str">
        <f>IF(W432="","",LOOKUP('Extraction edi'!J432,Paramètrage!$A$6:$A$179,Paramètrage!$E$6:$E$179))</f>
        <v/>
      </c>
      <c r="O432" s="3" t="str">
        <f t="shared" si="147"/>
        <v/>
      </c>
      <c r="P432" s="3" t="str">
        <f t="shared" si="148"/>
        <v/>
      </c>
      <c r="Q432" s="3" t="str">
        <f t="shared" si="141"/>
        <v/>
      </c>
      <c r="R432" s="3" t="str">
        <f t="shared" si="149"/>
        <v/>
      </c>
      <c r="S432" s="3" t="str">
        <f t="shared" si="150"/>
        <v/>
      </c>
      <c r="T432" s="4" t="str">
        <f t="shared" si="151"/>
        <v/>
      </c>
      <c r="U432" s="5" t="str">
        <f t="shared" si="152"/>
        <v/>
      </c>
      <c r="V432" s="7" t="str">
        <f>IF(W432="","",IF(LOOKUP(W432,'Extration 3E date commande'!$A$6:$A$10000)=W432,LOOKUP(W432,'Extration 3E date commande'!$A$6:$A$10000,'Extration 3E date commande'!$C$6:$C$10000),"PAS DE DATE"))</f>
        <v/>
      </c>
    </row>
    <row r="433" spans="1:22" x14ac:dyDescent="0.25">
      <c r="A433" s="3" t="str">
        <f t="shared" si="142"/>
        <v/>
      </c>
      <c r="B433" s="3" t="str">
        <f t="shared" si="143"/>
        <v/>
      </c>
      <c r="C433" s="3" t="str">
        <f t="shared" si="140"/>
        <v/>
      </c>
      <c r="D433" s="3" t="str">
        <f t="shared" si="136"/>
        <v/>
      </c>
      <c r="E433" s="3" t="str">
        <f t="shared" si="137"/>
        <v/>
      </c>
      <c r="F433" s="3" t="str">
        <f t="shared" si="138"/>
        <v/>
      </c>
      <c r="G433" s="3" t="str">
        <f t="shared" si="139"/>
        <v/>
      </c>
      <c r="H433" s="3" t="str">
        <f t="shared" si="144"/>
        <v/>
      </c>
      <c r="I433" s="3" t="str">
        <f t="shared" si="145"/>
        <v/>
      </c>
      <c r="J433" s="2" t="str">
        <f t="shared" si="146"/>
        <v/>
      </c>
      <c r="K433" s="2" t="str">
        <f>IF(W433="","",LOOKUP('Extraction edi'!J433,Paramètrage!$A$6:$A$179,Paramètrage!$B$6:$B$179))</f>
        <v/>
      </c>
      <c r="L433" s="2" t="str">
        <f>IF(W433="","",LOOKUP('Extraction edi'!J433,Paramètrage!$A$6:$A$179,Paramètrage!$C$6:$C$179))</f>
        <v/>
      </c>
      <c r="M433" s="2" t="str">
        <f>IF(W433="","",LOOKUP('Extraction edi'!J433,Paramètrage!$A$6:$A$179,Paramètrage!$D$6:$D$179))</f>
        <v/>
      </c>
      <c r="N433" s="3" t="str">
        <f>IF(W433="","",LOOKUP('Extraction edi'!J433,Paramètrage!$A$6:$A$179,Paramètrage!$E$6:$E$179))</f>
        <v/>
      </c>
      <c r="O433" s="3" t="str">
        <f t="shared" si="147"/>
        <v/>
      </c>
      <c r="P433" s="3" t="str">
        <f t="shared" si="148"/>
        <v/>
      </c>
      <c r="Q433" s="3" t="str">
        <f t="shared" si="141"/>
        <v/>
      </c>
      <c r="R433" s="3" t="str">
        <f t="shared" si="149"/>
        <v/>
      </c>
      <c r="S433" s="3" t="str">
        <f t="shared" si="150"/>
        <v/>
      </c>
      <c r="T433" s="4" t="str">
        <f t="shared" si="151"/>
        <v/>
      </c>
      <c r="U433" s="5" t="str">
        <f t="shared" si="152"/>
        <v/>
      </c>
      <c r="V433" s="7" t="str">
        <f>IF(W433="","",IF(LOOKUP(W433,'Extration 3E date commande'!$A$6:$A$10000)=W433,LOOKUP(W433,'Extration 3E date commande'!$A$6:$A$10000,'Extration 3E date commande'!$C$6:$C$10000),"PAS DE DATE"))</f>
        <v/>
      </c>
    </row>
    <row r="434" spans="1:22" x14ac:dyDescent="0.25">
      <c r="A434" s="3" t="str">
        <f t="shared" si="142"/>
        <v/>
      </c>
      <c r="B434" s="3" t="str">
        <f t="shared" si="143"/>
        <v/>
      </c>
      <c r="C434" s="3" t="str">
        <f t="shared" si="140"/>
        <v/>
      </c>
      <c r="D434" s="3" t="str">
        <f t="shared" si="136"/>
        <v/>
      </c>
      <c r="E434" s="3" t="str">
        <f t="shared" si="137"/>
        <v/>
      </c>
      <c r="F434" s="3" t="str">
        <f t="shared" si="138"/>
        <v/>
      </c>
      <c r="G434" s="3" t="str">
        <f t="shared" si="139"/>
        <v/>
      </c>
      <c r="H434" s="3" t="str">
        <f t="shared" si="144"/>
        <v/>
      </c>
      <c r="I434" s="3" t="str">
        <f t="shared" si="145"/>
        <v/>
      </c>
      <c r="J434" s="2" t="str">
        <f t="shared" si="146"/>
        <v/>
      </c>
      <c r="K434" s="2" t="str">
        <f>IF(W434="","",LOOKUP('Extraction edi'!J434,Paramètrage!$A$6:$A$179,Paramètrage!$B$6:$B$179))</f>
        <v/>
      </c>
      <c r="L434" s="2" t="str">
        <f>IF(W434="","",LOOKUP('Extraction edi'!J434,Paramètrage!$A$6:$A$179,Paramètrage!$C$6:$C$179))</f>
        <v/>
      </c>
      <c r="M434" s="2" t="str">
        <f>IF(W434="","",LOOKUP('Extraction edi'!J434,Paramètrage!$A$6:$A$179,Paramètrage!$D$6:$D$179))</f>
        <v/>
      </c>
      <c r="N434" s="3" t="str">
        <f>IF(W434="","",LOOKUP('Extraction edi'!J434,Paramètrage!$A$6:$A$179,Paramètrage!$E$6:$E$179))</f>
        <v/>
      </c>
      <c r="O434" s="3" t="str">
        <f t="shared" si="147"/>
        <v/>
      </c>
      <c r="P434" s="3" t="str">
        <f t="shared" si="148"/>
        <v/>
      </c>
      <c r="Q434" s="3" t="str">
        <f t="shared" si="141"/>
        <v/>
      </c>
      <c r="R434" s="3" t="str">
        <f t="shared" si="149"/>
        <v/>
      </c>
      <c r="S434" s="3" t="str">
        <f t="shared" si="150"/>
        <v/>
      </c>
      <c r="T434" s="4" t="str">
        <f t="shared" si="151"/>
        <v/>
      </c>
      <c r="U434" s="5" t="str">
        <f t="shared" si="152"/>
        <v/>
      </c>
      <c r="V434" s="7" t="str">
        <f>IF(W434="","",IF(LOOKUP(W434,'Extration 3E date commande'!$A$6:$A$10000)=W434,LOOKUP(W434,'Extration 3E date commande'!$A$6:$A$10000,'Extration 3E date commande'!$C$6:$C$10000),"PAS DE DATE"))</f>
        <v/>
      </c>
    </row>
    <row r="435" spans="1:22" x14ac:dyDescent="0.25">
      <c r="A435" s="3" t="str">
        <f t="shared" si="142"/>
        <v/>
      </c>
      <c r="B435" s="3" t="str">
        <f t="shared" si="143"/>
        <v/>
      </c>
      <c r="C435" s="3" t="str">
        <f t="shared" si="140"/>
        <v/>
      </c>
      <c r="D435" s="3" t="str">
        <f t="shared" si="136"/>
        <v/>
      </c>
      <c r="E435" s="3" t="str">
        <f t="shared" si="137"/>
        <v/>
      </c>
      <c r="F435" s="3" t="str">
        <f t="shared" si="138"/>
        <v/>
      </c>
      <c r="G435" s="3" t="str">
        <f t="shared" si="139"/>
        <v/>
      </c>
      <c r="H435" s="3" t="str">
        <f t="shared" si="144"/>
        <v/>
      </c>
      <c r="I435" s="3" t="str">
        <f t="shared" si="145"/>
        <v/>
      </c>
      <c r="J435" s="2" t="str">
        <f t="shared" si="146"/>
        <v/>
      </c>
      <c r="K435" s="2" t="str">
        <f>IF(W435="","",LOOKUP('Extraction edi'!J435,Paramètrage!$A$6:$A$179,Paramètrage!$B$6:$B$179))</f>
        <v/>
      </c>
      <c r="L435" s="2" t="str">
        <f>IF(W435="","",LOOKUP('Extraction edi'!J435,Paramètrage!$A$6:$A$179,Paramètrage!$C$6:$C$179))</f>
        <v/>
      </c>
      <c r="M435" s="2" t="str">
        <f>IF(W435="","",LOOKUP('Extraction edi'!J435,Paramètrage!$A$6:$A$179,Paramètrage!$D$6:$D$179))</f>
        <v/>
      </c>
      <c r="N435" s="3" t="str">
        <f>IF(W435="","",LOOKUP('Extraction edi'!J435,Paramètrage!$A$6:$A$179,Paramètrage!$E$6:$E$179))</f>
        <v/>
      </c>
      <c r="O435" s="3" t="str">
        <f t="shared" si="147"/>
        <v/>
      </c>
      <c r="P435" s="3" t="str">
        <f t="shared" si="148"/>
        <v/>
      </c>
      <c r="Q435" s="3" t="str">
        <f t="shared" si="141"/>
        <v/>
      </c>
      <c r="R435" s="3" t="str">
        <f t="shared" si="149"/>
        <v/>
      </c>
      <c r="S435" s="3" t="str">
        <f t="shared" si="150"/>
        <v/>
      </c>
      <c r="T435" s="4" t="str">
        <f t="shared" si="151"/>
        <v/>
      </c>
      <c r="U435" s="5" t="str">
        <f t="shared" si="152"/>
        <v/>
      </c>
      <c r="V435" s="7" t="str">
        <f>IF(W435="","",IF(LOOKUP(W435,'Extration 3E date commande'!$A$6:$A$10000)=W435,LOOKUP(W435,'Extration 3E date commande'!$A$6:$A$10000,'Extration 3E date commande'!$C$6:$C$10000),"PAS DE DATE"))</f>
        <v/>
      </c>
    </row>
    <row r="436" spans="1:22" x14ac:dyDescent="0.25">
      <c r="A436" s="3" t="str">
        <f t="shared" si="142"/>
        <v/>
      </c>
      <c r="B436" s="3" t="str">
        <f t="shared" si="143"/>
        <v/>
      </c>
      <c r="C436" s="3" t="str">
        <f t="shared" si="140"/>
        <v/>
      </c>
      <c r="D436" s="3" t="str">
        <f t="shared" si="136"/>
        <v/>
      </c>
      <c r="E436" s="3" t="str">
        <f t="shared" si="137"/>
        <v/>
      </c>
      <c r="F436" s="3" t="str">
        <f t="shared" si="138"/>
        <v/>
      </c>
      <c r="G436" s="3" t="str">
        <f t="shared" si="139"/>
        <v/>
      </c>
      <c r="H436" s="3" t="str">
        <f t="shared" si="144"/>
        <v/>
      </c>
      <c r="I436" s="3" t="str">
        <f t="shared" si="145"/>
        <v/>
      </c>
      <c r="J436" s="2" t="str">
        <f t="shared" si="146"/>
        <v/>
      </c>
      <c r="K436" s="2" t="str">
        <f>IF(W436="","",LOOKUP('Extraction edi'!J436,Paramètrage!$A$6:$A$179,Paramètrage!$B$6:$B$179))</f>
        <v/>
      </c>
      <c r="L436" s="2" t="str">
        <f>IF(W436="","",LOOKUP('Extraction edi'!J436,Paramètrage!$A$6:$A$179,Paramètrage!$C$6:$C$179))</f>
        <v/>
      </c>
      <c r="M436" s="2" t="str">
        <f>IF(W436="","",LOOKUP('Extraction edi'!J436,Paramètrage!$A$6:$A$179,Paramètrage!$D$6:$D$179))</f>
        <v/>
      </c>
      <c r="N436" s="3" t="str">
        <f>IF(W436="","",LOOKUP('Extraction edi'!J436,Paramètrage!$A$6:$A$179,Paramètrage!$E$6:$E$179))</f>
        <v/>
      </c>
      <c r="O436" s="3" t="str">
        <f t="shared" si="147"/>
        <v/>
      </c>
      <c r="P436" s="3" t="str">
        <f t="shared" si="148"/>
        <v/>
      </c>
      <c r="Q436" s="3" t="str">
        <f t="shared" si="141"/>
        <v/>
      </c>
      <c r="R436" s="3" t="str">
        <f t="shared" si="149"/>
        <v/>
      </c>
      <c r="S436" s="3" t="str">
        <f t="shared" si="150"/>
        <v/>
      </c>
      <c r="T436" s="4" t="str">
        <f t="shared" si="151"/>
        <v/>
      </c>
      <c r="U436" s="5" t="str">
        <f t="shared" si="152"/>
        <v/>
      </c>
      <c r="V436" s="7" t="str">
        <f>IF(W436="","",IF(LOOKUP(W436,'Extration 3E date commande'!$A$6:$A$10000)=W436,LOOKUP(W436,'Extration 3E date commande'!$A$6:$A$10000,'Extration 3E date commande'!$C$6:$C$10000),"PAS DE DATE"))</f>
        <v/>
      </c>
    </row>
    <row r="437" spans="1:22" x14ac:dyDescent="0.25">
      <c r="A437" s="3" t="str">
        <f t="shared" si="142"/>
        <v/>
      </c>
      <c r="B437" s="3" t="str">
        <f t="shared" si="143"/>
        <v/>
      </c>
      <c r="C437" s="3" t="str">
        <f t="shared" si="140"/>
        <v/>
      </c>
      <c r="D437" s="3" t="str">
        <f t="shared" si="136"/>
        <v/>
      </c>
      <c r="E437" s="3" t="str">
        <f t="shared" si="137"/>
        <v/>
      </c>
      <c r="F437" s="3" t="str">
        <f t="shared" si="138"/>
        <v/>
      </c>
      <c r="G437" s="3" t="str">
        <f t="shared" si="139"/>
        <v/>
      </c>
      <c r="H437" s="3" t="str">
        <f t="shared" si="144"/>
        <v/>
      </c>
      <c r="I437" s="3" t="str">
        <f t="shared" si="145"/>
        <v/>
      </c>
      <c r="J437" s="2" t="str">
        <f t="shared" si="146"/>
        <v/>
      </c>
      <c r="K437" s="2" t="str">
        <f>IF(W437="","",LOOKUP('Extraction edi'!J437,Paramètrage!$A$6:$A$179,Paramètrage!$B$6:$B$179))</f>
        <v/>
      </c>
      <c r="L437" s="2" t="str">
        <f>IF(W437="","",LOOKUP('Extraction edi'!J437,Paramètrage!$A$6:$A$179,Paramètrage!$C$6:$C$179))</f>
        <v/>
      </c>
      <c r="M437" s="2" t="str">
        <f>IF(W437="","",LOOKUP('Extraction edi'!J437,Paramètrage!$A$6:$A$179,Paramètrage!$D$6:$D$179))</f>
        <v/>
      </c>
      <c r="N437" s="3" t="str">
        <f>IF(W437="","",LOOKUP('Extraction edi'!J437,Paramètrage!$A$6:$A$179,Paramètrage!$E$6:$E$179))</f>
        <v/>
      </c>
      <c r="O437" s="3" t="str">
        <f t="shared" si="147"/>
        <v/>
      </c>
      <c r="P437" s="3" t="str">
        <f t="shared" si="148"/>
        <v/>
      </c>
      <c r="Q437" s="3" t="str">
        <f t="shared" si="141"/>
        <v/>
      </c>
      <c r="R437" s="3" t="str">
        <f t="shared" si="149"/>
        <v/>
      </c>
      <c r="S437" s="3" t="str">
        <f t="shared" si="150"/>
        <v/>
      </c>
      <c r="T437" s="4" t="str">
        <f t="shared" si="151"/>
        <v/>
      </c>
      <c r="U437" s="5" t="str">
        <f t="shared" si="152"/>
        <v/>
      </c>
      <c r="V437" s="7" t="str">
        <f>IF(W437="","",IF(LOOKUP(W437,'Extration 3E date commande'!$A$6:$A$10000)=W437,LOOKUP(W437,'Extration 3E date commande'!$A$6:$A$10000,'Extration 3E date commande'!$C$6:$C$10000),"PAS DE DATE"))</f>
        <v/>
      </c>
    </row>
    <row r="438" spans="1:22" x14ac:dyDescent="0.25">
      <c r="A438" s="3" t="str">
        <f t="shared" si="142"/>
        <v/>
      </c>
      <c r="B438" s="3" t="str">
        <f t="shared" si="143"/>
        <v/>
      </c>
      <c r="C438" s="3" t="str">
        <f t="shared" si="140"/>
        <v/>
      </c>
      <c r="D438" s="3" t="str">
        <f t="shared" si="136"/>
        <v/>
      </c>
      <c r="E438" s="3" t="str">
        <f t="shared" si="137"/>
        <v/>
      </c>
      <c r="F438" s="3" t="str">
        <f t="shared" si="138"/>
        <v/>
      </c>
      <c r="G438" s="3" t="str">
        <f t="shared" si="139"/>
        <v/>
      </c>
      <c r="H438" s="3" t="str">
        <f t="shared" si="144"/>
        <v/>
      </c>
      <c r="I438" s="3" t="str">
        <f t="shared" si="145"/>
        <v/>
      </c>
      <c r="J438" s="2" t="str">
        <f t="shared" si="146"/>
        <v/>
      </c>
      <c r="K438" s="2" t="str">
        <f>IF(W438="","",LOOKUP('Extraction edi'!J438,Paramètrage!$A$6:$A$179,Paramètrage!$B$6:$B$179))</f>
        <v/>
      </c>
      <c r="L438" s="2" t="str">
        <f>IF(W438="","",LOOKUP('Extraction edi'!J438,Paramètrage!$A$6:$A$179,Paramètrage!$C$6:$C$179))</f>
        <v/>
      </c>
      <c r="M438" s="2" t="str">
        <f>IF(W438="","",LOOKUP('Extraction edi'!J438,Paramètrage!$A$6:$A$179,Paramètrage!$D$6:$D$179))</f>
        <v/>
      </c>
      <c r="N438" s="3" t="str">
        <f>IF(W438="","",LOOKUP('Extraction edi'!J438,Paramètrage!$A$6:$A$179,Paramètrage!$E$6:$E$179))</f>
        <v/>
      </c>
      <c r="O438" s="3" t="str">
        <f t="shared" si="147"/>
        <v/>
      </c>
      <c r="P438" s="3" t="str">
        <f t="shared" si="148"/>
        <v/>
      </c>
      <c r="Q438" s="3" t="str">
        <f t="shared" si="141"/>
        <v/>
      </c>
      <c r="R438" s="3" t="str">
        <f t="shared" si="149"/>
        <v/>
      </c>
      <c r="S438" s="3" t="str">
        <f t="shared" si="150"/>
        <v/>
      </c>
      <c r="T438" s="4" t="str">
        <f t="shared" si="151"/>
        <v/>
      </c>
      <c r="U438" s="5" t="str">
        <f t="shared" si="152"/>
        <v/>
      </c>
      <c r="V438" s="7" t="str">
        <f>IF(W438="","",IF(LOOKUP(W438,'Extration 3E date commande'!$A$6:$A$10000)=W438,LOOKUP(W438,'Extration 3E date commande'!$A$6:$A$10000,'Extration 3E date commande'!$C$6:$C$10000),"PAS DE DATE"))</f>
        <v/>
      </c>
    </row>
    <row r="439" spans="1:22" x14ac:dyDescent="0.25">
      <c r="A439" s="3" t="str">
        <f t="shared" si="142"/>
        <v/>
      </c>
      <c r="B439" s="3" t="str">
        <f t="shared" si="143"/>
        <v/>
      </c>
      <c r="C439" s="3" t="str">
        <f t="shared" si="140"/>
        <v/>
      </c>
      <c r="D439" s="3" t="str">
        <f t="shared" si="136"/>
        <v/>
      </c>
      <c r="E439" s="3" t="str">
        <f t="shared" si="137"/>
        <v/>
      </c>
      <c r="F439" s="3" t="str">
        <f t="shared" si="138"/>
        <v/>
      </c>
      <c r="G439" s="3" t="str">
        <f t="shared" si="139"/>
        <v/>
      </c>
      <c r="H439" s="3" t="str">
        <f t="shared" si="144"/>
        <v/>
      </c>
      <c r="I439" s="3" t="str">
        <f t="shared" si="145"/>
        <v/>
      </c>
      <c r="J439" s="2" t="str">
        <f t="shared" si="146"/>
        <v/>
      </c>
      <c r="K439" s="2" t="str">
        <f>IF(W439="","",LOOKUP('Extraction edi'!J439,Paramètrage!$A$6:$A$179,Paramètrage!$B$6:$B$179))</f>
        <v/>
      </c>
      <c r="L439" s="2" t="str">
        <f>IF(W439="","",LOOKUP('Extraction edi'!J439,Paramètrage!$A$6:$A$179,Paramètrage!$C$6:$C$179))</f>
        <v/>
      </c>
      <c r="M439" s="2" t="str">
        <f>IF(W439="","",LOOKUP('Extraction edi'!J439,Paramètrage!$A$6:$A$179,Paramètrage!$D$6:$D$179))</f>
        <v/>
      </c>
      <c r="N439" s="3" t="str">
        <f>IF(W439="","",LOOKUP('Extraction edi'!J439,Paramètrage!$A$6:$A$179,Paramètrage!$E$6:$E$179))</f>
        <v/>
      </c>
      <c r="O439" s="3" t="str">
        <f t="shared" si="147"/>
        <v/>
      </c>
      <c r="P439" s="3" t="str">
        <f t="shared" si="148"/>
        <v/>
      </c>
      <c r="Q439" s="3" t="str">
        <f t="shared" si="141"/>
        <v/>
      </c>
      <c r="R439" s="3" t="str">
        <f t="shared" si="149"/>
        <v/>
      </c>
      <c r="S439" s="3" t="str">
        <f t="shared" si="150"/>
        <v/>
      </c>
      <c r="T439" s="4" t="str">
        <f t="shared" si="151"/>
        <v/>
      </c>
      <c r="U439" s="5" t="str">
        <f t="shared" si="152"/>
        <v/>
      </c>
      <c r="V439" s="7" t="str">
        <f>IF(W439="","",IF(LOOKUP(W439,'Extration 3E date commande'!$A$6:$A$10000)=W439,LOOKUP(W439,'Extration 3E date commande'!$A$6:$A$10000,'Extration 3E date commande'!$C$6:$C$10000),"PAS DE DATE"))</f>
        <v/>
      </c>
    </row>
    <row r="440" spans="1:22" x14ac:dyDescent="0.25">
      <c r="A440" s="3" t="str">
        <f t="shared" si="142"/>
        <v/>
      </c>
      <c r="B440" s="3" t="str">
        <f t="shared" si="143"/>
        <v/>
      </c>
      <c r="C440" s="3" t="str">
        <f t="shared" si="140"/>
        <v/>
      </c>
      <c r="D440" s="3" t="str">
        <f t="shared" si="136"/>
        <v/>
      </c>
      <c r="E440" s="3" t="str">
        <f t="shared" si="137"/>
        <v/>
      </c>
      <c r="F440" s="3" t="str">
        <f t="shared" si="138"/>
        <v/>
      </c>
      <c r="G440" s="3" t="str">
        <f t="shared" si="139"/>
        <v/>
      </c>
      <c r="H440" s="3" t="str">
        <f t="shared" si="144"/>
        <v/>
      </c>
      <c r="I440" s="3" t="str">
        <f t="shared" si="145"/>
        <v/>
      </c>
      <c r="J440" s="2" t="str">
        <f t="shared" si="146"/>
        <v/>
      </c>
      <c r="K440" s="2" t="str">
        <f>IF(W440="","",LOOKUP('Extraction edi'!J440,Paramètrage!$A$6:$A$179,Paramètrage!$B$6:$B$179))</f>
        <v/>
      </c>
      <c r="L440" s="2" t="str">
        <f>IF(W440="","",LOOKUP('Extraction edi'!J440,Paramètrage!$A$6:$A$179,Paramètrage!$C$6:$C$179))</f>
        <v/>
      </c>
      <c r="M440" s="2" t="str">
        <f>IF(W440="","",LOOKUP('Extraction edi'!J440,Paramètrage!$A$6:$A$179,Paramètrage!$D$6:$D$179))</f>
        <v/>
      </c>
      <c r="N440" s="3" t="str">
        <f>IF(W440="","",LOOKUP('Extraction edi'!J440,Paramètrage!$A$6:$A$179,Paramètrage!$E$6:$E$179))</f>
        <v/>
      </c>
      <c r="O440" s="3" t="str">
        <f t="shared" si="147"/>
        <v/>
      </c>
      <c r="P440" s="3" t="str">
        <f t="shared" si="148"/>
        <v/>
      </c>
      <c r="Q440" s="3" t="str">
        <f t="shared" si="141"/>
        <v/>
      </c>
      <c r="R440" s="3" t="str">
        <f t="shared" si="149"/>
        <v/>
      </c>
      <c r="S440" s="3" t="str">
        <f t="shared" si="150"/>
        <v/>
      </c>
      <c r="T440" s="4" t="str">
        <f t="shared" si="151"/>
        <v/>
      </c>
      <c r="U440" s="5" t="str">
        <f t="shared" si="152"/>
        <v/>
      </c>
      <c r="V440" s="7" t="str">
        <f>IF(W440="","",IF(LOOKUP(W440,'Extration 3E date commande'!$A$6:$A$10000)=W440,LOOKUP(W440,'Extration 3E date commande'!$A$6:$A$10000,'Extration 3E date commande'!$C$6:$C$10000),"PAS DE DATE"))</f>
        <v/>
      </c>
    </row>
    <row r="441" spans="1:22" x14ac:dyDescent="0.25">
      <c r="A441" s="3" t="str">
        <f t="shared" si="142"/>
        <v/>
      </c>
      <c r="B441" s="3" t="str">
        <f t="shared" si="143"/>
        <v/>
      </c>
      <c r="C441" s="3" t="str">
        <f t="shared" si="140"/>
        <v/>
      </c>
      <c r="D441" s="3" t="str">
        <f t="shared" si="136"/>
        <v/>
      </c>
      <c r="E441" s="3" t="str">
        <f t="shared" si="137"/>
        <v/>
      </c>
      <c r="F441" s="3" t="str">
        <f t="shared" si="138"/>
        <v/>
      </c>
      <c r="G441" s="3" t="str">
        <f t="shared" si="139"/>
        <v/>
      </c>
      <c r="H441" s="3" t="str">
        <f t="shared" si="144"/>
        <v/>
      </c>
      <c r="I441" s="3" t="str">
        <f t="shared" si="145"/>
        <v/>
      </c>
      <c r="J441" s="2" t="str">
        <f t="shared" si="146"/>
        <v/>
      </c>
      <c r="K441" s="2" t="str">
        <f>IF(W441="","",LOOKUP('Extraction edi'!J441,Paramètrage!$A$6:$A$179,Paramètrage!$B$6:$B$179))</f>
        <v/>
      </c>
      <c r="L441" s="2" t="str">
        <f>IF(W441="","",LOOKUP('Extraction edi'!J441,Paramètrage!$A$6:$A$179,Paramètrage!$C$6:$C$179))</f>
        <v/>
      </c>
      <c r="M441" s="2" t="str">
        <f>IF(W441="","",LOOKUP('Extraction edi'!J441,Paramètrage!$A$6:$A$179,Paramètrage!$D$6:$D$179))</f>
        <v/>
      </c>
      <c r="N441" s="3" t="str">
        <f>IF(W441="","",LOOKUP('Extraction edi'!J441,Paramètrage!$A$6:$A$179,Paramètrage!$E$6:$E$179))</f>
        <v/>
      </c>
      <c r="O441" s="3" t="str">
        <f t="shared" si="147"/>
        <v/>
      </c>
      <c r="P441" s="3" t="str">
        <f t="shared" si="148"/>
        <v/>
      </c>
      <c r="Q441" s="3" t="str">
        <f t="shared" si="141"/>
        <v/>
      </c>
      <c r="R441" s="3" t="str">
        <f t="shared" si="149"/>
        <v/>
      </c>
      <c r="S441" s="3" t="str">
        <f t="shared" si="150"/>
        <v/>
      </c>
      <c r="T441" s="4" t="str">
        <f t="shared" si="151"/>
        <v/>
      </c>
      <c r="U441" s="5" t="str">
        <f t="shared" si="152"/>
        <v/>
      </c>
      <c r="V441" s="7" t="str">
        <f>IF(W441="","",IF(LOOKUP(W441,'Extration 3E date commande'!$A$6:$A$10000)=W441,LOOKUP(W441,'Extration 3E date commande'!$A$6:$A$10000,'Extration 3E date commande'!$C$6:$C$10000),"PAS DE DATE"))</f>
        <v/>
      </c>
    </row>
    <row r="442" spans="1:22" x14ac:dyDescent="0.25">
      <c r="A442" s="3" t="str">
        <f t="shared" si="142"/>
        <v/>
      </c>
      <c r="B442" s="3" t="str">
        <f t="shared" si="143"/>
        <v/>
      </c>
      <c r="C442" s="3" t="str">
        <f t="shared" si="140"/>
        <v/>
      </c>
      <c r="D442" s="3" t="str">
        <f t="shared" si="136"/>
        <v/>
      </c>
      <c r="E442" s="3" t="str">
        <f t="shared" si="137"/>
        <v/>
      </c>
      <c r="F442" s="3" t="str">
        <f t="shared" si="138"/>
        <v/>
      </c>
      <c r="G442" s="3" t="str">
        <f t="shared" si="139"/>
        <v/>
      </c>
      <c r="H442" s="3" t="str">
        <f t="shared" si="144"/>
        <v/>
      </c>
      <c r="I442" s="3" t="str">
        <f t="shared" si="145"/>
        <v/>
      </c>
      <c r="J442" s="2" t="str">
        <f t="shared" si="146"/>
        <v/>
      </c>
      <c r="K442" s="2" t="str">
        <f>IF(W442="","",LOOKUP('Extraction edi'!J442,Paramètrage!$A$6:$A$179,Paramètrage!$B$6:$B$179))</f>
        <v/>
      </c>
      <c r="L442" s="2" t="str">
        <f>IF(W442="","",LOOKUP('Extraction edi'!J442,Paramètrage!$A$6:$A$179,Paramètrage!$C$6:$C$179))</f>
        <v/>
      </c>
      <c r="M442" s="2" t="str">
        <f>IF(W442="","",LOOKUP('Extraction edi'!J442,Paramètrage!$A$6:$A$179,Paramètrage!$D$6:$D$179))</f>
        <v/>
      </c>
      <c r="N442" s="3" t="str">
        <f>IF(W442="","",LOOKUP('Extraction edi'!J442,Paramètrage!$A$6:$A$179,Paramètrage!$E$6:$E$179))</f>
        <v/>
      </c>
      <c r="O442" s="3" t="str">
        <f t="shared" si="147"/>
        <v/>
      </c>
      <c r="P442" s="3" t="str">
        <f t="shared" si="148"/>
        <v/>
      </c>
      <c r="Q442" s="3" t="str">
        <f t="shared" si="141"/>
        <v/>
      </c>
      <c r="R442" s="3" t="str">
        <f t="shared" si="149"/>
        <v/>
      </c>
      <c r="S442" s="3" t="str">
        <f t="shared" si="150"/>
        <v/>
      </c>
      <c r="T442" s="4" t="str">
        <f t="shared" si="151"/>
        <v/>
      </c>
      <c r="U442" s="5" t="str">
        <f t="shared" si="152"/>
        <v/>
      </c>
      <c r="V442" s="7" t="str">
        <f>IF(W442="","",IF(LOOKUP(W442,'Extration 3E date commande'!$A$6:$A$10000)=W442,LOOKUP(W442,'Extration 3E date commande'!$A$6:$A$10000,'Extration 3E date commande'!$C$6:$C$10000),"PAS DE DATE"))</f>
        <v/>
      </c>
    </row>
    <row r="443" spans="1:22" x14ac:dyDescent="0.25">
      <c r="A443" s="3" t="str">
        <f t="shared" si="142"/>
        <v/>
      </c>
      <c r="B443" s="3" t="str">
        <f t="shared" si="143"/>
        <v/>
      </c>
      <c r="C443" s="3" t="str">
        <f t="shared" si="140"/>
        <v/>
      </c>
      <c r="D443" s="3" t="str">
        <f t="shared" si="136"/>
        <v/>
      </c>
      <c r="E443" s="3" t="str">
        <f t="shared" si="137"/>
        <v/>
      </c>
      <c r="F443" s="3" t="str">
        <f t="shared" si="138"/>
        <v/>
      </c>
      <c r="G443" s="3" t="str">
        <f t="shared" si="139"/>
        <v/>
      </c>
      <c r="H443" s="3" t="str">
        <f t="shared" si="144"/>
        <v/>
      </c>
      <c r="I443" s="3" t="str">
        <f t="shared" si="145"/>
        <v/>
      </c>
      <c r="J443" s="2" t="str">
        <f t="shared" si="146"/>
        <v/>
      </c>
      <c r="K443" s="2" t="str">
        <f>IF(W443="","",LOOKUP('Extraction edi'!J443,Paramètrage!$A$6:$A$179,Paramètrage!$B$6:$B$179))</f>
        <v/>
      </c>
      <c r="L443" s="2" t="str">
        <f>IF(W443="","",LOOKUP('Extraction edi'!J443,Paramètrage!$A$6:$A$179,Paramètrage!$C$6:$C$179))</f>
        <v/>
      </c>
      <c r="M443" s="2" t="str">
        <f>IF(W443="","",LOOKUP('Extraction edi'!J443,Paramètrage!$A$6:$A$179,Paramètrage!$D$6:$D$179))</f>
        <v/>
      </c>
      <c r="N443" s="3" t="str">
        <f>IF(W443="","",LOOKUP('Extraction edi'!J443,Paramètrage!$A$6:$A$179,Paramètrage!$E$6:$E$179))</f>
        <v/>
      </c>
      <c r="O443" s="3" t="str">
        <f t="shared" si="147"/>
        <v/>
      </c>
      <c r="P443" s="3" t="str">
        <f t="shared" si="148"/>
        <v/>
      </c>
      <c r="Q443" s="3" t="str">
        <f t="shared" si="141"/>
        <v/>
      </c>
      <c r="R443" s="3" t="str">
        <f t="shared" si="149"/>
        <v/>
      </c>
      <c r="S443" s="3" t="str">
        <f t="shared" si="150"/>
        <v/>
      </c>
      <c r="T443" s="4" t="str">
        <f t="shared" si="151"/>
        <v/>
      </c>
      <c r="U443" s="5" t="str">
        <f t="shared" si="152"/>
        <v/>
      </c>
      <c r="V443" s="7" t="str">
        <f>IF(W443="","",IF(LOOKUP(W443,'Extration 3E date commande'!$A$6:$A$10000)=W443,LOOKUP(W443,'Extration 3E date commande'!$A$6:$A$10000,'Extration 3E date commande'!$C$6:$C$10000),"PAS DE DATE"))</f>
        <v/>
      </c>
    </row>
    <row r="444" spans="1:22" x14ac:dyDescent="0.25">
      <c r="A444" s="3" t="str">
        <f t="shared" si="142"/>
        <v/>
      </c>
      <c r="B444" s="3" t="str">
        <f t="shared" si="143"/>
        <v/>
      </c>
      <c r="C444" s="3" t="str">
        <f t="shared" si="140"/>
        <v/>
      </c>
      <c r="D444" s="3" t="str">
        <f t="shared" si="136"/>
        <v/>
      </c>
      <c r="E444" s="3" t="str">
        <f t="shared" si="137"/>
        <v/>
      </c>
      <c r="F444" s="3" t="str">
        <f t="shared" si="138"/>
        <v/>
      </c>
      <c r="G444" s="3" t="str">
        <f t="shared" si="139"/>
        <v/>
      </c>
      <c r="H444" s="3" t="str">
        <f t="shared" si="144"/>
        <v/>
      </c>
      <c r="I444" s="3" t="str">
        <f t="shared" si="145"/>
        <v/>
      </c>
      <c r="J444" s="2" t="str">
        <f t="shared" si="146"/>
        <v/>
      </c>
      <c r="K444" s="2" t="str">
        <f>IF(W444="","",LOOKUP('Extraction edi'!J444,Paramètrage!$A$6:$A$179,Paramètrage!$B$6:$B$179))</f>
        <v/>
      </c>
      <c r="L444" s="2" t="str">
        <f>IF(W444="","",LOOKUP('Extraction edi'!J444,Paramètrage!$A$6:$A$179,Paramètrage!$C$6:$C$179))</f>
        <v/>
      </c>
      <c r="M444" s="2" t="str">
        <f>IF(W444="","",LOOKUP('Extraction edi'!J444,Paramètrage!$A$6:$A$179,Paramètrage!$D$6:$D$179))</f>
        <v/>
      </c>
      <c r="N444" s="3" t="str">
        <f>IF(W444="","",LOOKUP('Extraction edi'!J444,Paramètrage!$A$6:$A$179,Paramètrage!$E$6:$E$179))</f>
        <v/>
      </c>
      <c r="O444" s="3" t="str">
        <f t="shared" si="147"/>
        <v/>
      </c>
      <c r="P444" s="3" t="str">
        <f t="shared" si="148"/>
        <v/>
      </c>
      <c r="Q444" s="3" t="str">
        <f t="shared" si="141"/>
        <v/>
      </c>
      <c r="R444" s="3" t="str">
        <f t="shared" si="149"/>
        <v/>
      </c>
      <c r="S444" s="3" t="str">
        <f t="shared" si="150"/>
        <v/>
      </c>
      <c r="T444" s="4" t="str">
        <f t="shared" si="151"/>
        <v/>
      </c>
      <c r="U444" s="5" t="str">
        <f t="shared" si="152"/>
        <v/>
      </c>
      <c r="V444" s="7" t="str">
        <f>IF(W444="","",IF(LOOKUP(W444,'Extration 3E date commande'!$A$6:$A$10000)=W444,LOOKUP(W444,'Extration 3E date commande'!$A$6:$A$10000,'Extration 3E date commande'!$C$6:$C$10000),"PAS DE DATE"))</f>
        <v/>
      </c>
    </row>
    <row r="445" spans="1:22" x14ac:dyDescent="0.25">
      <c r="A445" s="3" t="str">
        <f t="shared" si="142"/>
        <v/>
      </c>
      <c r="B445" s="3" t="str">
        <f t="shared" si="143"/>
        <v/>
      </c>
      <c r="C445" s="3" t="str">
        <f t="shared" si="140"/>
        <v/>
      </c>
      <c r="D445" s="3" t="str">
        <f t="shared" si="136"/>
        <v/>
      </c>
      <c r="E445" s="3" t="str">
        <f t="shared" si="137"/>
        <v/>
      </c>
      <c r="F445" s="3" t="str">
        <f t="shared" si="138"/>
        <v/>
      </c>
      <c r="G445" s="3" t="str">
        <f t="shared" si="139"/>
        <v/>
      </c>
      <c r="H445" s="3" t="str">
        <f t="shared" si="144"/>
        <v/>
      </c>
      <c r="I445" s="3" t="str">
        <f t="shared" si="145"/>
        <v/>
      </c>
      <c r="J445" s="2" t="str">
        <f t="shared" si="146"/>
        <v/>
      </c>
      <c r="K445" s="2" t="str">
        <f>IF(W445="","",LOOKUP('Extraction edi'!J445,Paramètrage!$A$6:$A$179,Paramètrage!$B$6:$B$179))</f>
        <v/>
      </c>
      <c r="L445" s="2" t="str">
        <f>IF(W445="","",LOOKUP('Extraction edi'!J445,Paramètrage!$A$6:$A$179,Paramètrage!$C$6:$C$179))</f>
        <v/>
      </c>
      <c r="M445" s="2" t="str">
        <f>IF(W445="","",LOOKUP('Extraction edi'!J445,Paramètrage!$A$6:$A$179,Paramètrage!$D$6:$D$179))</f>
        <v/>
      </c>
      <c r="N445" s="3" t="str">
        <f>IF(W445="","",LOOKUP('Extraction edi'!J445,Paramètrage!$A$6:$A$179,Paramètrage!$E$6:$E$179))</f>
        <v/>
      </c>
      <c r="O445" s="3" t="str">
        <f t="shared" si="147"/>
        <v/>
      </c>
      <c r="P445" s="3" t="str">
        <f t="shared" si="148"/>
        <v/>
      </c>
      <c r="Q445" s="3" t="str">
        <f t="shared" si="141"/>
        <v/>
      </c>
      <c r="R445" s="3" t="str">
        <f t="shared" si="149"/>
        <v/>
      </c>
      <c r="S445" s="3" t="str">
        <f t="shared" si="150"/>
        <v/>
      </c>
      <c r="T445" s="4" t="str">
        <f t="shared" si="151"/>
        <v/>
      </c>
      <c r="U445" s="5" t="str">
        <f t="shared" si="152"/>
        <v/>
      </c>
      <c r="V445" s="7" t="str">
        <f>IF(W445="","",IF(LOOKUP(W445,'Extration 3E date commande'!$A$6:$A$10000)=W445,LOOKUP(W445,'Extration 3E date commande'!$A$6:$A$10000,'Extration 3E date commande'!$C$6:$C$10000),"PAS DE DATE"))</f>
        <v/>
      </c>
    </row>
    <row r="446" spans="1:22" x14ac:dyDescent="0.25">
      <c r="A446" s="3" t="str">
        <f t="shared" si="142"/>
        <v/>
      </c>
      <c r="B446" s="3" t="str">
        <f t="shared" si="143"/>
        <v/>
      </c>
      <c r="C446" s="3" t="str">
        <f t="shared" si="140"/>
        <v/>
      </c>
      <c r="D446" s="3" t="str">
        <f t="shared" si="136"/>
        <v/>
      </c>
      <c r="E446" s="3" t="str">
        <f t="shared" si="137"/>
        <v/>
      </c>
      <c r="F446" s="3" t="str">
        <f t="shared" si="138"/>
        <v/>
      </c>
      <c r="G446" s="3" t="str">
        <f t="shared" si="139"/>
        <v/>
      </c>
      <c r="H446" s="3" t="str">
        <f t="shared" si="144"/>
        <v/>
      </c>
      <c r="I446" s="3" t="str">
        <f t="shared" si="145"/>
        <v/>
      </c>
      <c r="J446" s="2" t="str">
        <f t="shared" si="146"/>
        <v/>
      </c>
      <c r="K446" s="2" t="str">
        <f>IF(W446="","",LOOKUP('Extraction edi'!J446,Paramètrage!$A$6:$A$179,Paramètrage!$B$6:$B$179))</f>
        <v/>
      </c>
      <c r="L446" s="2" t="str">
        <f>IF(W446="","",LOOKUP('Extraction edi'!J446,Paramètrage!$A$6:$A$179,Paramètrage!$C$6:$C$179))</f>
        <v/>
      </c>
      <c r="M446" s="2" t="str">
        <f>IF(W446="","",LOOKUP('Extraction edi'!J446,Paramètrage!$A$6:$A$179,Paramètrage!$D$6:$D$179))</f>
        <v/>
      </c>
      <c r="N446" s="3" t="str">
        <f>IF(W446="","",LOOKUP('Extraction edi'!J446,Paramètrage!$A$6:$A$179,Paramètrage!$E$6:$E$179))</f>
        <v/>
      </c>
      <c r="O446" s="3" t="str">
        <f t="shared" si="147"/>
        <v/>
      </c>
      <c r="P446" s="3" t="str">
        <f t="shared" si="148"/>
        <v/>
      </c>
      <c r="Q446" s="3" t="str">
        <f t="shared" si="141"/>
        <v/>
      </c>
      <c r="R446" s="3" t="str">
        <f t="shared" si="149"/>
        <v/>
      </c>
      <c r="S446" s="3" t="str">
        <f t="shared" si="150"/>
        <v/>
      </c>
      <c r="T446" s="4" t="str">
        <f t="shared" si="151"/>
        <v/>
      </c>
      <c r="U446" s="5" t="str">
        <f t="shared" si="152"/>
        <v/>
      </c>
      <c r="V446" s="7" t="str">
        <f>IF(W446="","",IF(LOOKUP(W446,'Extration 3E date commande'!$A$6:$A$10000)=W446,LOOKUP(W446,'Extration 3E date commande'!$A$6:$A$10000,'Extration 3E date commande'!$C$6:$C$10000),"PAS DE DATE"))</f>
        <v/>
      </c>
    </row>
    <row r="447" spans="1:22" x14ac:dyDescent="0.25">
      <c r="A447" s="3" t="str">
        <f t="shared" si="142"/>
        <v/>
      </c>
      <c r="B447" s="3" t="str">
        <f t="shared" si="143"/>
        <v/>
      </c>
      <c r="C447" s="3" t="str">
        <f t="shared" si="140"/>
        <v/>
      </c>
      <c r="D447" s="3" t="str">
        <f t="shared" si="136"/>
        <v/>
      </c>
      <c r="E447" s="3" t="str">
        <f t="shared" si="137"/>
        <v/>
      </c>
      <c r="F447" s="3" t="str">
        <f t="shared" si="138"/>
        <v/>
      </c>
      <c r="G447" s="3" t="str">
        <f t="shared" si="139"/>
        <v/>
      </c>
      <c r="H447" s="3" t="str">
        <f t="shared" si="144"/>
        <v/>
      </c>
      <c r="I447" s="3" t="str">
        <f t="shared" si="145"/>
        <v/>
      </c>
      <c r="J447" s="2" t="str">
        <f t="shared" si="146"/>
        <v/>
      </c>
      <c r="K447" s="2" t="str">
        <f>IF(W447="","",LOOKUP('Extraction edi'!J447,Paramètrage!$A$6:$A$179,Paramètrage!$B$6:$B$179))</f>
        <v/>
      </c>
      <c r="L447" s="2" t="str">
        <f>IF(W447="","",LOOKUP('Extraction edi'!J447,Paramètrage!$A$6:$A$179,Paramètrage!$C$6:$C$179))</f>
        <v/>
      </c>
      <c r="M447" s="2" t="str">
        <f>IF(W447="","",LOOKUP('Extraction edi'!J447,Paramètrage!$A$6:$A$179,Paramètrage!$D$6:$D$179))</f>
        <v/>
      </c>
      <c r="N447" s="3" t="str">
        <f>IF(W447="","",LOOKUP('Extraction edi'!J447,Paramètrage!$A$6:$A$179,Paramètrage!$E$6:$E$179))</f>
        <v/>
      </c>
      <c r="O447" s="3" t="str">
        <f t="shared" si="147"/>
        <v/>
      </c>
      <c r="P447" s="3" t="str">
        <f t="shared" si="148"/>
        <v/>
      </c>
      <c r="Q447" s="3" t="str">
        <f t="shared" si="141"/>
        <v/>
      </c>
      <c r="R447" s="3" t="str">
        <f t="shared" si="149"/>
        <v/>
      </c>
      <c r="S447" s="3" t="str">
        <f t="shared" si="150"/>
        <v/>
      </c>
      <c r="T447" s="4" t="str">
        <f t="shared" si="151"/>
        <v/>
      </c>
      <c r="U447" s="5" t="str">
        <f t="shared" si="152"/>
        <v/>
      </c>
      <c r="V447" s="7" t="str">
        <f>IF(W447="","",IF(LOOKUP(W447,'Extration 3E date commande'!$A$6:$A$10000)=W447,LOOKUP(W447,'Extration 3E date commande'!$A$6:$A$10000,'Extration 3E date commande'!$C$6:$C$10000),"PAS DE DATE"))</f>
        <v/>
      </c>
    </row>
    <row r="448" spans="1:22" x14ac:dyDescent="0.25">
      <c r="A448" s="3" t="str">
        <f t="shared" si="142"/>
        <v/>
      </c>
      <c r="B448" s="3" t="str">
        <f t="shared" si="143"/>
        <v/>
      </c>
      <c r="C448" s="3" t="str">
        <f t="shared" si="140"/>
        <v/>
      </c>
      <c r="D448" s="3" t="str">
        <f t="shared" si="136"/>
        <v/>
      </c>
      <c r="E448" s="3" t="str">
        <f t="shared" si="137"/>
        <v/>
      </c>
      <c r="F448" s="3" t="str">
        <f t="shared" si="138"/>
        <v/>
      </c>
      <c r="G448" s="3" t="str">
        <f t="shared" si="139"/>
        <v/>
      </c>
      <c r="H448" s="3" t="str">
        <f t="shared" si="144"/>
        <v/>
      </c>
      <c r="I448" s="3" t="str">
        <f t="shared" si="145"/>
        <v/>
      </c>
      <c r="J448" s="2" t="str">
        <f t="shared" si="146"/>
        <v/>
      </c>
      <c r="K448" s="2" t="str">
        <f>IF(W448="","",LOOKUP('Extraction edi'!J448,Paramètrage!$A$6:$A$179,Paramètrage!$B$6:$B$179))</f>
        <v/>
      </c>
      <c r="L448" s="2" t="str">
        <f>IF(W448="","",LOOKUP('Extraction edi'!J448,Paramètrage!$A$6:$A$179,Paramètrage!$C$6:$C$179))</f>
        <v/>
      </c>
      <c r="M448" s="2" t="str">
        <f>IF(W448="","",LOOKUP('Extraction edi'!J448,Paramètrage!$A$6:$A$179,Paramètrage!$D$6:$D$179))</f>
        <v/>
      </c>
      <c r="N448" s="3" t="str">
        <f>IF(W448="","",LOOKUP('Extraction edi'!J448,Paramètrage!$A$6:$A$179,Paramètrage!$E$6:$E$179))</f>
        <v/>
      </c>
      <c r="O448" s="3" t="str">
        <f t="shared" si="147"/>
        <v/>
      </c>
      <c r="P448" s="3" t="str">
        <f t="shared" si="148"/>
        <v/>
      </c>
      <c r="Q448" s="3" t="str">
        <f t="shared" si="141"/>
        <v/>
      </c>
      <c r="R448" s="3" t="str">
        <f t="shared" si="149"/>
        <v/>
      </c>
      <c r="S448" s="3" t="str">
        <f t="shared" si="150"/>
        <v/>
      </c>
      <c r="T448" s="4" t="str">
        <f t="shared" si="151"/>
        <v/>
      </c>
      <c r="U448" s="5" t="str">
        <f t="shared" si="152"/>
        <v/>
      </c>
      <c r="V448" s="7" t="str">
        <f>IF(W448="","",IF(LOOKUP(W448,'Extration 3E date commande'!$A$6:$A$10000)=W448,LOOKUP(W448,'Extration 3E date commande'!$A$6:$A$10000,'Extration 3E date commande'!$C$6:$C$10000),"PAS DE DATE"))</f>
        <v/>
      </c>
    </row>
    <row r="449" spans="1:22" x14ac:dyDescent="0.25">
      <c r="A449" s="3" t="str">
        <f t="shared" si="142"/>
        <v/>
      </c>
      <c r="B449" s="3" t="str">
        <f t="shared" si="143"/>
        <v/>
      </c>
      <c r="C449" s="3" t="str">
        <f t="shared" si="140"/>
        <v/>
      </c>
      <c r="D449" s="3" t="str">
        <f t="shared" si="136"/>
        <v/>
      </c>
      <c r="E449" s="3" t="str">
        <f t="shared" si="137"/>
        <v/>
      </c>
      <c r="F449" s="3" t="str">
        <f t="shared" si="138"/>
        <v/>
      </c>
      <c r="G449" s="3" t="str">
        <f t="shared" si="139"/>
        <v/>
      </c>
      <c r="H449" s="3" t="str">
        <f t="shared" si="144"/>
        <v/>
      </c>
      <c r="I449" s="3" t="str">
        <f t="shared" si="145"/>
        <v/>
      </c>
      <c r="J449" s="2" t="str">
        <f t="shared" si="146"/>
        <v/>
      </c>
      <c r="K449" s="2" t="str">
        <f>IF(W449="","",LOOKUP('Extraction edi'!J449,Paramètrage!$A$6:$A$179,Paramètrage!$B$6:$B$179))</f>
        <v/>
      </c>
      <c r="L449" s="2" t="str">
        <f>IF(W449="","",LOOKUP('Extraction edi'!J449,Paramètrage!$A$6:$A$179,Paramètrage!$C$6:$C$179))</f>
        <v/>
      </c>
      <c r="M449" s="2" t="str">
        <f>IF(W449="","",LOOKUP('Extraction edi'!J449,Paramètrage!$A$6:$A$179,Paramètrage!$D$6:$D$179))</f>
        <v/>
      </c>
      <c r="N449" s="3" t="str">
        <f>IF(W449="","",LOOKUP('Extraction edi'!J449,Paramètrage!$A$6:$A$179,Paramètrage!$E$6:$E$179))</f>
        <v/>
      </c>
      <c r="O449" s="3" t="str">
        <f t="shared" si="147"/>
        <v/>
      </c>
      <c r="P449" s="3" t="str">
        <f t="shared" si="148"/>
        <v/>
      </c>
      <c r="Q449" s="3" t="str">
        <f t="shared" si="141"/>
        <v/>
      </c>
      <c r="R449" s="3" t="str">
        <f t="shared" si="149"/>
        <v/>
      </c>
      <c r="S449" s="3" t="str">
        <f t="shared" si="150"/>
        <v/>
      </c>
      <c r="T449" s="4" t="str">
        <f t="shared" si="151"/>
        <v/>
      </c>
      <c r="U449" s="5" t="str">
        <f t="shared" si="152"/>
        <v/>
      </c>
      <c r="V449" s="7" t="str">
        <f>IF(W449="","",IF(LOOKUP(W449,'Extration 3E date commande'!$A$6:$A$10000)=W449,LOOKUP(W449,'Extration 3E date commande'!$A$6:$A$10000,'Extration 3E date commande'!$C$6:$C$10000),"PAS DE DATE"))</f>
        <v/>
      </c>
    </row>
    <row r="450" spans="1:22" x14ac:dyDescent="0.25">
      <c r="A450" s="3" t="str">
        <f t="shared" si="142"/>
        <v/>
      </c>
      <c r="B450" s="3" t="str">
        <f t="shared" si="143"/>
        <v/>
      </c>
      <c r="C450" s="3" t="str">
        <f t="shared" si="140"/>
        <v/>
      </c>
      <c r="D450" s="3" t="str">
        <f t="shared" si="136"/>
        <v/>
      </c>
      <c r="E450" s="3" t="str">
        <f t="shared" si="137"/>
        <v/>
      </c>
      <c r="F450" s="3" t="str">
        <f t="shared" si="138"/>
        <v/>
      </c>
      <c r="G450" s="3" t="str">
        <f t="shared" si="139"/>
        <v/>
      </c>
      <c r="H450" s="3" t="str">
        <f t="shared" si="144"/>
        <v/>
      </c>
      <c r="I450" s="3" t="str">
        <f t="shared" si="145"/>
        <v/>
      </c>
      <c r="J450" s="2" t="str">
        <f t="shared" si="146"/>
        <v/>
      </c>
      <c r="K450" s="2" t="str">
        <f>IF(W450="","",LOOKUP('Extraction edi'!J450,Paramètrage!$A$6:$A$179,Paramètrage!$B$6:$B$179))</f>
        <v/>
      </c>
      <c r="L450" s="2" t="str">
        <f>IF(W450="","",LOOKUP('Extraction edi'!J450,Paramètrage!$A$6:$A$179,Paramètrage!$C$6:$C$179))</f>
        <v/>
      </c>
      <c r="M450" s="2" t="str">
        <f>IF(W450="","",LOOKUP('Extraction edi'!J450,Paramètrage!$A$6:$A$179,Paramètrage!$D$6:$D$179))</f>
        <v/>
      </c>
      <c r="N450" s="3" t="str">
        <f>IF(W450="","",LOOKUP('Extraction edi'!J450,Paramètrage!$A$6:$A$179,Paramètrage!$E$6:$E$179))</f>
        <v/>
      </c>
      <c r="O450" s="3" t="str">
        <f t="shared" si="147"/>
        <v/>
      </c>
      <c r="P450" s="3" t="str">
        <f t="shared" si="148"/>
        <v/>
      </c>
      <c r="Q450" s="3" t="str">
        <f t="shared" si="141"/>
        <v/>
      </c>
      <c r="R450" s="3" t="str">
        <f t="shared" si="149"/>
        <v/>
      </c>
      <c r="S450" s="3" t="str">
        <f t="shared" si="150"/>
        <v/>
      </c>
      <c r="T450" s="4" t="str">
        <f t="shared" si="151"/>
        <v/>
      </c>
      <c r="U450" s="5" t="str">
        <f t="shared" si="152"/>
        <v/>
      </c>
      <c r="V450" s="7" t="str">
        <f>IF(W450="","",IF(LOOKUP(W450,'Extration 3E date commande'!$A$6:$A$10000)=W450,LOOKUP(W450,'Extration 3E date commande'!$A$6:$A$10000,'Extration 3E date commande'!$C$6:$C$10000),"PAS DE DATE"))</f>
        <v/>
      </c>
    </row>
    <row r="451" spans="1:22" x14ac:dyDescent="0.25">
      <c r="A451" s="3" t="str">
        <f t="shared" si="142"/>
        <v/>
      </c>
      <c r="B451" s="3" t="str">
        <f t="shared" si="143"/>
        <v/>
      </c>
      <c r="C451" s="3" t="str">
        <f t="shared" si="140"/>
        <v/>
      </c>
      <c r="D451" s="3" t="str">
        <f t="shared" si="136"/>
        <v/>
      </c>
      <c r="E451" s="3" t="str">
        <f t="shared" si="137"/>
        <v/>
      </c>
      <c r="F451" s="3" t="str">
        <f t="shared" si="138"/>
        <v/>
      </c>
      <c r="G451" s="3" t="str">
        <f t="shared" si="139"/>
        <v/>
      </c>
      <c r="H451" s="3" t="str">
        <f t="shared" si="144"/>
        <v/>
      </c>
      <c r="I451" s="3" t="str">
        <f t="shared" si="145"/>
        <v/>
      </c>
      <c r="J451" s="2" t="str">
        <f t="shared" si="146"/>
        <v/>
      </c>
      <c r="K451" s="2" t="str">
        <f>IF(W451="","",LOOKUP('Extraction edi'!J451,Paramètrage!$A$6:$A$179,Paramètrage!$B$6:$B$179))</f>
        <v/>
      </c>
      <c r="L451" s="2" t="str">
        <f>IF(W451="","",LOOKUP('Extraction edi'!J451,Paramètrage!$A$6:$A$179,Paramètrage!$C$6:$C$179))</f>
        <v/>
      </c>
      <c r="M451" s="2" t="str">
        <f>IF(W451="","",LOOKUP('Extraction edi'!J451,Paramètrage!$A$6:$A$179,Paramètrage!$D$6:$D$179))</f>
        <v/>
      </c>
      <c r="N451" s="3" t="str">
        <f>IF(W451="","",LOOKUP('Extraction edi'!J451,Paramètrage!$A$6:$A$179,Paramètrage!$E$6:$E$179))</f>
        <v/>
      </c>
      <c r="O451" s="3" t="str">
        <f t="shared" si="147"/>
        <v/>
      </c>
      <c r="P451" s="3" t="str">
        <f t="shared" si="148"/>
        <v/>
      </c>
      <c r="Q451" s="3" t="str">
        <f t="shared" si="141"/>
        <v/>
      </c>
      <c r="R451" s="3" t="str">
        <f t="shared" si="149"/>
        <v/>
      </c>
      <c r="S451" s="3" t="str">
        <f t="shared" si="150"/>
        <v/>
      </c>
      <c r="T451" s="4" t="str">
        <f t="shared" si="151"/>
        <v/>
      </c>
      <c r="U451" s="5" t="str">
        <f t="shared" si="152"/>
        <v/>
      </c>
      <c r="V451" s="7" t="str">
        <f>IF(W451="","",IF(LOOKUP(W451,'Extration 3E date commande'!$A$6:$A$10000)=W451,LOOKUP(W451,'Extration 3E date commande'!$A$6:$A$10000,'Extration 3E date commande'!$C$6:$C$10000),"PAS DE DATE"))</f>
        <v/>
      </c>
    </row>
    <row r="452" spans="1:22" x14ac:dyDescent="0.25">
      <c r="A452" s="3" t="str">
        <f t="shared" si="142"/>
        <v/>
      </c>
      <c r="B452" s="3" t="str">
        <f t="shared" si="143"/>
        <v/>
      </c>
      <c r="C452" s="3" t="str">
        <f t="shared" si="140"/>
        <v/>
      </c>
      <c r="D452" s="3" t="str">
        <f t="shared" si="136"/>
        <v/>
      </c>
      <c r="E452" s="3" t="str">
        <f t="shared" si="137"/>
        <v/>
      </c>
      <c r="F452" s="3" t="str">
        <f t="shared" si="138"/>
        <v/>
      </c>
      <c r="G452" s="3" t="str">
        <f t="shared" si="139"/>
        <v/>
      </c>
      <c r="H452" s="3" t="str">
        <f t="shared" si="144"/>
        <v/>
      </c>
      <c r="I452" s="3" t="str">
        <f t="shared" si="145"/>
        <v/>
      </c>
      <c r="J452" s="2" t="str">
        <f t="shared" si="146"/>
        <v/>
      </c>
      <c r="K452" s="2" t="str">
        <f>IF(W452="","",LOOKUP('Extraction edi'!J452,Paramètrage!$A$6:$A$179,Paramètrage!$B$6:$B$179))</f>
        <v/>
      </c>
      <c r="L452" s="2" t="str">
        <f>IF(W452="","",LOOKUP('Extraction edi'!J452,Paramètrage!$A$6:$A$179,Paramètrage!$C$6:$C$179))</f>
        <v/>
      </c>
      <c r="M452" s="2" t="str">
        <f>IF(W452="","",LOOKUP('Extraction edi'!J452,Paramètrage!$A$6:$A$179,Paramètrage!$D$6:$D$179))</f>
        <v/>
      </c>
      <c r="N452" s="3" t="str">
        <f>IF(W452="","",LOOKUP('Extraction edi'!J452,Paramètrage!$A$6:$A$179,Paramètrage!$E$6:$E$179))</f>
        <v/>
      </c>
      <c r="O452" s="3" t="str">
        <f t="shared" si="147"/>
        <v/>
      </c>
      <c r="P452" s="3" t="str">
        <f t="shared" si="148"/>
        <v/>
      </c>
      <c r="Q452" s="3" t="str">
        <f t="shared" si="141"/>
        <v/>
      </c>
      <c r="R452" s="3" t="str">
        <f t="shared" si="149"/>
        <v/>
      </c>
      <c r="S452" s="3" t="str">
        <f t="shared" si="150"/>
        <v/>
      </c>
      <c r="T452" s="4" t="str">
        <f t="shared" si="151"/>
        <v/>
      </c>
      <c r="U452" s="5" t="str">
        <f t="shared" si="152"/>
        <v/>
      </c>
      <c r="V452" s="7" t="str">
        <f>IF(W452="","",IF(LOOKUP(W452,'Extration 3E date commande'!$A$6:$A$10000)=W452,LOOKUP(W452,'Extration 3E date commande'!$A$6:$A$10000,'Extration 3E date commande'!$C$6:$C$10000),"PAS DE DATE"))</f>
        <v/>
      </c>
    </row>
    <row r="453" spans="1:22" x14ac:dyDescent="0.25">
      <c r="A453" s="3" t="str">
        <f t="shared" si="142"/>
        <v/>
      </c>
      <c r="B453" s="3" t="str">
        <f t="shared" si="143"/>
        <v/>
      </c>
      <c r="C453" s="3" t="str">
        <f t="shared" si="140"/>
        <v/>
      </c>
      <c r="D453" s="3" t="str">
        <f t="shared" si="136"/>
        <v/>
      </c>
      <c r="E453" s="3" t="str">
        <f t="shared" si="137"/>
        <v/>
      </c>
      <c r="F453" s="3" t="str">
        <f t="shared" si="138"/>
        <v/>
      </c>
      <c r="G453" s="3" t="str">
        <f t="shared" si="139"/>
        <v/>
      </c>
      <c r="H453" s="3" t="str">
        <f t="shared" si="144"/>
        <v/>
      </c>
      <c r="I453" s="3" t="str">
        <f t="shared" si="145"/>
        <v/>
      </c>
      <c r="J453" s="2" t="str">
        <f t="shared" si="146"/>
        <v/>
      </c>
      <c r="K453" s="2" t="str">
        <f>IF(W453="","",LOOKUP('Extraction edi'!J453,Paramètrage!$A$6:$A$179,Paramètrage!$B$6:$B$179))</f>
        <v/>
      </c>
      <c r="L453" s="2" t="str">
        <f>IF(W453="","",LOOKUP('Extraction edi'!J453,Paramètrage!$A$6:$A$179,Paramètrage!$C$6:$C$179))</f>
        <v/>
      </c>
      <c r="M453" s="2" t="str">
        <f>IF(W453="","",LOOKUP('Extraction edi'!J453,Paramètrage!$A$6:$A$179,Paramètrage!$D$6:$D$179))</f>
        <v/>
      </c>
      <c r="N453" s="3" t="str">
        <f>IF(W453="","",LOOKUP('Extraction edi'!J453,Paramètrage!$A$6:$A$179,Paramètrage!$E$6:$E$179))</f>
        <v/>
      </c>
      <c r="O453" s="3" t="str">
        <f t="shared" si="147"/>
        <v/>
      </c>
      <c r="P453" s="3" t="str">
        <f t="shared" si="148"/>
        <v/>
      </c>
      <c r="Q453" s="3" t="str">
        <f t="shared" si="141"/>
        <v/>
      </c>
      <c r="R453" s="3" t="str">
        <f t="shared" si="149"/>
        <v/>
      </c>
      <c r="S453" s="3" t="str">
        <f t="shared" si="150"/>
        <v/>
      </c>
      <c r="T453" s="4" t="str">
        <f t="shared" si="151"/>
        <v/>
      </c>
      <c r="U453" s="5" t="str">
        <f t="shared" si="152"/>
        <v/>
      </c>
      <c r="V453" s="7" t="str">
        <f>IF(W453="","",IF(LOOKUP(W453,'Extration 3E date commande'!$A$6:$A$10000)=W453,LOOKUP(W453,'Extration 3E date commande'!$A$6:$A$10000,'Extration 3E date commande'!$C$6:$C$10000),"PAS DE DATE"))</f>
        <v/>
      </c>
    </row>
    <row r="454" spans="1:22" x14ac:dyDescent="0.25">
      <c r="A454" s="3" t="str">
        <f t="shared" si="142"/>
        <v/>
      </c>
      <c r="B454" s="3" t="str">
        <f t="shared" si="143"/>
        <v/>
      </c>
      <c r="C454" s="3" t="str">
        <f t="shared" si="140"/>
        <v/>
      </c>
      <c r="D454" s="3" t="str">
        <f t="shared" ref="D454:D517" si="153">IF(ISERROR(SEARCH("P",B454)),"","PE")</f>
        <v/>
      </c>
      <c r="E454" s="3" t="str">
        <f t="shared" ref="E454:E517" si="154">IF(ISERROR(SEARCH("U",B454))=FALSE,"ALU",IF(ISERROR(SEARCH("Y",B454)),"","ALU"))</f>
        <v/>
      </c>
      <c r="F454" s="3" t="str">
        <f t="shared" ref="F454:F517" si="155">IF(ISERROR(SEARCH("H",B454))=FALSE,"TEX",IF(ISERROR(SEARCH("Z",B454)),IF(ISERROR(SEARCH("X",B454)),"","TEX")))</f>
        <v/>
      </c>
      <c r="G454" s="3" t="str">
        <f t="shared" ref="G454:G517" si="156">IF(B454="","",IF(C454="SAV","NEG/RELI/SAV",IF(C454="NEGOCE","NEG/RELI/SAV",IF(C454="RELI","NEG/RELI/SAV",IF(E454="ALU","ALU",IF(D454="PE","PE",IF(F454="TEX","TEX","STD")))))))</f>
        <v/>
      </c>
      <c r="H454" s="3" t="str">
        <f t="shared" si="144"/>
        <v/>
      </c>
      <c r="I454" s="3" t="str">
        <f t="shared" si="145"/>
        <v/>
      </c>
      <c r="J454" s="2" t="str">
        <f t="shared" si="146"/>
        <v/>
      </c>
      <c r="K454" s="2" t="str">
        <f>IF(W454="","",LOOKUP('Extraction edi'!J454,Paramètrage!$A$6:$A$179,Paramètrage!$B$6:$B$179))</f>
        <v/>
      </c>
      <c r="L454" s="2" t="str">
        <f>IF(W454="","",LOOKUP('Extraction edi'!J454,Paramètrage!$A$6:$A$179,Paramètrage!$C$6:$C$179))</f>
        <v/>
      </c>
      <c r="M454" s="2" t="str">
        <f>IF(W454="","",LOOKUP('Extraction edi'!J454,Paramètrage!$A$6:$A$179,Paramètrage!$D$6:$D$179))</f>
        <v/>
      </c>
      <c r="N454" s="3" t="str">
        <f>IF(W454="","",LOOKUP('Extraction edi'!J454,Paramètrage!$A$6:$A$179,Paramètrage!$E$6:$E$179))</f>
        <v/>
      </c>
      <c r="O454" s="3" t="str">
        <f t="shared" si="147"/>
        <v/>
      </c>
      <c r="P454" s="3" t="str">
        <f t="shared" si="148"/>
        <v/>
      </c>
      <c r="Q454" s="3" t="str">
        <f t="shared" si="141"/>
        <v/>
      </c>
      <c r="R454" s="3" t="str">
        <f t="shared" si="149"/>
        <v/>
      </c>
      <c r="S454" s="3" t="str">
        <f t="shared" si="150"/>
        <v/>
      </c>
      <c r="T454" s="4" t="str">
        <f t="shared" si="151"/>
        <v/>
      </c>
      <c r="U454" s="5" t="str">
        <f t="shared" si="152"/>
        <v/>
      </c>
      <c r="V454" s="7" t="str">
        <f>IF(W454="","",IF(LOOKUP(W454,'Extration 3E date commande'!$A$6:$A$10000)=W454,LOOKUP(W454,'Extration 3E date commande'!$A$6:$A$10000,'Extration 3E date commande'!$C$6:$C$10000),"PAS DE DATE"))</f>
        <v/>
      </c>
    </row>
    <row r="455" spans="1:22" x14ac:dyDescent="0.25">
      <c r="A455" s="3" t="str">
        <f t="shared" si="142"/>
        <v/>
      </c>
      <c r="B455" s="3" t="str">
        <f t="shared" si="143"/>
        <v/>
      </c>
      <c r="C455" s="3" t="str">
        <f t="shared" ref="C455:C518" si="157">IF(ISERROR(SEARCH("ELI",B455))=FALSE,"RELIQUAT",IF(ISERROR(SEARCH("N",B455))=FALSE,"NEGOCE",IF(ISERROR(SEARCH("S",B455))=FALSE,"SAV",IF(ISERROR(SEARCH("J",B455)),"","SAV"))))</f>
        <v/>
      </c>
      <c r="D455" s="3" t="str">
        <f t="shared" si="153"/>
        <v/>
      </c>
      <c r="E455" s="3" t="str">
        <f t="shared" si="154"/>
        <v/>
      </c>
      <c r="F455" s="3" t="str">
        <f t="shared" si="155"/>
        <v/>
      </c>
      <c r="G455" s="3" t="str">
        <f t="shared" si="156"/>
        <v/>
      </c>
      <c r="H455" s="3" t="str">
        <f t="shared" si="144"/>
        <v/>
      </c>
      <c r="I455" s="3" t="str">
        <f t="shared" si="145"/>
        <v/>
      </c>
      <c r="J455" s="2" t="str">
        <f t="shared" si="146"/>
        <v/>
      </c>
      <c r="K455" s="2" t="str">
        <f>IF(W455="","",LOOKUP('Extraction edi'!J455,Paramètrage!$A$6:$A$179,Paramètrage!$B$6:$B$179))</f>
        <v/>
      </c>
      <c r="L455" s="2" t="str">
        <f>IF(W455="","",LOOKUP('Extraction edi'!J455,Paramètrage!$A$6:$A$179,Paramètrage!$C$6:$C$179))</f>
        <v/>
      </c>
      <c r="M455" s="2" t="str">
        <f>IF(W455="","",LOOKUP('Extraction edi'!J455,Paramètrage!$A$6:$A$179,Paramètrage!$D$6:$D$179))</f>
        <v/>
      </c>
      <c r="N455" s="3" t="str">
        <f>IF(W455="","",LOOKUP('Extraction edi'!J455,Paramètrage!$A$6:$A$179,Paramètrage!$E$6:$E$179))</f>
        <v/>
      </c>
      <c r="O455" s="3" t="str">
        <f t="shared" si="147"/>
        <v/>
      </c>
      <c r="P455" s="3" t="str">
        <f t="shared" si="148"/>
        <v/>
      </c>
      <c r="Q455" s="3" t="str">
        <f t="shared" si="141"/>
        <v/>
      </c>
      <c r="R455" s="3" t="str">
        <f t="shared" si="149"/>
        <v/>
      </c>
      <c r="S455" s="3" t="str">
        <f t="shared" si="150"/>
        <v/>
      </c>
      <c r="T455" s="4" t="str">
        <f t="shared" si="151"/>
        <v/>
      </c>
      <c r="U455" s="5" t="str">
        <f t="shared" si="152"/>
        <v/>
      </c>
      <c r="V455" s="7" t="str">
        <f>IF(W455="","",IF(LOOKUP(W455,'Extration 3E date commande'!$A$6:$A$10000)=W455,LOOKUP(W455,'Extration 3E date commande'!$A$6:$A$10000,'Extration 3E date commande'!$C$6:$C$10000),"PAS DE DATE"))</f>
        <v/>
      </c>
    </row>
    <row r="456" spans="1:22" x14ac:dyDescent="0.25">
      <c r="A456" s="3" t="str">
        <f t="shared" si="142"/>
        <v/>
      </c>
      <c r="B456" s="3" t="str">
        <f t="shared" si="143"/>
        <v/>
      </c>
      <c r="C456" s="3" t="str">
        <f t="shared" si="157"/>
        <v/>
      </c>
      <c r="D456" s="3" t="str">
        <f t="shared" si="153"/>
        <v/>
      </c>
      <c r="E456" s="3" t="str">
        <f t="shared" si="154"/>
        <v/>
      </c>
      <c r="F456" s="3" t="str">
        <f t="shared" si="155"/>
        <v/>
      </c>
      <c r="G456" s="3" t="str">
        <f t="shared" si="156"/>
        <v/>
      </c>
      <c r="H456" s="3" t="str">
        <f t="shared" si="144"/>
        <v/>
      </c>
      <c r="I456" s="3" t="str">
        <f t="shared" si="145"/>
        <v/>
      </c>
      <c r="J456" s="2" t="str">
        <f t="shared" si="146"/>
        <v/>
      </c>
      <c r="K456" s="2" t="str">
        <f>IF(W456="","",LOOKUP('Extraction edi'!J456,Paramètrage!$A$6:$A$179,Paramètrage!$B$6:$B$179))</f>
        <v/>
      </c>
      <c r="L456" s="2" t="str">
        <f>IF(W456="","",LOOKUP('Extraction edi'!J456,Paramètrage!$A$6:$A$179,Paramètrage!$C$6:$C$179))</f>
        <v/>
      </c>
      <c r="M456" s="2" t="str">
        <f>IF(W456="","",LOOKUP('Extraction edi'!J456,Paramètrage!$A$6:$A$179,Paramètrage!$D$6:$D$179))</f>
        <v/>
      </c>
      <c r="N456" s="3" t="str">
        <f>IF(W456="","",LOOKUP('Extraction edi'!J456,Paramètrage!$A$6:$A$179,Paramètrage!$E$6:$E$179))</f>
        <v/>
      </c>
      <c r="O456" s="3" t="str">
        <f t="shared" si="147"/>
        <v/>
      </c>
      <c r="P456" s="3" t="str">
        <f t="shared" si="148"/>
        <v/>
      </c>
      <c r="Q456" s="3" t="str">
        <f t="shared" si="141"/>
        <v/>
      </c>
      <c r="R456" s="3" t="str">
        <f t="shared" si="149"/>
        <v/>
      </c>
      <c r="S456" s="3" t="str">
        <f t="shared" si="150"/>
        <v/>
      </c>
      <c r="T456" s="4" t="str">
        <f t="shared" si="151"/>
        <v/>
      </c>
      <c r="U456" s="5" t="str">
        <f t="shared" si="152"/>
        <v/>
      </c>
      <c r="V456" s="7" t="str">
        <f>IF(W456="","",IF(LOOKUP(W456,'Extration 3E date commande'!$A$6:$A$10000)=W456,LOOKUP(W456,'Extration 3E date commande'!$A$6:$A$10000,'Extration 3E date commande'!$C$6:$C$10000),"PAS DE DATE"))</f>
        <v/>
      </c>
    </row>
    <row r="457" spans="1:22" x14ac:dyDescent="0.25">
      <c r="A457" s="3" t="str">
        <f t="shared" si="142"/>
        <v/>
      </c>
      <c r="B457" s="3" t="str">
        <f t="shared" si="143"/>
        <v/>
      </c>
      <c r="C457" s="3" t="str">
        <f t="shared" si="157"/>
        <v/>
      </c>
      <c r="D457" s="3" t="str">
        <f t="shared" si="153"/>
        <v/>
      </c>
      <c r="E457" s="3" t="str">
        <f t="shared" si="154"/>
        <v/>
      </c>
      <c r="F457" s="3" t="str">
        <f t="shared" si="155"/>
        <v/>
      </c>
      <c r="G457" s="3" t="str">
        <f t="shared" si="156"/>
        <v/>
      </c>
      <c r="H457" s="3" t="str">
        <f t="shared" si="144"/>
        <v/>
      </c>
      <c r="I457" s="3" t="str">
        <f t="shared" si="145"/>
        <v/>
      </c>
      <c r="J457" s="2" t="str">
        <f t="shared" si="146"/>
        <v/>
      </c>
      <c r="K457" s="2" t="str">
        <f>IF(W457="","",LOOKUP('Extraction edi'!J457,Paramètrage!$A$6:$A$179,Paramètrage!$B$6:$B$179))</f>
        <v/>
      </c>
      <c r="L457" s="2" t="str">
        <f>IF(W457="","",LOOKUP('Extraction edi'!J457,Paramètrage!$A$6:$A$179,Paramètrage!$C$6:$C$179))</f>
        <v/>
      </c>
      <c r="M457" s="2" t="str">
        <f>IF(W457="","",LOOKUP('Extraction edi'!J457,Paramètrage!$A$6:$A$179,Paramètrage!$D$6:$D$179))</f>
        <v/>
      </c>
      <c r="N457" s="3" t="str">
        <f>IF(W457="","",LOOKUP('Extraction edi'!J457,Paramètrage!$A$6:$A$179,Paramètrage!$E$6:$E$179))</f>
        <v/>
      </c>
      <c r="O457" s="3" t="str">
        <f t="shared" si="147"/>
        <v/>
      </c>
      <c r="P457" s="3" t="str">
        <f t="shared" si="148"/>
        <v/>
      </c>
      <c r="Q457" s="3" t="str">
        <f t="shared" si="141"/>
        <v/>
      </c>
      <c r="R457" s="3" t="str">
        <f t="shared" si="149"/>
        <v/>
      </c>
      <c r="S457" s="3" t="str">
        <f t="shared" si="150"/>
        <v/>
      </c>
      <c r="T457" s="4" t="str">
        <f t="shared" si="151"/>
        <v/>
      </c>
      <c r="U457" s="5" t="str">
        <f t="shared" si="152"/>
        <v/>
      </c>
      <c r="V457" s="7" t="str">
        <f>IF(W457="","",IF(LOOKUP(W457,'Extration 3E date commande'!$A$6:$A$10000)=W457,LOOKUP(W457,'Extration 3E date commande'!$A$6:$A$10000,'Extration 3E date commande'!$C$6:$C$10000),"PAS DE DATE"))</f>
        <v/>
      </c>
    </row>
    <row r="458" spans="1:22" x14ac:dyDescent="0.25">
      <c r="A458" s="3" t="str">
        <f t="shared" si="142"/>
        <v/>
      </c>
      <c r="B458" s="3" t="str">
        <f t="shared" si="143"/>
        <v/>
      </c>
      <c r="C458" s="3" t="str">
        <f t="shared" si="157"/>
        <v/>
      </c>
      <c r="D458" s="3" t="str">
        <f t="shared" si="153"/>
        <v/>
      </c>
      <c r="E458" s="3" t="str">
        <f t="shared" si="154"/>
        <v/>
      </c>
      <c r="F458" s="3" t="str">
        <f t="shared" si="155"/>
        <v/>
      </c>
      <c r="G458" s="3" t="str">
        <f t="shared" si="156"/>
        <v/>
      </c>
      <c r="H458" s="3" t="str">
        <f t="shared" si="144"/>
        <v/>
      </c>
      <c r="I458" s="3" t="str">
        <f t="shared" si="145"/>
        <v/>
      </c>
      <c r="J458" s="2" t="str">
        <f t="shared" si="146"/>
        <v/>
      </c>
      <c r="K458" s="2" t="str">
        <f>IF(W458="","",LOOKUP('Extraction edi'!J458,Paramètrage!$A$6:$A$179,Paramètrage!$B$6:$B$179))</f>
        <v/>
      </c>
      <c r="L458" s="2" t="str">
        <f>IF(W458="","",LOOKUP('Extraction edi'!J458,Paramètrage!$A$6:$A$179,Paramètrage!$C$6:$C$179))</f>
        <v/>
      </c>
      <c r="M458" s="2" t="str">
        <f>IF(W458="","",LOOKUP('Extraction edi'!J458,Paramètrage!$A$6:$A$179,Paramètrage!$D$6:$D$179))</f>
        <v/>
      </c>
      <c r="N458" s="3" t="str">
        <f>IF(W458="","",LOOKUP('Extraction edi'!J458,Paramètrage!$A$6:$A$179,Paramètrage!$E$6:$E$179))</f>
        <v/>
      </c>
      <c r="O458" s="3" t="str">
        <f t="shared" si="147"/>
        <v/>
      </c>
      <c r="P458" s="3" t="str">
        <f t="shared" si="148"/>
        <v/>
      </c>
      <c r="Q458" s="3" t="str">
        <f t="shared" si="141"/>
        <v/>
      </c>
      <c r="R458" s="3" t="str">
        <f t="shared" si="149"/>
        <v/>
      </c>
      <c r="S458" s="3" t="str">
        <f t="shared" si="150"/>
        <v/>
      </c>
      <c r="T458" s="4" t="str">
        <f t="shared" si="151"/>
        <v/>
      </c>
      <c r="U458" s="5" t="str">
        <f t="shared" si="152"/>
        <v/>
      </c>
      <c r="V458" s="7" t="str">
        <f>IF(W458="","",IF(LOOKUP(W458,'Extration 3E date commande'!$A$6:$A$10000)=W458,LOOKUP(W458,'Extration 3E date commande'!$A$6:$A$10000,'Extration 3E date commande'!$C$6:$C$10000),"PAS DE DATE"))</f>
        <v/>
      </c>
    </row>
    <row r="459" spans="1:22" x14ac:dyDescent="0.25">
      <c r="A459" s="3" t="str">
        <f t="shared" si="142"/>
        <v/>
      </c>
      <c r="B459" s="3" t="str">
        <f t="shared" si="143"/>
        <v/>
      </c>
      <c r="C459" s="3" t="str">
        <f t="shared" si="157"/>
        <v/>
      </c>
      <c r="D459" s="3" t="str">
        <f t="shared" si="153"/>
        <v/>
      </c>
      <c r="E459" s="3" t="str">
        <f t="shared" si="154"/>
        <v/>
      </c>
      <c r="F459" s="3" t="str">
        <f t="shared" si="155"/>
        <v/>
      </c>
      <c r="G459" s="3" t="str">
        <f t="shared" si="156"/>
        <v/>
      </c>
      <c r="H459" s="3" t="str">
        <f t="shared" si="144"/>
        <v/>
      </c>
      <c r="I459" s="3" t="str">
        <f t="shared" si="145"/>
        <v/>
      </c>
      <c r="J459" s="2" t="str">
        <f t="shared" si="146"/>
        <v/>
      </c>
      <c r="K459" s="2" t="str">
        <f>IF(W459="","",LOOKUP('Extraction edi'!J459,Paramètrage!$A$6:$A$179,Paramètrage!$B$6:$B$179))</f>
        <v/>
      </c>
      <c r="L459" s="2" t="str">
        <f>IF(W459="","",LOOKUP('Extraction edi'!J459,Paramètrage!$A$6:$A$179,Paramètrage!$C$6:$C$179))</f>
        <v/>
      </c>
      <c r="M459" s="2" t="str">
        <f>IF(W459="","",LOOKUP('Extraction edi'!J459,Paramètrage!$A$6:$A$179,Paramètrage!$D$6:$D$179))</f>
        <v/>
      </c>
      <c r="N459" s="3" t="str">
        <f>IF(W459="","",LOOKUP('Extraction edi'!J459,Paramètrage!$A$6:$A$179,Paramètrage!$E$6:$E$179))</f>
        <v/>
      </c>
      <c r="O459" s="3" t="str">
        <f t="shared" si="147"/>
        <v/>
      </c>
      <c r="P459" s="3" t="str">
        <f t="shared" si="148"/>
        <v/>
      </c>
      <c r="Q459" s="3" t="str">
        <f t="shared" si="141"/>
        <v/>
      </c>
      <c r="R459" s="3" t="str">
        <f t="shared" si="149"/>
        <v/>
      </c>
      <c r="S459" s="3" t="str">
        <f t="shared" si="150"/>
        <v/>
      </c>
      <c r="T459" s="4" t="str">
        <f t="shared" si="151"/>
        <v/>
      </c>
      <c r="U459" s="5" t="str">
        <f t="shared" si="152"/>
        <v/>
      </c>
      <c r="V459" s="7" t="str">
        <f>IF(W459="","",IF(LOOKUP(W459,'Extration 3E date commande'!$A$6:$A$10000)=W459,LOOKUP(W459,'Extration 3E date commande'!$A$6:$A$10000,'Extration 3E date commande'!$C$6:$C$10000),"PAS DE DATE"))</f>
        <v/>
      </c>
    </row>
    <row r="460" spans="1:22" x14ac:dyDescent="0.25">
      <c r="A460" s="3" t="str">
        <f t="shared" si="142"/>
        <v/>
      </c>
      <c r="B460" s="3" t="str">
        <f t="shared" si="143"/>
        <v/>
      </c>
      <c r="C460" s="3" t="str">
        <f t="shared" si="157"/>
        <v/>
      </c>
      <c r="D460" s="3" t="str">
        <f t="shared" si="153"/>
        <v/>
      </c>
      <c r="E460" s="3" t="str">
        <f t="shared" si="154"/>
        <v/>
      </c>
      <c r="F460" s="3" t="str">
        <f t="shared" si="155"/>
        <v/>
      </c>
      <c r="G460" s="3" t="str">
        <f t="shared" si="156"/>
        <v/>
      </c>
      <c r="H460" s="3" t="str">
        <f t="shared" si="144"/>
        <v/>
      </c>
      <c r="I460" s="3" t="str">
        <f t="shared" si="145"/>
        <v/>
      </c>
      <c r="J460" s="2" t="str">
        <f t="shared" si="146"/>
        <v/>
      </c>
      <c r="K460" s="2" t="str">
        <f>IF(W460="","",LOOKUP('Extraction edi'!J460,Paramètrage!$A$6:$A$179,Paramètrage!$B$6:$B$179))</f>
        <v/>
      </c>
      <c r="L460" s="2" t="str">
        <f>IF(W460="","",LOOKUP('Extraction edi'!J460,Paramètrage!$A$6:$A$179,Paramètrage!$C$6:$C$179))</f>
        <v/>
      </c>
      <c r="M460" s="2" t="str">
        <f>IF(W460="","",LOOKUP('Extraction edi'!J460,Paramètrage!$A$6:$A$179,Paramètrage!$D$6:$D$179))</f>
        <v/>
      </c>
      <c r="N460" s="3" t="str">
        <f>IF(W460="","",LOOKUP('Extraction edi'!J460,Paramètrage!$A$6:$A$179,Paramètrage!$E$6:$E$179))</f>
        <v/>
      </c>
      <c r="O460" s="3" t="str">
        <f t="shared" si="147"/>
        <v/>
      </c>
      <c r="P460" s="3" t="str">
        <f t="shared" si="148"/>
        <v/>
      </c>
      <c r="Q460" s="3" t="str">
        <f t="shared" si="141"/>
        <v/>
      </c>
      <c r="R460" s="3" t="str">
        <f t="shared" si="149"/>
        <v/>
      </c>
      <c r="S460" s="3" t="str">
        <f t="shared" si="150"/>
        <v/>
      </c>
      <c r="T460" s="4" t="str">
        <f t="shared" si="151"/>
        <v/>
      </c>
      <c r="U460" s="5" t="str">
        <f t="shared" si="152"/>
        <v/>
      </c>
      <c r="V460" s="7" t="str">
        <f>IF(W460="","",IF(LOOKUP(W460,'Extration 3E date commande'!$A$6:$A$10000)=W460,LOOKUP(W460,'Extration 3E date commande'!$A$6:$A$10000,'Extration 3E date commande'!$C$6:$C$10000),"PAS DE DATE"))</f>
        <v/>
      </c>
    </row>
    <row r="461" spans="1:22" x14ac:dyDescent="0.25">
      <c r="A461" s="3" t="str">
        <f t="shared" si="142"/>
        <v/>
      </c>
      <c r="B461" s="3" t="str">
        <f t="shared" si="143"/>
        <v/>
      </c>
      <c r="C461" s="3" t="str">
        <f t="shared" si="157"/>
        <v/>
      </c>
      <c r="D461" s="3" t="str">
        <f t="shared" si="153"/>
        <v/>
      </c>
      <c r="E461" s="3" t="str">
        <f t="shared" si="154"/>
        <v/>
      </c>
      <c r="F461" s="3" t="str">
        <f t="shared" si="155"/>
        <v/>
      </c>
      <c r="G461" s="3" t="str">
        <f t="shared" si="156"/>
        <v/>
      </c>
      <c r="H461" s="3" t="str">
        <f t="shared" si="144"/>
        <v/>
      </c>
      <c r="I461" s="3" t="str">
        <f t="shared" si="145"/>
        <v/>
      </c>
      <c r="J461" s="2" t="str">
        <f t="shared" si="146"/>
        <v/>
      </c>
      <c r="K461" s="2" t="str">
        <f>IF(W461="","",LOOKUP('Extraction edi'!J461,Paramètrage!$A$6:$A$179,Paramètrage!$B$6:$B$179))</f>
        <v/>
      </c>
      <c r="L461" s="2" t="str">
        <f>IF(W461="","",LOOKUP('Extraction edi'!J461,Paramètrage!$A$6:$A$179,Paramètrage!$C$6:$C$179))</f>
        <v/>
      </c>
      <c r="M461" s="2" t="str">
        <f>IF(W461="","",LOOKUP('Extraction edi'!J461,Paramètrage!$A$6:$A$179,Paramètrage!$D$6:$D$179))</f>
        <v/>
      </c>
      <c r="N461" s="3" t="str">
        <f>IF(W461="","",LOOKUP('Extraction edi'!J461,Paramètrage!$A$6:$A$179,Paramètrage!$E$6:$E$179))</f>
        <v/>
      </c>
      <c r="O461" s="3" t="str">
        <f t="shared" si="147"/>
        <v/>
      </c>
      <c r="P461" s="3" t="str">
        <f t="shared" si="148"/>
        <v/>
      </c>
      <c r="Q461" s="3" t="str">
        <f t="shared" si="141"/>
        <v/>
      </c>
      <c r="R461" s="3" t="str">
        <f t="shared" si="149"/>
        <v/>
      </c>
      <c r="S461" s="3" t="str">
        <f t="shared" si="150"/>
        <v/>
      </c>
      <c r="T461" s="4" t="str">
        <f t="shared" si="151"/>
        <v/>
      </c>
      <c r="U461" s="5" t="str">
        <f t="shared" si="152"/>
        <v/>
      </c>
      <c r="V461" s="7" t="str">
        <f>IF(W461="","",IF(LOOKUP(W461,'Extration 3E date commande'!$A$6:$A$10000)=W461,LOOKUP(W461,'Extration 3E date commande'!$A$6:$A$10000,'Extration 3E date commande'!$C$6:$C$10000),"PAS DE DATE"))</f>
        <v/>
      </c>
    </row>
    <row r="462" spans="1:22" x14ac:dyDescent="0.25">
      <c r="A462" s="3" t="str">
        <f t="shared" si="142"/>
        <v/>
      </c>
      <c r="B462" s="3" t="str">
        <f t="shared" si="143"/>
        <v/>
      </c>
      <c r="C462" s="3" t="str">
        <f t="shared" si="157"/>
        <v/>
      </c>
      <c r="D462" s="3" t="str">
        <f t="shared" si="153"/>
        <v/>
      </c>
      <c r="E462" s="3" t="str">
        <f t="shared" si="154"/>
        <v/>
      </c>
      <c r="F462" s="3" t="str">
        <f t="shared" si="155"/>
        <v/>
      </c>
      <c r="G462" s="3" t="str">
        <f t="shared" si="156"/>
        <v/>
      </c>
      <c r="H462" s="3" t="str">
        <f t="shared" si="144"/>
        <v/>
      </c>
      <c r="I462" s="3" t="str">
        <f t="shared" si="145"/>
        <v/>
      </c>
      <c r="J462" s="2" t="str">
        <f t="shared" si="146"/>
        <v/>
      </c>
      <c r="K462" s="2" t="str">
        <f>IF(W462="","",LOOKUP('Extraction edi'!J462,Paramètrage!$A$6:$A$179,Paramètrage!$B$6:$B$179))</f>
        <v/>
      </c>
      <c r="L462" s="2" t="str">
        <f>IF(W462="","",LOOKUP('Extraction edi'!J462,Paramètrage!$A$6:$A$179,Paramètrage!$C$6:$C$179))</f>
        <v/>
      </c>
      <c r="M462" s="2" t="str">
        <f>IF(W462="","",LOOKUP('Extraction edi'!J462,Paramètrage!$A$6:$A$179,Paramètrage!$D$6:$D$179))</f>
        <v/>
      </c>
      <c r="N462" s="3" t="str">
        <f>IF(W462="","",LOOKUP('Extraction edi'!J462,Paramètrage!$A$6:$A$179,Paramètrage!$E$6:$E$179))</f>
        <v/>
      </c>
      <c r="O462" s="3" t="str">
        <f t="shared" si="147"/>
        <v/>
      </c>
      <c r="P462" s="3" t="str">
        <f t="shared" si="148"/>
        <v/>
      </c>
      <c r="Q462" s="3" t="str">
        <f t="shared" si="141"/>
        <v/>
      </c>
      <c r="R462" s="3" t="str">
        <f t="shared" si="149"/>
        <v/>
      </c>
      <c r="S462" s="3" t="str">
        <f t="shared" si="150"/>
        <v/>
      </c>
      <c r="T462" s="4" t="str">
        <f t="shared" si="151"/>
        <v/>
      </c>
      <c r="U462" s="5" t="str">
        <f t="shared" si="152"/>
        <v/>
      </c>
      <c r="V462" s="7" t="str">
        <f>IF(W462="","",IF(LOOKUP(W462,'Extration 3E date commande'!$A$6:$A$10000)=W462,LOOKUP(W462,'Extration 3E date commande'!$A$6:$A$10000,'Extration 3E date commande'!$C$6:$C$10000),"PAS DE DATE"))</f>
        <v/>
      </c>
    </row>
    <row r="463" spans="1:22" x14ac:dyDescent="0.25">
      <c r="A463" s="3" t="str">
        <f t="shared" si="142"/>
        <v/>
      </c>
      <c r="B463" s="3" t="str">
        <f t="shared" si="143"/>
        <v/>
      </c>
      <c r="C463" s="3" t="str">
        <f t="shared" si="157"/>
        <v/>
      </c>
      <c r="D463" s="3" t="str">
        <f t="shared" si="153"/>
        <v/>
      </c>
      <c r="E463" s="3" t="str">
        <f t="shared" si="154"/>
        <v/>
      </c>
      <c r="F463" s="3" t="str">
        <f t="shared" si="155"/>
        <v/>
      </c>
      <c r="G463" s="3" t="str">
        <f t="shared" si="156"/>
        <v/>
      </c>
      <c r="H463" s="3" t="str">
        <f t="shared" si="144"/>
        <v/>
      </c>
      <c r="I463" s="3" t="str">
        <f t="shared" si="145"/>
        <v/>
      </c>
      <c r="J463" s="2" t="str">
        <f t="shared" si="146"/>
        <v/>
      </c>
      <c r="K463" s="2" t="str">
        <f>IF(W463="","",LOOKUP('Extraction edi'!J463,Paramètrage!$A$6:$A$179,Paramètrage!$B$6:$B$179))</f>
        <v/>
      </c>
      <c r="L463" s="2" t="str">
        <f>IF(W463="","",LOOKUP('Extraction edi'!J463,Paramètrage!$A$6:$A$179,Paramètrage!$C$6:$C$179))</f>
        <v/>
      </c>
      <c r="M463" s="2" t="str">
        <f>IF(W463="","",LOOKUP('Extraction edi'!J463,Paramètrage!$A$6:$A$179,Paramètrage!$D$6:$D$179))</f>
        <v/>
      </c>
      <c r="N463" s="3" t="str">
        <f>IF(W463="","",LOOKUP('Extraction edi'!J463,Paramètrage!$A$6:$A$179,Paramètrage!$E$6:$E$179))</f>
        <v/>
      </c>
      <c r="O463" s="3" t="str">
        <f t="shared" si="147"/>
        <v/>
      </c>
      <c r="P463" s="3" t="str">
        <f t="shared" si="148"/>
        <v/>
      </c>
      <c r="Q463" s="3" t="str">
        <f t="shared" ref="Q463:Q526" si="158">IF(ISERROR(SEARCH("laq",J463))=FALSE,"laquage RAL :",IF(ISERROR(SEARCH("lq",J463))=FALSE,"laquage RAL :",IF(ISERROR(SEARCH("ANO",J462))=FALSE,"laquage RAL :",IF(ISERROR(SEARCH("IVOI",J463)),"","laquage RAL :"))))</f>
        <v/>
      </c>
      <c r="R463" s="3" t="str">
        <f t="shared" si="149"/>
        <v/>
      </c>
      <c r="S463" s="3" t="str">
        <f t="shared" si="150"/>
        <v/>
      </c>
      <c r="T463" s="4" t="str">
        <f t="shared" si="151"/>
        <v/>
      </c>
      <c r="U463" s="5" t="str">
        <f t="shared" si="152"/>
        <v/>
      </c>
      <c r="V463" s="7" t="str">
        <f>IF(W463="","",IF(LOOKUP(W463,'Extration 3E date commande'!$A$6:$A$10000)=W463,LOOKUP(W463,'Extration 3E date commande'!$A$6:$A$10000,'Extration 3E date commande'!$C$6:$C$10000),"PAS DE DATE"))</f>
        <v/>
      </c>
    </row>
    <row r="464" spans="1:22" x14ac:dyDescent="0.25">
      <c r="A464" s="3" t="str">
        <f t="shared" si="142"/>
        <v/>
      </c>
      <c r="B464" s="3" t="str">
        <f t="shared" si="143"/>
        <v/>
      </c>
      <c r="C464" s="3" t="str">
        <f t="shared" si="157"/>
        <v/>
      </c>
      <c r="D464" s="3" t="str">
        <f t="shared" si="153"/>
        <v/>
      </c>
      <c r="E464" s="3" t="str">
        <f t="shared" si="154"/>
        <v/>
      </c>
      <c r="F464" s="3" t="str">
        <f t="shared" si="155"/>
        <v/>
      </c>
      <c r="G464" s="3" t="str">
        <f t="shared" si="156"/>
        <v/>
      </c>
      <c r="H464" s="3" t="str">
        <f t="shared" si="144"/>
        <v/>
      </c>
      <c r="I464" s="3" t="str">
        <f t="shared" si="145"/>
        <v/>
      </c>
      <c r="J464" s="2" t="str">
        <f t="shared" si="146"/>
        <v/>
      </c>
      <c r="K464" s="2" t="str">
        <f>IF(W464="","",LOOKUP('Extraction edi'!J464,Paramètrage!$A$6:$A$179,Paramètrage!$B$6:$B$179))</f>
        <v/>
      </c>
      <c r="L464" s="2" t="str">
        <f>IF(W464="","",LOOKUP('Extraction edi'!J464,Paramètrage!$A$6:$A$179,Paramètrage!$C$6:$C$179))</f>
        <v/>
      </c>
      <c r="M464" s="2" t="str">
        <f>IF(W464="","",LOOKUP('Extraction edi'!J464,Paramètrage!$A$6:$A$179,Paramètrage!$D$6:$D$179))</f>
        <v/>
      </c>
      <c r="N464" s="3" t="str">
        <f>IF(W464="","",LOOKUP('Extraction edi'!J464,Paramètrage!$A$6:$A$179,Paramètrage!$E$6:$E$179))</f>
        <v/>
      </c>
      <c r="O464" s="3" t="str">
        <f t="shared" si="147"/>
        <v/>
      </c>
      <c r="P464" s="3" t="str">
        <f t="shared" si="148"/>
        <v/>
      </c>
      <c r="Q464" s="3" t="str">
        <f t="shared" si="158"/>
        <v/>
      </c>
      <c r="R464" s="3" t="str">
        <f t="shared" si="149"/>
        <v/>
      </c>
      <c r="S464" s="3" t="str">
        <f t="shared" si="150"/>
        <v/>
      </c>
      <c r="T464" s="4" t="str">
        <f t="shared" si="151"/>
        <v/>
      </c>
      <c r="U464" s="5" t="str">
        <f t="shared" si="152"/>
        <v/>
      </c>
      <c r="V464" s="7" t="str">
        <f>IF(W464="","",IF(LOOKUP(W464,'Extration 3E date commande'!$A$6:$A$10000)=W464,LOOKUP(W464,'Extration 3E date commande'!$A$6:$A$10000,'Extration 3E date commande'!$C$6:$C$10000),"PAS DE DATE"))</f>
        <v/>
      </c>
    </row>
    <row r="465" spans="1:22" x14ac:dyDescent="0.25">
      <c r="A465" s="3" t="str">
        <f t="shared" si="142"/>
        <v/>
      </c>
      <c r="B465" s="3" t="str">
        <f t="shared" si="143"/>
        <v/>
      </c>
      <c r="C465" s="3" t="str">
        <f t="shared" si="157"/>
        <v/>
      </c>
      <c r="D465" s="3" t="str">
        <f t="shared" si="153"/>
        <v/>
      </c>
      <c r="E465" s="3" t="str">
        <f t="shared" si="154"/>
        <v/>
      </c>
      <c r="F465" s="3" t="str">
        <f t="shared" si="155"/>
        <v/>
      </c>
      <c r="G465" s="3" t="str">
        <f t="shared" si="156"/>
        <v/>
      </c>
      <c r="H465" s="3" t="str">
        <f t="shared" si="144"/>
        <v/>
      </c>
      <c r="I465" s="3" t="str">
        <f t="shared" si="145"/>
        <v/>
      </c>
      <c r="J465" s="2" t="str">
        <f t="shared" si="146"/>
        <v/>
      </c>
      <c r="K465" s="2" t="str">
        <f>IF(W465="","",LOOKUP('Extraction edi'!J465,Paramètrage!$A$6:$A$179,Paramètrage!$B$6:$B$179))</f>
        <v/>
      </c>
      <c r="L465" s="2" t="str">
        <f>IF(W465="","",LOOKUP('Extraction edi'!J465,Paramètrage!$A$6:$A$179,Paramètrage!$C$6:$C$179))</f>
        <v/>
      </c>
      <c r="M465" s="2" t="str">
        <f>IF(W465="","",LOOKUP('Extraction edi'!J465,Paramètrage!$A$6:$A$179,Paramètrage!$D$6:$D$179))</f>
        <v/>
      </c>
      <c r="N465" s="3" t="str">
        <f>IF(W465="","",LOOKUP('Extraction edi'!J465,Paramètrage!$A$6:$A$179,Paramètrage!$E$6:$E$179))</f>
        <v/>
      </c>
      <c r="O465" s="3" t="str">
        <f t="shared" si="147"/>
        <v/>
      </c>
      <c r="P465" s="3" t="str">
        <f t="shared" si="148"/>
        <v/>
      </c>
      <c r="Q465" s="3" t="str">
        <f t="shared" si="158"/>
        <v/>
      </c>
      <c r="R465" s="3" t="str">
        <f t="shared" si="149"/>
        <v/>
      </c>
      <c r="S465" s="3" t="str">
        <f t="shared" si="150"/>
        <v/>
      </c>
      <c r="T465" s="4" t="str">
        <f t="shared" si="151"/>
        <v/>
      </c>
      <c r="U465" s="5" t="str">
        <f t="shared" si="152"/>
        <v/>
      </c>
      <c r="V465" s="7" t="str">
        <f>IF(W465="","",IF(LOOKUP(W465,'Extration 3E date commande'!$A$6:$A$10000)=W465,LOOKUP(W465,'Extration 3E date commande'!$A$6:$A$10000,'Extration 3E date commande'!$C$6:$C$10000),"PAS DE DATE"))</f>
        <v/>
      </c>
    </row>
    <row r="466" spans="1:22" x14ac:dyDescent="0.25">
      <c r="A466" s="3" t="str">
        <f t="shared" si="142"/>
        <v/>
      </c>
      <c r="B466" s="3" t="str">
        <f t="shared" si="143"/>
        <v/>
      </c>
      <c r="C466" s="3" t="str">
        <f t="shared" si="157"/>
        <v/>
      </c>
      <c r="D466" s="3" t="str">
        <f t="shared" si="153"/>
        <v/>
      </c>
      <c r="E466" s="3" t="str">
        <f t="shared" si="154"/>
        <v/>
      </c>
      <c r="F466" s="3" t="str">
        <f t="shared" si="155"/>
        <v/>
      </c>
      <c r="G466" s="3" t="str">
        <f t="shared" si="156"/>
        <v/>
      </c>
      <c r="H466" s="3" t="str">
        <f t="shared" si="144"/>
        <v/>
      </c>
      <c r="I466" s="3" t="str">
        <f t="shared" si="145"/>
        <v/>
      </c>
      <c r="J466" s="2" t="str">
        <f t="shared" si="146"/>
        <v/>
      </c>
      <c r="K466" s="2" t="str">
        <f>IF(W466="","",LOOKUP('Extraction edi'!J466,Paramètrage!$A$6:$A$179,Paramètrage!$B$6:$B$179))</f>
        <v/>
      </c>
      <c r="L466" s="2" t="str">
        <f>IF(W466="","",LOOKUP('Extraction edi'!J466,Paramètrage!$A$6:$A$179,Paramètrage!$C$6:$C$179))</f>
        <v/>
      </c>
      <c r="M466" s="2" t="str">
        <f>IF(W466="","",LOOKUP('Extraction edi'!J466,Paramètrage!$A$6:$A$179,Paramètrage!$D$6:$D$179))</f>
        <v/>
      </c>
      <c r="N466" s="3" t="str">
        <f>IF(W466="","",LOOKUP('Extraction edi'!J466,Paramètrage!$A$6:$A$179,Paramètrage!$E$6:$E$179))</f>
        <v/>
      </c>
      <c r="O466" s="3" t="str">
        <f t="shared" si="147"/>
        <v/>
      </c>
      <c r="P466" s="3" t="str">
        <f t="shared" si="148"/>
        <v/>
      </c>
      <c r="Q466" s="3" t="str">
        <f t="shared" si="158"/>
        <v/>
      </c>
      <c r="R466" s="3" t="str">
        <f t="shared" si="149"/>
        <v/>
      </c>
      <c r="S466" s="3" t="str">
        <f t="shared" si="150"/>
        <v/>
      </c>
      <c r="T466" s="4" t="str">
        <f t="shared" si="151"/>
        <v/>
      </c>
      <c r="U466" s="5" t="str">
        <f t="shared" si="152"/>
        <v/>
      </c>
      <c r="V466" s="7" t="str">
        <f>IF(W466="","",IF(LOOKUP(W466,'Extration 3E date commande'!$A$6:$A$10000)=W466,LOOKUP(W466,'Extration 3E date commande'!$A$6:$A$10000,'Extration 3E date commande'!$C$6:$C$10000),"PAS DE DATE"))</f>
        <v/>
      </c>
    </row>
    <row r="467" spans="1:22" x14ac:dyDescent="0.25">
      <c r="A467" s="3" t="str">
        <f t="shared" si="142"/>
        <v/>
      </c>
      <c r="B467" s="3" t="str">
        <f t="shared" si="143"/>
        <v/>
      </c>
      <c r="C467" s="3" t="str">
        <f t="shared" si="157"/>
        <v/>
      </c>
      <c r="D467" s="3" t="str">
        <f t="shared" si="153"/>
        <v/>
      </c>
      <c r="E467" s="3" t="str">
        <f t="shared" si="154"/>
        <v/>
      </c>
      <c r="F467" s="3" t="str">
        <f t="shared" si="155"/>
        <v/>
      </c>
      <c r="G467" s="3" t="str">
        <f t="shared" si="156"/>
        <v/>
      </c>
      <c r="H467" s="3" t="str">
        <f t="shared" si="144"/>
        <v/>
      </c>
      <c r="I467" s="3" t="str">
        <f t="shared" si="145"/>
        <v/>
      </c>
      <c r="J467" s="2" t="str">
        <f t="shared" si="146"/>
        <v/>
      </c>
      <c r="K467" s="2" t="str">
        <f>IF(W467="","",LOOKUP('Extraction edi'!J467,Paramètrage!$A$6:$A$179,Paramètrage!$B$6:$B$179))</f>
        <v/>
      </c>
      <c r="L467" s="2" t="str">
        <f>IF(W467="","",LOOKUP('Extraction edi'!J467,Paramètrage!$A$6:$A$179,Paramètrage!$C$6:$C$179))</f>
        <v/>
      </c>
      <c r="M467" s="2" t="str">
        <f>IF(W467="","",LOOKUP('Extraction edi'!J467,Paramètrage!$A$6:$A$179,Paramètrage!$D$6:$D$179))</f>
        <v/>
      </c>
      <c r="N467" s="3" t="str">
        <f>IF(W467="","",LOOKUP('Extraction edi'!J467,Paramètrage!$A$6:$A$179,Paramètrage!$E$6:$E$179))</f>
        <v/>
      </c>
      <c r="O467" s="3" t="str">
        <f t="shared" si="147"/>
        <v/>
      </c>
      <c r="P467" s="3" t="str">
        <f t="shared" si="148"/>
        <v/>
      </c>
      <c r="Q467" s="3" t="str">
        <f t="shared" si="158"/>
        <v/>
      </c>
      <c r="R467" s="3" t="str">
        <f t="shared" si="149"/>
        <v/>
      </c>
      <c r="S467" s="3" t="str">
        <f t="shared" si="150"/>
        <v/>
      </c>
      <c r="T467" s="4" t="str">
        <f t="shared" si="151"/>
        <v/>
      </c>
      <c r="U467" s="5" t="str">
        <f t="shared" si="152"/>
        <v/>
      </c>
      <c r="V467" s="7" t="str">
        <f>IF(W467="","",IF(LOOKUP(W467,'Extration 3E date commande'!$A$6:$A$10000)=W467,LOOKUP(W467,'Extration 3E date commande'!$A$6:$A$10000,'Extration 3E date commande'!$C$6:$C$10000),"PAS DE DATE"))</f>
        <v/>
      </c>
    </row>
    <row r="468" spans="1:22" x14ac:dyDescent="0.25">
      <c r="A468" s="3" t="str">
        <f t="shared" si="142"/>
        <v/>
      </c>
      <c r="B468" s="3" t="str">
        <f t="shared" si="143"/>
        <v/>
      </c>
      <c r="C468" s="3" t="str">
        <f t="shared" si="157"/>
        <v/>
      </c>
      <c r="D468" s="3" t="str">
        <f t="shared" si="153"/>
        <v/>
      </c>
      <c r="E468" s="3" t="str">
        <f t="shared" si="154"/>
        <v/>
      </c>
      <c r="F468" s="3" t="str">
        <f t="shared" si="155"/>
        <v/>
      </c>
      <c r="G468" s="3" t="str">
        <f t="shared" si="156"/>
        <v/>
      </c>
      <c r="H468" s="3" t="str">
        <f t="shared" si="144"/>
        <v/>
      </c>
      <c r="I468" s="3" t="str">
        <f t="shared" si="145"/>
        <v/>
      </c>
      <c r="J468" s="2" t="str">
        <f t="shared" si="146"/>
        <v/>
      </c>
      <c r="K468" s="2" t="str">
        <f>IF(W468="","",LOOKUP('Extraction edi'!J468,Paramètrage!$A$6:$A$179,Paramètrage!$B$6:$B$179))</f>
        <v/>
      </c>
      <c r="L468" s="2" t="str">
        <f>IF(W468="","",LOOKUP('Extraction edi'!J468,Paramètrage!$A$6:$A$179,Paramètrage!$C$6:$C$179))</f>
        <v/>
      </c>
      <c r="M468" s="2" t="str">
        <f>IF(W468="","",LOOKUP('Extraction edi'!J468,Paramètrage!$A$6:$A$179,Paramètrage!$D$6:$D$179))</f>
        <v/>
      </c>
      <c r="N468" s="3" t="str">
        <f>IF(W468="","",LOOKUP('Extraction edi'!J468,Paramètrage!$A$6:$A$179,Paramètrage!$E$6:$E$179))</f>
        <v/>
      </c>
      <c r="O468" s="3" t="str">
        <f t="shared" si="147"/>
        <v/>
      </c>
      <c r="P468" s="3" t="str">
        <f t="shared" si="148"/>
        <v/>
      </c>
      <c r="Q468" s="3" t="str">
        <f t="shared" si="158"/>
        <v/>
      </c>
      <c r="R468" s="3" t="str">
        <f t="shared" si="149"/>
        <v/>
      </c>
      <c r="S468" s="3" t="str">
        <f t="shared" si="150"/>
        <v/>
      </c>
      <c r="T468" s="4" t="str">
        <f t="shared" si="151"/>
        <v/>
      </c>
      <c r="U468" s="5" t="str">
        <f t="shared" si="152"/>
        <v/>
      </c>
      <c r="V468" s="7" t="str">
        <f>IF(W468="","",IF(LOOKUP(W468,'Extration 3E date commande'!$A$6:$A$10000)=W468,LOOKUP(W468,'Extration 3E date commande'!$A$6:$A$10000,'Extration 3E date commande'!$C$6:$C$10000),"PAS DE DATE"))</f>
        <v/>
      </c>
    </row>
    <row r="469" spans="1:22" x14ac:dyDescent="0.25">
      <c r="A469" s="3" t="str">
        <f t="shared" si="142"/>
        <v/>
      </c>
      <c r="B469" s="3" t="str">
        <f t="shared" si="143"/>
        <v/>
      </c>
      <c r="C469" s="3" t="str">
        <f t="shared" si="157"/>
        <v/>
      </c>
      <c r="D469" s="3" t="str">
        <f t="shared" si="153"/>
        <v/>
      </c>
      <c r="E469" s="3" t="str">
        <f t="shared" si="154"/>
        <v/>
      </c>
      <c r="F469" s="3" t="str">
        <f t="shared" si="155"/>
        <v/>
      </c>
      <c r="G469" s="3" t="str">
        <f t="shared" si="156"/>
        <v/>
      </c>
      <c r="H469" s="3" t="str">
        <f t="shared" si="144"/>
        <v/>
      </c>
      <c r="I469" s="3" t="str">
        <f t="shared" si="145"/>
        <v/>
      </c>
      <c r="J469" s="2" t="str">
        <f t="shared" si="146"/>
        <v/>
      </c>
      <c r="K469" s="2" t="str">
        <f>IF(W469="","",LOOKUP('Extraction edi'!J469,Paramètrage!$A$6:$A$179,Paramètrage!$B$6:$B$179))</f>
        <v/>
      </c>
      <c r="L469" s="2" t="str">
        <f>IF(W469="","",LOOKUP('Extraction edi'!J469,Paramètrage!$A$6:$A$179,Paramètrage!$C$6:$C$179))</f>
        <v/>
      </c>
      <c r="M469" s="2" t="str">
        <f>IF(W469="","",LOOKUP('Extraction edi'!J469,Paramètrage!$A$6:$A$179,Paramètrage!$D$6:$D$179))</f>
        <v/>
      </c>
      <c r="N469" s="3" t="str">
        <f>IF(W469="","",LOOKUP('Extraction edi'!J469,Paramètrage!$A$6:$A$179,Paramètrage!$E$6:$E$179))</f>
        <v/>
      </c>
      <c r="O469" s="3" t="str">
        <f t="shared" si="147"/>
        <v/>
      </c>
      <c r="P469" s="3" t="str">
        <f t="shared" si="148"/>
        <v/>
      </c>
      <c r="Q469" s="3" t="str">
        <f t="shared" si="158"/>
        <v/>
      </c>
      <c r="R469" s="3" t="str">
        <f t="shared" si="149"/>
        <v/>
      </c>
      <c r="S469" s="3" t="str">
        <f t="shared" si="150"/>
        <v/>
      </c>
      <c r="T469" s="4" t="str">
        <f t="shared" si="151"/>
        <v/>
      </c>
      <c r="U469" s="5" t="str">
        <f t="shared" si="152"/>
        <v/>
      </c>
      <c r="V469" s="7" t="str">
        <f>IF(W469="","",IF(LOOKUP(W469,'Extration 3E date commande'!$A$6:$A$10000)=W469,LOOKUP(W469,'Extration 3E date commande'!$A$6:$A$10000,'Extration 3E date commande'!$C$6:$C$10000),"PAS DE DATE"))</f>
        <v/>
      </c>
    </row>
    <row r="470" spans="1:22" x14ac:dyDescent="0.25">
      <c r="A470" s="3" t="str">
        <f t="shared" ref="A470:A533" si="159">IF(W470="","",LEFT(W470,7))</f>
        <v/>
      </c>
      <c r="B470" s="3" t="str">
        <f t="shared" ref="B470:B533" si="160">IF(W470="","",RIGHT(W470,3))</f>
        <v/>
      </c>
      <c r="C470" s="3" t="str">
        <f t="shared" si="157"/>
        <v/>
      </c>
      <c r="D470" s="3" t="str">
        <f t="shared" si="153"/>
        <v/>
      </c>
      <c r="E470" s="3" t="str">
        <f t="shared" si="154"/>
        <v/>
      </c>
      <c r="F470" s="3" t="str">
        <f t="shared" si="155"/>
        <v/>
      </c>
      <c r="G470" s="3" t="str">
        <f t="shared" si="156"/>
        <v/>
      </c>
      <c r="H470" s="3" t="str">
        <f t="shared" ref="H470:H533" si="161">IF(W470="","",X470)</f>
        <v/>
      </c>
      <c r="I470" s="3" t="str">
        <f t="shared" ref="I470:I533" si="162">IF(W470="","",Z470)</f>
        <v/>
      </c>
      <c r="J470" s="2" t="str">
        <f t="shared" ref="J470:J533" si="163">IF(W470="","",IF(AND(T470=FALSE,T469=FALSE,T468=FALSE,T467=FALSE,T466=FALSE),AA465,IF(AND(T470=FALSE,T469=FALSE,T468=FALSE,T467=FALSE),AA466,IF(AND(T470=FALSE,T469=FALSE,T468=FALSE),AA467,IF(AND(T470=FALSE,T469=FALSE),AA468,IF(T470=FALSE,AA469,AA470))))))</f>
        <v/>
      </c>
      <c r="K470" s="2" t="str">
        <f>IF(W470="","",LOOKUP('Extraction edi'!J470,Paramètrage!$A$6:$A$179,Paramètrage!$B$6:$B$179))</f>
        <v/>
      </c>
      <c r="L470" s="2" t="str">
        <f>IF(W470="","",LOOKUP('Extraction edi'!J470,Paramètrage!$A$6:$A$179,Paramètrage!$C$6:$C$179))</f>
        <v/>
      </c>
      <c r="M470" s="2" t="str">
        <f>IF(W470="","",LOOKUP('Extraction edi'!J470,Paramètrage!$A$6:$A$179,Paramètrage!$D$6:$D$179))</f>
        <v/>
      </c>
      <c r="N470" s="3" t="str">
        <f>IF(W470="","",LOOKUP('Extraction edi'!J470,Paramètrage!$A$6:$A$179,Paramètrage!$E$6:$E$179))</f>
        <v/>
      </c>
      <c r="O470" s="3" t="str">
        <f t="shared" ref="O470:O533" si="164">IF(W470="","",IF(LEFT(AA470,4)="soub",AB470,IF(LEFT(AA470,3)="cim",AB470,AA470)))</f>
        <v/>
      </c>
      <c r="P470" s="3" t="str">
        <f t="shared" ref="P470:P533" si="165">IF(LEFT(U470,1)="N",SUBSTITUTE(AB470,"*",""),IF(LEFT(U470,1)="S",SUBSTITUTE(AB470,"*",""),IF(LEFT(U470,1)="G",SUBSTITUTE(AB470,"*",""),IF(LEN(U470)=11,SUBSTITUTE(AB470,"*",""),U470))))</f>
        <v/>
      </c>
      <c r="Q470" s="3" t="str">
        <f t="shared" si="158"/>
        <v/>
      </c>
      <c r="R470" s="3" t="str">
        <f t="shared" ref="R470:R533" si="166">IF(W470="","",IF(RIGHT(L470,7)="RAL9001",L470,IF(LEFT(AE470,1)="N",AE470,IF(LEFT(AE470,1)="S",AE470,IF(LEFT(AE470,1)="G",AE470,"")))))</f>
        <v/>
      </c>
      <c r="S470" s="3" t="str">
        <f t="shared" ref="S470:S533" si="167">IF(W470="","",IF(RIGHT(M470,7)="RAL9001",M470,IF(LEFT(AC470,1)="N",AC470,IF(LEFT(AC470,1)="S",AC470,IF(LEFT(AC470,1)="G",AC470,IF(LEFT(AD470,1)="N",AD470,IF(LEFT(AD470,1)="S",AD470,IF(LEFT(AD470,1)="G",AD470,""))))))))</f>
        <v/>
      </c>
      <c r="T470" s="4" t="str">
        <f t="shared" ref="T470:T533" si="168">IF(W470="","",IF(LEFT(AA470,4)&lt;&gt;"soub",IF(LEFT(AA470,3)&lt;&gt;"cim"=FALSE,AA470),AA470))</f>
        <v/>
      </c>
      <c r="U470" s="5" t="str">
        <f t="shared" ref="U470:U533" si="169">SUBSTITUTE(AC470,"*","")</f>
        <v/>
      </c>
      <c r="V470" s="7" t="str">
        <f>IF(W470="","",IF(LOOKUP(W470,'Extration 3E date commande'!$A$6:$A$10000)=W470,LOOKUP(W470,'Extration 3E date commande'!$A$6:$A$10000,'Extration 3E date commande'!$C$6:$C$10000),"PAS DE DATE"))</f>
        <v/>
      </c>
    </row>
    <row r="471" spans="1:22" x14ac:dyDescent="0.25">
      <c r="A471" s="3" t="str">
        <f t="shared" si="159"/>
        <v/>
      </c>
      <c r="B471" s="3" t="str">
        <f t="shared" si="160"/>
        <v/>
      </c>
      <c r="C471" s="3" t="str">
        <f t="shared" si="157"/>
        <v/>
      </c>
      <c r="D471" s="3" t="str">
        <f t="shared" si="153"/>
        <v/>
      </c>
      <c r="E471" s="3" t="str">
        <f t="shared" si="154"/>
        <v/>
      </c>
      <c r="F471" s="3" t="str">
        <f t="shared" si="155"/>
        <v/>
      </c>
      <c r="G471" s="3" t="str">
        <f t="shared" si="156"/>
        <v/>
      </c>
      <c r="H471" s="3" t="str">
        <f t="shared" si="161"/>
        <v/>
      </c>
      <c r="I471" s="3" t="str">
        <f t="shared" si="162"/>
        <v/>
      </c>
      <c r="J471" s="2" t="str">
        <f t="shared" si="163"/>
        <v/>
      </c>
      <c r="K471" s="2" t="str">
        <f>IF(W471="","",LOOKUP('Extraction edi'!J471,Paramètrage!$A$6:$A$179,Paramètrage!$B$6:$B$179))</f>
        <v/>
      </c>
      <c r="L471" s="2" t="str">
        <f>IF(W471="","",LOOKUP('Extraction edi'!J471,Paramètrage!$A$6:$A$179,Paramètrage!$C$6:$C$179))</f>
        <v/>
      </c>
      <c r="M471" s="2" t="str">
        <f>IF(W471="","",LOOKUP('Extraction edi'!J471,Paramètrage!$A$6:$A$179,Paramètrage!$D$6:$D$179))</f>
        <v/>
      </c>
      <c r="N471" s="3" t="str">
        <f>IF(W471="","",LOOKUP('Extraction edi'!J471,Paramètrage!$A$6:$A$179,Paramètrage!$E$6:$E$179))</f>
        <v/>
      </c>
      <c r="O471" s="3" t="str">
        <f t="shared" si="164"/>
        <v/>
      </c>
      <c r="P471" s="3" t="str">
        <f t="shared" si="165"/>
        <v/>
      </c>
      <c r="Q471" s="3" t="str">
        <f t="shared" si="158"/>
        <v/>
      </c>
      <c r="R471" s="3" t="str">
        <f t="shared" si="166"/>
        <v/>
      </c>
      <c r="S471" s="3" t="str">
        <f t="shared" si="167"/>
        <v/>
      </c>
      <c r="T471" s="4" t="str">
        <f t="shared" si="168"/>
        <v/>
      </c>
      <c r="U471" s="5" t="str">
        <f t="shared" si="169"/>
        <v/>
      </c>
      <c r="V471" s="7" t="str">
        <f>IF(W471="","",IF(LOOKUP(W471,'Extration 3E date commande'!$A$6:$A$10000)=W471,LOOKUP(W471,'Extration 3E date commande'!$A$6:$A$10000,'Extration 3E date commande'!$C$6:$C$10000),"PAS DE DATE"))</f>
        <v/>
      </c>
    </row>
    <row r="472" spans="1:22" x14ac:dyDescent="0.25">
      <c r="A472" s="3" t="str">
        <f t="shared" si="159"/>
        <v/>
      </c>
      <c r="B472" s="3" t="str">
        <f t="shared" si="160"/>
        <v/>
      </c>
      <c r="C472" s="3" t="str">
        <f t="shared" si="157"/>
        <v/>
      </c>
      <c r="D472" s="3" t="str">
        <f t="shared" si="153"/>
        <v/>
      </c>
      <c r="E472" s="3" t="str">
        <f t="shared" si="154"/>
        <v/>
      </c>
      <c r="F472" s="3" t="str">
        <f t="shared" si="155"/>
        <v/>
      </c>
      <c r="G472" s="3" t="str">
        <f t="shared" si="156"/>
        <v/>
      </c>
      <c r="H472" s="3" t="str">
        <f t="shared" si="161"/>
        <v/>
      </c>
      <c r="I472" s="3" t="str">
        <f t="shared" si="162"/>
        <v/>
      </c>
      <c r="J472" s="2" t="str">
        <f t="shared" si="163"/>
        <v/>
      </c>
      <c r="K472" s="2" t="str">
        <f>IF(W472="","",LOOKUP('Extraction edi'!J472,Paramètrage!$A$6:$A$179,Paramètrage!$B$6:$B$179))</f>
        <v/>
      </c>
      <c r="L472" s="2" t="str">
        <f>IF(W472="","",LOOKUP('Extraction edi'!J472,Paramètrage!$A$6:$A$179,Paramètrage!$C$6:$C$179))</f>
        <v/>
      </c>
      <c r="M472" s="2" t="str">
        <f>IF(W472="","",LOOKUP('Extraction edi'!J472,Paramètrage!$A$6:$A$179,Paramètrage!$D$6:$D$179))</f>
        <v/>
      </c>
      <c r="N472" s="3" t="str">
        <f>IF(W472="","",LOOKUP('Extraction edi'!J472,Paramètrage!$A$6:$A$179,Paramètrage!$E$6:$E$179))</f>
        <v/>
      </c>
      <c r="O472" s="3" t="str">
        <f t="shared" si="164"/>
        <v/>
      </c>
      <c r="P472" s="3" t="str">
        <f t="shared" si="165"/>
        <v/>
      </c>
      <c r="Q472" s="3" t="str">
        <f t="shared" si="158"/>
        <v/>
      </c>
      <c r="R472" s="3" t="str">
        <f t="shared" si="166"/>
        <v/>
      </c>
      <c r="S472" s="3" t="str">
        <f t="shared" si="167"/>
        <v/>
      </c>
      <c r="T472" s="4" t="str">
        <f t="shared" si="168"/>
        <v/>
      </c>
      <c r="U472" s="5" t="str">
        <f t="shared" si="169"/>
        <v/>
      </c>
      <c r="V472" s="7" t="str">
        <f>IF(W472="","",IF(LOOKUP(W472,'Extration 3E date commande'!$A$6:$A$10000)=W472,LOOKUP(W472,'Extration 3E date commande'!$A$6:$A$10000,'Extration 3E date commande'!$C$6:$C$10000),"PAS DE DATE"))</f>
        <v/>
      </c>
    </row>
    <row r="473" spans="1:22" x14ac:dyDescent="0.25">
      <c r="A473" s="3" t="str">
        <f t="shared" si="159"/>
        <v/>
      </c>
      <c r="B473" s="3" t="str">
        <f t="shared" si="160"/>
        <v/>
      </c>
      <c r="C473" s="3" t="str">
        <f t="shared" si="157"/>
        <v/>
      </c>
      <c r="D473" s="3" t="str">
        <f t="shared" si="153"/>
        <v/>
      </c>
      <c r="E473" s="3" t="str">
        <f t="shared" si="154"/>
        <v/>
      </c>
      <c r="F473" s="3" t="str">
        <f t="shared" si="155"/>
        <v/>
      </c>
      <c r="G473" s="3" t="str">
        <f t="shared" si="156"/>
        <v/>
      </c>
      <c r="H473" s="3" t="str">
        <f t="shared" si="161"/>
        <v/>
      </c>
      <c r="I473" s="3" t="str">
        <f t="shared" si="162"/>
        <v/>
      </c>
      <c r="J473" s="2" t="str">
        <f t="shared" si="163"/>
        <v/>
      </c>
      <c r="K473" s="2" t="str">
        <f>IF(W473="","",LOOKUP('Extraction edi'!J473,Paramètrage!$A$6:$A$179,Paramètrage!$B$6:$B$179))</f>
        <v/>
      </c>
      <c r="L473" s="2" t="str">
        <f>IF(W473="","",LOOKUP('Extraction edi'!J473,Paramètrage!$A$6:$A$179,Paramètrage!$C$6:$C$179))</f>
        <v/>
      </c>
      <c r="M473" s="2" t="str">
        <f>IF(W473="","",LOOKUP('Extraction edi'!J473,Paramètrage!$A$6:$A$179,Paramètrage!$D$6:$D$179))</f>
        <v/>
      </c>
      <c r="N473" s="3" t="str">
        <f>IF(W473="","",LOOKUP('Extraction edi'!J473,Paramètrage!$A$6:$A$179,Paramètrage!$E$6:$E$179))</f>
        <v/>
      </c>
      <c r="O473" s="3" t="str">
        <f t="shared" si="164"/>
        <v/>
      </c>
      <c r="P473" s="3" t="str">
        <f t="shared" si="165"/>
        <v/>
      </c>
      <c r="Q473" s="3" t="str">
        <f t="shared" si="158"/>
        <v/>
      </c>
      <c r="R473" s="3" t="str">
        <f t="shared" si="166"/>
        <v/>
      </c>
      <c r="S473" s="3" t="str">
        <f t="shared" si="167"/>
        <v/>
      </c>
      <c r="T473" s="4" t="str">
        <f t="shared" si="168"/>
        <v/>
      </c>
      <c r="U473" s="5" t="str">
        <f t="shared" si="169"/>
        <v/>
      </c>
      <c r="V473" s="7" t="str">
        <f>IF(W473="","",IF(LOOKUP(W473,'Extration 3E date commande'!$A$6:$A$10000)=W473,LOOKUP(W473,'Extration 3E date commande'!$A$6:$A$10000,'Extration 3E date commande'!$C$6:$C$10000),"PAS DE DATE"))</f>
        <v/>
      </c>
    </row>
    <row r="474" spans="1:22" x14ac:dyDescent="0.25">
      <c r="A474" s="3" t="str">
        <f t="shared" si="159"/>
        <v/>
      </c>
      <c r="B474" s="3" t="str">
        <f t="shared" si="160"/>
        <v/>
      </c>
      <c r="C474" s="3" t="str">
        <f t="shared" si="157"/>
        <v/>
      </c>
      <c r="D474" s="3" t="str">
        <f t="shared" si="153"/>
        <v/>
      </c>
      <c r="E474" s="3" t="str">
        <f t="shared" si="154"/>
        <v/>
      </c>
      <c r="F474" s="3" t="str">
        <f t="shared" si="155"/>
        <v/>
      </c>
      <c r="G474" s="3" t="str">
        <f t="shared" si="156"/>
        <v/>
      </c>
      <c r="H474" s="3" t="str">
        <f t="shared" si="161"/>
        <v/>
      </c>
      <c r="I474" s="3" t="str">
        <f t="shared" si="162"/>
        <v/>
      </c>
      <c r="J474" s="2" t="str">
        <f t="shared" si="163"/>
        <v/>
      </c>
      <c r="K474" s="2" t="str">
        <f>IF(W474="","",LOOKUP('Extraction edi'!J474,Paramètrage!$A$6:$A$179,Paramètrage!$B$6:$B$179))</f>
        <v/>
      </c>
      <c r="L474" s="2" t="str">
        <f>IF(W474="","",LOOKUP('Extraction edi'!J474,Paramètrage!$A$6:$A$179,Paramètrage!$C$6:$C$179))</f>
        <v/>
      </c>
      <c r="M474" s="2" t="str">
        <f>IF(W474="","",LOOKUP('Extraction edi'!J474,Paramètrage!$A$6:$A$179,Paramètrage!$D$6:$D$179))</f>
        <v/>
      </c>
      <c r="N474" s="3" t="str">
        <f>IF(W474="","",LOOKUP('Extraction edi'!J474,Paramètrage!$A$6:$A$179,Paramètrage!$E$6:$E$179))</f>
        <v/>
      </c>
      <c r="O474" s="3" t="str">
        <f t="shared" si="164"/>
        <v/>
      </c>
      <c r="P474" s="3" t="str">
        <f t="shared" si="165"/>
        <v/>
      </c>
      <c r="Q474" s="3" t="str">
        <f t="shared" si="158"/>
        <v/>
      </c>
      <c r="R474" s="3" t="str">
        <f t="shared" si="166"/>
        <v/>
      </c>
      <c r="S474" s="3" t="str">
        <f t="shared" si="167"/>
        <v/>
      </c>
      <c r="T474" s="4" t="str">
        <f t="shared" si="168"/>
        <v/>
      </c>
      <c r="U474" s="5" t="str">
        <f t="shared" si="169"/>
        <v/>
      </c>
      <c r="V474" s="7" t="str">
        <f>IF(W474="","",IF(LOOKUP(W474,'Extration 3E date commande'!$A$6:$A$10000)=W474,LOOKUP(W474,'Extration 3E date commande'!$A$6:$A$10000,'Extration 3E date commande'!$C$6:$C$10000),"PAS DE DATE"))</f>
        <v/>
      </c>
    </row>
    <row r="475" spans="1:22" x14ac:dyDescent="0.25">
      <c r="A475" s="3" t="str">
        <f t="shared" si="159"/>
        <v/>
      </c>
      <c r="B475" s="3" t="str">
        <f t="shared" si="160"/>
        <v/>
      </c>
      <c r="C475" s="3" t="str">
        <f t="shared" si="157"/>
        <v/>
      </c>
      <c r="D475" s="3" t="str">
        <f t="shared" si="153"/>
        <v/>
      </c>
      <c r="E475" s="3" t="str">
        <f t="shared" si="154"/>
        <v/>
      </c>
      <c r="F475" s="3" t="str">
        <f t="shared" si="155"/>
        <v/>
      </c>
      <c r="G475" s="3" t="str">
        <f t="shared" si="156"/>
        <v/>
      </c>
      <c r="H475" s="3" t="str">
        <f t="shared" si="161"/>
        <v/>
      </c>
      <c r="I475" s="3" t="str">
        <f t="shared" si="162"/>
        <v/>
      </c>
      <c r="J475" s="2" t="str">
        <f t="shared" si="163"/>
        <v/>
      </c>
      <c r="K475" s="2" t="str">
        <f>IF(W475="","",LOOKUP('Extraction edi'!J475,Paramètrage!$A$6:$A$179,Paramètrage!$B$6:$B$179))</f>
        <v/>
      </c>
      <c r="L475" s="2" t="str">
        <f>IF(W475="","",LOOKUP('Extraction edi'!J475,Paramètrage!$A$6:$A$179,Paramètrage!$C$6:$C$179))</f>
        <v/>
      </c>
      <c r="M475" s="2" t="str">
        <f>IF(W475="","",LOOKUP('Extraction edi'!J475,Paramètrage!$A$6:$A$179,Paramètrage!$D$6:$D$179))</f>
        <v/>
      </c>
      <c r="N475" s="3" t="str">
        <f>IF(W475="","",LOOKUP('Extraction edi'!J475,Paramètrage!$A$6:$A$179,Paramètrage!$E$6:$E$179))</f>
        <v/>
      </c>
      <c r="O475" s="3" t="str">
        <f t="shared" si="164"/>
        <v/>
      </c>
      <c r="P475" s="3" t="str">
        <f t="shared" si="165"/>
        <v/>
      </c>
      <c r="Q475" s="3" t="str">
        <f t="shared" si="158"/>
        <v/>
      </c>
      <c r="R475" s="3" t="str">
        <f t="shared" si="166"/>
        <v/>
      </c>
      <c r="S475" s="3" t="str">
        <f t="shared" si="167"/>
        <v/>
      </c>
      <c r="T475" s="4" t="str">
        <f t="shared" si="168"/>
        <v/>
      </c>
      <c r="U475" s="5" t="str">
        <f t="shared" si="169"/>
        <v/>
      </c>
      <c r="V475" s="7" t="str">
        <f>IF(W475="","",IF(LOOKUP(W475,'Extration 3E date commande'!$A$6:$A$10000)=W475,LOOKUP(W475,'Extration 3E date commande'!$A$6:$A$10000,'Extration 3E date commande'!$C$6:$C$10000),"PAS DE DATE"))</f>
        <v/>
      </c>
    </row>
    <row r="476" spans="1:22" x14ac:dyDescent="0.25">
      <c r="A476" s="3" t="str">
        <f t="shared" si="159"/>
        <v/>
      </c>
      <c r="B476" s="3" t="str">
        <f t="shared" si="160"/>
        <v/>
      </c>
      <c r="C476" s="3" t="str">
        <f t="shared" si="157"/>
        <v/>
      </c>
      <c r="D476" s="3" t="str">
        <f t="shared" si="153"/>
        <v/>
      </c>
      <c r="E476" s="3" t="str">
        <f t="shared" si="154"/>
        <v/>
      </c>
      <c r="F476" s="3" t="str">
        <f t="shared" si="155"/>
        <v/>
      </c>
      <c r="G476" s="3" t="str">
        <f t="shared" si="156"/>
        <v/>
      </c>
      <c r="H476" s="3" t="str">
        <f t="shared" si="161"/>
        <v/>
      </c>
      <c r="I476" s="3" t="str">
        <f t="shared" si="162"/>
        <v/>
      </c>
      <c r="J476" s="2" t="str">
        <f t="shared" si="163"/>
        <v/>
      </c>
      <c r="K476" s="2" t="str">
        <f>IF(W476="","",LOOKUP('Extraction edi'!J476,Paramètrage!$A$6:$A$179,Paramètrage!$B$6:$B$179))</f>
        <v/>
      </c>
      <c r="L476" s="2" t="str">
        <f>IF(W476="","",LOOKUP('Extraction edi'!J476,Paramètrage!$A$6:$A$179,Paramètrage!$C$6:$C$179))</f>
        <v/>
      </c>
      <c r="M476" s="2" t="str">
        <f>IF(W476="","",LOOKUP('Extraction edi'!J476,Paramètrage!$A$6:$A$179,Paramètrage!$D$6:$D$179))</f>
        <v/>
      </c>
      <c r="N476" s="3" t="str">
        <f>IF(W476="","",LOOKUP('Extraction edi'!J476,Paramètrage!$A$6:$A$179,Paramètrage!$E$6:$E$179))</f>
        <v/>
      </c>
      <c r="O476" s="3" t="str">
        <f t="shared" si="164"/>
        <v/>
      </c>
      <c r="P476" s="3" t="str">
        <f t="shared" si="165"/>
        <v/>
      </c>
      <c r="Q476" s="3" t="str">
        <f t="shared" si="158"/>
        <v/>
      </c>
      <c r="R476" s="3" t="str">
        <f t="shared" si="166"/>
        <v/>
      </c>
      <c r="S476" s="3" t="str">
        <f t="shared" si="167"/>
        <v/>
      </c>
      <c r="T476" s="4" t="str">
        <f t="shared" si="168"/>
        <v/>
      </c>
      <c r="U476" s="5" t="str">
        <f t="shared" si="169"/>
        <v/>
      </c>
      <c r="V476" s="7" t="str">
        <f>IF(W476="","",IF(LOOKUP(W476,'Extration 3E date commande'!$A$6:$A$10000)=W476,LOOKUP(W476,'Extration 3E date commande'!$A$6:$A$10000,'Extration 3E date commande'!$C$6:$C$10000),"PAS DE DATE"))</f>
        <v/>
      </c>
    </row>
    <row r="477" spans="1:22" x14ac:dyDescent="0.25">
      <c r="A477" s="3" t="str">
        <f t="shared" si="159"/>
        <v/>
      </c>
      <c r="B477" s="3" t="str">
        <f t="shared" si="160"/>
        <v/>
      </c>
      <c r="C477" s="3" t="str">
        <f t="shared" si="157"/>
        <v/>
      </c>
      <c r="D477" s="3" t="str">
        <f t="shared" si="153"/>
        <v/>
      </c>
      <c r="E477" s="3" t="str">
        <f t="shared" si="154"/>
        <v/>
      </c>
      <c r="F477" s="3" t="str">
        <f t="shared" si="155"/>
        <v/>
      </c>
      <c r="G477" s="3" t="str">
        <f t="shared" si="156"/>
        <v/>
      </c>
      <c r="H477" s="3" t="str">
        <f t="shared" si="161"/>
        <v/>
      </c>
      <c r="I477" s="3" t="str">
        <f t="shared" si="162"/>
        <v/>
      </c>
      <c r="J477" s="2" t="str">
        <f t="shared" si="163"/>
        <v/>
      </c>
      <c r="K477" s="2" t="str">
        <f>IF(W477="","",LOOKUP('Extraction edi'!J477,Paramètrage!$A$6:$A$179,Paramètrage!$B$6:$B$179))</f>
        <v/>
      </c>
      <c r="L477" s="2" t="str">
        <f>IF(W477="","",LOOKUP('Extraction edi'!J477,Paramètrage!$A$6:$A$179,Paramètrage!$C$6:$C$179))</f>
        <v/>
      </c>
      <c r="M477" s="2" t="str">
        <f>IF(W477="","",LOOKUP('Extraction edi'!J477,Paramètrage!$A$6:$A$179,Paramètrage!$D$6:$D$179))</f>
        <v/>
      </c>
      <c r="N477" s="3" t="str">
        <f>IF(W477="","",LOOKUP('Extraction edi'!J477,Paramètrage!$A$6:$A$179,Paramètrage!$E$6:$E$179))</f>
        <v/>
      </c>
      <c r="O477" s="3" t="str">
        <f t="shared" si="164"/>
        <v/>
      </c>
      <c r="P477" s="3" t="str">
        <f t="shared" si="165"/>
        <v/>
      </c>
      <c r="Q477" s="3" t="str">
        <f t="shared" si="158"/>
        <v/>
      </c>
      <c r="R477" s="3" t="str">
        <f t="shared" si="166"/>
        <v/>
      </c>
      <c r="S477" s="3" t="str">
        <f t="shared" si="167"/>
        <v/>
      </c>
      <c r="T477" s="4" t="str">
        <f t="shared" si="168"/>
        <v/>
      </c>
      <c r="U477" s="5" t="str">
        <f t="shared" si="169"/>
        <v/>
      </c>
      <c r="V477" s="7" t="str">
        <f>IF(W477="","",IF(LOOKUP(W477,'Extration 3E date commande'!$A$6:$A$10000)=W477,LOOKUP(W477,'Extration 3E date commande'!$A$6:$A$10000,'Extration 3E date commande'!$C$6:$C$10000),"PAS DE DATE"))</f>
        <v/>
      </c>
    </row>
    <row r="478" spans="1:22" x14ac:dyDescent="0.25">
      <c r="A478" s="3" t="str">
        <f t="shared" si="159"/>
        <v/>
      </c>
      <c r="B478" s="3" t="str">
        <f t="shared" si="160"/>
        <v/>
      </c>
      <c r="C478" s="3" t="str">
        <f t="shared" si="157"/>
        <v/>
      </c>
      <c r="D478" s="3" t="str">
        <f t="shared" si="153"/>
        <v/>
      </c>
      <c r="E478" s="3" t="str">
        <f t="shared" si="154"/>
        <v/>
      </c>
      <c r="F478" s="3" t="str">
        <f t="shared" si="155"/>
        <v/>
      </c>
      <c r="G478" s="3" t="str">
        <f t="shared" si="156"/>
        <v/>
      </c>
      <c r="H478" s="3" t="str">
        <f t="shared" si="161"/>
        <v/>
      </c>
      <c r="I478" s="3" t="str">
        <f t="shared" si="162"/>
        <v/>
      </c>
      <c r="J478" s="2" t="str">
        <f t="shared" si="163"/>
        <v/>
      </c>
      <c r="K478" s="2" t="str">
        <f>IF(W478="","",LOOKUP('Extraction edi'!J478,Paramètrage!$A$6:$A$179,Paramètrage!$B$6:$B$179))</f>
        <v/>
      </c>
      <c r="L478" s="2" t="str">
        <f>IF(W478="","",LOOKUP('Extraction edi'!J478,Paramètrage!$A$6:$A$179,Paramètrage!$C$6:$C$179))</f>
        <v/>
      </c>
      <c r="M478" s="2" t="str">
        <f>IF(W478="","",LOOKUP('Extraction edi'!J478,Paramètrage!$A$6:$A$179,Paramètrage!$D$6:$D$179))</f>
        <v/>
      </c>
      <c r="N478" s="3" t="str">
        <f>IF(W478="","",LOOKUP('Extraction edi'!J478,Paramètrage!$A$6:$A$179,Paramètrage!$E$6:$E$179))</f>
        <v/>
      </c>
      <c r="O478" s="3" t="str">
        <f t="shared" si="164"/>
        <v/>
      </c>
      <c r="P478" s="3" t="str">
        <f t="shared" si="165"/>
        <v/>
      </c>
      <c r="Q478" s="3" t="str">
        <f t="shared" si="158"/>
        <v/>
      </c>
      <c r="R478" s="3" t="str">
        <f t="shared" si="166"/>
        <v/>
      </c>
      <c r="S478" s="3" t="str">
        <f t="shared" si="167"/>
        <v/>
      </c>
      <c r="T478" s="4" t="str">
        <f t="shared" si="168"/>
        <v/>
      </c>
      <c r="U478" s="5" t="str">
        <f t="shared" si="169"/>
        <v/>
      </c>
      <c r="V478" s="7" t="str">
        <f>IF(W478="","",IF(LOOKUP(W478,'Extration 3E date commande'!$A$6:$A$10000)=W478,LOOKUP(W478,'Extration 3E date commande'!$A$6:$A$10000,'Extration 3E date commande'!$C$6:$C$10000),"PAS DE DATE"))</f>
        <v/>
      </c>
    </row>
    <row r="479" spans="1:22" x14ac:dyDescent="0.25">
      <c r="A479" s="3" t="str">
        <f t="shared" si="159"/>
        <v/>
      </c>
      <c r="B479" s="3" t="str">
        <f t="shared" si="160"/>
        <v/>
      </c>
      <c r="C479" s="3" t="str">
        <f t="shared" si="157"/>
        <v/>
      </c>
      <c r="D479" s="3" t="str">
        <f t="shared" si="153"/>
        <v/>
      </c>
      <c r="E479" s="3" t="str">
        <f t="shared" si="154"/>
        <v/>
      </c>
      <c r="F479" s="3" t="str">
        <f t="shared" si="155"/>
        <v/>
      </c>
      <c r="G479" s="3" t="str">
        <f t="shared" si="156"/>
        <v/>
      </c>
      <c r="H479" s="3" t="str">
        <f t="shared" si="161"/>
        <v/>
      </c>
      <c r="I479" s="3" t="str">
        <f t="shared" si="162"/>
        <v/>
      </c>
      <c r="J479" s="2" t="str">
        <f t="shared" si="163"/>
        <v/>
      </c>
      <c r="K479" s="2" t="str">
        <f>IF(W479="","",LOOKUP('Extraction edi'!J479,Paramètrage!$A$6:$A$179,Paramètrage!$B$6:$B$179))</f>
        <v/>
      </c>
      <c r="L479" s="2" t="str">
        <f>IF(W479="","",LOOKUP('Extraction edi'!J479,Paramètrage!$A$6:$A$179,Paramètrage!$C$6:$C$179))</f>
        <v/>
      </c>
      <c r="M479" s="2" t="str">
        <f>IF(W479="","",LOOKUP('Extraction edi'!J479,Paramètrage!$A$6:$A$179,Paramètrage!$D$6:$D$179))</f>
        <v/>
      </c>
      <c r="N479" s="3" t="str">
        <f>IF(W479="","",LOOKUP('Extraction edi'!J479,Paramètrage!$A$6:$A$179,Paramètrage!$E$6:$E$179))</f>
        <v/>
      </c>
      <c r="O479" s="3" t="str">
        <f t="shared" si="164"/>
        <v/>
      </c>
      <c r="P479" s="3" t="str">
        <f t="shared" si="165"/>
        <v/>
      </c>
      <c r="Q479" s="3" t="str">
        <f t="shared" si="158"/>
        <v/>
      </c>
      <c r="R479" s="3" t="str">
        <f t="shared" si="166"/>
        <v/>
      </c>
      <c r="S479" s="3" t="str">
        <f t="shared" si="167"/>
        <v/>
      </c>
      <c r="T479" s="4" t="str">
        <f t="shared" si="168"/>
        <v/>
      </c>
      <c r="U479" s="5" t="str">
        <f t="shared" si="169"/>
        <v/>
      </c>
      <c r="V479" s="7" t="str">
        <f>IF(W479="","",IF(LOOKUP(W479,'Extration 3E date commande'!$A$6:$A$10000)=W479,LOOKUP(W479,'Extration 3E date commande'!$A$6:$A$10000,'Extration 3E date commande'!$C$6:$C$10000),"PAS DE DATE"))</f>
        <v/>
      </c>
    </row>
    <row r="480" spans="1:22" x14ac:dyDescent="0.25">
      <c r="A480" s="3" t="str">
        <f t="shared" si="159"/>
        <v/>
      </c>
      <c r="B480" s="3" t="str">
        <f t="shared" si="160"/>
        <v/>
      </c>
      <c r="C480" s="3" t="str">
        <f t="shared" si="157"/>
        <v/>
      </c>
      <c r="D480" s="3" t="str">
        <f t="shared" si="153"/>
        <v/>
      </c>
      <c r="E480" s="3" t="str">
        <f t="shared" si="154"/>
        <v/>
      </c>
      <c r="F480" s="3" t="str">
        <f t="shared" si="155"/>
        <v/>
      </c>
      <c r="G480" s="3" t="str">
        <f t="shared" si="156"/>
        <v/>
      </c>
      <c r="H480" s="3" t="str">
        <f t="shared" si="161"/>
        <v/>
      </c>
      <c r="I480" s="3" t="str">
        <f t="shared" si="162"/>
        <v/>
      </c>
      <c r="J480" s="2" t="str">
        <f t="shared" si="163"/>
        <v/>
      </c>
      <c r="K480" s="2" t="str">
        <f>IF(W480="","",LOOKUP('Extraction edi'!J480,Paramètrage!$A$6:$A$179,Paramètrage!$B$6:$B$179))</f>
        <v/>
      </c>
      <c r="L480" s="2" t="str">
        <f>IF(W480="","",LOOKUP('Extraction edi'!J480,Paramètrage!$A$6:$A$179,Paramètrage!$C$6:$C$179))</f>
        <v/>
      </c>
      <c r="M480" s="2" t="str">
        <f>IF(W480="","",LOOKUP('Extraction edi'!J480,Paramètrage!$A$6:$A$179,Paramètrage!$D$6:$D$179))</f>
        <v/>
      </c>
      <c r="N480" s="3" t="str">
        <f>IF(W480="","",LOOKUP('Extraction edi'!J480,Paramètrage!$A$6:$A$179,Paramètrage!$E$6:$E$179))</f>
        <v/>
      </c>
      <c r="O480" s="3" t="str">
        <f t="shared" si="164"/>
        <v/>
      </c>
      <c r="P480" s="3" t="str">
        <f t="shared" si="165"/>
        <v/>
      </c>
      <c r="Q480" s="3" t="str">
        <f t="shared" si="158"/>
        <v/>
      </c>
      <c r="R480" s="3" t="str">
        <f t="shared" si="166"/>
        <v/>
      </c>
      <c r="S480" s="3" t="str">
        <f t="shared" si="167"/>
        <v/>
      </c>
      <c r="T480" s="4" t="str">
        <f t="shared" si="168"/>
        <v/>
      </c>
      <c r="U480" s="5" t="str">
        <f t="shared" si="169"/>
        <v/>
      </c>
      <c r="V480" s="7" t="str">
        <f>IF(W480="","",IF(LOOKUP(W480,'Extration 3E date commande'!$A$6:$A$10000)=W480,LOOKUP(W480,'Extration 3E date commande'!$A$6:$A$10000,'Extration 3E date commande'!$C$6:$C$10000),"PAS DE DATE"))</f>
        <v/>
      </c>
    </row>
    <row r="481" spans="1:22" x14ac:dyDescent="0.25">
      <c r="A481" s="3" t="str">
        <f t="shared" si="159"/>
        <v/>
      </c>
      <c r="B481" s="3" t="str">
        <f t="shared" si="160"/>
        <v/>
      </c>
      <c r="C481" s="3" t="str">
        <f t="shared" si="157"/>
        <v/>
      </c>
      <c r="D481" s="3" t="str">
        <f t="shared" si="153"/>
        <v/>
      </c>
      <c r="E481" s="3" t="str">
        <f t="shared" si="154"/>
        <v/>
      </c>
      <c r="F481" s="3" t="str">
        <f t="shared" si="155"/>
        <v/>
      </c>
      <c r="G481" s="3" t="str">
        <f t="shared" si="156"/>
        <v/>
      </c>
      <c r="H481" s="3" t="str">
        <f t="shared" si="161"/>
        <v/>
      </c>
      <c r="I481" s="3" t="str">
        <f t="shared" si="162"/>
        <v/>
      </c>
      <c r="J481" s="2" t="str">
        <f t="shared" si="163"/>
        <v/>
      </c>
      <c r="K481" s="2" t="str">
        <f>IF(W481="","",LOOKUP('Extraction edi'!J481,Paramètrage!$A$6:$A$179,Paramètrage!$B$6:$B$179))</f>
        <v/>
      </c>
      <c r="L481" s="2" t="str">
        <f>IF(W481="","",LOOKUP('Extraction edi'!J481,Paramètrage!$A$6:$A$179,Paramètrage!$C$6:$C$179))</f>
        <v/>
      </c>
      <c r="M481" s="2" t="str">
        <f>IF(W481="","",LOOKUP('Extraction edi'!J481,Paramètrage!$A$6:$A$179,Paramètrage!$D$6:$D$179))</f>
        <v/>
      </c>
      <c r="N481" s="3" t="str">
        <f>IF(W481="","",LOOKUP('Extraction edi'!J481,Paramètrage!$A$6:$A$179,Paramètrage!$E$6:$E$179))</f>
        <v/>
      </c>
      <c r="O481" s="3" t="str">
        <f t="shared" si="164"/>
        <v/>
      </c>
      <c r="P481" s="3" t="str">
        <f t="shared" si="165"/>
        <v/>
      </c>
      <c r="Q481" s="3" t="str">
        <f t="shared" si="158"/>
        <v/>
      </c>
      <c r="R481" s="3" t="str">
        <f t="shared" si="166"/>
        <v/>
      </c>
      <c r="S481" s="3" t="str">
        <f t="shared" si="167"/>
        <v/>
      </c>
      <c r="T481" s="4" t="str">
        <f t="shared" si="168"/>
        <v/>
      </c>
      <c r="U481" s="5" t="str">
        <f t="shared" si="169"/>
        <v/>
      </c>
      <c r="V481" s="7" t="str">
        <f>IF(W481="","",IF(LOOKUP(W481,'Extration 3E date commande'!$A$6:$A$10000)=W481,LOOKUP(W481,'Extration 3E date commande'!$A$6:$A$10000,'Extration 3E date commande'!$C$6:$C$10000),"PAS DE DATE"))</f>
        <v/>
      </c>
    </row>
    <row r="482" spans="1:22" x14ac:dyDescent="0.25">
      <c r="A482" s="3" t="str">
        <f t="shared" si="159"/>
        <v/>
      </c>
      <c r="B482" s="3" t="str">
        <f t="shared" si="160"/>
        <v/>
      </c>
      <c r="C482" s="3" t="str">
        <f t="shared" si="157"/>
        <v/>
      </c>
      <c r="D482" s="3" t="str">
        <f t="shared" si="153"/>
        <v/>
      </c>
      <c r="E482" s="3" t="str">
        <f t="shared" si="154"/>
        <v/>
      </c>
      <c r="F482" s="3" t="str">
        <f t="shared" si="155"/>
        <v/>
      </c>
      <c r="G482" s="3" t="str">
        <f t="shared" si="156"/>
        <v/>
      </c>
      <c r="H482" s="3" t="str">
        <f t="shared" si="161"/>
        <v/>
      </c>
      <c r="I482" s="3" t="str">
        <f t="shared" si="162"/>
        <v/>
      </c>
      <c r="J482" s="2" t="str">
        <f t="shared" si="163"/>
        <v/>
      </c>
      <c r="K482" s="2" t="str">
        <f>IF(W482="","",LOOKUP('Extraction edi'!J482,Paramètrage!$A$6:$A$179,Paramètrage!$B$6:$B$179))</f>
        <v/>
      </c>
      <c r="L482" s="2" t="str">
        <f>IF(W482="","",LOOKUP('Extraction edi'!J482,Paramètrage!$A$6:$A$179,Paramètrage!$C$6:$C$179))</f>
        <v/>
      </c>
      <c r="M482" s="2" t="str">
        <f>IF(W482="","",LOOKUP('Extraction edi'!J482,Paramètrage!$A$6:$A$179,Paramètrage!$D$6:$D$179))</f>
        <v/>
      </c>
      <c r="N482" s="3" t="str">
        <f>IF(W482="","",LOOKUP('Extraction edi'!J482,Paramètrage!$A$6:$A$179,Paramètrage!$E$6:$E$179))</f>
        <v/>
      </c>
      <c r="O482" s="3" t="str">
        <f t="shared" si="164"/>
        <v/>
      </c>
      <c r="P482" s="3" t="str">
        <f t="shared" si="165"/>
        <v/>
      </c>
      <c r="Q482" s="3" t="str">
        <f t="shared" si="158"/>
        <v/>
      </c>
      <c r="R482" s="3" t="str">
        <f t="shared" si="166"/>
        <v/>
      </c>
      <c r="S482" s="3" t="str">
        <f t="shared" si="167"/>
        <v/>
      </c>
      <c r="T482" s="4" t="str">
        <f t="shared" si="168"/>
        <v/>
      </c>
      <c r="U482" s="5" t="str">
        <f t="shared" si="169"/>
        <v/>
      </c>
      <c r="V482" s="7" t="str">
        <f>IF(W482="","",IF(LOOKUP(W482,'Extration 3E date commande'!$A$6:$A$10000)=W482,LOOKUP(W482,'Extration 3E date commande'!$A$6:$A$10000,'Extration 3E date commande'!$C$6:$C$10000),"PAS DE DATE"))</f>
        <v/>
      </c>
    </row>
    <row r="483" spans="1:22" x14ac:dyDescent="0.25">
      <c r="A483" s="3" t="str">
        <f t="shared" si="159"/>
        <v/>
      </c>
      <c r="B483" s="3" t="str">
        <f t="shared" si="160"/>
        <v/>
      </c>
      <c r="C483" s="3" t="str">
        <f t="shared" si="157"/>
        <v/>
      </c>
      <c r="D483" s="3" t="str">
        <f t="shared" si="153"/>
        <v/>
      </c>
      <c r="E483" s="3" t="str">
        <f t="shared" si="154"/>
        <v/>
      </c>
      <c r="F483" s="3" t="str">
        <f t="shared" si="155"/>
        <v/>
      </c>
      <c r="G483" s="3" t="str">
        <f t="shared" si="156"/>
        <v/>
      </c>
      <c r="H483" s="3" t="str">
        <f t="shared" si="161"/>
        <v/>
      </c>
      <c r="I483" s="3" t="str">
        <f t="shared" si="162"/>
        <v/>
      </c>
      <c r="J483" s="2" t="str">
        <f t="shared" si="163"/>
        <v/>
      </c>
      <c r="K483" s="2" t="str">
        <f>IF(W483="","",LOOKUP('Extraction edi'!J483,Paramètrage!$A$6:$A$179,Paramètrage!$B$6:$B$179))</f>
        <v/>
      </c>
      <c r="L483" s="2" t="str">
        <f>IF(W483="","",LOOKUP('Extraction edi'!J483,Paramètrage!$A$6:$A$179,Paramètrage!$C$6:$C$179))</f>
        <v/>
      </c>
      <c r="M483" s="2" t="str">
        <f>IF(W483="","",LOOKUP('Extraction edi'!J483,Paramètrage!$A$6:$A$179,Paramètrage!$D$6:$D$179))</f>
        <v/>
      </c>
      <c r="N483" s="3" t="str">
        <f>IF(W483="","",LOOKUP('Extraction edi'!J483,Paramètrage!$A$6:$A$179,Paramètrage!$E$6:$E$179))</f>
        <v/>
      </c>
      <c r="O483" s="3" t="str">
        <f t="shared" si="164"/>
        <v/>
      </c>
      <c r="P483" s="3" t="str">
        <f t="shared" si="165"/>
        <v/>
      </c>
      <c r="Q483" s="3" t="str">
        <f t="shared" si="158"/>
        <v/>
      </c>
      <c r="R483" s="3" t="str">
        <f t="shared" si="166"/>
        <v/>
      </c>
      <c r="S483" s="3" t="str">
        <f t="shared" si="167"/>
        <v/>
      </c>
      <c r="T483" s="4" t="str">
        <f t="shared" si="168"/>
        <v/>
      </c>
      <c r="U483" s="5" t="str">
        <f t="shared" si="169"/>
        <v/>
      </c>
      <c r="V483" s="7" t="str">
        <f>IF(W483="","",IF(LOOKUP(W483,'Extration 3E date commande'!$A$6:$A$10000)=W483,LOOKUP(W483,'Extration 3E date commande'!$A$6:$A$10000,'Extration 3E date commande'!$C$6:$C$10000),"PAS DE DATE"))</f>
        <v/>
      </c>
    </row>
    <row r="484" spans="1:22" x14ac:dyDescent="0.25">
      <c r="A484" s="3" t="str">
        <f t="shared" si="159"/>
        <v/>
      </c>
      <c r="B484" s="3" t="str">
        <f t="shared" si="160"/>
        <v/>
      </c>
      <c r="C484" s="3" t="str">
        <f t="shared" si="157"/>
        <v/>
      </c>
      <c r="D484" s="3" t="str">
        <f t="shared" si="153"/>
        <v/>
      </c>
      <c r="E484" s="3" t="str">
        <f t="shared" si="154"/>
        <v/>
      </c>
      <c r="F484" s="3" t="str">
        <f t="shared" si="155"/>
        <v/>
      </c>
      <c r="G484" s="3" t="str">
        <f t="shared" si="156"/>
        <v/>
      </c>
      <c r="H484" s="3" t="str">
        <f t="shared" si="161"/>
        <v/>
      </c>
      <c r="I484" s="3" t="str">
        <f t="shared" si="162"/>
        <v/>
      </c>
      <c r="J484" s="2" t="str">
        <f t="shared" si="163"/>
        <v/>
      </c>
      <c r="K484" s="2" t="str">
        <f>IF(W484="","",LOOKUP('Extraction edi'!J484,Paramètrage!$A$6:$A$179,Paramètrage!$B$6:$B$179))</f>
        <v/>
      </c>
      <c r="L484" s="2" t="str">
        <f>IF(W484="","",LOOKUP('Extraction edi'!J484,Paramètrage!$A$6:$A$179,Paramètrage!$C$6:$C$179))</f>
        <v/>
      </c>
      <c r="M484" s="2" t="str">
        <f>IF(W484="","",LOOKUP('Extraction edi'!J484,Paramètrage!$A$6:$A$179,Paramètrage!$D$6:$D$179))</f>
        <v/>
      </c>
      <c r="N484" s="3" t="str">
        <f>IF(W484="","",LOOKUP('Extraction edi'!J484,Paramètrage!$A$6:$A$179,Paramètrage!$E$6:$E$179))</f>
        <v/>
      </c>
      <c r="O484" s="3" t="str">
        <f t="shared" si="164"/>
        <v/>
      </c>
      <c r="P484" s="3" t="str">
        <f t="shared" si="165"/>
        <v/>
      </c>
      <c r="Q484" s="3" t="str">
        <f t="shared" si="158"/>
        <v/>
      </c>
      <c r="R484" s="3" t="str">
        <f t="shared" si="166"/>
        <v/>
      </c>
      <c r="S484" s="3" t="str">
        <f t="shared" si="167"/>
        <v/>
      </c>
      <c r="T484" s="4" t="str">
        <f t="shared" si="168"/>
        <v/>
      </c>
      <c r="U484" s="5" t="str">
        <f t="shared" si="169"/>
        <v/>
      </c>
      <c r="V484" s="7" t="str">
        <f>IF(W484="","",IF(LOOKUP(W484,'Extration 3E date commande'!$A$6:$A$10000)=W484,LOOKUP(W484,'Extration 3E date commande'!$A$6:$A$10000,'Extration 3E date commande'!$C$6:$C$10000),"PAS DE DATE"))</f>
        <v/>
      </c>
    </row>
    <row r="485" spans="1:22" x14ac:dyDescent="0.25">
      <c r="A485" s="3" t="str">
        <f t="shared" si="159"/>
        <v/>
      </c>
      <c r="B485" s="3" t="str">
        <f t="shared" si="160"/>
        <v/>
      </c>
      <c r="C485" s="3" t="str">
        <f t="shared" si="157"/>
        <v/>
      </c>
      <c r="D485" s="3" t="str">
        <f t="shared" si="153"/>
        <v/>
      </c>
      <c r="E485" s="3" t="str">
        <f t="shared" si="154"/>
        <v/>
      </c>
      <c r="F485" s="3" t="str">
        <f t="shared" si="155"/>
        <v/>
      </c>
      <c r="G485" s="3" t="str">
        <f t="shared" si="156"/>
        <v/>
      </c>
      <c r="H485" s="3" t="str">
        <f t="shared" si="161"/>
        <v/>
      </c>
      <c r="I485" s="3" t="str">
        <f t="shared" si="162"/>
        <v/>
      </c>
      <c r="J485" s="2" t="str">
        <f t="shared" si="163"/>
        <v/>
      </c>
      <c r="K485" s="2" t="str">
        <f>IF(W485="","",LOOKUP('Extraction edi'!J485,Paramètrage!$A$6:$A$179,Paramètrage!$B$6:$B$179))</f>
        <v/>
      </c>
      <c r="L485" s="2" t="str">
        <f>IF(W485="","",LOOKUP('Extraction edi'!J485,Paramètrage!$A$6:$A$179,Paramètrage!$C$6:$C$179))</f>
        <v/>
      </c>
      <c r="M485" s="2" t="str">
        <f>IF(W485="","",LOOKUP('Extraction edi'!J485,Paramètrage!$A$6:$A$179,Paramètrage!$D$6:$D$179))</f>
        <v/>
      </c>
      <c r="N485" s="3" t="str">
        <f>IF(W485="","",LOOKUP('Extraction edi'!J485,Paramètrage!$A$6:$A$179,Paramètrage!$E$6:$E$179))</f>
        <v/>
      </c>
      <c r="O485" s="3" t="str">
        <f t="shared" si="164"/>
        <v/>
      </c>
      <c r="P485" s="3" t="str">
        <f t="shared" si="165"/>
        <v/>
      </c>
      <c r="Q485" s="3" t="str">
        <f t="shared" si="158"/>
        <v/>
      </c>
      <c r="R485" s="3" t="str">
        <f t="shared" si="166"/>
        <v/>
      </c>
      <c r="S485" s="3" t="str">
        <f t="shared" si="167"/>
        <v/>
      </c>
      <c r="T485" s="4" t="str">
        <f t="shared" si="168"/>
        <v/>
      </c>
      <c r="U485" s="5" t="str">
        <f t="shared" si="169"/>
        <v/>
      </c>
      <c r="V485" s="7" t="str">
        <f>IF(W485="","",IF(LOOKUP(W485,'Extration 3E date commande'!$A$6:$A$10000)=W485,LOOKUP(W485,'Extration 3E date commande'!$A$6:$A$10000,'Extration 3E date commande'!$C$6:$C$10000),"PAS DE DATE"))</f>
        <v/>
      </c>
    </row>
    <row r="486" spans="1:22" x14ac:dyDescent="0.25">
      <c r="A486" s="3" t="str">
        <f t="shared" si="159"/>
        <v/>
      </c>
      <c r="B486" s="3" t="str">
        <f t="shared" si="160"/>
        <v/>
      </c>
      <c r="C486" s="3" t="str">
        <f t="shared" si="157"/>
        <v/>
      </c>
      <c r="D486" s="3" t="str">
        <f t="shared" si="153"/>
        <v/>
      </c>
      <c r="E486" s="3" t="str">
        <f t="shared" si="154"/>
        <v/>
      </c>
      <c r="F486" s="3" t="str">
        <f t="shared" si="155"/>
        <v/>
      </c>
      <c r="G486" s="3" t="str">
        <f t="shared" si="156"/>
        <v/>
      </c>
      <c r="H486" s="3" t="str">
        <f t="shared" si="161"/>
        <v/>
      </c>
      <c r="I486" s="3" t="str">
        <f t="shared" si="162"/>
        <v/>
      </c>
      <c r="J486" s="2" t="str">
        <f t="shared" si="163"/>
        <v/>
      </c>
      <c r="K486" s="2" t="str">
        <f>IF(W486="","",LOOKUP('Extraction edi'!J486,Paramètrage!$A$6:$A$179,Paramètrage!$B$6:$B$179))</f>
        <v/>
      </c>
      <c r="L486" s="2" t="str">
        <f>IF(W486="","",LOOKUP('Extraction edi'!J486,Paramètrage!$A$6:$A$179,Paramètrage!$C$6:$C$179))</f>
        <v/>
      </c>
      <c r="M486" s="2" t="str">
        <f>IF(W486="","",LOOKUP('Extraction edi'!J486,Paramètrage!$A$6:$A$179,Paramètrage!$D$6:$D$179))</f>
        <v/>
      </c>
      <c r="N486" s="3" t="str">
        <f>IF(W486="","",LOOKUP('Extraction edi'!J486,Paramètrage!$A$6:$A$179,Paramètrage!$E$6:$E$179))</f>
        <v/>
      </c>
      <c r="O486" s="3" t="str">
        <f t="shared" si="164"/>
        <v/>
      </c>
      <c r="P486" s="3" t="str">
        <f t="shared" si="165"/>
        <v/>
      </c>
      <c r="Q486" s="3" t="str">
        <f t="shared" si="158"/>
        <v/>
      </c>
      <c r="R486" s="3" t="str">
        <f t="shared" si="166"/>
        <v/>
      </c>
      <c r="S486" s="3" t="str">
        <f t="shared" si="167"/>
        <v/>
      </c>
      <c r="T486" s="4" t="str">
        <f t="shared" si="168"/>
        <v/>
      </c>
      <c r="U486" s="5" t="str">
        <f t="shared" si="169"/>
        <v/>
      </c>
      <c r="V486" s="7" t="str">
        <f>IF(W486="","",IF(LOOKUP(W486,'Extration 3E date commande'!$A$6:$A$10000)=W486,LOOKUP(W486,'Extration 3E date commande'!$A$6:$A$10000,'Extration 3E date commande'!$C$6:$C$10000),"PAS DE DATE"))</f>
        <v/>
      </c>
    </row>
    <row r="487" spans="1:22" x14ac:dyDescent="0.25">
      <c r="A487" s="3" t="str">
        <f t="shared" si="159"/>
        <v/>
      </c>
      <c r="B487" s="3" t="str">
        <f t="shared" si="160"/>
        <v/>
      </c>
      <c r="C487" s="3" t="str">
        <f t="shared" si="157"/>
        <v/>
      </c>
      <c r="D487" s="3" t="str">
        <f t="shared" si="153"/>
        <v/>
      </c>
      <c r="E487" s="3" t="str">
        <f t="shared" si="154"/>
        <v/>
      </c>
      <c r="F487" s="3" t="str">
        <f t="shared" si="155"/>
        <v/>
      </c>
      <c r="G487" s="3" t="str">
        <f t="shared" si="156"/>
        <v/>
      </c>
      <c r="H487" s="3" t="str">
        <f t="shared" si="161"/>
        <v/>
      </c>
      <c r="I487" s="3" t="str">
        <f t="shared" si="162"/>
        <v/>
      </c>
      <c r="J487" s="2" t="str">
        <f t="shared" si="163"/>
        <v/>
      </c>
      <c r="K487" s="2" t="str">
        <f>IF(W487="","",LOOKUP('Extraction edi'!J487,Paramètrage!$A$6:$A$179,Paramètrage!$B$6:$B$179))</f>
        <v/>
      </c>
      <c r="L487" s="2" t="str">
        <f>IF(W487="","",LOOKUP('Extraction edi'!J487,Paramètrage!$A$6:$A$179,Paramètrage!$C$6:$C$179))</f>
        <v/>
      </c>
      <c r="M487" s="2" t="str">
        <f>IF(W487="","",LOOKUP('Extraction edi'!J487,Paramètrage!$A$6:$A$179,Paramètrage!$D$6:$D$179))</f>
        <v/>
      </c>
      <c r="N487" s="3" t="str">
        <f>IF(W487="","",LOOKUP('Extraction edi'!J487,Paramètrage!$A$6:$A$179,Paramètrage!$E$6:$E$179))</f>
        <v/>
      </c>
      <c r="O487" s="3" t="str">
        <f t="shared" si="164"/>
        <v/>
      </c>
      <c r="P487" s="3" t="str">
        <f t="shared" si="165"/>
        <v/>
      </c>
      <c r="Q487" s="3" t="str">
        <f t="shared" si="158"/>
        <v/>
      </c>
      <c r="R487" s="3" t="str">
        <f t="shared" si="166"/>
        <v/>
      </c>
      <c r="S487" s="3" t="str">
        <f t="shared" si="167"/>
        <v/>
      </c>
      <c r="T487" s="4" t="str">
        <f t="shared" si="168"/>
        <v/>
      </c>
      <c r="U487" s="5" t="str">
        <f t="shared" si="169"/>
        <v/>
      </c>
      <c r="V487" s="7" t="str">
        <f>IF(W487="","",IF(LOOKUP(W487,'Extration 3E date commande'!$A$6:$A$10000)=W487,LOOKUP(W487,'Extration 3E date commande'!$A$6:$A$10000,'Extration 3E date commande'!$C$6:$C$10000),"PAS DE DATE"))</f>
        <v/>
      </c>
    </row>
    <row r="488" spans="1:22" x14ac:dyDescent="0.25">
      <c r="A488" s="3" t="str">
        <f t="shared" si="159"/>
        <v/>
      </c>
      <c r="B488" s="3" t="str">
        <f t="shared" si="160"/>
        <v/>
      </c>
      <c r="C488" s="3" t="str">
        <f t="shared" si="157"/>
        <v/>
      </c>
      <c r="D488" s="3" t="str">
        <f t="shared" si="153"/>
        <v/>
      </c>
      <c r="E488" s="3" t="str">
        <f t="shared" si="154"/>
        <v/>
      </c>
      <c r="F488" s="3" t="str">
        <f t="shared" si="155"/>
        <v/>
      </c>
      <c r="G488" s="3" t="str">
        <f t="shared" si="156"/>
        <v/>
      </c>
      <c r="H488" s="3" t="str">
        <f t="shared" si="161"/>
        <v/>
      </c>
      <c r="I488" s="3" t="str">
        <f t="shared" si="162"/>
        <v/>
      </c>
      <c r="J488" s="2" t="str">
        <f t="shared" si="163"/>
        <v/>
      </c>
      <c r="K488" s="2" t="str">
        <f>IF(W488="","",LOOKUP('Extraction edi'!J488,Paramètrage!$A$6:$A$179,Paramètrage!$B$6:$B$179))</f>
        <v/>
      </c>
      <c r="L488" s="2" t="str">
        <f>IF(W488="","",LOOKUP('Extraction edi'!J488,Paramètrage!$A$6:$A$179,Paramètrage!$C$6:$C$179))</f>
        <v/>
      </c>
      <c r="M488" s="2" t="str">
        <f>IF(W488="","",LOOKUP('Extraction edi'!J488,Paramètrage!$A$6:$A$179,Paramètrage!$D$6:$D$179))</f>
        <v/>
      </c>
      <c r="N488" s="3" t="str">
        <f>IF(W488="","",LOOKUP('Extraction edi'!J488,Paramètrage!$A$6:$A$179,Paramètrage!$E$6:$E$179))</f>
        <v/>
      </c>
      <c r="O488" s="3" t="str">
        <f t="shared" si="164"/>
        <v/>
      </c>
      <c r="P488" s="3" t="str">
        <f t="shared" si="165"/>
        <v/>
      </c>
      <c r="Q488" s="3" t="str">
        <f t="shared" si="158"/>
        <v/>
      </c>
      <c r="R488" s="3" t="str">
        <f t="shared" si="166"/>
        <v/>
      </c>
      <c r="S488" s="3" t="str">
        <f t="shared" si="167"/>
        <v/>
      </c>
      <c r="T488" s="4" t="str">
        <f t="shared" si="168"/>
        <v/>
      </c>
      <c r="U488" s="5" t="str">
        <f t="shared" si="169"/>
        <v/>
      </c>
      <c r="V488" s="7" t="str">
        <f>IF(W488="","",IF(LOOKUP(W488,'Extration 3E date commande'!$A$6:$A$10000)=W488,LOOKUP(W488,'Extration 3E date commande'!$A$6:$A$10000,'Extration 3E date commande'!$C$6:$C$10000),"PAS DE DATE"))</f>
        <v/>
      </c>
    </row>
    <row r="489" spans="1:22" x14ac:dyDescent="0.25">
      <c r="A489" s="3" t="str">
        <f t="shared" si="159"/>
        <v/>
      </c>
      <c r="B489" s="3" t="str">
        <f t="shared" si="160"/>
        <v/>
      </c>
      <c r="C489" s="3" t="str">
        <f t="shared" si="157"/>
        <v/>
      </c>
      <c r="D489" s="3" t="str">
        <f t="shared" si="153"/>
        <v/>
      </c>
      <c r="E489" s="3" t="str">
        <f t="shared" si="154"/>
        <v/>
      </c>
      <c r="F489" s="3" t="str">
        <f t="shared" si="155"/>
        <v/>
      </c>
      <c r="G489" s="3" t="str">
        <f t="shared" si="156"/>
        <v/>
      </c>
      <c r="H489" s="3" t="str">
        <f t="shared" si="161"/>
        <v/>
      </c>
      <c r="I489" s="3" t="str">
        <f t="shared" si="162"/>
        <v/>
      </c>
      <c r="J489" s="2" t="str">
        <f t="shared" si="163"/>
        <v/>
      </c>
      <c r="K489" s="2" t="str">
        <f>IF(W489="","",LOOKUP('Extraction edi'!J489,Paramètrage!$A$6:$A$179,Paramètrage!$B$6:$B$179))</f>
        <v/>
      </c>
      <c r="L489" s="2" t="str">
        <f>IF(W489="","",LOOKUP('Extraction edi'!J489,Paramètrage!$A$6:$A$179,Paramètrage!$C$6:$C$179))</f>
        <v/>
      </c>
      <c r="M489" s="2" t="str">
        <f>IF(W489="","",LOOKUP('Extraction edi'!J489,Paramètrage!$A$6:$A$179,Paramètrage!$D$6:$D$179))</f>
        <v/>
      </c>
      <c r="N489" s="3" t="str">
        <f>IF(W489="","",LOOKUP('Extraction edi'!J489,Paramètrage!$A$6:$A$179,Paramètrage!$E$6:$E$179))</f>
        <v/>
      </c>
      <c r="O489" s="3" t="str">
        <f t="shared" si="164"/>
        <v/>
      </c>
      <c r="P489" s="3" t="str">
        <f t="shared" si="165"/>
        <v/>
      </c>
      <c r="Q489" s="3" t="str">
        <f t="shared" si="158"/>
        <v/>
      </c>
      <c r="R489" s="3" t="str">
        <f t="shared" si="166"/>
        <v/>
      </c>
      <c r="S489" s="3" t="str">
        <f t="shared" si="167"/>
        <v/>
      </c>
      <c r="T489" s="4" t="str">
        <f t="shared" si="168"/>
        <v/>
      </c>
      <c r="U489" s="5" t="str">
        <f t="shared" si="169"/>
        <v/>
      </c>
      <c r="V489" s="7" t="str">
        <f>IF(W489="","",IF(LOOKUP(W489,'Extration 3E date commande'!$A$6:$A$10000)=W489,LOOKUP(W489,'Extration 3E date commande'!$A$6:$A$10000,'Extration 3E date commande'!$C$6:$C$10000),"PAS DE DATE"))</f>
        <v/>
      </c>
    </row>
    <row r="490" spans="1:22" x14ac:dyDescent="0.25">
      <c r="A490" s="3" t="str">
        <f t="shared" si="159"/>
        <v/>
      </c>
      <c r="B490" s="3" t="str">
        <f t="shared" si="160"/>
        <v/>
      </c>
      <c r="C490" s="3" t="str">
        <f t="shared" si="157"/>
        <v/>
      </c>
      <c r="D490" s="3" t="str">
        <f t="shared" si="153"/>
        <v/>
      </c>
      <c r="E490" s="3" t="str">
        <f t="shared" si="154"/>
        <v/>
      </c>
      <c r="F490" s="3" t="str">
        <f t="shared" si="155"/>
        <v/>
      </c>
      <c r="G490" s="3" t="str">
        <f t="shared" si="156"/>
        <v/>
      </c>
      <c r="H490" s="3" t="str">
        <f t="shared" si="161"/>
        <v/>
      </c>
      <c r="I490" s="3" t="str">
        <f t="shared" si="162"/>
        <v/>
      </c>
      <c r="J490" s="2" t="str">
        <f t="shared" si="163"/>
        <v/>
      </c>
      <c r="K490" s="2" t="str">
        <f>IF(W490="","",LOOKUP('Extraction edi'!J490,Paramètrage!$A$6:$A$179,Paramètrage!$B$6:$B$179))</f>
        <v/>
      </c>
      <c r="L490" s="2" t="str">
        <f>IF(W490="","",LOOKUP('Extraction edi'!J490,Paramètrage!$A$6:$A$179,Paramètrage!$C$6:$C$179))</f>
        <v/>
      </c>
      <c r="M490" s="2" t="str">
        <f>IF(W490="","",LOOKUP('Extraction edi'!J490,Paramètrage!$A$6:$A$179,Paramètrage!$D$6:$D$179))</f>
        <v/>
      </c>
      <c r="N490" s="3" t="str">
        <f>IF(W490="","",LOOKUP('Extraction edi'!J490,Paramètrage!$A$6:$A$179,Paramètrage!$E$6:$E$179))</f>
        <v/>
      </c>
      <c r="O490" s="3" t="str">
        <f t="shared" si="164"/>
        <v/>
      </c>
      <c r="P490" s="3" t="str">
        <f t="shared" si="165"/>
        <v/>
      </c>
      <c r="Q490" s="3" t="str">
        <f t="shared" si="158"/>
        <v/>
      </c>
      <c r="R490" s="3" t="str">
        <f t="shared" si="166"/>
        <v/>
      </c>
      <c r="S490" s="3" t="str">
        <f t="shared" si="167"/>
        <v/>
      </c>
      <c r="T490" s="4" t="str">
        <f t="shared" si="168"/>
        <v/>
      </c>
      <c r="U490" s="5" t="str">
        <f t="shared" si="169"/>
        <v/>
      </c>
      <c r="V490" s="7" t="str">
        <f>IF(W490="","",IF(LOOKUP(W490,'Extration 3E date commande'!$A$6:$A$10000)=W490,LOOKUP(W490,'Extration 3E date commande'!$A$6:$A$10000,'Extration 3E date commande'!$C$6:$C$10000),"PAS DE DATE"))</f>
        <v/>
      </c>
    </row>
    <row r="491" spans="1:22" x14ac:dyDescent="0.25">
      <c r="A491" s="3" t="str">
        <f t="shared" si="159"/>
        <v/>
      </c>
      <c r="B491" s="3" t="str">
        <f t="shared" si="160"/>
        <v/>
      </c>
      <c r="C491" s="3" t="str">
        <f t="shared" si="157"/>
        <v/>
      </c>
      <c r="D491" s="3" t="str">
        <f t="shared" si="153"/>
        <v/>
      </c>
      <c r="E491" s="3" t="str">
        <f t="shared" si="154"/>
        <v/>
      </c>
      <c r="F491" s="3" t="str">
        <f t="shared" si="155"/>
        <v/>
      </c>
      <c r="G491" s="3" t="str">
        <f t="shared" si="156"/>
        <v/>
      </c>
      <c r="H491" s="3" t="str">
        <f t="shared" si="161"/>
        <v/>
      </c>
      <c r="I491" s="3" t="str">
        <f t="shared" si="162"/>
        <v/>
      </c>
      <c r="J491" s="2" t="str">
        <f t="shared" si="163"/>
        <v/>
      </c>
      <c r="K491" s="2" t="str">
        <f>IF(W491="","",LOOKUP('Extraction edi'!J491,Paramètrage!$A$6:$A$179,Paramètrage!$B$6:$B$179))</f>
        <v/>
      </c>
      <c r="L491" s="2" t="str">
        <f>IF(W491="","",LOOKUP('Extraction edi'!J491,Paramètrage!$A$6:$A$179,Paramètrage!$C$6:$C$179))</f>
        <v/>
      </c>
      <c r="M491" s="2" t="str">
        <f>IF(W491="","",LOOKUP('Extraction edi'!J491,Paramètrage!$A$6:$A$179,Paramètrage!$D$6:$D$179))</f>
        <v/>
      </c>
      <c r="N491" s="3" t="str">
        <f>IF(W491="","",LOOKUP('Extraction edi'!J491,Paramètrage!$A$6:$A$179,Paramètrage!$E$6:$E$179))</f>
        <v/>
      </c>
      <c r="O491" s="3" t="str">
        <f t="shared" si="164"/>
        <v/>
      </c>
      <c r="P491" s="3" t="str">
        <f t="shared" si="165"/>
        <v/>
      </c>
      <c r="Q491" s="3" t="str">
        <f t="shared" si="158"/>
        <v/>
      </c>
      <c r="R491" s="3" t="str">
        <f t="shared" si="166"/>
        <v/>
      </c>
      <c r="S491" s="3" t="str">
        <f t="shared" si="167"/>
        <v/>
      </c>
      <c r="T491" s="4" t="str">
        <f t="shared" si="168"/>
        <v/>
      </c>
      <c r="U491" s="5" t="str">
        <f t="shared" si="169"/>
        <v/>
      </c>
      <c r="V491" s="7" t="str">
        <f>IF(W491="","",IF(LOOKUP(W491,'Extration 3E date commande'!$A$6:$A$10000)=W491,LOOKUP(W491,'Extration 3E date commande'!$A$6:$A$10000,'Extration 3E date commande'!$C$6:$C$10000),"PAS DE DATE"))</f>
        <v/>
      </c>
    </row>
    <row r="492" spans="1:22" x14ac:dyDescent="0.25">
      <c r="A492" s="3" t="str">
        <f t="shared" si="159"/>
        <v/>
      </c>
      <c r="B492" s="3" t="str">
        <f t="shared" si="160"/>
        <v/>
      </c>
      <c r="C492" s="3" t="str">
        <f t="shared" si="157"/>
        <v/>
      </c>
      <c r="D492" s="3" t="str">
        <f t="shared" si="153"/>
        <v/>
      </c>
      <c r="E492" s="3" t="str">
        <f t="shared" si="154"/>
        <v/>
      </c>
      <c r="F492" s="3" t="str">
        <f t="shared" si="155"/>
        <v/>
      </c>
      <c r="G492" s="3" t="str">
        <f t="shared" si="156"/>
        <v/>
      </c>
      <c r="H492" s="3" t="str">
        <f t="shared" si="161"/>
        <v/>
      </c>
      <c r="I492" s="3" t="str">
        <f t="shared" si="162"/>
        <v/>
      </c>
      <c r="J492" s="2" t="str">
        <f t="shared" si="163"/>
        <v/>
      </c>
      <c r="K492" s="2" t="str">
        <f>IF(W492="","",LOOKUP('Extraction edi'!J492,Paramètrage!$A$6:$A$179,Paramètrage!$B$6:$B$179))</f>
        <v/>
      </c>
      <c r="L492" s="2" t="str">
        <f>IF(W492="","",LOOKUP('Extraction edi'!J492,Paramètrage!$A$6:$A$179,Paramètrage!$C$6:$C$179))</f>
        <v/>
      </c>
      <c r="M492" s="2" t="str">
        <f>IF(W492="","",LOOKUP('Extraction edi'!J492,Paramètrage!$A$6:$A$179,Paramètrage!$D$6:$D$179))</f>
        <v/>
      </c>
      <c r="N492" s="3" t="str">
        <f>IF(W492="","",LOOKUP('Extraction edi'!J492,Paramètrage!$A$6:$A$179,Paramètrage!$E$6:$E$179))</f>
        <v/>
      </c>
      <c r="O492" s="3" t="str">
        <f t="shared" si="164"/>
        <v/>
      </c>
      <c r="P492" s="3" t="str">
        <f t="shared" si="165"/>
        <v/>
      </c>
      <c r="Q492" s="3" t="str">
        <f t="shared" si="158"/>
        <v/>
      </c>
      <c r="R492" s="3" t="str">
        <f t="shared" si="166"/>
        <v/>
      </c>
      <c r="S492" s="3" t="str">
        <f t="shared" si="167"/>
        <v/>
      </c>
      <c r="T492" s="4" t="str">
        <f t="shared" si="168"/>
        <v/>
      </c>
      <c r="U492" s="5" t="str">
        <f t="shared" si="169"/>
        <v/>
      </c>
      <c r="V492" s="7" t="str">
        <f>IF(W492="","",IF(LOOKUP(W492,'Extration 3E date commande'!$A$6:$A$10000)=W492,LOOKUP(W492,'Extration 3E date commande'!$A$6:$A$10000,'Extration 3E date commande'!$C$6:$C$10000),"PAS DE DATE"))</f>
        <v/>
      </c>
    </row>
    <row r="493" spans="1:22" x14ac:dyDescent="0.25">
      <c r="A493" s="3" t="str">
        <f t="shared" si="159"/>
        <v/>
      </c>
      <c r="B493" s="3" t="str">
        <f t="shared" si="160"/>
        <v/>
      </c>
      <c r="C493" s="3" t="str">
        <f t="shared" si="157"/>
        <v/>
      </c>
      <c r="D493" s="3" t="str">
        <f t="shared" si="153"/>
        <v/>
      </c>
      <c r="E493" s="3" t="str">
        <f t="shared" si="154"/>
        <v/>
      </c>
      <c r="F493" s="3" t="str">
        <f t="shared" si="155"/>
        <v/>
      </c>
      <c r="G493" s="3" t="str">
        <f t="shared" si="156"/>
        <v/>
      </c>
      <c r="H493" s="3" t="str">
        <f t="shared" si="161"/>
        <v/>
      </c>
      <c r="I493" s="3" t="str">
        <f t="shared" si="162"/>
        <v/>
      </c>
      <c r="J493" s="2" t="str">
        <f t="shared" si="163"/>
        <v/>
      </c>
      <c r="K493" s="2" t="str">
        <f>IF(W493="","",LOOKUP('Extraction edi'!J493,Paramètrage!$A$6:$A$179,Paramètrage!$B$6:$B$179))</f>
        <v/>
      </c>
      <c r="L493" s="2" t="str">
        <f>IF(W493="","",LOOKUP('Extraction edi'!J493,Paramètrage!$A$6:$A$179,Paramètrage!$C$6:$C$179))</f>
        <v/>
      </c>
      <c r="M493" s="2" t="str">
        <f>IF(W493="","",LOOKUP('Extraction edi'!J493,Paramètrage!$A$6:$A$179,Paramètrage!$D$6:$D$179))</f>
        <v/>
      </c>
      <c r="N493" s="3" t="str">
        <f>IF(W493="","",LOOKUP('Extraction edi'!J493,Paramètrage!$A$6:$A$179,Paramètrage!$E$6:$E$179))</f>
        <v/>
      </c>
      <c r="O493" s="3" t="str">
        <f t="shared" si="164"/>
        <v/>
      </c>
      <c r="P493" s="3" t="str">
        <f t="shared" si="165"/>
        <v/>
      </c>
      <c r="Q493" s="3" t="str">
        <f t="shared" si="158"/>
        <v/>
      </c>
      <c r="R493" s="3" t="str">
        <f t="shared" si="166"/>
        <v/>
      </c>
      <c r="S493" s="3" t="str">
        <f t="shared" si="167"/>
        <v/>
      </c>
      <c r="T493" s="4" t="str">
        <f t="shared" si="168"/>
        <v/>
      </c>
      <c r="U493" s="5" t="str">
        <f t="shared" si="169"/>
        <v/>
      </c>
      <c r="V493" s="7" t="str">
        <f>IF(W493="","",IF(LOOKUP(W493,'Extration 3E date commande'!$A$6:$A$10000)=W493,LOOKUP(W493,'Extration 3E date commande'!$A$6:$A$10000,'Extration 3E date commande'!$C$6:$C$10000),"PAS DE DATE"))</f>
        <v/>
      </c>
    </row>
    <row r="494" spans="1:22" x14ac:dyDescent="0.25">
      <c r="A494" s="3" t="str">
        <f t="shared" si="159"/>
        <v/>
      </c>
      <c r="B494" s="3" t="str">
        <f t="shared" si="160"/>
        <v/>
      </c>
      <c r="C494" s="3" t="str">
        <f t="shared" si="157"/>
        <v/>
      </c>
      <c r="D494" s="3" t="str">
        <f t="shared" si="153"/>
        <v/>
      </c>
      <c r="E494" s="3" t="str">
        <f t="shared" si="154"/>
        <v/>
      </c>
      <c r="F494" s="3" t="str">
        <f t="shared" si="155"/>
        <v/>
      </c>
      <c r="G494" s="3" t="str">
        <f t="shared" si="156"/>
        <v/>
      </c>
      <c r="H494" s="3" t="str">
        <f t="shared" si="161"/>
        <v/>
      </c>
      <c r="I494" s="3" t="str">
        <f t="shared" si="162"/>
        <v/>
      </c>
      <c r="J494" s="2" t="str">
        <f t="shared" si="163"/>
        <v/>
      </c>
      <c r="K494" s="2" t="str">
        <f>IF(W494="","",LOOKUP('Extraction edi'!J494,Paramètrage!$A$6:$A$179,Paramètrage!$B$6:$B$179))</f>
        <v/>
      </c>
      <c r="L494" s="2" t="str">
        <f>IF(W494="","",LOOKUP('Extraction edi'!J494,Paramètrage!$A$6:$A$179,Paramètrage!$C$6:$C$179))</f>
        <v/>
      </c>
      <c r="M494" s="2" t="str">
        <f>IF(W494="","",LOOKUP('Extraction edi'!J494,Paramètrage!$A$6:$A$179,Paramètrage!$D$6:$D$179))</f>
        <v/>
      </c>
      <c r="N494" s="3" t="str">
        <f>IF(W494="","",LOOKUP('Extraction edi'!J494,Paramètrage!$A$6:$A$179,Paramètrage!$E$6:$E$179))</f>
        <v/>
      </c>
      <c r="O494" s="3" t="str">
        <f t="shared" si="164"/>
        <v/>
      </c>
      <c r="P494" s="3" t="str">
        <f t="shared" si="165"/>
        <v/>
      </c>
      <c r="Q494" s="3" t="str">
        <f t="shared" si="158"/>
        <v/>
      </c>
      <c r="R494" s="3" t="str">
        <f t="shared" si="166"/>
        <v/>
      </c>
      <c r="S494" s="3" t="str">
        <f t="shared" si="167"/>
        <v/>
      </c>
      <c r="T494" s="4" t="str">
        <f t="shared" si="168"/>
        <v/>
      </c>
      <c r="U494" s="5" t="str">
        <f t="shared" si="169"/>
        <v/>
      </c>
      <c r="V494" s="7" t="str">
        <f>IF(W494="","",IF(LOOKUP(W494,'Extration 3E date commande'!$A$6:$A$10000)=W494,LOOKUP(W494,'Extration 3E date commande'!$A$6:$A$10000,'Extration 3E date commande'!$C$6:$C$10000),"PAS DE DATE"))</f>
        <v/>
      </c>
    </row>
    <row r="495" spans="1:22" x14ac:dyDescent="0.25">
      <c r="A495" s="3" t="str">
        <f t="shared" si="159"/>
        <v/>
      </c>
      <c r="B495" s="3" t="str">
        <f t="shared" si="160"/>
        <v/>
      </c>
      <c r="C495" s="3" t="str">
        <f t="shared" si="157"/>
        <v/>
      </c>
      <c r="D495" s="3" t="str">
        <f t="shared" si="153"/>
        <v/>
      </c>
      <c r="E495" s="3" t="str">
        <f t="shared" si="154"/>
        <v/>
      </c>
      <c r="F495" s="3" t="str">
        <f t="shared" si="155"/>
        <v/>
      </c>
      <c r="G495" s="3" t="str">
        <f t="shared" si="156"/>
        <v/>
      </c>
      <c r="H495" s="3" t="str">
        <f t="shared" si="161"/>
        <v/>
      </c>
      <c r="I495" s="3" t="str">
        <f t="shared" si="162"/>
        <v/>
      </c>
      <c r="J495" s="2" t="str">
        <f t="shared" si="163"/>
        <v/>
      </c>
      <c r="K495" s="2" t="str">
        <f>IF(W495="","",LOOKUP('Extraction edi'!J495,Paramètrage!$A$6:$A$179,Paramètrage!$B$6:$B$179))</f>
        <v/>
      </c>
      <c r="L495" s="2" t="str">
        <f>IF(W495="","",LOOKUP('Extraction edi'!J495,Paramètrage!$A$6:$A$179,Paramètrage!$C$6:$C$179))</f>
        <v/>
      </c>
      <c r="M495" s="2" t="str">
        <f>IF(W495="","",LOOKUP('Extraction edi'!J495,Paramètrage!$A$6:$A$179,Paramètrage!$D$6:$D$179))</f>
        <v/>
      </c>
      <c r="N495" s="3" t="str">
        <f>IF(W495="","",LOOKUP('Extraction edi'!J495,Paramètrage!$A$6:$A$179,Paramètrage!$E$6:$E$179))</f>
        <v/>
      </c>
      <c r="O495" s="3" t="str">
        <f t="shared" si="164"/>
        <v/>
      </c>
      <c r="P495" s="3" t="str">
        <f t="shared" si="165"/>
        <v/>
      </c>
      <c r="Q495" s="3" t="str">
        <f t="shared" si="158"/>
        <v/>
      </c>
      <c r="R495" s="3" t="str">
        <f t="shared" si="166"/>
        <v/>
      </c>
      <c r="S495" s="3" t="str">
        <f t="shared" si="167"/>
        <v/>
      </c>
      <c r="T495" s="4" t="str">
        <f t="shared" si="168"/>
        <v/>
      </c>
      <c r="U495" s="5" t="str">
        <f t="shared" si="169"/>
        <v/>
      </c>
      <c r="V495" s="7" t="str">
        <f>IF(W495="","",IF(LOOKUP(W495,'Extration 3E date commande'!$A$6:$A$10000)=W495,LOOKUP(W495,'Extration 3E date commande'!$A$6:$A$10000,'Extration 3E date commande'!$C$6:$C$10000),"PAS DE DATE"))</f>
        <v/>
      </c>
    </row>
    <row r="496" spans="1:22" x14ac:dyDescent="0.25">
      <c r="A496" s="3" t="str">
        <f t="shared" si="159"/>
        <v/>
      </c>
      <c r="B496" s="3" t="str">
        <f t="shared" si="160"/>
        <v/>
      </c>
      <c r="C496" s="3" t="str">
        <f t="shared" si="157"/>
        <v/>
      </c>
      <c r="D496" s="3" t="str">
        <f t="shared" si="153"/>
        <v/>
      </c>
      <c r="E496" s="3" t="str">
        <f t="shared" si="154"/>
        <v/>
      </c>
      <c r="F496" s="3" t="str">
        <f t="shared" si="155"/>
        <v/>
      </c>
      <c r="G496" s="3" t="str">
        <f t="shared" si="156"/>
        <v/>
      </c>
      <c r="H496" s="3" t="str">
        <f t="shared" si="161"/>
        <v/>
      </c>
      <c r="I496" s="3" t="str">
        <f t="shared" si="162"/>
        <v/>
      </c>
      <c r="J496" s="2" t="str">
        <f t="shared" si="163"/>
        <v/>
      </c>
      <c r="K496" s="2" t="str">
        <f>IF(W496="","",LOOKUP('Extraction edi'!J496,Paramètrage!$A$6:$A$179,Paramètrage!$B$6:$B$179))</f>
        <v/>
      </c>
      <c r="L496" s="2" t="str">
        <f>IF(W496="","",LOOKUP('Extraction edi'!J496,Paramètrage!$A$6:$A$179,Paramètrage!$C$6:$C$179))</f>
        <v/>
      </c>
      <c r="M496" s="2" t="str">
        <f>IF(W496="","",LOOKUP('Extraction edi'!J496,Paramètrage!$A$6:$A$179,Paramètrage!$D$6:$D$179))</f>
        <v/>
      </c>
      <c r="N496" s="3" t="str">
        <f>IF(W496="","",LOOKUP('Extraction edi'!J496,Paramètrage!$A$6:$A$179,Paramètrage!$E$6:$E$179))</f>
        <v/>
      </c>
      <c r="O496" s="3" t="str">
        <f t="shared" si="164"/>
        <v/>
      </c>
      <c r="P496" s="3" t="str">
        <f t="shared" si="165"/>
        <v/>
      </c>
      <c r="Q496" s="3" t="str">
        <f t="shared" si="158"/>
        <v/>
      </c>
      <c r="R496" s="3" t="str">
        <f t="shared" si="166"/>
        <v/>
      </c>
      <c r="S496" s="3" t="str">
        <f t="shared" si="167"/>
        <v/>
      </c>
      <c r="T496" s="4" t="str">
        <f t="shared" si="168"/>
        <v/>
      </c>
      <c r="U496" s="5" t="str">
        <f t="shared" si="169"/>
        <v/>
      </c>
      <c r="V496" s="7" t="str">
        <f>IF(W496="","",IF(LOOKUP(W496,'Extration 3E date commande'!$A$6:$A$10000)=W496,LOOKUP(W496,'Extration 3E date commande'!$A$6:$A$10000,'Extration 3E date commande'!$C$6:$C$10000),"PAS DE DATE"))</f>
        <v/>
      </c>
    </row>
    <row r="497" spans="1:22" x14ac:dyDescent="0.25">
      <c r="A497" s="3" t="str">
        <f t="shared" si="159"/>
        <v/>
      </c>
      <c r="B497" s="3" t="str">
        <f t="shared" si="160"/>
        <v/>
      </c>
      <c r="C497" s="3" t="str">
        <f t="shared" si="157"/>
        <v/>
      </c>
      <c r="D497" s="3" t="str">
        <f t="shared" si="153"/>
        <v/>
      </c>
      <c r="E497" s="3" t="str">
        <f t="shared" si="154"/>
        <v/>
      </c>
      <c r="F497" s="3" t="str">
        <f t="shared" si="155"/>
        <v/>
      </c>
      <c r="G497" s="3" t="str">
        <f t="shared" si="156"/>
        <v/>
      </c>
      <c r="H497" s="3" t="str">
        <f t="shared" si="161"/>
        <v/>
      </c>
      <c r="I497" s="3" t="str">
        <f t="shared" si="162"/>
        <v/>
      </c>
      <c r="J497" s="2" t="str">
        <f t="shared" si="163"/>
        <v/>
      </c>
      <c r="K497" s="2" t="str">
        <f>IF(W497="","",LOOKUP('Extraction edi'!J497,Paramètrage!$A$6:$A$179,Paramètrage!$B$6:$B$179))</f>
        <v/>
      </c>
      <c r="L497" s="2" t="str">
        <f>IF(W497="","",LOOKUP('Extraction edi'!J497,Paramètrage!$A$6:$A$179,Paramètrage!$C$6:$C$179))</f>
        <v/>
      </c>
      <c r="M497" s="2" t="str">
        <f>IF(W497="","",LOOKUP('Extraction edi'!J497,Paramètrage!$A$6:$A$179,Paramètrage!$D$6:$D$179))</f>
        <v/>
      </c>
      <c r="N497" s="3" t="str">
        <f>IF(W497="","",LOOKUP('Extraction edi'!J497,Paramètrage!$A$6:$A$179,Paramètrage!$E$6:$E$179))</f>
        <v/>
      </c>
      <c r="O497" s="3" t="str">
        <f t="shared" si="164"/>
        <v/>
      </c>
      <c r="P497" s="3" t="str">
        <f t="shared" si="165"/>
        <v/>
      </c>
      <c r="Q497" s="3" t="str">
        <f t="shared" si="158"/>
        <v/>
      </c>
      <c r="R497" s="3" t="str">
        <f t="shared" si="166"/>
        <v/>
      </c>
      <c r="S497" s="3" t="str">
        <f t="shared" si="167"/>
        <v/>
      </c>
      <c r="T497" s="4" t="str">
        <f t="shared" si="168"/>
        <v/>
      </c>
      <c r="U497" s="5" t="str">
        <f t="shared" si="169"/>
        <v/>
      </c>
      <c r="V497" s="7" t="str">
        <f>IF(W497="","",IF(LOOKUP(W497,'Extration 3E date commande'!$A$6:$A$10000)=W497,LOOKUP(W497,'Extration 3E date commande'!$A$6:$A$10000,'Extration 3E date commande'!$C$6:$C$10000),"PAS DE DATE"))</f>
        <v/>
      </c>
    </row>
    <row r="498" spans="1:22" x14ac:dyDescent="0.25">
      <c r="A498" s="3" t="str">
        <f t="shared" si="159"/>
        <v/>
      </c>
      <c r="B498" s="3" t="str">
        <f t="shared" si="160"/>
        <v/>
      </c>
      <c r="C498" s="3" t="str">
        <f t="shared" si="157"/>
        <v/>
      </c>
      <c r="D498" s="3" t="str">
        <f t="shared" si="153"/>
        <v/>
      </c>
      <c r="E498" s="3" t="str">
        <f t="shared" si="154"/>
        <v/>
      </c>
      <c r="F498" s="3" t="str">
        <f t="shared" si="155"/>
        <v/>
      </c>
      <c r="G498" s="3" t="str">
        <f t="shared" si="156"/>
        <v/>
      </c>
      <c r="H498" s="3" t="str">
        <f t="shared" si="161"/>
        <v/>
      </c>
      <c r="I498" s="3" t="str">
        <f t="shared" si="162"/>
        <v/>
      </c>
      <c r="J498" s="2" t="str">
        <f t="shared" si="163"/>
        <v/>
      </c>
      <c r="K498" s="2" t="str">
        <f>IF(W498="","",LOOKUP('Extraction edi'!J498,Paramètrage!$A$6:$A$179,Paramètrage!$B$6:$B$179))</f>
        <v/>
      </c>
      <c r="L498" s="2" t="str">
        <f>IF(W498="","",LOOKUP('Extraction edi'!J498,Paramètrage!$A$6:$A$179,Paramètrage!$C$6:$C$179))</f>
        <v/>
      </c>
      <c r="M498" s="2" t="str">
        <f>IF(W498="","",LOOKUP('Extraction edi'!J498,Paramètrage!$A$6:$A$179,Paramètrage!$D$6:$D$179))</f>
        <v/>
      </c>
      <c r="N498" s="3" t="str">
        <f>IF(W498="","",LOOKUP('Extraction edi'!J498,Paramètrage!$A$6:$A$179,Paramètrage!$E$6:$E$179))</f>
        <v/>
      </c>
      <c r="O498" s="3" t="str">
        <f t="shared" si="164"/>
        <v/>
      </c>
      <c r="P498" s="3" t="str">
        <f t="shared" si="165"/>
        <v/>
      </c>
      <c r="Q498" s="3" t="str">
        <f t="shared" si="158"/>
        <v/>
      </c>
      <c r="R498" s="3" t="str">
        <f t="shared" si="166"/>
        <v/>
      </c>
      <c r="S498" s="3" t="str">
        <f t="shared" si="167"/>
        <v/>
      </c>
      <c r="T498" s="4" t="str">
        <f t="shared" si="168"/>
        <v/>
      </c>
      <c r="U498" s="5" t="str">
        <f t="shared" si="169"/>
        <v/>
      </c>
      <c r="V498" s="7" t="str">
        <f>IF(W498="","",IF(LOOKUP(W498,'Extration 3E date commande'!$A$6:$A$10000)=W498,LOOKUP(W498,'Extration 3E date commande'!$A$6:$A$10000,'Extration 3E date commande'!$C$6:$C$10000),"PAS DE DATE"))</f>
        <v/>
      </c>
    </row>
    <row r="499" spans="1:22" x14ac:dyDescent="0.25">
      <c r="A499" s="3" t="str">
        <f t="shared" si="159"/>
        <v/>
      </c>
      <c r="B499" s="3" t="str">
        <f t="shared" si="160"/>
        <v/>
      </c>
      <c r="C499" s="3" t="str">
        <f t="shared" si="157"/>
        <v/>
      </c>
      <c r="D499" s="3" t="str">
        <f t="shared" si="153"/>
        <v/>
      </c>
      <c r="E499" s="3" t="str">
        <f t="shared" si="154"/>
        <v/>
      </c>
      <c r="F499" s="3" t="str">
        <f t="shared" si="155"/>
        <v/>
      </c>
      <c r="G499" s="3" t="str">
        <f t="shared" si="156"/>
        <v/>
      </c>
      <c r="H499" s="3" t="str">
        <f t="shared" si="161"/>
        <v/>
      </c>
      <c r="I499" s="3" t="str">
        <f t="shared" si="162"/>
        <v/>
      </c>
      <c r="J499" s="2" t="str">
        <f t="shared" si="163"/>
        <v/>
      </c>
      <c r="K499" s="2" t="str">
        <f>IF(W499="","",LOOKUP('Extraction edi'!J499,Paramètrage!$A$6:$A$179,Paramètrage!$B$6:$B$179))</f>
        <v/>
      </c>
      <c r="L499" s="2" t="str">
        <f>IF(W499="","",LOOKUP('Extraction edi'!J499,Paramètrage!$A$6:$A$179,Paramètrage!$C$6:$C$179))</f>
        <v/>
      </c>
      <c r="M499" s="2" t="str">
        <f>IF(W499="","",LOOKUP('Extraction edi'!J499,Paramètrage!$A$6:$A$179,Paramètrage!$D$6:$D$179))</f>
        <v/>
      </c>
      <c r="N499" s="3" t="str">
        <f>IF(W499="","",LOOKUP('Extraction edi'!J499,Paramètrage!$A$6:$A$179,Paramètrage!$E$6:$E$179))</f>
        <v/>
      </c>
      <c r="O499" s="3" t="str">
        <f t="shared" si="164"/>
        <v/>
      </c>
      <c r="P499" s="3" t="str">
        <f t="shared" si="165"/>
        <v/>
      </c>
      <c r="Q499" s="3" t="str">
        <f t="shared" si="158"/>
        <v/>
      </c>
      <c r="R499" s="3" t="str">
        <f t="shared" si="166"/>
        <v/>
      </c>
      <c r="S499" s="3" t="str">
        <f t="shared" si="167"/>
        <v/>
      </c>
      <c r="T499" s="4" t="str">
        <f t="shared" si="168"/>
        <v/>
      </c>
      <c r="U499" s="5" t="str">
        <f t="shared" si="169"/>
        <v/>
      </c>
      <c r="V499" s="7" t="str">
        <f>IF(W499="","",IF(LOOKUP(W499,'Extration 3E date commande'!$A$6:$A$10000)=W499,LOOKUP(W499,'Extration 3E date commande'!$A$6:$A$10000,'Extration 3E date commande'!$C$6:$C$10000),"PAS DE DATE"))</f>
        <v/>
      </c>
    </row>
    <row r="500" spans="1:22" x14ac:dyDescent="0.25">
      <c r="A500" s="3" t="str">
        <f t="shared" si="159"/>
        <v/>
      </c>
      <c r="B500" s="3" t="str">
        <f t="shared" si="160"/>
        <v/>
      </c>
      <c r="C500" s="3" t="str">
        <f t="shared" si="157"/>
        <v/>
      </c>
      <c r="D500" s="3" t="str">
        <f t="shared" si="153"/>
        <v/>
      </c>
      <c r="E500" s="3" t="str">
        <f t="shared" si="154"/>
        <v/>
      </c>
      <c r="F500" s="3" t="str">
        <f t="shared" si="155"/>
        <v/>
      </c>
      <c r="G500" s="3" t="str">
        <f t="shared" si="156"/>
        <v/>
      </c>
      <c r="H500" s="3" t="str">
        <f t="shared" si="161"/>
        <v/>
      </c>
      <c r="I500" s="3" t="str">
        <f t="shared" si="162"/>
        <v/>
      </c>
      <c r="J500" s="2" t="str">
        <f t="shared" si="163"/>
        <v/>
      </c>
      <c r="K500" s="2" t="str">
        <f>IF(W500="","",LOOKUP('Extraction edi'!J500,Paramètrage!$A$6:$A$179,Paramètrage!$B$6:$B$179))</f>
        <v/>
      </c>
      <c r="L500" s="2" t="str">
        <f>IF(W500="","",LOOKUP('Extraction edi'!J500,Paramètrage!$A$6:$A$179,Paramètrage!$C$6:$C$179))</f>
        <v/>
      </c>
      <c r="M500" s="2" t="str">
        <f>IF(W500="","",LOOKUP('Extraction edi'!J500,Paramètrage!$A$6:$A$179,Paramètrage!$D$6:$D$179))</f>
        <v/>
      </c>
      <c r="N500" s="3" t="str">
        <f>IF(W500="","",LOOKUP('Extraction edi'!J500,Paramètrage!$A$6:$A$179,Paramètrage!$E$6:$E$179))</f>
        <v/>
      </c>
      <c r="O500" s="3" t="str">
        <f t="shared" si="164"/>
        <v/>
      </c>
      <c r="P500" s="3" t="str">
        <f t="shared" si="165"/>
        <v/>
      </c>
      <c r="Q500" s="3" t="str">
        <f t="shared" si="158"/>
        <v/>
      </c>
      <c r="R500" s="3" t="str">
        <f t="shared" si="166"/>
        <v/>
      </c>
      <c r="S500" s="3" t="str">
        <f t="shared" si="167"/>
        <v/>
      </c>
      <c r="T500" s="4" t="str">
        <f t="shared" si="168"/>
        <v/>
      </c>
      <c r="U500" s="5" t="str">
        <f t="shared" si="169"/>
        <v/>
      </c>
      <c r="V500" s="7" t="str">
        <f>IF(W500="","",IF(LOOKUP(W500,'Extration 3E date commande'!$A$6:$A$10000)=W500,LOOKUP(W500,'Extration 3E date commande'!$A$6:$A$10000,'Extration 3E date commande'!$C$6:$C$10000),"PAS DE DATE"))</f>
        <v/>
      </c>
    </row>
    <row r="501" spans="1:22" x14ac:dyDescent="0.25">
      <c r="A501" s="3" t="str">
        <f t="shared" si="159"/>
        <v/>
      </c>
      <c r="B501" s="3" t="str">
        <f t="shared" si="160"/>
        <v/>
      </c>
      <c r="C501" s="3" t="str">
        <f t="shared" si="157"/>
        <v/>
      </c>
      <c r="D501" s="3" t="str">
        <f t="shared" si="153"/>
        <v/>
      </c>
      <c r="E501" s="3" t="str">
        <f t="shared" si="154"/>
        <v/>
      </c>
      <c r="F501" s="3" t="str">
        <f t="shared" si="155"/>
        <v/>
      </c>
      <c r="G501" s="3" t="str">
        <f t="shared" si="156"/>
        <v/>
      </c>
      <c r="H501" s="3" t="str">
        <f t="shared" si="161"/>
        <v/>
      </c>
      <c r="I501" s="3" t="str">
        <f t="shared" si="162"/>
        <v/>
      </c>
      <c r="J501" s="2" t="str">
        <f t="shared" si="163"/>
        <v/>
      </c>
      <c r="K501" s="2" t="str">
        <f>IF(W501="","",LOOKUP('Extraction edi'!J501,Paramètrage!$A$6:$A$179,Paramètrage!$B$6:$B$179))</f>
        <v/>
      </c>
      <c r="L501" s="2" t="str">
        <f>IF(W501="","",LOOKUP('Extraction edi'!J501,Paramètrage!$A$6:$A$179,Paramètrage!$C$6:$C$179))</f>
        <v/>
      </c>
      <c r="M501" s="2" t="str">
        <f>IF(W501="","",LOOKUP('Extraction edi'!J501,Paramètrage!$A$6:$A$179,Paramètrage!$D$6:$D$179))</f>
        <v/>
      </c>
      <c r="N501" s="3" t="str">
        <f>IF(W501="","",LOOKUP('Extraction edi'!J501,Paramètrage!$A$6:$A$179,Paramètrage!$E$6:$E$179))</f>
        <v/>
      </c>
      <c r="O501" s="3" t="str">
        <f t="shared" si="164"/>
        <v/>
      </c>
      <c r="P501" s="3" t="str">
        <f t="shared" si="165"/>
        <v/>
      </c>
      <c r="Q501" s="3" t="str">
        <f t="shared" si="158"/>
        <v/>
      </c>
      <c r="R501" s="3" t="str">
        <f t="shared" si="166"/>
        <v/>
      </c>
      <c r="S501" s="3" t="str">
        <f t="shared" si="167"/>
        <v/>
      </c>
      <c r="T501" s="4" t="str">
        <f t="shared" si="168"/>
        <v/>
      </c>
      <c r="U501" s="5" t="str">
        <f t="shared" si="169"/>
        <v/>
      </c>
      <c r="V501" s="7" t="str">
        <f>IF(W501="","",IF(LOOKUP(W501,'Extration 3E date commande'!$A$6:$A$10000)=W501,LOOKUP(W501,'Extration 3E date commande'!$A$6:$A$10000,'Extration 3E date commande'!$C$6:$C$10000),"PAS DE DATE"))</f>
        <v/>
      </c>
    </row>
    <row r="502" spans="1:22" x14ac:dyDescent="0.25">
      <c r="A502" s="3" t="str">
        <f t="shared" si="159"/>
        <v/>
      </c>
      <c r="B502" s="3" t="str">
        <f t="shared" si="160"/>
        <v/>
      </c>
      <c r="C502" s="3" t="str">
        <f t="shared" si="157"/>
        <v/>
      </c>
      <c r="D502" s="3" t="str">
        <f t="shared" si="153"/>
        <v/>
      </c>
      <c r="E502" s="3" t="str">
        <f t="shared" si="154"/>
        <v/>
      </c>
      <c r="F502" s="3" t="str">
        <f t="shared" si="155"/>
        <v/>
      </c>
      <c r="G502" s="3" t="str">
        <f t="shared" si="156"/>
        <v/>
      </c>
      <c r="H502" s="3" t="str">
        <f t="shared" si="161"/>
        <v/>
      </c>
      <c r="I502" s="3" t="str">
        <f t="shared" si="162"/>
        <v/>
      </c>
      <c r="J502" s="2" t="str">
        <f t="shared" si="163"/>
        <v/>
      </c>
      <c r="K502" s="2" t="str">
        <f>IF(W502="","",LOOKUP('Extraction edi'!J502,Paramètrage!$A$6:$A$179,Paramètrage!$B$6:$B$179))</f>
        <v/>
      </c>
      <c r="L502" s="2" t="str">
        <f>IF(W502="","",LOOKUP('Extraction edi'!J502,Paramètrage!$A$6:$A$179,Paramètrage!$C$6:$C$179))</f>
        <v/>
      </c>
      <c r="M502" s="2" t="str">
        <f>IF(W502="","",LOOKUP('Extraction edi'!J502,Paramètrage!$A$6:$A$179,Paramètrage!$D$6:$D$179))</f>
        <v/>
      </c>
      <c r="N502" s="3" t="str">
        <f>IF(W502="","",LOOKUP('Extraction edi'!J502,Paramètrage!$A$6:$A$179,Paramètrage!$E$6:$E$179))</f>
        <v/>
      </c>
      <c r="O502" s="3" t="str">
        <f t="shared" si="164"/>
        <v/>
      </c>
      <c r="P502" s="3" t="str">
        <f t="shared" si="165"/>
        <v/>
      </c>
      <c r="Q502" s="3" t="str">
        <f t="shared" si="158"/>
        <v/>
      </c>
      <c r="R502" s="3" t="str">
        <f t="shared" si="166"/>
        <v/>
      </c>
      <c r="S502" s="3" t="str">
        <f t="shared" si="167"/>
        <v/>
      </c>
      <c r="T502" s="4" t="str">
        <f t="shared" si="168"/>
        <v/>
      </c>
      <c r="U502" s="5" t="str">
        <f t="shared" si="169"/>
        <v/>
      </c>
      <c r="V502" s="7" t="str">
        <f>IF(W502="","",IF(LOOKUP(W502,'Extration 3E date commande'!$A$6:$A$10000)=W502,LOOKUP(W502,'Extration 3E date commande'!$A$6:$A$10000,'Extration 3E date commande'!$C$6:$C$10000),"PAS DE DATE"))</f>
        <v/>
      </c>
    </row>
    <row r="503" spans="1:22" x14ac:dyDescent="0.25">
      <c r="A503" s="3" t="str">
        <f t="shared" si="159"/>
        <v/>
      </c>
      <c r="B503" s="3" t="str">
        <f t="shared" si="160"/>
        <v/>
      </c>
      <c r="C503" s="3" t="str">
        <f t="shared" si="157"/>
        <v/>
      </c>
      <c r="D503" s="3" t="str">
        <f t="shared" si="153"/>
        <v/>
      </c>
      <c r="E503" s="3" t="str">
        <f t="shared" si="154"/>
        <v/>
      </c>
      <c r="F503" s="3" t="str">
        <f t="shared" si="155"/>
        <v/>
      </c>
      <c r="G503" s="3" t="str">
        <f t="shared" si="156"/>
        <v/>
      </c>
      <c r="H503" s="3" t="str">
        <f t="shared" si="161"/>
        <v/>
      </c>
      <c r="I503" s="3" t="str">
        <f t="shared" si="162"/>
        <v/>
      </c>
      <c r="J503" s="2" t="str">
        <f t="shared" si="163"/>
        <v/>
      </c>
      <c r="K503" s="2" t="str">
        <f>IF(W503="","",LOOKUP('Extraction edi'!J503,Paramètrage!$A$6:$A$179,Paramètrage!$B$6:$B$179))</f>
        <v/>
      </c>
      <c r="L503" s="2" t="str">
        <f>IF(W503="","",LOOKUP('Extraction edi'!J503,Paramètrage!$A$6:$A$179,Paramètrage!$C$6:$C$179))</f>
        <v/>
      </c>
      <c r="M503" s="2" t="str">
        <f>IF(W503="","",LOOKUP('Extraction edi'!J503,Paramètrage!$A$6:$A$179,Paramètrage!$D$6:$D$179))</f>
        <v/>
      </c>
      <c r="N503" s="3" t="str">
        <f>IF(W503="","",LOOKUP('Extraction edi'!J503,Paramètrage!$A$6:$A$179,Paramètrage!$E$6:$E$179))</f>
        <v/>
      </c>
      <c r="O503" s="3" t="str">
        <f t="shared" si="164"/>
        <v/>
      </c>
      <c r="P503" s="3" t="str">
        <f t="shared" si="165"/>
        <v/>
      </c>
      <c r="Q503" s="3" t="str">
        <f t="shared" si="158"/>
        <v/>
      </c>
      <c r="R503" s="3" t="str">
        <f t="shared" si="166"/>
        <v/>
      </c>
      <c r="S503" s="3" t="str">
        <f t="shared" si="167"/>
        <v/>
      </c>
      <c r="T503" s="4" t="str">
        <f t="shared" si="168"/>
        <v/>
      </c>
      <c r="U503" s="5" t="str">
        <f t="shared" si="169"/>
        <v/>
      </c>
      <c r="V503" s="7" t="str">
        <f>IF(W503="","",IF(LOOKUP(W503,'Extration 3E date commande'!$A$6:$A$10000)=W503,LOOKUP(W503,'Extration 3E date commande'!$A$6:$A$10000,'Extration 3E date commande'!$C$6:$C$10000),"PAS DE DATE"))</f>
        <v/>
      </c>
    </row>
    <row r="504" spans="1:22" x14ac:dyDescent="0.25">
      <c r="A504" s="3" t="str">
        <f t="shared" si="159"/>
        <v/>
      </c>
      <c r="B504" s="3" t="str">
        <f t="shared" si="160"/>
        <v/>
      </c>
      <c r="C504" s="3" t="str">
        <f t="shared" si="157"/>
        <v/>
      </c>
      <c r="D504" s="3" t="str">
        <f t="shared" si="153"/>
        <v/>
      </c>
      <c r="E504" s="3" t="str">
        <f t="shared" si="154"/>
        <v/>
      </c>
      <c r="F504" s="3" t="str">
        <f t="shared" si="155"/>
        <v/>
      </c>
      <c r="G504" s="3" t="str">
        <f t="shared" si="156"/>
        <v/>
      </c>
      <c r="H504" s="3" t="str">
        <f t="shared" si="161"/>
        <v/>
      </c>
      <c r="I504" s="3" t="str">
        <f t="shared" si="162"/>
        <v/>
      </c>
      <c r="J504" s="2" t="str">
        <f t="shared" si="163"/>
        <v/>
      </c>
      <c r="K504" s="2" t="str">
        <f>IF(W504="","",LOOKUP('Extraction edi'!J504,Paramètrage!$A$6:$A$179,Paramètrage!$B$6:$B$179))</f>
        <v/>
      </c>
      <c r="L504" s="2" t="str">
        <f>IF(W504="","",LOOKUP('Extraction edi'!J504,Paramètrage!$A$6:$A$179,Paramètrage!$C$6:$C$179))</f>
        <v/>
      </c>
      <c r="M504" s="2" t="str">
        <f>IF(W504="","",LOOKUP('Extraction edi'!J504,Paramètrage!$A$6:$A$179,Paramètrage!$D$6:$D$179))</f>
        <v/>
      </c>
      <c r="N504" s="3" t="str">
        <f>IF(W504="","",LOOKUP('Extraction edi'!J504,Paramètrage!$A$6:$A$179,Paramètrage!$E$6:$E$179))</f>
        <v/>
      </c>
      <c r="O504" s="3" t="str">
        <f t="shared" si="164"/>
        <v/>
      </c>
      <c r="P504" s="3" t="str">
        <f t="shared" si="165"/>
        <v/>
      </c>
      <c r="Q504" s="3" t="str">
        <f t="shared" si="158"/>
        <v/>
      </c>
      <c r="R504" s="3" t="str">
        <f t="shared" si="166"/>
        <v/>
      </c>
      <c r="S504" s="3" t="str">
        <f t="shared" si="167"/>
        <v/>
      </c>
      <c r="T504" s="4" t="str">
        <f t="shared" si="168"/>
        <v/>
      </c>
      <c r="U504" s="5" t="str">
        <f t="shared" si="169"/>
        <v/>
      </c>
      <c r="V504" s="7" t="str">
        <f>IF(W504="","",IF(LOOKUP(W504,'Extration 3E date commande'!$A$6:$A$10000)=W504,LOOKUP(W504,'Extration 3E date commande'!$A$6:$A$10000,'Extration 3E date commande'!$C$6:$C$10000),"PAS DE DATE"))</f>
        <v/>
      </c>
    </row>
    <row r="505" spans="1:22" x14ac:dyDescent="0.25">
      <c r="A505" s="3" t="str">
        <f t="shared" si="159"/>
        <v/>
      </c>
      <c r="B505" s="3" t="str">
        <f t="shared" si="160"/>
        <v/>
      </c>
      <c r="C505" s="3" t="str">
        <f t="shared" si="157"/>
        <v/>
      </c>
      <c r="D505" s="3" t="str">
        <f t="shared" si="153"/>
        <v/>
      </c>
      <c r="E505" s="3" t="str">
        <f t="shared" si="154"/>
        <v/>
      </c>
      <c r="F505" s="3" t="str">
        <f t="shared" si="155"/>
        <v/>
      </c>
      <c r="G505" s="3" t="str">
        <f t="shared" si="156"/>
        <v/>
      </c>
      <c r="H505" s="3" t="str">
        <f t="shared" si="161"/>
        <v/>
      </c>
      <c r="I505" s="3" t="str">
        <f t="shared" si="162"/>
        <v/>
      </c>
      <c r="J505" s="2" t="str">
        <f t="shared" si="163"/>
        <v/>
      </c>
      <c r="K505" s="2" t="str">
        <f>IF(W505="","",LOOKUP('Extraction edi'!J505,Paramètrage!$A$6:$A$179,Paramètrage!$B$6:$B$179))</f>
        <v/>
      </c>
      <c r="L505" s="2" t="str">
        <f>IF(W505="","",LOOKUP('Extraction edi'!J505,Paramètrage!$A$6:$A$179,Paramètrage!$C$6:$C$179))</f>
        <v/>
      </c>
      <c r="M505" s="2" t="str">
        <f>IF(W505="","",LOOKUP('Extraction edi'!J505,Paramètrage!$A$6:$A$179,Paramètrage!$D$6:$D$179))</f>
        <v/>
      </c>
      <c r="N505" s="3" t="str">
        <f>IF(W505="","",LOOKUP('Extraction edi'!J505,Paramètrage!$A$6:$A$179,Paramètrage!$E$6:$E$179))</f>
        <v/>
      </c>
      <c r="O505" s="3" t="str">
        <f t="shared" si="164"/>
        <v/>
      </c>
      <c r="P505" s="3" t="str">
        <f t="shared" si="165"/>
        <v/>
      </c>
      <c r="Q505" s="3" t="str">
        <f t="shared" si="158"/>
        <v/>
      </c>
      <c r="R505" s="3" t="str">
        <f t="shared" si="166"/>
        <v/>
      </c>
      <c r="S505" s="3" t="str">
        <f t="shared" si="167"/>
        <v/>
      </c>
      <c r="T505" s="4" t="str">
        <f t="shared" si="168"/>
        <v/>
      </c>
      <c r="U505" s="5" t="str">
        <f t="shared" si="169"/>
        <v/>
      </c>
      <c r="V505" s="7" t="str">
        <f>IF(W505="","",IF(LOOKUP(W505,'Extration 3E date commande'!$A$6:$A$10000)=W505,LOOKUP(W505,'Extration 3E date commande'!$A$6:$A$10000,'Extration 3E date commande'!$C$6:$C$10000),"PAS DE DATE"))</f>
        <v/>
      </c>
    </row>
    <row r="506" spans="1:22" x14ac:dyDescent="0.25">
      <c r="A506" s="3" t="str">
        <f t="shared" si="159"/>
        <v/>
      </c>
      <c r="B506" s="3" t="str">
        <f t="shared" si="160"/>
        <v/>
      </c>
      <c r="C506" s="3" t="str">
        <f t="shared" si="157"/>
        <v/>
      </c>
      <c r="D506" s="3" t="str">
        <f t="shared" si="153"/>
        <v/>
      </c>
      <c r="E506" s="3" t="str">
        <f t="shared" si="154"/>
        <v/>
      </c>
      <c r="F506" s="3" t="str">
        <f t="shared" si="155"/>
        <v/>
      </c>
      <c r="G506" s="3" t="str">
        <f t="shared" si="156"/>
        <v/>
      </c>
      <c r="H506" s="3" t="str">
        <f t="shared" si="161"/>
        <v/>
      </c>
      <c r="I506" s="3" t="str">
        <f t="shared" si="162"/>
        <v/>
      </c>
      <c r="J506" s="2" t="str">
        <f t="shared" si="163"/>
        <v/>
      </c>
      <c r="K506" s="2" t="str">
        <f>IF(W506="","",LOOKUP('Extraction edi'!J506,Paramètrage!$A$6:$A$179,Paramètrage!$B$6:$B$179))</f>
        <v/>
      </c>
      <c r="L506" s="2" t="str">
        <f>IF(W506="","",LOOKUP('Extraction edi'!J506,Paramètrage!$A$6:$A$179,Paramètrage!$C$6:$C$179))</f>
        <v/>
      </c>
      <c r="M506" s="2" t="str">
        <f>IF(W506="","",LOOKUP('Extraction edi'!J506,Paramètrage!$A$6:$A$179,Paramètrage!$D$6:$D$179))</f>
        <v/>
      </c>
      <c r="N506" s="3" t="str">
        <f>IF(W506="","",LOOKUP('Extraction edi'!J506,Paramètrage!$A$6:$A$179,Paramètrage!$E$6:$E$179))</f>
        <v/>
      </c>
      <c r="O506" s="3" t="str">
        <f t="shared" si="164"/>
        <v/>
      </c>
      <c r="P506" s="3" t="str">
        <f t="shared" si="165"/>
        <v/>
      </c>
      <c r="Q506" s="3" t="str">
        <f t="shared" si="158"/>
        <v/>
      </c>
      <c r="R506" s="3" t="str">
        <f t="shared" si="166"/>
        <v/>
      </c>
      <c r="S506" s="3" t="str">
        <f t="shared" si="167"/>
        <v/>
      </c>
      <c r="T506" s="4" t="str">
        <f t="shared" si="168"/>
        <v/>
      </c>
      <c r="U506" s="5" t="str">
        <f t="shared" si="169"/>
        <v/>
      </c>
      <c r="V506" s="7" t="str">
        <f>IF(W506="","",IF(LOOKUP(W506,'Extration 3E date commande'!$A$6:$A$10000)=W506,LOOKUP(W506,'Extration 3E date commande'!$A$6:$A$10000,'Extration 3E date commande'!$C$6:$C$10000),"PAS DE DATE"))</f>
        <v/>
      </c>
    </row>
    <row r="507" spans="1:22" x14ac:dyDescent="0.25">
      <c r="A507" s="3" t="str">
        <f t="shared" si="159"/>
        <v/>
      </c>
      <c r="B507" s="3" t="str">
        <f t="shared" si="160"/>
        <v/>
      </c>
      <c r="C507" s="3" t="str">
        <f t="shared" si="157"/>
        <v/>
      </c>
      <c r="D507" s="3" t="str">
        <f t="shared" si="153"/>
        <v/>
      </c>
      <c r="E507" s="3" t="str">
        <f t="shared" si="154"/>
        <v/>
      </c>
      <c r="F507" s="3" t="str">
        <f t="shared" si="155"/>
        <v/>
      </c>
      <c r="G507" s="3" t="str">
        <f t="shared" si="156"/>
        <v/>
      </c>
      <c r="H507" s="3" t="str">
        <f t="shared" si="161"/>
        <v/>
      </c>
      <c r="I507" s="3" t="str">
        <f t="shared" si="162"/>
        <v/>
      </c>
      <c r="J507" s="2" t="str">
        <f t="shared" si="163"/>
        <v/>
      </c>
      <c r="K507" s="2" t="str">
        <f>IF(W507="","",LOOKUP('Extraction edi'!J507,Paramètrage!$A$6:$A$179,Paramètrage!$B$6:$B$179))</f>
        <v/>
      </c>
      <c r="L507" s="2" t="str">
        <f>IF(W507="","",LOOKUP('Extraction edi'!J507,Paramètrage!$A$6:$A$179,Paramètrage!$C$6:$C$179))</f>
        <v/>
      </c>
      <c r="M507" s="2" t="str">
        <f>IF(W507="","",LOOKUP('Extraction edi'!J507,Paramètrage!$A$6:$A$179,Paramètrage!$D$6:$D$179))</f>
        <v/>
      </c>
      <c r="N507" s="3" t="str">
        <f>IF(W507="","",LOOKUP('Extraction edi'!J507,Paramètrage!$A$6:$A$179,Paramètrage!$E$6:$E$179))</f>
        <v/>
      </c>
      <c r="O507" s="3" t="str">
        <f t="shared" si="164"/>
        <v/>
      </c>
      <c r="P507" s="3" t="str">
        <f t="shared" si="165"/>
        <v/>
      </c>
      <c r="Q507" s="3" t="str">
        <f t="shared" si="158"/>
        <v/>
      </c>
      <c r="R507" s="3" t="str">
        <f t="shared" si="166"/>
        <v/>
      </c>
      <c r="S507" s="3" t="str">
        <f t="shared" si="167"/>
        <v/>
      </c>
      <c r="T507" s="4" t="str">
        <f t="shared" si="168"/>
        <v/>
      </c>
      <c r="U507" s="5" t="str">
        <f t="shared" si="169"/>
        <v/>
      </c>
      <c r="V507" s="7" t="str">
        <f>IF(W507="","",IF(LOOKUP(W507,'Extration 3E date commande'!$A$6:$A$10000)=W507,LOOKUP(W507,'Extration 3E date commande'!$A$6:$A$10000,'Extration 3E date commande'!$C$6:$C$10000),"PAS DE DATE"))</f>
        <v/>
      </c>
    </row>
    <row r="508" spans="1:22" x14ac:dyDescent="0.25">
      <c r="A508" s="3" t="str">
        <f t="shared" si="159"/>
        <v/>
      </c>
      <c r="B508" s="3" t="str">
        <f t="shared" si="160"/>
        <v/>
      </c>
      <c r="C508" s="3" t="str">
        <f t="shared" si="157"/>
        <v/>
      </c>
      <c r="D508" s="3" t="str">
        <f t="shared" si="153"/>
        <v/>
      </c>
      <c r="E508" s="3" t="str">
        <f t="shared" si="154"/>
        <v/>
      </c>
      <c r="F508" s="3" t="str">
        <f t="shared" si="155"/>
        <v/>
      </c>
      <c r="G508" s="3" t="str">
        <f t="shared" si="156"/>
        <v/>
      </c>
      <c r="H508" s="3" t="str">
        <f t="shared" si="161"/>
        <v/>
      </c>
      <c r="I508" s="3" t="str">
        <f t="shared" si="162"/>
        <v/>
      </c>
      <c r="J508" s="2" t="str">
        <f t="shared" si="163"/>
        <v/>
      </c>
      <c r="K508" s="2" t="str">
        <f>IF(W508="","",LOOKUP('Extraction edi'!J508,Paramètrage!$A$6:$A$179,Paramètrage!$B$6:$B$179))</f>
        <v/>
      </c>
      <c r="L508" s="2" t="str">
        <f>IF(W508="","",LOOKUP('Extraction edi'!J508,Paramètrage!$A$6:$A$179,Paramètrage!$C$6:$C$179))</f>
        <v/>
      </c>
      <c r="M508" s="2" t="str">
        <f>IF(W508="","",LOOKUP('Extraction edi'!J508,Paramètrage!$A$6:$A$179,Paramètrage!$D$6:$D$179))</f>
        <v/>
      </c>
      <c r="N508" s="3" t="str">
        <f>IF(W508="","",LOOKUP('Extraction edi'!J508,Paramètrage!$A$6:$A$179,Paramètrage!$E$6:$E$179))</f>
        <v/>
      </c>
      <c r="O508" s="3" t="str">
        <f t="shared" si="164"/>
        <v/>
      </c>
      <c r="P508" s="3" t="str">
        <f t="shared" si="165"/>
        <v/>
      </c>
      <c r="Q508" s="3" t="str">
        <f t="shared" si="158"/>
        <v/>
      </c>
      <c r="R508" s="3" t="str">
        <f t="shared" si="166"/>
        <v/>
      </c>
      <c r="S508" s="3" t="str">
        <f t="shared" si="167"/>
        <v/>
      </c>
      <c r="T508" s="4" t="str">
        <f t="shared" si="168"/>
        <v/>
      </c>
      <c r="U508" s="5" t="str">
        <f t="shared" si="169"/>
        <v/>
      </c>
      <c r="V508" s="7" t="str">
        <f>IF(W508="","",IF(LOOKUP(W508,'Extration 3E date commande'!$A$6:$A$10000)=W508,LOOKUP(W508,'Extration 3E date commande'!$A$6:$A$10000,'Extration 3E date commande'!$C$6:$C$10000),"PAS DE DATE"))</f>
        <v/>
      </c>
    </row>
    <row r="509" spans="1:22" x14ac:dyDescent="0.25">
      <c r="A509" s="3" t="str">
        <f t="shared" si="159"/>
        <v/>
      </c>
      <c r="B509" s="3" t="str">
        <f t="shared" si="160"/>
        <v/>
      </c>
      <c r="C509" s="3" t="str">
        <f t="shared" si="157"/>
        <v/>
      </c>
      <c r="D509" s="3" t="str">
        <f t="shared" si="153"/>
        <v/>
      </c>
      <c r="E509" s="3" t="str">
        <f t="shared" si="154"/>
        <v/>
      </c>
      <c r="F509" s="3" t="str">
        <f t="shared" si="155"/>
        <v/>
      </c>
      <c r="G509" s="3" t="str">
        <f t="shared" si="156"/>
        <v/>
      </c>
      <c r="H509" s="3" t="str">
        <f t="shared" si="161"/>
        <v/>
      </c>
      <c r="I509" s="3" t="str">
        <f t="shared" si="162"/>
        <v/>
      </c>
      <c r="J509" s="2" t="str">
        <f t="shared" si="163"/>
        <v/>
      </c>
      <c r="K509" s="2" t="str">
        <f>IF(W509="","",LOOKUP('Extraction edi'!J509,Paramètrage!$A$6:$A$179,Paramètrage!$B$6:$B$179))</f>
        <v/>
      </c>
      <c r="L509" s="2" t="str">
        <f>IF(W509="","",LOOKUP('Extraction edi'!J509,Paramètrage!$A$6:$A$179,Paramètrage!$C$6:$C$179))</f>
        <v/>
      </c>
      <c r="M509" s="2" t="str">
        <f>IF(W509="","",LOOKUP('Extraction edi'!J509,Paramètrage!$A$6:$A$179,Paramètrage!$D$6:$D$179))</f>
        <v/>
      </c>
      <c r="N509" s="3" t="str">
        <f>IF(W509="","",LOOKUP('Extraction edi'!J509,Paramètrage!$A$6:$A$179,Paramètrage!$E$6:$E$179))</f>
        <v/>
      </c>
      <c r="O509" s="3" t="str">
        <f t="shared" si="164"/>
        <v/>
      </c>
      <c r="P509" s="3" t="str">
        <f t="shared" si="165"/>
        <v/>
      </c>
      <c r="Q509" s="3" t="str">
        <f t="shared" si="158"/>
        <v/>
      </c>
      <c r="R509" s="3" t="str">
        <f t="shared" si="166"/>
        <v/>
      </c>
      <c r="S509" s="3" t="str">
        <f t="shared" si="167"/>
        <v/>
      </c>
      <c r="T509" s="4" t="str">
        <f t="shared" si="168"/>
        <v/>
      </c>
      <c r="U509" s="5" t="str">
        <f t="shared" si="169"/>
        <v/>
      </c>
      <c r="V509" s="7" t="str">
        <f>IF(W509="","",IF(LOOKUP(W509,'Extration 3E date commande'!$A$6:$A$10000)=W509,LOOKUP(W509,'Extration 3E date commande'!$A$6:$A$10000,'Extration 3E date commande'!$C$6:$C$10000),"PAS DE DATE"))</f>
        <v/>
      </c>
    </row>
    <row r="510" spans="1:22" x14ac:dyDescent="0.25">
      <c r="A510" s="3" t="str">
        <f t="shared" si="159"/>
        <v/>
      </c>
      <c r="B510" s="3" t="str">
        <f t="shared" si="160"/>
        <v/>
      </c>
      <c r="C510" s="3" t="str">
        <f t="shared" si="157"/>
        <v/>
      </c>
      <c r="D510" s="3" t="str">
        <f t="shared" si="153"/>
        <v/>
      </c>
      <c r="E510" s="3" t="str">
        <f t="shared" si="154"/>
        <v/>
      </c>
      <c r="F510" s="3" t="str">
        <f t="shared" si="155"/>
        <v/>
      </c>
      <c r="G510" s="3" t="str">
        <f t="shared" si="156"/>
        <v/>
      </c>
      <c r="H510" s="3" t="str">
        <f t="shared" si="161"/>
        <v/>
      </c>
      <c r="I510" s="3" t="str">
        <f t="shared" si="162"/>
        <v/>
      </c>
      <c r="J510" s="2" t="str">
        <f t="shared" si="163"/>
        <v/>
      </c>
      <c r="K510" s="2" t="str">
        <f>IF(W510="","",LOOKUP('Extraction edi'!J510,Paramètrage!$A$6:$A$179,Paramètrage!$B$6:$B$179))</f>
        <v/>
      </c>
      <c r="L510" s="2" t="str">
        <f>IF(W510="","",LOOKUP('Extraction edi'!J510,Paramètrage!$A$6:$A$179,Paramètrage!$C$6:$C$179))</f>
        <v/>
      </c>
      <c r="M510" s="2" t="str">
        <f>IF(W510="","",LOOKUP('Extraction edi'!J510,Paramètrage!$A$6:$A$179,Paramètrage!$D$6:$D$179))</f>
        <v/>
      </c>
      <c r="N510" s="3" t="str">
        <f>IF(W510="","",LOOKUP('Extraction edi'!J510,Paramètrage!$A$6:$A$179,Paramètrage!$E$6:$E$179))</f>
        <v/>
      </c>
      <c r="O510" s="3" t="str">
        <f t="shared" si="164"/>
        <v/>
      </c>
      <c r="P510" s="3" t="str">
        <f t="shared" si="165"/>
        <v/>
      </c>
      <c r="Q510" s="3" t="str">
        <f t="shared" si="158"/>
        <v/>
      </c>
      <c r="R510" s="3" t="str">
        <f t="shared" si="166"/>
        <v/>
      </c>
      <c r="S510" s="3" t="str">
        <f t="shared" si="167"/>
        <v/>
      </c>
      <c r="T510" s="4" t="str">
        <f t="shared" si="168"/>
        <v/>
      </c>
      <c r="U510" s="5" t="str">
        <f t="shared" si="169"/>
        <v/>
      </c>
      <c r="V510" s="7" t="str">
        <f>IF(W510="","",IF(LOOKUP(W510,'Extration 3E date commande'!$A$6:$A$10000)=W510,LOOKUP(W510,'Extration 3E date commande'!$A$6:$A$10000,'Extration 3E date commande'!$C$6:$C$10000),"PAS DE DATE"))</f>
        <v/>
      </c>
    </row>
    <row r="511" spans="1:22" x14ac:dyDescent="0.25">
      <c r="A511" s="3" t="str">
        <f t="shared" si="159"/>
        <v/>
      </c>
      <c r="B511" s="3" t="str">
        <f t="shared" si="160"/>
        <v/>
      </c>
      <c r="C511" s="3" t="str">
        <f t="shared" si="157"/>
        <v/>
      </c>
      <c r="D511" s="3" t="str">
        <f t="shared" si="153"/>
        <v/>
      </c>
      <c r="E511" s="3" t="str">
        <f t="shared" si="154"/>
        <v/>
      </c>
      <c r="F511" s="3" t="str">
        <f t="shared" si="155"/>
        <v/>
      </c>
      <c r="G511" s="3" t="str">
        <f t="shared" si="156"/>
        <v/>
      </c>
      <c r="H511" s="3" t="str">
        <f t="shared" si="161"/>
        <v/>
      </c>
      <c r="I511" s="3" t="str">
        <f t="shared" si="162"/>
        <v/>
      </c>
      <c r="J511" s="2" t="str">
        <f t="shared" si="163"/>
        <v/>
      </c>
      <c r="K511" s="2" t="str">
        <f>IF(W511="","",LOOKUP('Extraction edi'!J511,Paramètrage!$A$6:$A$179,Paramètrage!$B$6:$B$179))</f>
        <v/>
      </c>
      <c r="L511" s="2" t="str">
        <f>IF(W511="","",LOOKUP('Extraction edi'!J511,Paramètrage!$A$6:$A$179,Paramètrage!$C$6:$C$179))</f>
        <v/>
      </c>
      <c r="M511" s="2" t="str">
        <f>IF(W511="","",LOOKUP('Extraction edi'!J511,Paramètrage!$A$6:$A$179,Paramètrage!$D$6:$D$179))</f>
        <v/>
      </c>
      <c r="N511" s="3" t="str">
        <f>IF(W511="","",LOOKUP('Extraction edi'!J511,Paramètrage!$A$6:$A$179,Paramètrage!$E$6:$E$179))</f>
        <v/>
      </c>
      <c r="O511" s="3" t="str">
        <f t="shared" si="164"/>
        <v/>
      </c>
      <c r="P511" s="3" t="str">
        <f t="shared" si="165"/>
        <v/>
      </c>
      <c r="Q511" s="3" t="str">
        <f t="shared" si="158"/>
        <v/>
      </c>
      <c r="R511" s="3" t="str">
        <f t="shared" si="166"/>
        <v/>
      </c>
      <c r="S511" s="3" t="str">
        <f t="shared" si="167"/>
        <v/>
      </c>
      <c r="T511" s="4" t="str">
        <f t="shared" si="168"/>
        <v/>
      </c>
      <c r="U511" s="5" t="str">
        <f t="shared" si="169"/>
        <v/>
      </c>
      <c r="V511" s="7" t="str">
        <f>IF(W511="","",IF(LOOKUP(W511,'Extration 3E date commande'!$A$6:$A$10000)=W511,LOOKUP(W511,'Extration 3E date commande'!$A$6:$A$10000,'Extration 3E date commande'!$C$6:$C$10000),"PAS DE DATE"))</f>
        <v/>
      </c>
    </row>
    <row r="512" spans="1:22" x14ac:dyDescent="0.25">
      <c r="A512" s="3" t="str">
        <f t="shared" si="159"/>
        <v/>
      </c>
      <c r="B512" s="3" t="str">
        <f t="shared" si="160"/>
        <v/>
      </c>
      <c r="C512" s="3" t="str">
        <f t="shared" si="157"/>
        <v/>
      </c>
      <c r="D512" s="3" t="str">
        <f t="shared" si="153"/>
        <v/>
      </c>
      <c r="E512" s="3" t="str">
        <f t="shared" si="154"/>
        <v/>
      </c>
      <c r="F512" s="3" t="str">
        <f t="shared" si="155"/>
        <v/>
      </c>
      <c r="G512" s="3" t="str">
        <f t="shared" si="156"/>
        <v/>
      </c>
      <c r="H512" s="3" t="str">
        <f t="shared" si="161"/>
        <v/>
      </c>
      <c r="I512" s="3" t="str">
        <f t="shared" si="162"/>
        <v/>
      </c>
      <c r="J512" s="2" t="str">
        <f t="shared" si="163"/>
        <v/>
      </c>
      <c r="K512" s="2" t="str">
        <f>IF(W512="","",LOOKUP('Extraction edi'!J512,Paramètrage!$A$6:$A$179,Paramètrage!$B$6:$B$179))</f>
        <v/>
      </c>
      <c r="L512" s="2" t="str">
        <f>IF(W512="","",LOOKUP('Extraction edi'!J512,Paramètrage!$A$6:$A$179,Paramètrage!$C$6:$C$179))</f>
        <v/>
      </c>
      <c r="M512" s="2" t="str">
        <f>IF(W512="","",LOOKUP('Extraction edi'!J512,Paramètrage!$A$6:$A$179,Paramètrage!$D$6:$D$179))</f>
        <v/>
      </c>
      <c r="N512" s="3" t="str">
        <f>IF(W512="","",LOOKUP('Extraction edi'!J512,Paramètrage!$A$6:$A$179,Paramètrage!$E$6:$E$179))</f>
        <v/>
      </c>
      <c r="O512" s="3" t="str">
        <f t="shared" si="164"/>
        <v/>
      </c>
      <c r="P512" s="3" t="str">
        <f t="shared" si="165"/>
        <v/>
      </c>
      <c r="Q512" s="3" t="str">
        <f t="shared" si="158"/>
        <v/>
      </c>
      <c r="R512" s="3" t="str">
        <f t="shared" si="166"/>
        <v/>
      </c>
      <c r="S512" s="3" t="str">
        <f t="shared" si="167"/>
        <v/>
      </c>
      <c r="T512" s="4" t="str">
        <f t="shared" si="168"/>
        <v/>
      </c>
      <c r="U512" s="5" t="str">
        <f t="shared" si="169"/>
        <v/>
      </c>
      <c r="V512" s="7" t="str">
        <f>IF(W512="","",IF(LOOKUP(W512,'Extration 3E date commande'!$A$6:$A$10000)=W512,LOOKUP(W512,'Extration 3E date commande'!$A$6:$A$10000,'Extration 3E date commande'!$C$6:$C$10000),"PAS DE DATE"))</f>
        <v/>
      </c>
    </row>
    <row r="513" spans="1:22" x14ac:dyDescent="0.25">
      <c r="A513" s="3" t="str">
        <f t="shared" si="159"/>
        <v/>
      </c>
      <c r="B513" s="3" t="str">
        <f t="shared" si="160"/>
        <v/>
      </c>
      <c r="C513" s="3" t="str">
        <f t="shared" si="157"/>
        <v/>
      </c>
      <c r="D513" s="3" t="str">
        <f t="shared" si="153"/>
        <v/>
      </c>
      <c r="E513" s="3" t="str">
        <f t="shared" si="154"/>
        <v/>
      </c>
      <c r="F513" s="3" t="str">
        <f t="shared" si="155"/>
        <v/>
      </c>
      <c r="G513" s="3" t="str">
        <f t="shared" si="156"/>
        <v/>
      </c>
      <c r="H513" s="3" t="str">
        <f t="shared" si="161"/>
        <v/>
      </c>
      <c r="I513" s="3" t="str">
        <f t="shared" si="162"/>
        <v/>
      </c>
      <c r="J513" s="2" t="str">
        <f t="shared" si="163"/>
        <v/>
      </c>
      <c r="K513" s="2" t="str">
        <f>IF(W513="","",LOOKUP('Extraction edi'!J513,Paramètrage!$A$6:$A$179,Paramètrage!$B$6:$B$179))</f>
        <v/>
      </c>
      <c r="L513" s="2" t="str">
        <f>IF(W513="","",LOOKUP('Extraction edi'!J513,Paramètrage!$A$6:$A$179,Paramètrage!$C$6:$C$179))</f>
        <v/>
      </c>
      <c r="M513" s="2" t="str">
        <f>IF(W513="","",LOOKUP('Extraction edi'!J513,Paramètrage!$A$6:$A$179,Paramètrage!$D$6:$D$179))</f>
        <v/>
      </c>
      <c r="N513" s="3" t="str">
        <f>IF(W513="","",LOOKUP('Extraction edi'!J513,Paramètrage!$A$6:$A$179,Paramètrage!$E$6:$E$179))</f>
        <v/>
      </c>
      <c r="O513" s="3" t="str">
        <f t="shared" si="164"/>
        <v/>
      </c>
      <c r="P513" s="3" t="str">
        <f t="shared" si="165"/>
        <v/>
      </c>
      <c r="Q513" s="3" t="str">
        <f t="shared" si="158"/>
        <v/>
      </c>
      <c r="R513" s="3" t="str">
        <f t="shared" si="166"/>
        <v/>
      </c>
      <c r="S513" s="3" t="str">
        <f t="shared" si="167"/>
        <v/>
      </c>
      <c r="T513" s="4" t="str">
        <f t="shared" si="168"/>
        <v/>
      </c>
      <c r="U513" s="5" t="str">
        <f t="shared" si="169"/>
        <v/>
      </c>
      <c r="V513" s="7" t="str">
        <f>IF(W513="","",IF(LOOKUP(W513,'Extration 3E date commande'!$A$6:$A$10000)=W513,LOOKUP(W513,'Extration 3E date commande'!$A$6:$A$10000,'Extration 3E date commande'!$C$6:$C$10000),"PAS DE DATE"))</f>
        <v/>
      </c>
    </row>
    <row r="514" spans="1:22" x14ac:dyDescent="0.25">
      <c r="A514" s="3" t="str">
        <f t="shared" si="159"/>
        <v/>
      </c>
      <c r="B514" s="3" t="str">
        <f t="shared" si="160"/>
        <v/>
      </c>
      <c r="C514" s="3" t="str">
        <f t="shared" si="157"/>
        <v/>
      </c>
      <c r="D514" s="3" t="str">
        <f t="shared" si="153"/>
        <v/>
      </c>
      <c r="E514" s="3" t="str">
        <f t="shared" si="154"/>
        <v/>
      </c>
      <c r="F514" s="3" t="str">
        <f t="shared" si="155"/>
        <v/>
      </c>
      <c r="G514" s="3" t="str">
        <f t="shared" si="156"/>
        <v/>
      </c>
      <c r="H514" s="3" t="str">
        <f t="shared" si="161"/>
        <v/>
      </c>
      <c r="I514" s="3" t="str">
        <f t="shared" si="162"/>
        <v/>
      </c>
      <c r="J514" s="2" t="str">
        <f t="shared" si="163"/>
        <v/>
      </c>
      <c r="K514" s="2" t="str">
        <f>IF(W514="","",LOOKUP('Extraction edi'!J514,Paramètrage!$A$6:$A$179,Paramètrage!$B$6:$B$179))</f>
        <v/>
      </c>
      <c r="L514" s="2" t="str">
        <f>IF(W514="","",LOOKUP('Extraction edi'!J514,Paramètrage!$A$6:$A$179,Paramètrage!$C$6:$C$179))</f>
        <v/>
      </c>
      <c r="M514" s="2" t="str">
        <f>IF(W514="","",LOOKUP('Extraction edi'!J514,Paramètrage!$A$6:$A$179,Paramètrage!$D$6:$D$179))</f>
        <v/>
      </c>
      <c r="N514" s="3" t="str">
        <f>IF(W514="","",LOOKUP('Extraction edi'!J514,Paramètrage!$A$6:$A$179,Paramètrage!$E$6:$E$179))</f>
        <v/>
      </c>
      <c r="O514" s="3" t="str">
        <f t="shared" si="164"/>
        <v/>
      </c>
      <c r="P514" s="3" t="str">
        <f t="shared" si="165"/>
        <v/>
      </c>
      <c r="Q514" s="3" t="str">
        <f t="shared" si="158"/>
        <v/>
      </c>
      <c r="R514" s="3" t="str">
        <f t="shared" si="166"/>
        <v/>
      </c>
      <c r="S514" s="3" t="str">
        <f t="shared" si="167"/>
        <v/>
      </c>
      <c r="T514" s="4" t="str">
        <f t="shared" si="168"/>
        <v/>
      </c>
      <c r="U514" s="5" t="str">
        <f t="shared" si="169"/>
        <v/>
      </c>
      <c r="V514" s="7" t="str">
        <f>IF(W514="","",IF(LOOKUP(W514,'Extration 3E date commande'!$A$6:$A$10000)=W514,LOOKUP(W514,'Extration 3E date commande'!$A$6:$A$10000,'Extration 3E date commande'!$C$6:$C$10000),"PAS DE DATE"))</f>
        <v/>
      </c>
    </row>
    <row r="515" spans="1:22" x14ac:dyDescent="0.25">
      <c r="A515" s="3" t="str">
        <f t="shared" si="159"/>
        <v/>
      </c>
      <c r="B515" s="3" t="str">
        <f t="shared" si="160"/>
        <v/>
      </c>
      <c r="C515" s="3" t="str">
        <f t="shared" si="157"/>
        <v/>
      </c>
      <c r="D515" s="3" t="str">
        <f t="shared" si="153"/>
        <v/>
      </c>
      <c r="E515" s="3" t="str">
        <f t="shared" si="154"/>
        <v/>
      </c>
      <c r="F515" s="3" t="str">
        <f t="shared" si="155"/>
        <v/>
      </c>
      <c r="G515" s="3" t="str">
        <f t="shared" si="156"/>
        <v/>
      </c>
      <c r="H515" s="3" t="str">
        <f t="shared" si="161"/>
        <v/>
      </c>
      <c r="I515" s="3" t="str">
        <f t="shared" si="162"/>
        <v/>
      </c>
      <c r="J515" s="2" t="str">
        <f t="shared" si="163"/>
        <v/>
      </c>
      <c r="K515" s="2" t="str">
        <f>IF(W515="","",LOOKUP('Extraction edi'!J515,Paramètrage!$A$6:$A$179,Paramètrage!$B$6:$B$179))</f>
        <v/>
      </c>
      <c r="L515" s="2" t="str">
        <f>IF(W515="","",LOOKUP('Extraction edi'!J515,Paramètrage!$A$6:$A$179,Paramètrage!$C$6:$C$179))</f>
        <v/>
      </c>
      <c r="M515" s="2" t="str">
        <f>IF(W515="","",LOOKUP('Extraction edi'!J515,Paramètrage!$A$6:$A$179,Paramètrage!$D$6:$D$179))</f>
        <v/>
      </c>
      <c r="N515" s="3" t="str">
        <f>IF(W515="","",LOOKUP('Extraction edi'!J515,Paramètrage!$A$6:$A$179,Paramètrage!$E$6:$E$179))</f>
        <v/>
      </c>
      <c r="O515" s="3" t="str">
        <f t="shared" si="164"/>
        <v/>
      </c>
      <c r="P515" s="3" t="str">
        <f t="shared" si="165"/>
        <v/>
      </c>
      <c r="Q515" s="3" t="str">
        <f t="shared" si="158"/>
        <v/>
      </c>
      <c r="R515" s="3" t="str">
        <f t="shared" si="166"/>
        <v/>
      </c>
      <c r="S515" s="3" t="str">
        <f t="shared" si="167"/>
        <v/>
      </c>
      <c r="T515" s="4" t="str">
        <f t="shared" si="168"/>
        <v/>
      </c>
      <c r="U515" s="5" t="str">
        <f t="shared" si="169"/>
        <v/>
      </c>
      <c r="V515" s="7" t="str">
        <f>IF(W515="","",IF(LOOKUP(W515,'Extration 3E date commande'!$A$6:$A$10000)=W515,LOOKUP(W515,'Extration 3E date commande'!$A$6:$A$10000,'Extration 3E date commande'!$C$6:$C$10000),"PAS DE DATE"))</f>
        <v/>
      </c>
    </row>
    <row r="516" spans="1:22" x14ac:dyDescent="0.25">
      <c r="A516" s="3" t="str">
        <f t="shared" si="159"/>
        <v/>
      </c>
      <c r="B516" s="3" t="str">
        <f t="shared" si="160"/>
        <v/>
      </c>
      <c r="C516" s="3" t="str">
        <f t="shared" si="157"/>
        <v/>
      </c>
      <c r="D516" s="3" t="str">
        <f t="shared" si="153"/>
        <v/>
      </c>
      <c r="E516" s="3" t="str">
        <f t="shared" si="154"/>
        <v/>
      </c>
      <c r="F516" s="3" t="str">
        <f t="shared" si="155"/>
        <v/>
      </c>
      <c r="G516" s="3" t="str">
        <f t="shared" si="156"/>
        <v/>
      </c>
      <c r="H516" s="3" t="str">
        <f t="shared" si="161"/>
        <v/>
      </c>
      <c r="I516" s="3" t="str">
        <f t="shared" si="162"/>
        <v/>
      </c>
      <c r="J516" s="2" t="str">
        <f t="shared" si="163"/>
        <v/>
      </c>
      <c r="K516" s="2" t="str">
        <f>IF(W516="","",LOOKUP('Extraction edi'!J516,Paramètrage!$A$6:$A$179,Paramètrage!$B$6:$B$179))</f>
        <v/>
      </c>
      <c r="L516" s="2" t="str">
        <f>IF(W516="","",LOOKUP('Extraction edi'!J516,Paramètrage!$A$6:$A$179,Paramètrage!$C$6:$C$179))</f>
        <v/>
      </c>
      <c r="M516" s="2" t="str">
        <f>IF(W516="","",LOOKUP('Extraction edi'!J516,Paramètrage!$A$6:$A$179,Paramètrage!$D$6:$D$179))</f>
        <v/>
      </c>
      <c r="N516" s="3" t="str">
        <f>IF(W516="","",LOOKUP('Extraction edi'!J516,Paramètrage!$A$6:$A$179,Paramètrage!$E$6:$E$179))</f>
        <v/>
      </c>
      <c r="O516" s="3" t="str">
        <f t="shared" si="164"/>
        <v/>
      </c>
      <c r="P516" s="3" t="str">
        <f t="shared" si="165"/>
        <v/>
      </c>
      <c r="Q516" s="3" t="str">
        <f t="shared" si="158"/>
        <v/>
      </c>
      <c r="R516" s="3" t="str">
        <f t="shared" si="166"/>
        <v/>
      </c>
      <c r="S516" s="3" t="str">
        <f t="shared" si="167"/>
        <v/>
      </c>
      <c r="T516" s="4" t="str">
        <f t="shared" si="168"/>
        <v/>
      </c>
      <c r="U516" s="5" t="str">
        <f t="shared" si="169"/>
        <v/>
      </c>
      <c r="V516" s="7" t="str">
        <f>IF(W516="","",IF(LOOKUP(W516,'Extration 3E date commande'!$A$6:$A$10000)=W516,LOOKUP(W516,'Extration 3E date commande'!$A$6:$A$10000,'Extration 3E date commande'!$C$6:$C$10000),"PAS DE DATE"))</f>
        <v/>
      </c>
    </row>
    <row r="517" spans="1:22" x14ac:dyDescent="0.25">
      <c r="A517" s="3" t="str">
        <f t="shared" si="159"/>
        <v/>
      </c>
      <c r="B517" s="3" t="str">
        <f t="shared" si="160"/>
        <v/>
      </c>
      <c r="C517" s="3" t="str">
        <f t="shared" si="157"/>
        <v/>
      </c>
      <c r="D517" s="3" t="str">
        <f t="shared" si="153"/>
        <v/>
      </c>
      <c r="E517" s="3" t="str">
        <f t="shared" si="154"/>
        <v/>
      </c>
      <c r="F517" s="3" t="str">
        <f t="shared" si="155"/>
        <v/>
      </c>
      <c r="G517" s="3" t="str">
        <f t="shared" si="156"/>
        <v/>
      </c>
      <c r="H517" s="3" t="str">
        <f t="shared" si="161"/>
        <v/>
      </c>
      <c r="I517" s="3" t="str">
        <f t="shared" si="162"/>
        <v/>
      </c>
      <c r="J517" s="2" t="str">
        <f t="shared" si="163"/>
        <v/>
      </c>
      <c r="K517" s="2" t="str">
        <f>IF(W517="","",LOOKUP('Extraction edi'!J517,Paramètrage!$A$6:$A$179,Paramètrage!$B$6:$B$179))</f>
        <v/>
      </c>
      <c r="L517" s="2" t="str">
        <f>IF(W517="","",LOOKUP('Extraction edi'!J517,Paramètrage!$A$6:$A$179,Paramètrage!$C$6:$C$179))</f>
        <v/>
      </c>
      <c r="M517" s="2" t="str">
        <f>IF(W517="","",LOOKUP('Extraction edi'!J517,Paramètrage!$A$6:$A$179,Paramètrage!$D$6:$D$179))</f>
        <v/>
      </c>
      <c r="N517" s="3" t="str">
        <f>IF(W517="","",LOOKUP('Extraction edi'!J517,Paramètrage!$A$6:$A$179,Paramètrage!$E$6:$E$179))</f>
        <v/>
      </c>
      <c r="O517" s="3" t="str">
        <f t="shared" si="164"/>
        <v/>
      </c>
      <c r="P517" s="3" t="str">
        <f t="shared" si="165"/>
        <v/>
      </c>
      <c r="Q517" s="3" t="str">
        <f t="shared" si="158"/>
        <v/>
      </c>
      <c r="R517" s="3" t="str">
        <f t="shared" si="166"/>
        <v/>
      </c>
      <c r="S517" s="3" t="str">
        <f t="shared" si="167"/>
        <v/>
      </c>
      <c r="T517" s="4" t="str">
        <f t="shared" si="168"/>
        <v/>
      </c>
      <c r="U517" s="5" t="str">
        <f t="shared" si="169"/>
        <v/>
      </c>
      <c r="V517" s="7" t="str">
        <f>IF(W517="","",IF(LOOKUP(W517,'Extration 3E date commande'!$A$6:$A$10000)=W517,LOOKUP(W517,'Extration 3E date commande'!$A$6:$A$10000,'Extration 3E date commande'!$C$6:$C$10000),"PAS DE DATE"))</f>
        <v/>
      </c>
    </row>
    <row r="518" spans="1:22" x14ac:dyDescent="0.25">
      <c r="A518" s="3" t="str">
        <f t="shared" si="159"/>
        <v/>
      </c>
      <c r="B518" s="3" t="str">
        <f t="shared" si="160"/>
        <v/>
      </c>
      <c r="C518" s="3" t="str">
        <f t="shared" si="157"/>
        <v/>
      </c>
      <c r="D518" s="3" t="str">
        <f t="shared" ref="D518:D581" si="170">IF(ISERROR(SEARCH("P",B518)),"","PE")</f>
        <v/>
      </c>
      <c r="E518" s="3" t="str">
        <f t="shared" ref="E518:E581" si="171">IF(ISERROR(SEARCH("U",B518))=FALSE,"ALU",IF(ISERROR(SEARCH("Y",B518)),"","ALU"))</f>
        <v/>
      </c>
      <c r="F518" s="3" t="str">
        <f t="shared" ref="F518:F581" si="172">IF(ISERROR(SEARCH("H",B518))=FALSE,"TEX",IF(ISERROR(SEARCH("Z",B518)),IF(ISERROR(SEARCH("X",B518)),"","TEX")))</f>
        <v/>
      </c>
      <c r="G518" s="3" t="str">
        <f t="shared" ref="G518:G581" si="173">IF(B518="","",IF(C518="SAV","NEG/RELI/SAV",IF(C518="NEGOCE","NEG/RELI/SAV",IF(C518="RELI","NEG/RELI/SAV",IF(E518="ALU","ALU",IF(D518="PE","PE",IF(F518="TEX","TEX","STD")))))))</f>
        <v/>
      </c>
      <c r="H518" s="3" t="str">
        <f t="shared" si="161"/>
        <v/>
      </c>
      <c r="I518" s="3" t="str">
        <f t="shared" si="162"/>
        <v/>
      </c>
      <c r="J518" s="2" t="str">
        <f t="shared" si="163"/>
        <v/>
      </c>
      <c r="K518" s="2" t="str">
        <f>IF(W518="","",LOOKUP('Extraction edi'!J518,Paramètrage!$A$6:$A$179,Paramètrage!$B$6:$B$179))</f>
        <v/>
      </c>
      <c r="L518" s="2" t="str">
        <f>IF(W518="","",LOOKUP('Extraction edi'!J518,Paramètrage!$A$6:$A$179,Paramètrage!$C$6:$C$179))</f>
        <v/>
      </c>
      <c r="M518" s="2" t="str">
        <f>IF(W518="","",LOOKUP('Extraction edi'!J518,Paramètrage!$A$6:$A$179,Paramètrage!$D$6:$D$179))</f>
        <v/>
      </c>
      <c r="N518" s="3" t="str">
        <f>IF(W518="","",LOOKUP('Extraction edi'!J518,Paramètrage!$A$6:$A$179,Paramètrage!$E$6:$E$179))</f>
        <v/>
      </c>
      <c r="O518" s="3" t="str">
        <f t="shared" si="164"/>
        <v/>
      </c>
      <c r="P518" s="3" t="str">
        <f t="shared" si="165"/>
        <v/>
      </c>
      <c r="Q518" s="3" t="str">
        <f t="shared" si="158"/>
        <v/>
      </c>
      <c r="R518" s="3" t="str">
        <f t="shared" si="166"/>
        <v/>
      </c>
      <c r="S518" s="3" t="str">
        <f t="shared" si="167"/>
        <v/>
      </c>
      <c r="T518" s="4" t="str">
        <f t="shared" si="168"/>
        <v/>
      </c>
      <c r="U518" s="5" t="str">
        <f t="shared" si="169"/>
        <v/>
      </c>
      <c r="V518" s="7" t="str">
        <f>IF(W518="","",IF(LOOKUP(W518,'Extration 3E date commande'!$A$6:$A$10000)=W518,LOOKUP(W518,'Extration 3E date commande'!$A$6:$A$10000,'Extration 3E date commande'!$C$6:$C$10000),"PAS DE DATE"))</f>
        <v/>
      </c>
    </row>
    <row r="519" spans="1:22" x14ac:dyDescent="0.25">
      <c r="A519" s="3" t="str">
        <f t="shared" si="159"/>
        <v/>
      </c>
      <c r="B519" s="3" t="str">
        <f t="shared" si="160"/>
        <v/>
      </c>
      <c r="C519" s="3" t="str">
        <f t="shared" ref="C519:C582" si="174">IF(ISERROR(SEARCH("ELI",B519))=FALSE,"RELIQUAT",IF(ISERROR(SEARCH("N",B519))=FALSE,"NEGOCE",IF(ISERROR(SEARCH("S",B519))=FALSE,"SAV",IF(ISERROR(SEARCH("J",B519)),"","SAV"))))</f>
        <v/>
      </c>
      <c r="D519" s="3" t="str">
        <f t="shared" si="170"/>
        <v/>
      </c>
      <c r="E519" s="3" t="str">
        <f t="shared" si="171"/>
        <v/>
      </c>
      <c r="F519" s="3" t="str">
        <f t="shared" si="172"/>
        <v/>
      </c>
      <c r="G519" s="3" t="str">
        <f t="shared" si="173"/>
        <v/>
      </c>
      <c r="H519" s="3" t="str">
        <f t="shared" si="161"/>
        <v/>
      </c>
      <c r="I519" s="3" t="str">
        <f t="shared" si="162"/>
        <v/>
      </c>
      <c r="J519" s="2" t="str">
        <f t="shared" si="163"/>
        <v/>
      </c>
      <c r="K519" s="2" t="str">
        <f>IF(W519="","",LOOKUP('Extraction edi'!J519,Paramètrage!$A$6:$A$179,Paramètrage!$B$6:$B$179))</f>
        <v/>
      </c>
      <c r="L519" s="2" t="str">
        <f>IF(W519="","",LOOKUP('Extraction edi'!J519,Paramètrage!$A$6:$A$179,Paramètrage!$C$6:$C$179))</f>
        <v/>
      </c>
      <c r="M519" s="2" t="str">
        <f>IF(W519="","",LOOKUP('Extraction edi'!J519,Paramètrage!$A$6:$A$179,Paramètrage!$D$6:$D$179))</f>
        <v/>
      </c>
      <c r="N519" s="3" t="str">
        <f>IF(W519="","",LOOKUP('Extraction edi'!J519,Paramètrage!$A$6:$A$179,Paramètrage!$E$6:$E$179))</f>
        <v/>
      </c>
      <c r="O519" s="3" t="str">
        <f t="shared" si="164"/>
        <v/>
      </c>
      <c r="P519" s="3" t="str">
        <f t="shared" si="165"/>
        <v/>
      </c>
      <c r="Q519" s="3" t="str">
        <f t="shared" si="158"/>
        <v/>
      </c>
      <c r="R519" s="3" t="str">
        <f t="shared" si="166"/>
        <v/>
      </c>
      <c r="S519" s="3" t="str">
        <f t="shared" si="167"/>
        <v/>
      </c>
      <c r="T519" s="4" t="str">
        <f t="shared" si="168"/>
        <v/>
      </c>
      <c r="U519" s="5" t="str">
        <f t="shared" si="169"/>
        <v/>
      </c>
      <c r="V519" s="7" t="str">
        <f>IF(W519="","",IF(LOOKUP(W519,'Extration 3E date commande'!$A$6:$A$10000)=W519,LOOKUP(W519,'Extration 3E date commande'!$A$6:$A$10000,'Extration 3E date commande'!$C$6:$C$10000),"PAS DE DATE"))</f>
        <v/>
      </c>
    </row>
    <row r="520" spans="1:22" x14ac:dyDescent="0.25">
      <c r="A520" s="3" t="str">
        <f t="shared" si="159"/>
        <v/>
      </c>
      <c r="B520" s="3" t="str">
        <f t="shared" si="160"/>
        <v/>
      </c>
      <c r="C520" s="3" t="str">
        <f t="shared" si="174"/>
        <v/>
      </c>
      <c r="D520" s="3" t="str">
        <f t="shared" si="170"/>
        <v/>
      </c>
      <c r="E520" s="3" t="str">
        <f t="shared" si="171"/>
        <v/>
      </c>
      <c r="F520" s="3" t="str">
        <f t="shared" si="172"/>
        <v/>
      </c>
      <c r="G520" s="3" t="str">
        <f t="shared" si="173"/>
        <v/>
      </c>
      <c r="H520" s="3" t="str">
        <f t="shared" si="161"/>
        <v/>
      </c>
      <c r="I520" s="3" t="str">
        <f t="shared" si="162"/>
        <v/>
      </c>
      <c r="J520" s="2" t="str">
        <f t="shared" si="163"/>
        <v/>
      </c>
      <c r="K520" s="2" t="str">
        <f>IF(W520="","",LOOKUP('Extraction edi'!J520,Paramètrage!$A$6:$A$179,Paramètrage!$B$6:$B$179))</f>
        <v/>
      </c>
      <c r="L520" s="2" t="str">
        <f>IF(W520="","",LOOKUP('Extraction edi'!J520,Paramètrage!$A$6:$A$179,Paramètrage!$C$6:$C$179))</f>
        <v/>
      </c>
      <c r="M520" s="2" t="str">
        <f>IF(W520="","",LOOKUP('Extraction edi'!J520,Paramètrage!$A$6:$A$179,Paramètrage!$D$6:$D$179))</f>
        <v/>
      </c>
      <c r="N520" s="3" t="str">
        <f>IF(W520="","",LOOKUP('Extraction edi'!J520,Paramètrage!$A$6:$A$179,Paramètrage!$E$6:$E$179))</f>
        <v/>
      </c>
      <c r="O520" s="3" t="str">
        <f t="shared" si="164"/>
        <v/>
      </c>
      <c r="P520" s="3" t="str">
        <f t="shared" si="165"/>
        <v/>
      </c>
      <c r="Q520" s="3" t="str">
        <f t="shared" si="158"/>
        <v/>
      </c>
      <c r="R520" s="3" t="str">
        <f t="shared" si="166"/>
        <v/>
      </c>
      <c r="S520" s="3" t="str">
        <f t="shared" si="167"/>
        <v/>
      </c>
      <c r="T520" s="4" t="str">
        <f t="shared" si="168"/>
        <v/>
      </c>
      <c r="U520" s="5" t="str">
        <f t="shared" si="169"/>
        <v/>
      </c>
      <c r="V520" s="7" t="str">
        <f>IF(W520="","",IF(LOOKUP(W520,'Extration 3E date commande'!$A$6:$A$10000)=W520,LOOKUP(W520,'Extration 3E date commande'!$A$6:$A$10000,'Extration 3E date commande'!$C$6:$C$10000),"PAS DE DATE"))</f>
        <v/>
      </c>
    </row>
    <row r="521" spans="1:22" x14ac:dyDescent="0.25">
      <c r="A521" s="3" t="str">
        <f t="shared" si="159"/>
        <v/>
      </c>
      <c r="B521" s="3" t="str">
        <f t="shared" si="160"/>
        <v/>
      </c>
      <c r="C521" s="3" t="str">
        <f t="shared" si="174"/>
        <v/>
      </c>
      <c r="D521" s="3" t="str">
        <f t="shared" si="170"/>
        <v/>
      </c>
      <c r="E521" s="3" t="str">
        <f t="shared" si="171"/>
        <v/>
      </c>
      <c r="F521" s="3" t="str">
        <f t="shared" si="172"/>
        <v/>
      </c>
      <c r="G521" s="3" t="str">
        <f t="shared" si="173"/>
        <v/>
      </c>
      <c r="H521" s="3" t="str">
        <f t="shared" si="161"/>
        <v/>
      </c>
      <c r="I521" s="3" t="str">
        <f t="shared" si="162"/>
        <v/>
      </c>
      <c r="J521" s="2" t="str">
        <f t="shared" si="163"/>
        <v/>
      </c>
      <c r="K521" s="2" t="str">
        <f>IF(W521="","",LOOKUP('Extraction edi'!J521,Paramètrage!$A$6:$A$179,Paramètrage!$B$6:$B$179))</f>
        <v/>
      </c>
      <c r="L521" s="2" t="str">
        <f>IF(W521="","",LOOKUP('Extraction edi'!J521,Paramètrage!$A$6:$A$179,Paramètrage!$C$6:$C$179))</f>
        <v/>
      </c>
      <c r="M521" s="2" t="str">
        <f>IF(W521="","",LOOKUP('Extraction edi'!J521,Paramètrage!$A$6:$A$179,Paramètrage!$D$6:$D$179))</f>
        <v/>
      </c>
      <c r="N521" s="3" t="str">
        <f>IF(W521="","",LOOKUP('Extraction edi'!J521,Paramètrage!$A$6:$A$179,Paramètrage!$E$6:$E$179))</f>
        <v/>
      </c>
      <c r="O521" s="3" t="str">
        <f t="shared" si="164"/>
        <v/>
      </c>
      <c r="P521" s="3" t="str">
        <f t="shared" si="165"/>
        <v/>
      </c>
      <c r="Q521" s="3" t="str">
        <f t="shared" si="158"/>
        <v/>
      </c>
      <c r="R521" s="3" t="str">
        <f t="shared" si="166"/>
        <v/>
      </c>
      <c r="S521" s="3" t="str">
        <f t="shared" si="167"/>
        <v/>
      </c>
      <c r="T521" s="4" t="str">
        <f t="shared" si="168"/>
        <v/>
      </c>
      <c r="U521" s="5" t="str">
        <f t="shared" si="169"/>
        <v/>
      </c>
      <c r="V521" s="7" t="str">
        <f>IF(W521="","",IF(LOOKUP(W521,'Extration 3E date commande'!$A$6:$A$10000)=W521,LOOKUP(W521,'Extration 3E date commande'!$A$6:$A$10000,'Extration 3E date commande'!$C$6:$C$10000),"PAS DE DATE"))</f>
        <v/>
      </c>
    </row>
    <row r="522" spans="1:22" x14ac:dyDescent="0.25">
      <c r="A522" s="3" t="str">
        <f t="shared" si="159"/>
        <v/>
      </c>
      <c r="B522" s="3" t="str">
        <f t="shared" si="160"/>
        <v/>
      </c>
      <c r="C522" s="3" t="str">
        <f t="shared" si="174"/>
        <v/>
      </c>
      <c r="D522" s="3" t="str">
        <f t="shared" si="170"/>
        <v/>
      </c>
      <c r="E522" s="3" t="str">
        <f t="shared" si="171"/>
        <v/>
      </c>
      <c r="F522" s="3" t="str">
        <f t="shared" si="172"/>
        <v/>
      </c>
      <c r="G522" s="3" t="str">
        <f t="shared" si="173"/>
        <v/>
      </c>
      <c r="H522" s="3" t="str">
        <f t="shared" si="161"/>
        <v/>
      </c>
      <c r="I522" s="3" t="str">
        <f t="shared" si="162"/>
        <v/>
      </c>
      <c r="J522" s="2" t="str">
        <f t="shared" si="163"/>
        <v/>
      </c>
      <c r="K522" s="2" t="str">
        <f>IF(W522="","",LOOKUP('Extraction edi'!J522,Paramètrage!$A$6:$A$179,Paramètrage!$B$6:$B$179))</f>
        <v/>
      </c>
      <c r="L522" s="2" t="str">
        <f>IF(W522="","",LOOKUP('Extraction edi'!J522,Paramètrage!$A$6:$A$179,Paramètrage!$C$6:$C$179))</f>
        <v/>
      </c>
      <c r="M522" s="2" t="str">
        <f>IF(W522="","",LOOKUP('Extraction edi'!J522,Paramètrage!$A$6:$A$179,Paramètrage!$D$6:$D$179))</f>
        <v/>
      </c>
      <c r="N522" s="3" t="str">
        <f>IF(W522="","",LOOKUP('Extraction edi'!J522,Paramètrage!$A$6:$A$179,Paramètrage!$E$6:$E$179))</f>
        <v/>
      </c>
      <c r="O522" s="3" t="str">
        <f t="shared" si="164"/>
        <v/>
      </c>
      <c r="P522" s="3" t="str">
        <f t="shared" si="165"/>
        <v/>
      </c>
      <c r="Q522" s="3" t="str">
        <f t="shared" si="158"/>
        <v/>
      </c>
      <c r="R522" s="3" t="str">
        <f t="shared" si="166"/>
        <v/>
      </c>
      <c r="S522" s="3" t="str">
        <f t="shared" si="167"/>
        <v/>
      </c>
      <c r="T522" s="4" t="str">
        <f t="shared" si="168"/>
        <v/>
      </c>
      <c r="U522" s="5" t="str">
        <f t="shared" si="169"/>
        <v/>
      </c>
      <c r="V522" s="7" t="str">
        <f>IF(W522="","",IF(LOOKUP(W522,'Extration 3E date commande'!$A$6:$A$10000)=W522,LOOKUP(W522,'Extration 3E date commande'!$A$6:$A$10000,'Extration 3E date commande'!$C$6:$C$10000),"PAS DE DATE"))</f>
        <v/>
      </c>
    </row>
    <row r="523" spans="1:22" x14ac:dyDescent="0.25">
      <c r="A523" s="3" t="str">
        <f t="shared" si="159"/>
        <v/>
      </c>
      <c r="B523" s="3" t="str">
        <f t="shared" si="160"/>
        <v/>
      </c>
      <c r="C523" s="3" t="str">
        <f t="shared" si="174"/>
        <v/>
      </c>
      <c r="D523" s="3" t="str">
        <f t="shared" si="170"/>
        <v/>
      </c>
      <c r="E523" s="3" t="str">
        <f t="shared" si="171"/>
        <v/>
      </c>
      <c r="F523" s="3" t="str">
        <f t="shared" si="172"/>
        <v/>
      </c>
      <c r="G523" s="3" t="str">
        <f t="shared" si="173"/>
        <v/>
      </c>
      <c r="H523" s="3" t="str">
        <f t="shared" si="161"/>
        <v/>
      </c>
      <c r="I523" s="3" t="str">
        <f t="shared" si="162"/>
        <v/>
      </c>
      <c r="J523" s="2" t="str">
        <f t="shared" si="163"/>
        <v/>
      </c>
      <c r="K523" s="2" t="str">
        <f>IF(W523="","",LOOKUP('Extraction edi'!J523,Paramètrage!$A$6:$A$179,Paramètrage!$B$6:$B$179))</f>
        <v/>
      </c>
      <c r="L523" s="2" t="str">
        <f>IF(W523="","",LOOKUP('Extraction edi'!J523,Paramètrage!$A$6:$A$179,Paramètrage!$C$6:$C$179))</f>
        <v/>
      </c>
      <c r="M523" s="2" t="str">
        <f>IF(W523="","",LOOKUP('Extraction edi'!J523,Paramètrage!$A$6:$A$179,Paramètrage!$D$6:$D$179))</f>
        <v/>
      </c>
      <c r="N523" s="3" t="str">
        <f>IF(W523="","",LOOKUP('Extraction edi'!J523,Paramètrage!$A$6:$A$179,Paramètrage!$E$6:$E$179))</f>
        <v/>
      </c>
      <c r="O523" s="3" t="str">
        <f t="shared" si="164"/>
        <v/>
      </c>
      <c r="P523" s="3" t="str">
        <f t="shared" si="165"/>
        <v/>
      </c>
      <c r="Q523" s="3" t="str">
        <f t="shared" si="158"/>
        <v/>
      </c>
      <c r="R523" s="3" t="str">
        <f t="shared" si="166"/>
        <v/>
      </c>
      <c r="S523" s="3" t="str">
        <f t="shared" si="167"/>
        <v/>
      </c>
      <c r="T523" s="4" t="str">
        <f t="shared" si="168"/>
        <v/>
      </c>
      <c r="U523" s="5" t="str">
        <f t="shared" si="169"/>
        <v/>
      </c>
      <c r="V523" s="7" t="str">
        <f>IF(W523="","",IF(LOOKUP(W523,'Extration 3E date commande'!$A$6:$A$10000)=W523,LOOKUP(W523,'Extration 3E date commande'!$A$6:$A$10000,'Extration 3E date commande'!$C$6:$C$10000),"PAS DE DATE"))</f>
        <v/>
      </c>
    </row>
    <row r="524" spans="1:22" x14ac:dyDescent="0.25">
      <c r="A524" s="3" t="str">
        <f t="shared" si="159"/>
        <v/>
      </c>
      <c r="B524" s="3" t="str">
        <f t="shared" si="160"/>
        <v/>
      </c>
      <c r="C524" s="3" t="str">
        <f t="shared" si="174"/>
        <v/>
      </c>
      <c r="D524" s="3" t="str">
        <f t="shared" si="170"/>
        <v/>
      </c>
      <c r="E524" s="3" t="str">
        <f t="shared" si="171"/>
        <v/>
      </c>
      <c r="F524" s="3" t="str">
        <f t="shared" si="172"/>
        <v/>
      </c>
      <c r="G524" s="3" t="str">
        <f t="shared" si="173"/>
        <v/>
      </c>
      <c r="H524" s="3" t="str">
        <f t="shared" si="161"/>
        <v/>
      </c>
      <c r="I524" s="3" t="str">
        <f t="shared" si="162"/>
        <v/>
      </c>
      <c r="J524" s="2" t="str">
        <f t="shared" si="163"/>
        <v/>
      </c>
      <c r="K524" s="2" t="str">
        <f>IF(W524="","",LOOKUP('Extraction edi'!J524,Paramètrage!$A$6:$A$179,Paramètrage!$B$6:$B$179))</f>
        <v/>
      </c>
      <c r="L524" s="2" t="str">
        <f>IF(W524="","",LOOKUP('Extraction edi'!J524,Paramètrage!$A$6:$A$179,Paramètrage!$C$6:$C$179))</f>
        <v/>
      </c>
      <c r="M524" s="2" t="str">
        <f>IF(W524="","",LOOKUP('Extraction edi'!J524,Paramètrage!$A$6:$A$179,Paramètrage!$D$6:$D$179))</f>
        <v/>
      </c>
      <c r="N524" s="3" t="str">
        <f>IF(W524="","",LOOKUP('Extraction edi'!J524,Paramètrage!$A$6:$A$179,Paramètrage!$E$6:$E$179))</f>
        <v/>
      </c>
      <c r="O524" s="3" t="str">
        <f t="shared" si="164"/>
        <v/>
      </c>
      <c r="P524" s="3" t="str">
        <f t="shared" si="165"/>
        <v/>
      </c>
      <c r="Q524" s="3" t="str">
        <f t="shared" si="158"/>
        <v/>
      </c>
      <c r="R524" s="3" t="str">
        <f t="shared" si="166"/>
        <v/>
      </c>
      <c r="S524" s="3" t="str">
        <f t="shared" si="167"/>
        <v/>
      </c>
      <c r="T524" s="4" t="str">
        <f t="shared" si="168"/>
        <v/>
      </c>
      <c r="U524" s="5" t="str">
        <f t="shared" si="169"/>
        <v/>
      </c>
      <c r="V524" s="7" t="str">
        <f>IF(W524="","",IF(LOOKUP(W524,'Extration 3E date commande'!$A$6:$A$10000)=W524,LOOKUP(W524,'Extration 3E date commande'!$A$6:$A$10000,'Extration 3E date commande'!$C$6:$C$10000),"PAS DE DATE"))</f>
        <v/>
      </c>
    </row>
    <row r="525" spans="1:22" x14ac:dyDescent="0.25">
      <c r="A525" s="3" t="str">
        <f t="shared" si="159"/>
        <v/>
      </c>
      <c r="B525" s="3" t="str">
        <f t="shared" si="160"/>
        <v/>
      </c>
      <c r="C525" s="3" t="str">
        <f t="shared" si="174"/>
        <v/>
      </c>
      <c r="D525" s="3" t="str">
        <f t="shared" si="170"/>
        <v/>
      </c>
      <c r="E525" s="3" t="str">
        <f t="shared" si="171"/>
        <v/>
      </c>
      <c r="F525" s="3" t="str">
        <f t="shared" si="172"/>
        <v/>
      </c>
      <c r="G525" s="3" t="str">
        <f t="shared" si="173"/>
        <v/>
      </c>
      <c r="H525" s="3" t="str">
        <f t="shared" si="161"/>
        <v/>
      </c>
      <c r="I525" s="3" t="str">
        <f t="shared" si="162"/>
        <v/>
      </c>
      <c r="J525" s="2" t="str">
        <f t="shared" si="163"/>
        <v/>
      </c>
      <c r="K525" s="2" t="str">
        <f>IF(W525="","",LOOKUP('Extraction edi'!J525,Paramètrage!$A$6:$A$179,Paramètrage!$B$6:$B$179))</f>
        <v/>
      </c>
      <c r="L525" s="2" t="str">
        <f>IF(W525="","",LOOKUP('Extraction edi'!J525,Paramètrage!$A$6:$A$179,Paramètrage!$C$6:$C$179))</f>
        <v/>
      </c>
      <c r="M525" s="2" t="str">
        <f>IF(W525="","",LOOKUP('Extraction edi'!J525,Paramètrage!$A$6:$A$179,Paramètrage!$D$6:$D$179))</f>
        <v/>
      </c>
      <c r="N525" s="3" t="str">
        <f>IF(W525="","",LOOKUP('Extraction edi'!J525,Paramètrage!$A$6:$A$179,Paramètrage!$E$6:$E$179))</f>
        <v/>
      </c>
      <c r="O525" s="3" t="str">
        <f t="shared" si="164"/>
        <v/>
      </c>
      <c r="P525" s="3" t="str">
        <f t="shared" si="165"/>
        <v/>
      </c>
      <c r="Q525" s="3" t="str">
        <f t="shared" si="158"/>
        <v/>
      </c>
      <c r="R525" s="3" t="str">
        <f t="shared" si="166"/>
        <v/>
      </c>
      <c r="S525" s="3" t="str">
        <f t="shared" si="167"/>
        <v/>
      </c>
      <c r="T525" s="4" t="str">
        <f t="shared" si="168"/>
        <v/>
      </c>
      <c r="U525" s="5" t="str">
        <f t="shared" si="169"/>
        <v/>
      </c>
      <c r="V525" s="7" t="str">
        <f>IF(W525="","",IF(LOOKUP(W525,'Extration 3E date commande'!$A$6:$A$10000)=W525,LOOKUP(W525,'Extration 3E date commande'!$A$6:$A$10000,'Extration 3E date commande'!$C$6:$C$10000),"PAS DE DATE"))</f>
        <v/>
      </c>
    </row>
    <row r="526" spans="1:22" x14ac:dyDescent="0.25">
      <c r="A526" s="3" t="str">
        <f t="shared" si="159"/>
        <v/>
      </c>
      <c r="B526" s="3" t="str">
        <f t="shared" si="160"/>
        <v/>
      </c>
      <c r="C526" s="3" t="str">
        <f t="shared" si="174"/>
        <v/>
      </c>
      <c r="D526" s="3" t="str">
        <f t="shared" si="170"/>
        <v/>
      </c>
      <c r="E526" s="3" t="str">
        <f t="shared" si="171"/>
        <v/>
      </c>
      <c r="F526" s="3" t="str">
        <f t="shared" si="172"/>
        <v/>
      </c>
      <c r="G526" s="3" t="str">
        <f t="shared" si="173"/>
        <v/>
      </c>
      <c r="H526" s="3" t="str">
        <f t="shared" si="161"/>
        <v/>
      </c>
      <c r="I526" s="3" t="str">
        <f t="shared" si="162"/>
        <v/>
      </c>
      <c r="J526" s="2" t="str">
        <f t="shared" si="163"/>
        <v/>
      </c>
      <c r="K526" s="2" t="str">
        <f>IF(W526="","",LOOKUP('Extraction edi'!J526,Paramètrage!$A$6:$A$179,Paramètrage!$B$6:$B$179))</f>
        <v/>
      </c>
      <c r="L526" s="2" t="str">
        <f>IF(W526="","",LOOKUP('Extraction edi'!J526,Paramètrage!$A$6:$A$179,Paramètrage!$C$6:$C$179))</f>
        <v/>
      </c>
      <c r="M526" s="2" t="str">
        <f>IF(W526="","",LOOKUP('Extraction edi'!J526,Paramètrage!$A$6:$A$179,Paramètrage!$D$6:$D$179))</f>
        <v/>
      </c>
      <c r="N526" s="3" t="str">
        <f>IF(W526="","",LOOKUP('Extraction edi'!J526,Paramètrage!$A$6:$A$179,Paramètrage!$E$6:$E$179))</f>
        <v/>
      </c>
      <c r="O526" s="3" t="str">
        <f t="shared" si="164"/>
        <v/>
      </c>
      <c r="P526" s="3" t="str">
        <f t="shared" si="165"/>
        <v/>
      </c>
      <c r="Q526" s="3" t="str">
        <f t="shared" si="158"/>
        <v/>
      </c>
      <c r="R526" s="3" t="str">
        <f t="shared" si="166"/>
        <v/>
      </c>
      <c r="S526" s="3" t="str">
        <f t="shared" si="167"/>
        <v/>
      </c>
      <c r="T526" s="4" t="str">
        <f t="shared" si="168"/>
        <v/>
      </c>
      <c r="U526" s="5" t="str">
        <f t="shared" si="169"/>
        <v/>
      </c>
      <c r="V526" s="7" t="str">
        <f>IF(W526="","",IF(LOOKUP(W526,'Extration 3E date commande'!$A$6:$A$10000)=W526,LOOKUP(W526,'Extration 3E date commande'!$A$6:$A$10000,'Extration 3E date commande'!$C$6:$C$10000),"PAS DE DATE"))</f>
        <v/>
      </c>
    </row>
    <row r="527" spans="1:22" x14ac:dyDescent="0.25">
      <c r="A527" s="3" t="str">
        <f t="shared" si="159"/>
        <v/>
      </c>
      <c r="B527" s="3" t="str">
        <f t="shared" si="160"/>
        <v/>
      </c>
      <c r="C527" s="3" t="str">
        <f t="shared" si="174"/>
        <v/>
      </c>
      <c r="D527" s="3" t="str">
        <f t="shared" si="170"/>
        <v/>
      </c>
      <c r="E527" s="3" t="str">
        <f t="shared" si="171"/>
        <v/>
      </c>
      <c r="F527" s="3" t="str">
        <f t="shared" si="172"/>
        <v/>
      </c>
      <c r="G527" s="3" t="str">
        <f t="shared" si="173"/>
        <v/>
      </c>
      <c r="H527" s="3" t="str">
        <f t="shared" si="161"/>
        <v/>
      </c>
      <c r="I527" s="3" t="str">
        <f t="shared" si="162"/>
        <v/>
      </c>
      <c r="J527" s="2" t="str">
        <f t="shared" si="163"/>
        <v/>
      </c>
      <c r="K527" s="2" t="str">
        <f>IF(W527="","",LOOKUP('Extraction edi'!J527,Paramètrage!$A$6:$A$179,Paramètrage!$B$6:$B$179))</f>
        <v/>
      </c>
      <c r="L527" s="2" t="str">
        <f>IF(W527="","",LOOKUP('Extraction edi'!J527,Paramètrage!$A$6:$A$179,Paramètrage!$C$6:$C$179))</f>
        <v/>
      </c>
      <c r="M527" s="2" t="str">
        <f>IF(W527="","",LOOKUP('Extraction edi'!J527,Paramètrage!$A$6:$A$179,Paramètrage!$D$6:$D$179))</f>
        <v/>
      </c>
      <c r="N527" s="3" t="str">
        <f>IF(W527="","",LOOKUP('Extraction edi'!J527,Paramètrage!$A$6:$A$179,Paramètrage!$E$6:$E$179))</f>
        <v/>
      </c>
      <c r="O527" s="3" t="str">
        <f t="shared" si="164"/>
        <v/>
      </c>
      <c r="P527" s="3" t="str">
        <f t="shared" si="165"/>
        <v/>
      </c>
      <c r="Q527" s="3" t="str">
        <f t="shared" ref="Q527:Q590" si="175">IF(ISERROR(SEARCH("laq",J527))=FALSE,"laquage RAL :",IF(ISERROR(SEARCH("lq",J527))=FALSE,"laquage RAL :",IF(ISERROR(SEARCH("ANO",J526))=FALSE,"laquage RAL :",IF(ISERROR(SEARCH("IVOI",J527)),"","laquage RAL :"))))</f>
        <v/>
      </c>
      <c r="R527" s="3" t="str">
        <f t="shared" si="166"/>
        <v/>
      </c>
      <c r="S527" s="3" t="str">
        <f t="shared" si="167"/>
        <v/>
      </c>
      <c r="T527" s="4" t="str">
        <f t="shared" si="168"/>
        <v/>
      </c>
      <c r="U527" s="5" t="str">
        <f t="shared" si="169"/>
        <v/>
      </c>
      <c r="V527" s="7" t="str">
        <f>IF(W527="","",IF(LOOKUP(W527,'Extration 3E date commande'!$A$6:$A$10000)=W527,LOOKUP(W527,'Extration 3E date commande'!$A$6:$A$10000,'Extration 3E date commande'!$C$6:$C$10000),"PAS DE DATE"))</f>
        <v/>
      </c>
    </row>
    <row r="528" spans="1:22" x14ac:dyDescent="0.25">
      <c r="A528" s="3" t="str">
        <f t="shared" si="159"/>
        <v/>
      </c>
      <c r="B528" s="3" t="str">
        <f t="shared" si="160"/>
        <v/>
      </c>
      <c r="C528" s="3" t="str">
        <f t="shared" si="174"/>
        <v/>
      </c>
      <c r="D528" s="3" t="str">
        <f t="shared" si="170"/>
        <v/>
      </c>
      <c r="E528" s="3" t="str">
        <f t="shared" si="171"/>
        <v/>
      </c>
      <c r="F528" s="3" t="str">
        <f t="shared" si="172"/>
        <v/>
      </c>
      <c r="G528" s="3" t="str">
        <f t="shared" si="173"/>
        <v/>
      </c>
      <c r="H528" s="3" t="str">
        <f t="shared" si="161"/>
        <v/>
      </c>
      <c r="I528" s="3" t="str">
        <f t="shared" si="162"/>
        <v/>
      </c>
      <c r="J528" s="2" t="str">
        <f t="shared" si="163"/>
        <v/>
      </c>
      <c r="K528" s="2" t="str">
        <f>IF(W528="","",LOOKUP('Extraction edi'!J528,Paramètrage!$A$6:$A$179,Paramètrage!$B$6:$B$179))</f>
        <v/>
      </c>
      <c r="L528" s="2" t="str">
        <f>IF(W528="","",LOOKUP('Extraction edi'!J528,Paramètrage!$A$6:$A$179,Paramètrage!$C$6:$C$179))</f>
        <v/>
      </c>
      <c r="M528" s="2" t="str">
        <f>IF(W528="","",LOOKUP('Extraction edi'!J528,Paramètrage!$A$6:$A$179,Paramètrage!$D$6:$D$179))</f>
        <v/>
      </c>
      <c r="N528" s="3" t="str">
        <f>IF(W528="","",LOOKUP('Extraction edi'!J528,Paramètrage!$A$6:$A$179,Paramètrage!$E$6:$E$179))</f>
        <v/>
      </c>
      <c r="O528" s="3" t="str">
        <f t="shared" si="164"/>
        <v/>
      </c>
      <c r="P528" s="3" t="str">
        <f t="shared" si="165"/>
        <v/>
      </c>
      <c r="Q528" s="3" t="str">
        <f t="shared" si="175"/>
        <v/>
      </c>
      <c r="R528" s="3" t="str">
        <f t="shared" si="166"/>
        <v/>
      </c>
      <c r="S528" s="3" t="str">
        <f t="shared" si="167"/>
        <v/>
      </c>
      <c r="T528" s="4" t="str">
        <f t="shared" si="168"/>
        <v/>
      </c>
      <c r="U528" s="5" t="str">
        <f t="shared" si="169"/>
        <v/>
      </c>
      <c r="V528" s="7" t="str">
        <f>IF(W528="","",IF(LOOKUP(W528,'Extration 3E date commande'!$A$6:$A$10000)=W528,LOOKUP(W528,'Extration 3E date commande'!$A$6:$A$10000,'Extration 3E date commande'!$C$6:$C$10000),"PAS DE DATE"))</f>
        <v/>
      </c>
    </row>
    <row r="529" spans="1:22" x14ac:dyDescent="0.25">
      <c r="A529" s="3" t="str">
        <f t="shared" si="159"/>
        <v/>
      </c>
      <c r="B529" s="3" t="str">
        <f t="shared" si="160"/>
        <v/>
      </c>
      <c r="C529" s="3" t="str">
        <f t="shared" si="174"/>
        <v/>
      </c>
      <c r="D529" s="3" t="str">
        <f t="shared" si="170"/>
        <v/>
      </c>
      <c r="E529" s="3" t="str">
        <f t="shared" si="171"/>
        <v/>
      </c>
      <c r="F529" s="3" t="str">
        <f t="shared" si="172"/>
        <v/>
      </c>
      <c r="G529" s="3" t="str">
        <f t="shared" si="173"/>
        <v/>
      </c>
      <c r="H529" s="3" t="str">
        <f t="shared" si="161"/>
        <v/>
      </c>
      <c r="I529" s="3" t="str">
        <f t="shared" si="162"/>
        <v/>
      </c>
      <c r="J529" s="2" t="str">
        <f t="shared" si="163"/>
        <v/>
      </c>
      <c r="K529" s="2" t="str">
        <f>IF(W529="","",LOOKUP('Extraction edi'!J529,Paramètrage!$A$6:$A$179,Paramètrage!$B$6:$B$179))</f>
        <v/>
      </c>
      <c r="L529" s="2" t="str">
        <f>IF(W529="","",LOOKUP('Extraction edi'!J529,Paramètrage!$A$6:$A$179,Paramètrage!$C$6:$C$179))</f>
        <v/>
      </c>
      <c r="M529" s="2" t="str">
        <f>IF(W529="","",LOOKUP('Extraction edi'!J529,Paramètrage!$A$6:$A$179,Paramètrage!$D$6:$D$179))</f>
        <v/>
      </c>
      <c r="N529" s="3" t="str">
        <f>IF(W529="","",LOOKUP('Extraction edi'!J529,Paramètrage!$A$6:$A$179,Paramètrage!$E$6:$E$179))</f>
        <v/>
      </c>
      <c r="O529" s="3" t="str">
        <f t="shared" si="164"/>
        <v/>
      </c>
      <c r="P529" s="3" t="str">
        <f t="shared" si="165"/>
        <v/>
      </c>
      <c r="Q529" s="3" t="str">
        <f t="shared" si="175"/>
        <v/>
      </c>
      <c r="R529" s="3" t="str">
        <f t="shared" si="166"/>
        <v/>
      </c>
      <c r="S529" s="3" t="str">
        <f t="shared" si="167"/>
        <v/>
      </c>
      <c r="T529" s="4" t="str">
        <f t="shared" si="168"/>
        <v/>
      </c>
      <c r="U529" s="5" t="str">
        <f t="shared" si="169"/>
        <v/>
      </c>
      <c r="V529" s="7" t="str">
        <f>IF(W529="","",IF(LOOKUP(W529,'Extration 3E date commande'!$A$6:$A$10000)=W529,LOOKUP(W529,'Extration 3E date commande'!$A$6:$A$10000,'Extration 3E date commande'!$C$6:$C$10000),"PAS DE DATE"))</f>
        <v/>
      </c>
    </row>
    <row r="530" spans="1:22" x14ac:dyDescent="0.25">
      <c r="A530" s="3" t="str">
        <f t="shared" si="159"/>
        <v/>
      </c>
      <c r="B530" s="3" t="str">
        <f t="shared" si="160"/>
        <v/>
      </c>
      <c r="C530" s="3" t="str">
        <f t="shared" si="174"/>
        <v/>
      </c>
      <c r="D530" s="3" t="str">
        <f t="shared" si="170"/>
        <v/>
      </c>
      <c r="E530" s="3" t="str">
        <f t="shared" si="171"/>
        <v/>
      </c>
      <c r="F530" s="3" t="str">
        <f t="shared" si="172"/>
        <v/>
      </c>
      <c r="G530" s="3" t="str">
        <f t="shared" si="173"/>
        <v/>
      </c>
      <c r="H530" s="3" t="str">
        <f t="shared" si="161"/>
        <v/>
      </c>
      <c r="I530" s="3" t="str">
        <f t="shared" si="162"/>
        <v/>
      </c>
      <c r="J530" s="2" t="str">
        <f t="shared" si="163"/>
        <v/>
      </c>
      <c r="K530" s="2" t="str">
        <f>IF(W530="","",LOOKUP('Extraction edi'!J530,Paramètrage!$A$6:$A$179,Paramètrage!$B$6:$B$179))</f>
        <v/>
      </c>
      <c r="L530" s="2" t="str">
        <f>IF(W530="","",LOOKUP('Extraction edi'!J530,Paramètrage!$A$6:$A$179,Paramètrage!$C$6:$C$179))</f>
        <v/>
      </c>
      <c r="M530" s="2" t="str">
        <f>IF(W530="","",LOOKUP('Extraction edi'!J530,Paramètrage!$A$6:$A$179,Paramètrage!$D$6:$D$179))</f>
        <v/>
      </c>
      <c r="N530" s="3" t="str">
        <f>IF(W530="","",LOOKUP('Extraction edi'!J530,Paramètrage!$A$6:$A$179,Paramètrage!$E$6:$E$179))</f>
        <v/>
      </c>
      <c r="O530" s="3" t="str">
        <f t="shared" si="164"/>
        <v/>
      </c>
      <c r="P530" s="3" t="str">
        <f t="shared" si="165"/>
        <v/>
      </c>
      <c r="Q530" s="3" t="str">
        <f t="shared" si="175"/>
        <v/>
      </c>
      <c r="R530" s="3" t="str">
        <f t="shared" si="166"/>
        <v/>
      </c>
      <c r="S530" s="3" t="str">
        <f t="shared" si="167"/>
        <v/>
      </c>
      <c r="T530" s="4" t="str">
        <f t="shared" si="168"/>
        <v/>
      </c>
      <c r="U530" s="5" t="str">
        <f t="shared" si="169"/>
        <v/>
      </c>
      <c r="V530" s="7" t="str">
        <f>IF(W530="","",IF(LOOKUP(W530,'Extration 3E date commande'!$A$6:$A$10000)=W530,LOOKUP(W530,'Extration 3E date commande'!$A$6:$A$10000,'Extration 3E date commande'!$C$6:$C$10000),"PAS DE DATE"))</f>
        <v/>
      </c>
    </row>
    <row r="531" spans="1:22" x14ac:dyDescent="0.25">
      <c r="A531" s="3" t="str">
        <f t="shared" si="159"/>
        <v/>
      </c>
      <c r="B531" s="3" t="str">
        <f t="shared" si="160"/>
        <v/>
      </c>
      <c r="C531" s="3" t="str">
        <f t="shared" si="174"/>
        <v/>
      </c>
      <c r="D531" s="3" t="str">
        <f t="shared" si="170"/>
        <v/>
      </c>
      <c r="E531" s="3" t="str">
        <f t="shared" si="171"/>
        <v/>
      </c>
      <c r="F531" s="3" t="str">
        <f t="shared" si="172"/>
        <v/>
      </c>
      <c r="G531" s="3" t="str">
        <f t="shared" si="173"/>
        <v/>
      </c>
      <c r="H531" s="3" t="str">
        <f t="shared" si="161"/>
        <v/>
      </c>
      <c r="I531" s="3" t="str">
        <f t="shared" si="162"/>
        <v/>
      </c>
      <c r="J531" s="2" t="str">
        <f t="shared" si="163"/>
        <v/>
      </c>
      <c r="K531" s="2" t="str">
        <f>IF(W531="","",LOOKUP('Extraction edi'!J531,Paramètrage!$A$6:$A$179,Paramètrage!$B$6:$B$179))</f>
        <v/>
      </c>
      <c r="L531" s="2" t="str">
        <f>IF(W531="","",LOOKUP('Extraction edi'!J531,Paramètrage!$A$6:$A$179,Paramètrage!$C$6:$C$179))</f>
        <v/>
      </c>
      <c r="M531" s="2" t="str">
        <f>IF(W531="","",LOOKUP('Extraction edi'!J531,Paramètrage!$A$6:$A$179,Paramètrage!$D$6:$D$179))</f>
        <v/>
      </c>
      <c r="N531" s="3" t="str">
        <f>IF(W531="","",LOOKUP('Extraction edi'!J531,Paramètrage!$A$6:$A$179,Paramètrage!$E$6:$E$179))</f>
        <v/>
      </c>
      <c r="O531" s="3" t="str">
        <f t="shared" si="164"/>
        <v/>
      </c>
      <c r="P531" s="3" t="str">
        <f t="shared" si="165"/>
        <v/>
      </c>
      <c r="Q531" s="3" t="str">
        <f t="shared" si="175"/>
        <v/>
      </c>
      <c r="R531" s="3" t="str">
        <f t="shared" si="166"/>
        <v/>
      </c>
      <c r="S531" s="3" t="str">
        <f t="shared" si="167"/>
        <v/>
      </c>
      <c r="T531" s="4" t="str">
        <f t="shared" si="168"/>
        <v/>
      </c>
      <c r="U531" s="5" t="str">
        <f t="shared" si="169"/>
        <v/>
      </c>
      <c r="V531" s="7" t="str">
        <f>IF(W531="","",IF(LOOKUP(W531,'Extration 3E date commande'!$A$6:$A$10000)=W531,LOOKUP(W531,'Extration 3E date commande'!$A$6:$A$10000,'Extration 3E date commande'!$C$6:$C$10000),"PAS DE DATE"))</f>
        <v/>
      </c>
    </row>
    <row r="532" spans="1:22" x14ac:dyDescent="0.25">
      <c r="A532" s="3" t="str">
        <f t="shared" si="159"/>
        <v/>
      </c>
      <c r="B532" s="3" t="str">
        <f t="shared" si="160"/>
        <v/>
      </c>
      <c r="C532" s="3" t="str">
        <f t="shared" si="174"/>
        <v/>
      </c>
      <c r="D532" s="3" t="str">
        <f t="shared" si="170"/>
        <v/>
      </c>
      <c r="E532" s="3" t="str">
        <f t="shared" si="171"/>
        <v/>
      </c>
      <c r="F532" s="3" t="str">
        <f t="shared" si="172"/>
        <v/>
      </c>
      <c r="G532" s="3" t="str">
        <f t="shared" si="173"/>
        <v/>
      </c>
      <c r="H532" s="3" t="str">
        <f t="shared" si="161"/>
        <v/>
      </c>
      <c r="I532" s="3" t="str">
        <f t="shared" si="162"/>
        <v/>
      </c>
      <c r="J532" s="2" t="str">
        <f t="shared" si="163"/>
        <v/>
      </c>
      <c r="K532" s="2" t="str">
        <f>IF(W532="","",LOOKUP('Extraction edi'!J532,Paramètrage!$A$6:$A$179,Paramètrage!$B$6:$B$179))</f>
        <v/>
      </c>
      <c r="L532" s="2" t="str">
        <f>IF(W532="","",LOOKUP('Extraction edi'!J532,Paramètrage!$A$6:$A$179,Paramètrage!$C$6:$C$179))</f>
        <v/>
      </c>
      <c r="M532" s="2" t="str">
        <f>IF(W532="","",LOOKUP('Extraction edi'!J532,Paramètrage!$A$6:$A$179,Paramètrage!$D$6:$D$179))</f>
        <v/>
      </c>
      <c r="N532" s="3" t="str">
        <f>IF(W532="","",LOOKUP('Extraction edi'!J532,Paramètrage!$A$6:$A$179,Paramètrage!$E$6:$E$179))</f>
        <v/>
      </c>
      <c r="O532" s="3" t="str">
        <f t="shared" si="164"/>
        <v/>
      </c>
      <c r="P532" s="3" t="str">
        <f t="shared" si="165"/>
        <v/>
      </c>
      <c r="Q532" s="3" t="str">
        <f t="shared" si="175"/>
        <v/>
      </c>
      <c r="R532" s="3" t="str">
        <f t="shared" si="166"/>
        <v/>
      </c>
      <c r="S532" s="3" t="str">
        <f t="shared" si="167"/>
        <v/>
      </c>
      <c r="T532" s="4" t="str">
        <f t="shared" si="168"/>
        <v/>
      </c>
      <c r="U532" s="5" t="str">
        <f t="shared" si="169"/>
        <v/>
      </c>
      <c r="V532" s="7" t="str">
        <f>IF(W532="","",IF(LOOKUP(W532,'Extration 3E date commande'!$A$6:$A$10000)=W532,LOOKUP(W532,'Extration 3E date commande'!$A$6:$A$10000,'Extration 3E date commande'!$C$6:$C$10000),"PAS DE DATE"))</f>
        <v/>
      </c>
    </row>
    <row r="533" spans="1:22" x14ac:dyDescent="0.25">
      <c r="A533" s="3" t="str">
        <f t="shared" si="159"/>
        <v/>
      </c>
      <c r="B533" s="3" t="str">
        <f t="shared" si="160"/>
        <v/>
      </c>
      <c r="C533" s="3" t="str">
        <f t="shared" si="174"/>
        <v/>
      </c>
      <c r="D533" s="3" t="str">
        <f t="shared" si="170"/>
        <v/>
      </c>
      <c r="E533" s="3" t="str">
        <f t="shared" si="171"/>
        <v/>
      </c>
      <c r="F533" s="3" t="str">
        <f t="shared" si="172"/>
        <v/>
      </c>
      <c r="G533" s="3" t="str">
        <f t="shared" si="173"/>
        <v/>
      </c>
      <c r="H533" s="3" t="str">
        <f t="shared" si="161"/>
        <v/>
      </c>
      <c r="I533" s="3" t="str">
        <f t="shared" si="162"/>
        <v/>
      </c>
      <c r="J533" s="2" t="str">
        <f t="shared" si="163"/>
        <v/>
      </c>
      <c r="K533" s="2" t="str">
        <f>IF(W533="","",LOOKUP('Extraction edi'!J533,Paramètrage!$A$6:$A$179,Paramètrage!$B$6:$B$179))</f>
        <v/>
      </c>
      <c r="L533" s="2" t="str">
        <f>IF(W533="","",LOOKUP('Extraction edi'!J533,Paramètrage!$A$6:$A$179,Paramètrage!$C$6:$C$179))</f>
        <v/>
      </c>
      <c r="M533" s="2" t="str">
        <f>IF(W533="","",LOOKUP('Extraction edi'!J533,Paramètrage!$A$6:$A$179,Paramètrage!$D$6:$D$179))</f>
        <v/>
      </c>
      <c r="N533" s="3" t="str">
        <f>IF(W533="","",LOOKUP('Extraction edi'!J533,Paramètrage!$A$6:$A$179,Paramètrage!$E$6:$E$179))</f>
        <v/>
      </c>
      <c r="O533" s="3" t="str">
        <f t="shared" si="164"/>
        <v/>
      </c>
      <c r="P533" s="3" t="str">
        <f t="shared" si="165"/>
        <v/>
      </c>
      <c r="Q533" s="3" t="str">
        <f t="shared" si="175"/>
        <v/>
      </c>
      <c r="R533" s="3" t="str">
        <f t="shared" si="166"/>
        <v/>
      </c>
      <c r="S533" s="3" t="str">
        <f t="shared" si="167"/>
        <v/>
      </c>
      <c r="T533" s="4" t="str">
        <f t="shared" si="168"/>
        <v/>
      </c>
      <c r="U533" s="5" t="str">
        <f t="shared" si="169"/>
        <v/>
      </c>
      <c r="V533" s="7" t="str">
        <f>IF(W533="","",IF(LOOKUP(W533,'Extration 3E date commande'!$A$6:$A$10000)=W533,LOOKUP(W533,'Extration 3E date commande'!$A$6:$A$10000,'Extration 3E date commande'!$C$6:$C$10000),"PAS DE DATE"))</f>
        <v/>
      </c>
    </row>
    <row r="534" spans="1:22" x14ac:dyDescent="0.25">
      <c r="A534" s="3" t="str">
        <f t="shared" ref="A534:A597" si="176">IF(W534="","",LEFT(W534,7))</f>
        <v/>
      </c>
      <c r="B534" s="3" t="str">
        <f t="shared" ref="B534:B597" si="177">IF(W534="","",RIGHT(W534,3))</f>
        <v/>
      </c>
      <c r="C534" s="3" t="str">
        <f t="shared" si="174"/>
        <v/>
      </c>
      <c r="D534" s="3" t="str">
        <f t="shared" si="170"/>
        <v/>
      </c>
      <c r="E534" s="3" t="str">
        <f t="shared" si="171"/>
        <v/>
      </c>
      <c r="F534" s="3" t="str">
        <f t="shared" si="172"/>
        <v/>
      </c>
      <c r="G534" s="3" t="str">
        <f t="shared" si="173"/>
        <v/>
      </c>
      <c r="H534" s="3" t="str">
        <f t="shared" ref="H534:H597" si="178">IF(W534="","",X534)</f>
        <v/>
      </c>
      <c r="I534" s="3" t="str">
        <f t="shared" ref="I534:I597" si="179">IF(W534="","",Z534)</f>
        <v/>
      </c>
      <c r="J534" s="2" t="str">
        <f t="shared" ref="J534:J597" si="180">IF(W534="","",IF(AND(T534=FALSE,T533=FALSE,T532=FALSE,T531=FALSE,T530=FALSE),AA529,IF(AND(T534=FALSE,T533=FALSE,T532=FALSE,T531=FALSE),AA530,IF(AND(T534=FALSE,T533=FALSE,T532=FALSE),AA531,IF(AND(T534=FALSE,T533=FALSE),AA532,IF(T534=FALSE,AA533,AA534))))))</f>
        <v/>
      </c>
      <c r="K534" s="2" t="str">
        <f>IF(W534="","",LOOKUP('Extraction edi'!J534,Paramètrage!$A$6:$A$179,Paramètrage!$B$6:$B$179))</f>
        <v/>
      </c>
      <c r="L534" s="2" t="str">
        <f>IF(W534="","",LOOKUP('Extraction edi'!J534,Paramètrage!$A$6:$A$179,Paramètrage!$C$6:$C$179))</f>
        <v/>
      </c>
      <c r="M534" s="2" t="str">
        <f>IF(W534="","",LOOKUP('Extraction edi'!J534,Paramètrage!$A$6:$A$179,Paramètrage!$D$6:$D$179))</f>
        <v/>
      </c>
      <c r="N534" s="3" t="str">
        <f>IF(W534="","",LOOKUP('Extraction edi'!J534,Paramètrage!$A$6:$A$179,Paramètrage!$E$6:$E$179))</f>
        <v/>
      </c>
      <c r="O534" s="3" t="str">
        <f t="shared" ref="O534:O597" si="181">IF(W534="","",IF(LEFT(AA534,4)="soub",AB534,IF(LEFT(AA534,3)="cim",AB534,AA534)))</f>
        <v/>
      </c>
      <c r="P534" s="3" t="str">
        <f t="shared" ref="P534:P597" si="182">IF(LEFT(U534,1)="N",SUBSTITUTE(AB534,"*",""),IF(LEFT(U534,1)="S",SUBSTITUTE(AB534,"*",""),IF(LEFT(U534,1)="G",SUBSTITUTE(AB534,"*",""),IF(LEN(U534)=11,SUBSTITUTE(AB534,"*",""),U534))))</f>
        <v/>
      </c>
      <c r="Q534" s="3" t="str">
        <f t="shared" si="175"/>
        <v/>
      </c>
      <c r="R534" s="3" t="str">
        <f t="shared" ref="R534:R597" si="183">IF(W534="","",IF(RIGHT(L534,7)="RAL9001",L534,IF(LEFT(AE534,1)="N",AE534,IF(LEFT(AE534,1)="S",AE534,IF(LEFT(AE534,1)="G",AE534,"")))))</f>
        <v/>
      </c>
      <c r="S534" s="3" t="str">
        <f t="shared" ref="S534:S597" si="184">IF(W534="","",IF(RIGHT(M534,7)="RAL9001",M534,IF(LEFT(AC534,1)="N",AC534,IF(LEFT(AC534,1)="S",AC534,IF(LEFT(AC534,1)="G",AC534,IF(LEFT(AD534,1)="N",AD534,IF(LEFT(AD534,1)="S",AD534,IF(LEFT(AD534,1)="G",AD534,""))))))))</f>
        <v/>
      </c>
      <c r="T534" s="4" t="str">
        <f t="shared" ref="T534:T597" si="185">IF(W534="","",IF(LEFT(AA534,4)&lt;&gt;"soub",IF(LEFT(AA534,3)&lt;&gt;"cim"=FALSE,AA534),AA534))</f>
        <v/>
      </c>
      <c r="U534" s="5" t="str">
        <f t="shared" ref="U534:U597" si="186">SUBSTITUTE(AC534,"*","")</f>
        <v/>
      </c>
      <c r="V534" s="7" t="str">
        <f>IF(W534="","",IF(LOOKUP(W534,'Extration 3E date commande'!$A$6:$A$10000)=W534,LOOKUP(W534,'Extration 3E date commande'!$A$6:$A$10000,'Extration 3E date commande'!$C$6:$C$10000),"PAS DE DATE"))</f>
        <v/>
      </c>
    </row>
    <row r="535" spans="1:22" x14ac:dyDescent="0.25">
      <c r="A535" s="3" t="str">
        <f t="shared" si="176"/>
        <v/>
      </c>
      <c r="B535" s="3" t="str">
        <f t="shared" si="177"/>
        <v/>
      </c>
      <c r="C535" s="3" t="str">
        <f t="shared" si="174"/>
        <v/>
      </c>
      <c r="D535" s="3" t="str">
        <f t="shared" si="170"/>
        <v/>
      </c>
      <c r="E535" s="3" t="str">
        <f t="shared" si="171"/>
        <v/>
      </c>
      <c r="F535" s="3" t="str">
        <f t="shared" si="172"/>
        <v/>
      </c>
      <c r="G535" s="3" t="str">
        <f t="shared" si="173"/>
        <v/>
      </c>
      <c r="H535" s="3" t="str">
        <f t="shared" si="178"/>
        <v/>
      </c>
      <c r="I535" s="3" t="str">
        <f t="shared" si="179"/>
        <v/>
      </c>
      <c r="J535" s="2" t="str">
        <f t="shared" si="180"/>
        <v/>
      </c>
      <c r="K535" s="2" t="str">
        <f>IF(W535="","",LOOKUP('Extraction edi'!J535,Paramètrage!$A$6:$A$179,Paramètrage!$B$6:$B$179))</f>
        <v/>
      </c>
      <c r="L535" s="2" t="str">
        <f>IF(W535="","",LOOKUP('Extraction edi'!J535,Paramètrage!$A$6:$A$179,Paramètrage!$C$6:$C$179))</f>
        <v/>
      </c>
      <c r="M535" s="2" t="str">
        <f>IF(W535="","",LOOKUP('Extraction edi'!J535,Paramètrage!$A$6:$A$179,Paramètrage!$D$6:$D$179))</f>
        <v/>
      </c>
      <c r="N535" s="3" t="str">
        <f>IF(W535="","",LOOKUP('Extraction edi'!J535,Paramètrage!$A$6:$A$179,Paramètrage!$E$6:$E$179))</f>
        <v/>
      </c>
      <c r="O535" s="3" t="str">
        <f t="shared" si="181"/>
        <v/>
      </c>
      <c r="P535" s="3" t="str">
        <f t="shared" si="182"/>
        <v/>
      </c>
      <c r="Q535" s="3" t="str">
        <f t="shared" si="175"/>
        <v/>
      </c>
      <c r="R535" s="3" t="str">
        <f t="shared" si="183"/>
        <v/>
      </c>
      <c r="S535" s="3" t="str">
        <f t="shared" si="184"/>
        <v/>
      </c>
      <c r="T535" s="4" t="str">
        <f t="shared" si="185"/>
        <v/>
      </c>
      <c r="U535" s="5" t="str">
        <f t="shared" si="186"/>
        <v/>
      </c>
      <c r="V535" s="7" t="str">
        <f>IF(W535="","",IF(LOOKUP(W535,'Extration 3E date commande'!$A$6:$A$10000)=W535,LOOKUP(W535,'Extration 3E date commande'!$A$6:$A$10000,'Extration 3E date commande'!$C$6:$C$10000),"PAS DE DATE"))</f>
        <v/>
      </c>
    </row>
    <row r="536" spans="1:22" x14ac:dyDescent="0.25">
      <c r="A536" s="3" t="str">
        <f t="shared" si="176"/>
        <v/>
      </c>
      <c r="B536" s="3" t="str">
        <f t="shared" si="177"/>
        <v/>
      </c>
      <c r="C536" s="3" t="str">
        <f t="shared" si="174"/>
        <v/>
      </c>
      <c r="D536" s="3" t="str">
        <f t="shared" si="170"/>
        <v/>
      </c>
      <c r="E536" s="3" t="str">
        <f t="shared" si="171"/>
        <v/>
      </c>
      <c r="F536" s="3" t="str">
        <f t="shared" si="172"/>
        <v/>
      </c>
      <c r="G536" s="3" t="str">
        <f t="shared" si="173"/>
        <v/>
      </c>
      <c r="H536" s="3" t="str">
        <f t="shared" si="178"/>
        <v/>
      </c>
      <c r="I536" s="3" t="str">
        <f t="shared" si="179"/>
        <v/>
      </c>
      <c r="J536" s="2" t="str">
        <f t="shared" si="180"/>
        <v/>
      </c>
      <c r="K536" s="2" t="str">
        <f>IF(W536="","",LOOKUP('Extraction edi'!J536,Paramètrage!$A$6:$A$179,Paramètrage!$B$6:$B$179))</f>
        <v/>
      </c>
      <c r="L536" s="2" t="str">
        <f>IF(W536="","",LOOKUP('Extraction edi'!J536,Paramètrage!$A$6:$A$179,Paramètrage!$C$6:$C$179))</f>
        <v/>
      </c>
      <c r="M536" s="2" t="str">
        <f>IF(W536="","",LOOKUP('Extraction edi'!J536,Paramètrage!$A$6:$A$179,Paramètrage!$D$6:$D$179))</f>
        <v/>
      </c>
      <c r="N536" s="3" t="str">
        <f>IF(W536="","",LOOKUP('Extraction edi'!J536,Paramètrage!$A$6:$A$179,Paramètrage!$E$6:$E$179))</f>
        <v/>
      </c>
      <c r="O536" s="3" t="str">
        <f t="shared" si="181"/>
        <v/>
      </c>
      <c r="P536" s="3" t="str">
        <f t="shared" si="182"/>
        <v/>
      </c>
      <c r="Q536" s="3" t="str">
        <f t="shared" si="175"/>
        <v/>
      </c>
      <c r="R536" s="3" t="str">
        <f t="shared" si="183"/>
        <v/>
      </c>
      <c r="S536" s="3" t="str">
        <f t="shared" si="184"/>
        <v/>
      </c>
      <c r="T536" s="4" t="str">
        <f t="shared" si="185"/>
        <v/>
      </c>
      <c r="U536" s="5" t="str">
        <f t="shared" si="186"/>
        <v/>
      </c>
      <c r="V536" s="7" t="str">
        <f>IF(W536="","",IF(LOOKUP(W536,'Extration 3E date commande'!$A$6:$A$10000)=W536,LOOKUP(W536,'Extration 3E date commande'!$A$6:$A$10000,'Extration 3E date commande'!$C$6:$C$10000),"PAS DE DATE"))</f>
        <v/>
      </c>
    </row>
    <row r="537" spans="1:22" x14ac:dyDescent="0.25">
      <c r="A537" s="3" t="str">
        <f t="shared" si="176"/>
        <v/>
      </c>
      <c r="B537" s="3" t="str">
        <f t="shared" si="177"/>
        <v/>
      </c>
      <c r="C537" s="3" t="str">
        <f t="shared" si="174"/>
        <v/>
      </c>
      <c r="D537" s="3" t="str">
        <f t="shared" si="170"/>
        <v/>
      </c>
      <c r="E537" s="3" t="str">
        <f t="shared" si="171"/>
        <v/>
      </c>
      <c r="F537" s="3" t="str">
        <f t="shared" si="172"/>
        <v/>
      </c>
      <c r="G537" s="3" t="str">
        <f t="shared" si="173"/>
        <v/>
      </c>
      <c r="H537" s="3" t="str">
        <f t="shared" si="178"/>
        <v/>
      </c>
      <c r="I537" s="3" t="str">
        <f t="shared" si="179"/>
        <v/>
      </c>
      <c r="J537" s="2" t="str">
        <f t="shared" si="180"/>
        <v/>
      </c>
      <c r="K537" s="2" t="str">
        <f>IF(W537="","",LOOKUP('Extraction edi'!J537,Paramètrage!$A$6:$A$179,Paramètrage!$B$6:$B$179))</f>
        <v/>
      </c>
      <c r="L537" s="2" t="str">
        <f>IF(W537="","",LOOKUP('Extraction edi'!J537,Paramètrage!$A$6:$A$179,Paramètrage!$C$6:$C$179))</f>
        <v/>
      </c>
      <c r="M537" s="2" t="str">
        <f>IF(W537="","",LOOKUP('Extraction edi'!J537,Paramètrage!$A$6:$A$179,Paramètrage!$D$6:$D$179))</f>
        <v/>
      </c>
      <c r="N537" s="3" t="str">
        <f>IF(W537="","",LOOKUP('Extraction edi'!J537,Paramètrage!$A$6:$A$179,Paramètrage!$E$6:$E$179))</f>
        <v/>
      </c>
      <c r="O537" s="3" t="str">
        <f t="shared" si="181"/>
        <v/>
      </c>
      <c r="P537" s="3" t="str">
        <f t="shared" si="182"/>
        <v/>
      </c>
      <c r="Q537" s="3" t="str">
        <f t="shared" si="175"/>
        <v/>
      </c>
      <c r="R537" s="3" t="str">
        <f t="shared" si="183"/>
        <v/>
      </c>
      <c r="S537" s="3" t="str">
        <f t="shared" si="184"/>
        <v/>
      </c>
      <c r="T537" s="4" t="str">
        <f t="shared" si="185"/>
        <v/>
      </c>
      <c r="U537" s="5" t="str">
        <f t="shared" si="186"/>
        <v/>
      </c>
      <c r="V537" s="7" t="str">
        <f>IF(W537="","",IF(LOOKUP(W537,'Extration 3E date commande'!$A$6:$A$10000)=W537,LOOKUP(W537,'Extration 3E date commande'!$A$6:$A$10000,'Extration 3E date commande'!$C$6:$C$10000),"PAS DE DATE"))</f>
        <v/>
      </c>
    </row>
    <row r="538" spans="1:22" x14ac:dyDescent="0.25">
      <c r="A538" s="3" t="str">
        <f t="shared" si="176"/>
        <v/>
      </c>
      <c r="B538" s="3" t="str">
        <f t="shared" si="177"/>
        <v/>
      </c>
      <c r="C538" s="3" t="str">
        <f t="shared" si="174"/>
        <v/>
      </c>
      <c r="D538" s="3" t="str">
        <f t="shared" si="170"/>
        <v/>
      </c>
      <c r="E538" s="3" t="str">
        <f t="shared" si="171"/>
        <v/>
      </c>
      <c r="F538" s="3" t="str">
        <f t="shared" si="172"/>
        <v/>
      </c>
      <c r="G538" s="3" t="str">
        <f t="shared" si="173"/>
        <v/>
      </c>
      <c r="H538" s="3" t="str">
        <f t="shared" si="178"/>
        <v/>
      </c>
      <c r="I538" s="3" t="str">
        <f t="shared" si="179"/>
        <v/>
      </c>
      <c r="J538" s="2" t="str">
        <f t="shared" si="180"/>
        <v/>
      </c>
      <c r="K538" s="2" t="str">
        <f>IF(W538="","",LOOKUP('Extraction edi'!J538,Paramètrage!$A$6:$A$179,Paramètrage!$B$6:$B$179))</f>
        <v/>
      </c>
      <c r="L538" s="2" t="str">
        <f>IF(W538="","",LOOKUP('Extraction edi'!J538,Paramètrage!$A$6:$A$179,Paramètrage!$C$6:$C$179))</f>
        <v/>
      </c>
      <c r="M538" s="2" t="str">
        <f>IF(W538="","",LOOKUP('Extraction edi'!J538,Paramètrage!$A$6:$A$179,Paramètrage!$D$6:$D$179))</f>
        <v/>
      </c>
      <c r="N538" s="3" t="str">
        <f>IF(W538="","",LOOKUP('Extraction edi'!J538,Paramètrage!$A$6:$A$179,Paramètrage!$E$6:$E$179))</f>
        <v/>
      </c>
      <c r="O538" s="3" t="str">
        <f t="shared" si="181"/>
        <v/>
      </c>
      <c r="P538" s="3" t="str">
        <f t="shared" si="182"/>
        <v/>
      </c>
      <c r="Q538" s="3" t="str">
        <f t="shared" si="175"/>
        <v/>
      </c>
      <c r="R538" s="3" t="str">
        <f t="shared" si="183"/>
        <v/>
      </c>
      <c r="S538" s="3" t="str">
        <f t="shared" si="184"/>
        <v/>
      </c>
      <c r="T538" s="4" t="str">
        <f t="shared" si="185"/>
        <v/>
      </c>
      <c r="U538" s="5" t="str">
        <f t="shared" si="186"/>
        <v/>
      </c>
      <c r="V538" s="7" t="str">
        <f>IF(W538="","",IF(LOOKUP(W538,'Extration 3E date commande'!$A$6:$A$10000)=W538,LOOKUP(W538,'Extration 3E date commande'!$A$6:$A$10000,'Extration 3E date commande'!$C$6:$C$10000),"PAS DE DATE"))</f>
        <v/>
      </c>
    </row>
    <row r="539" spans="1:22" x14ac:dyDescent="0.25">
      <c r="A539" s="3" t="str">
        <f t="shared" si="176"/>
        <v/>
      </c>
      <c r="B539" s="3" t="str">
        <f t="shared" si="177"/>
        <v/>
      </c>
      <c r="C539" s="3" t="str">
        <f t="shared" si="174"/>
        <v/>
      </c>
      <c r="D539" s="3" t="str">
        <f t="shared" si="170"/>
        <v/>
      </c>
      <c r="E539" s="3" t="str">
        <f t="shared" si="171"/>
        <v/>
      </c>
      <c r="F539" s="3" t="str">
        <f t="shared" si="172"/>
        <v/>
      </c>
      <c r="G539" s="3" t="str">
        <f t="shared" si="173"/>
        <v/>
      </c>
      <c r="H539" s="3" t="str">
        <f t="shared" si="178"/>
        <v/>
      </c>
      <c r="I539" s="3" t="str">
        <f t="shared" si="179"/>
        <v/>
      </c>
      <c r="J539" s="2" t="str">
        <f t="shared" si="180"/>
        <v/>
      </c>
      <c r="K539" s="2" t="str">
        <f>IF(W539="","",LOOKUP('Extraction edi'!J539,Paramètrage!$A$6:$A$179,Paramètrage!$B$6:$B$179))</f>
        <v/>
      </c>
      <c r="L539" s="2" t="str">
        <f>IF(W539="","",LOOKUP('Extraction edi'!J539,Paramètrage!$A$6:$A$179,Paramètrage!$C$6:$C$179))</f>
        <v/>
      </c>
      <c r="M539" s="2" t="str">
        <f>IF(W539="","",LOOKUP('Extraction edi'!J539,Paramètrage!$A$6:$A$179,Paramètrage!$D$6:$D$179))</f>
        <v/>
      </c>
      <c r="N539" s="3" t="str">
        <f>IF(W539="","",LOOKUP('Extraction edi'!J539,Paramètrage!$A$6:$A$179,Paramètrage!$E$6:$E$179))</f>
        <v/>
      </c>
      <c r="O539" s="3" t="str">
        <f t="shared" si="181"/>
        <v/>
      </c>
      <c r="P539" s="3" t="str">
        <f t="shared" si="182"/>
        <v/>
      </c>
      <c r="Q539" s="3" t="str">
        <f t="shared" si="175"/>
        <v/>
      </c>
      <c r="R539" s="3" t="str">
        <f t="shared" si="183"/>
        <v/>
      </c>
      <c r="S539" s="3" t="str">
        <f t="shared" si="184"/>
        <v/>
      </c>
      <c r="T539" s="4" t="str">
        <f t="shared" si="185"/>
        <v/>
      </c>
      <c r="U539" s="5" t="str">
        <f t="shared" si="186"/>
        <v/>
      </c>
      <c r="V539" s="7" t="str">
        <f>IF(W539="","",IF(LOOKUP(W539,'Extration 3E date commande'!$A$6:$A$10000)=W539,LOOKUP(W539,'Extration 3E date commande'!$A$6:$A$10000,'Extration 3E date commande'!$C$6:$C$10000),"PAS DE DATE"))</f>
        <v/>
      </c>
    </row>
    <row r="540" spans="1:22" x14ac:dyDescent="0.25">
      <c r="A540" s="3" t="str">
        <f t="shared" si="176"/>
        <v/>
      </c>
      <c r="B540" s="3" t="str">
        <f t="shared" si="177"/>
        <v/>
      </c>
      <c r="C540" s="3" t="str">
        <f t="shared" si="174"/>
        <v/>
      </c>
      <c r="D540" s="3" t="str">
        <f t="shared" si="170"/>
        <v/>
      </c>
      <c r="E540" s="3" t="str">
        <f t="shared" si="171"/>
        <v/>
      </c>
      <c r="F540" s="3" t="str">
        <f t="shared" si="172"/>
        <v/>
      </c>
      <c r="G540" s="3" t="str">
        <f t="shared" si="173"/>
        <v/>
      </c>
      <c r="H540" s="3" t="str">
        <f t="shared" si="178"/>
        <v/>
      </c>
      <c r="I540" s="3" t="str">
        <f t="shared" si="179"/>
        <v/>
      </c>
      <c r="J540" s="2" t="str">
        <f t="shared" si="180"/>
        <v/>
      </c>
      <c r="K540" s="2" t="str">
        <f>IF(W540="","",LOOKUP('Extraction edi'!J540,Paramètrage!$A$6:$A$179,Paramètrage!$B$6:$B$179))</f>
        <v/>
      </c>
      <c r="L540" s="2" t="str">
        <f>IF(W540="","",LOOKUP('Extraction edi'!J540,Paramètrage!$A$6:$A$179,Paramètrage!$C$6:$C$179))</f>
        <v/>
      </c>
      <c r="M540" s="2" t="str">
        <f>IF(W540="","",LOOKUP('Extraction edi'!J540,Paramètrage!$A$6:$A$179,Paramètrage!$D$6:$D$179))</f>
        <v/>
      </c>
      <c r="N540" s="3" t="str">
        <f>IF(W540="","",LOOKUP('Extraction edi'!J540,Paramètrage!$A$6:$A$179,Paramètrage!$E$6:$E$179))</f>
        <v/>
      </c>
      <c r="O540" s="3" t="str">
        <f t="shared" si="181"/>
        <v/>
      </c>
      <c r="P540" s="3" t="str">
        <f t="shared" si="182"/>
        <v/>
      </c>
      <c r="Q540" s="3" t="str">
        <f t="shared" si="175"/>
        <v/>
      </c>
      <c r="R540" s="3" t="str">
        <f t="shared" si="183"/>
        <v/>
      </c>
      <c r="S540" s="3" t="str">
        <f t="shared" si="184"/>
        <v/>
      </c>
      <c r="T540" s="4" t="str">
        <f t="shared" si="185"/>
        <v/>
      </c>
      <c r="U540" s="5" t="str">
        <f t="shared" si="186"/>
        <v/>
      </c>
      <c r="V540" s="7" t="str">
        <f>IF(W540="","",IF(LOOKUP(W540,'Extration 3E date commande'!$A$6:$A$10000)=W540,LOOKUP(W540,'Extration 3E date commande'!$A$6:$A$10000,'Extration 3E date commande'!$C$6:$C$10000),"PAS DE DATE"))</f>
        <v/>
      </c>
    </row>
    <row r="541" spans="1:22" x14ac:dyDescent="0.25">
      <c r="A541" s="3" t="str">
        <f t="shared" si="176"/>
        <v/>
      </c>
      <c r="B541" s="3" t="str">
        <f t="shared" si="177"/>
        <v/>
      </c>
      <c r="C541" s="3" t="str">
        <f t="shared" si="174"/>
        <v/>
      </c>
      <c r="D541" s="3" t="str">
        <f t="shared" si="170"/>
        <v/>
      </c>
      <c r="E541" s="3" t="str">
        <f t="shared" si="171"/>
        <v/>
      </c>
      <c r="F541" s="3" t="str">
        <f t="shared" si="172"/>
        <v/>
      </c>
      <c r="G541" s="3" t="str">
        <f t="shared" si="173"/>
        <v/>
      </c>
      <c r="H541" s="3" t="str">
        <f t="shared" si="178"/>
        <v/>
      </c>
      <c r="I541" s="3" t="str">
        <f t="shared" si="179"/>
        <v/>
      </c>
      <c r="J541" s="2" t="str">
        <f t="shared" si="180"/>
        <v/>
      </c>
      <c r="K541" s="2" t="str">
        <f>IF(W541="","",LOOKUP('Extraction edi'!J541,Paramètrage!$A$6:$A$179,Paramètrage!$B$6:$B$179))</f>
        <v/>
      </c>
      <c r="L541" s="2" t="str">
        <f>IF(W541="","",LOOKUP('Extraction edi'!J541,Paramètrage!$A$6:$A$179,Paramètrage!$C$6:$C$179))</f>
        <v/>
      </c>
      <c r="M541" s="2" t="str">
        <f>IF(W541="","",LOOKUP('Extraction edi'!J541,Paramètrage!$A$6:$A$179,Paramètrage!$D$6:$D$179))</f>
        <v/>
      </c>
      <c r="N541" s="3" t="str">
        <f>IF(W541="","",LOOKUP('Extraction edi'!J541,Paramètrage!$A$6:$A$179,Paramètrage!$E$6:$E$179))</f>
        <v/>
      </c>
      <c r="O541" s="3" t="str">
        <f t="shared" si="181"/>
        <v/>
      </c>
      <c r="P541" s="3" t="str">
        <f t="shared" si="182"/>
        <v/>
      </c>
      <c r="Q541" s="3" t="str">
        <f t="shared" si="175"/>
        <v/>
      </c>
      <c r="R541" s="3" t="str">
        <f t="shared" si="183"/>
        <v/>
      </c>
      <c r="S541" s="3" t="str">
        <f t="shared" si="184"/>
        <v/>
      </c>
      <c r="T541" s="4" t="str">
        <f t="shared" si="185"/>
        <v/>
      </c>
      <c r="U541" s="5" t="str">
        <f t="shared" si="186"/>
        <v/>
      </c>
      <c r="V541" s="7" t="str">
        <f>IF(W541="","",IF(LOOKUP(W541,'Extration 3E date commande'!$A$6:$A$10000)=W541,LOOKUP(W541,'Extration 3E date commande'!$A$6:$A$10000,'Extration 3E date commande'!$C$6:$C$10000),"PAS DE DATE"))</f>
        <v/>
      </c>
    </row>
    <row r="542" spans="1:22" x14ac:dyDescent="0.25">
      <c r="A542" s="3" t="str">
        <f t="shared" si="176"/>
        <v/>
      </c>
      <c r="B542" s="3" t="str">
        <f t="shared" si="177"/>
        <v/>
      </c>
      <c r="C542" s="3" t="str">
        <f t="shared" si="174"/>
        <v/>
      </c>
      <c r="D542" s="3" t="str">
        <f t="shared" si="170"/>
        <v/>
      </c>
      <c r="E542" s="3" t="str">
        <f t="shared" si="171"/>
        <v/>
      </c>
      <c r="F542" s="3" t="str">
        <f t="shared" si="172"/>
        <v/>
      </c>
      <c r="G542" s="3" t="str">
        <f t="shared" si="173"/>
        <v/>
      </c>
      <c r="H542" s="3" t="str">
        <f t="shared" si="178"/>
        <v/>
      </c>
      <c r="I542" s="3" t="str">
        <f t="shared" si="179"/>
        <v/>
      </c>
      <c r="J542" s="2" t="str">
        <f t="shared" si="180"/>
        <v/>
      </c>
      <c r="K542" s="2" t="str">
        <f>IF(W542="","",LOOKUP('Extraction edi'!J542,Paramètrage!$A$6:$A$179,Paramètrage!$B$6:$B$179))</f>
        <v/>
      </c>
      <c r="L542" s="2" t="str">
        <f>IF(W542="","",LOOKUP('Extraction edi'!J542,Paramètrage!$A$6:$A$179,Paramètrage!$C$6:$C$179))</f>
        <v/>
      </c>
      <c r="M542" s="2" t="str">
        <f>IF(W542="","",LOOKUP('Extraction edi'!J542,Paramètrage!$A$6:$A$179,Paramètrage!$D$6:$D$179))</f>
        <v/>
      </c>
      <c r="N542" s="3" t="str">
        <f>IF(W542="","",LOOKUP('Extraction edi'!J542,Paramètrage!$A$6:$A$179,Paramètrage!$E$6:$E$179))</f>
        <v/>
      </c>
      <c r="O542" s="3" t="str">
        <f t="shared" si="181"/>
        <v/>
      </c>
      <c r="P542" s="3" t="str">
        <f t="shared" si="182"/>
        <v/>
      </c>
      <c r="Q542" s="3" t="str">
        <f t="shared" si="175"/>
        <v/>
      </c>
      <c r="R542" s="3" t="str">
        <f t="shared" si="183"/>
        <v/>
      </c>
      <c r="S542" s="3" t="str">
        <f t="shared" si="184"/>
        <v/>
      </c>
      <c r="T542" s="4" t="str">
        <f t="shared" si="185"/>
        <v/>
      </c>
      <c r="U542" s="5" t="str">
        <f t="shared" si="186"/>
        <v/>
      </c>
      <c r="V542" s="7" t="str">
        <f>IF(W542="","",IF(LOOKUP(W542,'Extration 3E date commande'!$A$6:$A$10000)=W542,LOOKUP(W542,'Extration 3E date commande'!$A$6:$A$10000,'Extration 3E date commande'!$C$6:$C$10000),"PAS DE DATE"))</f>
        <v/>
      </c>
    </row>
    <row r="543" spans="1:22" x14ac:dyDescent="0.25">
      <c r="A543" s="3" t="str">
        <f t="shared" si="176"/>
        <v/>
      </c>
      <c r="B543" s="3" t="str">
        <f t="shared" si="177"/>
        <v/>
      </c>
      <c r="C543" s="3" t="str">
        <f t="shared" si="174"/>
        <v/>
      </c>
      <c r="D543" s="3" t="str">
        <f t="shared" si="170"/>
        <v/>
      </c>
      <c r="E543" s="3" t="str">
        <f t="shared" si="171"/>
        <v/>
      </c>
      <c r="F543" s="3" t="str">
        <f t="shared" si="172"/>
        <v/>
      </c>
      <c r="G543" s="3" t="str">
        <f t="shared" si="173"/>
        <v/>
      </c>
      <c r="H543" s="3" t="str">
        <f t="shared" si="178"/>
        <v/>
      </c>
      <c r="I543" s="3" t="str">
        <f t="shared" si="179"/>
        <v/>
      </c>
      <c r="J543" s="2" t="str">
        <f t="shared" si="180"/>
        <v/>
      </c>
      <c r="K543" s="2" t="str">
        <f>IF(W543="","",LOOKUP('Extraction edi'!J543,Paramètrage!$A$6:$A$179,Paramètrage!$B$6:$B$179))</f>
        <v/>
      </c>
      <c r="L543" s="2" t="str">
        <f>IF(W543="","",LOOKUP('Extraction edi'!J543,Paramètrage!$A$6:$A$179,Paramètrage!$C$6:$C$179))</f>
        <v/>
      </c>
      <c r="M543" s="2" t="str">
        <f>IF(W543="","",LOOKUP('Extraction edi'!J543,Paramètrage!$A$6:$A$179,Paramètrage!$D$6:$D$179))</f>
        <v/>
      </c>
      <c r="N543" s="3" t="str">
        <f>IF(W543="","",LOOKUP('Extraction edi'!J543,Paramètrage!$A$6:$A$179,Paramètrage!$E$6:$E$179))</f>
        <v/>
      </c>
      <c r="O543" s="3" t="str">
        <f t="shared" si="181"/>
        <v/>
      </c>
      <c r="P543" s="3" t="str">
        <f t="shared" si="182"/>
        <v/>
      </c>
      <c r="Q543" s="3" t="str">
        <f t="shared" si="175"/>
        <v/>
      </c>
      <c r="R543" s="3" t="str">
        <f t="shared" si="183"/>
        <v/>
      </c>
      <c r="S543" s="3" t="str">
        <f t="shared" si="184"/>
        <v/>
      </c>
      <c r="T543" s="4" t="str">
        <f t="shared" si="185"/>
        <v/>
      </c>
      <c r="U543" s="5" t="str">
        <f t="shared" si="186"/>
        <v/>
      </c>
      <c r="V543" s="7" t="str">
        <f>IF(W543="","",IF(LOOKUP(W543,'Extration 3E date commande'!$A$6:$A$10000)=W543,LOOKUP(W543,'Extration 3E date commande'!$A$6:$A$10000,'Extration 3E date commande'!$C$6:$C$10000),"PAS DE DATE"))</f>
        <v/>
      </c>
    </row>
    <row r="544" spans="1:22" x14ac:dyDescent="0.25">
      <c r="A544" s="3" t="str">
        <f t="shared" si="176"/>
        <v/>
      </c>
      <c r="B544" s="3" t="str">
        <f t="shared" si="177"/>
        <v/>
      </c>
      <c r="C544" s="3" t="str">
        <f t="shared" si="174"/>
        <v/>
      </c>
      <c r="D544" s="3" t="str">
        <f t="shared" si="170"/>
        <v/>
      </c>
      <c r="E544" s="3" t="str">
        <f t="shared" si="171"/>
        <v/>
      </c>
      <c r="F544" s="3" t="str">
        <f t="shared" si="172"/>
        <v/>
      </c>
      <c r="G544" s="3" t="str">
        <f t="shared" si="173"/>
        <v/>
      </c>
      <c r="H544" s="3" t="str">
        <f t="shared" si="178"/>
        <v/>
      </c>
      <c r="I544" s="3" t="str">
        <f t="shared" si="179"/>
        <v/>
      </c>
      <c r="J544" s="2" t="str">
        <f t="shared" si="180"/>
        <v/>
      </c>
      <c r="K544" s="2" t="str">
        <f>IF(W544="","",LOOKUP('Extraction edi'!J544,Paramètrage!$A$6:$A$179,Paramètrage!$B$6:$B$179))</f>
        <v/>
      </c>
      <c r="L544" s="2" t="str">
        <f>IF(W544="","",LOOKUP('Extraction edi'!J544,Paramètrage!$A$6:$A$179,Paramètrage!$C$6:$C$179))</f>
        <v/>
      </c>
      <c r="M544" s="2" t="str">
        <f>IF(W544="","",LOOKUP('Extraction edi'!J544,Paramètrage!$A$6:$A$179,Paramètrage!$D$6:$D$179))</f>
        <v/>
      </c>
      <c r="N544" s="3" t="str">
        <f>IF(W544="","",LOOKUP('Extraction edi'!J544,Paramètrage!$A$6:$A$179,Paramètrage!$E$6:$E$179))</f>
        <v/>
      </c>
      <c r="O544" s="3" t="str">
        <f t="shared" si="181"/>
        <v/>
      </c>
      <c r="P544" s="3" t="str">
        <f t="shared" si="182"/>
        <v/>
      </c>
      <c r="Q544" s="3" t="str">
        <f t="shared" si="175"/>
        <v/>
      </c>
      <c r="R544" s="3" t="str">
        <f t="shared" si="183"/>
        <v/>
      </c>
      <c r="S544" s="3" t="str">
        <f t="shared" si="184"/>
        <v/>
      </c>
      <c r="T544" s="4" t="str">
        <f t="shared" si="185"/>
        <v/>
      </c>
      <c r="U544" s="5" t="str">
        <f t="shared" si="186"/>
        <v/>
      </c>
      <c r="V544" s="7" t="str">
        <f>IF(W544="","",IF(LOOKUP(W544,'Extration 3E date commande'!$A$6:$A$10000)=W544,LOOKUP(W544,'Extration 3E date commande'!$A$6:$A$10000,'Extration 3E date commande'!$C$6:$C$10000),"PAS DE DATE"))</f>
        <v/>
      </c>
    </row>
    <row r="545" spans="1:22" x14ac:dyDescent="0.25">
      <c r="A545" s="3" t="str">
        <f t="shared" si="176"/>
        <v/>
      </c>
      <c r="B545" s="3" t="str">
        <f t="shared" si="177"/>
        <v/>
      </c>
      <c r="C545" s="3" t="str">
        <f t="shared" si="174"/>
        <v/>
      </c>
      <c r="D545" s="3" t="str">
        <f t="shared" si="170"/>
        <v/>
      </c>
      <c r="E545" s="3" t="str">
        <f t="shared" si="171"/>
        <v/>
      </c>
      <c r="F545" s="3" t="str">
        <f t="shared" si="172"/>
        <v/>
      </c>
      <c r="G545" s="3" t="str">
        <f t="shared" si="173"/>
        <v/>
      </c>
      <c r="H545" s="3" t="str">
        <f t="shared" si="178"/>
        <v/>
      </c>
      <c r="I545" s="3" t="str">
        <f t="shared" si="179"/>
        <v/>
      </c>
      <c r="J545" s="2" t="str">
        <f t="shared" si="180"/>
        <v/>
      </c>
      <c r="K545" s="2" t="str">
        <f>IF(W545="","",LOOKUP('Extraction edi'!J545,Paramètrage!$A$6:$A$179,Paramètrage!$B$6:$B$179))</f>
        <v/>
      </c>
      <c r="L545" s="2" t="str">
        <f>IF(W545="","",LOOKUP('Extraction edi'!J545,Paramètrage!$A$6:$A$179,Paramètrage!$C$6:$C$179))</f>
        <v/>
      </c>
      <c r="M545" s="2" t="str">
        <f>IF(W545="","",LOOKUP('Extraction edi'!J545,Paramètrage!$A$6:$A$179,Paramètrage!$D$6:$D$179))</f>
        <v/>
      </c>
      <c r="N545" s="3" t="str">
        <f>IF(W545="","",LOOKUP('Extraction edi'!J545,Paramètrage!$A$6:$A$179,Paramètrage!$E$6:$E$179))</f>
        <v/>
      </c>
      <c r="O545" s="3" t="str">
        <f t="shared" si="181"/>
        <v/>
      </c>
      <c r="P545" s="3" t="str">
        <f t="shared" si="182"/>
        <v/>
      </c>
      <c r="Q545" s="3" t="str">
        <f t="shared" si="175"/>
        <v/>
      </c>
      <c r="R545" s="3" t="str">
        <f t="shared" si="183"/>
        <v/>
      </c>
      <c r="S545" s="3" t="str">
        <f t="shared" si="184"/>
        <v/>
      </c>
      <c r="T545" s="4" t="str">
        <f t="shared" si="185"/>
        <v/>
      </c>
      <c r="U545" s="5" t="str">
        <f t="shared" si="186"/>
        <v/>
      </c>
      <c r="V545" s="7" t="str">
        <f>IF(W545="","",IF(LOOKUP(W545,'Extration 3E date commande'!$A$6:$A$10000)=W545,LOOKUP(W545,'Extration 3E date commande'!$A$6:$A$10000,'Extration 3E date commande'!$C$6:$C$10000),"PAS DE DATE"))</f>
        <v/>
      </c>
    </row>
    <row r="546" spans="1:22" x14ac:dyDescent="0.25">
      <c r="A546" s="3" t="str">
        <f t="shared" si="176"/>
        <v/>
      </c>
      <c r="B546" s="3" t="str">
        <f t="shared" si="177"/>
        <v/>
      </c>
      <c r="C546" s="3" t="str">
        <f t="shared" si="174"/>
        <v/>
      </c>
      <c r="D546" s="3" t="str">
        <f t="shared" si="170"/>
        <v/>
      </c>
      <c r="E546" s="3" t="str">
        <f t="shared" si="171"/>
        <v/>
      </c>
      <c r="F546" s="3" t="str">
        <f t="shared" si="172"/>
        <v/>
      </c>
      <c r="G546" s="3" t="str">
        <f t="shared" si="173"/>
        <v/>
      </c>
      <c r="H546" s="3" t="str">
        <f t="shared" si="178"/>
        <v/>
      </c>
      <c r="I546" s="3" t="str">
        <f t="shared" si="179"/>
        <v/>
      </c>
      <c r="J546" s="2" t="str">
        <f t="shared" si="180"/>
        <v/>
      </c>
      <c r="K546" s="2" t="str">
        <f>IF(W546="","",LOOKUP('Extraction edi'!J546,Paramètrage!$A$6:$A$179,Paramètrage!$B$6:$B$179))</f>
        <v/>
      </c>
      <c r="L546" s="2" t="str">
        <f>IF(W546="","",LOOKUP('Extraction edi'!J546,Paramètrage!$A$6:$A$179,Paramètrage!$C$6:$C$179))</f>
        <v/>
      </c>
      <c r="M546" s="2" t="str">
        <f>IF(W546="","",LOOKUP('Extraction edi'!J546,Paramètrage!$A$6:$A$179,Paramètrage!$D$6:$D$179))</f>
        <v/>
      </c>
      <c r="N546" s="3" t="str">
        <f>IF(W546="","",LOOKUP('Extraction edi'!J546,Paramètrage!$A$6:$A$179,Paramètrage!$E$6:$E$179))</f>
        <v/>
      </c>
      <c r="O546" s="3" t="str">
        <f t="shared" si="181"/>
        <v/>
      </c>
      <c r="P546" s="3" t="str">
        <f t="shared" si="182"/>
        <v/>
      </c>
      <c r="Q546" s="3" t="str">
        <f t="shared" si="175"/>
        <v/>
      </c>
      <c r="R546" s="3" t="str">
        <f t="shared" si="183"/>
        <v/>
      </c>
      <c r="S546" s="3" t="str">
        <f t="shared" si="184"/>
        <v/>
      </c>
      <c r="T546" s="4" t="str">
        <f t="shared" si="185"/>
        <v/>
      </c>
      <c r="U546" s="5" t="str">
        <f t="shared" si="186"/>
        <v/>
      </c>
      <c r="V546" s="7" t="str">
        <f>IF(W546="","",IF(LOOKUP(W546,'Extration 3E date commande'!$A$6:$A$10000)=W546,LOOKUP(W546,'Extration 3E date commande'!$A$6:$A$10000,'Extration 3E date commande'!$C$6:$C$10000),"PAS DE DATE"))</f>
        <v/>
      </c>
    </row>
    <row r="547" spans="1:22" x14ac:dyDescent="0.25">
      <c r="A547" s="3" t="str">
        <f t="shared" si="176"/>
        <v/>
      </c>
      <c r="B547" s="3" t="str">
        <f t="shared" si="177"/>
        <v/>
      </c>
      <c r="C547" s="3" t="str">
        <f t="shared" si="174"/>
        <v/>
      </c>
      <c r="D547" s="3" t="str">
        <f t="shared" si="170"/>
        <v/>
      </c>
      <c r="E547" s="3" t="str">
        <f t="shared" si="171"/>
        <v/>
      </c>
      <c r="F547" s="3" t="str">
        <f t="shared" si="172"/>
        <v/>
      </c>
      <c r="G547" s="3" t="str">
        <f t="shared" si="173"/>
        <v/>
      </c>
      <c r="H547" s="3" t="str">
        <f t="shared" si="178"/>
        <v/>
      </c>
      <c r="I547" s="3" t="str">
        <f t="shared" si="179"/>
        <v/>
      </c>
      <c r="J547" s="2" t="str">
        <f t="shared" si="180"/>
        <v/>
      </c>
      <c r="K547" s="2" t="str">
        <f>IF(W547="","",LOOKUP('Extraction edi'!J547,Paramètrage!$A$6:$A$179,Paramètrage!$B$6:$B$179))</f>
        <v/>
      </c>
      <c r="L547" s="2" t="str">
        <f>IF(W547="","",LOOKUP('Extraction edi'!J547,Paramètrage!$A$6:$A$179,Paramètrage!$C$6:$C$179))</f>
        <v/>
      </c>
      <c r="M547" s="2" t="str">
        <f>IF(W547="","",LOOKUP('Extraction edi'!J547,Paramètrage!$A$6:$A$179,Paramètrage!$D$6:$D$179))</f>
        <v/>
      </c>
      <c r="N547" s="3" t="str">
        <f>IF(W547="","",LOOKUP('Extraction edi'!J547,Paramètrage!$A$6:$A$179,Paramètrage!$E$6:$E$179))</f>
        <v/>
      </c>
      <c r="O547" s="3" t="str">
        <f t="shared" si="181"/>
        <v/>
      </c>
      <c r="P547" s="3" t="str">
        <f t="shared" si="182"/>
        <v/>
      </c>
      <c r="Q547" s="3" t="str">
        <f t="shared" si="175"/>
        <v/>
      </c>
      <c r="R547" s="3" t="str">
        <f t="shared" si="183"/>
        <v/>
      </c>
      <c r="S547" s="3" t="str">
        <f t="shared" si="184"/>
        <v/>
      </c>
      <c r="T547" s="4" t="str">
        <f t="shared" si="185"/>
        <v/>
      </c>
      <c r="U547" s="5" t="str">
        <f t="shared" si="186"/>
        <v/>
      </c>
      <c r="V547" s="7" t="str">
        <f>IF(W547="","",IF(LOOKUP(W547,'Extration 3E date commande'!$A$6:$A$10000)=W547,LOOKUP(W547,'Extration 3E date commande'!$A$6:$A$10000,'Extration 3E date commande'!$C$6:$C$10000),"PAS DE DATE"))</f>
        <v/>
      </c>
    </row>
    <row r="548" spans="1:22" x14ac:dyDescent="0.25">
      <c r="A548" s="3" t="str">
        <f t="shared" si="176"/>
        <v/>
      </c>
      <c r="B548" s="3" t="str">
        <f t="shared" si="177"/>
        <v/>
      </c>
      <c r="C548" s="3" t="str">
        <f t="shared" si="174"/>
        <v/>
      </c>
      <c r="D548" s="3" t="str">
        <f t="shared" si="170"/>
        <v/>
      </c>
      <c r="E548" s="3" t="str">
        <f t="shared" si="171"/>
        <v/>
      </c>
      <c r="F548" s="3" t="str">
        <f t="shared" si="172"/>
        <v/>
      </c>
      <c r="G548" s="3" t="str">
        <f t="shared" si="173"/>
        <v/>
      </c>
      <c r="H548" s="3" t="str">
        <f t="shared" si="178"/>
        <v/>
      </c>
      <c r="I548" s="3" t="str">
        <f t="shared" si="179"/>
        <v/>
      </c>
      <c r="J548" s="2" t="str">
        <f t="shared" si="180"/>
        <v/>
      </c>
      <c r="K548" s="2" t="str">
        <f>IF(W548="","",LOOKUP('Extraction edi'!J548,Paramètrage!$A$6:$A$179,Paramètrage!$B$6:$B$179))</f>
        <v/>
      </c>
      <c r="L548" s="2" t="str">
        <f>IF(W548="","",LOOKUP('Extraction edi'!J548,Paramètrage!$A$6:$A$179,Paramètrage!$C$6:$C$179))</f>
        <v/>
      </c>
      <c r="M548" s="2" t="str">
        <f>IF(W548="","",LOOKUP('Extraction edi'!J548,Paramètrage!$A$6:$A$179,Paramètrage!$D$6:$D$179))</f>
        <v/>
      </c>
      <c r="N548" s="3" t="str">
        <f>IF(W548="","",LOOKUP('Extraction edi'!J548,Paramètrage!$A$6:$A$179,Paramètrage!$E$6:$E$179))</f>
        <v/>
      </c>
      <c r="O548" s="3" t="str">
        <f t="shared" si="181"/>
        <v/>
      </c>
      <c r="P548" s="3" t="str">
        <f t="shared" si="182"/>
        <v/>
      </c>
      <c r="Q548" s="3" t="str">
        <f t="shared" si="175"/>
        <v/>
      </c>
      <c r="R548" s="3" t="str">
        <f t="shared" si="183"/>
        <v/>
      </c>
      <c r="S548" s="3" t="str">
        <f t="shared" si="184"/>
        <v/>
      </c>
      <c r="T548" s="4" t="str">
        <f t="shared" si="185"/>
        <v/>
      </c>
      <c r="U548" s="5" t="str">
        <f t="shared" si="186"/>
        <v/>
      </c>
      <c r="V548" s="7" t="str">
        <f>IF(W548="","",IF(LOOKUP(W548,'Extration 3E date commande'!$A$6:$A$10000)=W548,LOOKUP(W548,'Extration 3E date commande'!$A$6:$A$10000,'Extration 3E date commande'!$C$6:$C$10000),"PAS DE DATE"))</f>
        <v/>
      </c>
    </row>
    <row r="549" spans="1:22" x14ac:dyDescent="0.25">
      <c r="A549" s="3" t="str">
        <f t="shared" si="176"/>
        <v/>
      </c>
      <c r="B549" s="3" t="str">
        <f t="shared" si="177"/>
        <v/>
      </c>
      <c r="C549" s="3" t="str">
        <f t="shared" si="174"/>
        <v/>
      </c>
      <c r="D549" s="3" t="str">
        <f t="shared" si="170"/>
        <v/>
      </c>
      <c r="E549" s="3" t="str">
        <f t="shared" si="171"/>
        <v/>
      </c>
      <c r="F549" s="3" t="str">
        <f t="shared" si="172"/>
        <v/>
      </c>
      <c r="G549" s="3" t="str">
        <f t="shared" si="173"/>
        <v/>
      </c>
      <c r="H549" s="3" t="str">
        <f t="shared" si="178"/>
        <v/>
      </c>
      <c r="I549" s="3" t="str">
        <f t="shared" si="179"/>
        <v/>
      </c>
      <c r="J549" s="2" t="str">
        <f t="shared" si="180"/>
        <v/>
      </c>
      <c r="K549" s="2" t="str">
        <f>IF(W549="","",LOOKUP('Extraction edi'!J549,Paramètrage!$A$6:$A$179,Paramètrage!$B$6:$B$179))</f>
        <v/>
      </c>
      <c r="L549" s="2" t="str">
        <f>IF(W549="","",LOOKUP('Extraction edi'!J549,Paramètrage!$A$6:$A$179,Paramètrage!$C$6:$C$179))</f>
        <v/>
      </c>
      <c r="M549" s="2" t="str">
        <f>IF(W549="","",LOOKUP('Extraction edi'!J549,Paramètrage!$A$6:$A$179,Paramètrage!$D$6:$D$179))</f>
        <v/>
      </c>
      <c r="N549" s="3" t="str">
        <f>IF(W549="","",LOOKUP('Extraction edi'!J549,Paramètrage!$A$6:$A$179,Paramètrage!$E$6:$E$179))</f>
        <v/>
      </c>
      <c r="O549" s="3" t="str">
        <f t="shared" si="181"/>
        <v/>
      </c>
      <c r="P549" s="3" t="str">
        <f t="shared" si="182"/>
        <v/>
      </c>
      <c r="Q549" s="3" t="str">
        <f t="shared" si="175"/>
        <v/>
      </c>
      <c r="R549" s="3" t="str">
        <f t="shared" si="183"/>
        <v/>
      </c>
      <c r="S549" s="3" t="str">
        <f t="shared" si="184"/>
        <v/>
      </c>
      <c r="T549" s="4" t="str">
        <f t="shared" si="185"/>
        <v/>
      </c>
      <c r="U549" s="5" t="str">
        <f t="shared" si="186"/>
        <v/>
      </c>
      <c r="V549" s="7" t="str">
        <f>IF(W549="","",IF(LOOKUP(W549,'Extration 3E date commande'!$A$6:$A$10000)=W549,LOOKUP(W549,'Extration 3E date commande'!$A$6:$A$10000,'Extration 3E date commande'!$C$6:$C$10000),"PAS DE DATE"))</f>
        <v/>
      </c>
    </row>
    <row r="550" spans="1:22" x14ac:dyDescent="0.25">
      <c r="A550" s="3" t="str">
        <f t="shared" si="176"/>
        <v/>
      </c>
      <c r="B550" s="3" t="str">
        <f t="shared" si="177"/>
        <v/>
      </c>
      <c r="C550" s="3" t="str">
        <f t="shared" si="174"/>
        <v/>
      </c>
      <c r="D550" s="3" t="str">
        <f t="shared" si="170"/>
        <v/>
      </c>
      <c r="E550" s="3" t="str">
        <f t="shared" si="171"/>
        <v/>
      </c>
      <c r="F550" s="3" t="str">
        <f t="shared" si="172"/>
        <v/>
      </c>
      <c r="G550" s="3" t="str">
        <f t="shared" si="173"/>
        <v/>
      </c>
      <c r="H550" s="3" t="str">
        <f t="shared" si="178"/>
        <v/>
      </c>
      <c r="I550" s="3" t="str">
        <f t="shared" si="179"/>
        <v/>
      </c>
      <c r="J550" s="2" t="str">
        <f t="shared" si="180"/>
        <v/>
      </c>
      <c r="K550" s="2" t="str">
        <f>IF(W550="","",LOOKUP('Extraction edi'!J550,Paramètrage!$A$6:$A$179,Paramètrage!$B$6:$B$179))</f>
        <v/>
      </c>
      <c r="L550" s="2" t="str">
        <f>IF(W550="","",LOOKUP('Extraction edi'!J550,Paramètrage!$A$6:$A$179,Paramètrage!$C$6:$C$179))</f>
        <v/>
      </c>
      <c r="M550" s="2" t="str">
        <f>IF(W550="","",LOOKUP('Extraction edi'!J550,Paramètrage!$A$6:$A$179,Paramètrage!$D$6:$D$179))</f>
        <v/>
      </c>
      <c r="N550" s="3" t="str">
        <f>IF(W550="","",LOOKUP('Extraction edi'!J550,Paramètrage!$A$6:$A$179,Paramètrage!$E$6:$E$179))</f>
        <v/>
      </c>
      <c r="O550" s="3" t="str">
        <f t="shared" si="181"/>
        <v/>
      </c>
      <c r="P550" s="3" t="str">
        <f t="shared" si="182"/>
        <v/>
      </c>
      <c r="Q550" s="3" t="str">
        <f t="shared" si="175"/>
        <v/>
      </c>
      <c r="R550" s="3" t="str">
        <f t="shared" si="183"/>
        <v/>
      </c>
      <c r="S550" s="3" t="str">
        <f t="shared" si="184"/>
        <v/>
      </c>
      <c r="T550" s="4" t="str">
        <f t="shared" si="185"/>
        <v/>
      </c>
      <c r="U550" s="5" t="str">
        <f t="shared" si="186"/>
        <v/>
      </c>
      <c r="V550" s="7" t="str">
        <f>IF(W550="","",IF(LOOKUP(W550,'Extration 3E date commande'!$A$6:$A$10000)=W550,LOOKUP(W550,'Extration 3E date commande'!$A$6:$A$10000,'Extration 3E date commande'!$C$6:$C$10000),"PAS DE DATE"))</f>
        <v/>
      </c>
    </row>
    <row r="551" spans="1:22" x14ac:dyDescent="0.25">
      <c r="A551" s="3" t="str">
        <f t="shared" si="176"/>
        <v/>
      </c>
      <c r="B551" s="3" t="str">
        <f t="shared" si="177"/>
        <v/>
      </c>
      <c r="C551" s="3" t="str">
        <f t="shared" si="174"/>
        <v/>
      </c>
      <c r="D551" s="3" t="str">
        <f t="shared" si="170"/>
        <v/>
      </c>
      <c r="E551" s="3" t="str">
        <f t="shared" si="171"/>
        <v/>
      </c>
      <c r="F551" s="3" t="str">
        <f t="shared" si="172"/>
        <v/>
      </c>
      <c r="G551" s="3" t="str">
        <f t="shared" si="173"/>
        <v/>
      </c>
      <c r="H551" s="3" t="str">
        <f t="shared" si="178"/>
        <v/>
      </c>
      <c r="I551" s="3" t="str">
        <f t="shared" si="179"/>
        <v/>
      </c>
      <c r="J551" s="2" t="str">
        <f t="shared" si="180"/>
        <v/>
      </c>
      <c r="K551" s="2" t="str">
        <f>IF(W551="","",LOOKUP('Extraction edi'!J551,Paramètrage!$A$6:$A$179,Paramètrage!$B$6:$B$179))</f>
        <v/>
      </c>
      <c r="L551" s="2" t="str">
        <f>IF(W551="","",LOOKUP('Extraction edi'!J551,Paramètrage!$A$6:$A$179,Paramètrage!$C$6:$C$179))</f>
        <v/>
      </c>
      <c r="M551" s="2" t="str">
        <f>IF(W551="","",LOOKUP('Extraction edi'!J551,Paramètrage!$A$6:$A$179,Paramètrage!$D$6:$D$179))</f>
        <v/>
      </c>
      <c r="N551" s="3" t="str">
        <f>IF(W551="","",LOOKUP('Extraction edi'!J551,Paramètrage!$A$6:$A$179,Paramètrage!$E$6:$E$179))</f>
        <v/>
      </c>
      <c r="O551" s="3" t="str">
        <f t="shared" si="181"/>
        <v/>
      </c>
      <c r="P551" s="3" t="str">
        <f t="shared" si="182"/>
        <v/>
      </c>
      <c r="Q551" s="3" t="str">
        <f t="shared" si="175"/>
        <v/>
      </c>
      <c r="R551" s="3" t="str">
        <f t="shared" si="183"/>
        <v/>
      </c>
      <c r="S551" s="3" t="str">
        <f t="shared" si="184"/>
        <v/>
      </c>
      <c r="T551" s="4" t="str">
        <f t="shared" si="185"/>
        <v/>
      </c>
      <c r="U551" s="5" t="str">
        <f t="shared" si="186"/>
        <v/>
      </c>
      <c r="V551" s="7" t="str">
        <f>IF(W551="","",IF(LOOKUP(W551,'Extration 3E date commande'!$A$6:$A$10000)=W551,LOOKUP(W551,'Extration 3E date commande'!$A$6:$A$10000,'Extration 3E date commande'!$C$6:$C$10000),"PAS DE DATE"))</f>
        <v/>
      </c>
    </row>
    <row r="552" spans="1:22" x14ac:dyDescent="0.25">
      <c r="A552" s="3" t="str">
        <f t="shared" si="176"/>
        <v/>
      </c>
      <c r="B552" s="3" t="str">
        <f t="shared" si="177"/>
        <v/>
      </c>
      <c r="C552" s="3" t="str">
        <f t="shared" si="174"/>
        <v/>
      </c>
      <c r="D552" s="3" t="str">
        <f t="shared" si="170"/>
        <v/>
      </c>
      <c r="E552" s="3" t="str">
        <f t="shared" si="171"/>
        <v/>
      </c>
      <c r="F552" s="3" t="str">
        <f t="shared" si="172"/>
        <v/>
      </c>
      <c r="G552" s="3" t="str">
        <f t="shared" si="173"/>
        <v/>
      </c>
      <c r="H552" s="3" t="str">
        <f t="shared" si="178"/>
        <v/>
      </c>
      <c r="I552" s="3" t="str">
        <f t="shared" si="179"/>
        <v/>
      </c>
      <c r="J552" s="2" t="str">
        <f t="shared" si="180"/>
        <v/>
      </c>
      <c r="K552" s="2" t="str">
        <f>IF(W552="","",LOOKUP('Extraction edi'!J552,Paramètrage!$A$6:$A$179,Paramètrage!$B$6:$B$179))</f>
        <v/>
      </c>
      <c r="L552" s="2" t="str">
        <f>IF(W552="","",LOOKUP('Extraction edi'!J552,Paramètrage!$A$6:$A$179,Paramètrage!$C$6:$C$179))</f>
        <v/>
      </c>
      <c r="M552" s="2" t="str">
        <f>IF(W552="","",LOOKUP('Extraction edi'!J552,Paramètrage!$A$6:$A$179,Paramètrage!$D$6:$D$179))</f>
        <v/>
      </c>
      <c r="N552" s="3" t="str">
        <f>IF(W552="","",LOOKUP('Extraction edi'!J552,Paramètrage!$A$6:$A$179,Paramètrage!$E$6:$E$179))</f>
        <v/>
      </c>
      <c r="O552" s="3" t="str">
        <f t="shared" si="181"/>
        <v/>
      </c>
      <c r="P552" s="3" t="str">
        <f t="shared" si="182"/>
        <v/>
      </c>
      <c r="Q552" s="3" t="str">
        <f t="shared" si="175"/>
        <v/>
      </c>
      <c r="R552" s="3" t="str">
        <f t="shared" si="183"/>
        <v/>
      </c>
      <c r="S552" s="3" t="str">
        <f t="shared" si="184"/>
        <v/>
      </c>
      <c r="T552" s="4" t="str">
        <f t="shared" si="185"/>
        <v/>
      </c>
      <c r="U552" s="5" t="str">
        <f t="shared" si="186"/>
        <v/>
      </c>
      <c r="V552" s="7" t="str">
        <f>IF(W552="","",IF(LOOKUP(W552,'Extration 3E date commande'!$A$6:$A$10000)=W552,LOOKUP(W552,'Extration 3E date commande'!$A$6:$A$10000,'Extration 3E date commande'!$C$6:$C$10000),"PAS DE DATE"))</f>
        <v/>
      </c>
    </row>
    <row r="553" spans="1:22" x14ac:dyDescent="0.25">
      <c r="A553" s="3" t="str">
        <f t="shared" si="176"/>
        <v/>
      </c>
      <c r="B553" s="3" t="str">
        <f t="shared" si="177"/>
        <v/>
      </c>
      <c r="C553" s="3" t="str">
        <f t="shared" si="174"/>
        <v/>
      </c>
      <c r="D553" s="3" t="str">
        <f t="shared" si="170"/>
        <v/>
      </c>
      <c r="E553" s="3" t="str">
        <f t="shared" si="171"/>
        <v/>
      </c>
      <c r="F553" s="3" t="str">
        <f t="shared" si="172"/>
        <v/>
      </c>
      <c r="G553" s="3" t="str">
        <f t="shared" si="173"/>
        <v/>
      </c>
      <c r="H553" s="3" t="str">
        <f t="shared" si="178"/>
        <v/>
      </c>
      <c r="I553" s="3" t="str">
        <f t="shared" si="179"/>
        <v/>
      </c>
      <c r="J553" s="2" t="str">
        <f t="shared" si="180"/>
        <v/>
      </c>
      <c r="K553" s="2" t="str">
        <f>IF(W553="","",LOOKUP('Extraction edi'!J553,Paramètrage!$A$6:$A$179,Paramètrage!$B$6:$B$179))</f>
        <v/>
      </c>
      <c r="L553" s="2" t="str">
        <f>IF(W553="","",LOOKUP('Extraction edi'!J553,Paramètrage!$A$6:$A$179,Paramètrage!$C$6:$C$179))</f>
        <v/>
      </c>
      <c r="M553" s="2" t="str">
        <f>IF(W553="","",LOOKUP('Extraction edi'!J553,Paramètrage!$A$6:$A$179,Paramètrage!$D$6:$D$179))</f>
        <v/>
      </c>
      <c r="N553" s="3" t="str">
        <f>IF(W553="","",LOOKUP('Extraction edi'!J553,Paramètrage!$A$6:$A$179,Paramètrage!$E$6:$E$179))</f>
        <v/>
      </c>
      <c r="O553" s="3" t="str">
        <f t="shared" si="181"/>
        <v/>
      </c>
      <c r="P553" s="3" t="str">
        <f t="shared" si="182"/>
        <v/>
      </c>
      <c r="Q553" s="3" t="str">
        <f t="shared" si="175"/>
        <v/>
      </c>
      <c r="R553" s="3" t="str">
        <f t="shared" si="183"/>
        <v/>
      </c>
      <c r="S553" s="3" t="str">
        <f t="shared" si="184"/>
        <v/>
      </c>
      <c r="T553" s="4" t="str">
        <f t="shared" si="185"/>
        <v/>
      </c>
      <c r="U553" s="5" t="str">
        <f t="shared" si="186"/>
        <v/>
      </c>
      <c r="V553" s="7" t="str">
        <f>IF(W553="","",IF(LOOKUP(W553,'Extration 3E date commande'!$A$6:$A$10000)=W553,LOOKUP(W553,'Extration 3E date commande'!$A$6:$A$10000,'Extration 3E date commande'!$C$6:$C$10000),"PAS DE DATE"))</f>
        <v/>
      </c>
    </row>
    <row r="554" spans="1:22" x14ac:dyDescent="0.25">
      <c r="A554" s="3" t="str">
        <f t="shared" si="176"/>
        <v/>
      </c>
      <c r="B554" s="3" t="str">
        <f t="shared" si="177"/>
        <v/>
      </c>
      <c r="C554" s="3" t="str">
        <f t="shared" si="174"/>
        <v/>
      </c>
      <c r="D554" s="3" t="str">
        <f t="shared" si="170"/>
        <v/>
      </c>
      <c r="E554" s="3" t="str">
        <f t="shared" si="171"/>
        <v/>
      </c>
      <c r="F554" s="3" t="str">
        <f t="shared" si="172"/>
        <v/>
      </c>
      <c r="G554" s="3" t="str">
        <f t="shared" si="173"/>
        <v/>
      </c>
      <c r="H554" s="3" t="str">
        <f t="shared" si="178"/>
        <v/>
      </c>
      <c r="I554" s="3" t="str">
        <f t="shared" si="179"/>
        <v/>
      </c>
      <c r="J554" s="2" t="str">
        <f t="shared" si="180"/>
        <v/>
      </c>
      <c r="K554" s="2" t="str">
        <f>IF(W554="","",LOOKUP('Extraction edi'!J554,Paramètrage!$A$6:$A$179,Paramètrage!$B$6:$B$179))</f>
        <v/>
      </c>
      <c r="L554" s="2" t="str">
        <f>IF(W554="","",LOOKUP('Extraction edi'!J554,Paramètrage!$A$6:$A$179,Paramètrage!$C$6:$C$179))</f>
        <v/>
      </c>
      <c r="M554" s="2" t="str">
        <f>IF(W554="","",LOOKUP('Extraction edi'!J554,Paramètrage!$A$6:$A$179,Paramètrage!$D$6:$D$179))</f>
        <v/>
      </c>
      <c r="N554" s="3" t="str">
        <f>IF(W554="","",LOOKUP('Extraction edi'!J554,Paramètrage!$A$6:$A$179,Paramètrage!$E$6:$E$179))</f>
        <v/>
      </c>
      <c r="O554" s="3" t="str">
        <f t="shared" si="181"/>
        <v/>
      </c>
      <c r="P554" s="3" t="str">
        <f t="shared" si="182"/>
        <v/>
      </c>
      <c r="Q554" s="3" t="str">
        <f t="shared" si="175"/>
        <v/>
      </c>
      <c r="R554" s="3" t="str">
        <f t="shared" si="183"/>
        <v/>
      </c>
      <c r="S554" s="3" t="str">
        <f t="shared" si="184"/>
        <v/>
      </c>
      <c r="T554" s="4" t="str">
        <f t="shared" si="185"/>
        <v/>
      </c>
      <c r="U554" s="5" t="str">
        <f t="shared" si="186"/>
        <v/>
      </c>
      <c r="V554" s="7" t="str">
        <f>IF(W554="","",IF(LOOKUP(W554,'Extration 3E date commande'!$A$6:$A$10000)=W554,LOOKUP(W554,'Extration 3E date commande'!$A$6:$A$10000,'Extration 3E date commande'!$C$6:$C$10000),"PAS DE DATE"))</f>
        <v/>
      </c>
    </row>
    <row r="555" spans="1:22" x14ac:dyDescent="0.25">
      <c r="A555" s="3" t="str">
        <f t="shared" si="176"/>
        <v/>
      </c>
      <c r="B555" s="3" t="str">
        <f t="shared" si="177"/>
        <v/>
      </c>
      <c r="C555" s="3" t="str">
        <f t="shared" si="174"/>
        <v/>
      </c>
      <c r="D555" s="3" t="str">
        <f t="shared" si="170"/>
        <v/>
      </c>
      <c r="E555" s="3" t="str">
        <f t="shared" si="171"/>
        <v/>
      </c>
      <c r="F555" s="3" t="str">
        <f t="shared" si="172"/>
        <v/>
      </c>
      <c r="G555" s="3" t="str">
        <f t="shared" si="173"/>
        <v/>
      </c>
      <c r="H555" s="3" t="str">
        <f t="shared" si="178"/>
        <v/>
      </c>
      <c r="I555" s="3" t="str">
        <f t="shared" si="179"/>
        <v/>
      </c>
      <c r="J555" s="2" t="str">
        <f t="shared" si="180"/>
        <v/>
      </c>
      <c r="K555" s="2" t="str">
        <f>IF(W555="","",LOOKUP('Extraction edi'!J555,Paramètrage!$A$6:$A$179,Paramètrage!$B$6:$B$179))</f>
        <v/>
      </c>
      <c r="L555" s="2" t="str">
        <f>IF(W555="","",LOOKUP('Extraction edi'!J555,Paramètrage!$A$6:$A$179,Paramètrage!$C$6:$C$179))</f>
        <v/>
      </c>
      <c r="M555" s="2" t="str">
        <f>IF(W555="","",LOOKUP('Extraction edi'!J555,Paramètrage!$A$6:$A$179,Paramètrage!$D$6:$D$179))</f>
        <v/>
      </c>
      <c r="N555" s="3" t="str">
        <f>IF(W555="","",LOOKUP('Extraction edi'!J555,Paramètrage!$A$6:$A$179,Paramètrage!$E$6:$E$179))</f>
        <v/>
      </c>
      <c r="O555" s="3" t="str">
        <f t="shared" si="181"/>
        <v/>
      </c>
      <c r="P555" s="3" t="str">
        <f t="shared" si="182"/>
        <v/>
      </c>
      <c r="Q555" s="3" t="str">
        <f t="shared" si="175"/>
        <v/>
      </c>
      <c r="R555" s="3" t="str">
        <f t="shared" si="183"/>
        <v/>
      </c>
      <c r="S555" s="3" t="str">
        <f t="shared" si="184"/>
        <v/>
      </c>
      <c r="T555" s="4" t="str">
        <f t="shared" si="185"/>
        <v/>
      </c>
      <c r="U555" s="5" t="str">
        <f t="shared" si="186"/>
        <v/>
      </c>
      <c r="V555" s="7" t="str">
        <f>IF(W555="","",IF(LOOKUP(W555,'Extration 3E date commande'!$A$6:$A$10000)=W555,LOOKUP(W555,'Extration 3E date commande'!$A$6:$A$10000,'Extration 3E date commande'!$C$6:$C$10000),"PAS DE DATE"))</f>
        <v/>
      </c>
    </row>
    <row r="556" spans="1:22" x14ac:dyDescent="0.25">
      <c r="A556" s="3" t="str">
        <f t="shared" si="176"/>
        <v/>
      </c>
      <c r="B556" s="3" t="str">
        <f t="shared" si="177"/>
        <v/>
      </c>
      <c r="C556" s="3" t="str">
        <f t="shared" si="174"/>
        <v/>
      </c>
      <c r="D556" s="3" t="str">
        <f t="shared" si="170"/>
        <v/>
      </c>
      <c r="E556" s="3" t="str">
        <f t="shared" si="171"/>
        <v/>
      </c>
      <c r="F556" s="3" t="str">
        <f t="shared" si="172"/>
        <v/>
      </c>
      <c r="G556" s="3" t="str">
        <f t="shared" si="173"/>
        <v/>
      </c>
      <c r="H556" s="3" t="str">
        <f t="shared" si="178"/>
        <v/>
      </c>
      <c r="I556" s="3" t="str">
        <f t="shared" si="179"/>
        <v/>
      </c>
      <c r="J556" s="2" t="str">
        <f t="shared" si="180"/>
        <v/>
      </c>
      <c r="K556" s="2" t="str">
        <f>IF(W556="","",LOOKUP('Extraction edi'!J556,Paramètrage!$A$6:$A$179,Paramètrage!$B$6:$B$179))</f>
        <v/>
      </c>
      <c r="L556" s="2" t="str">
        <f>IF(W556="","",LOOKUP('Extraction edi'!J556,Paramètrage!$A$6:$A$179,Paramètrage!$C$6:$C$179))</f>
        <v/>
      </c>
      <c r="M556" s="2" t="str">
        <f>IF(W556="","",LOOKUP('Extraction edi'!J556,Paramètrage!$A$6:$A$179,Paramètrage!$D$6:$D$179))</f>
        <v/>
      </c>
      <c r="N556" s="3" t="str">
        <f>IF(W556="","",LOOKUP('Extraction edi'!J556,Paramètrage!$A$6:$A$179,Paramètrage!$E$6:$E$179))</f>
        <v/>
      </c>
      <c r="O556" s="3" t="str">
        <f t="shared" si="181"/>
        <v/>
      </c>
      <c r="P556" s="3" t="str">
        <f t="shared" si="182"/>
        <v/>
      </c>
      <c r="Q556" s="3" t="str">
        <f t="shared" si="175"/>
        <v/>
      </c>
      <c r="R556" s="3" t="str">
        <f t="shared" si="183"/>
        <v/>
      </c>
      <c r="S556" s="3" t="str">
        <f t="shared" si="184"/>
        <v/>
      </c>
      <c r="T556" s="4" t="str">
        <f t="shared" si="185"/>
        <v/>
      </c>
      <c r="U556" s="5" t="str">
        <f t="shared" si="186"/>
        <v/>
      </c>
      <c r="V556" s="7" t="str">
        <f>IF(W556="","",IF(LOOKUP(W556,'Extration 3E date commande'!$A$6:$A$10000)=W556,LOOKUP(W556,'Extration 3E date commande'!$A$6:$A$10000,'Extration 3E date commande'!$C$6:$C$10000),"PAS DE DATE"))</f>
        <v/>
      </c>
    </row>
    <row r="557" spans="1:22" x14ac:dyDescent="0.25">
      <c r="A557" s="3" t="str">
        <f t="shared" si="176"/>
        <v/>
      </c>
      <c r="B557" s="3" t="str">
        <f t="shared" si="177"/>
        <v/>
      </c>
      <c r="C557" s="3" t="str">
        <f t="shared" si="174"/>
        <v/>
      </c>
      <c r="D557" s="3" t="str">
        <f t="shared" si="170"/>
        <v/>
      </c>
      <c r="E557" s="3" t="str">
        <f t="shared" si="171"/>
        <v/>
      </c>
      <c r="F557" s="3" t="str">
        <f t="shared" si="172"/>
        <v/>
      </c>
      <c r="G557" s="3" t="str">
        <f t="shared" si="173"/>
        <v/>
      </c>
      <c r="H557" s="3" t="str">
        <f t="shared" si="178"/>
        <v/>
      </c>
      <c r="I557" s="3" t="str">
        <f t="shared" si="179"/>
        <v/>
      </c>
      <c r="J557" s="2" t="str">
        <f t="shared" si="180"/>
        <v/>
      </c>
      <c r="K557" s="2" t="str">
        <f>IF(W557="","",LOOKUP('Extraction edi'!J557,Paramètrage!$A$6:$A$179,Paramètrage!$B$6:$B$179))</f>
        <v/>
      </c>
      <c r="L557" s="2" t="str">
        <f>IF(W557="","",LOOKUP('Extraction edi'!J557,Paramètrage!$A$6:$A$179,Paramètrage!$C$6:$C$179))</f>
        <v/>
      </c>
      <c r="M557" s="2" t="str">
        <f>IF(W557="","",LOOKUP('Extraction edi'!J557,Paramètrage!$A$6:$A$179,Paramètrage!$D$6:$D$179))</f>
        <v/>
      </c>
      <c r="N557" s="3" t="str">
        <f>IF(W557="","",LOOKUP('Extraction edi'!J557,Paramètrage!$A$6:$A$179,Paramètrage!$E$6:$E$179))</f>
        <v/>
      </c>
      <c r="O557" s="3" t="str">
        <f t="shared" si="181"/>
        <v/>
      </c>
      <c r="P557" s="3" t="str">
        <f t="shared" si="182"/>
        <v/>
      </c>
      <c r="Q557" s="3" t="str">
        <f t="shared" si="175"/>
        <v/>
      </c>
      <c r="R557" s="3" t="str">
        <f t="shared" si="183"/>
        <v/>
      </c>
      <c r="S557" s="3" t="str">
        <f t="shared" si="184"/>
        <v/>
      </c>
      <c r="T557" s="4" t="str">
        <f t="shared" si="185"/>
        <v/>
      </c>
      <c r="U557" s="5" t="str">
        <f t="shared" si="186"/>
        <v/>
      </c>
      <c r="V557" s="7" t="str">
        <f>IF(W557="","",IF(LOOKUP(W557,'Extration 3E date commande'!$A$6:$A$10000)=W557,LOOKUP(W557,'Extration 3E date commande'!$A$6:$A$10000,'Extration 3E date commande'!$C$6:$C$10000),"PAS DE DATE"))</f>
        <v/>
      </c>
    </row>
    <row r="558" spans="1:22" x14ac:dyDescent="0.25">
      <c r="A558" s="3" t="str">
        <f t="shared" si="176"/>
        <v/>
      </c>
      <c r="B558" s="3" t="str">
        <f t="shared" si="177"/>
        <v/>
      </c>
      <c r="C558" s="3" t="str">
        <f t="shared" si="174"/>
        <v/>
      </c>
      <c r="D558" s="3" t="str">
        <f t="shared" si="170"/>
        <v/>
      </c>
      <c r="E558" s="3" t="str">
        <f t="shared" si="171"/>
        <v/>
      </c>
      <c r="F558" s="3" t="str">
        <f t="shared" si="172"/>
        <v/>
      </c>
      <c r="G558" s="3" t="str">
        <f t="shared" si="173"/>
        <v/>
      </c>
      <c r="H558" s="3" t="str">
        <f t="shared" si="178"/>
        <v/>
      </c>
      <c r="I558" s="3" t="str">
        <f t="shared" si="179"/>
        <v/>
      </c>
      <c r="J558" s="2" t="str">
        <f t="shared" si="180"/>
        <v/>
      </c>
      <c r="K558" s="2" t="str">
        <f>IF(W558="","",LOOKUP('Extraction edi'!J558,Paramètrage!$A$6:$A$179,Paramètrage!$B$6:$B$179))</f>
        <v/>
      </c>
      <c r="L558" s="2" t="str">
        <f>IF(W558="","",LOOKUP('Extraction edi'!J558,Paramètrage!$A$6:$A$179,Paramètrage!$C$6:$C$179))</f>
        <v/>
      </c>
      <c r="M558" s="2" t="str">
        <f>IF(W558="","",LOOKUP('Extraction edi'!J558,Paramètrage!$A$6:$A$179,Paramètrage!$D$6:$D$179))</f>
        <v/>
      </c>
      <c r="N558" s="3" t="str">
        <f>IF(W558="","",LOOKUP('Extraction edi'!J558,Paramètrage!$A$6:$A$179,Paramètrage!$E$6:$E$179))</f>
        <v/>
      </c>
      <c r="O558" s="3" t="str">
        <f t="shared" si="181"/>
        <v/>
      </c>
      <c r="P558" s="3" t="str">
        <f t="shared" si="182"/>
        <v/>
      </c>
      <c r="Q558" s="3" t="str">
        <f t="shared" si="175"/>
        <v/>
      </c>
      <c r="R558" s="3" t="str">
        <f t="shared" si="183"/>
        <v/>
      </c>
      <c r="S558" s="3" t="str">
        <f t="shared" si="184"/>
        <v/>
      </c>
      <c r="T558" s="4" t="str">
        <f t="shared" si="185"/>
        <v/>
      </c>
      <c r="U558" s="5" t="str">
        <f t="shared" si="186"/>
        <v/>
      </c>
      <c r="V558" s="7" t="str">
        <f>IF(W558="","",IF(LOOKUP(W558,'Extration 3E date commande'!$A$6:$A$10000)=W558,LOOKUP(W558,'Extration 3E date commande'!$A$6:$A$10000,'Extration 3E date commande'!$C$6:$C$10000),"PAS DE DATE"))</f>
        <v/>
      </c>
    </row>
    <row r="559" spans="1:22" x14ac:dyDescent="0.25">
      <c r="A559" s="3" t="str">
        <f t="shared" si="176"/>
        <v/>
      </c>
      <c r="B559" s="3" t="str">
        <f t="shared" si="177"/>
        <v/>
      </c>
      <c r="C559" s="3" t="str">
        <f t="shared" si="174"/>
        <v/>
      </c>
      <c r="D559" s="3" t="str">
        <f t="shared" si="170"/>
        <v/>
      </c>
      <c r="E559" s="3" t="str">
        <f t="shared" si="171"/>
        <v/>
      </c>
      <c r="F559" s="3" t="str">
        <f t="shared" si="172"/>
        <v/>
      </c>
      <c r="G559" s="3" t="str">
        <f t="shared" si="173"/>
        <v/>
      </c>
      <c r="H559" s="3" t="str">
        <f t="shared" si="178"/>
        <v/>
      </c>
      <c r="I559" s="3" t="str">
        <f t="shared" si="179"/>
        <v/>
      </c>
      <c r="J559" s="2" t="str">
        <f t="shared" si="180"/>
        <v/>
      </c>
      <c r="K559" s="2" t="str">
        <f>IF(W559="","",LOOKUP('Extraction edi'!J559,Paramètrage!$A$6:$A$179,Paramètrage!$B$6:$B$179))</f>
        <v/>
      </c>
      <c r="L559" s="2" t="str">
        <f>IF(W559="","",LOOKUP('Extraction edi'!J559,Paramètrage!$A$6:$A$179,Paramètrage!$C$6:$C$179))</f>
        <v/>
      </c>
      <c r="M559" s="2" t="str">
        <f>IF(W559="","",LOOKUP('Extraction edi'!J559,Paramètrage!$A$6:$A$179,Paramètrage!$D$6:$D$179))</f>
        <v/>
      </c>
      <c r="N559" s="3" t="str">
        <f>IF(W559="","",LOOKUP('Extraction edi'!J559,Paramètrage!$A$6:$A$179,Paramètrage!$E$6:$E$179))</f>
        <v/>
      </c>
      <c r="O559" s="3" t="str">
        <f t="shared" si="181"/>
        <v/>
      </c>
      <c r="P559" s="3" t="str">
        <f t="shared" si="182"/>
        <v/>
      </c>
      <c r="Q559" s="3" t="str">
        <f t="shared" si="175"/>
        <v/>
      </c>
      <c r="R559" s="3" t="str">
        <f t="shared" si="183"/>
        <v/>
      </c>
      <c r="S559" s="3" t="str">
        <f t="shared" si="184"/>
        <v/>
      </c>
      <c r="T559" s="4" t="str">
        <f t="shared" si="185"/>
        <v/>
      </c>
      <c r="U559" s="5" t="str">
        <f t="shared" si="186"/>
        <v/>
      </c>
      <c r="V559" s="7" t="str">
        <f>IF(W559="","",IF(LOOKUP(W559,'Extration 3E date commande'!$A$6:$A$10000)=W559,LOOKUP(W559,'Extration 3E date commande'!$A$6:$A$10000,'Extration 3E date commande'!$C$6:$C$10000),"PAS DE DATE"))</f>
        <v/>
      </c>
    </row>
    <row r="560" spans="1:22" x14ac:dyDescent="0.25">
      <c r="A560" s="3" t="str">
        <f t="shared" si="176"/>
        <v/>
      </c>
      <c r="B560" s="3" t="str">
        <f t="shared" si="177"/>
        <v/>
      </c>
      <c r="C560" s="3" t="str">
        <f t="shared" si="174"/>
        <v/>
      </c>
      <c r="D560" s="3" t="str">
        <f t="shared" si="170"/>
        <v/>
      </c>
      <c r="E560" s="3" t="str">
        <f t="shared" si="171"/>
        <v/>
      </c>
      <c r="F560" s="3" t="str">
        <f t="shared" si="172"/>
        <v/>
      </c>
      <c r="G560" s="3" t="str">
        <f t="shared" si="173"/>
        <v/>
      </c>
      <c r="H560" s="3" t="str">
        <f t="shared" si="178"/>
        <v/>
      </c>
      <c r="I560" s="3" t="str">
        <f t="shared" si="179"/>
        <v/>
      </c>
      <c r="J560" s="2" t="str">
        <f t="shared" si="180"/>
        <v/>
      </c>
      <c r="K560" s="2" t="str">
        <f>IF(W560="","",LOOKUP('Extraction edi'!J560,Paramètrage!$A$6:$A$179,Paramètrage!$B$6:$B$179))</f>
        <v/>
      </c>
      <c r="L560" s="2" t="str">
        <f>IF(W560="","",LOOKUP('Extraction edi'!J560,Paramètrage!$A$6:$A$179,Paramètrage!$C$6:$C$179))</f>
        <v/>
      </c>
      <c r="M560" s="2" t="str">
        <f>IF(W560="","",LOOKUP('Extraction edi'!J560,Paramètrage!$A$6:$A$179,Paramètrage!$D$6:$D$179))</f>
        <v/>
      </c>
      <c r="N560" s="3" t="str">
        <f>IF(W560="","",LOOKUP('Extraction edi'!J560,Paramètrage!$A$6:$A$179,Paramètrage!$E$6:$E$179))</f>
        <v/>
      </c>
      <c r="O560" s="3" t="str">
        <f t="shared" si="181"/>
        <v/>
      </c>
      <c r="P560" s="3" t="str">
        <f t="shared" si="182"/>
        <v/>
      </c>
      <c r="Q560" s="3" t="str">
        <f t="shared" si="175"/>
        <v/>
      </c>
      <c r="R560" s="3" t="str">
        <f t="shared" si="183"/>
        <v/>
      </c>
      <c r="S560" s="3" t="str">
        <f t="shared" si="184"/>
        <v/>
      </c>
      <c r="T560" s="4" t="str">
        <f t="shared" si="185"/>
        <v/>
      </c>
      <c r="U560" s="5" t="str">
        <f t="shared" si="186"/>
        <v/>
      </c>
      <c r="V560" s="7" t="str">
        <f>IF(W560="","",IF(LOOKUP(W560,'Extration 3E date commande'!$A$6:$A$10000)=W560,LOOKUP(W560,'Extration 3E date commande'!$A$6:$A$10000,'Extration 3E date commande'!$C$6:$C$10000),"PAS DE DATE"))</f>
        <v/>
      </c>
    </row>
    <row r="561" spans="1:22" x14ac:dyDescent="0.25">
      <c r="A561" s="3" t="str">
        <f t="shared" si="176"/>
        <v/>
      </c>
      <c r="B561" s="3" t="str">
        <f t="shared" si="177"/>
        <v/>
      </c>
      <c r="C561" s="3" t="str">
        <f t="shared" si="174"/>
        <v/>
      </c>
      <c r="D561" s="3" t="str">
        <f t="shared" si="170"/>
        <v/>
      </c>
      <c r="E561" s="3" t="str">
        <f t="shared" si="171"/>
        <v/>
      </c>
      <c r="F561" s="3" t="str">
        <f t="shared" si="172"/>
        <v/>
      </c>
      <c r="G561" s="3" t="str">
        <f t="shared" si="173"/>
        <v/>
      </c>
      <c r="H561" s="3" t="str">
        <f t="shared" si="178"/>
        <v/>
      </c>
      <c r="I561" s="3" t="str">
        <f t="shared" si="179"/>
        <v/>
      </c>
      <c r="J561" s="2" t="str">
        <f t="shared" si="180"/>
        <v/>
      </c>
      <c r="K561" s="2" t="str">
        <f>IF(W561="","",LOOKUP('Extraction edi'!J561,Paramètrage!$A$6:$A$179,Paramètrage!$B$6:$B$179))</f>
        <v/>
      </c>
      <c r="L561" s="2" t="str">
        <f>IF(W561="","",LOOKUP('Extraction edi'!J561,Paramètrage!$A$6:$A$179,Paramètrage!$C$6:$C$179))</f>
        <v/>
      </c>
      <c r="M561" s="2" t="str">
        <f>IF(W561="","",LOOKUP('Extraction edi'!J561,Paramètrage!$A$6:$A$179,Paramètrage!$D$6:$D$179))</f>
        <v/>
      </c>
      <c r="N561" s="3" t="str">
        <f>IF(W561="","",LOOKUP('Extraction edi'!J561,Paramètrage!$A$6:$A$179,Paramètrage!$E$6:$E$179))</f>
        <v/>
      </c>
      <c r="O561" s="3" t="str">
        <f t="shared" si="181"/>
        <v/>
      </c>
      <c r="P561" s="3" t="str">
        <f t="shared" si="182"/>
        <v/>
      </c>
      <c r="Q561" s="3" t="str">
        <f t="shared" si="175"/>
        <v/>
      </c>
      <c r="R561" s="3" t="str">
        <f t="shared" si="183"/>
        <v/>
      </c>
      <c r="S561" s="3" t="str">
        <f t="shared" si="184"/>
        <v/>
      </c>
      <c r="T561" s="4" t="str">
        <f t="shared" si="185"/>
        <v/>
      </c>
      <c r="U561" s="5" t="str">
        <f t="shared" si="186"/>
        <v/>
      </c>
      <c r="V561" s="7" t="str">
        <f>IF(W561="","",IF(LOOKUP(W561,'Extration 3E date commande'!$A$6:$A$10000)=W561,LOOKUP(W561,'Extration 3E date commande'!$A$6:$A$10000,'Extration 3E date commande'!$C$6:$C$10000),"PAS DE DATE"))</f>
        <v/>
      </c>
    </row>
    <row r="562" spans="1:22" x14ac:dyDescent="0.25">
      <c r="A562" s="3" t="str">
        <f t="shared" si="176"/>
        <v/>
      </c>
      <c r="B562" s="3" t="str">
        <f t="shared" si="177"/>
        <v/>
      </c>
      <c r="C562" s="3" t="str">
        <f t="shared" si="174"/>
        <v/>
      </c>
      <c r="D562" s="3" t="str">
        <f t="shared" si="170"/>
        <v/>
      </c>
      <c r="E562" s="3" t="str">
        <f t="shared" si="171"/>
        <v/>
      </c>
      <c r="F562" s="3" t="str">
        <f t="shared" si="172"/>
        <v/>
      </c>
      <c r="G562" s="3" t="str">
        <f t="shared" si="173"/>
        <v/>
      </c>
      <c r="H562" s="3" t="str">
        <f t="shared" si="178"/>
        <v/>
      </c>
      <c r="I562" s="3" t="str">
        <f t="shared" si="179"/>
        <v/>
      </c>
      <c r="J562" s="2" t="str">
        <f t="shared" si="180"/>
        <v/>
      </c>
      <c r="K562" s="2" t="str">
        <f>IF(W562="","",LOOKUP('Extraction edi'!J562,Paramètrage!$A$6:$A$179,Paramètrage!$B$6:$B$179))</f>
        <v/>
      </c>
      <c r="L562" s="2" t="str">
        <f>IF(W562="","",LOOKUP('Extraction edi'!J562,Paramètrage!$A$6:$A$179,Paramètrage!$C$6:$C$179))</f>
        <v/>
      </c>
      <c r="M562" s="2" t="str">
        <f>IF(W562="","",LOOKUP('Extraction edi'!J562,Paramètrage!$A$6:$A$179,Paramètrage!$D$6:$D$179))</f>
        <v/>
      </c>
      <c r="N562" s="3" t="str">
        <f>IF(W562="","",LOOKUP('Extraction edi'!J562,Paramètrage!$A$6:$A$179,Paramètrage!$E$6:$E$179))</f>
        <v/>
      </c>
      <c r="O562" s="3" t="str">
        <f t="shared" si="181"/>
        <v/>
      </c>
      <c r="P562" s="3" t="str">
        <f t="shared" si="182"/>
        <v/>
      </c>
      <c r="Q562" s="3" t="str">
        <f t="shared" si="175"/>
        <v/>
      </c>
      <c r="R562" s="3" t="str">
        <f t="shared" si="183"/>
        <v/>
      </c>
      <c r="S562" s="3" t="str">
        <f t="shared" si="184"/>
        <v/>
      </c>
      <c r="T562" s="4" t="str">
        <f t="shared" si="185"/>
        <v/>
      </c>
      <c r="U562" s="5" t="str">
        <f t="shared" si="186"/>
        <v/>
      </c>
      <c r="V562" s="7" t="str">
        <f>IF(W562="","",IF(LOOKUP(W562,'Extration 3E date commande'!$A$6:$A$10000)=W562,LOOKUP(W562,'Extration 3E date commande'!$A$6:$A$10000,'Extration 3E date commande'!$C$6:$C$10000),"PAS DE DATE"))</f>
        <v/>
      </c>
    </row>
    <row r="563" spans="1:22" x14ac:dyDescent="0.25">
      <c r="A563" s="3" t="str">
        <f t="shared" si="176"/>
        <v/>
      </c>
      <c r="B563" s="3" t="str">
        <f t="shared" si="177"/>
        <v/>
      </c>
      <c r="C563" s="3" t="str">
        <f t="shared" si="174"/>
        <v/>
      </c>
      <c r="D563" s="3" t="str">
        <f t="shared" si="170"/>
        <v/>
      </c>
      <c r="E563" s="3" t="str">
        <f t="shared" si="171"/>
        <v/>
      </c>
      <c r="F563" s="3" t="str">
        <f t="shared" si="172"/>
        <v/>
      </c>
      <c r="G563" s="3" t="str">
        <f t="shared" si="173"/>
        <v/>
      </c>
      <c r="H563" s="3" t="str">
        <f t="shared" si="178"/>
        <v/>
      </c>
      <c r="I563" s="3" t="str">
        <f t="shared" si="179"/>
        <v/>
      </c>
      <c r="J563" s="2" t="str">
        <f t="shared" si="180"/>
        <v/>
      </c>
      <c r="K563" s="2" t="str">
        <f>IF(W563="","",LOOKUP('Extraction edi'!J563,Paramètrage!$A$6:$A$179,Paramètrage!$B$6:$B$179))</f>
        <v/>
      </c>
      <c r="L563" s="2" t="str">
        <f>IF(W563="","",LOOKUP('Extraction edi'!J563,Paramètrage!$A$6:$A$179,Paramètrage!$C$6:$C$179))</f>
        <v/>
      </c>
      <c r="M563" s="2" t="str">
        <f>IF(W563="","",LOOKUP('Extraction edi'!J563,Paramètrage!$A$6:$A$179,Paramètrage!$D$6:$D$179))</f>
        <v/>
      </c>
      <c r="N563" s="3" t="str">
        <f>IF(W563="","",LOOKUP('Extraction edi'!J563,Paramètrage!$A$6:$A$179,Paramètrage!$E$6:$E$179))</f>
        <v/>
      </c>
      <c r="O563" s="3" t="str">
        <f t="shared" si="181"/>
        <v/>
      </c>
      <c r="P563" s="3" t="str">
        <f t="shared" si="182"/>
        <v/>
      </c>
      <c r="Q563" s="3" t="str">
        <f t="shared" si="175"/>
        <v/>
      </c>
      <c r="R563" s="3" t="str">
        <f t="shared" si="183"/>
        <v/>
      </c>
      <c r="S563" s="3" t="str">
        <f t="shared" si="184"/>
        <v/>
      </c>
      <c r="T563" s="4" t="str">
        <f t="shared" si="185"/>
        <v/>
      </c>
      <c r="U563" s="5" t="str">
        <f t="shared" si="186"/>
        <v/>
      </c>
      <c r="V563" s="7" t="str">
        <f>IF(W563="","",IF(LOOKUP(W563,'Extration 3E date commande'!$A$6:$A$10000)=W563,LOOKUP(W563,'Extration 3E date commande'!$A$6:$A$10000,'Extration 3E date commande'!$C$6:$C$10000),"PAS DE DATE"))</f>
        <v/>
      </c>
    </row>
    <row r="564" spans="1:22" x14ac:dyDescent="0.25">
      <c r="A564" s="3" t="str">
        <f t="shared" si="176"/>
        <v/>
      </c>
      <c r="B564" s="3" t="str">
        <f t="shared" si="177"/>
        <v/>
      </c>
      <c r="C564" s="3" t="str">
        <f t="shared" si="174"/>
        <v/>
      </c>
      <c r="D564" s="3" t="str">
        <f t="shared" si="170"/>
        <v/>
      </c>
      <c r="E564" s="3" t="str">
        <f t="shared" si="171"/>
        <v/>
      </c>
      <c r="F564" s="3" t="str">
        <f t="shared" si="172"/>
        <v/>
      </c>
      <c r="G564" s="3" t="str">
        <f t="shared" si="173"/>
        <v/>
      </c>
      <c r="H564" s="3" t="str">
        <f t="shared" si="178"/>
        <v/>
      </c>
      <c r="I564" s="3" t="str">
        <f t="shared" si="179"/>
        <v/>
      </c>
      <c r="J564" s="2" t="str">
        <f t="shared" si="180"/>
        <v/>
      </c>
      <c r="K564" s="2" t="str">
        <f>IF(W564="","",LOOKUP('Extraction edi'!J564,Paramètrage!$A$6:$A$179,Paramètrage!$B$6:$B$179))</f>
        <v/>
      </c>
      <c r="L564" s="2" t="str">
        <f>IF(W564="","",LOOKUP('Extraction edi'!J564,Paramètrage!$A$6:$A$179,Paramètrage!$C$6:$C$179))</f>
        <v/>
      </c>
      <c r="M564" s="2" t="str">
        <f>IF(W564="","",LOOKUP('Extraction edi'!J564,Paramètrage!$A$6:$A$179,Paramètrage!$D$6:$D$179))</f>
        <v/>
      </c>
      <c r="N564" s="3" t="str">
        <f>IF(W564="","",LOOKUP('Extraction edi'!J564,Paramètrage!$A$6:$A$179,Paramètrage!$E$6:$E$179))</f>
        <v/>
      </c>
      <c r="O564" s="3" t="str">
        <f t="shared" si="181"/>
        <v/>
      </c>
      <c r="P564" s="3" t="str">
        <f t="shared" si="182"/>
        <v/>
      </c>
      <c r="Q564" s="3" t="str">
        <f t="shared" si="175"/>
        <v/>
      </c>
      <c r="R564" s="3" t="str">
        <f t="shared" si="183"/>
        <v/>
      </c>
      <c r="S564" s="3" t="str">
        <f t="shared" si="184"/>
        <v/>
      </c>
      <c r="T564" s="4" t="str">
        <f t="shared" si="185"/>
        <v/>
      </c>
      <c r="U564" s="5" t="str">
        <f t="shared" si="186"/>
        <v/>
      </c>
      <c r="V564" s="7" t="str">
        <f>IF(W564="","",IF(LOOKUP(W564,'Extration 3E date commande'!$A$6:$A$10000)=W564,LOOKUP(W564,'Extration 3E date commande'!$A$6:$A$10000,'Extration 3E date commande'!$C$6:$C$10000),"PAS DE DATE"))</f>
        <v/>
      </c>
    </row>
    <row r="565" spans="1:22" x14ac:dyDescent="0.25">
      <c r="A565" s="3" t="str">
        <f t="shared" si="176"/>
        <v/>
      </c>
      <c r="B565" s="3" t="str">
        <f t="shared" si="177"/>
        <v/>
      </c>
      <c r="C565" s="3" t="str">
        <f t="shared" si="174"/>
        <v/>
      </c>
      <c r="D565" s="3" t="str">
        <f t="shared" si="170"/>
        <v/>
      </c>
      <c r="E565" s="3" t="str">
        <f t="shared" si="171"/>
        <v/>
      </c>
      <c r="F565" s="3" t="str">
        <f t="shared" si="172"/>
        <v/>
      </c>
      <c r="G565" s="3" t="str">
        <f t="shared" si="173"/>
        <v/>
      </c>
      <c r="H565" s="3" t="str">
        <f t="shared" si="178"/>
        <v/>
      </c>
      <c r="I565" s="3" t="str">
        <f t="shared" si="179"/>
        <v/>
      </c>
      <c r="J565" s="2" t="str">
        <f t="shared" si="180"/>
        <v/>
      </c>
      <c r="K565" s="2" t="str">
        <f>IF(W565="","",LOOKUP('Extraction edi'!J565,Paramètrage!$A$6:$A$179,Paramètrage!$B$6:$B$179))</f>
        <v/>
      </c>
      <c r="L565" s="2" t="str">
        <f>IF(W565="","",LOOKUP('Extraction edi'!J565,Paramètrage!$A$6:$A$179,Paramètrage!$C$6:$C$179))</f>
        <v/>
      </c>
      <c r="M565" s="2" t="str">
        <f>IF(W565="","",LOOKUP('Extraction edi'!J565,Paramètrage!$A$6:$A$179,Paramètrage!$D$6:$D$179))</f>
        <v/>
      </c>
      <c r="N565" s="3" t="str">
        <f>IF(W565="","",LOOKUP('Extraction edi'!J565,Paramètrage!$A$6:$A$179,Paramètrage!$E$6:$E$179))</f>
        <v/>
      </c>
      <c r="O565" s="3" t="str">
        <f t="shared" si="181"/>
        <v/>
      </c>
      <c r="P565" s="3" t="str">
        <f t="shared" si="182"/>
        <v/>
      </c>
      <c r="Q565" s="3" t="str">
        <f t="shared" si="175"/>
        <v/>
      </c>
      <c r="R565" s="3" t="str">
        <f t="shared" si="183"/>
        <v/>
      </c>
      <c r="S565" s="3" t="str">
        <f t="shared" si="184"/>
        <v/>
      </c>
      <c r="T565" s="4" t="str">
        <f t="shared" si="185"/>
        <v/>
      </c>
      <c r="U565" s="5" t="str">
        <f t="shared" si="186"/>
        <v/>
      </c>
      <c r="V565" s="7" t="str">
        <f>IF(W565="","",IF(LOOKUP(W565,'Extration 3E date commande'!$A$6:$A$10000)=W565,LOOKUP(W565,'Extration 3E date commande'!$A$6:$A$10000,'Extration 3E date commande'!$C$6:$C$10000),"PAS DE DATE"))</f>
        <v/>
      </c>
    </row>
    <row r="566" spans="1:22" x14ac:dyDescent="0.25">
      <c r="A566" s="3" t="str">
        <f t="shared" si="176"/>
        <v/>
      </c>
      <c r="B566" s="3" t="str">
        <f t="shared" si="177"/>
        <v/>
      </c>
      <c r="C566" s="3" t="str">
        <f t="shared" si="174"/>
        <v/>
      </c>
      <c r="D566" s="3" t="str">
        <f t="shared" si="170"/>
        <v/>
      </c>
      <c r="E566" s="3" t="str">
        <f t="shared" si="171"/>
        <v/>
      </c>
      <c r="F566" s="3" t="str">
        <f t="shared" si="172"/>
        <v/>
      </c>
      <c r="G566" s="3" t="str">
        <f t="shared" si="173"/>
        <v/>
      </c>
      <c r="H566" s="3" t="str">
        <f t="shared" si="178"/>
        <v/>
      </c>
      <c r="I566" s="3" t="str">
        <f t="shared" si="179"/>
        <v/>
      </c>
      <c r="J566" s="2" t="str">
        <f t="shared" si="180"/>
        <v/>
      </c>
      <c r="K566" s="2" t="str">
        <f>IF(W566="","",LOOKUP('Extraction edi'!J566,Paramètrage!$A$6:$A$179,Paramètrage!$B$6:$B$179))</f>
        <v/>
      </c>
      <c r="L566" s="2" t="str">
        <f>IF(W566="","",LOOKUP('Extraction edi'!J566,Paramètrage!$A$6:$A$179,Paramètrage!$C$6:$C$179))</f>
        <v/>
      </c>
      <c r="M566" s="2" t="str">
        <f>IF(W566="","",LOOKUP('Extraction edi'!J566,Paramètrage!$A$6:$A$179,Paramètrage!$D$6:$D$179))</f>
        <v/>
      </c>
      <c r="N566" s="3" t="str">
        <f>IF(W566="","",LOOKUP('Extraction edi'!J566,Paramètrage!$A$6:$A$179,Paramètrage!$E$6:$E$179))</f>
        <v/>
      </c>
      <c r="O566" s="3" t="str">
        <f t="shared" si="181"/>
        <v/>
      </c>
      <c r="P566" s="3" t="str">
        <f t="shared" si="182"/>
        <v/>
      </c>
      <c r="Q566" s="3" t="str">
        <f t="shared" si="175"/>
        <v/>
      </c>
      <c r="R566" s="3" t="str">
        <f t="shared" si="183"/>
        <v/>
      </c>
      <c r="S566" s="3" t="str">
        <f t="shared" si="184"/>
        <v/>
      </c>
      <c r="T566" s="4" t="str">
        <f t="shared" si="185"/>
        <v/>
      </c>
      <c r="U566" s="5" t="str">
        <f t="shared" si="186"/>
        <v/>
      </c>
      <c r="V566" s="7" t="str">
        <f>IF(W566="","",IF(LOOKUP(W566,'Extration 3E date commande'!$A$6:$A$10000)=W566,LOOKUP(W566,'Extration 3E date commande'!$A$6:$A$10000,'Extration 3E date commande'!$C$6:$C$10000),"PAS DE DATE"))</f>
        <v/>
      </c>
    </row>
    <row r="567" spans="1:22" x14ac:dyDescent="0.25">
      <c r="A567" s="3" t="str">
        <f t="shared" si="176"/>
        <v/>
      </c>
      <c r="B567" s="3" t="str">
        <f t="shared" si="177"/>
        <v/>
      </c>
      <c r="C567" s="3" t="str">
        <f t="shared" si="174"/>
        <v/>
      </c>
      <c r="D567" s="3" t="str">
        <f t="shared" si="170"/>
        <v/>
      </c>
      <c r="E567" s="3" t="str">
        <f t="shared" si="171"/>
        <v/>
      </c>
      <c r="F567" s="3" t="str">
        <f t="shared" si="172"/>
        <v/>
      </c>
      <c r="G567" s="3" t="str">
        <f t="shared" si="173"/>
        <v/>
      </c>
      <c r="H567" s="3" t="str">
        <f t="shared" si="178"/>
        <v/>
      </c>
      <c r="I567" s="3" t="str">
        <f t="shared" si="179"/>
        <v/>
      </c>
      <c r="J567" s="2" t="str">
        <f t="shared" si="180"/>
        <v/>
      </c>
      <c r="K567" s="2" t="str">
        <f>IF(W567="","",LOOKUP('Extraction edi'!J567,Paramètrage!$A$6:$A$179,Paramètrage!$B$6:$B$179))</f>
        <v/>
      </c>
      <c r="L567" s="2" t="str">
        <f>IF(W567="","",LOOKUP('Extraction edi'!J567,Paramètrage!$A$6:$A$179,Paramètrage!$C$6:$C$179))</f>
        <v/>
      </c>
      <c r="M567" s="2" t="str">
        <f>IF(W567="","",LOOKUP('Extraction edi'!J567,Paramètrage!$A$6:$A$179,Paramètrage!$D$6:$D$179))</f>
        <v/>
      </c>
      <c r="N567" s="3" t="str">
        <f>IF(W567="","",LOOKUP('Extraction edi'!J567,Paramètrage!$A$6:$A$179,Paramètrage!$E$6:$E$179))</f>
        <v/>
      </c>
      <c r="O567" s="3" t="str">
        <f t="shared" si="181"/>
        <v/>
      </c>
      <c r="P567" s="3" t="str">
        <f t="shared" si="182"/>
        <v/>
      </c>
      <c r="Q567" s="3" t="str">
        <f t="shared" si="175"/>
        <v/>
      </c>
      <c r="R567" s="3" t="str">
        <f t="shared" si="183"/>
        <v/>
      </c>
      <c r="S567" s="3" t="str">
        <f t="shared" si="184"/>
        <v/>
      </c>
      <c r="T567" s="4" t="str">
        <f t="shared" si="185"/>
        <v/>
      </c>
      <c r="U567" s="5" t="str">
        <f t="shared" si="186"/>
        <v/>
      </c>
      <c r="V567" s="7" t="str">
        <f>IF(W567="","",IF(LOOKUP(W567,'Extration 3E date commande'!$A$6:$A$10000)=W567,LOOKUP(W567,'Extration 3E date commande'!$A$6:$A$10000,'Extration 3E date commande'!$C$6:$C$10000),"PAS DE DATE"))</f>
        <v/>
      </c>
    </row>
    <row r="568" spans="1:22" x14ac:dyDescent="0.25">
      <c r="A568" s="3" t="str">
        <f t="shared" si="176"/>
        <v/>
      </c>
      <c r="B568" s="3" t="str">
        <f t="shared" si="177"/>
        <v/>
      </c>
      <c r="C568" s="3" t="str">
        <f t="shared" si="174"/>
        <v/>
      </c>
      <c r="D568" s="3" t="str">
        <f t="shared" si="170"/>
        <v/>
      </c>
      <c r="E568" s="3" t="str">
        <f t="shared" si="171"/>
        <v/>
      </c>
      <c r="F568" s="3" t="str">
        <f t="shared" si="172"/>
        <v/>
      </c>
      <c r="G568" s="3" t="str">
        <f t="shared" si="173"/>
        <v/>
      </c>
      <c r="H568" s="3" t="str">
        <f t="shared" si="178"/>
        <v/>
      </c>
      <c r="I568" s="3" t="str">
        <f t="shared" si="179"/>
        <v/>
      </c>
      <c r="J568" s="2" t="str">
        <f t="shared" si="180"/>
        <v/>
      </c>
      <c r="K568" s="2" t="str">
        <f>IF(W568="","",LOOKUP('Extraction edi'!J568,Paramètrage!$A$6:$A$179,Paramètrage!$B$6:$B$179))</f>
        <v/>
      </c>
      <c r="L568" s="2" t="str">
        <f>IF(W568="","",LOOKUP('Extraction edi'!J568,Paramètrage!$A$6:$A$179,Paramètrage!$C$6:$C$179))</f>
        <v/>
      </c>
      <c r="M568" s="2" t="str">
        <f>IF(W568="","",LOOKUP('Extraction edi'!J568,Paramètrage!$A$6:$A$179,Paramètrage!$D$6:$D$179))</f>
        <v/>
      </c>
      <c r="N568" s="3" t="str">
        <f>IF(W568="","",LOOKUP('Extraction edi'!J568,Paramètrage!$A$6:$A$179,Paramètrage!$E$6:$E$179))</f>
        <v/>
      </c>
      <c r="O568" s="3" t="str">
        <f t="shared" si="181"/>
        <v/>
      </c>
      <c r="P568" s="3" t="str">
        <f t="shared" si="182"/>
        <v/>
      </c>
      <c r="Q568" s="3" t="str">
        <f t="shared" si="175"/>
        <v/>
      </c>
      <c r="R568" s="3" t="str">
        <f t="shared" si="183"/>
        <v/>
      </c>
      <c r="S568" s="3" t="str">
        <f t="shared" si="184"/>
        <v/>
      </c>
      <c r="T568" s="4" t="str">
        <f t="shared" si="185"/>
        <v/>
      </c>
      <c r="U568" s="5" t="str">
        <f t="shared" si="186"/>
        <v/>
      </c>
      <c r="V568" s="7" t="str">
        <f>IF(W568="","",IF(LOOKUP(W568,'Extration 3E date commande'!$A$6:$A$10000)=W568,LOOKUP(W568,'Extration 3E date commande'!$A$6:$A$10000,'Extration 3E date commande'!$C$6:$C$10000),"PAS DE DATE"))</f>
        <v/>
      </c>
    </row>
    <row r="569" spans="1:22" x14ac:dyDescent="0.25">
      <c r="A569" s="3" t="str">
        <f t="shared" si="176"/>
        <v/>
      </c>
      <c r="B569" s="3" t="str">
        <f t="shared" si="177"/>
        <v/>
      </c>
      <c r="C569" s="3" t="str">
        <f t="shared" si="174"/>
        <v/>
      </c>
      <c r="D569" s="3" t="str">
        <f t="shared" si="170"/>
        <v/>
      </c>
      <c r="E569" s="3" t="str">
        <f t="shared" si="171"/>
        <v/>
      </c>
      <c r="F569" s="3" t="str">
        <f t="shared" si="172"/>
        <v/>
      </c>
      <c r="G569" s="3" t="str">
        <f t="shared" si="173"/>
        <v/>
      </c>
      <c r="H569" s="3" t="str">
        <f t="shared" si="178"/>
        <v/>
      </c>
      <c r="I569" s="3" t="str">
        <f t="shared" si="179"/>
        <v/>
      </c>
      <c r="J569" s="2" t="str">
        <f t="shared" si="180"/>
        <v/>
      </c>
      <c r="K569" s="2" t="str">
        <f>IF(W569="","",LOOKUP('Extraction edi'!J569,Paramètrage!$A$6:$A$179,Paramètrage!$B$6:$B$179))</f>
        <v/>
      </c>
      <c r="L569" s="2" t="str">
        <f>IF(W569="","",LOOKUP('Extraction edi'!J569,Paramètrage!$A$6:$A$179,Paramètrage!$C$6:$C$179))</f>
        <v/>
      </c>
      <c r="M569" s="2" t="str">
        <f>IF(W569="","",LOOKUP('Extraction edi'!J569,Paramètrage!$A$6:$A$179,Paramètrage!$D$6:$D$179))</f>
        <v/>
      </c>
      <c r="N569" s="3" t="str">
        <f>IF(W569="","",LOOKUP('Extraction edi'!J569,Paramètrage!$A$6:$A$179,Paramètrage!$E$6:$E$179))</f>
        <v/>
      </c>
      <c r="O569" s="3" t="str">
        <f t="shared" si="181"/>
        <v/>
      </c>
      <c r="P569" s="3" t="str">
        <f t="shared" si="182"/>
        <v/>
      </c>
      <c r="Q569" s="3" t="str">
        <f t="shared" si="175"/>
        <v/>
      </c>
      <c r="R569" s="3" t="str">
        <f t="shared" si="183"/>
        <v/>
      </c>
      <c r="S569" s="3" t="str">
        <f t="shared" si="184"/>
        <v/>
      </c>
      <c r="T569" s="4" t="str">
        <f t="shared" si="185"/>
        <v/>
      </c>
      <c r="U569" s="5" t="str">
        <f t="shared" si="186"/>
        <v/>
      </c>
      <c r="V569" s="7" t="str">
        <f>IF(W569="","",IF(LOOKUP(W569,'Extration 3E date commande'!$A$6:$A$10000)=W569,LOOKUP(W569,'Extration 3E date commande'!$A$6:$A$10000,'Extration 3E date commande'!$C$6:$C$10000),"PAS DE DATE"))</f>
        <v/>
      </c>
    </row>
    <row r="570" spans="1:22" x14ac:dyDescent="0.25">
      <c r="A570" s="3" t="str">
        <f t="shared" si="176"/>
        <v/>
      </c>
      <c r="B570" s="3" t="str">
        <f t="shared" si="177"/>
        <v/>
      </c>
      <c r="C570" s="3" t="str">
        <f t="shared" si="174"/>
        <v/>
      </c>
      <c r="D570" s="3" t="str">
        <f t="shared" si="170"/>
        <v/>
      </c>
      <c r="E570" s="3" t="str">
        <f t="shared" si="171"/>
        <v/>
      </c>
      <c r="F570" s="3" t="str">
        <f t="shared" si="172"/>
        <v/>
      </c>
      <c r="G570" s="3" t="str">
        <f t="shared" si="173"/>
        <v/>
      </c>
      <c r="H570" s="3" t="str">
        <f t="shared" si="178"/>
        <v/>
      </c>
      <c r="I570" s="3" t="str">
        <f t="shared" si="179"/>
        <v/>
      </c>
      <c r="J570" s="2" t="str">
        <f t="shared" si="180"/>
        <v/>
      </c>
      <c r="K570" s="2" t="str">
        <f>IF(W570="","",LOOKUP('Extraction edi'!J570,Paramètrage!$A$6:$A$179,Paramètrage!$B$6:$B$179))</f>
        <v/>
      </c>
      <c r="L570" s="2" t="str">
        <f>IF(W570="","",LOOKUP('Extraction edi'!J570,Paramètrage!$A$6:$A$179,Paramètrage!$C$6:$C$179))</f>
        <v/>
      </c>
      <c r="M570" s="2" t="str">
        <f>IF(W570="","",LOOKUP('Extraction edi'!J570,Paramètrage!$A$6:$A$179,Paramètrage!$D$6:$D$179))</f>
        <v/>
      </c>
      <c r="N570" s="3" t="str">
        <f>IF(W570="","",LOOKUP('Extraction edi'!J570,Paramètrage!$A$6:$A$179,Paramètrage!$E$6:$E$179))</f>
        <v/>
      </c>
      <c r="O570" s="3" t="str">
        <f t="shared" si="181"/>
        <v/>
      </c>
      <c r="P570" s="3" t="str">
        <f t="shared" si="182"/>
        <v/>
      </c>
      <c r="Q570" s="3" t="str">
        <f t="shared" si="175"/>
        <v/>
      </c>
      <c r="R570" s="3" t="str">
        <f t="shared" si="183"/>
        <v/>
      </c>
      <c r="S570" s="3" t="str">
        <f t="shared" si="184"/>
        <v/>
      </c>
      <c r="T570" s="4" t="str">
        <f t="shared" si="185"/>
        <v/>
      </c>
      <c r="U570" s="5" t="str">
        <f t="shared" si="186"/>
        <v/>
      </c>
      <c r="V570" s="7" t="str">
        <f>IF(W570="","",IF(LOOKUP(W570,'Extration 3E date commande'!$A$6:$A$10000)=W570,LOOKUP(W570,'Extration 3E date commande'!$A$6:$A$10000,'Extration 3E date commande'!$C$6:$C$10000),"PAS DE DATE"))</f>
        <v/>
      </c>
    </row>
    <row r="571" spans="1:22" x14ac:dyDescent="0.25">
      <c r="A571" s="3" t="str">
        <f t="shared" si="176"/>
        <v/>
      </c>
      <c r="B571" s="3" t="str">
        <f t="shared" si="177"/>
        <v/>
      </c>
      <c r="C571" s="3" t="str">
        <f t="shared" si="174"/>
        <v/>
      </c>
      <c r="D571" s="3" t="str">
        <f t="shared" si="170"/>
        <v/>
      </c>
      <c r="E571" s="3" t="str">
        <f t="shared" si="171"/>
        <v/>
      </c>
      <c r="F571" s="3" t="str">
        <f t="shared" si="172"/>
        <v/>
      </c>
      <c r="G571" s="3" t="str">
        <f t="shared" si="173"/>
        <v/>
      </c>
      <c r="H571" s="3" t="str">
        <f t="shared" si="178"/>
        <v/>
      </c>
      <c r="I571" s="3" t="str">
        <f t="shared" si="179"/>
        <v/>
      </c>
      <c r="J571" s="2" t="str">
        <f t="shared" si="180"/>
        <v/>
      </c>
      <c r="K571" s="2" t="str">
        <f>IF(W571="","",LOOKUP('Extraction edi'!J571,Paramètrage!$A$6:$A$179,Paramètrage!$B$6:$B$179))</f>
        <v/>
      </c>
      <c r="L571" s="2" t="str">
        <f>IF(W571="","",LOOKUP('Extraction edi'!J571,Paramètrage!$A$6:$A$179,Paramètrage!$C$6:$C$179))</f>
        <v/>
      </c>
      <c r="M571" s="2" t="str">
        <f>IF(W571="","",LOOKUP('Extraction edi'!J571,Paramètrage!$A$6:$A$179,Paramètrage!$D$6:$D$179))</f>
        <v/>
      </c>
      <c r="N571" s="3" t="str">
        <f>IF(W571="","",LOOKUP('Extraction edi'!J571,Paramètrage!$A$6:$A$179,Paramètrage!$E$6:$E$179))</f>
        <v/>
      </c>
      <c r="O571" s="3" t="str">
        <f t="shared" si="181"/>
        <v/>
      </c>
      <c r="P571" s="3" t="str">
        <f t="shared" si="182"/>
        <v/>
      </c>
      <c r="Q571" s="3" t="str">
        <f t="shared" si="175"/>
        <v/>
      </c>
      <c r="R571" s="3" t="str">
        <f t="shared" si="183"/>
        <v/>
      </c>
      <c r="S571" s="3" t="str">
        <f t="shared" si="184"/>
        <v/>
      </c>
      <c r="T571" s="4" t="str">
        <f t="shared" si="185"/>
        <v/>
      </c>
      <c r="U571" s="5" t="str">
        <f t="shared" si="186"/>
        <v/>
      </c>
      <c r="V571" s="7" t="str">
        <f>IF(W571="","",IF(LOOKUP(W571,'Extration 3E date commande'!$A$6:$A$10000)=W571,LOOKUP(W571,'Extration 3E date commande'!$A$6:$A$10000,'Extration 3E date commande'!$C$6:$C$10000),"PAS DE DATE"))</f>
        <v/>
      </c>
    </row>
    <row r="572" spans="1:22" x14ac:dyDescent="0.25">
      <c r="A572" s="3" t="str">
        <f t="shared" si="176"/>
        <v/>
      </c>
      <c r="B572" s="3" t="str">
        <f t="shared" si="177"/>
        <v/>
      </c>
      <c r="C572" s="3" t="str">
        <f t="shared" si="174"/>
        <v/>
      </c>
      <c r="D572" s="3" t="str">
        <f t="shared" si="170"/>
        <v/>
      </c>
      <c r="E572" s="3" t="str">
        <f t="shared" si="171"/>
        <v/>
      </c>
      <c r="F572" s="3" t="str">
        <f t="shared" si="172"/>
        <v/>
      </c>
      <c r="G572" s="3" t="str">
        <f t="shared" si="173"/>
        <v/>
      </c>
      <c r="H572" s="3" t="str">
        <f t="shared" si="178"/>
        <v/>
      </c>
      <c r="I572" s="3" t="str">
        <f t="shared" si="179"/>
        <v/>
      </c>
      <c r="J572" s="2" t="str">
        <f t="shared" si="180"/>
        <v/>
      </c>
      <c r="K572" s="2" t="str">
        <f>IF(W572="","",LOOKUP('Extraction edi'!J572,Paramètrage!$A$6:$A$179,Paramètrage!$B$6:$B$179))</f>
        <v/>
      </c>
      <c r="L572" s="2" t="str">
        <f>IF(W572="","",LOOKUP('Extraction edi'!J572,Paramètrage!$A$6:$A$179,Paramètrage!$C$6:$C$179))</f>
        <v/>
      </c>
      <c r="M572" s="2" t="str">
        <f>IF(W572="","",LOOKUP('Extraction edi'!J572,Paramètrage!$A$6:$A$179,Paramètrage!$D$6:$D$179))</f>
        <v/>
      </c>
      <c r="N572" s="3" t="str">
        <f>IF(W572="","",LOOKUP('Extraction edi'!J572,Paramètrage!$A$6:$A$179,Paramètrage!$E$6:$E$179))</f>
        <v/>
      </c>
      <c r="O572" s="3" t="str">
        <f t="shared" si="181"/>
        <v/>
      </c>
      <c r="P572" s="3" t="str">
        <f t="shared" si="182"/>
        <v/>
      </c>
      <c r="Q572" s="3" t="str">
        <f t="shared" si="175"/>
        <v/>
      </c>
      <c r="R572" s="3" t="str">
        <f t="shared" si="183"/>
        <v/>
      </c>
      <c r="S572" s="3" t="str">
        <f t="shared" si="184"/>
        <v/>
      </c>
      <c r="T572" s="4" t="str">
        <f t="shared" si="185"/>
        <v/>
      </c>
      <c r="U572" s="5" t="str">
        <f t="shared" si="186"/>
        <v/>
      </c>
      <c r="V572" s="7" t="str">
        <f>IF(W572="","",IF(LOOKUP(W572,'Extration 3E date commande'!$A$6:$A$10000)=W572,LOOKUP(W572,'Extration 3E date commande'!$A$6:$A$10000,'Extration 3E date commande'!$C$6:$C$10000),"PAS DE DATE"))</f>
        <v/>
      </c>
    </row>
    <row r="573" spans="1:22" x14ac:dyDescent="0.25">
      <c r="A573" s="3" t="str">
        <f t="shared" si="176"/>
        <v/>
      </c>
      <c r="B573" s="3" t="str">
        <f t="shared" si="177"/>
        <v/>
      </c>
      <c r="C573" s="3" t="str">
        <f t="shared" si="174"/>
        <v/>
      </c>
      <c r="D573" s="3" t="str">
        <f t="shared" si="170"/>
        <v/>
      </c>
      <c r="E573" s="3" t="str">
        <f t="shared" si="171"/>
        <v/>
      </c>
      <c r="F573" s="3" t="str">
        <f t="shared" si="172"/>
        <v/>
      </c>
      <c r="G573" s="3" t="str">
        <f t="shared" si="173"/>
        <v/>
      </c>
      <c r="H573" s="3" t="str">
        <f t="shared" si="178"/>
        <v/>
      </c>
      <c r="I573" s="3" t="str">
        <f t="shared" si="179"/>
        <v/>
      </c>
      <c r="J573" s="2" t="str">
        <f t="shared" si="180"/>
        <v/>
      </c>
      <c r="K573" s="2" t="str">
        <f>IF(W573="","",LOOKUP('Extraction edi'!J573,Paramètrage!$A$6:$A$179,Paramètrage!$B$6:$B$179))</f>
        <v/>
      </c>
      <c r="L573" s="2" t="str">
        <f>IF(W573="","",LOOKUP('Extraction edi'!J573,Paramètrage!$A$6:$A$179,Paramètrage!$C$6:$C$179))</f>
        <v/>
      </c>
      <c r="M573" s="2" t="str">
        <f>IF(W573="","",LOOKUP('Extraction edi'!J573,Paramètrage!$A$6:$A$179,Paramètrage!$D$6:$D$179))</f>
        <v/>
      </c>
      <c r="N573" s="3" t="str">
        <f>IF(W573="","",LOOKUP('Extraction edi'!J573,Paramètrage!$A$6:$A$179,Paramètrage!$E$6:$E$179))</f>
        <v/>
      </c>
      <c r="O573" s="3" t="str">
        <f t="shared" si="181"/>
        <v/>
      </c>
      <c r="P573" s="3" t="str">
        <f t="shared" si="182"/>
        <v/>
      </c>
      <c r="Q573" s="3" t="str">
        <f t="shared" si="175"/>
        <v/>
      </c>
      <c r="R573" s="3" t="str">
        <f t="shared" si="183"/>
        <v/>
      </c>
      <c r="S573" s="3" t="str">
        <f t="shared" si="184"/>
        <v/>
      </c>
      <c r="T573" s="4" t="str">
        <f t="shared" si="185"/>
        <v/>
      </c>
      <c r="U573" s="5" t="str">
        <f t="shared" si="186"/>
        <v/>
      </c>
      <c r="V573" s="7" t="str">
        <f>IF(W573="","",IF(LOOKUP(W573,'Extration 3E date commande'!$A$6:$A$10000)=W573,LOOKUP(W573,'Extration 3E date commande'!$A$6:$A$10000,'Extration 3E date commande'!$C$6:$C$10000),"PAS DE DATE"))</f>
        <v/>
      </c>
    </row>
    <row r="574" spans="1:22" x14ac:dyDescent="0.25">
      <c r="A574" s="3" t="str">
        <f t="shared" si="176"/>
        <v/>
      </c>
      <c r="B574" s="3" t="str">
        <f t="shared" si="177"/>
        <v/>
      </c>
      <c r="C574" s="3" t="str">
        <f t="shared" si="174"/>
        <v/>
      </c>
      <c r="D574" s="3" t="str">
        <f t="shared" si="170"/>
        <v/>
      </c>
      <c r="E574" s="3" t="str">
        <f t="shared" si="171"/>
        <v/>
      </c>
      <c r="F574" s="3" t="str">
        <f t="shared" si="172"/>
        <v/>
      </c>
      <c r="G574" s="3" t="str">
        <f t="shared" si="173"/>
        <v/>
      </c>
      <c r="H574" s="3" t="str">
        <f t="shared" si="178"/>
        <v/>
      </c>
      <c r="I574" s="3" t="str">
        <f t="shared" si="179"/>
        <v/>
      </c>
      <c r="J574" s="2" t="str">
        <f t="shared" si="180"/>
        <v/>
      </c>
      <c r="K574" s="2" t="str">
        <f>IF(W574="","",LOOKUP('Extraction edi'!J574,Paramètrage!$A$6:$A$179,Paramètrage!$B$6:$B$179))</f>
        <v/>
      </c>
      <c r="L574" s="2" t="str">
        <f>IF(W574="","",LOOKUP('Extraction edi'!J574,Paramètrage!$A$6:$A$179,Paramètrage!$C$6:$C$179))</f>
        <v/>
      </c>
      <c r="M574" s="2" t="str">
        <f>IF(W574="","",LOOKUP('Extraction edi'!J574,Paramètrage!$A$6:$A$179,Paramètrage!$D$6:$D$179))</f>
        <v/>
      </c>
      <c r="N574" s="3" t="str">
        <f>IF(W574="","",LOOKUP('Extraction edi'!J574,Paramètrage!$A$6:$A$179,Paramètrage!$E$6:$E$179))</f>
        <v/>
      </c>
      <c r="O574" s="3" t="str">
        <f t="shared" si="181"/>
        <v/>
      </c>
      <c r="P574" s="3" t="str">
        <f t="shared" si="182"/>
        <v/>
      </c>
      <c r="Q574" s="3" t="str">
        <f t="shared" si="175"/>
        <v/>
      </c>
      <c r="R574" s="3" t="str">
        <f t="shared" si="183"/>
        <v/>
      </c>
      <c r="S574" s="3" t="str">
        <f t="shared" si="184"/>
        <v/>
      </c>
      <c r="T574" s="4" t="str">
        <f t="shared" si="185"/>
        <v/>
      </c>
      <c r="U574" s="5" t="str">
        <f t="shared" si="186"/>
        <v/>
      </c>
      <c r="V574" s="7" t="str">
        <f>IF(W574="","",IF(LOOKUP(W574,'Extration 3E date commande'!$A$6:$A$10000)=W574,LOOKUP(W574,'Extration 3E date commande'!$A$6:$A$10000,'Extration 3E date commande'!$C$6:$C$10000),"PAS DE DATE"))</f>
        <v/>
      </c>
    </row>
    <row r="575" spans="1:22" x14ac:dyDescent="0.25">
      <c r="A575" s="3" t="str">
        <f t="shared" si="176"/>
        <v/>
      </c>
      <c r="B575" s="3" t="str">
        <f t="shared" si="177"/>
        <v/>
      </c>
      <c r="C575" s="3" t="str">
        <f t="shared" si="174"/>
        <v/>
      </c>
      <c r="D575" s="3" t="str">
        <f t="shared" si="170"/>
        <v/>
      </c>
      <c r="E575" s="3" t="str">
        <f t="shared" si="171"/>
        <v/>
      </c>
      <c r="F575" s="3" t="str">
        <f t="shared" si="172"/>
        <v/>
      </c>
      <c r="G575" s="3" t="str">
        <f t="shared" si="173"/>
        <v/>
      </c>
      <c r="H575" s="3" t="str">
        <f t="shared" si="178"/>
        <v/>
      </c>
      <c r="I575" s="3" t="str">
        <f t="shared" si="179"/>
        <v/>
      </c>
      <c r="J575" s="2" t="str">
        <f t="shared" si="180"/>
        <v/>
      </c>
      <c r="K575" s="2" t="str">
        <f>IF(W575="","",LOOKUP('Extraction edi'!J575,Paramètrage!$A$6:$A$179,Paramètrage!$B$6:$B$179))</f>
        <v/>
      </c>
      <c r="L575" s="2" t="str">
        <f>IF(W575="","",LOOKUP('Extraction edi'!J575,Paramètrage!$A$6:$A$179,Paramètrage!$C$6:$C$179))</f>
        <v/>
      </c>
      <c r="M575" s="2" t="str">
        <f>IF(W575="","",LOOKUP('Extraction edi'!J575,Paramètrage!$A$6:$A$179,Paramètrage!$D$6:$D$179))</f>
        <v/>
      </c>
      <c r="N575" s="3" t="str">
        <f>IF(W575="","",LOOKUP('Extraction edi'!J575,Paramètrage!$A$6:$A$179,Paramètrage!$E$6:$E$179))</f>
        <v/>
      </c>
      <c r="O575" s="3" t="str">
        <f t="shared" si="181"/>
        <v/>
      </c>
      <c r="P575" s="3" t="str">
        <f t="shared" si="182"/>
        <v/>
      </c>
      <c r="Q575" s="3" t="str">
        <f t="shared" si="175"/>
        <v/>
      </c>
      <c r="R575" s="3" t="str">
        <f t="shared" si="183"/>
        <v/>
      </c>
      <c r="S575" s="3" t="str">
        <f t="shared" si="184"/>
        <v/>
      </c>
      <c r="T575" s="4" t="str">
        <f t="shared" si="185"/>
        <v/>
      </c>
      <c r="U575" s="5" t="str">
        <f t="shared" si="186"/>
        <v/>
      </c>
      <c r="V575" s="7" t="str">
        <f>IF(W575="","",IF(LOOKUP(W575,'Extration 3E date commande'!$A$6:$A$10000)=W575,LOOKUP(W575,'Extration 3E date commande'!$A$6:$A$10000,'Extration 3E date commande'!$C$6:$C$10000),"PAS DE DATE"))</f>
        <v/>
      </c>
    </row>
    <row r="576" spans="1:22" x14ac:dyDescent="0.25">
      <c r="A576" s="3" t="str">
        <f t="shared" si="176"/>
        <v/>
      </c>
      <c r="B576" s="3" t="str">
        <f t="shared" si="177"/>
        <v/>
      </c>
      <c r="C576" s="3" t="str">
        <f t="shared" si="174"/>
        <v/>
      </c>
      <c r="D576" s="3" t="str">
        <f t="shared" si="170"/>
        <v/>
      </c>
      <c r="E576" s="3" t="str">
        <f t="shared" si="171"/>
        <v/>
      </c>
      <c r="F576" s="3" t="str">
        <f t="shared" si="172"/>
        <v/>
      </c>
      <c r="G576" s="3" t="str">
        <f t="shared" si="173"/>
        <v/>
      </c>
      <c r="H576" s="3" t="str">
        <f t="shared" si="178"/>
        <v/>
      </c>
      <c r="I576" s="3" t="str">
        <f t="shared" si="179"/>
        <v/>
      </c>
      <c r="J576" s="2" t="str">
        <f t="shared" si="180"/>
        <v/>
      </c>
      <c r="K576" s="2" t="str">
        <f>IF(W576="","",LOOKUP('Extraction edi'!J576,Paramètrage!$A$6:$A$179,Paramètrage!$B$6:$B$179))</f>
        <v/>
      </c>
      <c r="L576" s="2" t="str">
        <f>IF(W576="","",LOOKUP('Extraction edi'!J576,Paramètrage!$A$6:$A$179,Paramètrage!$C$6:$C$179))</f>
        <v/>
      </c>
      <c r="M576" s="2" t="str">
        <f>IF(W576="","",LOOKUP('Extraction edi'!J576,Paramètrage!$A$6:$A$179,Paramètrage!$D$6:$D$179))</f>
        <v/>
      </c>
      <c r="N576" s="3" t="str">
        <f>IF(W576="","",LOOKUP('Extraction edi'!J576,Paramètrage!$A$6:$A$179,Paramètrage!$E$6:$E$179))</f>
        <v/>
      </c>
      <c r="O576" s="3" t="str">
        <f t="shared" si="181"/>
        <v/>
      </c>
      <c r="P576" s="3" t="str">
        <f t="shared" si="182"/>
        <v/>
      </c>
      <c r="Q576" s="3" t="str">
        <f t="shared" si="175"/>
        <v/>
      </c>
      <c r="R576" s="3" t="str">
        <f t="shared" si="183"/>
        <v/>
      </c>
      <c r="S576" s="3" t="str">
        <f t="shared" si="184"/>
        <v/>
      </c>
      <c r="T576" s="4" t="str">
        <f t="shared" si="185"/>
        <v/>
      </c>
      <c r="U576" s="5" t="str">
        <f t="shared" si="186"/>
        <v/>
      </c>
      <c r="V576" s="7" t="str">
        <f>IF(W576="","",IF(LOOKUP(W576,'Extration 3E date commande'!$A$6:$A$10000)=W576,LOOKUP(W576,'Extration 3E date commande'!$A$6:$A$10000,'Extration 3E date commande'!$C$6:$C$10000),"PAS DE DATE"))</f>
        <v/>
      </c>
    </row>
    <row r="577" spans="1:22" x14ac:dyDescent="0.25">
      <c r="A577" s="3" t="str">
        <f t="shared" si="176"/>
        <v/>
      </c>
      <c r="B577" s="3" t="str">
        <f t="shared" si="177"/>
        <v/>
      </c>
      <c r="C577" s="3" t="str">
        <f t="shared" si="174"/>
        <v/>
      </c>
      <c r="D577" s="3" t="str">
        <f t="shared" si="170"/>
        <v/>
      </c>
      <c r="E577" s="3" t="str">
        <f t="shared" si="171"/>
        <v/>
      </c>
      <c r="F577" s="3" t="str">
        <f t="shared" si="172"/>
        <v/>
      </c>
      <c r="G577" s="3" t="str">
        <f t="shared" si="173"/>
        <v/>
      </c>
      <c r="H577" s="3" t="str">
        <f t="shared" si="178"/>
        <v/>
      </c>
      <c r="I577" s="3" t="str">
        <f t="shared" si="179"/>
        <v/>
      </c>
      <c r="J577" s="2" t="str">
        <f t="shared" si="180"/>
        <v/>
      </c>
      <c r="K577" s="2" t="str">
        <f>IF(W577="","",LOOKUP('Extraction edi'!J577,Paramètrage!$A$6:$A$179,Paramètrage!$B$6:$B$179))</f>
        <v/>
      </c>
      <c r="L577" s="2" t="str">
        <f>IF(W577="","",LOOKUP('Extraction edi'!J577,Paramètrage!$A$6:$A$179,Paramètrage!$C$6:$C$179))</f>
        <v/>
      </c>
      <c r="M577" s="2" t="str">
        <f>IF(W577="","",LOOKUP('Extraction edi'!J577,Paramètrage!$A$6:$A$179,Paramètrage!$D$6:$D$179))</f>
        <v/>
      </c>
      <c r="N577" s="3" t="str">
        <f>IF(W577="","",LOOKUP('Extraction edi'!J577,Paramètrage!$A$6:$A$179,Paramètrage!$E$6:$E$179))</f>
        <v/>
      </c>
      <c r="O577" s="3" t="str">
        <f t="shared" si="181"/>
        <v/>
      </c>
      <c r="P577" s="3" t="str">
        <f t="shared" si="182"/>
        <v/>
      </c>
      <c r="Q577" s="3" t="str">
        <f t="shared" si="175"/>
        <v/>
      </c>
      <c r="R577" s="3" t="str">
        <f t="shared" si="183"/>
        <v/>
      </c>
      <c r="S577" s="3" t="str">
        <f t="shared" si="184"/>
        <v/>
      </c>
      <c r="T577" s="4" t="str">
        <f t="shared" si="185"/>
        <v/>
      </c>
      <c r="U577" s="5" t="str">
        <f t="shared" si="186"/>
        <v/>
      </c>
      <c r="V577" s="7" t="str">
        <f>IF(W577="","",IF(LOOKUP(W577,'Extration 3E date commande'!$A$6:$A$10000)=W577,LOOKUP(W577,'Extration 3E date commande'!$A$6:$A$10000,'Extration 3E date commande'!$C$6:$C$10000),"PAS DE DATE"))</f>
        <v/>
      </c>
    </row>
    <row r="578" spans="1:22" x14ac:dyDescent="0.25">
      <c r="A578" s="3" t="str">
        <f t="shared" si="176"/>
        <v/>
      </c>
      <c r="B578" s="3" t="str">
        <f t="shared" si="177"/>
        <v/>
      </c>
      <c r="C578" s="3" t="str">
        <f t="shared" si="174"/>
        <v/>
      </c>
      <c r="D578" s="3" t="str">
        <f t="shared" si="170"/>
        <v/>
      </c>
      <c r="E578" s="3" t="str">
        <f t="shared" si="171"/>
        <v/>
      </c>
      <c r="F578" s="3" t="str">
        <f t="shared" si="172"/>
        <v/>
      </c>
      <c r="G578" s="3" t="str">
        <f t="shared" si="173"/>
        <v/>
      </c>
      <c r="H578" s="3" t="str">
        <f t="shared" si="178"/>
        <v/>
      </c>
      <c r="I578" s="3" t="str">
        <f t="shared" si="179"/>
        <v/>
      </c>
      <c r="J578" s="2" t="str">
        <f t="shared" si="180"/>
        <v/>
      </c>
      <c r="K578" s="2" t="str">
        <f>IF(W578="","",LOOKUP('Extraction edi'!J578,Paramètrage!$A$6:$A$179,Paramètrage!$B$6:$B$179))</f>
        <v/>
      </c>
      <c r="L578" s="2" t="str">
        <f>IF(W578="","",LOOKUP('Extraction edi'!J578,Paramètrage!$A$6:$A$179,Paramètrage!$C$6:$C$179))</f>
        <v/>
      </c>
      <c r="M578" s="2" t="str">
        <f>IF(W578="","",LOOKUP('Extraction edi'!J578,Paramètrage!$A$6:$A$179,Paramètrage!$D$6:$D$179))</f>
        <v/>
      </c>
      <c r="N578" s="3" t="str">
        <f>IF(W578="","",LOOKUP('Extraction edi'!J578,Paramètrage!$A$6:$A$179,Paramètrage!$E$6:$E$179))</f>
        <v/>
      </c>
      <c r="O578" s="3" t="str">
        <f t="shared" si="181"/>
        <v/>
      </c>
      <c r="P578" s="3" t="str">
        <f t="shared" si="182"/>
        <v/>
      </c>
      <c r="Q578" s="3" t="str">
        <f t="shared" si="175"/>
        <v/>
      </c>
      <c r="R578" s="3" t="str">
        <f t="shared" si="183"/>
        <v/>
      </c>
      <c r="S578" s="3" t="str">
        <f t="shared" si="184"/>
        <v/>
      </c>
      <c r="T578" s="4" t="str">
        <f t="shared" si="185"/>
        <v/>
      </c>
      <c r="U578" s="5" t="str">
        <f t="shared" si="186"/>
        <v/>
      </c>
      <c r="V578" s="7" t="str">
        <f>IF(W578="","",IF(LOOKUP(W578,'Extration 3E date commande'!$A$6:$A$10000)=W578,LOOKUP(W578,'Extration 3E date commande'!$A$6:$A$10000,'Extration 3E date commande'!$C$6:$C$10000),"PAS DE DATE"))</f>
        <v/>
      </c>
    </row>
    <row r="579" spans="1:22" x14ac:dyDescent="0.25">
      <c r="A579" s="3" t="str">
        <f t="shared" si="176"/>
        <v/>
      </c>
      <c r="B579" s="3" t="str">
        <f t="shared" si="177"/>
        <v/>
      </c>
      <c r="C579" s="3" t="str">
        <f t="shared" si="174"/>
        <v/>
      </c>
      <c r="D579" s="3" t="str">
        <f t="shared" si="170"/>
        <v/>
      </c>
      <c r="E579" s="3" t="str">
        <f t="shared" si="171"/>
        <v/>
      </c>
      <c r="F579" s="3" t="str">
        <f t="shared" si="172"/>
        <v/>
      </c>
      <c r="G579" s="3" t="str">
        <f t="shared" si="173"/>
        <v/>
      </c>
      <c r="H579" s="3" t="str">
        <f t="shared" si="178"/>
        <v/>
      </c>
      <c r="I579" s="3" t="str">
        <f t="shared" si="179"/>
        <v/>
      </c>
      <c r="J579" s="2" t="str">
        <f t="shared" si="180"/>
        <v/>
      </c>
      <c r="K579" s="2" t="str">
        <f>IF(W579="","",LOOKUP('Extraction edi'!J579,Paramètrage!$A$6:$A$179,Paramètrage!$B$6:$B$179))</f>
        <v/>
      </c>
      <c r="L579" s="2" t="str">
        <f>IF(W579="","",LOOKUP('Extraction edi'!J579,Paramètrage!$A$6:$A$179,Paramètrage!$C$6:$C$179))</f>
        <v/>
      </c>
      <c r="M579" s="2" t="str">
        <f>IF(W579="","",LOOKUP('Extraction edi'!J579,Paramètrage!$A$6:$A$179,Paramètrage!$D$6:$D$179))</f>
        <v/>
      </c>
      <c r="N579" s="3" t="str">
        <f>IF(W579="","",LOOKUP('Extraction edi'!J579,Paramètrage!$A$6:$A$179,Paramètrage!$E$6:$E$179))</f>
        <v/>
      </c>
      <c r="O579" s="3" t="str">
        <f t="shared" si="181"/>
        <v/>
      </c>
      <c r="P579" s="3" t="str">
        <f t="shared" si="182"/>
        <v/>
      </c>
      <c r="Q579" s="3" t="str">
        <f t="shared" si="175"/>
        <v/>
      </c>
      <c r="R579" s="3" t="str">
        <f t="shared" si="183"/>
        <v/>
      </c>
      <c r="S579" s="3" t="str">
        <f t="shared" si="184"/>
        <v/>
      </c>
      <c r="T579" s="4" t="str">
        <f t="shared" si="185"/>
        <v/>
      </c>
      <c r="U579" s="5" t="str">
        <f t="shared" si="186"/>
        <v/>
      </c>
      <c r="V579" s="7" t="str">
        <f>IF(W579="","",IF(LOOKUP(W579,'Extration 3E date commande'!$A$6:$A$10000)=W579,LOOKUP(W579,'Extration 3E date commande'!$A$6:$A$10000,'Extration 3E date commande'!$C$6:$C$10000),"PAS DE DATE"))</f>
        <v/>
      </c>
    </row>
    <row r="580" spans="1:22" x14ac:dyDescent="0.25">
      <c r="A580" s="3" t="str">
        <f t="shared" si="176"/>
        <v/>
      </c>
      <c r="B580" s="3" t="str">
        <f t="shared" si="177"/>
        <v/>
      </c>
      <c r="C580" s="3" t="str">
        <f t="shared" si="174"/>
        <v/>
      </c>
      <c r="D580" s="3" t="str">
        <f t="shared" si="170"/>
        <v/>
      </c>
      <c r="E580" s="3" t="str">
        <f t="shared" si="171"/>
        <v/>
      </c>
      <c r="F580" s="3" t="str">
        <f t="shared" si="172"/>
        <v/>
      </c>
      <c r="G580" s="3" t="str">
        <f t="shared" si="173"/>
        <v/>
      </c>
      <c r="H580" s="3" t="str">
        <f t="shared" si="178"/>
        <v/>
      </c>
      <c r="I580" s="3" t="str">
        <f t="shared" si="179"/>
        <v/>
      </c>
      <c r="J580" s="2" t="str">
        <f t="shared" si="180"/>
        <v/>
      </c>
      <c r="K580" s="2" t="str">
        <f>IF(W580="","",LOOKUP('Extraction edi'!J580,Paramètrage!$A$6:$A$179,Paramètrage!$B$6:$B$179))</f>
        <v/>
      </c>
      <c r="L580" s="2" t="str">
        <f>IF(W580="","",LOOKUP('Extraction edi'!J580,Paramètrage!$A$6:$A$179,Paramètrage!$C$6:$C$179))</f>
        <v/>
      </c>
      <c r="M580" s="2" t="str">
        <f>IF(W580="","",LOOKUP('Extraction edi'!J580,Paramètrage!$A$6:$A$179,Paramètrage!$D$6:$D$179))</f>
        <v/>
      </c>
      <c r="N580" s="3" t="str">
        <f>IF(W580="","",LOOKUP('Extraction edi'!J580,Paramètrage!$A$6:$A$179,Paramètrage!$E$6:$E$179))</f>
        <v/>
      </c>
      <c r="O580" s="3" t="str">
        <f t="shared" si="181"/>
        <v/>
      </c>
      <c r="P580" s="3" t="str">
        <f t="shared" si="182"/>
        <v/>
      </c>
      <c r="Q580" s="3" t="str">
        <f t="shared" si="175"/>
        <v/>
      </c>
      <c r="R580" s="3" t="str">
        <f t="shared" si="183"/>
        <v/>
      </c>
      <c r="S580" s="3" t="str">
        <f t="shared" si="184"/>
        <v/>
      </c>
      <c r="T580" s="4" t="str">
        <f t="shared" si="185"/>
        <v/>
      </c>
      <c r="U580" s="5" t="str">
        <f t="shared" si="186"/>
        <v/>
      </c>
      <c r="V580" s="7" t="str">
        <f>IF(W580="","",IF(LOOKUP(W580,'Extration 3E date commande'!$A$6:$A$10000)=W580,LOOKUP(W580,'Extration 3E date commande'!$A$6:$A$10000,'Extration 3E date commande'!$C$6:$C$10000),"PAS DE DATE"))</f>
        <v/>
      </c>
    </row>
    <row r="581" spans="1:22" x14ac:dyDescent="0.25">
      <c r="A581" s="3" t="str">
        <f t="shared" si="176"/>
        <v/>
      </c>
      <c r="B581" s="3" t="str">
        <f t="shared" si="177"/>
        <v/>
      </c>
      <c r="C581" s="3" t="str">
        <f t="shared" si="174"/>
        <v/>
      </c>
      <c r="D581" s="3" t="str">
        <f t="shared" si="170"/>
        <v/>
      </c>
      <c r="E581" s="3" t="str">
        <f t="shared" si="171"/>
        <v/>
      </c>
      <c r="F581" s="3" t="str">
        <f t="shared" si="172"/>
        <v/>
      </c>
      <c r="G581" s="3" t="str">
        <f t="shared" si="173"/>
        <v/>
      </c>
      <c r="H581" s="3" t="str">
        <f t="shared" si="178"/>
        <v/>
      </c>
      <c r="I581" s="3" t="str">
        <f t="shared" si="179"/>
        <v/>
      </c>
      <c r="J581" s="2" t="str">
        <f t="shared" si="180"/>
        <v/>
      </c>
      <c r="K581" s="2" t="str">
        <f>IF(W581="","",LOOKUP('Extraction edi'!J581,Paramètrage!$A$6:$A$179,Paramètrage!$B$6:$B$179))</f>
        <v/>
      </c>
      <c r="L581" s="2" t="str">
        <f>IF(W581="","",LOOKUP('Extraction edi'!J581,Paramètrage!$A$6:$A$179,Paramètrage!$C$6:$C$179))</f>
        <v/>
      </c>
      <c r="M581" s="2" t="str">
        <f>IF(W581="","",LOOKUP('Extraction edi'!J581,Paramètrage!$A$6:$A$179,Paramètrage!$D$6:$D$179))</f>
        <v/>
      </c>
      <c r="N581" s="3" t="str">
        <f>IF(W581="","",LOOKUP('Extraction edi'!J581,Paramètrage!$A$6:$A$179,Paramètrage!$E$6:$E$179))</f>
        <v/>
      </c>
      <c r="O581" s="3" t="str">
        <f t="shared" si="181"/>
        <v/>
      </c>
      <c r="P581" s="3" t="str">
        <f t="shared" si="182"/>
        <v/>
      </c>
      <c r="Q581" s="3" t="str">
        <f t="shared" si="175"/>
        <v/>
      </c>
      <c r="R581" s="3" t="str">
        <f t="shared" si="183"/>
        <v/>
      </c>
      <c r="S581" s="3" t="str">
        <f t="shared" si="184"/>
        <v/>
      </c>
      <c r="T581" s="4" t="str">
        <f t="shared" si="185"/>
        <v/>
      </c>
      <c r="U581" s="5" t="str">
        <f t="shared" si="186"/>
        <v/>
      </c>
      <c r="V581" s="7" t="str">
        <f>IF(W581="","",IF(LOOKUP(W581,'Extration 3E date commande'!$A$6:$A$10000)=W581,LOOKUP(W581,'Extration 3E date commande'!$A$6:$A$10000,'Extration 3E date commande'!$C$6:$C$10000),"PAS DE DATE"))</f>
        <v/>
      </c>
    </row>
    <row r="582" spans="1:22" x14ac:dyDescent="0.25">
      <c r="A582" s="3" t="str">
        <f t="shared" si="176"/>
        <v/>
      </c>
      <c r="B582" s="3" t="str">
        <f t="shared" si="177"/>
        <v/>
      </c>
      <c r="C582" s="3" t="str">
        <f t="shared" si="174"/>
        <v/>
      </c>
      <c r="D582" s="3" t="str">
        <f t="shared" ref="D582:D634" si="187">IF(ISERROR(SEARCH("P",B582)),"","PE")</f>
        <v/>
      </c>
      <c r="E582" s="3" t="str">
        <f t="shared" ref="E582:E645" si="188">IF(ISERROR(SEARCH("U",B582))=FALSE,"ALU",IF(ISERROR(SEARCH("Y",B582)),"","ALU"))</f>
        <v/>
      </c>
      <c r="F582" s="3" t="str">
        <f t="shared" ref="F582:F645" si="189">IF(ISERROR(SEARCH("H",B582))=FALSE,"TEX",IF(ISERROR(SEARCH("Z",B582)),IF(ISERROR(SEARCH("X",B582)),"","TEX")))</f>
        <v/>
      </c>
      <c r="G582" s="3" t="str">
        <f t="shared" ref="G582:G645" si="190">IF(B582="","",IF(C582="SAV","NEG/RELI/SAV",IF(C582="NEGOCE","NEG/RELI/SAV",IF(C582="RELI","NEG/RELI/SAV",IF(E582="ALU","ALU",IF(D582="PE","PE",IF(F582="TEX","TEX","STD")))))))</f>
        <v/>
      </c>
      <c r="H582" s="3" t="str">
        <f t="shared" si="178"/>
        <v/>
      </c>
      <c r="I582" s="3" t="str">
        <f t="shared" si="179"/>
        <v/>
      </c>
      <c r="J582" s="2" t="str">
        <f t="shared" si="180"/>
        <v/>
      </c>
      <c r="K582" s="2" t="str">
        <f>IF(W582="","",LOOKUP('Extraction edi'!J582,Paramètrage!$A$6:$A$179,Paramètrage!$B$6:$B$179))</f>
        <v/>
      </c>
      <c r="L582" s="2" t="str">
        <f>IF(W582="","",LOOKUP('Extraction edi'!J582,Paramètrage!$A$6:$A$179,Paramètrage!$C$6:$C$179))</f>
        <v/>
      </c>
      <c r="M582" s="2" t="str">
        <f>IF(W582="","",LOOKUP('Extraction edi'!J582,Paramètrage!$A$6:$A$179,Paramètrage!$D$6:$D$179))</f>
        <v/>
      </c>
      <c r="N582" s="3" t="str">
        <f>IF(W582="","",LOOKUP('Extraction edi'!J582,Paramètrage!$A$6:$A$179,Paramètrage!$E$6:$E$179))</f>
        <v/>
      </c>
      <c r="O582" s="3" t="str">
        <f t="shared" si="181"/>
        <v/>
      </c>
      <c r="P582" s="3" t="str">
        <f t="shared" si="182"/>
        <v/>
      </c>
      <c r="Q582" s="3" t="str">
        <f t="shared" si="175"/>
        <v/>
      </c>
      <c r="R582" s="3" t="str">
        <f t="shared" si="183"/>
        <v/>
      </c>
      <c r="S582" s="3" t="str">
        <f t="shared" si="184"/>
        <v/>
      </c>
      <c r="T582" s="4" t="str">
        <f t="shared" si="185"/>
        <v/>
      </c>
      <c r="U582" s="5" t="str">
        <f t="shared" si="186"/>
        <v/>
      </c>
      <c r="V582" s="7" t="str">
        <f>IF(W582="","",IF(LOOKUP(W582,'Extration 3E date commande'!$A$6:$A$10000)=W582,LOOKUP(W582,'Extration 3E date commande'!$A$6:$A$10000,'Extration 3E date commande'!$C$6:$C$10000),"PAS DE DATE"))</f>
        <v/>
      </c>
    </row>
    <row r="583" spans="1:22" x14ac:dyDescent="0.25">
      <c r="A583" s="3" t="str">
        <f t="shared" si="176"/>
        <v/>
      </c>
      <c r="B583" s="3" t="str">
        <f t="shared" si="177"/>
        <v/>
      </c>
      <c r="C583" s="3" t="str">
        <f t="shared" ref="C583:C646" si="191">IF(ISERROR(SEARCH("ELI",B583))=FALSE,"RELIQUAT",IF(ISERROR(SEARCH("N",B583))=FALSE,"NEGOCE",IF(ISERROR(SEARCH("S",B583))=FALSE,"SAV",IF(ISERROR(SEARCH("J",B583)),"","SAV"))))</f>
        <v/>
      </c>
      <c r="D583" s="3" t="str">
        <f t="shared" si="187"/>
        <v/>
      </c>
      <c r="E583" s="3" t="str">
        <f t="shared" si="188"/>
        <v/>
      </c>
      <c r="F583" s="3" t="str">
        <f t="shared" si="189"/>
        <v/>
      </c>
      <c r="G583" s="3" t="str">
        <f t="shared" si="190"/>
        <v/>
      </c>
      <c r="H583" s="3" t="str">
        <f t="shared" si="178"/>
        <v/>
      </c>
      <c r="I583" s="3" t="str">
        <f t="shared" si="179"/>
        <v/>
      </c>
      <c r="J583" s="2" t="str">
        <f t="shared" si="180"/>
        <v/>
      </c>
      <c r="K583" s="2" t="str">
        <f>IF(W583="","",LOOKUP('Extraction edi'!J583,Paramètrage!$A$6:$A$179,Paramètrage!$B$6:$B$179))</f>
        <v/>
      </c>
      <c r="L583" s="2" t="str">
        <f>IF(W583="","",LOOKUP('Extraction edi'!J583,Paramètrage!$A$6:$A$179,Paramètrage!$C$6:$C$179))</f>
        <v/>
      </c>
      <c r="M583" s="2" t="str">
        <f>IF(W583="","",LOOKUP('Extraction edi'!J583,Paramètrage!$A$6:$A$179,Paramètrage!$D$6:$D$179))</f>
        <v/>
      </c>
      <c r="N583" s="3" t="str">
        <f>IF(W583="","",LOOKUP('Extraction edi'!J583,Paramètrage!$A$6:$A$179,Paramètrage!$E$6:$E$179))</f>
        <v/>
      </c>
      <c r="O583" s="3" t="str">
        <f t="shared" si="181"/>
        <v/>
      </c>
      <c r="P583" s="3" t="str">
        <f t="shared" si="182"/>
        <v/>
      </c>
      <c r="Q583" s="3" t="str">
        <f t="shared" si="175"/>
        <v/>
      </c>
      <c r="R583" s="3" t="str">
        <f t="shared" si="183"/>
        <v/>
      </c>
      <c r="S583" s="3" t="str">
        <f t="shared" si="184"/>
        <v/>
      </c>
      <c r="T583" s="4" t="str">
        <f t="shared" si="185"/>
        <v/>
      </c>
      <c r="U583" s="5" t="str">
        <f t="shared" si="186"/>
        <v/>
      </c>
      <c r="V583" s="7" t="str">
        <f>IF(W583="","",IF(LOOKUP(W583,'Extration 3E date commande'!$A$6:$A$10000)=W583,LOOKUP(W583,'Extration 3E date commande'!$A$6:$A$10000,'Extration 3E date commande'!$C$6:$C$10000),"PAS DE DATE"))</f>
        <v/>
      </c>
    </row>
    <row r="584" spans="1:22" x14ac:dyDescent="0.25">
      <c r="A584" s="3" t="str">
        <f t="shared" si="176"/>
        <v/>
      </c>
      <c r="B584" s="3" t="str">
        <f t="shared" si="177"/>
        <v/>
      </c>
      <c r="C584" s="3" t="str">
        <f t="shared" si="191"/>
        <v/>
      </c>
      <c r="D584" s="3" t="str">
        <f t="shared" si="187"/>
        <v/>
      </c>
      <c r="E584" s="3" t="str">
        <f t="shared" si="188"/>
        <v/>
      </c>
      <c r="F584" s="3" t="str">
        <f t="shared" si="189"/>
        <v/>
      </c>
      <c r="G584" s="3" t="str">
        <f t="shared" si="190"/>
        <v/>
      </c>
      <c r="H584" s="3" t="str">
        <f t="shared" si="178"/>
        <v/>
      </c>
      <c r="I584" s="3" t="str">
        <f t="shared" si="179"/>
        <v/>
      </c>
      <c r="J584" s="2" t="str">
        <f t="shared" si="180"/>
        <v/>
      </c>
      <c r="K584" s="2" t="str">
        <f>IF(W584="","",LOOKUP('Extraction edi'!J584,Paramètrage!$A$6:$A$179,Paramètrage!$B$6:$B$179))</f>
        <v/>
      </c>
      <c r="L584" s="2" t="str">
        <f>IF(W584="","",LOOKUP('Extraction edi'!J584,Paramètrage!$A$6:$A$179,Paramètrage!$C$6:$C$179))</f>
        <v/>
      </c>
      <c r="M584" s="2" t="str">
        <f>IF(W584="","",LOOKUP('Extraction edi'!J584,Paramètrage!$A$6:$A$179,Paramètrage!$D$6:$D$179))</f>
        <v/>
      </c>
      <c r="N584" s="3" t="str">
        <f>IF(W584="","",LOOKUP('Extraction edi'!J584,Paramètrage!$A$6:$A$179,Paramètrage!$E$6:$E$179))</f>
        <v/>
      </c>
      <c r="O584" s="3" t="str">
        <f t="shared" si="181"/>
        <v/>
      </c>
      <c r="P584" s="3" t="str">
        <f t="shared" si="182"/>
        <v/>
      </c>
      <c r="Q584" s="3" t="str">
        <f t="shared" si="175"/>
        <v/>
      </c>
      <c r="R584" s="3" t="str">
        <f t="shared" si="183"/>
        <v/>
      </c>
      <c r="S584" s="3" t="str">
        <f t="shared" si="184"/>
        <v/>
      </c>
      <c r="T584" s="4" t="str">
        <f t="shared" si="185"/>
        <v/>
      </c>
      <c r="U584" s="5" t="str">
        <f t="shared" si="186"/>
        <v/>
      </c>
      <c r="V584" s="7" t="str">
        <f>IF(W584="","",IF(LOOKUP(W584,'Extration 3E date commande'!$A$6:$A$10000)=W584,LOOKUP(W584,'Extration 3E date commande'!$A$6:$A$10000,'Extration 3E date commande'!$C$6:$C$10000),"PAS DE DATE"))</f>
        <v/>
      </c>
    </row>
    <row r="585" spans="1:22" x14ac:dyDescent="0.25">
      <c r="A585" s="3" t="str">
        <f t="shared" si="176"/>
        <v/>
      </c>
      <c r="B585" s="3" t="str">
        <f t="shared" si="177"/>
        <v/>
      </c>
      <c r="C585" s="3" t="str">
        <f t="shared" si="191"/>
        <v/>
      </c>
      <c r="D585" s="3" t="str">
        <f t="shared" si="187"/>
        <v/>
      </c>
      <c r="E585" s="3" t="str">
        <f t="shared" si="188"/>
        <v/>
      </c>
      <c r="F585" s="3" t="str">
        <f t="shared" si="189"/>
        <v/>
      </c>
      <c r="G585" s="3" t="str">
        <f t="shared" si="190"/>
        <v/>
      </c>
      <c r="H585" s="3" t="str">
        <f t="shared" si="178"/>
        <v/>
      </c>
      <c r="I585" s="3" t="str">
        <f t="shared" si="179"/>
        <v/>
      </c>
      <c r="J585" s="2" t="str">
        <f t="shared" si="180"/>
        <v/>
      </c>
      <c r="K585" s="2" t="str">
        <f>IF(W585="","",LOOKUP('Extraction edi'!J585,Paramètrage!$A$6:$A$179,Paramètrage!$B$6:$B$179))</f>
        <v/>
      </c>
      <c r="L585" s="2" t="str">
        <f>IF(W585="","",LOOKUP('Extraction edi'!J585,Paramètrage!$A$6:$A$179,Paramètrage!$C$6:$C$179))</f>
        <v/>
      </c>
      <c r="M585" s="2" t="str">
        <f>IF(W585="","",LOOKUP('Extraction edi'!J585,Paramètrage!$A$6:$A$179,Paramètrage!$D$6:$D$179))</f>
        <v/>
      </c>
      <c r="N585" s="3" t="str">
        <f>IF(W585="","",LOOKUP('Extraction edi'!J585,Paramètrage!$A$6:$A$179,Paramètrage!$E$6:$E$179))</f>
        <v/>
      </c>
      <c r="O585" s="3" t="str">
        <f t="shared" si="181"/>
        <v/>
      </c>
      <c r="P585" s="3" t="str">
        <f t="shared" si="182"/>
        <v/>
      </c>
      <c r="Q585" s="3" t="str">
        <f t="shared" si="175"/>
        <v/>
      </c>
      <c r="R585" s="3" t="str">
        <f t="shared" si="183"/>
        <v/>
      </c>
      <c r="S585" s="3" t="str">
        <f t="shared" si="184"/>
        <v/>
      </c>
      <c r="T585" s="4" t="str">
        <f t="shared" si="185"/>
        <v/>
      </c>
      <c r="U585" s="5" t="str">
        <f t="shared" si="186"/>
        <v/>
      </c>
      <c r="V585" s="7" t="str">
        <f>IF(W585="","",IF(LOOKUP(W585,'Extration 3E date commande'!$A$6:$A$10000)=W585,LOOKUP(W585,'Extration 3E date commande'!$A$6:$A$10000,'Extration 3E date commande'!$C$6:$C$10000),"PAS DE DATE"))</f>
        <v/>
      </c>
    </row>
    <row r="586" spans="1:22" x14ac:dyDescent="0.25">
      <c r="A586" s="3" t="str">
        <f t="shared" si="176"/>
        <v/>
      </c>
      <c r="B586" s="3" t="str">
        <f t="shared" si="177"/>
        <v/>
      </c>
      <c r="C586" s="3" t="str">
        <f t="shared" si="191"/>
        <v/>
      </c>
      <c r="D586" s="3" t="str">
        <f t="shared" si="187"/>
        <v/>
      </c>
      <c r="E586" s="3" t="str">
        <f t="shared" si="188"/>
        <v/>
      </c>
      <c r="F586" s="3" t="str">
        <f t="shared" si="189"/>
        <v/>
      </c>
      <c r="G586" s="3" t="str">
        <f t="shared" si="190"/>
        <v/>
      </c>
      <c r="H586" s="3" t="str">
        <f t="shared" si="178"/>
        <v/>
      </c>
      <c r="I586" s="3" t="str">
        <f t="shared" si="179"/>
        <v/>
      </c>
      <c r="J586" s="2" t="str">
        <f t="shared" si="180"/>
        <v/>
      </c>
      <c r="K586" s="2" t="str">
        <f>IF(W586="","",LOOKUP('Extraction edi'!J586,Paramètrage!$A$6:$A$179,Paramètrage!$B$6:$B$179))</f>
        <v/>
      </c>
      <c r="L586" s="2" t="str">
        <f>IF(W586="","",LOOKUP('Extraction edi'!J586,Paramètrage!$A$6:$A$179,Paramètrage!$C$6:$C$179))</f>
        <v/>
      </c>
      <c r="M586" s="2" t="str">
        <f>IF(W586="","",LOOKUP('Extraction edi'!J586,Paramètrage!$A$6:$A$179,Paramètrage!$D$6:$D$179))</f>
        <v/>
      </c>
      <c r="N586" s="3" t="str">
        <f>IF(W586="","",LOOKUP('Extraction edi'!J586,Paramètrage!$A$6:$A$179,Paramètrage!$E$6:$E$179))</f>
        <v/>
      </c>
      <c r="O586" s="3" t="str">
        <f t="shared" si="181"/>
        <v/>
      </c>
      <c r="P586" s="3" t="str">
        <f t="shared" si="182"/>
        <v/>
      </c>
      <c r="Q586" s="3" t="str">
        <f t="shared" si="175"/>
        <v/>
      </c>
      <c r="R586" s="3" t="str">
        <f t="shared" si="183"/>
        <v/>
      </c>
      <c r="S586" s="3" t="str">
        <f t="shared" si="184"/>
        <v/>
      </c>
      <c r="T586" s="4" t="str">
        <f t="shared" si="185"/>
        <v/>
      </c>
      <c r="U586" s="5" t="str">
        <f t="shared" si="186"/>
        <v/>
      </c>
      <c r="V586" s="7" t="str">
        <f>IF(W586="","",IF(LOOKUP(W586,'Extration 3E date commande'!$A$6:$A$10000)=W586,LOOKUP(W586,'Extration 3E date commande'!$A$6:$A$10000,'Extration 3E date commande'!$C$6:$C$10000),"PAS DE DATE"))</f>
        <v/>
      </c>
    </row>
    <row r="587" spans="1:22" x14ac:dyDescent="0.25">
      <c r="A587" s="3" t="str">
        <f t="shared" si="176"/>
        <v/>
      </c>
      <c r="B587" s="3" t="str">
        <f t="shared" si="177"/>
        <v/>
      </c>
      <c r="C587" s="3" t="str">
        <f t="shared" si="191"/>
        <v/>
      </c>
      <c r="D587" s="3" t="str">
        <f t="shared" si="187"/>
        <v/>
      </c>
      <c r="E587" s="3" t="str">
        <f t="shared" si="188"/>
        <v/>
      </c>
      <c r="F587" s="3" t="str">
        <f t="shared" si="189"/>
        <v/>
      </c>
      <c r="G587" s="3" t="str">
        <f t="shared" si="190"/>
        <v/>
      </c>
      <c r="H587" s="3" t="str">
        <f t="shared" si="178"/>
        <v/>
      </c>
      <c r="I587" s="3" t="str">
        <f t="shared" si="179"/>
        <v/>
      </c>
      <c r="J587" s="2" t="str">
        <f t="shared" si="180"/>
        <v/>
      </c>
      <c r="K587" s="2" t="str">
        <f>IF(W587="","",LOOKUP('Extraction edi'!J587,Paramètrage!$A$6:$A$179,Paramètrage!$B$6:$B$179))</f>
        <v/>
      </c>
      <c r="L587" s="2" t="str">
        <f>IF(W587="","",LOOKUP('Extraction edi'!J587,Paramètrage!$A$6:$A$179,Paramètrage!$C$6:$C$179))</f>
        <v/>
      </c>
      <c r="M587" s="2" t="str">
        <f>IF(W587="","",LOOKUP('Extraction edi'!J587,Paramètrage!$A$6:$A$179,Paramètrage!$D$6:$D$179))</f>
        <v/>
      </c>
      <c r="N587" s="3" t="str">
        <f>IF(W587="","",LOOKUP('Extraction edi'!J587,Paramètrage!$A$6:$A$179,Paramètrage!$E$6:$E$179))</f>
        <v/>
      </c>
      <c r="O587" s="3" t="str">
        <f t="shared" si="181"/>
        <v/>
      </c>
      <c r="P587" s="3" t="str">
        <f t="shared" si="182"/>
        <v/>
      </c>
      <c r="Q587" s="3" t="str">
        <f t="shared" si="175"/>
        <v/>
      </c>
      <c r="R587" s="3" t="str">
        <f t="shared" si="183"/>
        <v/>
      </c>
      <c r="S587" s="3" t="str">
        <f t="shared" si="184"/>
        <v/>
      </c>
      <c r="T587" s="4" t="str">
        <f t="shared" si="185"/>
        <v/>
      </c>
      <c r="U587" s="5" t="str">
        <f t="shared" si="186"/>
        <v/>
      </c>
      <c r="V587" s="7" t="str">
        <f>IF(W587="","",IF(LOOKUP(W587,'Extration 3E date commande'!$A$6:$A$10000)=W587,LOOKUP(W587,'Extration 3E date commande'!$A$6:$A$10000,'Extration 3E date commande'!$C$6:$C$10000),"PAS DE DATE"))</f>
        <v/>
      </c>
    </row>
    <row r="588" spans="1:22" x14ac:dyDescent="0.25">
      <c r="A588" s="3" t="str">
        <f t="shared" si="176"/>
        <v/>
      </c>
      <c r="B588" s="3" t="str">
        <f t="shared" si="177"/>
        <v/>
      </c>
      <c r="C588" s="3" t="str">
        <f t="shared" si="191"/>
        <v/>
      </c>
      <c r="D588" s="3" t="str">
        <f t="shared" si="187"/>
        <v/>
      </c>
      <c r="E588" s="3" t="str">
        <f t="shared" si="188"/>
        <v/>
      </c>
      <c r="F588" s="3" t="str">
        <f t="shared" si="189"/>
        <v/>
      </c>
      <c r="G588" s="3" t="str">
        <f t="shared" si="190"/>
        <v/>
      </c>
      <c r="H588" s="3" t="str">
        <f t="shared" si="178"/>
        <v/>
      </c>
      <c r="I588" s="3" t="str">
        <f t="shared" si="179"/>
        <v/>
      </c>
      <c r="J588" s="2" t="str">
        <f t="shared" si="180"/>
        <v/>
      </c>
      <c r="K588" s="2" t="str">
        <f>IF(W588="","",LOOKUP('Extraction edi'!J588,Paramètrage!$A$6:$A$179,Paramètrage!$B$6:$B$179))</f>
        <v/>
      </c>
      <c r="L588" s="2" t="str">
        <f>IF(W588="","",LOOKUP('Extraction edi'!J588,Paramètrage!$A$6:$A$179,Paramètrage!$C$6:$C$179))</f>
        <v/>
      </c>
      <c r="M588" s="2" t="str">
        <f>IF(W588="","",LOOKUP('Extraction edi'!J588,Paramètrage!$A$6:$A$179,Paramètrage!$D$6:$D$179))</f>
        <v/>
      </c>
      <c r="N588" s="3" t="str">
        <f>IF(W588="","",LOOKUP('Extraction edi'!J588,Paramètrage!$A$6:$A$179,Paramètrage!$E$6:$E$179))</f>
        <v/>
      </c>
      <c r="O588" s="3" t="str">
        <f t="shared" si="181"/>
        <v/>
      </c>
      <c r="P588" s="3" t="str">
        <f t="shared" si="182"/>
        <v/>
      </c>
      <c r="Q588" s="3" t="str">
        <f t="shared" si="175"/>
        <v/>
      </c>
      <c r="R588" s="3" t="str">
        <f t="shared" si="183"/>
        <v/>
      </c>
      <c r="S588" s="3" t="str">
        <f t="shared" si="184"/>
        <v/>
      </c>
      <c r="T588" s="4" t="str">
        <f t="shared" si="185"/>
        <v/>
      </c>
      <c r="U588" s="5" t="str">
        <f t="shared" si="186"/>
        <v/>
      </c>
      <c r="V588" s="7" t="str">
        <f>IF(W588="","",IF(LOOKUP(W588,'Extration 3E date commande'!$A$6:$A$10000)=W588,LOOKUP(W588,'Extration 3E date commande'!$A$6:$A$10000,'Extration 3E date commande'!$C$6:$C$10000),"PAS DE DATE"))</f>
        <v/>
      </c>
    </row>
    <row r="589" spans="1:22" x14ac:dyDescent="0.25">
      <c r="A589" s="3" t="str">
        <f t="shared" si="176"/>
        <v/>
      </c>
      <c r="B589" s="3" t="str">
        <f t="shared" si="177"/>
        <v/>
      </c>
      <c r="C589" s="3" t="str">
        <f t="shared" si="191"/>
        <v/>
      </c>
      <c r="D589" s="3" t="str">
        <f t="shared" si="187"/>
        <v/>
      </c>
      <c r="E589" s="3" t="str">
        <f t="shared" si="188"/>
        <v/>
      </c>
      <c r="F589" s="3" t="str">
        <f t="shared" si="189"/>
        <v/>
      </c>
      <c r="G589" s="3" t="str">
        <f t="shared" si="190"/>
        <v/>
      </c>
      <c r="H589" s="3" t="str">
        <f t="shared" si="178"/>
        <v/>
      </c>
      <c r="I589" s="3" t="str">
        <f t="shared" si="179"/>
        <v/>
      </c>
      <c r="J589" s="2" t="str">
        <f t="shared" si="180"/>
        <v/>
      </c>
      <c r="K589" s="2" t="str">
        <f>IF(W589="","",LOOKUP('Extraction edi'!J589,Paramètrage!$A$6:$A$179,Paramètrage!$B$6:$B$179))</f>
        <v/>
      </c>
      <c r="L589" s="2" t="str">
        <f>IF(W589="","",LOOKUP('Extraction edi'!J589,Paramètrage!$A$6:$A$179,Paramètrage!$C$6:$C$179))</f>
        <v/>
      </c>
      <c r="M589" s="2" t="str">
        <f>IF(W589="","",LOOKUP('Extraction edi'!J589,Paramètrage!$A$6:$A$179,Paramètrage!$D$6:$D$179))</f>
        <v/>
      </c>
      <c r="N589" s="3" t="str">
        <f>IF(W589="","",LOOKUP('Extraction edi'!J589,Paramètrage!$A$6:$A$179,Paramètrage!$E$6:$E$179))</f>
        <v/>
      </c>
      <c r="O589" s="3" t="str">
        <f t="shared" si="181"/>
        <v/>
      </c>
      <c r="P589" s="3" t="str">
        <f t="shared" si="182"/>
        <v/>
      </c>
      <c r="Q589" s="3" t="str">
        <f t="shared" si="175"/>
        <v/>
      </c>
      <c r="R589" s="3" t="str">
        <f t="shared" si="183"/>
        <v/>
      </c>
      <c r="S589" s="3" t="str">
        <f t="shared" si="184"/>
        <v/>
      </c>
      <c r="T589" s="4" t="str">
        <f t="shared" si="185"/>
        <v/>
      </c>
      <c r="U589" s="5" t="str">
        <f t="shared" si="186"/>
        <v/>
      </c>
      <c r="V589" s="7" t="str">
        <f>IF(W589="","",IF(LOOKUP(W589,'Extration 3E date commande'!$A$6:$A$10000)=W589,LOOKUP(W589,'Extration 3E date commande'!$A$6:$A$10000,'Extration 3E date commande'!$C$6:$C$10000),"PAS DE DATE"))</f>
        <v/>
      </c>
    </row>
    <row r="590" spans="1:22" x14ac:dyDescent="0.25">
      <c r="A590" s="3" t="str">
        <f t="shared" si="176"/>
        <v/>
      </c>
      <c r="B590" s="3" t="str">
        <f t="shared" si="177"/>
        <v/>
      </c>
      <c r="C590" s="3" t="str">
        <f t="shared" si="191"/>
        <v/>
      </c>
      <c r="D590" s="3" t="str">
        <f t="shared" si="187"/>
        <v/>
      </c>
      <c r="E590" s="3" t="str">
        <f t="shared" si="188"/>
        <v/>
      </c>
      <c r="F590" s="3" t="str">
        <f t="shared" si="189"/>
        <v/>
      </c>
      <c r="G590" s="3" t="str">
        <f t="shared" si="190"/>
        <v/>
      </c>
      <c r="H590" s="3" t="str">
        <f t="shared" si="178"/>
        <v/>
      </c>
      <c r="I590" s="3" t="str">
        <f t="shared" si="179"/>
        <v/>
      </c>
      <c r="J590" s="2" t="str">
        <f t="shared" si="180"/>
        <v/>
      </c>
      <c r="K590" s="2" t="str">
        <f>IF(W590="","",LOOKUP('Extraction edi'!J590,Paramètrage!$A$6:$A$179,Paramètrage!$B$6:$B$179))</f>
        <v/>
      </c>
      <c r="L590" s="2" t="str">
        <f>IF(W590="","",LOOKUP('Extraction edi'!J590,Paramètrage!$A$6:$A$179,Paramètrage!$C$6:$C$179))</f>
        <v/>
      </c>
      <c r="M590" s="2" t="str">
        <f>IF(W590="","",LOOKUP('Extraction edi'!J590,Paramètrage!$A$6:$A$179,Paramètrage!$D$6:$D$179))</f>
        <v/>
      </c>
      <c r="N590" s="3" t="str">
        <f>IF(W590="","",LOOKUP('Extraction edi'!J590,Paramètrage!$A$6:$A$179,Paramètrage!$E$6:$E$179))</f>
        <v/>
      </c>
      <c r="O590" s="3" t="str">
        <f t="shared" si="181"/>
        <v/>
      </c>
      <c r="P590" s="3" t="str">
        <f t="shared" si="182"/>
        <v/>
      </c>
      <c r="Q590" s="3" t="str">
        <f t="shared" si="175"/>
        <v/>
      </c>
      <c r="R590" s="3" t="str">
        <f t="shared" si="183"/>
        <v/>
      </c>
      <c r="S590" s="3" t="str">
        <f t="shared" si="184"/>
        <v/>
      </c>
      <c r="T590" s="4" t="str">
        <f t="shared" si="185"/>
        <v/>
      </c>
      <c r="U590" s="5" t="str">
        <f t="shared" si="186"/>
        <v/>
      </c>
      <c r="V590" s="7" t="str">
        <f>IF(W590="","",IF(LOOKUP(W590,'Extration 3E date commande'!$A$6:$A$10000)=W590,LOOKUP(W590,'Extration 3E date commande'!$A$6:$A$10000,'Extration 3E date commande'!$C$6:$C$10000),"PAS DE DATE"))</f>
        <v/>
      </c>
    </row>
    <row r="591" spans="1:22" x14ac:dyDescent="0.25">
      <c r="A591" s="3" t="str">
        <f t="shared" si="176"/>
        <v/>
      </c>
      <c r="B591" s="3" t="str">
        <f t="shared" si="177"/>
        <v/>
      </c>
      <c r="C591" s="3" t="str">
        <f t="shared" si="191"/>
        <v/>
      </c>
      <c r="D591" s="3" t="str">
        <f t="shared" si="187"/>
        <v/>
      </c>
      <c r="E591" s="3" t="str">
        <f t="shared" si="188"/>
        <v/>
      </c>
      <c r="F591" s="3" t="str">
        <f t="shared" si="189"/>
        <v/>
      </c>
      <c r="G591" s="3" t="str">
        <f t="shared" si="190"/>
        <v/>
      </c>
      <c r="H591" s="3" t="str">
        <f t="shared" si="178"/>
        <v/>
      </c>
      <c r="I591" s="3" t="str">
        <f t="shared" si="179"/>
        <v/>
      </c>
      <c r="J591" s="2" t="str">
        <f t="shared" si="180"/>
        <v/>
      </c>
      <c r="K591" s="2" t="str">
        <f>IF(W591="","",LOOKUP('Extraction edi'!J591,Paramètrage!$A$6:$A$179,Paramètrage!$B$6:$B$179))</f>
        <v/>
      </c>
      <c r="L591" s="2" t="str">
        <f>IF(W591="","",LOOKUP('Extraction edi'!J591,Paramètrage!$A$6:$A$179,Paramètrage!$C$6:$C$179))</f>
        <v/>
      </c>
      <c r="M591" s="2" t="str">
        <f>IF(W591="","",LOOKUP('Extraction edi'!J591,Paramètrage!$A$6:$A$179,Paramètrage!$D$6:$D$179))</f>
        <v/>
      </c>
      <c r="N591" s="3" t="str">
        <f>IF(W591="","",LOOKUP('Extraction edi'!J591,Paramètrage!$A$6:$A$179,Paramètrage!$E$6:$E$179))</f>
        <v/>
      </c>
      <c r="O591" s="3" t="str">
        <f t="shared" si="181"/>
        <v/>
      </c>
      <c r="P591" s="3" t="str">
        <f t="shared" si="182"/>
        <v/>
      </c>
      <c r="Q591" s="3" t="str">
        <f t="shared" ref="Q591:Q654" si="192">IF(ISERROR(SEARCH("laq",J591))=FALSE,"laquage RAL :",IF(ISERROR(SEARCH("lq",J591))=FALSE,"laquage RAL :",IF(ISERROR(SEARCH("ANO",J590))=FALSE,"laquage RAL :",IF(ISERROR(SEARCH("IVOI",J591)),"","laquage RAL :"))))</f>
        <v/>
      </c>
      <c r="R591" s="3" t="str">
        <f t="shared" si="183"/>
        <v/>
      </c>
      <c r="S591" s="3" t="str">
        <f t="shared" si="184"/>
        <v/>
      </c>
      <c r="T591" s="4" t="str">
        <f t="shared" si="185"/>
        <v/>
      </c>
      <c r="U591" s="5" t="str">
        <f t="shared" si="186"/>
        <v/>
      </c>
      <c r="V591" s="7" t="str">
        <f>IF(W591="","",IF(LOOKUP(W591,'Extration 3E date commande'!$A$6:$A$10000)=W591,LOOKUP(W591,'Extration 3E date commande'!$A$6:$A$10000,'Extration 3E date commande'!$C$6:$C$10000),"PAS DE DATE"))</f>
        <v/>
      </c>
    </row>
    <row r="592" spans="1:22" x14ac:dyDescent="0.25">
      <c r="A592" s="3" t="str">
        <f t="shared" si="176"/>
        <v/>
      </c>
      <c r="B592" s="3" t="str">
        <f t="shared" si="177"/>
        <v/>
      </c>
      <c r="C592" s="3" t="str">
        <f t="shared" si="191"/>
        <v/>
      </c>
      <c r="D592" s="3" t="str">
        <f t="shared" si="187"/>
        <v/>
      </c>
      <c r="E592" s="3" t="str">
        <f t="shared" si="188"/>
        <v/>
      </c>
      <c r="F592" s="3" t="str">
        <f t="shared" si="189"/>
        <v/>
      </c>
      <c r="G592" s="3" t="str">
        <f t="shared" si="190"/>
        <v/>
      </c>
      <c r="H592" s="3" t="str">
        <f t="shared" si="178"/>
        <v/>
      </c>
      <c r="I592" s="3" t="str">
        <f t="shared" si="179"/>
        <v/>
      </c>
      <c r="J592" s="2" t="str">
        <f t="shared" si="180"/>
        <v/>
      </c>
      <c r="K592" s="2" t="str">
        <f>IF(W592="","",LOOKUP('Extraction edi'!J592,Paramètrage!$A$6:$A$179,Paramètrage!$B$6:$B$179))</f>
        <v/>
      </c>
      <c r="L592" s="2" t="str">
        <f>IF(W592="","",LOOKUP('Extraction edi'!J592,Paramètrage!$A$6:$A$179,Paramètrage!$C$6:$C$179))</f>
        <v/>
      </c>
      <c r="M592" s="2" t="str">
        <f>IF(W592="","",LOOKUP('Extraction edi'!J592,Paramètrage!$A$6:$A$179,Paramètrage!$D$6:$D$179))</f>
        <v/>
      </c>
      <c r="N592" s="3" t="str">
        <f>IF(W592="","",LOOKUP('Extraction edi'!J592,Paramètrage!$A$6:$A$179,Paramètrage!$E$6:$E$179))</f>
        <v/>
      </c>
      <c r="O592" s="3" t="str">
        <f t="shared" si="181"/>
        <v/>
      </c>
      <c r="P592" s="3" t="str">
        <f t="shared" si="182"/>
        <v/>
      </c>
      <c r="Q592" s="3" t="str">
        <f t="shared" si="192"/>
        <v/>
      </c>
      <c r="R592" s="3" t="str">
        <f t="shared" si="183"/>
        <v/>
      </c>
      <c r="S592" s="3" t="str">
        <f t="shared" si="184"/>
        <v/>
      </c>
      <c r="T592" s="4" t="str">
        <f t="shared" si="185"/>
        <v/>
      </c>
      <c r="U592" s="5" t="str">
        <f t="shared" si="186"/>
        <v/>
      </c>
      <c r="V592" s="7" t="str">
        <f>IF(W592="","",IF(LOOKUP(W592,'Extration 3E date commande'!$A$6:$A$10000)=W592,LOOKUP(W592,'Extration 3E date commande'!$A$6:$A$10000,'Extration 3E date commande'!$C$6:$C$10000),"PAS DE DATE"))</f>
        <v/>
      </c>
    </row>
    <row r="593" spans="1:22" x14ac:dyDescent="0.25">
      <c r="A593" s="3" t="str">
        <f t="shared" si="176"/>
        <v/>
      </c>
      <c r="B593" s="3" t="str">
        <f t="shared" si="177"/>
        <v/>
      </c>
      <c r="C593" s="3" t="str">
        <f t="shared" si="191"/>
        <v/>
      </c>
      <c r="D593" s="3" t="str">
        <f t="shared" si="187"/>
        <v/>
      </c>
      <c r="E593" s="3" t="str">
        <f t="shared" si="188"/>
        <v/>
      </c>
      <c r="F593" s="3" t="str">
        <f t="shared" si="189"/>
        <v/>
      </c>
      <c r="G593" s="3" t="str">
        <f t="shared" si="190"/>
        <v/>
      </c>
      <c r="H593" s="3" t="str">
        <f t="shared" si="178"/>
        <v/>
      </c>
      <c r="I593" s="3" t="str">
        <f t="shared" si="179"/>
        <v/>
      </c>
      <c r="J593" s="2" t="str">
        <f t="shared" si="180"/>
        <v/>
      </c>
      <c r="K593" s="2" t="str">
        <f>IF(W593="","",LOOKUP('Extraction edi'!J593,Paramètrage!$A$6:$A$179,Paramètrage!$B$6:$B$179))</f>
        <v/>
      </c>
      <c r="L593" s="2" t="str">
        <f>IF(W593="","",LOOKUP('Extraction edi'!J593,Paramètrage!$A$6:$A$179,Paramètrage!$C$6:$C$179))</f>
        <v/>
      </c>
      <c r="M593" s="2" t="str">
        <f>IF(W593="","",LOOKUP('Extraction edi'!J593,Paramètrage!$A$6:$A$179,Paramètrage!$D$6:$D$179))</f>
        <v/>
      </c>
      <c r="N593" s="3" t="str">
        <f>IF(W593="","",LOOKUP('Extraction edi'!J593,Paramètrage!$A$6:$A$179,Paramètrage!$E$6:$E$179))</f>
        <v/>
      </c>
      <c r="O593" s="3" t="str">
        <f t="shared" si="181"/>
        <v/>
      </c>
      <c r="P593" s="3" t="str">
        <f t="shared" si="182"/>
        <v/>
      </c>
      <c r="Q593" s="3" t="str">
        <f t="shared" si="192"/>
        <v/>
      </c>
      <c r="R593" s="3" t="str">
        <f t="shared" si="183"/>
        <v/>
      </c>
      <c r="S593" s="3" t="str">
        <f t="shared" si="184"/>
        <v/>
      </c>
      <c r="T593" s="4" t="str">
        <f t="shared" si="185"/>
        <v/>
      </c>
      <c r="U593" s="5" t="str">
        <f t="shared" si="186"/>
        <v/>
      </c>
      <c r="V593" s="7" t="str">
        <f>IF(W593="","",IF(LOOKUP(W593,'Extration 3E date commande'!$A$6:$A$10000)=W593,LOOKUP(W593,'Extration 3E date commande'!$A$6:$A$10000,'Extration 3E date commande'!$C$6:$C$10000),"PAS DE DATE"))</f>
        <v/>
      </c>
    </row>
    <row r="594" spans="1:22" x14ac:dyDescent="0.25">
      <c r="A594" s="3" t="str">
        <f t="shared" si="176"/>
        <v/>
      </c>
      <c r="B594" s="3" t="str">
        <f t="shared" si="177"/>
        <v/>
      </c>
      <c r="C594" s="3" t="str">
        <f t="shared" si="191"/>
        <v/>
      </c>
      <c r="D594" s="3" t="str">
        <f t="shared" si="187"/>
        <v/>
      </c>
      <c r="E594" s="3" t="str">
        <f t="shared" si="188"/>
        <v/>
      </c>
      <c r="F594" s="3" t="str">
        <f t="shared" si="189"/>
        <v/>
      </c>
      <c r="G594" s="3" t="str">
        <f t="shared" si="190"/>
        <v/>
      </c>
      <c r="H594" s="3" t="str">
        <f t="shared" si="178"/>
        <v/>
      </c>
      <c r="I594" s="3" t="str">
        <f t="shared" si="179"/>
        <v/>
      </c>
      <c r="J594" s="2" t="str">
        <f t="shared" si="180"/>
        <v/>
      </c>
      <c r="K594" s="2" t="str">
        <f>IF(W594="","",LOOKUP('Extraction edi'!J594,Paramètrage!$A$6:$A$179,Paramètrage!$B$6:$B$179))</f>
        <v/>
      </c>
      <c r="L594" s="2" t="str">
        <f>IF(W594="","",LOOKUP('Extraction edi'!J594,Paramètrage!$A$6:$A$179,Paramètrage!$C$6:$C$179))</f>
        <v/>
      </c>
      <c r="M594" s="2" t="str">
        <f>IF(W594="","",LOOKUP('Extraction edi'!J594,Paramètrage!$A$6:$A$179,Paramètrage!$D$6:$D$179))</f>
        <v/>
      </c>
      <c r="N594" s="3" t="str">
        <f>IF(W594="","",LOOKUP('Extraction edi'!J594,Paramètrage!$A$6:$A$179,Paramètrage!$E$6:$E$179))</f>
        <v/>
      </c>
      <c r="O594" s="3" t="str">
        <f t="shared" si="181"/>
        <v/>
      </c>
      <c r="P594" s="3" t="str">
        <f t="shared" si="182"/>
        <v/>
      </c>
      <c r="Q594" s="3" t="str">
        <f t="shared" si="192"/>
        <v/>
      </c>
      <c r="R594" s="3" t="str">
        <f t="shared" si="183"/>
        <v/>
      </c>
      <c r="S594" s="3" t="str">
        <f t="shared" si="184"/>
        <v/>
      </c>
      <c r="T594" s="4" t="str">
        <f t="shared" si="185"/>
        <v/>
      </c>
      <c r="U594" s="5" t="str">
        <f t="shared" si="186"/>
        <v/>
      </c>
      <c r="V594" s="7" t="str">
        <f>IF(W594="","",IF(LOOKUP(W594,'Extration 3E date commande'!$A$6:$A$10000)=W594,LOOKUP(W594,'Extration 3E date commande'!$A$6:$A$10000,'Extration 3E date commande'!$C$6:$C$10000),"PAS DE DATE"))</f>
        <v/>
      </c>
    </row>
    <row r="595" spans="1:22" x14ac:dyDescent="0.25">
      <c r="A595" s="3" t="str">
        <f t="shared" si="176"/>
        <v/>
      </c>
      <c r="B595" s="3" t="str">
        <f t="shared" si="177"/>
        <v/>
      </c>
      <c r="C595" s="3" t="str">
        <f t="shared" si="191"/>
        <v/>
      </c>
      <c r="D595" s="3" t="str">
        <f t="shared" si="187"/>
        <v/>
      </c>
      <c r="E595" s="3" t="str">
        <f t="shared" si="188"/>
        <v/>
      </c>
      <c r="F595" s="3" t="str">
        <f t="shared" si="189"/>
        <v/>
      </c>
      <c r="G595" s="3" t="str">
        <f t="shared" si="190"/>
        <v/>
      </c>
      <c r="H595" s="3" t="str">
        <f t="shared" si="178"/>
        <v/>
      </c>
      <c r="I595" s="3" t="str">
        <f t="shared" si="179"/>
        <v/>
      </c>
      <c r="J595" s="2" t="str">
        <f t="shared" si="180"/>
        <v/>
      </c>
      <c r="K595" s="2" t="str">
        <f>IF(W595="","",LOOKUP('Extraction edi'!J595,Paramètrage!$A$6:$A$179,Paramètrage!$B$6:$B$179))</f>
        <v/>
      </c>
      <c r="L595" s="2" t="str">
        <f>IF(W595="","",LOOKUP('Extraction edi'!J595,Paramètrage!$A$6:$A$179,Paramètrage!$C$6:$C$179))</f>
        <v/>
      </c>
      <c r="M595" s="2" t="str">
        <f>IF(W595="","",LOOKUP('Extraction edi'!J595,Paramètrage!$A$6:$A$179,Paramètrage!$D$6:$D$179))</f>
        <v/>
      </c>
      <c r="N595" s="3" t="str">
        <f>IF(W595="","",LOOKUP('Extraction edi'!J595,Paramètrage!$A$6:$A$179,Paramètrage!$E$6:$E$179))</f>
        <v/>
      </c>
      <c r="O595" s="3" t="str">
        <f t="shared" si="181"/>
        <v/>
      </c>
      <c r="P595" s="3" t="str">
        <f t="shared" si="182"/>
        <v/>
      </c>
      <c r="Q595" s="3" t="str">
        <f t="shared" si="192"/>
        <v/>
      </c>
      <c r="R595" s="3" t="str">
        <f t="shared" si="183"/>
        <v/>
      </c>
      <c r="S595" s="3" t="str">
        <f t="shared" si="184"/>
        <v/>
      </c>
      <c r="T595" s="4" t="str">
        <f t="shared" si="185"/>
        <v/>
      </c>
      <c r="U595" s="5" t="str">
        <f t="shared" si="186"/>
        <v/>
      </c>
      <c r="V595" s="7" t="str">
        <f>IF(W595="","",IF(LOOKUP(W595,'Extration 3E date commande'!$A$6:$A$10000)=W595,LOOKUP(W595,'Extration 3E date commande'!$A$6:$A$10000,'Extration 3E date commande'!$C$6:$C$10000),"PAS DE DATE"))</f>
        <v/>
      </c>
    </row>
    <row r="596" spans="1:22" x14ac:dyDescent="0.25">
      <c r="A596" s="3" t="str">
        <f t="shared" si="176"/>
        <v/>
      </c>
      <c r="B596" s="3" t="str">
        <f t="shared" si="177"/>
        <v/>
      </c>
      <c r="C596" s="3" t="str">
        <f t="shared" si="191"/>
        <v/>
      </c>
      <c r="D596" s="3" t="str">
        <f t="shared" si="187"/>
        <v/>
      </c>
      <c r="E596" s="3" t="str">
        <f t="shared" si="188"/>
        <v/>
      </c>
      <c r="F596" s="3" t="str">
        <f t="shared" si="189"/>
        <v/>
      </c>
      <c r="G596" s="3" t="str">
        <f t="shared" si="190"/>
        <v/>
      </c>
      <c r="H596" s="3" t="str">
        <f t="shared" si="178"/>
        <v/>
      </c>
      <c r="I596" s="3" t="str">
        <f t="shared" si="179"/>
        <v/>
      </c>
      <c r="J596" s="2" t="str">
        <f t="shared" si="180"/>
        <v/>
      </c>
      <c r="K596" s="2" t="str">
        <f>IF(W596="","",LOOKUP('Extraction edi'!J596,Paramètrage!$A$6:$A$179,Paramètrage!$B$6:$B$179))</f>
        <v/>
      </c>
      <c r="L596" s="2" t="str">
        <f>IF(W596="","",LOOKUP('Extraction edi'!J596,Paramètrage!$A$6:$A$179,Paramètrage!$C$6:$C$179))</f>
        <v/>
      </c>
      <c r="M596" s="2" t="str">
        <f>IF(W596="","",LOOKUP('Extraction edi'!J596,Paramètrage!$A$6:$A$179,Paramètrage!$D$6:$D$179))</f>
        <v/>
      </c>
      <c r="N596" s="3" t="str">
        <f>IF(W596="","",LOOKUP('Extraction edi'!J596,Paramètrage!$A$6:$A$179,Paramètrage!$E$6:$E$179))</f>
        <v/>
      </c>
      <c r="O596" s="3" t="str">
        <f t="shared" si="181"/>
        <v/>
      </c>
      <c r="P596" s="3" t="str">
        <f t="shared" si="182"/>
        <v/>
      </c>
      <c r="Q596" s="3" t="str">
        <f t="shared" si="192"/>
        <v/>
      </c>
      <c r="R596" s="3" t="str">
        <f t="shared" si="183"/>
        <v/>
      </c>
      <c r="S596" s="3" t="str">
        <f t="shared" si="184"/>
        <v/>
      </c>
      <c r="T596" s="4" t="str">
        <f t="shared" si="185"/>
        <v/>
      </c>
      <c r="U596" s="5" t="str">
        <f t="shared" si="186"/>
        <v/>
      </c>
      <c r="V596" s="7" t="str">
        <f>IF(W596="","",IF(LOOKUP(W596,'Extration 3E date commande'!$A$6:$A$10000)=W596,LOOKUP(W596,'Extration 3E date commande'!$A$6:$A$10000,'Extration 3E date commande'!$C$6:$C$10000),"PAS DE DATE"))</f>
        <v/>
      </c>
    </row>
    <row r="597" spans="1:22" x14ac:dyDescent="0.25">
      <c r="A597" s="3" t="str">
        <f t="shared" si="176"/>
        <v/>
      </c>
      <c r="B597" s="3" t="str">
        <f t="shared" si="177"/>
        <v/>
      </c>
      <c r="C597" s="3" t="str">
        <f t="shared" si="191"/>
        <v/>
      </c>
      <c r="D597" s="3" t="str">
        <f t="shared" si="187"/>
        <v/>
      </c>
      <c r="E597" s="3" t="str">
        <f t="shared" si="188"/>
        <v/>
      </c>
      <c r="F597" s="3" t="str">
        <f t="shared" si="189"/>
        <v/>
      </c>
      <c r="G597" s="3" t="str">
        <f t="shared" si="190"/>
        <v/>
      </c>
      <c r="H597" s="3" t="str">
        <f t="shared" si="178"/>
        <v/>
      </c>
      <c r="I597" s="3" t="str">
        <f t="shared" si="179"/>
        <v/>
      </c>
      <c r="J597" s="2" t="str">
        <f t="shared" si="180"/>
        <v/>
      </c>
      <c r="K597" s="2" t="str">
        <f>IF(W597="","",LOOKUP('Extraction edi'!J597,Paramètrage!$A$6:$A$179,Paramètrage!$B$6:$B$179))</f>
        <v/>
      </c>
      <c r="L597" s="2" t="str">
        <f>IF(W597="","",LOOKUP('Extraction edi'!J597,Paramètrage!$A$6:$A$179,Paramètrage!$C$6:$C$179))</f>
        <v/>
      </c>
      <c r="M597" s="2" t="str">
        <f>IF(W597="","",LOOKUP('Extraction edi'!J597,Paramètrage!$A$6:$A$179,Paramètrage!$D$6:$D$179))</f>
        <v/>
      </c>
      <c r="N597" s="3" t="str">
        <f>IF(W597="","",LOOKUP('Extraction edi'!J597,Paramètrage!$A$6:$A$179,Paramètrage!$E$6:$E$179))</f>
        <v/>
      </c>
      <c r="O597" s="3" t="str">
        <f t="shared" si="181"/>
        <v/>
      </c>
      <c r="P597" s="3" t="str">
        <f t="shared" si="182"/>
        <v/>
      </c>
      <c r="Q597" s="3" t="str">
        <f t="shared" si="192"/>
        <v/>
      </c>
      <c r="R597" s="3" t="str">
        <f t="shared" si="183"/>
        <v/>
      </c>
      <c r="S597" s="3" t="str">
        <f t="shared" si="184"/>
        <v/>
      </c>
      <c r="T597" s="4" t="str">
        <f t="shared" si="185"/>
        <v/>
      </c>
      <c r="U597" s="5" t="str">
        <f t="shared" si="186"/>
        <v/>
      </c>
      <c r="V597" s="7" t="str">
        <f>IF(W597="","",IF(LOOKUP(W597,'Extration 3E date commande'!$A$6:$A$10000)=W597,LOOKUP(W597,'Extration 3E date commande'!$A$6:$A$10000,'Extration 3E date commande'!$C$6:$C$10000),"PAS DE DATE"))</f>
        <v/>
      </c>
    </row>
    <row r="598" spans="1:22" x14ac:dyDescent="0.25">
      <c r="A598" s="3" t="str">
        <f t="shared" ref="A598:A661" si="193">IF(W598="","",LEFT(W598,7))</f>
        <v/>
      </c>
      <c r="B598" s="3" t="str">
        <f t="shared" ref="B598:B661" si="194">IF(W598="","",RIGHT(W598,3))</f>
        <v/>
      </c>
      <c r="C598" s="3" t="str">
        <f t="shared" si="191"/>
        <v/>
      </c>
      <c r="D598" s="3" t="str">
        <f t="shared" si="187"/>
        <v/>
      </c>
      <c r="E598" s="3" t="str">
        <f t="shared" si="188"/>
        <v/>
      </c>
      <c r="F598" s="3" t="str">
        <f t="shared" si="189"/>
        <v/>
      </c>
      <c r="G598" s="3" t="str">
        <f t="shared" si="190"/>
        <v/>
      </c>
      <c r="H598" s="3" t="str">
        <f t="shared" ref="H598:H661" si="195">IF(W598="","",X598)</f>
        <v/>
      </c>
      <c r="I598" s="3" t="str">
        <f t="shared" ref="I598:I661" si="196">IF(W598="","",Z598)</f>
        <v/>
      </c>
      <c r="J598" s="2" t="str">
        <f t="shared" ref="J598:J661" si="197">IF(W598="","",IF(AND(T598=FALSE,T597=FALSE,T596=FALSE,T595=FALSE,T594=FALSE),AA593,IF(AND(T598=FALSE,T597=FALSE,T596=FALSE,T595=FALSE),AA594,IF(AND(T598=FALSE,T597=FALSE,T596=FALSE),AA595,IF(AND(T598=FALSE,T597=FALSE),AA596,IF(T598=FALSE,AA597,AA598))))))</f>
        <v/>
      </c>
      <c r="K598" s="2" t="str">
        <f>IF(W598="","",LOOKUP('Extraction edi'!J598,Paramètrage!$A$6:$A$179,Paramètrage!$B$6:$B$179))</f>
        <v/>
      </c>
      <c r="L598" s="2" t="str">
        <f>IF(W598="","",LOOKUP('Extraction edi'!J598,Paramètrage!$A$6:$A$179,Paramètrage!$C$6:$C$179))</f>
        <v/>
      </c>
      <c r="M598" s="2" t="str">
        <f>IF(W598="","",LOOKUP('Extraction edi'!J598,Paramètrage!$A$6:$A$179,Paramètrage!$D$6:$D$179))</f>
        <v/>
      </c>
      <c r="N598" s="3" t="str">
        <f>IF(W598="","",LOOKUP('Extraction edi'!J598,Paramètrage!$A$6:$A$179,Paramètrage!$E$6:$E$179))</f>
        <v/>
      </c>
      <c r="O598" s="3" t="str">
        <f t="shared" ref="O598:O661" si="198">IF(W598="","",IF(LEFT(AA598,4)="soub",AB598,IF(LEFT(AA598,3)="cim",AB598,AA598)))</f>
        <v/>
      </c>
      <c r="P598" s="3" t="str">
        <f t="shared" ref="P598:P661" si="199">IF(LEFT(U598,1)="N",SUBSTITUTE(AB598,"*",""),IF(LEFT(U598,1)="S",SUBSTITUTE(AB598,"*",""),IF(LEFT(U598,1)="G",SUBSTITUTE(AB598,"*",""),IF(LEN(U598)=11,SUBSTITUTE(AB598,"*",""),U598))))</f>
        <v/>
      </c>
      <c r="Q598" s="3" t="str">
        <f t="shared" si="192"/>
        <v/>
      </c>
      <c r="R598" s="3" t="str">
        <f t="shared" ref="R598:R661" si="200">IF(W598="","",IF(RIGHT(L598,7)="RAL9001",L598,IF(LEFT(AE598,1)="N",AE598,IF(LEFT(AE598,1)="S",AE598,IF(LEFT(AE598,1)="G",AE598,"")))))</f>
        <v/>
      </c>
      <c r="S598" s="3" t="str">
        <f t="shared" ref="S598:S661" si="201">IF(W598="","",IF(RIGHT(M598,7)="RAL9001",M598,IF(LEFT(AC598,1)="N",AC598,IF(LEFT(AC598,1)="S",AC598,IF(LEFT(AC598,1)="G",AC598,IF(LEFT(AD598,1)="N",AD598,IF(LEFT(AD598,1)="S",AD598,IF(LEFT(AD598,1)="G",AD598,""))))))))</f>
        <v/>
      </c>
      <c r="T598" s="4" t="str">
        <f t="shared" ref="T598:T661" si="202">IF(W598="","",IF(LEFT(AA598,4)&lt;&gt;"soub",IF(LEFT(AA598,3)&lt;&gt;"cim"=FALSE,AA598),AA598))</f>
        <v/>
      </c>
      <c r="U598" s="5" t="str">
        <f t="shared" ref="U598:U661" si="203">SUBSTITUTE(AC598,"*","")</f>
        <v/>
      </c>
      <c r="V598" s="7" t="str">
        <f>IF(W598="","",IF(LOOKUP(W598,'Extration 3E date commande'!$A$6:$A$10000)=W598,LOOKUP(W598,'Extration 3E date commande'!$A$6:$A$10000,'Extration 3E date commande'!$C$6:$C$10000),"PAS DE DATE"))</f>
        <v/>
      </c>
    </row>
    <row r="599" spans="1:22" x14ac:dyDescent="0.25">
      <c r="A599" s="3" t="str">
        <f t="shared" si="193"/>
        <v/>
      </c>
      <c r="B599" s="3" t="str">
        <f t="shared" si="194"/>
        <v/>
      </c>
      <c r="C599" s="3" t="str">
        <f t="shared" si="191"/>
        <v/>
      </c>
      <c r="D599" s="3" t="str">
        <f t="shared" si="187"/>
        <v/>
      </c>
      <c r="E599" s="3" t="str">
        <f t="shared" si="188"/>
        <v/>
      </c>
      <c r="F599" s="3" t="str">
        <f t="shared" si="189"/>
        <v/>
      </c>
      <c r="G599" s="3" t="str">
        <f t="shared" si="190"/>
        <v/>
      </c>
      <c r="H599" s="3" t="str">
        <f t="shared" si="195"/>
        <v/>
      </c>
      <c r="I599" s="3" t="str">
        <f t="shared" si="196"/>
        <v/>
      </c>
      <c r="J599" s="2" t="str">
        <f t="shared" si="197"/>
        <v/>
      </c>
      <c r="K599" s="2" t="str">
        <f>IF(W599="","",LOOKUP('Extraction edi'!J599,Paramètrage!$A$6:$A$179,Paramètrage!$B$6:$B$179))</f>
        <v/>
      </c>
      <c r="L599" s="2" t="str">
        <f>IF(W599="","",LOOKUP('Extraction edi'!J599,Paramètrage!$A$6:$A$179,Paramètrage!$C$6:$C$179))</f>
        <v/>
      </c>
      <c r="M599" s="2" t="str">
        <f>IF(W599="","",LOOKUP('Extraction edi'!J599,Paramètrage!$A$6:$A$179,Paramètrage!$D$6:$D$179))</f>
        <v/>
      </c>
      <c r="N599" s="3" t="str">
        <f>IF(W599="","",LOOKUP('Extraction edi'!J599,Paramètrage!$A$6:$A$179,Paramètrage!$E$6:$E$179))</f>
        <v/>
      </c>
      <c r="O599" s="3" t="str">
        <f t="shared" si="198"/>
        <v/>
      </c>
      <c r="P599" s="3" t="str">
        <f t="shared" si="199"/>
        <v/>
      </c>
      <c r="Q599" s="3" t="str">
        <f t="shared" si="192"/>
        <v/>
      </c>
      <c r="R599" s="3" t="str">
        <f t="shared" si="200"/>
        <v/>
      </c>
      <c r="S599" s="3" t="str">
        <f t="shared" si="201"/>
        <v/>
      </c>
      <c r="T599" s="4" t="str">
        <f t="shared" si="202"/>
        <v/>
      </c>
      <c r="U599" s="5" t="str">
        <f t="shared" si="203"/>
        <v/>
      </c>
      <c r="V599" s="7" t="str">
        <f>IF(W599="","",IF(LOOKUP(W599,'Extration 3E date commande'!$A$6:$A$10000)=W599,LOOKUP(W599,'Extration 3E date commande'!$A$6:$A$10000,'Extration 3E date commande'!$C$6:$C$10000),"PAS DE DATE"))</f>
        <v/>
      </c>
    </row>
    <row r="600" spans="1:22" x14ac:dyDescent="0.25">
      <c r="A600" s="3" t="str">
        <f t="shared" si="193"/>
        <v/>
      </c>
      <c r="B600" s="3" t="str">
        <f t="shared" si="194"/>
        <v/>
      </c>
      <c r="C600" s="3" t="str">
        <f t="shared" si="191"/>
        <v/>
      </c>
      <c r="D600" s="3" t="str">
        <f t="shared" si="187"/>
        <v/>
      </c>
      <c r="E600" s="3" t="str">
        <f t="shared" si="188"/>
        <v/>
      </c>
      <c r="F600" s="3" t="str">
        <f t="shared" si="189"/>
        <v/>
      </c>
      <c r="G600" s="3" t="str">
        <f t="shared" si="190"/>
        <v/>
      </c>
      <c r="H600" s="3" t="str">
        <f t="shared" si="195"/>
        <v/>
      </c>
      <c r="I600" s="3" t="str">
        <f t="shared" si="196"/>
        <v/>
      </c>
      <c r="J600" s="2" t="str">
        <f t="shared" si="197"/>
        <v/>
      </c>
      <c r="K600" s="2" t="str">
        <f>IF(W600="","",LOOKUP('Extraction edi'!J600,Paramètrage!$A$6:$A$179,Paramètrage!$B$6:$B$179))</f>
        <v/>
      </c>
      <c r="L600" s="2" t="str">
        <f>IF(W600="","",LOOKUP('Extraction edi'!J600,Paramètrage!$A$6:$A$179,Paramètrage!$C$6:$C$179))</f>
        <v/>
      </c>
      <c r="M600" s="2" t="str">
        <f>IF(W600="","",LOOKUP('Extraction edi'!J600,Paramètrage!$A$6:$A$179,Paramètrage!$D$6:$D$179))</f>
        <v/>
      </c>
      <c r="N600" s="3" t="str">
        <f>IF(W600="","",LOOKUP('Extraction edi'!J600,Paramètrage!$A$6:$A$179,Paramètrage!$E$6:$E$179))</f>
        <v/>
      </c>
      <c r="O600" s="3" t="str">
        <f t="shared" si="198"/>
        <v/>
      </c>
      <c r="P600" s="3" t="str">
        <f t="shared" si="199"/>
        <v/>
      </c>
      <c r="Q600" s="3" t="str">
        <f t="shared" si="192"/>
        <v/>
      </c>
      <c r="R600" s="3" t="str">
        <f t="shared" si="200"/>
        <v/>
      </c>
      <c r="S600" s="3" t="str">
        <f t="shared" si="201"/>
        <v/>
      </c>
      <c r="T600" s="4" t="str">
        <f t="shared" si="202"/>
        <v/>
      </c>
      <c r="U600" s="5" t="str">
        <f t="shared" si="203"/>
        <v/>
      </c>
      <c r="V600" s="7" t="str">
        <f>IF(W600="","",IF(LOOKUP(W600,'Extration 3E date commande'!$A$6:$A$10000)=W600,LOOKUP(W600,'Extration 3E date commande'!$A$6:$A$10000,'Extration 3E date commande'!$C$6:$C$10000),"PAS DE DATE"))</f>
        <v/>
      </c>
    </row>
    <row r="601" spans="1:22" x14ac:dyDescent="0.25">
      <c r="A601" s="3" t="str">
        <f t="shared" si="193"/>
        <v/>
      </c>
      <c r="B601" s="3" t="str">
        <f t="shared" si="194"/>
        <v/>
      </c>
      <c r="C601" s="3" t="str">
        <f t="shared" si="191"/>
        <v/>
      </c>
      <c r="D601" s="3" t="str">
        <f t="shared" si="187"/>
        <v/>
      </c>
      <c r="E601" s="3" t="str">
        <f t="shared" si="188"/>
        <v/>
      </c>
      <c r="F601" s="3" t="str">
        <f t="shared" si="189"/>
        <v/>
      </c>
      <c r="G601" s="3" t="str">
        <f t="shared" si="190"/>
        <v/>
      </c>
      <c r="H601" s="3" t="str">
        <f t="shared" si="195"/>
        <v/>
      </c>
      <c r="I601" s="3" t="str">
        <f t="shared" si="196"/>
        <v/>
      </c>
      <c r="J601" s="2" t="str">
        <f t="shared" si="197"/>
        <v/>
      </c>
      <c r="K601" s="2" t="str">
        <f>IF(W601="","",LOOKUP('Extraction edi'!J601,Paramètrage!$A$6:$A$179,Paramètrage!$B$6:$B$179))</f>
        <v/>
      </c>
      <c r="L601" s="2" t="str">
        <f>IF(W601="","",LOOKUP('Extraction edi'!J601,Paramètrage!$A$6:$A$179,Paramètrage!$C$6:$C$179))</f>
        <v/>
      </c>
      <c r="M601" s="2" t="str">
        <f>IF(W601="","",LOOKUP('Extraction edi'!J601,Paramètrage!$A$6:$A$179,Paramètrage!$D$6:$D$179))</f>
        <v/>
      </c>
      <c r="N601" s="3" t="str">
        <f>IF(W601="","",LOOKUP('Extraction edi'!J601,Paramètrage!$A$6:$A$179,Paramètrage!$E$6:$E$179))</f>
        <v/>
      </c>
      <c r="O601" s="3" t="str">
        <f t="shared" si="198"/>
        <v/>
      </c>
      <c r="P601" s="3" t="str">
        <f t="shared" si="199"/>
        <v/>
      </c>
      <c r="Q601" s="3" t="str">
        <f t="shared" si="192"/>
        <v/>
      </c>
      <c r="R601" s="3" t="str">
        <f t="shared" si="200"/>
        <v/>
      </c>
      <c r="S601" s="3" t="str">
        <f t="shared" si="201"/>
        <v/>
      </c>
      <c r="T601" s="4" t="str">
        <f t="shared" si="202"/>
        <v/>
      </c>
      <c r="U601" s="5" t="str">
        <f t="shared" si="203"/>
        <v/>
      </c>
      <c r="V601" s="7" t="str">
        <f>IF(W601="","",IF(LOOKUP(W601,'Extration 3E date commande'!$A$6:$A$10000)=W601,LOOKUP(W601,'Extration 3E date commande'!$A$6:$A$10000,'Extration 3E date commande'!$C$6:$C$10000),"PAS DE DATE"))</f>
        <v/>
      </c>
    </row>
    <row r="602" spans="1:22" x14ac:dyDescent="0.25">
      <c r="A602" s="3" t="str">
        <f t="shared" si="193"/>
        <v/>
      </c>
      <c r="B602" s="3" t="str">
        <f t="shared" si="194"/>
        <v/>
      </c>
      <c r="C602" s="3" t="str">
        <f t="shared" si="191"/>
        <v/>
      </c>
      <c r="D602" s="3" t="str">
        <f t="shared" si="187"/>
        <v/>
      </c>
      <c r="E602" s="3" t="str">
        <f t="shared" si="188"/>
        <v/>
      </c>
      <c r="F602" s="3" t="str">
        <f t="shared" si="189"/>
        <v/>
      </c>
      <c r="G602" s="3" t="str">
        <f t="shared" si="190"/>
        <v/>
      </c>
      <c r="H602" s="3" t="str">
        <f t="shared" si="195"/>
        <v/>
      </c>
      <c r="I602" s="3" t="str">
        <f t="shared" si="196"/>
        <v/>
      </c>
      <c r="J602" s="2" t="str">
        <f t="shared" si="197"/>
        <v/>
      </c>
      <c r="K602" s="2" t="str">
        <f>IF(W602="","",LOOKUP('Extraction edi'!J602,Paramètrage!$A$6:$A$179,Paramètrage!$B$6:$B$179))</f>
        <v/>
      </c>
      <c r="L602" s="2" t="str">
        <f>IF(W602="","",LOOKUP('Extraction edi'!J602,Paramètrage!$A$6:$A$179,Paramètrage!$C$6:$C$179))</f>
        <v/>
      </c>
      <c r="M602" s="2" t="str">
        <f>IF(W602="","",LOOKUP('Extraction edi'!J602,Paramètrage!$A$6:$A$179,Paramètrage!$D$6:$D$179))</f>
        <v/>
      </c>
      <c r="N602" s="3" t="str">
        <f>IF(W602="","",LOOKUP('Extraction edi'!J602,Paramètrage!$A$6:$A$179,Paramètrage!$E$6:$E$179))</f>
        <v/>
      </c>
      <c r="O602" s="3" t="str">
        <f t="shared" si="198"/>
        <v/>
      </c>
      <c r="P602" s="3" t="str">
        <f t="shared" si="199"/>
        <v/>
      </c>
      <c r="Q602" s="3" t="str">
        <f t="shared" si="192"/>
        <v/>
      </c>
      <c r="R602" s="3" t="str">
        <f t="shared" si="200"/>
        <v/>
      </c>
      <c r="S602" s="3" t="str">
        <f t="shared" si="201"/>
        <v/>
      </c>
      <c r="T602" s="4" t="str">
        <f t="shared" si="202"/>
        <v/>
      </c>
      <c r="U602" s="5" t="str">
        <f t="shared" si="203"/>
        <v/>
      </c>
      <c r="V602" s="7" t="str">
        <f>IF(W602="","",IF(LOOKUP(W602,'Extration 3E date commande'!$A$6:$A$10000)=W602,LOOKUP(W602,'Extration 3E date commande'!$A$6:$A$10000,'Extration 3E date commande'!$C$6:$C$10000),"PAS DE DATE"))</f>
        <v/>
      </c>
    </row>
    <row r="603" spans="1:22" x14ac:dyDescent="0.25">
      <c r="A603" s="3" t="str">
        <f t="shared" si="193"/>
        <v/>
      </c>
      <c r="B603" s="3" t="str">
        <f t="shared" si="194"/>
        <v/>
      </c>
      <c r="C603" s="3" t="str">
        <f t="shared" si="191"/>
        <v/>
      </c>
      <c r="D603" s="3" t="str">
        <f t="shared" si="187"/>
        <v/>
      </c>
      <c r="E603" s="3" t="str">
        <f t="shared" si="188"/>
        <v/>
      </c>
      <c r="F603" s="3" t="str">
        <f t="shared" si="189"/>
        <v/>
      </c>
      <c r="G603" s="3" t="str">
        <f t="shared" si="190"/>
        <v/>
      </c>
      <c r="H603" s="3" t="str">
        <f t="shared" si="195"/>
        <v/>
      </c>
      <c r="I603" s="3" t="str">
        <f t="shared" si="196"/>
        <v/>
      </c>
      <c r="J603" s="2" t="str">
        <f t="shared" si="197"/>
        <v/>
      </c>
      <c r="K603" s="2" t="str">
        <f>IF(W603="","",LOOKUP('Extraction edi'!J603,Paramètrage!$A$6:$A$179,Paramètrage!$B$6:$B$179))</f>
        <v/>
      </c>
      <c r="L603" s="2" t="str">
        <f>IF(W603="","",LOOKUP('Extraction edi'!J603,Paramètrage!$A$6:$A$179,Paramètrage!$C$6:$C$179))</f>
        <v/>
      </c>
      <c r="M603" s="2" t="str">
        <f>IF(W603="","",LOOKUP('Extraction edi'!J603,Paramètrage!$A$6:$A$179,Paramètrage!$D$6:$D$179))</f>
        <v/>
      </c>
      <c r="N603" s="3" t="str">
        <f>IF(W603="","",LOOKUP('Extraction edi'!J603,Paramètrage!$A$6:$A$179,Paramètrage!$E$6:$E$179))</f>
        <v/>
      </c>
      <c r="O603" s="3" t="str">
        <f t="shared" si="198"/>
        <v/>
      </c>
      <c r="P603" s="3" t="str">
        <f t="shared" si="199"/>
        <v/>
      </c>
      <c r="Q603" s="3" t="str">
        <f t="shared" si="192"/>
        <v/>
      </c>
      <c r="R603" s="3" t="str">
        <f t="shared" si="200"/>
        <v/>
      </c>
      <c r="S603" s="3" t="str">
        <f t="shared" si="201"/>
        <v/>
      </c>
      <c r="T603" s="4" t="str">
        <f t="shared" si="202"/>
        <v/>
      </c>
      <c r="U603" s="5" t="str">
        <f t="shared" si="203"/>
        <v/>
      </c>
      <c r="V603" s="7" t="str">
        <f>IF(W603="","",IF(LOOKUP(W603,'Extration 3E date commande'!$A$6:$A$10000)=W603,LOOKUP(W603,'Extration 3E date commande'!$A$6:$A$10000,'Extration 3E date commande'!$C$6:$C$10000),"PAS DE DATE"))</f>
        <v/>
      </c>
    </row>
    <row r="604" spans="1:22" x14ac:dyDescent="0.25">
      <c r="A604" s="3" t="str">
        <f t="shared" si="193"/>
        <v/>
      </c>
      <c r="B604" s="3" t="str">
        <f t="shared" si="194"/>
        <v/>
      </c>
      <c r="C604" s="3" t="str">
        <f t="shared" si="191"/>
        <v/>
      </c>
      <c r="D604" s="3" t="str">
        <f t="shared" si="187"/>
        <v/>
      </c>
      <c r="E604" s="3" t="str">
        <f t="shared" si="188"/>
        <v/>
      </c>
      <c r="F604" s="3" t="str">
        <f t="shared" si="189"/>
        <v/>
      </c>
      <c r="G604" s="3" t="str">
        <f t="shared" si="190"/>
        <v/>
      </c>
      <c r="H604" s="3" t="str">
        <f t="shared" si="195"/>
        <v/>
      </c>
      <c r="I604" s="3" t="str">
        <f t="shared" si="196"/>
        <v/>
      </c>
      <c r="J604" s="2" t="str">
        <f t="shared" si="197"/>
        <v/>
      </c>
      <c r="K604" s="2" t="str">
        <f>IF(W604="","",LOOKUP('Extraction edi'!J604,Paramètrage!$A$6:$A$179,Paramètrage!$B$6:$B$179))</f>
        <v/>
      </c>
      <c r="L604" s="2" t="str">
        <f>IF(W604="","",LOOKUP('Extraction edi'!J604,Paramètrage!$A$6:$A$179,Paramètrage!$C$6:$C$179))</f>
        <v/>
      </c>
      <c r="M604" s="2" t="str">
        <f>IF(W604="","",LOOKUP('Extraction edi'!J604,Paramètrage!$A$6:$A$179,Paramètrage!$D$6:$D$179))</f>
        <v/>
      </c>
      <c r="N604" s="3" t="str">
        <f>IF(W604="","",LOOKUP('Extraction edi'!J604,Paramètrage!$A$6:$A$179,Paramètrage!$E$6:$E$179))</f>
        <v/>
      </c>
      <c r="O604" s="3" t="str">
        <f t="shared" si="198"/>
        <v/>
      </c>
      <c r="P604" s="3" t="str">
        <f t="shared" si="199"/>
        <v/>
      </c>
      <c r="Q604" s="3" t="str">
        <f t="shared" si="192"/>
        <v/>
      </c>
      <c r="R604" s="3" t="str">
        <f t="shared" si="200"/>
        <v/>
      </c>
      <c r="S604" s="3" t="str">
        <f t="shared" si="201"/>
        <v/>
      </c>
      <c r="T604" s="4" t="str">
        <f t="shared" si="202"/>
        <v/>
      </c>
      <c r="U604" s="5" t="str">
        <f t="shared" si="203"/>
        <v/>
      </c>
      <c r="V604" s="7" t="str">
        <f>IF(W604="","",IF(LOOKUP(W604,'Extration 3E date commande'!$A$6:$A$10000)=W604,LOOKUP(W604,'Extration 3E date commande'!$A$6:$A$10000,'Extration 3E date commande'!$C$6:$C$10000),"PAS DE DATE"))</f>
        <v/>
      </c>
    </row>
    <row r="605" spans="1:22" x14ac:dyDescent="0.25">
      <c r="A605" s="3" t="str">
        <f t="shared" si="193"/>
        <v/>
      </c>
      <c r="B605" s="3" t="str">
        <f t="shared" si="194"/>
        <v/>
      </c>
      <c r="C605" s="3" t="str">
        <f t="shared" si="191"/>
        <v/>
      </c>
      <c r="D605" s="3" t="str">
        <f t="shared" si="187"/>
        <v/>
      </c>
      <c r="E605" s="3" t="str">
        <f t="shared" si="188"/>
        <v/>
      </c>
      <c r="F605" s="3" t="str">
        <f t="shared" si="189"/>
        <v/>
      </c>
      <c r="G605" s="3" t="str">
        <f t="shared" si="190"/>
        <v/>
      </c>
      <c r="H605" s="3" t="str">
        <f t="shared" si="195"/>
        <v/>
      </c>
      <c r="I605" s="3" t="str">
        <f t="shared" si="196"/>
        <v/>
      </c>
      <c r="J605" s="2" t="str">
        <f t="shared" si="197"/>
        <v/>
      </c>
      <c r="K605" s="2" t="str">
        <f>IF(W605="","",LOOKUP('Extraction edi'!J605,Paramètrage!$A$6:$A$179,Paramètrage!$B$6:$B$179))</f>
        <v/>
      </c>
      <c r="L605" s="2" t="str">
        <f>IF(W605="","",LOOKUP('Extraction edi'!J605,Paramètrage!$A$6:$A$179,Paramètrage!$C$6:$C$179))</f>
        <v/>
      </c>
      <c r="M605" s="2" t="str">
        <f>IF(W605="","",LOOKUP('Extraction edi'!J605,Paramètrage!$A$6:$A$179,Paramètrage!$D$6:$D$179))</f>
        <v/>
      </c>
      <c r="N605" s="3" t="str">
        <f>IF(W605="","",LOOKUP('Extraction edi'!J605,Paramètrage!$A$6:$A$179,Paramètrage!$E$6:$E$179))</f>
        <v/>
      </c>
      <c r="O605" s="3" t="str">
        <f t="shared" si="198"/>
        <v/>
      </c>
      <c r="P605" s="3" t="str">
        <f t="shared" si="199"/>
        <v/>
      </c>
      <c r="Q605" s="3" t="str">
        <f t="shared" si="192"/>
        <v/>
      </c>
      <c r="R605" s="3" t="str">
        <f t="shared" si="200"/>
        <v/>
      </c>
      <c r="S605" s="3" t="str">
        <f t="shared" si="201"/>
        <v/>
      </c>
      <c r="T605" s="4" t="str">
        <f t="shared" si="202"/>
        <v/>
      </c>
      <c r="U605" s="5" t="str">
        <f t="shared" si="203"/>
        <v/>
      </c>
      <c r="V605" s="7" t="str">
        <f>IF(W605="","",IF(LOOKUP(W605,'Extration 3E date commande'!$A$6:$A$10000)=W605,LOOKUP(W605,'Extration 3E date commande'!$A$6:$A$10000,'Extration 3E date commande'!$C$6:$C$10000),"PAS DE DATE"))</f>
        <v/>
      </c>
    </row>
    <row r="606" spans="1:22" x14ac:dyDescent="0.25">
      <c r="A606" s="3" t="str">
        <f t="shared" si="193"/>
        <v/>
      </c>
      <c r="B606" s="3" t="str">
        <f t="shared" si="194"/>
        <v/>
      </c>
      <c r="C606" s="3" t="str">
        <f t="shared" si="191"/>
        <v/>
      </c>
      <c r="D606" s="3" t="str">
        <f t="shared" si="187"/>
        <v/>
      </c>
      <c r="E606" s="3" t="str">
        <f t="shared" si="188"/>
        <v/>
      </c>
      <c r="F606" s="3" t="str">
        <f t="shared" si="189"/>
        <v/>
      </c>
      <c r="G606" s="3" t="str">
        <f t="shared" si="190"/>
        <v/>
      </c>
      <c r="H606" s="3" t="str">
        <f t="shared" si="195"/>
        <v/>
      </c>
      <c r="I606" s="3" t="str">
        <f t="shared" si="196"/>
        <v/>
      </c>
      <c r="J606" s="2" t="str">
        <f t="shared" si="197"/>
        <v/>
      </c>
      <c r="K606" s="2" t="str">
        <f>IF(W606="","",LOOKUP('Extraction edi'!J606,Paramètrage!$A$6:$A$179,Paramètrage!$B$6:$B$179))</f>
        <v/>
      </c>
      <c r="L606" s="2" t="str">
        <f>IF(W606="","",LOOKUP('Extraction edi'!J606,Paramètrage!$A$6:$A$179,Paramètrage!$C$6:$C$179))</f>
        <v/>
      </c>
      <c r="M606" s="2" t="str">
        <f>IF(W606="","",LOOKUP('Extraction edi'!J606,Paramètrage!$A$6:$A$179,Paramètrage!$D$6:$D$179))</f>
        <v/>
      </c>
      <c r="N606" s="3" t="str">
        <f>IF(W606="","",LOOKUP('Extraction edi'!J606,Paramètrage!$A$6:$A$179,Paramètrage!$E$6:$E$179))</f>
        <v/>
      </c>
      <c r="O606" s="3" t="str">
        <f t="shared" si="198"/>
        <v/>
      </c>
      <c r="P606" s="3" t="str">
        <f t="shared" si="199"/>
        <v/>
      </c>
      <c r="Q606" s="3" t="str">
        <f t="shared" si="192"/>
        <v/>
      </c>
      <c r="R606" s="3" t="str">
        <f t="shared" si="200"/>
        <v/>
      </c>
      <c r="S606" s="3" t="str">
        <f t="shared" si="201"/>
        <v/>
      </c>
      <c r="T606" s="4" t="str">
        <f t="shared" si="202"/>
        <v/>
      </c>
      <c r="U606" s="5" t="str">
        <f t="shared" si="203"/>
        <v/>
      </c>
      <c r="V606" s="7" t="str">
        <f>IF(W606="","",IF(LOOKUP(W606,'Extration 3E date commande'!$A$6:$A$10000)=W606,LOOKUP(W606,'Extration 3E date commande'!$A$6:$A$10000,'Extration 3E date commande'!$C$6:$C$10000),"PAS DE DATE"))</f>
        <v/>
      </c>
    </row>
    <row r="607" spans="1:22" x14ac:dyDescent="0.25">
      <c r="A607" s="3" t="str">
        <f t="shared" si="193"/>
        <v/>
      </c>
      <c r="B607" s="3" t="str">
        <f t="shared" si="194"/>
        <v/>
      </c>
      <c r="C607" s="3" t="str">
        <f t="shared" si="191"/>
        <v/>
      </c>
      <c r="D607" s="3" t="str">
        <f t="shared" si="187"/>
        <v/>
      </c>
      <c r="E607" s="3" t="str">
        <f t="shared" si="188"/>
        <v/>
      </c>
      <c r="F607" s="3" t="str">
        <f t="shared" si="189"/>
        <v/>
      </c>
      <c r="G607" s="3" t="str">
        <f t="shared" si="190"/>
        <v/>
      </c>
      <c r="H607" s="3" t="str">
        <f t="shared" si="195"/>
        <v/>
      </c>
      <c r="I607" s="3" t="str">
        <f t="shared" si="196"/>
        <v/>
      </c>
      <c r="J607" s="2" t="str">
        <f t="shared" si="197"/>
        <v/>
      </c>
      <c r="K607" s="2" t="str">
        <f>IF(W607="","",LOOKUP('Extraction edi'!J607,Paramètrage!$A$6:$A$179,Paramètrage!$B$6:$B$179))</f>
        <v/>
      </c>
      <c r="L607" s="2" t="str">
        <f>IF(W607="","",LOOKUP('Extraction edi'!J607,Paramètrage!$A$6:$A$179,Paramètrage!$C$6:$C$179))</f>
        <v/>
      </c>
      <c r="M607" s="2" t="str">
        <f>IF(W607="","",LOOKUP('Extraction edi'!J607,Paramètrage!$A$6:$A$179,Paramètrage!$D$6:$D$179))</f>
        <v/>
      </c>
      <c r="N607" s="3" t="str">
        <f>IF(W607="","",LOOKUP('Extraction edi'!J607,Paramètrage!$A$6:$A$179,Paramètrage!$E$6:$E$179))</f>
        <v/>
      </c>
      <c r="O607" s="3" t="str">
        <f t="shared" si="198"/>
        <v/>
      </c>
      <c r="P607" s="3" t="str">
        <f t="shared" si="199"/>
        <v/>
      </c>
      <c r="Q607" s="3" t="str">
        <f t="shared" si="192"/>
        <v/>
      </c>
      <c r="R607" s="3" t="str">
        <f t="shared" si="200"/>
        <v/>
      </c>
      <c r="S607" s="3" t="str">
        <f t="shared" si="201"/>
        <v/>
      </c>
      <c r="T607" s="4" t="str">
        <f t="shared" si="202"/>
        <v/>
      </c>
      <c r="U607" s="5" t="str">
        <f t="shared" si="203"/>
        <v/>
      </c>
      <c r="V607" s="7" t="str">
        <f>IF(W607="","",IF(LOOKUP(W607,'Extration 3E date commande'!$A$6:$A$10000)=W607,LOOKUP(W607,'Extration 3E date commande'!$A$6:$A$10000,'Extration 3E date commande'!$C$6:$C$10000),"PAS DE DATE"))</f>
        <v/>
      </c>
    </row>
    <row r="608" spans="1:22" x14ac:dyDescent="0.25">
      <c r="A608" s="3" t="str">
        <f t="shared" si="193"/>
        <v/>
      </c>
      <c r="B608" s="3" t="str">
        <f t="shared" si="194"/>
        <v/>
      </c>
      <c r="C608" s="3" t="str">
        <f t="shared" si="191"/>
        <v/>
      </c>
      <c r="D608" s="3" t="str">
        <f t="shared" si="187"/>
        <v/>
      </c>
      <c r="E608" s="3" t="str">
        <f t="shared" si="188"/>
        <v/>
      </c>
      <c r="F608" s="3" t="str">
        <f t="shared" si="189"/>
        <v/>
      </c>
      <c r="G608" s="3" t="str">
        <f t="shared" si="190"/>
        <v/>
      </c>
      <c r="H608" s="3" t="str">
        <f t="shared" si="195"/>
        <v/>
      </c>
      <c r="I608" s="3" t="str">
        <f t="shared" si="196"/>
        <v/>
      </c>
      <c r="J608" s="2" t="str">
        <f t="shared" si="197"/>
        <v/>
      </c>
      <c r="K608" s="2" t="str">
        <f>IF(W608="","",LOOKUP('Extraction edi'!J608,Paramètrage!$A$6:$A$179,Paramètrage!$B$6:$B$179))</f>
        <v/>
      </c>
      <c r="L608" s="2" t="str">
        <f>IF(W608="","",LOOKUP('Extraction edi'!J608,Paramètrage!$A$6:$A$179,Paramètrage!$C$6:$C$179))</f>
        <v/>
      </c>
      <c r="M608" s="2" t="str">
        <f>IF(W608="","",LOOKUP('Extraction edi'!J608,Paramètrage!$A$6:$A$179,Paramètrage!$D$6:$D$179))</f>
        <v/>
      </c>
      <c r="N608" s="3" t="str">
        <f>IF(W608="","",LOOKUP('Extraction edi'!J608,Paramètrage!$A$6:$A$179,Paramètrage!$E$6:$E$179))</f>
        <v/>
      </c>
      <c r="O608" s="3" t="str">
        <f t="shared" si="198"/>
        <v/>
      </c>
      <c r="P608" s="3" t="str">
        <f t="shared" si="199"/>
        <v/>
      </c>
      <c r="Q608" s="3" t="str">
        <f t="shared" si="192"/>
        <v/>
      </c>
      <c r="R608" s="3" t="str">
        <f t="shared" si="200"/>
        <v/>
      </c>
      <c r="S608" s="3" t="str">
        <f t="shared" si="201"/>
        <v/>
      </c>
      <c r="T608" s="4" t="str">
        <f t="shared" si="202"/>
        <v/>
      </c>
      <c r="U608" s="5" t="str">
        <f t="shared" si="203"/>
        <v/>
      </c>
      <c r="V608" s="7" t="str">
        <f>IF(W608="","",IF(LOOKUP(W608,'Extration 3E date commande'!$A$6:$A$10000)=W608,LOOKUP(W608,'Extration 3E date commande'!$A$6:$A$10000,'Extration 3E date commande'!$C$6:$C$10000),"PAS DE DATE"))</f>
        <v/>
      </c>
    </row>
    <row r="609" spans="1:22" x14ac:dyDescent="0.25">
      <c r="A609" s="3" t="str">
        <f t="shared" si="193"/>
        <v/>
      </c>
      <c r="B609" s="3" t="str">
        <f t="shared" si="194"/>
        <v/>
      </c>
      <c r="C609" s="3" t="str">
        <f t="shared" si="191"/>
        <v/>
      </c>
      <c r="D609" s="3" t="str">
        <f t="shared" si="187"/>
        <v/>
      </c>
      <c r="E609" s="3" t="str">
        <f t="shared" si="188"/>
        <v/>
      </c>
      <c r="F609" s="3" t="str">
        <f t="shared" si="189"/>
        <v/>
      </c>
      <c r="G609" s="3" t="str">
        <f t="shared" si="190"/>
        <v/>
      </c>
      <c r="H609" s="3" t="str">
        <f t="shared" si="195"/>
        <v/>
      </c>
      <c r="I609" s="3" t="str">
        <f t="shared" si="196"/>
        <v/>
      </c>
      <c r="J609" s="2" t="str">
        <f t="shared" si="197"/>
        <v/>
      </c>
      <c r="K609" s="2" t="str">
        <f>IF(W609="","",LOOKUP('Extraction edi'!J609,Paramètrage!$A$6:$A$179,Paramètrage!$B$6:$B$179))</f>
        <v/>
      </c>
      <c r="L609" s="2" t="str">
        <f>IF(W609="","",LOOKUP('Extraction edi'!J609,Paramètrage!$A$6:$A$179,Paramètrage!$C$6:$C$179))</f>
        <v/>
      </c>
      <c r="M609" s="2" t="str">
        <f>IF(W609="","",LOOKUP('Extraction edi'!J609,Paramètrage!$A$6:$A$179,Paramètrage!$D$6:$D$179))</f>
        <v/>
      </c>
      <c r="N609" s="3" t="str">
        <f>IF(W609="","",LOOKUP('Extraction edi'!J609,Paramètrage!$A$6:$A$179,Paramètrage!$E$6:$E$179))</f>
        <v/>
      </c>
      <c r="O609" s="3" t="str">
        <f t="shared" si="198"/>
        <v/>
      </c>
      <c r="P609" s="3" t="str">
        <f t="shared" si="199"/>
        <v/>
      </c>
      <c r="Q609" s="3" t="str">
        <f t="shared" si="192"/>
        <v/>
      </c>
      <c r="R609" s="3" t="str">
        <f t="shared" si="200"/>
        <v/>
      </c>
      <c r="S609" s="3" t="str">
        <f t="shared" si="201"/>
        <v/>
      </c>
      <c r="T609" s="4" t="str">
        <f t="shared" si="202"/>
        <v/>
      </c>
      <c r="U609" s="5" t="str">
        <f t="shared" si="203"/>
        <v/>
      </c>
      <c r="V609" s="7" t="str">
        <f>IF(W609="","",IF(LOOKUP(W609,'Extration 3E date commande'!$A$6:$A$10000)=W609,LOOKUP(W609,'Extration 3E date commande'!$A$6:$A$10000,'Extration 3E date commande'!$C$6:$C$10000),"PAS DE DATE"))</f>
        <v/>
      </c>
    </row>
    <row r="610" spans="1:22" x14ac:dyDescent="0.25">
      <c r="A610" s="3" t="str">
        <f t="shared" si="193"/>
        <v/>
      </c>
      <c r="B610" s="3" t="str">
        <f t="shared" si="194"/>
        <v/>
      </c>
      <c r="C610" s="3" t="str">
        <f t="shared" si="191"/>
        <v/>
      </c>
      <c r="D610" s="3" t="str">
        <f t="shared" si="187"/>
        <v/>
      </c>
      <c r="E610" s="3" t="str">
        <f t="shared" si="188"/>
        <v/>
      </c>
      <c r="F610" s="3" t="str">
        <f t="shared" si="189"/>
        <v/>
      </c>
      <c r="G610" s="3" t="str">
        <f t="shared" si="190"/>
        <v/>
      </c>
      <c r="H610" s="3" t="str">
        <f t="shared" si="195"/>
        <v/>
      </c>
      <c r="I610" s="3" t="str">
        <f t="shared" si="196"/>
        <v/>
      </c>
      <c r="J610" s="2" t="str">
        <f t="shared" si="197"/>
        <v/>
      </c>
      <c r="K610" s="2" t="str">
        <f>IF(W610="","",LOOKUP('Extraction edi'!J610,Paramètrage!$A$6:$A$179,Paramètrage!$B$6:$B$179))</f>
        <v/>
      </c>
      <c r="L610" s="2" t="str">
        <f>IF(W610="","",LOOKUP('Extraction edi'!J610,Paramètrage!$A$6:$A$179,Paramètrage!$C$6:$C$179))</f>
        <v/>
      </c>
      <c r="M610" s="2" t="str">
        <f>IF(W610="","",LOOKUP('Extraction edi'!J610,Paramètrage!$A$6:$A$179,Paramètrage!$D$6:$D$179))</f>
        <v/>
      </c>
      <c r="N610" s="3" t="str">
        <f>IF(W610="","",LOOKUP('Extraction edi'!J610,Paramètrage!$A$6:$A$179,Paramètrage!$E$6:$E$179))</f>
        <v/>
      </c>
      <c r="O610" s="3" t="str">
        <f t="shared" si="198"/>
        <v/>
      </c>
      <c r="P610" s="3" t="str">
        <f t="shared" si="199"/>
        <v/>
      </c>
      <c r="Q610" s="3" t="str">
        <f t="shared" si="192"/>
        <v/>
      </c>
      <c r="R610" s="3" t="str">
        <f t="shared" si="200"/>
        <v/>
      </c>
      <c r="S610" s="3" t="str">
        <f t="shared" si="201"/>
        <v/>
      </c>
      <c r="T610" s="4" t="str">
        <f t="shared" si="202"/>
        <v/>
      </c>
      <c r="U610" s="5" t="str">
        <f t="shared" si="203"/>
        <v/>
      </c>
      <c r="V610" s="7" t="str">
        <f>IF(W610="","",IF(LOOKUP(W610,'Extration 3E date commande'!$A$6:$A$10000)=W610,LOOKUP(W610,'Extration 3E date commande'!$A$6:$A$10000,'Extration 3E date commande'!$C$6:$C$10000),"PAS DE DATE"))</f>
        <v/>
      </c>
    </row>
    <row r="611" spans="1:22" x14ac:dyDescent="0.25">
      <c r="A611" s="3" t="str">
        <f t="shared" si="193"/>
        <v/>
      </c>
      <c r="B611" s="3" t="str">
        <f t="shared" si="194"/>
        <v/>
      </c>
      <c r="C611" s="3" t="str">
        <f t="shared" si="191"/>
        <v/>
      </c>
      <c r="D611" s="3" t="str">
        <f t="shared" si="187"/>
        <v/>
      </c>
      <c r="E611" s="3" t="str">
        <f t="shared" si="188"/>
        <v/>
      </c>
      <c r="F611" s="3" t="str">
        <f t="shared" si="189"/>
        <v/>
      </c>
      <c r="G611" s="3" t="str">
        <f t="shared" si="190"/>
        <v/>
      </c>
      <c r="H611" s="3" t="str">
        <f t="shared" si="195"/>
        <v/>
      </c>
      <c r="I611" s="3" t="str">
        <f t="shared" si="196"/>
        <v/>
      </c>
      <c r="J611" s="2" t="str">
        <f t="shared" si="197"/>
        <v/>
      </c>
      <c r="K611" s="2" t="str">
        <f>IF(W611="","",LOOKUP('Extraction edi'!J611,Paramètrage!$A$6:$A$179,Paramètrage!$B$6:$B$179))</f>
        <v/>
      </c>
      <c r="L611" s="2" t="str">
        <f>IF(W611="","",LOOKUP('Extraction edi'!J611,Paramètrage!$A$6:$A$179,Paramètrage!$C$6:$C$179))</f>
        <v/>
      </c>
      <c r="M611" s="2" t="str">
        <f>IF(W611="","",LOOKUP('Extraction edi'!J611,Paramètrage!$A$6:$A$179,Paramètrage!$D$6:$D$179))</f>
        <v/>
      </c>
      <c r="N611" s="3" t="str">
        <f>IF(W611="","",LOOKUP('Extraction edi'!J611,Paramètrage!$A$6:$A$179,Paramètrage!$E$6:$E$179))</f>
        <v/>
      </c>
      <c r="O611" s="3" t="str">
        <f t="shared" si="198"/>
        <v/>
      </c>
      <c r="P611" s="3" t="str">
        <f t="shared" si="199"/>
        <v/>
      </c>
      <c r="Q611" s="3" t="str">
        <f t="shared" si="192"/>
        <v/>
      </c>
      <c r="R611" s="3" t="str">
        <f t="shared" si="200"/>
        <v/>
      </c>
      <c r="S611" s="3" t="str">
        <f t="shared" si="201"/>
        <v/>
      </c>
      <c r="T611" s="4" t="str">
        <f t="shared" si="202"/>
        <v/>
      </c>
      <c r="U611" s="5" t="str">
        <f t="shared" si="203"/>
        <v/>
      </c>
      <c r="V611" s="7" t="str">
        <f>IF(W611="","",IF(LOOKUP(W611,'Extration 3E date commande'!$A$6:$A$10000)=W611,LOOKUP(W611,'Extration 3E date commande'!$A$6:$A$10000,'Extration 3E date commande'!$C$6:$C$10000),"PAS DE DATE"))</f>
        <v/>
      </c>
    </row>
    <row r="612" spans="1:22" x14ac:dyDescent="0.25">
      <c r="A612" s="3" t="str">
        <f t="shared" si="193"/>
        <v/>
      </c>
      <c r="B612" s="3" t="str">
        <f t="shared" si="194"/>
        <v/>
      </c>
      <c r="C612" s="3" t="str">
        <f t="shared" si="191"/>
        <v/>
      </c>
      <c r="D612" s="3" t="str">
        <f t="shared" si="187"/>
        <v/>
      </c>
      <c r="E612" s="3" t="str">
        <f t="shared" si="188"/>
        <v/>
      </c>
      <c r="F612" s="3" t="str">
        <f t="shared" si="189"/>
        <v/>
      </c>
      <c r="G612" s="3" t="str">
        <f t="shared" si="190"/>
        <v/>
      </c>
      <c r="H612" s="3" t="str">
        <f t="shared" si="195"/>
        <v/>
      </c>
      <c r="I612" s="3" t="str">
        <f t="shared" si="196"/>
        <v/>
      </c>
      <c r="J612" s="2" t="str">
        <f t="shared" si="197"/>
        <v/>
      </c>
      <c r="K612" s="2" t="str">
        <f>IF(W612="","",LOOKUP('Extraction edi'!J612,Paramètrage!$A$6:$A$179,Paramètrage!$B$6:$B$179))</f>
        <v/>
      </c>
      <c r="L612" s="2" t="str">
        <f>IF(W612="","",LOOKUP('Extraction edi'!J612,Paramètrage!$A$6:$A$179,Paramètrage!$C$6:$C$179))</f>
        <v/>
      </c>
      <c r="M612" s="2" t="str">
        <f>IF(W612="","",LOOKUP('Extraction edi'!J612,Paramètrage!$A$6:$A$179,Paramètrage!$D$6:$D$179))</f>
        <v/>
      </c>
      <c r="N612" s="3" t="str">
        <f>IF(W612="","",LOOKUP('Extraction edi'!J612,Paramètrage!$A$6:$A$179,Paramètrage!$E$6:$E$179))</f>
        <v/>
      </c>
      <c r="O612" s="3" t="str">
        <f t="shared" si="198"/>
        <v/>
      </c>
      <c r="P612" s="3" t="str">
        <f t="shared" si="199"/>
        <v/>
      </c>
      <c r="Q612" s="3" t="str">
        <f t="shared" si="192"/>
        <v/>
      </c>
      <c r="R612" s="3" t="str">
        <f t="shared" si="200"/>
        <v/>
      </c>
      <c r="S612" s="3" t="str">
        <f t="shared" si="201"/>
        <v/>
      </c>
      <c r="T612" s="4" t="str">
        <f t="shared" si="202"/>
        <v/>
      </c>
      <c r="U612" s="5" t="str">
        <f t="shared" si="203"/>
        <v/>
      </c>
      <c r="V612" s="7" t="str">
        <f>IF(W612="","",IF(LOOKUP(W612,'Extration 3E date commande'!$A$6:$A$10000)=W612,LOOKUP(W612,'Extration 3E date commande'!$A$6:$A$10000,'Extration 3E date commande'!$C$6:$C$10000),"PAS DE DATE"))</f>
        <v/>
      </c>
    </row>
    <row r="613" spans="1:22" x14ac:dyDescent="0.25">
      <c r="A613" s="3" t="str">
        <f t="shared" si="193"/>
        <v/>
      </c>
      <c r="B613" s="3" t="str">
        <f t="shared" si="194"/>
        <v/>
      </c>
      <c r="C613" s="3" t="str">
        <f t="shared" si="191"/>
        <v/>
      </c>
      <c r="D613" s="3" t="str">
        <f t="shared" si="187"/>
        <v/>
      </c>
      <c r="E613" s="3" t="str">
        <f t="shared" si="188"/>
        <v/>
      </c>
      <c r="F613" s="3" t="str">
        <f t="shared" si="189"/>
        <v/>
      </c>
      <c r="G613" s="3" t="str">
        <f t="shared" si="190"/>
        <v/>
      </c>
      <c r="H613" s="3" t="str">
        <f t="shared" si="195"/>
        <v/>
      </c>
      <c r="I613" s="3" t="str">
        <f t="shared" si="196"/>
        <v/>
      </c>
      <c r="J613" s="2" t="str">
        <f t="shared" si="197"/>
        <v/>
      </c>
      <c r="K613" s="2" t="str">
        <f>IF(W613="","",LOOKUP('Extraction edi'!J613,Paramètrage!$A$6:$A$179,Paramètrage!$B$6:$B$179))</f>
        <v/>
      </c>
      <c r="L613" s="2" t="str">
        <f>IF(W613="","",LOOKUP('Extraction edi'!J613,Paramètrage!$A$6:$A$179,Paramètrage!$C$6:$C$179))</f>
        <v/>
      </c>
      <c r="M613" s="2" t="str">
        <f>IF(W613="","",LOOKUP('Extraction edi'!J613,Paramètrage!$A$6:$A$179,Paramètrage!$D$6:$D$179))</f>
        <v/>
      </c>
      <c r="N613" s="3" t="str">
        <f>IF(W613="","",LOOKUP('Extraction edi'!J613,Paramètrage!$A$6:$A$179,Paramètrage!$E$6:$E$179))</f>
        <v/>
      </c>
      <c r="O613" s="3" t="str">
        <f t="shared" si="198"/>
        <v/>
      </c>
      <c r="P613" s="3" t="str">
        <f t="shared" si="199"/>
        <v/>
      </c>
      <c r="Q613" s="3" t="str">
        <f t="shared" si="192"/>
        <v/>
      </c>
      <c r="R613" s="3" t="str">
        <f t="shared" si="200"/>
        <v/>
      </c>
      <c r="S613" s="3" t="str">
        <f t="shared" si="201"/>
        <v/>
      </c>
      <c r="T613" s="4" t="str">
        <f t="shared" si="202"/>
        <v/>
      </c>
      <c r="U613" s="5" t="str">
        <f t="shared" si="203"/>
        <v/>
      </c>
      <c r="V613" s="7" t="str">
        <f>IF(W613="","",IF(LOOKUP(W613,'Extration 3E date commande'!$A$6:$A$10000)=W613,LOOKUP(W613,'Extration 3E date commande'!$A$6:$A$10000,'Extration 3E date commande'!$C$6:$C$10000),"PAS DE DATE"))</f>
        <v/>
      </c>
    </row>
    <row r="614" spans="1:22" x14ac:dyDescent="0.25">
      <c r="A614" s="3" t="str">
        <f t="shared" si="193"/>
        <v/>
      </c>
      <c r="B614" s="3" t="str">
        <f t="shared" si="194"/>
        <v/>
      </c>
      <c r="C614" s="3" t="str">
        <f t="shared" si="191"/>
        <v/>
      </c>
      <c r="D614" s="3" t="str">
        <f t="shared" si="187"/>
        <v/>
      </c>
      <c r="E614" s="3" t="str">
        <f t="shared" si="188"/>
        <v/>
      </c>
      <c r="F614" s="3" t="str">
        <f t="shared" si="189"/>
        <v/>
      </c>
      <c r="G614" s="3" t="str">
        <f t="shared" si="190"/>
        <v/>
      </c>
      <c r="H614" s="3" t="str">
        <f t="shared" si="195"/>
        <v/>
      </c>
      <c r="I614" s="3" t="str">
        <f t="shared" si="196"/>
        <v/>
      </c>
      <c r="J614" s="2" t="str">
        <f t="shared" si="197"/>
        <v/>
      </c>
      <c r="K614" s="2" t="str">
        <f>IF(W614="","",LOOKUP('Extraction edi'!J614,Paramètrage!$A$6:$A$179,Paramètrage!$B$6:$B$179))</f>
        <v/>
      </c>
      <c r="L614" s="2" t="str">
        <f>IF(W614="","",LOOKUP('Extraction edi'!J614,Paramètrage!$A$6:$A$179,Paramètrage!$C$6:$C$179))</f>
        <v/>
      </c>
      <c r="M614" s="2" t="str">
        <f>IF(W614="","",LOOKUP('Extraction edi'!J614,Paramètrage!$A$6:$A$179,Paramètrage!$D$6:$D$179))</f>
        <v/>
      </c>
      <c r="N614" s="3" t="str">
        <f>IF(W614="","",LOOKUP('Extraction edi'!J614,Paramètrage!$A$6:$A$179,Paramètrage!$E$6:$E$179))</f>
        <v/>
      </c>
      <c r="O614" s="3" t="str">
        <f t="shared" si="198"/>
        <v/>
      </c>
      <c r="P614" s="3" t="str">
        <f t="shared" si="199"/>
        <v/>
      </c>
      <c r="Q614" s="3" t="str">
        <f t="shared" si="192"/>
        <v/>
      </c>
      <c r="R614" s="3" t="str">
        <f t="shared" si="200"/>
        <v/>
      </c>
      <c r="S614" s="3" t="str">
        <f t="shared" si="201"/>
        <v/>
      </c>
      <c r="T614" s="4" t="str">
        <f t="shared" si="202"/>
        <v/>
      </c>
      <c r="U614" s="5" t="str">
        <f t="shared" si="203"/>
        <v/>
      </c>
      <c r="V614" s="7" t="str">
        <f>IF(W614="","",IF(LOOKUP(W614,'Extration 3E date commande'!$A$6:$A$10000)=W614,LOOKUP(W614,'Extration 3E date commande'!$A$6:$A$10000,'Extration 3E date commande'!$C$6:$C$10000),"PAS DE DATE"))</f>
        <v/>
      </c>
    </row>
    <row r="615" spans="1:22" x14ac:dyDescent="0.25">
      <c r="A615" s="3" t="str">
        <f t="shared" si="193"/>
        <v/>
      </c>
      <c r="B615" s="3" t="str">
        <f t="shared" si="194"/>
        <v/>
      </c>
      <c r="C615" s="3" t="str">
        <f t="shared" si="191"/>
        <v/>
      </c>
      <c r="D615" s="3" t="str">
        <f t="shared" si="187"/>
        <v/>
      </c>
      <c r="E615" s="3" t="str">
        <f t="shared" si="188"/>
        <v/>
      </c>
      <c r="F615" s="3" t="str">
        <f t="shared" si="189"/>
        <v/>
      </c>
      <c r="G615" s="3" t="str">
        <f t="shared" si="190"/>
        <v/>
      </c>
      <c r="H615" s="3" t="str">
        <f t="shared" si="195"/>
        <v/>
      </c>
      <c r="I615" s="3" t="str">
        <f t="shared" si="196"/>
        <v/>
      </c>
      <c r="J615" s="2" t="str">
        <f t="shared" si="197"/>
        <v/>
      </c>
      <c r="K615" s="2" t="str">
        <f>IF(W615="","",LOOKUP('Extraction edi'!J615,Paramètrage!$A$6:$A$179,Paramètrage!$B$6:$B$179))</f>
        <v/>
      </c>
      <c r="L615" s="2" t="str">
        <f>IF(W615="","",LOOKUP('Extraction edi'!J615,Paramètrage!$A$6:$A$179,Paramètrage!$C$6:$C$179))</f>
        <v/>
      </c>
      <c r="M615" s="2" t="str">
        <f>IF(W615="","",LOOKUP('Extraction edi'!J615,Paramètrage!$A$6:$A$179,Paramètrage!$D$6:$D$179))</f>
        <v/>
      </c>
      <c r="N615" s="3" t="str">
        <f>IF(W615="","",LOOKUP('Extraction edi'!J615,Paramètrage!$A$6:$A$179,Paramètrage!$E$6:$E$179))</f>
        <v/>
      </c>
      <c r="O615" s="3" t="str">
        <f t="shared" si="198"/>
        <v/>
      </c>
      <c r="P615" s="3" t="str">
        <f t="shared" si="199"/>
        <v/>
      </c>
      <c r="Q615" s="3" t="str">
        <f t="shared" si="192"/>
        <v/>
      </c>
      <c r="R615" s="3" t="str">
        <f t="shared" si="200"/>
        <v/>
      </c>
      <c r="S615" s="3" t="str">
        <f t="shared" si="201"/>
        <v/>
      </c>
      <c r="T615" s="4" t="str">
        <f t="shared" si="202"/>
        <v/>
      </c>
      <c r="U615" s="5" t="str">
        <f t="shared" si="203"/>
        <v/>
      </c>
      <c r="V615" s="7" t="str">
        <f>IF(W615="","",IF(LOOKUP(W615,'Extration 3E date commande'!$A$6:$A$10000)=W615,LOOKUP(W615,'Extration 3E date commande'!$A$6:$A$10000,'Extration 3E date commande'!$C$6:$C$10000),"PAS DE DATE"))</f>
        <v/>
      </c>
    </row>
    <row r="616" spans="1:22" x14ac:dyDescent="0.25">
      <c r="A616" s="3" t="str">
        <f t="shared" si="193"/>
        <v/>
      </c>
      <c r="B616" s="3" t="str">
        <f t="shared" si="194"/>
        <v/>
      </c>
      <c r="C616" s="3" t="str">
        <f t="shared" si="191"/>
        <v/>
      </c>
      <c r="D616" s="3" t="str">
        <f t="shared" si="187"/>
        <v/>
      </c>
      <c r="E616" s="3" t="str">
        <f t="shared" si="188"/>
        <v/>
      </c>
      <c r="F616" s="3" t="str">
        <f t="shared" si="189"/>
        <v/>
      </c>
      <c r="G616" s="3" t="str">
        <f t="shared" si="190"/>
        <v/>
      </c>
      <c r="H616" s="3" t="str">
        <f t="shared" si="195"/>
        <v/>
      </c>
      <c r="I616" s="3" t="str">
        <f t="shared" si="196"/>
        <v/>
      </c>
      <c r="J616" s="2" t="str">
        <f t="shared" si="197"/>
        <v/>
      </c>
      <c r="K616" s="2" t="str">
        <f>IF(W616="","",LOOKUP('Extraction edi'!J616,Paramètrage!$A$6:$A$179,Paramètrage!$B$6:$B$179))</f>
        <v/>
      </c>
      <c r="L616" s="2" t="str">
        <f>IF(W616="","",LOOKUP('Extraction edi'!J616,Paramètrage!$A$6:$A$179,Paramètrage!$C$6:$C$179))</f>
        <v/>
      </c>
      <c r="M616" s="2" t="str">
        <f>IF(W616="","",LOOKUP('Extraction edi'!J616,Paramètrage!$A$6:$A$179,Paramètrage!$D$6:$D$179))</f>
        <v/>
      </c>
      <c r="N616" s="3" t="str">
        <f>IF(W616="","",LOOKUP('Extraction edi'!J616,Paramètrage!$A$6:$A$179,Paramètrage!$E$6:$E$179))</f>
        <v/>
      </c>
      <c r="O616" s="3" t="str">
        <f t="shared" si="198"/>
        <v/>
      </c>
      <c r="P616" s="3" t="str">
        <f t="shared" si="199"/>
        <v/>
      </c>
      <c r="Q616" s="3" t="str">
        <f t="shared" si="192"/>
        <v/>
      </c>
      <c r="R616" s="3" t="str">
        <f t="shared" si="200"/>
        <v/>
      </c>
      <c r="S616" s="3" t="str">
        <f t="shared" si="201"/>
        <v/>
      </c>
      <c r="T616" s="4" t="str">
        <f t="shared" si="202"/>
        <v/>
      </c>
      <c r="U616" s="5" t="str">
        <f t="shared" si="203"/>
        <v/>
      </c>
      <c r="V616" s="7" t="str">
        <f>IF(W616="","",IF(LOOKUP(W616,'Extration 3E date commande'!$A$6:$A$10000)=W616,LOOKUP(W616,'Extration 3E date commande'!$A$6:$A$10000,'Extration 3E date commande'!$C$6:$C$10000),"PAS DE DATE"))</f>
        <v/>
      </c>
    </row>
    <row r="617" spans="1:22" x14ac:dyDescent="0.25">
      <c r="A617" s="3" t="str">
        <f t="shared" si="193"/>
        <v/>
      </c>
      <c r="B617" s="3" t="str">
        <f t="shared" si="194"/>
        <v/>
      </c>
      <c r="C617" s="3" t="str">
        <f t="shared" si="191"/>
        <v/>
      </c>
      <c r="D617" s="3" t="str">
        <f t="shared" si="187"/>
        <v/>
      </c>
      <c r="E617" s="3" t="str">
        <f t="shared" si="188"/>
        <v/>
      </c>
      <c r="F617" s="3" t="str">
        <f t="shared" si="189"/>
        <v/>
      </c>
      <c r="G617" s="3" t="str">
        <f t="shared" si="190"/>
        <v/>
      </c>
      <c r="H617" s="3" t="str">
        <f t="shared" si="195"/>
        <v/>
      </c>
      <c r="I617" s="3" t="str">
        <f t="shared" si="196"/>
        <v/>
      </c>
      <c r="J617" s="2" t="str">
        <f t="shared" si="197"/>
        <v/>
      </c>
      <c r="K617" s="2" t="str">
        <f>IF(W617="","",LOOKUP('Extraction edi'!J617,Paramètrage!$A$6:$A$179,Paramètrage!$B$6:$B$179))</f>
        <v/>
      </c>
      <c r="L617" s="2" t="str">
        <f>IF(W617="","",LOOKUP('Extraction edi'!J617,Paramètrage!$A$6:$A$179,Paramètrage!$C$6:$C$179))</f>
        <v/>
      </c>
      <c r="M617" s="2" t="str">
        <f>IF(W617="","",LOOKUP('Extraction edi'!J617,Paramètrage!$A$6:$A$179,Paramètrage!$D$6:$D$179))</f>
        <v/>
      </c>
      <c r="N617" s="3" t="str">
        <f>IF(W617="","",LOOKUP('Extraction edi'!J617,Paramètrage!$A$6:$A$179,Paramètrage!$E$6:$E$179))</f>
        <v/>
      </c>
      <c r="O617" s="3" t="str">
        <f t="shared" si="198"/>
        <v/>
      </c>
      <c r="P617" s="3" t="str">
        <f t="shared" si="199"/>
        <v/>
      </c>
      <c r="Q617" s="3" t="str">
        <f t="shared" si="192"/>
        <v/>
      </c>
      <c r="R617" s="3" t="str">
        <f t="shared" si="200"/>
        <v/>
      </c>
      <c r="S617" s="3" t="str">
        <f t="shared" si="201"/>
        <v/>
      </c>
      <c r="T617" s="4" t="str">
        <f t="shared" si="202"/>
        <v/>
      </c>
      <c r="U617" s="5" t="str">
        <f t="shared" si="203"/>
        <v/>
      </c>
      <c r="V617" s="7" t="str">
        <f>IF(W617="","",IF(LOOKUP(W617,'Extration 3E date commande'!$A$6:$A$10000)=W617,LOOKUP(W617,'Extration 3E date commande'!$A$6:$A$10000,'Extration 3E date commande'!$C$6:$C$10000),"PAS DE DATE"))</f>
        <v/>
      </c>
    </row>
    <row r="618" spans="1:22" x14ac:dyDescent="0.25">
      <c r="A618" s="3" t="str">
        <f t="shared" si="193"/>
        <v/>
      </c>
      <c r="B618" s="3" t="str">
        <f t="shared" si="194"/>
        <v/>
      </c>
      <c r="C618" s="3" t="str">
        <f t="shared" si="191"/>
        <v/>
      </c>
      <c r="D618" s="3" t="str">
        <f t="shared" si="187"/>
        <v/>
      </c>
      <c r="E618" s="3" t="str">
        <f t="shared" si="188"/>
        <v/>
      </c>
      <c r="F618" s="3" t="str">
        <f t="shared" si="189"/>
        <v/>
      </c>
      <c r="G618" s="3" t="str">
        <f t="shared" si="190"/>
        <v/>
      </c>
      <c r="H618" s="3" t="str">
        <f t="shared" si="195"/>
        <v/>
      </c>
      <c r="I618" s="3" t="str">
        <f t="shared" si="196"/>
        <v/>
      </c>
      <c r="J618" s="2" t="str">
        <f t="shared" si="197"/>
        <v/>
      </c>
      <c r="K618" s="2" t="str">
        <f>IF(W618="","",LOOKUP('Extraction edi'!J618,Paramètrage!$A$6:$A$179,Paramètrage!$B$6:$B$179))</f>
        <v/>
      </c>
      <c r="L618" s="2" t="str">
        <f>IF(W618="","",LOOKUP('Extraction edi'!J618,Paramètrage!$A$6:$A$179,Paramètrage!$C$6:$C$179))</f>
        <v/>
      </c>
      <c r="M618" s="2" t="str">
        <f>IF(W618="","",LOOKUP('Extraction edi'!J618,Paramètrage!$A$6:$A$179,Paramètrage!$D$6:$D$179))</f>
        <v/>
      </c>
      <c r="N618" s="3" t="str">
        <f>IF(W618="","",LOOKUP('Extraction edi'!J618,Paramètrage!$A$6:$A$179,Paramètrage!$E$6:$E$179))</f>
        <v/>
      </c>
      <c r="O618" s="3" t="str">
        <f t="shared" si="198"/>
        <v/>
      </c>
      <c r="P618" s="3" t="str">
        <f t="shared" si="199"/>
        <v/>
      </c>
      <c r="Q618" s="3" t="str">
        <f t="shared" si="192"/>
        <v/>
      </c>
      <c r="R618" s="3" t="str">
        <f t="shared" si="200"/>
        <v/>
      </c>
      <c r="S618" s="3" t="str">
        <f t="shared" si="201"/>
        <v/>
      </c>
      <c r="T618" s="4" t="str">
        <f t="shared" si="202"/>
        <v/>
      </c>
      <c r="U618" s="5" t="str">
        <f t="shared" si="203"/>
        <v/>
      </c>
      <c r="V618" s="7" t="str">
        <f>IF(W618="","",IF(LOOKUP(W618,'Extration 3E date commande'!$A$6:$A$10000)=W618,LOOKUP(W618,'Extration 3E date commande'!$A$6:$A$10000,'Extration 3E date commande'!$C$6:$C$10000),"PAS DE DATE"))</f>
        <v/>
      </c>
    </row>
    <row r="619" spans="1:22" x14ac:dyDescent="0.25">
      <c r="A619" s="3" t="str">
        <f t="shared" si="193"/>
        <v/>
      </c>
      <c r="B619" s="3" t="str">
        <f t="shared" si="194"/>
        <v/>
      </c>
      <c r="C619" s="3" t="str">
        <f t="shared" si="191"/>
        <v/>
      </c>
      <c r="D619" s="3" t="str">
        <f t="shared" si="187"/>
        <v/>
      </c>
      <c r="E619" s="3" t="str">
        <f t="shared" si="188"/>
        <v/>
      </c>
      <c r="F619" s="3" t="str">
        <f t="shared" si="189"/>
        <v/>
      </c>
      <c r="G619" s="3" t="str">
        <f t="shared" si="190"/>
        <v/>
      </c>
      <c r="H619" s="3" t="str">
        <f t="shared" si="195"/>
        <v/>
      </c>
      <c r="I619" s="3" t="str">
        <f t="shared" si="196"/>
        <v/>
      </c>
      <c r="J619" s="2" t="str">
        <f t="shared" si="197"/>
        <v/>
      </c>
      <c r="K619" s="2" t="str">
        <f>IF(W619="","",LOOKUP('Extraction edi'!J619,Paramètrage!$A$6:$A$179,Paramètrage!$B$6:$B$179))</f>
        <v/>
      </c>
      <c r="L619" s="2" t="str">
        <f>IF(W619="","",LOOKUP('Extraction edi'!J619,Paramètrage!$A$6:$A$179,Paramètrage!$C$6:$C$179))</f>
        <v/>
      </c>
      <c r="M619" s="2" t="str">
        <f>IF(W619="","",LOOKUP('Extraction edi'!J619,Paramètrage!$A$6:$A$179,Paramètrage!$D$6:$D$179))</f>
        <v/>
      </c>
      <c r="N619" s="3" t="str">
        <f>IF(W619="","",LOOKUP('Extraction edi'!J619,Paramètrage!$A$6:$A$179,Paramètrage!$E$6:$E$179))</f>
        <v/>
      </c>
      <c r="O619" s="3" t="str">
        <f t="shared" si="198"/>
        <v/>
      </c>
      <c r="P619" s="3" t="str">
        <f t="shared" si="199"/>
        <v/>
      </c>
      <c r="Q619" s="3" t="str">
        <f t="shared" si="192"/>
        <v/>
      </c>
      <c r="R619" s="3" t="str">
        <f t="shared" si="200"/>
        <v/>
      </c>
      <c r="S619" s="3" t="str">
        <f t="shared" si="201"/>
        <v/>
      </c>
      <c r="T619" s="4" t="str">
        <f t="shared" si="202"/>
        <v/>
      </c>
      <c r="U619" s="5" t="str">
        <f t="shared" si="203"/>
        <v/>
      </c>
      <c r="V619" s="7" t="str">
        <f>IF(W619="","",IF(LOOKUP(W619,'Extration 3E date commande'!$A$6:$A$10000)=W619,LOOKUP(W619,'Extration 3E date commande'!$A$6:$A$10000,'Extration 3E date commande'!$C$6:$C$10000),"PAS DE DATE"))</f>
        <v/>
      </c>
    </row>
    <row r="620" spans="1:22" x14ac:dyDescent="0.25">
      <c r="A620" s="3" t="str">
        <f t="shared" si="193"/>
        <v/>
      </c>
      <c r="B620" s="3" t="str">
        <f t="shared" si="194"/>
        <v/>
      </c>
      <c r="C620" s="3" t="str">
        <f t="shared" si="191"/>
        <v/>
      </c>
      <c r="D620" s="3" t="str">
        <f t="shared" si="187"/>
        <v/>
      </c>
      <c r="E620" s="3" t="str">
        <f t="shared" si="188"/>
        <v/>
      </c>
      <c r="F620" s="3" t="str">
        <f t="shared" si="189"/>
        <v/>
      </c>
      <c r="G620" s="3" t="str">
        <f t="shared" si="190"/>
        <v/>
      </c>
      <c r="H620" s="3" t="str">
        <f t="shared" si="195"/>
        <v/>
      </c>
      <c r="I620" s="3" t="str">
        <f t="shared" si="196"/>
        <v/>
      </c>
      <c r="J620" s="2" t="str">
        <f t="shared" si="197"/>
        <v/>
      </c>
      <c r="K620" s="2" t="str">
        <f>IF(W620="","",LOOKUP('Extraction edi'!J620,Paramètrage!$A$6:$A$179,Paramètrage!$B$6:$B$179))</f>
        <v/>
      </c>
      <c r="L620" s="2" t="str">
        <f>IF(W620="","",LOOKUP('Extraction edi'!J620,Paramètrage!$A$6:$A$179,Paramètrage!$C$6:$C$179))</f>
        <v/>
      </c>
      <c r="M620" s="2" t="str">
        <f>IF(W620="","",LOOKUP('Extraction edi'!J620,Paramètrage!$A$6:$A$179,Paramètrage!$D$6:$D$179))</f>
        <v/>
      </c>
      <c r="N620" s="3" t="str">
        <f>IF(W620="","",LOOKUP('Extraction edi'!J620,Paramètrage!$A$6:$A$179,Paramètrage!$E$6:$E$179))</f>
        <v/>
      </c>
      <c r="O620" s="3" t="str">
        <f t="shared" si="198"/>
        <v/>
      </c>
      <c r="P620" s="3" t="str">
        <f t="shared" si="199"/>
        <v/>
      </c>
      <c r="Q620" s="3" t="str">
        <f t="shared" si="192"/>
        <v/>
      </c>
      <c r="R620" s="3" t="str">
        <f t="shared" si="200"/>
        <v/>
      </c>
      <c r="S620" s="3" t="str">
        <f t="shared" si="201"/>
        <v/>
      </c>
      <c r="T620" s="4" t="str">
        <f t="shared" si="202"/>
        <v/>
      </c>
      <c r="U620" s="5" t="str">
        <f t="shared" si="203"/>
        <v/>
      </c>
      <c r="V620" s="7" t="str">
        <f>IF(W620="","",IF(LOOKUP(W620,'Extration 3E date commande'!$A$6:$A$10000)=W620,LOOKUP(W620,'Extration 3E date commande'!$A$6:$A$10000,'Extration 3E date commande'!$C$6:$C$10000),"PAS DE DATE"))</f>
        <v/>
      </c>
    </row>
    <row r="621" spans="1:22" x14ac:dyDescent="0.25">
      <c r="A621" s="3" t="str">
        <f t="shared" si="193"/>
        <v/>
      </c>
      <c r="B621" s="3" t="str">
        <f t="shared" si="194"/>
        <v/>
      </c>
      <c r="C621" s="3" t="str">
        <f t="shared" si="191"/>
        <v/>
      </c>
      <c r="D621" s="3" t="str">
        <f t="shared" si="187"/>
        <v/>
      </c>
      <c r="E621" s="3" t="str">
        <f t="shared" si="188"/>
        <v/>
      </c>
      <c r="F621" s="3" t="str">
        <f t="shared" si="189"/>
        <v/>
      </c>
      <c r="G621" s="3" t="str">
        <f t="shared" si="190"/>
        <v/>
      </c>
      <c r="H621" s="3" t="str">
        <f t="shared" si="195"/>
        <v/>
      </c>
      <c r="I621" s="3" t="str">
        <f t="shared" si="196"/>
        <v/>
      </c>
      <c r="J621" s="2" t="str">
        <f t="shared" si="197"/>
        <v/>
      </c>
      <c r="K621" s="2" t="str">
        <f>IF(W621="","",LOOKUP('Extraction edi'!J621,Paramètrage!$A$6:$A$179,Paramètrage!$B$6:$B$179))</f>
        <v/>
      </c>
      <c r="L621" s="2" t="str">
        <f>IF(W621="","",LOOKUP('Extraction edi'!J621,Paramètrage!$A$6:$A$179,Paramètrage!$C$6:$C$179))</f>
        <v/>
      </c>
      <c r="M621" s="2" t="str">
        <f>IF(W621="","",LOOKUP('Extraction edi'!J621,Paramètrage!$A$6:$A$179,Paramètrage!$D$6:$D$179))</f>
        <v/>
      </c>
      <c r="N621" s="3" t="str">
        <f>IF(W621="","",LOOKUP('Extraction edi'!J621,Paramètrage!$A$6:$A$179,Paramètrage!$E$6:$E$179))</f>
        <v/>
      </c>
      <c r="O621" s="3" t="str">
        <f t="shared" si="198"/>
        <v/>
      </c>
      <c r="P621" s="3" t="str">
        <f t="shared" si="199"/>
        <v/>
      </c>
      <c r="Q621" s="3" t="str">
        <f t="shared" si="192"/>
        <v/>
      </c>
      <c r="R621" s="3" t="str">
        <f t="shared" si="200"/>
        <v/>
      </c>
      <c r="S621" s="3" t="str">
        <f t="shared" si="201"/>
        <v/>
      </c>
      <c r="T621" s="4" t="str">
        <f t="shared" si="202"/>
        <v/>
      </c>
      <c r="U621" s="5" t="str">
        <f t="shared" si="203"/>
        <v/>
      </c>
      <c r="V621" s="7" t="str">
        <f>IF(W621="","",IF(LOOKUP(W621,'Extration 3E date commande'!$A$6:$A$10000)=W621,LOOKUP(W621,'Extration 3E date commande'!$A$6:$A$10000,'Extration 3E date commande'!$C$6:$C$10000),"PAS DE DATE"))</f>
        <v/>
      </c>
    </row>
    <row r="622" spans="1:22" x14ac:dyDescent="0.25">
      <c r="A622" s="3" t="str">
        <f t="shared" si="193"/>
        <v/>
      </c>
      <c r="B622" s="3" t="str">
        <f t="shared" si="194"/>
        <v/>
      </c>
      <c r="C622" s="3" t="str">
        <f t="shared" si="191"/>
        <v/>
      </c>
      <c r="D622" s="3" t="str">
        <f t="shared" si="187"/>
        <v/>
      </c>
      <c r="E622" s="3" t="str">
        <f t="shared" si="188"/>
        <v/>
      </c>
      <c r="F622" s="3" t="str">
        <f t="shared" si="189"/>
        <v/>
      </c>
      <c r="G622" s="3" t="str">
        <f t="shared" si="190"/>
        <v/>
      </c>
      <c r="H622" s="3" t="str">
        <f t="shared" si="195"/>
        <v/>
      </c>
      <c r="I622" s="3" t="str">
        <f t="shared" si="196"/>
        <v/>
      </c>
      <c r="J622" s="2" t="str">
        <f t="shared" si="197"/>
        <v/>
      </c>
      <c r="K622" s="2" t="str">
        <f>IF(W622="","",LOOKUP('Extraction edi'!J622,Paramètrage!$A$6:$A$179,Paramètrage!$B$6:$B$179))</f>
        <v/>
      </c>
      <c r="L622" s="2" t="str">
        <f>IF(W622="","",LOOKUP('Extraction edi'!J622,Paramètrage!$A$6:$A$179,Paramètrage!$C$6:$C$179))</f>
        <v/>
      </c>
      <c r="M622" s="2" t="str">
        <f>IF(W622="","",LOOKUP('Extraction edi'!J622,Paramètrage!$A$6:$A$179,Paramètrage!$D$6:$D$179))</f>
        <v/>
      </c>
      <c r="N622" s="3" t="str">
        <f>IF(W622="","",LOOKUP('Extraction edi'!J622,Paramètrage!$A$6:$A$179,Paramètrage!$E$6:$E$179))</f>
        <v/>
      </c>
      <c r="O622" s="3" t="str">
        <f t="shared" si="198"/>
        <v/>
      </c>
      <c r="P622" s="3" t="str">
        <f t="shared" si="199"/>
        <v/>
      </c>
      <c r="Q622" s="3" t="str">
        <f t="shared" si="192"/>
        <v/>
      </c>
      <c r="R622" s="3" t="str">
        <f t="shared" si="200"/>
        <v/>
      </c>
      <c r="S622" s="3" t="str">
        <f t="shared" si="201"/>
        <v/>
      </c>
      <c r="T622" s="4" t="str">
        <f t="shared" si="202"/>
        <v/>
      </c>
      <c r="U622" s="5" t="str">
        <f t="shared" si="203"/>
        <v/>
      </c>
      <c r="V622" s="7" t="str">
        <f>IF(W622="","",IF(LOOKUP(W622,'Extration 3E date commande'!$A$6:$A$10000)=W622,LOOKUP(W622,'Extration 3E date commande'!$A$6:$A$10000,'Extration 3E date commande'!$C$6:$C$10000),"PAS DE DATE"))</f>
        <v/>
      </c>
    </row>
    <row r="623" spans="1:22" x14ac:dyDescent="0.25">
      <c r="A623" s="3" t="str">
        <f t="shared" si="193"/>
        <v/>
      </c>
      <c r="B623" s="3" t="str">
        <f t="shared" si="194"/>
        <v/>
      </c>
      <c r="C623" s="3" t="str">
        <f t="shared" si="191"/>
        <v/>
      </c>
      <c r="D623" s="3" t="str">
        <f t="shared" si="187"/>
        <v/>
      </c>
      <c r="E623" s="3" t="str">
        <f t="shared" si="188"/>
        <v/>
      </c>
      <c r="F623" s="3" t="str">
        <f t="shared" si="189"/>
        <v/>
      </c>
      <c r="G623" s="3" t="str">
        <f t="shared" si="190"/>
        <v/>
      </c>
      <c r="H623" s="3" t="str">
        <f t="shared" si="195"/>
        <v/>
      </c>
      <c r="I623" s="3" t="str">
        <f t="shared" si="196"/>
        <v/>
      </c>
      <c r="J623" s="2" t="str">
        <f t="shared" si="197"/>
        <v/>
      </c>
      <c r="K623" s="2" t="str">
        <f>IF(W623="","",LOOKUP('Extraction edi'!J623,Paramètrage!$A$6:$A$179,Paramètrage!$B$6:$B$179))</f>
        <v/>
      </c>
      <c r="L623" s="2" t="str">
        <f>IF(W623="","",LOOKUP('Extraction edi'!J623,Paramètrage!$A$6:$A$179,Paramètrage!$C$6:$C$179))</f>
        <v/>
      </c>
      <c r="M623" s="2" t="str">
        <f>IF(W623="","",LOOKUP('Extraction edi'!J623,Paramètrage!$A$6:$A$179,Paramètrage!$D$6:$D$179))</f>
        <v/>
      </c>
      <c r="N623" s="3" t="str">
        <f>IF(W623="","",LOOKUP('Extraction edi'!J623,Paramètrage!$A$6:$A$179,Paramètrage!$E$6:$E$179))</f>
        <v/>
      </c>
      <c r="O623" s="3" t="str">
        <f t="shared" si="198"/>
        <v/>
      </c>
      <c r="P623" s="3" t="str">
        <f t="shared" si="199"/>
        <v/>
      </c>
      <c r="Q623" s="3" t="str">
        <f t="shared" si="192"/>
        <v/>
      </c>
      <c r="R623" s="3" t="str">
        <f t="shared" si="200"/>
        <v/>
      </c>
      <c r="S623" s="3" t="str">
        <f t="shared" si="201"/>
        <v/>
      </c>
      <c r="T623" s="4" t="str">
        <f t="shared" si="202"/>
        <v/>
      </c>
      <c r="U623" s="5" t="str">
        <f t="shared" si="203"/>
        <v/>
      </c>
      <c r="V623" s="7" t="str">
        <f>IF(W623="","",IF(LOOKUP(W623,'Extration 3E date commande'!$A$6:$A$10000)=W623,LOOKUP(W623,'Extration 3E date commande'!$A$6:$A$10000,'Extration 3E date commande'!$C$6:$C$10000),"PAS DE DATE"))</f>
        <v/>
      </c>
    </row>
    <row r="624" spans="1:22" x14ac:dyDescent="0.25">
      <c r="A624" s="3" t="str">
        <f t="shared" si="193"/>
        <v/>
      </c>
      <c r="B624" s="3" t="str">
        <f t="shared" si="194"/>
        <v/>
      </c>
      <c r="C624" s="3" t="str">
        <f t="shared" si="191"/>
        <v/>
      </c>
      <c r="D624" s="3" t="str">
        <f t="shared" si="187"/>
        <v/>
      </c>
      <c r="E624" s="3" t="str">
        <f t="shared" si="188"/>
        <v/>
      </c>
      <c r="F624" s="3" t="str">
        <f t="shared" si="189"/>
        <v/>
      </c>
      <c r="G624" s="3" t="str">
        <f t="shared" si="190"/>
        <v/>
      </c>
      <c r="H624" s="3" t="str">
        <f t="shared" si="195"/>
        <v/>
      </c>
      <c r="I624" s="3" t="str">
        <f t="shared" si="196"/>
        <v/>
      </c>
      <c r="J624" s="2" t="str">
        <f t="shared" si="197"/>
        <v/>
      </c>
      <c r="K624" s="2" t="str">
        <f>IF(W624="","",LOOKUP('Extraction edi'!J624,Paramètrage!$A$6:$A$179,Paramètrage!$B$6:$B$179))</f>
        <v/>
      </c>
      <c r="L624" s="2" t="str">
        <f>IF(W624="","",LOOKUP('Extraction edi'!J624,Paramètrage!$A$6:$A$179,Paramètrage!$C$6:$C$179))</f>
        <v/>
      </c>
      <c r="M624" s="2" t="str">
        <f>IF(W624="","",LOOKUP('Extraction edi'!J624,Paramètrage!$A$6:$A$179,Paramètrage!$D$6:$D$179))</f>
        <v/>
      </c>
      <c r="N624" s="3" t="str">
        <f>IF(W624="","",LOOKUP('Extraction edi'!J624,Paramètrage!$A$6:$A$179,Paramètrage!$E$6:$E$179))</f>
        <v/>
      </c>
      <c r="O624" s="3" t="str">
        <f t="shared" si="198"/>
        <v/>
      </c>
      <c r="P624" s="3" t="str">
        <f t="shared" si="199"/>
        <v/>
      </c>
      <c r="Q624" s="3" t="str">
        <f t="shared" si="192"/>
        <v/>
      </c>
      <c r="R624" s="3" t="str">
        <f t="shared" si="200"/>
        <v/>
      </c>
      <c r="S624" s="3" t="str">
        <f t="shared" si="201"/>
        <v/>
      </c>
      <c r="T624" s="4" t="str">
        <f t="shared" si="202"/>
        <v/>
      </c>
      <c r="U624" s="5" t="str">
        <f t="shared" si="203"/>
        <v/>
      </c>
      <c r="V624" s="7" t="str">
        <f>IF(W624="","",IF(LOOKUP(W624,'Extration 3E date commande'!$A$6:$A$10000)=W624,LOOKUP(W624,'Extration 3E date commande'!$A$6:$A$10000,'Extration 3E date commande'!$C$6:$C$10000),"PAS DE DATE"))</f>
        <v/>
      </c>
    </row>
    <row r="625" spans="1:22" x14ac:dyDescent="0.25">
      <c r="A625" s="3" t="str">
        <f t="shared" si="193"/>
        <v/>
      </c>
      <c r="B625" s="3" t="str">
        <f t="shared" si="194"/>
        <v/>
      </c>
      <c r="C625" s="3" t="str">
        <f t="shared" si="191"/>
        <v/>
      </c>
      <c r="D625" s="3" t="str">
        <f t="shared" si="187"/>
        <v/>
      </c>
      <c r="E625" s="3" t="str">
        <f t="shared" si="188"/>
        <v/>
      </c>
      <c r="F625" s="3" t="str">
        <f t="shared" si="189"/>
        <v/>
      </c>
      <c r="G625" s="3" t="str">
        <f t="shared" si="190"/>
        <v/>
      </c>
      <c r="H625" s="3" t="str">
        <f t="shared" si="195"/>
        <v/>
      </c>
      <c r="I625" s="3" t="str">
        <f t="shared" si="196"/>
        <v/>
      </c>
      <c r="J625" s="2" t="str">
        <f t="shared" si="197"/>
        <v/>
      </c>
      <c r="K625" s="2" t="str">
        <f>IF(W625="","",LOOKUP('Extraction edi'!J625,Paramètrage!$A$6:$A$179,Paramètrage!$B$6:$B$179))</f>
        <v/>
      </c>
      <c r="L625" s="2" t="str">
        <f>IF(W625="","",LOOKUP('Extraction edi'!J625,Paramètrage!$A$6:$A$179,Paramètrage!$C$6:$C$179))</f>
        <v/>
      </c>
      <c r="M625" s="2" t="str">
        <f>IF(W625="","",LOOKUP('Extraction edi'!J625,Paramètrage!$A$6:$A$179,Paramètrage!$D$6:$D$179))</f>
        <v/>
      </c>
      <c r="N625" s="3" t="str">
        <f>IF(W625="","",LOOKUP('Extraction edi'!J625,Paramètrage!$A$6:$A$179,Paramètrage!$E$6:$E$179))</f>
        <v/>
      </c>
      <c r="O625" s="3" t="str">
        <f t="shared" si="198"/>
        <v/>
      </c>
      <c r="P625" s="3" t="str">
        <f t="shared" si="199"/>
        <v/>
      </c>
      <c r="Q625" s="3" t="str">
        <f t="shared" si="192"/>
        <v/>
      </c>
      <c r="R625" s="3" t="str">
        <f t="shared" si="200"/>
        <v/>
      </c>
      <c r="S625" s="3" t="str">
        <f t="shared" si="201"/>
        <v/>
      </c>
      <c r="T625" s="4" t="str">
        <f t="shared" si="202"/>
        <v/>
      </c>
      <c r="U625" s="5" t="str">
        <f t="shared" si="203"/>
        <v/>
      </c>
      <c r="V625" s="7" t="str">
        <f>IF(W625="","",IF(LOOKUP(W625,'Extration 3E date commande'!$A$6:$A$10000)=W625,LOOKUP(W625,'Extration 3E date commande'!$A$6:$A$10000,'Extration 3E date commande'!$C$6:$C$10000),"PAS DE DATE"))</f>
        <v/>
      </c>
    </row>
    <row r="626" spans="1:22" x14ac:dyDescent="0.25">
      <c r="A626" s="3" t="str">
        <f t="shared" si="193"/>
        <v/>
      </c>
      <c r="B626" s="3" t="str">
        <f t="shared" si="194"/>
        <v/>
      </c>
      <c r="C626" s="3" t="str">
        <f t="shared" si="191"/>
        <v/>
      </c>
      <c r="D626" s="3" t="str">
        <f t="shared" si="187"/>
        <v/>
      </c>
      <c r="E626" s="3" t="str">
        <f t="shared" si="188"/>
        <v/>
      </c>
      <c r="F626" s="3" t="str">
        <f t="shared" si="189"/>
        <v/>
      </c>
      <c r="G626" s="3" t="str">
        <f t="shared" si="190"/>
        <v/>
      </c>
      <c r="H626" s="3" t="str">
        <f t="shared" si="195"/>
        <v/>
      </c>
      <c r="I626" s="3" t="str">
        <f t="shared" si="196"/>
        <v/>
      </c>
      <c r="J626" s="2" t="str">
        <f t="shared" si="197"/>
        <v/>
      </c>
      <c r="K626" s="2" t="str">
        <f>IF(W626="","",LOOKUP('Extraction edi'!J626,Paramètrage!$A$6:$A$179,Paramètrage!$B$6:$B$179))</f>
        <v/>
      </c>
      <c r="L626" s="2" t="str">
        <f>IF(W626="","",LOOKUP('Extraction edi'!J626,Paramètrage!$A$6:$A$179,Paramètrage!$C$6:$C$179))</f>
        <v/>
      </c>
      <c r="M626" s="2" t="str">
        <f>IF(W626="","",LOOKUP('Extraction edi'!J626,Paramètrage!$A$6:$A$179,Paramètrage!$D$6:$D$179))</f>
        <v/>
      </c>
      <c r="N626" s="3" t="str">
        <f>IF(W626="","",LOOKUP('Extraction edi'!J626,Paramètrage!$A$6:$A$179,Paramètrage!$E$6:$E$179))</f>
        <v/>
      </c>
      <c r="O626" s="3" t="str">
        <f t="shared" si="198"/>
        <v/>
      </c>
      <c r="P626" s="3" t="str">
        <f t="shared" si="199"/>
        <v/>
      </c>
      <c r="Q626" s="3" t="str">
        <f t="shared" si="192"/>
        <v/>
      </c>
      <c r="R626" s="3" t="str">
        <f t="shared" si="200"/>
        <v/>
      </c>
      <c r="S626" s="3" t="str">
        <f t="shared" si="201"/>
        <v/>
      </c>
      <c r="T626" s="4" t="str">
        <f t="shared" si="202"/>
        <v/>
      </c>
      <c r="U626" s="5" t="str">
        <f t="shared" si="203"/>
        <v/>
      </c>
      <c r="V626" s="7" t="str">
        <f>IF(W626="","",IF(LOOKUP(W626,'Extration 3E date commande'!$A$6:$A$10000)=W626,LOOKUP(W626,'Extration 3E date commande'!$A$6:$A$10000,'Extration 3E date commande'!$C$6:$C$10000),"PAS DE DATE"))</f>
        <v/>
      </c>
    </row>
    <row r="627" spans="1:22" x14ac:dyDescent="0.25">
      <c r="A627" s="3" t="str">
        <f t="shared" si="193"/>
        <v/>
      </c>
      <c r="B627" s="3" t="str">
        <f t="shared" si="194"/>
        <v/>
      </c>
      <c r="C627" s="3" t="str">
        <f t="shared" si="191"/>
        <v/>
      </c>
      <c r="D627" s="3" t="str">
        <f t="shared" si="187"/>
        <v/>
      </c>
      <c r="E627" s="3" t="str">
        <f t="shared" si="188"/>
        <v/>
      </c>
      <c r="F627" s="3" t="str">
        <f t="shared" si="189"/>
        <v/>
      </c>
      <c r="G627" s="3" t="str">
        <f t="shared" si="190"/>
        <v/>
      </c>
      <c r="H627" s="3" t="str">
        <f t="shared" si="195"/>
        <v/>
      </c>
      <c r="I627" s="3" t="str">
        <f t="shared" si="196"/>
        <v/>
      </c>
      <c r="J627" s="2" t="str">
        <f t="shared" si="197"/>
        <v/>
      </c>
      <c r="K627" s="2" t="str">
        <f>IF(W627="","",LOOKUP('Extraction edi'!J627,Paramètrage!$A$6:$A$179,Paramètrage!$B$6:$B$179))</f>
        <v/>
      </c>
      <c r="L627" s="2" t="str">
        <f>IF(W627="","",LOOKUP('Extraction edi'!J627,Paramètrage!$A$6:$A$179,Paramètrage!$C$6:$C$179))</f>
        <v/>
      </c>
      <c r="M627" s="2" t="str">
        <f>IF(W627="","",LOOKUP('Extraction edi'!J627,Paramètrage!$A$6:$A$179,Paramètrage!$D$6:$D$179))</f>
        <v/>
      </c>
      <c r="N627" s="3" t="str">
        <f>IF(W627="","",LOOKUP('Extraction edi'!J627,Paramètrage!$A$6:$A$179,Paramètrage!$E$6:$E$179))</f>
        <v/>
      </c>
      <c r="O627" s="3" t="str">
        <f t="shared" si="198"/>
        <v/>
      </c>
      <c r="P627" s="3" t="str">
        <f t="shared" si="199"/>
        <v/>
      </c>
      <c r="Q627" s="3" t="str">
        <f t="shared" si="192"/>
        <v/>
      </c>
      <c r="R627" s="3" t="str">
        <f t="shared" si="200"/>
        <v/>
      </c>
      <c r="S627" s="3" t="str">
        <f t="shared" si="201"/>
        <v/>
      </c>
      <c r="T627" s="4" t="str">
        <f t="shared" si="202"/>
        <v/>
      </c>
      <c r="U627" s="5" t="str">
        <f t="shared" si="203"/>
        <v/>
      </c>
      <c r="V627" s="7" t="str">
        <f>IF(W627="","",IF(LOOKUP(W627,'Extration 3E date commande'!$A$6:$A$10000)=W627,LOOKUP(W627,'Extration 3E date commande'!$A$6:$A$10000,'Extration 3E date commande'!$C$6:$C$10000),"PAS DE DATE"))</f>
        <v/>
      </c>
    </row>
    <row r="628" spans="1:22" x14ac:dyDescent="0.25">
      <c r="A628" s="3" t="str">
        <f t="shared" si="193"/>
        <v/>
      </c>
      <c r="B628" s="3" t="str">
        <f t="shared" si="194"/>
        <v/>
      </c>
      <c r="C628" s="3" t="str">
        <f t="shared" si="191"/>
        <v/>
      </c>
      <c r="D628" s="3" t="str">
        <f t="shared" si="187"/>
        <v/>
      </c>
      <c r="E628" s="3" t="str">
        <f t="shared" si="188"/>
        <v/>
      </c>
      <c r="F628" s="3" t="str">
        <f t="shared" si="189"/>
        <v/>
      </c>
      <c r="G628" s="3" t="str">
        <f t="shared" si="190"/>
        <v/>
      </c>
      <c r="H628" s="3" t="str">
        <f t="shared" si="195"/>
        <v/>
      </c>
      <c r="I628" s="3" t="str">
        <f t="shared" si="196"/>
        <v/>
      </c>
      <c r="J628" s="2" t="str">
        <f t="shared" si="197"/>
        <v/>
      </c>
      <c r="K628" s="2" t="str">
        <f>IF(W628="","",LOOKUP('Extraction edi'!J628,Paramètrage!$A$6:$A$179,Paramètrage!$B$6:$B$179))</f>
        <v/>
      </c>
      <c r="L628" s="2" t="str">
        <f>IF(W628="","",LOOKUP('Extraction edi'!J628,Paramètrage!$A$6:$A$179,Paramètrage!$C$6:$C$179))</f>
        <v/>
      </c>
      <c r="M628" s="2" t="str">
        <f>IF(W628="","",LOOKUP('Extraction edi'!J628,Paramètrage!$A$6:$A$179,Paramètrage!$D$6:$D$179))</f>
        <v/>
      </c>
      <c r="N628" s="3" t="str">
        <f>IF(W628="","",LOOKUP('Extraction edi'!J628,Paramètrage!$A$6:$A$179,Paramètrage!$E$6:$E$179))</f>
        <v/>
      </c>
      <c r="O628" s="3" t="str">
        <f t="shared" si="198"/>
        <v/>
      </c>
      <c r="P628" s="3" t="str">
        <f t="shared" si="199"/>
        <v/>
      </c>
      <c r="Q628" s="3" t="str">
        <f t="shared" si="192"/>
        <v/>
      </c>
      <c r="R628" s="3" t="str">
        <f t="shared" si="200"/>
        <v/>
      </c>
      <c r="S628" s="3" t="str">
        <f t="shared" si="201"/>
        <v/>
      </c>
      <c r="T628" s="4" t="str">
        <f t="shared" si="202"/>
        <v/>
      </c>
      <c r="U628" s="5" t="str">
        <f t="shared" si="203"/>
        <v/>
      </c>
      <c r="V628" s="7" t="str">
        <f>IF(W628="","",IF(LOOKUP(W628,'Extration 3E date commande'!$A$6:$A$10000)=W628,LOOKUP(W628,'Extration 3E date commande'!$A$6:$A$10000,'Extration 3E date commande'!$C$6:$C$10000),"PAS DE DATE"))</f>
        <v/>
      </c>
    </row>
    <row r="629" spans="1:22" x14ac:dyDescent="0.25">
      <c r="A629" s="3" t="str">
        <f t="shared" si="193"/>
        <v/>
      </c>
      <c r="B629" s="3" t="str">
        <f t="shared" si="194"/>
        <v/>
      </c>
      <c r="C629" s="3" t="str">
        <f t="shared" si="191"/>
        <v/>
      </c>
      <c r="D629" s="3" t="str">
        <f t="shared" si="187"/>
        <v/>
      </c>
      <c r="E629" s="3" t="str">
        <f t="shared" si="188"/>
        <v/>
      </c>
      <c r="F629" s="3" t="str">
        <f t="shared" si="189"/>
        <v/>
      </c>
      <c r="G629" s="3" t="str">
        <f t="shared" si="190"/>
        <v/>
      </c>
      <c r="H629" s="3" t="str">
        <f t="shared" si="195"/>
        <v/>
      </c>
      <c r="I629" s="3" t="str">
        <f t="shared" si="196"/>
        <v/>
      </c>
      <c r="J629" s="2" t="str">
        <f t="shared" si="197"/>
        <v/>
      </c>
      <c r="K629" s="2" t="str">
        <f>IF(W629="","",LOOKUP('Extraction edi'!J629,Paramètrage!$A$6:$A$179,Paramètrage!$B$6:$B$179))</f>
        <v/>
      </c>
      <c r="L629" s="2" t="str">
        <f>IF(W629="","",LOOKUP('Extraction edi'!J629,Paramètrage!$A$6:$A$179,Paramètrage!$C$6:$C$179))</f>
        <v/>
      </c>
      <c r="M629" s="2" t="str">
        <f>IF(W629="","",LOOKUP('Extraction edi'!J629,Paramètrage!$A$6:$A$179,Paramètrage!$D$6:$D$179))</f>
        <v/>
      </c>
      <c r="N629" s="3" t="str">
        <f>IF(W629="","",LOOKUP('Extraction edi'!J629,Paramètrage!$A$6:$A$179,Paramètrage!$E$6:$E$179))</f>
        <v/>
      </c>
      <c r="O629" s="3" t="str">
        <f t="shared" si="198"/>
        <v/>
      </c>
      <c r="P629" s="3" t="str">
        <f t="shared" si="199"/>
        <v/>
      </c>
      <c r="Q629" s="3" t="str">
        <f t="shared" si="192"/>
        <v/>
      </c>
      <c r="R629" s="3" t="str">
        <f t="shared" si="200"/>
        <v/>
      </c>
      <c r="S629" s="3" t="str">
        <f t="shared" si="201"/>
        <v/>
      </c>
      <c r="T629" s="4" t="str">
        <f t="shared" si="202"/>
        <v/>
      </c>
      <c r="U629" s="5" t="str">
        <f t="shared" si="203"/>
        <v/>
      </c>
      <c r="V629" s="7" t="str">
        <f>IF(W629="","",IF(LOOKUP(W629,'Extration 3E date commande'!$A$6:$A$10000)=W629,LOOKUP(W629,'Extration 3E date commande'!$A$6:$A$10000,'Extration 3E date commande'!$C$6:$C$10000),"PAS DE DATE"))</f>
        <v/>
      </c>
    </row>
    <row r="630" spans="1:22" x14ac:dyDescent="0.25">
      <c r="A630" s="3" t="str">
        <f t="shared" si="193"/>
        <v/>
      </c>
      <c r="B630" s="3" t="str">
        <f t="shared" si="194"/>
        <v/>
      </c>
      <c r="C630" s="3" t="str">
        <f t="shared" si="191"/>
        <v/>
      </c>
      <c r="D630" s="3" t="str">
        <f t="shared" si="187"/>
        <v/>
      </c>
      <c r="E630" s="3" t="str">
        <f t="shared" si="188"/>
        <v/>
      </c>
      <c r="F630" s="3" t="str">
        <f t="shared" si="189"/>
        <v/>
      </c>
      <c r="G630" s="3" t="str">
        <f t="shared" si="190"/>
        <v/>
      </c>
      <c r="H630" s="3" t="str">
        <f t="shared" si="195"/>
        <v/>
      </c>
      <c r="I630" s="3" t="str">
        <f t="shared" si="196"/>
        <v/>
      </c>
      <c r="J630" s="2" t="str">
        <f t="shared" si="197"/>
        <v/>
      </c>
      <c r="K630" s="2" t="str">
        <f>IF(W630="","",LOOKUP('Extraction edi'!J630,Paramètrage!$A$6:$A$179,Paramètrage!$B$6:$B$179))</f>
        <v/>
      </c>
      <c r="L630" s="2" t="str">
        <f>IF(W630="","",LOOKUP('Extraction edi'!J630,Paramètrage!$A$6:$A$179,Paramètrage!$C$6:$C$179))</f>
        <v/>
      </c>
      <c r="M630" s="2" t="str">
        <f>IF(W630="","",LOOKUP('Extraction edi'!J630,Paramètrage!$A$6:$A$179,Paramètrage!$D$6:$D$179))</f>
        <v/>
      </c>
      <c r="N630" s="3" t="str">
        <f>IF(W630="","",LOOKUP('Extraction edi'!J630,Paramètrage!$A$6:$A$179,Paramètrage!$E$6:$E$179))</f>
        <v/>
      </c>
      <c r="O630" s="3" t="str">
        <f t="shared" si="198"/>
        <v/>
      </c>
      <c r="P630" s="3" t="str">
        <f t="shared" si="199"/>
        <v/>
      </c>
      <c r="Q630" s="3" t="str">
        <f t="shared" si="192"/>
        <v/>
      </c>
      <c r="R630" s="3" t="str">
        <f t="shared" si="200"/>
        <v/>
      </c>
      <c r="S630" s="3" t="str">
        <f t="shared" si="201"/>
        <v/>
      </c>
      <c r="T630" s="4" t="str">
        <f t="shared" si="202"/>
        <v/>
      </c>
      <c r="U630" s="5" t="str">
        <f t="shared" si="203"/>
        <v/>
      </c>
      <c r="V630" s="7" t="str">
        <f>IF(W630="","",IF(LOOKUP(W630,'Extration 3E date commande'!$A$6:$A$10000)=W630,LOOKUP(W630,'Extration 3E date commande'!$A$6:$A$10000,'Extration 3E date commande'!$C$6:$C$10000),"PAS DE DATE"))</f>
        <v/>
      </c>
    </row>
    <row r="631" spans="1:22" x14ac:dyDescent="0.25">
      <c r="A631" s="3" t="str">
        <f t="shared" si="193"/>
        <v/>
      </c>
      <c r="B631" s="3" t="str">
        <f t="shared" si="194"/>
        <v/>
      </c>
      <c r="C631" s="3" t="str">
        <f t="shared" si="191"/>
        <v/>
      </c>
      <c r="D631" s="3" t="str">
        <f t="shared" si="187"/>
        <v/>
      </c>
      <c r="E631" s="3" t="str">
        <f t="shared" si="188"/>
        <v/>
      </c>
      <c r="F631" s="3" t="str">
        <f t="shared" si="189"/>
        <v/>
      </c>
      <c r="G631" s="3" t="str">
        <f t="shared" si="190"/>
        <v/>
      </c>
      <c r="H631" s="3" t="str">
        <f t="shared" si="195"/>
        <v/>
      </c>
      <c r="I631" s="3" t="str">
        <f t="shared" si="196"/>
        <v/>
      </c>
      <c r="J631" s="2" t="str">
        <f t="shared" si="197"/>
        <v/>
      </c>
      <c r="K631" s="2" t="str">
        <f>IF(W631="","",LOOKUP('Extraction edi'!J631,Paramètrage!$A$6:$A$179,Paramètrage!$B$6:$B$179))</f>
        <v/>
      </c>
      <c r="L631" s="2" t="str">
        <f>IF(W631="","",LOOKUP('Extraction edi'!J631,Paramètrage!$A$6:$A$179,Paramètrage!$C$6:$C$179))</f>
        <v/>
      </c>
      <c r="M631" s="2" t="str">
        <f>IF(W631="","",LOOKUP('Extraction edi'!J631,Paramètrage!$A$6:$A$179,Paramètrage!$D$6:$D$179))</f>
        <v/>
      </c>
      <c r="N631" s="3" t="str">
        <f>IF(W631="","",LOOKUP('Extraction edi'!J631,Paramètrage!$A$6:$A$179,Paramètrage!$E$6:$E$179))</f>
        <v/>
      </c>
      <c r="O631" s="3" t="str">
        <f t="shared" si="198"/>
        <v/>
      </c>
      <c r="P631" s="3" t="str">
        <f t="shared" si="199"/>
        <v/>
      </c>
      <c r="Q631" s="3" t="str">
        <f t="shared" si="192"/>
        <v/>
      </c>
      <c r="R631" s="3" t="str">
        <f t="shared" si="200"/>
        <v/>
      </c>
      <c r="S631" s="3" t="str">
        <f t="shared" si="201"/>
        <v/>
      </c>
      <c r="T631" s="4" t="str">
        <f t="shared" si="202"/>
        <v/>
      </c>
      <c r="U631" s="5" t="str">
        <f t="shared" si="203"/>
        <v/>
      </c>
      <c r="V631" s="7" t="str">
        <f>IF(W631="","",IF(LOOKUP(W631,'Extration 3E date commande'!$A$6:$A$10000)=W631,LOOKUP(W631,'Extration 3E date commande'!$A$6:$A$10000,'Extration 3E date commande'!$C$6:$C$10000),"PAS DE DATE"))</f>
        <v/>
      </c>
    </row>
    <row r="632" spans="1:22" x14ac:dyDescent="0.25">
      <c r="A632" s="3" t="str">
        <f t="shared" si="193"/>
        <v/>
      </c>
      <c r="B632" s="3" t="str">
        <f t="shared" si="194"/>
        <v/>
      </c>
      <c r="C632" s="3" t="str">
        <f t="shared" si="191"/>
        <v/>
      </c>
      <c r="D632" s="3" t="str">
        <f t="shared" si="187"/>
        <v/>
      </c>
      <c r="E632" s="3" t="str">
        <f t="shared" si="188"/>
        <v/>
      </c>
      <c r="F632" s="3" t="str">
        <f t="shared" si="189"/>
        <v/>
      </c>
      <c r="G632" s="3" t="str">
        <f t="shared" si="190"/>
        <v/>
      </c>
      <c r="H632" s="3" t="str">
        <f t="shared" si="195"/>
        <v/>
      </c>
      <c r="I632" s="3" t="str">
        <f t="shared" si="196"/>
        <v/>
      </c>
      <c r="J632" s="2" t="str">
        <f t="shared" si="197"/>
        <v/>
      </c>
      <c r="K632" s="2" t="str">
        <f>IF(W632="","",LOOKUP('Extraction edi'!J632,Paramètrage!$A$6:$A$179,Paramètrage!$B$6:$B$179))</f>
        <v/>
      </c>
      <c r="L632" s="2" t="str">
        <f>IF(W632="","",LOOKUP('Extraction edi'!J632,Paramètrage!$A$6:$A$179,Paramètrage!$C$6:$C$179))</f>
        <v/>
      </c>
      <c r="M632" s="2" t="str">
        <f>IF(W632="","",LOOKUP('Extraction edi'!J632,Paramètrage!$A$6:$A$179,Paramètrage!$D$6:$D$179))</f>
        <v/>
      </c>
      <c r="N632" s="3" t="str">
        <f>IF(W632="","",LOOKUP('Extraction edi'!J632,Paramètrage!$A$6:$A$179,Paramètrage!$E$6:$E$179))</f>
        <v/>
      </c>
      <c r="O632" s="3" t="str">
        <f t="shared" si="198"/>
        <v/>
      </c>
      <c r="P632" s="3" t="str">
        <f t="shared" si="199"/>
        <v/>
      </c>
      <c r="Q632" s="3" t="str">
        <f t="shared" si="192"/>
        <v/>
      </c>
      <c r="R632" s="3" t="str">
        <f t="shared" si="200"/>
        <v/>
      </c>
      <c r="S632" s="3" t="str">
        <f t="shared" si="201"/>
        <v/>
      </c>
      <c r="T632" s="4" t="str">
        <f t="shared" si="202"/>
        <v/>
      </c>
      <c r="U632" s="5" t="str">
        <f t="shared" si="203"/>
        <v/>
      </c>
      <c r="V632" s="7" t="str">
        <f>IF(W632="","",IF(LOOKUP(W632,'Extration 3E date commande'!$A$6:$A$10000)=W632,LOOKUP(W632,'Extration 3E date commande'!$A$6:$A$10000,'Extration 3E date commande'!$C$6:$C$10000),"PAS DE DATE"))</f>
        <v/>
      </c>
    </row>
    <row r="633" spans="1:22" x14ac:dyDescent="0.25">
      <c r="A633" s="3" t="str">
        <f t="shared" si="193"/>
        <v/>
      </c>
      <c r="B633" s="3" t="str">
        <f t="shared" si="194"/>
        <v/>
      </c>
      <c r="C633" s="3" t="str">
        <f t="shared" si="191"/>
        <v/>
      </c>
      <c r="D633" s="3" t="str">
        <f t="shared" si="187"/>
        <v/>
      </c>
      <c r="E633" s="3" t="str">
        <f t="shared" si="188"/>
        <v/>
      </c>
      <c r="F633" s="3" t="str">
        <f t="shared" si="189"/>
        <v/>
      </c>
      <c r="G633" s="3" t="str">
        <f t="shared" si="190"/>
        <v/>
      </c>
      <c r="H633" s="3" t="str">
        <f t="shared" si="195"/>
        <v/>
      </c>
      <c r="I633" s="3" t="str">
        <f t="shared" si="196"/>
        <v/>
      </c>
      <c r="J633" s="2" t="str">
        <f t="shared" si="197"/>
        <v/>
      </c>
      <c r="K633" s="2" t="str">
        <f>IF(W633="","",LOOKUP('Extraction edi'!J633,Paramètrage!$A$6:$A$179,Paramètrage!$B$6:$B$179))</f>
        <v/>
      </c>
      <c r="L633" s="2" t="str">
        <f>IF(W633="","",LOOKUP('Extraction edi'!J633,Paramètrage!$A$6:$A$179,Paramètrage!$C$6:$C$179))</f>
        <v/>
      </c>
      <c r="M633" s="2" t="str">
        <f>IF(W633="","",LOOKUP('Extraction edi'!J633,Paramètrage!$A$6:$A$179,Paramètrage!$D$6:$D$179))</f>
        <v/>
      </c>
      <c r="N633" s="3" t="str">
        <f>IF(W633="","",LOOKUP('Extraction edi'!J633,Paramètrage!$A$6:$A$179,Paramètrage!$E$6:$E$179))</f>
        <v/>
      </c>
      <c r="O633" s="3" t="str">
        <f t="shared" si="198"/>
        <v/>
      </c>
      <c r="P633" s="3" t="str">
        <f t="shared" si="199"/>
        <v/>
      </c>
      <c r="Q633" s="3" t="str">
        <f t="shared" si="192"/>
        <v/>
      </c>
      <c r="R633" s="3" t="str">
        <f t="shared" si="200"/>
        <v/>
      </c>
      <c r="S633" s="3" t="str">
        <f t="shared" si="201"/>
        <v/>
      </c>
      <c r="T633" s="4" t="str">
        <f t="shared" si="202"/>
        <v/>
      </c>
      <c r="U633" s="5" t="str">
        <f t="shared" si="203"/>
        <v/>
      </c>
      <c r="V633" s="7" t="str">
        <f>IF(W633="","",IF(LOOKUP(W633,'Extration 3E date commande'!$A$6:$A$10000)=W633,LOOKUP(W633,'Extration 3E date commande'!$A$6:$A$10000,'Extration 3E date commande'!$C$6:$C$10000),"PAS DE DATE"))</f>
        <v/>
      </c>
    </row>
    <row r="634" spans="1:22" x14ac:dyDescent="0.25">
      <c r="A634" s="3" t="str">
        <f t="shared" si="193"/>
        <v/>
      </c>
      <c r="B634" s="3" t="str">
        <f t="shared" si="194"/>
        <v/>
      </c>
      <c r="C634" s="3" t="str">
        <f t="shared" si="191"/>
        <v/>
      </c>
      <c r="D634" s="3" t="str">
        <f t="shared" si="187"/>
        <v/>
      </c>
      <c r="E634" s="3" t="str">
        <f t="shared" si="188"/>
        <v/>
      </c>
      <c r="F634" s="3" t="str">
        <f t="shared" si="189"/>
        <v/>
      </c>
      <c r="G634" s="3" t="str">
        <f t="shared" si="190"/>
        <v/>
      </c>
      <c r="H634" s="3" t="str">
        <f t="shared" si="195"/>
        <v/>
      </c>
      <c r="I634" s="3" t="str">
        <f t="shared" si="196"/>
        <v/>
      </c>
      <c r="J634" s="2" t="str">
        <f t="shared" si="197"/>
        <v/>
      </c>
      <c r="K634" s="2" t="str">
        <f>IF(W634="","",LOOKUP('Extraction edi'!J634,Paramètrage!$A$6:$A$179,Paramètrage!$B$6:$B$179))</f>
        <v/>
      </c>
      <c r="L634" s="2" t="str">
        <f>IF(W634="","",LOOKUP('Extraction edi'!J634,Paramètrage!$A$6:$A$179,Paramètrage!$C$6:$C$179))</f>
        <v/>
      </c>
      <c r="M634" s="2" t="str">
        <f>IF(W634="","",LOOKUP('Extraction edi'!J634,Paramètrage!$A$6:$A$179,Paramètrage!$D$6:$D$179))</f>
        <v/>
      </c>
      <c r="N634" s="3" t="str">
        <f>IF(W634="","",LOOKUP('Extraction edi'!J634,Paramètrage!$A$6:$A$179,Paramètrage!$E$6:$E$179))</f>
        <v/>
      </c>
      <c r="O634" s="3" t="str">
        <f t="shared" si="198"/>
        <v/>
      </c>
      <c r="P634" s="3" t="str">
        <f t="shared" si="199"/>
        <v/>
      </c>
      <c r="Q634" s="3" t="str">
        <f t="shared" si="192"/>
        <v/>
      </c>
      <c r="R634" s="3" t="str">
        <f t="shared" si="200"/>
        <v/>
      </c>
      <c r="S634" s="3" t="str">
        <f t="shared" si="201"/>
        <v/>
      </c>
      <c r="T634" s="4" t="str">
        <f t="shared" si="202"/>
        <v/>
      </c>
      <c r="U634" s="5" t="str">
        <f t="shared" si="203"/>
        <v/>
      </c>
      <c r="V634" s="7" t="str">
        <f>IF(W634="","",IF(LOOKUP(W634,'Extration 3E date commande'!$A$6:$A$10000)=W634,LOOKUP(W634,'Extration 3E date commande'!$A$6:$A$10000,'Extration 3E date commande'!$C$6:$C$10000),"PAS DE DATE"))</f>
        <v/>
      </c>
    </row>
    <row r="635" spans="1:22" x14ac:dyDescent="0.25">
      <c r="A635" s="3" t="str">
        <f t="shared" si="193"/>
        <v/>
      </c>
      <c r="B635" s="3" t="str">
        <f t="shared" si="194"/>
        <v/>
      </c>
      <c r="C635" s="3" t="str">
        <f t="shared" si="191"/>
        <v/>
      </c>
      <c r="D635" s="3" t="str">
        <f t="shared" ref="D635:D661" si="204">IF(ISERROR(SEARCH("P",B635)),"","PE")</f>
        <v/>
      </c>
      <c r="E635" s="3" t="str">
        <f t="shared" si="188"/>
        <v/>
      </c>
      <c r="F635" s="3" t="str">
        <f t="shared" si="189"/>
        <v/>
      </c>
      <c r="G635" s="3" t="str">
        <f t="shared" si="190"/>
        <v/>
      </c>
      <c r="H635" s="3" t="str">
        <f t="shared" si="195"/>
        <v/>
      </c>
      <c r="I635" s="3" t="str">
        <f t="shared" si="196"/>
        <v/>
      </c>
      <c r="J635" s="2" t="str">
        <f t="shared" si="197"/>
        <v/>
      </c>
      <c r="K635" s="2" t="str">
        <f>IF(W635="","",LOOKUP('Extraction edi'!J635,Paramètrage!$A$6:$A$179,Paramètrage!$B$6:$B$179))</f>
        <v/>
      </c>
      <c r="L635" s="2" t="str">
        <f>IF(W635="","",LOOKUP('Extraction edi'!J635,Paramètrage!$A$6:$A$179,Paramètrage!$C$6:$C$179))</f>
        <v/>
      </c>
      <c r="M635" s="2" t="str">
        <f>IF(W635="","",LOOKUP('Extraction edi'!J635,Paramètrage!$A$6:$A$179,Paramètrage!$D$6:$D$179))</f>
        <v/>
      </c>
      <c r="N635" s="3" t="str">
        <f>IF(W635="","",LOOKUP('Extraction edi'!J635,Paramètrage!$A$6:$A$179,Paramètrage!$E$6:$E$179))</f>
        <v/>
      </c>
      <c r="O635" s="3" t="str">
        <f t="shared" si="198"/>
        <v/>
      </c>
      <c r="P635" s="3" t="str">
        <f t="shared" si="199"/>
        <v/>
      </c>
      <c r="Q635" s="3" t="str">
        <f t="shared" si="192"/>
        <v/>
      </c>
      <c r="R635" s="3" t="str">
        <f t="shared" si="200"/>
        <v/>
      </c>
      <c r="S635" s="3" t="str">
        <f t="shared" si="201"/>
        <v/>
      </c>
      <c r="T635" s="4" t="str">
        <f t="shared" si="202"/>
        <v/>
      </c>
      <c r="U635" s="5" t="str">
        <f t="shared" si="203"/>
        <v/>
      </c>
      <c r="V635" s="7" t="str">
        <f>IF(W635="","",IF(LOOKUP(W635,'Extration 3E date commande'!$A$6:$A$10000)=W635,LOOKUP(W635,'Extration 3E date commande'!$A$6:$A$10000,'Extration 3E date commande'!$C$6:$C$10000),"PAS DE DATE"))</f>
        <v/>
      </c>
    </row>
    <row r="636" spans="1:22" x14ac:dyDescent="0.25">
      <c r="A636" s="3" t="str">
        <f t="shared" si="193"/>
        <v/>
      </c>
      <c r="B636" s="3" t="str">
        <f t="shared" si="194"/>
        <v/>
      </c>
      <c r="C636" s="3" t="str">
        <f t="shared" si="191"/>
        <v/>
      </c>
      <c r="D636" s="3" t="str">
        <f t="shared" si="204"/>
        <v/>
      </c>
      <c r="E636" s="3" t="str">
        <f t="shared" si="188"/>
        <v/>
      </c>
      <c r="F636" s="3" t="str">
        <f t="shared" si="189"/>
        <v/>
      </c>
      <c r="G636" s="3" t="str">
        <f t="shared" si="190"/>
        <v/>
      </c>
      <c r="H636" s="3" t="str">
        <f t="shared" si="195"/>
        <v/>
      </c>
      <c r="I636" s="3" t="str">
        <f t="shared" si="196"/>
        <v/>
      </c>
      <c r="J636" s="2" t="str">
        <f t="shared" si="197"/>
        <v/>
      </c>
      <c r="K636" s="2" t="str">
        <f>IF(W636="","",LOOKUP('Extraction edi'!J636,Paramètrage!$A$6:$A$179,Paramètrage!$B$6:$B$179))</f>
        <v/>
      </c>
      <c r="L636" s="2" t="str">
        <f>IF(W636="","",LOOKUP('Extraction edi'!J636,Paramètrage!$A$6:$A$179,Paramètrage!$C$6:$C$179))</f>
        <v/>
      </c>
      <c r="M636" s="2" t="str">
        <f>IF(W636="","",LOOKUP('Extraction edi'!J636,Paramètrage!$A$6:$A$179,Paramètrage!$D$6:$D$179))</f>
        <v/>
      </c>
      <c r="N636" s="3" t="str">
        <f>IF(W636="","",LOOKUP('Extraction edi'!J636,Paramètrage!$A$6:$A$179,Paramètrage!$E$6:$E$179))</f>
        <v/>
      </c>
      <c r="O636" s="3" t="str">
        <f t="shared" si="198"/>
        <v/>
      </c>
      <c r="P636" s="3" t="str">
        <f t="shared" si="199"/>
        <v/>
      </c>
      <c r="Q636" s="3" t="str">
        <f t="shared" si="192"/>
        <v/>
      </c>
      <c r="R636" s="3" t="str">
        <f t="shared" si="200"/>
        <v/>
      </c>
      <c r="S636" s="3" t="str">
        <f t="shared" si="201"/>
        <v/>
      </c>
      <c r="T636" s="4" t="str">
        <f t="shared" si="202"/>
        <v/>
      </c>
      <c r="U636" s="5" t="str">
        <f t="shared" si="203"/>
        <v/>
      </c>
      <c r="V636" s="7" t="str">
        <f>IF(W636="","",IF(LOOKUP(W636,'Extration 3E date commande'!$A$6:$A$10000)=W636,LOOKUP(W636,'Extration 3E date commande'!$A$6:$A$10000,'Extration 3E date commande'!$C$6:$C$10000),"PAS DE DATE"))</f>
        <v/>
      </c>
    </row>
    <row r="637" spans="1:22" x14ac:dyDescent="0.25">
      <c r="A637" s="3" t="str">
        <f t="shared" si="193"/>
        <v/>
      </c>
      <c r="B637" s="3" t="str">
        <f t="shared" si="194"/>
        <v/>
      </c>
      <c r="C637" s="3" t="str">
        <f t="shared" si="191"/>
        <v/>
      </c>
      <c r="D637" s="3" t="str">
        <f t="shared" si="204"/>
        <v/>
      </c>
      <c r="E637" s="3" t="str">
        <f t="shared" si="188"/>
        <v/>
      </c>
      <c r="F637" s="3" t="str">
        <f t="shared" si="189"/>
        <v/>
      </c>
      <c r="G637" s="3" t="str">
        <f t="shared" si="190"/>
        <v/>
      </c>
      <c r="H637" s="3" t="str">
        <f t="shared" si="195"/>
        <v/>
      </c>
      <c r="I637" s="3" t="str">
        <f t="shared" si="196"/>
        <v/>
      </c>
      <c r="J637" s="2" t="str">
        <f t="shared" si="197"/>
        <v/>
      </c>
      <c r="K637" s="2" t="str">
        <f>IF(W637="","",LOOKUP('Extraction edi'!J637,Paramètrage!$A$6:$A$179,Paramètrage!$B$6:$B$179))</f>
        <v/>
      </c>
      <c r="L637" s="2" t="str">
        <f>IF(W637="","",LOOKUP('Extraction edi'!J637,Paramètrage!$A$6:$A$179,Paramètrage!$C$6:$C$179))</f>
        <v/>
      </c>
      <c r="M637" s="2" t="str">
        <f>IF(W637="","",LOOKUP('Extraction edi'!J637,Paramètrage!$A$6:$A$179,Paramètrage!$D$6:$D$179))</f>
        <v/>
      </c>
      <c r="N637" s="3" t="str">
        <f>IF(W637="","",LOOKUP('Extraction edi'!J637,Paramètrage!$A$6:$A$179,Paramètrage!$E$6:$E$179))</f>
        <v/>
      </c>
      <c r="O637" s="3" t="str">
        <f t="shared" si="198"/>
        <v/>
      </c>
      <c r="P637" s="3" t="str">
        <f t="shared" si="199"/>
        <v/>
      </c>
      <c r="Q637" s="3" t="str">
        <f t="shared" si="192"/>
        <v/>
      </c>
      <c r="R637" s="3" t="str">
        <f t="shared" si="200"/>
        <v/>
      </c>
      <c r="S637" s="3" t="str">
        <f t="shared" si="201"/>
        <v/>
      </c>
      <c r="T637" s="4" t="str">
        <f t="shared" si="202"/>
        <v/>
      </c>
      <c r="U637" s="5" t="str">
        <f t="shared" si="203"/>
        <v/>
      </c>
      <c r="V637" s="7" t="str">
        <f>IF(W637="","",IF(LOOKUP(W637,'Extration 3E date commande'!$A$6:$A$10000)=W637,LOOKUP(W637,'Extration 3E date commande'!$A$6:$A$10000,'Extration 3E date commande'!$C$6:$C$10000),"PAS DE DATE"))</f>
        <v/>
      </c>
    </row>
    <row r="638" spans="1:22" x14ac:dyDescent="0.25">
      <c r="A638" s="3" t="str">
        <f t="shared" si="193"/>
        <v/>
      </c>
      <c r="B638" s="3" t="str">
        <f t="shared" si="194"/>
        <v/>
      </c>
      <c r="C638" s="3" t="str">
        <f t="shared" si="191"/>
        <v/>
      </c>
      <c r="D638" s="3" t="str">
        <f t="shared" si="204"/>
        <v/>
      </c>
      <c r="E638" s="3" t="str">
        <f t="shared" si="188"/>
        <v/>
      </c>
      <c r="F638" s="3" t="str">
        <f t="shared" si="189"/>
        <v/>
      </c>
      <c r="G638" s="3" t="str">
        <f t="shared" si="190"/>
        <v/>
      </c>
      <c r="H638" s="3" t="str">
        <f t="shared" si="195"/>
        <v/>
      </c>
      <c r="I638" s="3" t="str">
        <f t="shared" si="196"/>
        <v/>
      </c>
      <c r="J638" s="2" t="str">
        <f t="shared" si="197"/>
        <v/>
      </c>
      <c r="K638" s="2" t="str">
        <f>IF(W638="","",LOOKUP('Extraction edi'!J638,Paramètrage!$A$6:$A$179,Paramètrage!$B$6:$B$179))</f>
        <v/>
      </c>
      <c r="L638" s="2" t="str">
        <f>IF(W638="","",LOOKUP('Extraction edi'!J638,Paramètrage!$A$6:$A$179,Paramètrage!$C$6:$C$179))</f>
        <v/>
      </c>
      <c r="M638" s="2" t="str">
        <f>IF(W638="","",LOOKUP('Extraction edi'!J638,Paramètrage!$A$6:$A$179,Paramètrage!$D$6:$D$179))</f>
        <v/>
      </c>
      <c r="N638" s="3" t="str">
        <f>IF(W638="","",LOOKUP('Extraction edi'!J638,Paramètrage!$A$6:$A$179,Paramètrage!$E$6:$E$179))</f>
        <v/>
      </c>
      <c r="O638" s="3" t="str">
        <f t="shared" si="198"/>
        <v/>
      </c>
      <c r="P638" s="3" t="str">
        <f t="shared" si="199"/>
        <v/>
      </c>
      <c r="Q638" s="3" t="str">
        <f t="shared" si="192"/>
        <v/>
      </c>
      <c r="R638" s="3" t="str">
        <f t="shared" si="200"/>
        <v/>
      </c>
      <c r="S638" s="3" t="str">
        <f t="shared" si="201"/>
        <v/>
      </c>
      <c r="T638" s="4" t="str">
        <f t="shared" si="202"/>
        <v/>
      </c>
      <c r="U638" s="5" t="str">
        <f t="shared" si="203"/>
        <v/>
      </c>
      <c r="V638" s="7" t="str">
        <f>IF(W638="","",IF(LOOKUP(W638,'Extration 3E date commande'!$A$6:$A$10000)=W638,LOOKUP(W638,'Extration 3E date commande'!$A$6:$A$10000,'Extration 3E date commande'!$C$6:$C$10000),"PAS DE DATE"))</f>
        <v/>
      </c>
    </row>
    <row r="639" spans="1:22" x14ac:dyDescent="0.25">
      <c r="A639" s="3" t="str">
        <f t="shared" si="193"/>
        <v/>
      </c>
      <c r="B639" s="3" t="str">
        <f t="shared" si="194"/>
        <v/>
      </c>
      <c r="C639" s="3" t="str">
        <f t="shared" si="191"/>
        <v/>
      </c>
      <c r="D639" s="3" t="str">
        <f t="shared" si="204"/>
        <v/>
      </c>
      <c r="E639" s="3" t="str">
        <f t="shared" si="188"/>
        <v/>
      </c>
      <c r="F639" s="3" t="str">
        <f t="shared" si="189"/>
        <v/>
      </c>
      <c r="G639" s="3" t="str">
        <f t="shared" si="190"/>
        <v/>
      </c>
      <c r="H639" s="3" t="str">
        <f t="shared" si="195"/>
        <v/>
      </c>
      <c r="I639" s="3" t="str">
        <f t="shared" si="196"/>
        <v/>
      </c>
      <c r="J639" s="2" t="str">
        <f t="shared" si="197"/>
        <v/>
      </c>
      <c r="K639" s="2" t="str">
        <f>IF(W639="","",LOOKUP('Extraction edi'!J639,Paramètrage!$A$6:$A$179,Paramètrage!$B$6:$B$179))</f>
        <v/>
      </c>
      <c r="L639" s="2" t="str">
        <f>IF(W639="","",LOOKUP('Extraction edi'!J639,Paramètrage!$A$6:$A$179,Paramètrage!$C$6:$C$179))</f>
        <v/>
      </c>
      <c r="M639" s="2" t="str">
        <f>IF(W639="","",LOOKUP('Extraction edi'!J639,Paramètrage!$A$6:$A$179,Paramètrage!$D$6:$D$179))</f>
        <v/>
      </c>
      <c r="N639" s="3" t="str">
        <f>IF(W639="","",LOOKUP('Extraction edi'!J639,Paramètrage!$A$6:$A$179,Paramètrage!$E$6:$E$179))</f>
        <v/>
      </c>
      <c r="O639" s="3" t="str">
        <f t="shared" si="198"/>
        <v/>
      </c>
      <c r="P639" s="3" t="str">
        <f t="shared" si="199"/>
        <v/>
      </c>
      <c r="Q639" s="3" t="str">
        <f t="shared" si="192"/>
        <v/>
      </c>
      <c r="R639" s="3" t="str">
        <f t="shared" si="200"/>
        <v/>
      </c>
      <c r="S639" s="3" t="str">
        <f t="shared" si="201"/>
        <v/>
      </c>
      <c r="T639" s="4" t="str">
        <f t="shared" si="202"/>
        <v/>
      </c>
      <c r="U639" s="5" t="str">
        <f t="shared" si="203"/>
        <v/>
      </c>
      <c r="V639" s="7" t="str">
        <f>IF(W639="","",IF(LOOKUP(W639,'Extration 3E date commande'!$A$6:$A$10000)=W639,LOOKUP(W639,'Extration 3E date commande'!$A$6:$A$10000,'Extration 3E date commande'!$C$6:$C$10000),"PAS DE DATE"))</f>
        <v/>
      </c>
    </row>
    <row r="640" spans="1:22" x14ac:dyDescent="0.25">
      <c r="A640" s="3" t="str">
        <f t="shared" si="193"/>
        <v/>
      </c>
      <c r="B640" s="3" t="str">
        <f t="shared" si="194"/>
        <v/>
      </c>
      <c r="C640" s="3" t="str">
        <f t="shared" si="191"/>
        <v/>
      </c>
      <c r="D640" s="3" t="str">
        <f t="shared" si="204"/>
        <v/>
      </c>
      <c r="E640" s="3" t="str">
        <f t="shared" si="188"/>
        <v/>
      </c>
      <c r="F640" s="3" t="str">
        <f t="shared" si="189"/>
        <v/>
      </c>
      <c r="G640" s="3" t="str">
        <f t="shared" si="190"/>
        <v/>
      </c>
      <c r="H640" s="3" t="str">
        <f t="shared" si="195"/>
        <v/>
      </c>
      <c r="I640" s="3" t="str">
        <f t="shared" si="196"/>
        <v/>
      </c>
      <c r="J640" s="2" t="str">
        <f t="shared" si="197"/>
        <v/>
      </c>
      <c r="K640" s="2" t="str">
        <f>IF(W640="","",LOOKUP('Extraction edi'!J640,Paramètrage!$A$6:$A$179,Paramètrage!$B$6:$B$179))</f>
        <v/>
      </c>
      <c r="L640" s="2" t="str">
        <f>IF(W640="","",LOOKUP('Extraction edi'!J640,Paramètrage!$A$6:$A$179,Paramètrage!$C$6:$C$179))</f>
        <v/>
      </c>
      <c r="M640" s="2" t="str">
        <f>IF(W640="","",LOOKUP('Extraction edi'!J640,Paramètrage!$A$6:$A$179,Paramètrage!$D$6:$D$179))</f>
        <v/>
      </c>
      <c r="N640" s="3" t="str">
        <f>IF(W640="","",LOOKUP('Extraction edi'!J640,Paramètrage!$A$6:$A$179,Paramètrage!$E$6:$E$179))</f>
        <v/>
      </c>
      <c r="O640" s="3" t="str">
        <f t="shared" si="198"/>
        <v/>
      </c>
      <c r="P640" s="3" t="str">
        <f t="shared" si="199"/>
        <v/>
      </c>
      <c r="Q640" s="3" t="str">
        <f t="shared" si="192"/>
        <v/>
      </c>
      <c r="R640" s="3" t="str">
        <f t="shared" si="200"/>
        <v/>
      </c>
      <c r="S640" s="3" t="str">
        <f t="shared" si="201"/>
        <v/>
      </c>
      <c r="T640" s="4" t="str">
        <f t="shared" si="202"/>
        <v/>
      </c>
      <c r="U640" s="5" t="str">
        <f t="shared" si="203"/>
        <v/>
      </c>
      <c r="V640" s="7" t="str">
        <f>IF(W640="","",IF(LOOKUP(W640,'Extration 3E date commande'!$A$6:$A$10000)=W640,LOOKUP(W640,'Extration 3E date commande'!$A$6:$A$10000,'Extration 3E date commande'!$C$6:$C$10000),"PAS DE DATE"))</f>
        <v/>
      </c>
    </row>
    <row r="641" spans="1:22" x14ac:dyDescent="0.25">
      <c r="A641" s="3" t="str">
        <f t="shared" si="193"/>
        <v/>
      </c>
      <c r="B641" s="3" t="str">
        <f t="shared" si="194"/>
        <v/>
      </c>
      <c r="C641" s="3" t="str">
        <f t="shared" si="191"/>
        <v/>
      </c>
      <c r="D641" s="3" t="str">
        <f t="shared" si="204"/>
        <v/>
      </c>
      <c r="E641" s="3" t="str">
        <f t="shared" si="188"/>
        <v/>
      </c>
      <c r="F641" s="3" t="str">
        <f t="shared" si="189"/>
        <v/>
      </c>
      <c r="G641" s="3" t="str">
        <f t="shared" si="190"/>
        <v/>
      </c>
      <c r="H641" s="3" t="str">
        <f t="shared" si="195"/>
        <v/>
      </c>
      <c r="I641" s="3" t="str">
        <f t="shared" si="196"/>
        <v/>
      </c>
      <c r="J641" s="2" t="str">
        <f t="shared" si="197"/>
        <v/>
      </c>
      <c r="K641" s="2" t="str">
        <f>IF(W641="","",LOOKUP('Extraction edi'!J641,Paramètrage!$A$6:$A$179,Paramètrage!$B$6:$B$179))</f>
        <v/>
      </c>
      <c r="L641" s="2" t="str">
        <f>IF(W641="","",LOOKUP('Extraction edi'!J641,Paramètrage!$A$6:$A$179,Paramètrage!$C$6:$C$179))</f>
        <v/>
      </c>
      <c r="M641" s="2" t="str">
        <f>IF(W641="","",LOOKUP('Extraction edi'!J641,Paramètrage!$A$6:$A$179,Paramètrage!$D$6:$D$179))</f>
        <v/>
      </c>
      <c r="N641" s="3" t="str">
        <f>IF(W641="","",LOOKUP('Extraction edi'!J641,Paramètrage!$A$6:$A$179,Paramètrage!$E$6:$E$179))</f>
        <v/>
      </c>
      <c r="O641" s="3" t="str">
        <f t="shared" si="198"/>
        <v/>
      </c>
      <c r="P641" s="3" t="str">
        <f t="shared" si="199"/>
        <v/>
      </c>
      <c r="Q641" s="3" t="str">
        <f t="shared" si="192"/>
        <v/>
      </c>
      <c r="R641" s="3" t="str">
        <f t="shared" si="200"/>
        <v/>
      </c>
      <c r="S641" s="3" t="str">
        <f t="shared" si="201"/>
        <v/>
      </c>
      <c r="T641" s="4" t="str">
        <f t="shared" si="202"/>
        <v/>
      </c>
      <c r="U641" s="5" t="str">
        <f t="shared" si="203"/>
        <v/>
      </c>
      <c r="V641" s="7" t="str">
        <f>IF(W641="","",IF(LOOKUP(W641,'Extration 3E date commande'!$A$6:$A$10000)=W641,LOOKUP(W641,'Extration 3E date commande'!$A$6:$A$10000,'Extration 3E date commande'!$C$6:$C$10000),"PAS DE DATE"))</f>
        <v/>
      </c>
    </row>
    <row r="642" spans="1:22" x14ac:dyDescent="0.25">
      <c r="A642" s="3" t="str">
        <f t="shared" si="193"/>
        <v/>
      </c>
      <c r="B642" s="3" t="str">
        <f t="shared" si="194"/>
        <v/>
      </c>
      <c r="C642" s="3" t="str">
        <f t="shared" si="191"/>
        <v/>
      </c>
      <c r="D642" s="3" t="str">
        <f t="shared" si="204"/>
        <v/>
      </c>
      <c r="E642" s="3" t="str">
        <f t="shared" si="188"/>
        <v/>
      </c>
      <c r="F642" s="3" t="str">
        <f t="shared" si="189"/>
        <v/>
      </c>
      <c r="G642" s="3" t="str">
        <f t="shared" si="190"/>
        <v/>
      </c>
      <c r="H642" s="3" t="str">
        <f t="shared" si="195"/>
        <v/>
      </c>
      <c r="I642" s="3" t="str">
        <f t="shared" si="196"/>
        <v/>
      </c>
      <c r="J642" s="2" t="str">
        <f t="shared" si="197"/>
        <v/>
      </c>
      <c r="K642" s="2" t="str">
        <f>IF(W642="","",LOOKUP('Extraction edi'!J642,Paramètrage!$A$6:$A$179,Paramètrage!$B$6:$B$179))</f>
        <v/>
      </c>
      <c r="L642" s="2" t="str">
        <f>IF(W642="","",LOOKUP('Extraction edi'!J642,Paramètrage!$A$6:$A$179,Paramètrage!$C$6:$C$179))</f>
        <v/>
      </c>
      <c r="M642" s="2" t="str">
        <f>IF(W642="","",LOOKUP('Extraction edi'!J642,Paramètrage!$A$6:$A$179,Paramètrage!$D$6:$D$179))</f>
        <v/>
      </c>
      <c r="N642" s="3" t="str">
        <f>IF(W642="","",LOOKUP('Extraction edi'!J642,Paramètrage!$A$6:$A$179,Paramètrage!$E$6:$E$179))</f>
        <v/>
      </c>
      <c r="O642" s="3" t="str">
        <f t="shared" si="198"/>
        <v/>
      </c>
      <c r="P642" s="3" t="str">
        <f t="shared" si="199"/>
        <v/>
      </c>
      <c r="Q642" s="3" t="str">
        <f t="shared" si="192"/>
        <v/>
      </c>
      <c r="R642" s="3" t="str">
        <f t="shared" si="200"/>
        <v/>
      </c>
      <c r="S642" s="3" t="str">
        <f t="shared" si="201"/>
        <v/>
      </c>
      <c r="T642" s="4" t="str">
        <f t="shared" si="202"/>
        <v/>
      </c>
      <c r="U642" s="5" t="str">
        <f t="shared" si="203"/>
        <v/>
      </c>
      <c r="V642" s="7" t="str">
        <f>IF(W642="","",IF(LOOKUP(W642,'Extration 3E date commande'!$A$6:$A$10000)=W642,LOOKUP(W642,'Extration 3E date commande'!$A$6:$A$10000,'Extration 3E date commande'!$C$6:$C$10000),"PAS DE DATE"))</f>
        <v/>
      </c>
    </row>
    <row r="643" spans="1:22" x14ac:dyDescent="0.25">
      <c r="A643" s="3" t="str">
        <f t="shared" si="193"/>
        <v/>
      </c>
      <c r="B643" s="3" t="str">
        <f t="shared" si="194"/>
        <v/>
      </c>
      <c r="C643" s="3" t="str">
        <f t="shared" si="191"/>
        <v/>
      </c>
      <c r="D643" s="3" t="str">
        <f t="shared" si="204"/>
        <v/>
      </c>
      <c r="E643" s="3" t="str">
        <f t="shared" si="188"/>
        <v/>
      </c>
      <c r="F643" s="3" t="str">
        <f t="shared" si="189"/>
        <v/>
      </c>
      <c r="G643" s="3" t="str">
        <f t="shared" si="190"/>
        <v/>
      </c>
      <c r="H643" s="3" t="str">
        <f t="shared" si="195"/>
        <v/>
      </c>
      <c r="I643" s="3" t="str">
        <f t="shared" si="196"/>
        <v/>
      </c>
      <c r="J643" s="2" t="str">
        <f t="shared" si="197"/>
        <v/>
      </c>
      <c r="K643" s="2" t="str">
        <f>IF(W643="","",LOOKUP('Extraction edi'!J643,Paramètrage!$A$6:$A$179,Paramètrage!$B$6:$B$179))</f>
        <v/>
      </c>
      <c r="L643" s="2" t="str">
        <f>IF(W643="","",LOOKUP('Extraction edi'!J643,Paramètrage!$A$6:$A$179,Paramètrage!$C$6:$C$179))</f>
        <v/>
      </c>
      <c r="M643" s="2" t="str">
        <f>IF(W643="","",LOOKUP('Extraction edi'!J643,Paramètrage!$A$6:$A$179,Paramètrage!$D$6:$D$179))</f>
        <v/>
      </c>
      <c r="N643" s="3" t="str">
        <f>IF(W643="","",LOOKUP('Extraction edi'!J643,Paramètrage!$A$6:$A$179,Paramètrage!$E$6:$E$179))</f>
        <v/>
      </c>
      <c r="O643" s="3" t="str">
        <f t="shared" si="198"/>
        <v/>
      </c>
      <c r="P643" s="3" t="str">
        <f t="shared" si="199"/>
        <v/>
      </c>
      <c r="Q643" s="3" t="str">
        <f t="shared" si="192"/>
        <v/>
      </c>
      <c r="R643" s="3" t="str">
        <f t="shared" si="200"/>
        <v/>
      </c>
      <c r="S643" s="3" t="str">
        <f t="shared" si="201"/>
        <v/>
      </c>
      <c r="T643" s="4" t="str">
        <f t="shared" si="202"/>
        <v/>
      </c>
      <c r="U643" s="5" t="str">
        <f t="shared" si="203"/>
        <v/>
      </c>
      <c r="V643" s="7" t="str">
        <f>IF(W643="","",IF(LOOKUP(W643,'Extration 3E date commande'!$A$6:$A$10000)=W643,LOOKUP(W643,'Extration 3E date commande'!$A$6:$A$10000,'Extration 3E date commande'!$C$6:$C$10000),"PAS DE DATE"))</f>
        <v/>
      </c>
    </row>
    <row r="644" spans="1:22" x14ac:dyDescent="0.25">
      <c r="A644" s="3" t="str">
        <f t="shared" si="193"/>
        <v/>
      </c>
      <c r="B644" s="3" t="str">
        <f t="shared" si="194"/>
        <v/>
      </c>
      <c r="C644" s="3" t="str">
        <f t="shared" si="191"/>
        <v/>
      </c>
      <c r="D644" s="3" t="str">
        <f t="shared" si="204"/>
        <v/>
      </c>
      <c r="E644" s="3" t="str">
        <f t="shared" si="188"/>
        <v/>
      </c>
      <c r="F644" s="3" t="str">
        <f t="shared" si="189"/>
        <v/>
      </c>
      <c r="G644" s="3" t="str">
        <f t="shared" si="190"/>
        <v/>
      </c>
      <c r="H644" s="3" t="str">
        <f t="shared" si="195"/>
        <v/>
      </c>
      <c r="I644" s="3" t="str">
        <f t="shared" si="196"/>
        <v/>
      </c>
      <c r="J644" s="2" t="str">
        <f t="shared" si="197"/>
        <v/>
      </c>
      <c r="K644" s="2" t="str">
        <f>IF(W644="","",LOOKUP('Extraction edi'!J644,Paramètrage!$A$6:$A$179,Paramètrage!$B$6:$B$179))</f>
        <v/>
      </c>
      <c r="L644" s="2" t="str">
        <f>IF(W644="","",LOOKUP('Extraction edi'!J644,Paramètrage!$A$6:$A$179,Paramètrage!$C$6:$C$179))</f>
        <v/>
      </c>
      <c r="M644" s="2" t="str">
        <f>IF(W644="","",LOOKUP('Extraction edi'!J644,Paramètrage!$A$6:$A$179,Paramètrage!$D$6:$D$179))</f>
        <v/>
      </c>
      <c r="N644" s="3" t="str">
        <f>IF(W644="","",LOOKUP('Extraction edi'!J644,Paramètrage!$A$6:$A$179,Paramètrage!$E$6:$E$179))</f>
        <v/>
      </c>
      <c r="O644" s="3" t="str">
        <f t="shared" si="198"/>
        <v/>
      </c>
      <c r="P644" s="3" t="str">
        <f t="shared" si="199"/>
        <v/>
      </c>
      <c r="Q644" s="3" t="str">
        <f t="shared" si="192"/>
        <v/>
      </c>
      <c r="R644" s="3" t="str">
        <f t="shared" si="200"/>
        <v/>
      </c>
      <c r="S644" s="3" t="str">
        <f t="shared" si="201"/>
        <v/>
      </c>
      <c r="T644" s="4" t="str">
        <f t="shared" si="202"/>
        <v/>
      </c>
      <c r="U644" s="5" t="str">
        <f t="shared" si="203"/>
        <v/>
      </c>
      <c r="V644" s="7" t="str">
        <f>IF(W644="","",IF(LOOKUP(W644,'Extration 3E date commande'!$A$6:$A$10000)=W644,LOOKUP(W644,'Extration 3E date commande'!$A$6:$A$10000,'Extration 3E date commande'!$C$6:$C$10000),"PAS DE DATE"))</f>
        <v/>
      </c>
    </row>
    <row r="645" spans="1:22" x14ac:dyDescent="0.25">
      <c r="A645" s="3" t="str">
        <f t="shared" si="193"/>
        <v/>
      </c>
      <c r="B645" s="3" t="str">
        <f t="shared" si="194"/>
        <v/>
      </c>
      <c r="C645" s="3" t="str">
        <f t="shared" si="191"/>
        <v/>
      </c>
      <c r="D645" s="3" t="str">
        <f t="shared" si="204"/>
        <v/>
      </c>
      <c r="E645" s="3" t="str">
        <f t="shared" si="188"/>
        <v/>
      </c>
      <c r="F645" s="3" t="str">
        <f t="shared" si="189"/>
        <v/>
      </c>
      <c r="G645" s="3" t="str">
        <f t="shared" si="190"/>
        <v/>
      </c>
      <c r="H645" s="3" t="str">
        <f t="shared" si="195"/>
        <v/>
      </c>
      <c r="I645" s="3" t="str">
        <f t="shared" si="196"/>
        <v/>
      </c>
      <c r="J645" s="2" t="str">
        <f t="shared" si="197"/>
        <v/>
      </c>
      <c r="K645" s="2" t="str">
        <f>IF(W645="","",LOOKUP('Extraction edi'!J645,Paramètrage!$A$6:$A$179,Paramètrage!$B$6:$B$179))</f>
        <v/>
      </c>
      <c r="L645" s="2" t="str">
        <f>IF(W645="","",LOOKUP('Extraction edi'!J645,Paramètrage!$A$6:$A$179,Paramètrage!$C$6:$C$179))</f>
        <v/>
      </c>
      <c r="M645" s="2" t="str">
        <f>IF(W645="","",LOOKUP('Extraction edi'!J645,Paramètrage!$A$6:$A$179,Paramètrage!$D$6:$D$179))</f>
        <v/>
      </c>
      <c r="N645" s="3" t="str">
        <f>IF(W645="","",LOOKUP('Extraction edi'!J645,Paramètrage!$A$6:$A$179,Paramètrage!$E$6:$E$179))</f>
        <v/>
      </c>
      <c r="O645" s="3" t="str">
        <f t="shared" si="198"/>
        <v/>
      </c>
      <c r="P645" s="3" t="str">
        <f t="shared" si="199"/>
        <v/>
      </c>
      <c r="Q645" s="3" t="str">
        <f t="shared" si="192"/>
        <v/>
      </c>
      <c r="R645" s="3" t="str">
        <f t="shared" si="200"/>
        <v/>
      </c>
      <c r="S645" s="3" t="str">
        <f t="shared" si="201"/>
        <v/>
      </c>
      <c r="T645" s="4" t="str">
        <f t="shared" si="202"/>
        <v/>
      </c>
      <c r="U645" s="5" t="str">
        <f t="shared" si="203"/>
        <v/>
      </c>
      <c r="V645" s="7" t="str">
        <f>IF(W645="","",IF(LOOKUP(W645,'Extration 3E date commande'!$A$6:$A$10000)=W645,LOOKUP(W645,'Extration 3E date commande'!$A$6:$A$10000,'Extration 3E date commande'!$C$6:$C$10000),"PAS DE DATE"))</f>
        <v/>
      </c>
    </row>
    <row r="646" spans="1:22" x14ac:dyDescent="0.25">
      <c r="A646" s="3" t="str">
        <f t="shared" si="193"/>
        <v/>
      </c>
      <c r="B646" s="3" t="str">
        <f t="shared" si="194"/>
        <v/>
      </c>
      <c r="C646" s="3" t="str">
        <f t="shared" si="191"/>
        <v/>
      </c>
      <c r="D646" s="3" t="str">
        <f t="shared" si="204"/>
        <v/>
      </c>
      <c r="E646" s="3" t="str">
        <f t="shared" ref="E646:E709" si="205">IF(ISERROR(SEARCH("U",B646))=FALSE,"ALU",IF(ISERROR(SEARCH("Y",B646)),"","ALU"))</f>
        <v/>
      </c>
      <c r="F646" s="3" t="str">
        <f>IF(ISERROR(SEARCH("H",B646))=FALSE,"TEX",IF(ISERROR(SEARCH("Z",B646)),IF(ISERROR(SEARCH("X",B646)),"","TEX")))</f>
        <v/>
      </c>
      <c r="G646" s="3" t="str">
        <f t="shared" ref="G646:G709" si="206">IF(B646="","",IF(C646="SAV","NEG/RELI/SAV",IF(C646="NEGOCE","NEG/RELI/SAV",IF(C646="RELI","NEG/RELI/SAV",IF(E646="ALU","ALU",IF(D646="PE","PE",IF(F646="TEX","TEX","STD")))))))</f>
        <v/>
      </c>
      <c r="H646" s="3" t="str">
        <f t="shared" si="195"/>
        <v/>
      </c>
      <c r="I646" s="3" t="str">
        <f t="shared" si="196"/>
        <v/>
      </c>
      <c r="J646" s="2" t="str">
        <f t="shared" si="197"/>
        <v/>
      </c>
      <c r="K646" s="2" t="str">
        <f>IF(W646="","",LOOKUP('Extraction edi'!J646,Paramètrage!$A$6:$A$179,Paramètrage!$B$6:$B$179))</f>
        <v/>
      </c>
      <c r="L646" s="2" t="str">
        <f>IF(W646="","",LOOKUP('Extraction edi'!J646,Paramètrage!$A$6:$A$179,Paramètrage!$C$6:$C$179))</f>
        <v/>
      </c>
      <c r="M646" s="2" t="str">
        <f>IF(W646="","",LOOKUP('Extraction edi'!J646,Paramètrage!$A$6:$A$179,Paramètrage!$D$6:$D$179))</f>
        <v/>
      </c>
      <c r="N646" s="3" t="str">
        <f>IF(W646="","",LOOKUP('Extraction edi'!J646,Paramètrage!$A$6:$A$179,Paramètrage!$E$6:$E$179))</f>
        <v/>
      </c>
      <c r="O646" s="3" t="str">
        <f t="shared" si="198"/>
        <v/>
      </c>
      <c r="P646" s="3" t="str">
        <f t="shared" si="199"/>
        <v/>
      </c>
      <c r="Q646" s="3" t="str">
        <f t="shared" si="192"/>
        <v/>
      </c>
      <c r="R646" s="3" t="str">
        <f t="shared" si="200"/>
        <v/>
      </c>
      <c r="S646" s="3" t="str">
        <f t="shared" si="201"/>
        <v/>
      </c>
      <c r="T646" s="4" t="str">
        <f t="shared" si="202"/>
        <v/>
      </c>
      <c r="U646" s="5" t="str">
        <f t="shared" si="203"/>
        <v/>
      </c>
      <c r="V646" s="7" t="str">
        <f>IF(W646="","",IF(LOOKUP(W646,'Extration 3E date commande'!$A$6:$A$10000)=W646,LOOKUP(W646,'Extration 3E date commande'!$A$6:$A$10000,'Extration 3E date commande'!$C$6:$C$10000),"PAS DE DATE"))</f>
        <v/>
      </c>
    </row>
    <row r="647" spans="1:22" x14ac:dyDescent="0.25">
      <c r="A647" s="3" t="str">
        <f t="shared" si="193"/>
        <v/>
      </c>
      <c r="B647" s="3" t="str">
        <f t="shared" si="194"/>
        <v/>
      </c>
      <c r="C647" s="3" t="str">
        <f t="shared" ref="C647:C710" si="207">IF(ISERROR(SEARCH("ELI",B647))=FALSE,"RELIQUAT",IF(ISERROR(SEARCH("N",B647))=FALSE,"NEGOCE",IF(ISERROR(SEARCH("S",B647))=FALSE,"SAV",IF(ISERROR(SEARCH("J",B647)),"","SAV"))))</f>
        <v/>
      </c>
      <c r="D647" s="3" t="str">
        <f t="shared" si="204"/>
        <v/>
      </c>
      <c r="E647" s="3" t="str">
        <f t="shared" si="205"/>
        <v/>
      </c>
      <c r="F647" s="3" t="str">
        <f t="shared" ref="F647:F661" si="208">IF(ISERROR(SEARCH("H",B647))=FALSE,"TEXTURAL",IF(ISERROR(SEARCH("Z",B647)),"","TEXTURAL"))</f>
        <v/>
      </c>
      <c r="G647" s="3" t="str">
        <f t="shared" si="206"/>
        <v/>
      </c>
      <c r="H647" s="3" t="str">
        <f t="shared" si="195"/>
        <v/>
      </c>
      <c r="I647" s="3" t="str">
        <f t="shared" si="196"/>
        <v/>
      </c>
      <c r="J647" s="2" t="str">
        <f t="shared" si="197"/>
        <v/>
      </c>
      <c r="K647" s="2" t="str">
        <f>IF(W647="","",LOOKUP('Extraction edi'!J647,Paramètrage!$A$6:$A$179,Paramètrage!$B$6:$B$179))</f>
        <v/>
      </c>
      <c r="L647" s="2" t="str">
        <f>IF(W647="","",LOOKUP('Extraction edi'!J647,Paramètrage!$A$6:$A$179,Paramètrage!$C$6:$C$179))</f>
        <v/>
      </c>
      <c r="M647" s="2" t="str">
        <f>IF(W647="","",LOOKUP('Extraction edi'!J647,Paramètrage!$A$6:$A$179,Paramètrage!$D$6:$D$179))</f>
        <v/>
      </c>
      <c r="N647" s="3" t="str">
        <f>IF(W647="","",LOOKUP('Extraction edi'!J647,Paramètrage!$A$6:$A$179,Paramètrage!$E$6:$E$179))</f>
        <v/>
      </c>
      <c r="O647" s="3" t="str">
        <f t="shared" si="198"/>
        <v/>
      </c>
      <c r="P647" s="3" t="str">
        <f t="shared" si="199"/>
        <v/>
      </c>
      <c r="Q647" s="3" t="str">
        <f t="shared" si="192"/>
        <v/>
      </c>
      <c r="R647" s="3" t="str">
        <f t="shared" si="200"/>
        <v/>
      </c>
      <c r="S647" s="3" t="str">
        <f t="shared" si="201"/>
        <v/>
      </c>
      <c r="T647" s="4" t="str">
        <f t="shared" si="202"/>
        <v/>
      </c>
      <c r="U647" s="5" t="str">
        <f t="shared" si="203"/>
        <v/>
      </c>
      <c r="V647" s="7" t="str">
        <f>IF(W647="","",IF(LOOKUP(W647,'Extration 3E date commande'!$A$6:$A$10000)=W647,LOOKUP(W647,'Extration 3E date commande'!$A$6:$A$10000,'Extration 3E date commande'!$C$6:$C$10000),"PAS DE DATE"))</f>
        <v/>
      </c>
    </row>
    <row r="648" spans="1:22" x14ac:dyDescent="0.25">
      <c r="A648" s="3" t="str">
        <f t="shared" si="193"/>
        <v/>
      </c>
      <c r="B648" s="3" t="str">
        <f t="shared" si="194"/>
        <v/>
      </c>
      <c r="C648" s="3" t="str">
        <f t="shared" si="207"/>
        <v/>
      </c>
      <c r="D648" s="3" t="str">
        <f t="shared" si="204"/>
        <v/>
      </c>
      <c r="E648" s="3" t="str">
        <f t="shared" si="205"/>
        <v/>
      </c>
      <c r="F648" s="3" t="str">
        <f t="shared" si="208"/>
        <v/>
      </c>
      <c r="G648" s="3" t="str">
        <f t="shared" si="206"/>
        <v/>
      </c>
      <c r="H648" s="3" t="str">
        <f t="shared" si="195"/>
        <v/>
      </c>
      <c r="I648" s="3" t="str">
        <f t="shared" si="196"/>
        <v/>
      </c>
      <c r="J648" s="2" t="str">
        <f t="shared" si="197"/>
        <v/>
      </c>
      <c r="K648" s="2" t="str">
        <f>IF(W648="","",LOOKUP('Extraction edi'!J648,Paramètrage!$A$6:$A$179,Paramètrage!$B$6:$B$179))</f>
        <v/>
      </c>
      <c r="L648" s="2" t="str">
        <f>IF(W648="","",LOOKUP('Extraction edi'!J648,Paramètrage!$A$6:$A$179,Paramètrage!$C$6:$C$179))</f>
        <v/>
      </c>
      <c r="M648" s="2" t="str">
        <f>IF(W648="","",LOOKUP('Extraction edi'!J648,Paramètrage!$A$6:$A$179,Paramètrage!$D$6:$D$179))</f>
        <v/>
      </c>
      <c r="N648" s="3" t="str">
        <f>IF(W648="","",LOOKUP('Extraction edi'!J648,Paramètrage!$A$6:$A$179,Paramètrage!$E$6:$E$179))</f>
        <v/>
      </c>
      <c r="O648" s="3" t="str">
        <f t="shared" si="198"/>
        <v/>
      </c>
      <c r="P648" s="3" t="str">
        <f t="shared" si="199"/>
        <v/>
      </c>
      <c r="Q648" s="3" t="str">
        <f t="shared" si="192"/>
        <v/>
      </c>
      <c r="R648" s="3" t="str">
        <f t="shared" si="200"/>
        <v/>
      </c>
      <c r="S648" s="3" t="str">
        <f t="shared" si="201"/>
        <v/>
      </c>
      <c r="T648" s="4" t="str">
        <f t="shared" si="202"/>
        <v/>
      </c>
      <c r="U648" s="5" t="str">
        <f t="shared" si="203"/>
        <v/>
      </c>
      <c r="V648" s="7" t="str">
        <f>IF(W648="","",IF(LOOKUP(W648,'Extration 3E date commande'!$A$6:$A$10000)=W648,LOOKUP(W648,'Extration 3E date commande'!$A$6:$A$10000,'Extration 3E date commande'!$C$6:$C$10000),"PAS DE DATE"))</f>
        <v/>
      </c>
    </row>
    <row r="649" spans="1:22" x14ac:dyDescent="0.25">
      <c r="A649" s="3" t="str">
        <f t="shared" si="193"/>
        <v/>
      </c>
      <c r="B649" s="3" t="str">
        <f t="shared" si="194"/>
        <v/>
      </c>
      <c r="C649" s="3" t="str">
        <f t="shared" si="207"/>
        <v/>
      </c>
      <c r="D649" s="3" t="str">
        <f t="shared" si="204"/>
        <v/>
      </c>
      <c r="E649" s="3" t="str">
        <f t="shared" si="205"/>
        <v/>
      </c>
      <c r="F649" s="3" t="str">
        <f t="shared" si="208"/>
        <v/>
      </c>
      <c r="G649" s="3" t="str">
        <f t="shared" si="206"/>
        <v/>
      </c>
      <c r="H649" s="3" t="str">
        <f t="shared" si="195"/>
        <v/>
      </c>
      <c r="I649" s="3" t="str">
        <f t="shared" si="196"/>
        <v/>
      </c>
      <c r="J649" s="2" t="str">
        <f t="shared" si="197"/>
        <v/>
      </c>
      <c r="K649" s="2" t="str">
        <f>IF(W649="","",LOOKUP('Extraction edi'!J649,Paramètrage!$A$6:$A$179,Paramètrage!$B$6:$B$179))</f>
        <v/>
      </c>
      <c r="L649" s="2" t="str">
        <f>IF(W649="","",LOOKUP('Extraction edi'!J649,Paramètrage!$A$6:$A$179,Paramètrage!$C$6:$C$179))</f>
        <v/>
      </c>
      <c r="M649" s="2" t="str">
        <f>IF(W649="","",LOOKUP('Extraction edi'!J649,Paramètrage!$A$6:$A$179,Paramètrage!$D$6:$D$179))</f>
        <v/>
      </c>
      <c r="N649" s="3" t="str">
        <f>IF(W649="","",LOOKUP('Extraction edi'!J649,Paramètrage!$A$6:$A$179,Paramètrage!$E$6:$E$179))</f>
        <v/>
      </c>
      <c r="O649" s="3" t="str">
        <f t="shared" si="198"/>
        <v/>
      </c>
      <c r="P649" s="3" t="str">
        <f t="shared" si="199"/>
        <v/>
      </c>
      <c r="Q649" s="3" t="str">
        <f t="shared" si="192"/>
        <v/>
      </c>
      <c r="R649" s="3" t="str">
        <f t="shared" si="200"/>
        <v/>
      </c>
      <c r="S649" s="3" t="str">
        <f t="shared" si="201"/>
        <v/>
      </c>
      <c r="T649" s="4" t="str">
        <f t="shared" si="202"/>
        <v/>
      </c>
      <c r="U649" s="5" t="str">
        <f t="shared" si="203"/>
        <v/>
      </c>
      <c r="V649" s="7" t="str">
        <f>IF(W649="","",IF(LOOKUP(W649,'Extration 3E date commande'!$A$6:$A$10000)=W649,LOOKUP(W649,'Extration 3E date commande'!$A$6:$A$10000,'Extration 3E date commande'!$C$6:$C$10000),"PAS DE DATE"))</f>
        <v/>
      </c>
    </row>
    <row r="650" spans="1:22" x14ac:dyDescent="0.25">
      <c r="A650" s="3" t="str">
        <f t="shared" si="193"/>
        <v/>
      </c>
      <c r="B650" s="3" t="str">
        <f t="shared" si="194"/>
        <v/>
      </c>
      <c r="C650" s="3" t="str">
        <f t="shared" si="207"/>
        <v/>
      </c>
      <c r="D650" s="3" t="str">
        <f t="shared" si="204"/>
        <v/>
      </c>
      <c r="E650" s="3" t="str">
        <f t="shared" si="205"/>
        <v/>
      </c>
      <c r="F650" s="3" t="str">
        <f t="shared" si="208"/>
        <v/>
      </c>
      <c r="G650" s="3" t="str">
        <f t="shared" si="206"/>
        <v/>
      </c>
      <c r="H650" s="3" t="str">
        <f t="shared" si="195"/>
        <v/>
      </c>
      <c r="I650" s="3" t="str">
        <f t="shared" si="196"/>
        <v/>
      </c>
      <c r="J650" s="2" t="str">
        <f t="shared" si="197"/>
        <v/>
      </c>
      <c r="K650" s="2" t="str">
        <f>IF(W650="","",LOOKUP('Extraction edi'!J650,Paramètrage!$A$6:$A$179,Paramètrage!$B$6:$B$179))</f>
        <v/>
      </c>
      <c r="L650" s="2" t="str">
        <f>IF(W650="","",LOOKUP('Extraction edi'!J650,Paramètrage!$A$6:$A$179,Paramètrage!$C$6:$C$179))</f>
        <v/>
      </c>
      <c r="M650" s="2" t="str">
        <f>IF(W650="","",LOOKUP('Extraction edi'!J650,Paramètrage!$A$6:$A$179,Paramètrage!$D$6:$D$179))</f>
        <v/>
      </c>
      <c r="N650" s="3" t="str">
        <f>IF(W650="","",LOOKUP('Extraction edi'!J650,Paramètrage!$A$6:$A$179,Paramètrage!$E$6:$E$179))</f>
        <v/>
      </c>
      <c r="O650" s="3" t="str">
        <f t="shared" si="198"/>
        <v/>
      </c>
      <c r="P650" s="3" t="str">
        <f t="shared" si="199"/>
        <v/>
      </c>
      <c r="Q650" s="3" t="str">
        <f t="shared" si="192"/>
        <v/>
      </c>
      <c r="R650" s="3" t="str">
        <f t="shared" si="200"/>
        <v/>
      </c>
      <c r="S650" s="3" t="str">
        <f t="shared" si="201"/>
        <v/>
      </c>
      <c r="T650" s="4" t="str">
        <f t="shared" si="202"/>
        <v/>
      </c>
      <c r="U650" s="5" t="str">
        <f t="shared" si="203"/>
        <v/>
      </c>
      <c r="V650" s="7" t="str">
        <f>IF(W650="","",IF(LOOKUP(W650,'Extration 3E date commande'!$A$6:$A$10000)=W650,LOOKUP(W650,'Extration 3E date commande'!$A$6:$A$10000,'Extration 3E date commande'!$C$6:$C$10000),"PAS DE DATE"))</f>
        <v/>
      </c>
    </row>
    <row r="651" spans="1:22" x14ac:dyDescent="0.25">
      <c r="A651" s="3" t="str">
        <f t="shared" si="193"/>
        <v/>
      </c>
      <c r="B651" s="3" t="str">
        <f t="shared" si="194"/>
        <v/>
      </c>
      <c r="C651" s="3" t="str">
        <f t="shared" si="207"/>
        <v/>
      </c>
      <c r="D651" s="3" t="str">
        <f t="shared" si="204"/>
        <v/>
      </c>
      <c r="E651" s="3" t="str">
        <f t="shared" si="205"/>
        <v/>
      </c>
      <c r="F651" s="3" t="str">
        <f t="shared" si="208"/>
        <v/>
      </c>
      <c r="G651" s="3" t="str">
        <f t="shared" si="206"/>
        <v/>
      </c>
      <c r="H651" s="3" t="str">
        <f t="shared" si="195"/>
        <v/>
      </c>
      <c r="I651" s="3" t="str">
        <f t="shared" si="196"/>
        <v/>
      </c>
      <c r="J651" s="2" t="str">
        <f t="shared" si="197"/>
        <v/>
      </c>
      <c r="K651" s="2" t="str">
        <f>IF(W651="","",LOOKUP('Extraction edi'!J651,Paramètrage!$A$6:$A$179,Paramètrage!$B$6:$B$179))</f>
        <v/>
      </c>
      <c r="L651" s="2" t="str">
        <f>IF(W651="","",LOOKUP('Extraction edi'!J651,Paramètrage!$A$6:$A$179,Paramètrage!$C$6:$C$179))</f>
        <v/>
      </c>
      <c r="M651" s="2" t="str">
        <f>IF(W651="","",LOOKUP('Extraction edi'!J651,Paramètrage!$A$6:$A$179,Paramètrage!$D$6:$D$179))</f>
        <v/>
      </c>
      <c r="N651" s="3" t="str">
        <f>IF(W651="","",LOOKUP('Extraction edi'!J651,Paramètrage!$A$6:$A$179,Paramètrage!$E$6:$E$179))</f>
        <v/>
      </c>
      <c r="O651" s="3" t="str">
        <f t="shared" si="198"/>
        <v/>
      </c>
      <c r="P651" s="3" t="str">
        <f t="shared" si="199"/>
        <v/>
      </c>
      <c r="Q651" s="3" t="str">
        <f t="shared" si="192"/>
        <v/>
      </c>
      <c r="R651" s="3" t="str">
        <f t="shared" si="200"/>
        <v/>
      </c>
      <c r="S651" s="3" t="str">
        <f t="shared" si="201"/>
        <v/>
      </c>
      <c r="T651" s="4" t="str">
        <f t="shared" si="202"/>
        <v/>
      </c>
      <c r="U651" s="5" t="str">
        <f t="shared" si="203"/>
        <v/>
      </c>
      <c r="V651" s="7" t="str">
        <f>IF(W651="","",IF(LOOKUP(W651,'Extration 3E date commande'!$A$6:$A$10000)=W651,LOOKUP(W651,'Extration 3E date commande'!$A$6:$A$10000,'Extration 3E date commande'!$C$6:$C$10000),"PAS DE DATE"))</f>
        <v/>
      </c>
    </row>
    <row r="652" spans="1:22" x14ac:dyDescent="0.25">
      <c r="A652" s="3" t="str">
        <f t="shared" si="193"/>
        <v/>
      </c>
      <c r="B652" s="3" t="str">
        <f t="shared" si="194"/>
        <v/>
      </c>
      <c r="C652" s="3" t="str">
        <f t="shared" si="207"/>
        <v/>
      </c>
      <c r="D652" s="3" t="str">
        <f t="shared" si="204"/>
        <v/>
      </c>
      <c r="E652" s="3" t="str">
        <f t="shared" si="205"/>
        <v/>
      </c>
      <c r="F652" s="3" t="str">
        <f t="shared" si="208"/>
        <v/>
      </c>
      <c r="G652" s="3" t="str">
        <f t="shared" si="206"/>
        <v/>
      </c>
      <c r="H652" s="3" t="str">
        <f t="shared" si="195"/>
        <v/>
      </c>
      <c r="I652" s="3" t="str">
        <f t="shared" si="196"/>
        <v/>
      </c>
      <c r="J652" s="2" t="str">
        <f t="shared" si="197"/>
        <v/>
      </c>
      <c r="K652" s="2" t="str">
        <f>IF(W652="","",LOOKUP('Extraction edi'!J652,Paramètrage!$A$6:$A$179,Paramètrage!$B$6:$B$179))</f>
        <v/>
      </c>
      <c r="L652" s="2" t="str">
        <f>IF(W652="","",LOOKUP('Extraction edi'!J652,Paramètrage!$A$6:$A$179,Paramètrage!$C$6:$C$179))</f>
        <v/>
      </c>
      <c r="M652" s="2" t="str">
        <f>IF(W652="","",LOOKUP('Extraction edi'!J652,Paramètrage!$A$6:$A$179,Paramètrage!$D$6:$D$179))</f>
        <v/>
      </c>
      <c r="N652" s="3" t="str">
        <f>IF(W652="","",LOOKUP('Extraction edi'!J652,Paramètrage!$A$6:$A$179,Paramètrage!$E$6:$E$179))</f>
        <v/>
      </c>
      <c r="O652" s="3" t="str">
        <f t="shared" si="198"/>
        <v/>
      </c>
      <c r="P652" s="3" t="str">
        <f t="shared" si="199"/>
        <v/>
      </c>
      <c r="Q652" s="3" t="str">
        <f t="shared" si="192"/>
        <v/>
      </c>
      <c r="R652" s="3" t="str">
        <f t="shared" si="200"/>
        <v/>
      </c>
      <c r="S652" s="3" t="str">
        <f t="shared" si="201"/>
        <v/>
      </c>
      <c r="T652" s="4" t="str">
        <f t="shared" si="202"/>
        <v/>
      </c>
      <c r="U652" s="5" t="str">
        <f t="shared" si="203"/>
        <v/>
      </c>
      <c r="V652" s="7" t="str">
        <f>IF(W652="","",IF(LOOKUP(W652,'Extration 3E date commande'!$A$6:$A$10000)=W652,LOOKUP(W652,'Extration 3E date commande'!$A$6:$A$10000,'Extration 3E date commande'!$C$6:$C$10000),"PAS DE DATE"))</f>
        <v/>
      </c>
    </row>
    <row r="653" spans="1:22" x14ac:dyDescent="0.25">
      <c r="A653" s="3" t="str">
        <f t="shared" si="193"/>
        <v/>
      </c>
      <c r="B653" s="3" t="str">
        <f t="shared" si="194"/>
        <v/>
      </c>
      <c r="C653" s="3" t="str">
        <f t="shared" si="207"/>
        <v/>
      </c>
      <c r="D653" s="3" t="str">
        <f t="shared" si="204"/>
        <v/>
      </c>
      <c r="E653" s="3" t="str">
        <f t="shared" si="205"/>
        <v/>
      </c>
      <c r="F653" s="3" t="str">
        <f t="shared" si="208"/>
        <v/>
      </c>
      <c r="G653" s="3" t="str">
        <f t="shared" si="206"/>
        <v/>
      </c>
      <c r="H653" s="3" t="str">
        <f t="shared" si="195"/>
        <v/>
      </c>
      <c r="I653" s="3" t="str">
        <f t="shared" si="196"/>
        <v/>
      </c>
      <c r="J653" s="2" t="str">
        <f t="shared" si="197"/>
        <v/>
      </c>
      <c r="K653" s="2" t="str">
        <f>IF(W653="","",LOOKUP('Extraction edi'!J653,Paramètrage!$A$6:$A$179,Paramètrage!$B$6:$B$179))</f>
        <v/>
      </c>
      <c r="L653" s="2" t="str">
        <f>IF(W653="","",LOOKUP('Extraction edi'!J653,Paramètrage!$A$6:$A$179,Paramètrage!$C$6:$C$179))</f>
        <v/>
      </c>
      <c r="M653" s="2" t="str">
        <f>IF(W653="","",LOOKUP('Extraction edi'!J653,Paramètrage!$A$6:$A$179,Paramètrage!$D$6:$D$179))</f>
        <v/>
      </c>
      <c r="N653" s="3" t="str">
        <f>IF(W653="","",LOOKUP('Extraction edi'!J653,Paramètrage!$A$6:$A$179,Paramètrage!$E$6:$E$179))</f>
        <v/>
      </c>
      <c r="O653" s="3" t="str">
        <f t="shared" si="198"/>
        <v/>
      </c>
      <c r="P653" s="3" t="str">
        <f t="shared" si="199"/>
        <v/>
      </c>
      <c r="Q653" s="3" t="str">
        <f t="shared" si="192"/>
        <v/>
      </c>
      <c r="R653" s="3" t="str">
        <f t="shared" si="200"/>
        <v/>
      </c>
      <c r="S653" s="3" t="str">
        <f t="shared" si="201"/>
        <v/>
      </c>
      <c r="T653" s="4" t="str">
        <f t="shared" si="202"/>
        <v/>
      </c>
      <c r="U653" s="5" t="str">
        <f t="shared" si="203"/>
        <v/>
      </c>
      <c r="V653" s="7" t="str">
        <f>IF(W653="","",IF(LOOKUP(W653,'Extration 3E date commande'!$A$6:$A$10000)=W653,LOOKUP(W653,'Extration 3E date commande'!$A$6:$A$10000,'Extration 3E date commande'!$C$6:$C$10000),"PAS DE DATE"))</f>
        <v/>
      </c>
    </row>
    <row r="654" spans="1:22" x14ac:dyDescent="0.25">
      <c r="A654" s="3" t="str">
        <f t="shared" si="193"/>
        <v/>
      </c>
      <c r="B654" s="3" t="str">
        <f t="shared" si="194"/>
        <v/>
      </c>
      <c r="C654" s="3" t="str">
        <f t="shared" si="207"/>
        <v/>
      </c>
      <c r="D654" s="3" t="str">
        <f t="shared" si="204"/>
        <v/>
      </c>
      <c r="E654" s="3" t="str">
        <f t="shared" si="205"/>
        <v/>
      </c>
      <c r="F654" s="3" t="str">
        <f t="shared" si="208"/>
        <v/>
      </c>
      <c r="G654" s="3" t="str">
        <f t="shared" si="206"/>
        <v/>
      </c>
      <c r="H654" s="3" t="str">
        <f t="shared" si="195"/>
        <v/>
      </c>
      <c r="I654" s="3" t="str">
        <f t="shared" si="196"/>
        <v/>
      </c>
      <c r="J654" s="2" t="str">
        <f t="shared" si="197"/>
        <v/>
      </c>
      <c r="K654" s="2" t="str">
        <f>IF(W654="","",LOOKUP('Extraction edi'!J654,Paramètrage!$A$6:$A$179,Paramètrage!$B$6:$B$179))</f>
        <v/>
      </c>
      <c r="L654" s="2" t="str">
        <f>IF(W654="","",LOOKUP('Extraction edi'!J654,Paramètrage!$A$6:$A$179,Paramètrage!$C$6:$C$179))</f>
        <v/>
      </c>
      <c r="M654" s="2" t="str">
        <f>IF(W654="","",LOOKUP('Extraction edi'!J654,Paramètrage!$A$6:$A$179,Paramètrage!$D$6:$D$179))</f>
        <v/>
      </c>
      <c r="N654" s="3" t="str">
        <f>IF(W654="","",LOOKUP('Extraction edi'!J654,Paramètrage!$A$6:$A$179,Paramètrage!$E$6:$E$179))</f>
        <v/>
      </c>
      <c r="O654" s="3" t="str">
        <f t="shared" si="198"/>
        <v/>
      </c>
      <c r="P654" s="3" t="str">
        <f t="shared" si="199"/>
        <v/>
      </c>
      <c r="Q654" s="3" t="str">
        <f t="shared" si="192"/>
        <v/>
      </c>
      <c r="R654" s="3" t="str">
        <f t="shared" si="200"/>
        <v/>
      </c>
      <c r="S654" s="3" t="str">
        <f t="shared" si="201"/>
        <v/>
      </c>
      <c r="T654" s="4" t="str">
        <f t="shared" si="202"/>
        <v/>
      </c>
      <c r="U654" s="5" t="str">
        <f t="shared" si="203"/>
        <v/>
      </c>
      <c r="V654" s="7" t="str">
        <f>IF(W654="","",IF(LOOKUP(W654,'Extration 3E date commande'!$A$6:$A$10000)=W654,LOOKUP(W654,'Extration 3E date commande'!$A$6:$A$10000,'Extration 3E date commande'!$C$6:$C$10000),"PAS DE DATE"))</f>
        <v/>
      </c>
    </row>
    <row r="655" spans="1:22" x14ac:dyDescent="0.25">
      <c r="A655" s="3" t="str">
        <f t="shared" si="193"/>
        <v/>
      </c>
      <c r="B655" s="3" t="str">
        <f t="shared" si="194"/>
        <v/>
      </c>
      <c r="C655" s="3" t="str">
        <f t="shared" si="207"/>
        <v/>
      </c>
      <c r="D655" s="3" t="str">
        <f t="shared" si="204"/>
        <v/>
      </c>
      <c r="E655" s="3" t="str">
        <f t="shared" si="205"/>
        <v/>
      </c>
      <c r="F655" s="3" t="str">
        <f t="shared" si="208"/>
        <v/>
      </c>
      <c r="G655" s="3" t="str">
        <f t="shared" si="206"/>
        <v/>
      </c>
      <c r="H655" s="3" t="str">
        <f t="shared" si="195"/>
        <v/>
      </c>
      <c r="I655" s="3" t="str">
        <f t="shared" si="196"/>
        <v/>
      </c>
      <c r="J655" s="2" t="str">
        <f t="shared" si="197"/>
        <v/>
      </c>
      <c r="K655" s="2" t="str">
        <f>IF(W655="","",LOOKUP('Extraction edi'!J655,Paramètrage!$A$6:$A$179,Paramètrage!$B$6:$B$179))</f>
        <v/>
      </c>
      <c r="L655" s="2" t="str">
        <f>IF(W655="","",LOOKUP('Extraction edi'!J655,Paramètrage!$A$6:$A$179,Paramètrage!$C$6:$C$179))</f>
        <v/>
      </c>
      <c r="M655" s="2" t="str">
        <f>IF(W655="","",LOOKUP('Extraction edi'!J655,Paramètrage!$A$6:$A$179,Paramètrage!$D$6:$D$179))</f>
        <v/>
      </c>
      <c r="N655" s="3" t="str">
        <f>IF(W655="","",LOOKUP('Extraction edi'!J655,Paramètrage!$A$6:$A$179,Paramètrage!$E$6:$E$179))</f>
        <v/>
      </c>
      <c r="O655" s="3" t="str">
        <f t="shared" si="198"/>
        <v/>
      </c>
      <c r="P655" s="3" t="str">
        <f t="shared" si="199"/>
        <v/>
      </c>
      <c r="Q655" s="3" t="str">
        <f t="shared" ref="Q655:Q718" si="209">IF(ISERROR(SEARCH("laq",J655))=FALSE,"laquage RAL :",IF(ISERROR(SEARCH("lq",J655))=FALSE,"laquage RAL :",IF(ISERROR(SEARCH("ANO",J654))=FALSE,"laquage RAL :",IF(ISERROR(SEARCH("IVOI",J655)),"","laquage RAL :"))))</f>
        <v/>
      </c>
      <c r="R655" s="3" t="str">
        <f t="shared" si="200"/>
        <v/>
      </c>
      <c r="S655" s="3" t="str">
        <f t="shared" si="201"/>
        <v/>
      </c>
      <c r="T655" s="4" t="str">
        <f t="shared" si="202"/>
        <v/>
      </c>
      <c r="U655" s="5" t="str">
        <f t="shared" si="203"/>
        <v/>
      </c>
      <c r="V655" s="7" t="str">
        <f>IF(W655="","",IF(LOOKUP(W655,'Extration 3E date commande'!$A$6:$A$10000)=W655,LOOKUP(W655,'Extration 3E date commande'!$A$6:$A$10000,'Extration 3E date commande'!$C$6:$C$10000),"PAS DE DATE"))</f>
        <v/>
      </c>
    </row>
    <row r="656" spans="1:22" x14ac:dyDescent="0.25">
      <c r="A656" s="3" t="str">
        <f t="shared" si="193"/>
        <v/>
      </c>
      <c r="B656" s="3" t="str">
        <f t="shared" si="194"/>
        <v/>
      </c>
      <c r="C656" s="3" t="str">
        <f t="shared" si="207"/>
        <v/>
      </c>
      <c r="D656" s="3" t="str">
        <f t="shared" si="204"/>
        <v/>
      </c>
      <c r="E656" s="3" t="str">
        <f t="shared" si="205"/>
        <v/>
      </c>
      <c r="F656" s="3" t="str">
        <f t="shared" si="208"/>
        <v/>
      </c>
      <c r="G656" s="3" t="str">
        <f t="shared" si="206"/>
        <v/>
      </c>
      <c r="H656" s="3" t="str">
        <f t="shared" si="195"/>
        <v/>
      </c>
      <c r="I656" s="3" t="str">
        <f t="shared" si="196"/>
        <v/>
      </c>
      <c r="J656" s="2" t="str">
        <f t="shared" si="197"/>
        <v/>
      </c>
      <c r="K656" s="2" t="str">
        <f>IF(W656="","",LOOKUP('Extraction edi'!J656,Paramètrage!$A$6:$A$179,Paramètrage!$B$6:$B$179))</f>
        <v/>
      </c>
      <c r="L656" s="2" t="str">
        <f>IF(W656="","",LOOKUP('Extraction edi'!J656,Paramètrage!$A$6:$A$179,Paramètrage!$C$6:$C$179))</f>
        <v/>
      </c>
      <c r="M656" s="2" t="str">
        <f>IF(W656="","",LOOKUP('Extraction edi'!J656,Paramètrage!$A$6:$A$179,Paramètrage!$D$6:$D$179))</f>
        <v/>
      </c>
      <c r="N656" s="3" t="str">
        <f>IF(W656="","",LOOKUP('Extraction edi'!J656,Paramètrage!$A$6:$A$179,Paramètrage!$E$6:$E$179))</f>
        <v/>
      </c>
      <c r="O656" s="3" t="str">
        <f t="shared" si="198"/>
        <v/>
      </c>
      <c r="P656" s="3" t="str">
        <f t="shared" si="199"/>
        <v/>
      </c>
      <c r="Q656" s="3" t="str">
        <f t="shared" si="209"/>
        <v/>
      </c>
      <c r="R656" s="3" t="str">
        <f t="shared" si="200"/>
        <v/>
      </c>
      <c r="S656" s="3" t="str">
        <f t="shared" si="201"/>
        <v/>
      </c>
      <c r="T656" s="4" t="str">
        <f t="shared" si="202"/>
        <v/>
      </c>
      <c r="U656" s="5" t="str">
        <f t="shared" si="203"/>
        <v/>
      </c>
      <c r="V656" s="7" t="str">
        <f>IF(W656="","",IF(LOOKUP(W656,'Extration 3E date commande'!$A$6:$A$10000)=W656,LOOKUP(W656,'Extration 3E date commande'!$A$6:$A$10000,'Extration 3E date commande'!$C$6:$C$10000),"PAS DE DATE"))</f>
        <v/>
      </c>
    </row>
    <row r="657" spans="1:22" x14ac:dyDescent="0.25">
      <c r="A657" s="3" t="str">
        <f t="shared" si="193"/>
        <v/>
      </c>
      <c r="B657" s="3" t="str">
        <f t="shared" si="194"/>
        <v/>
      </c>
      <c r="C657" s="3" t="str">
        <f t="shared" si="207"/>
        <v/>
      </c>
      <c r="D657" s="3" t="str">
        <f t="shared" si="204"/>
        <v/>
      </c>
      <c r="E657" s="3" t="str">
        <f t="shared" si="205"/>
        <v/>
      </c>
      <c r="F657" s="3" t="str">
        <f t="shared" si="208"/>
        <v/>
      </c>
      <c r="G657" s="3" t="str">
        <f t="shared" si="206"/>
        <v/>
      </c>
      <c r="H657" s="3" t="str">
        <f t="shared" si="195"/>
        <v/>
      </c>
      <c r="I657" s="3" t="str">
        <f t="shared" si="196"/>
        <v/>
      </c>
      <c r="J657" s="2" t="str">
        <f t="shared" si="197"/>
        <v/>
      </c>
      <c r="K657" s="2" t="str">
        <f>IF(W657="","",LOOKUP('Extraction edi'!J657,Paramètrage!$A$6:$A$179,Paramètrage!$B$6:$B$179))</f>
        <v/>
      </c>
      <c r="L657" s="2" t="str">
        <f>IF(W657="","",LOOKUP('Extraction edi'!J657,Paramètrage!$A$6:$A$179,Paramètrage!$C$6:$C$179))</f>
        <v/>
      </c>
      <c r="M657" s="2" t="str">
        <f>IF(W657="","",LOOKUP('Extraction edi'!J657,Paramètrage!$A$6:$A$179,Paramètrage!$D$6:$D$179))</f>
        <v/>
      </c>
      <c r="N657" s="3" t="str">
        <f>IF(W657="","",LOOKUP('Extraction edi'!J657,Paramètrage!$A$6:$A$179,Paramètrage!$E$6:$E$179))</f>
        <v/>
      </c>
      <c r="O657" s="3" t="str">
        <f t="shared" si="198"/>
        <v/>
      </c>
      <c r="P657" s="3" t="str">
        <f t="shared" si="199"/>
        <v/>
      </c>
      <c r="Q657" s="3" t="str">
        <f t="shared" si="209"/>
        <v/>
      </c>
      <c r="R657" s="3" t="str">
        <f t="shared" si="200"/>
        <v/>
      </c>
      <c r="S657" s="3" t="str">
        <f t="shared" si="201"/>
        <v/>
      </c>
      <c r="T657" s="4" t="str">
        <f t="shared" si="202"/>
        <v/>
      </c>
      <c r="U657" s="5" t="str">
        <f t="shared" si="203"/>
        <v/>
      </c>
      <c r="V657" s="7" t="str">
        <f>IF(W657="","",IF(LOOKUP(W657,'Extration 3E date commande'!$A$6:$A$10000)=W657,LOOKUP(W657,'Extration 3E date commande'!$A$6:$A$10000,'Extration 3E date commande'!$C$6:$C$10000),"PAS DE DATE"))</f>
        <v/>
      </c>
    </row>
    <row r="658" spans="1:22" x14ac:dyDescent="0.25">
      <c r="A658" s="3" t="str">
        <f t="shared" si="193"/>
        <v/>
      </c>
      <c r="B658" s="3" t="str">
        <f t="shared" si="194"/>
        <v/>
      </c>
      <c r="C658" s="3" t="str">
        <f t="shared" si="207"/>
        <v/>
      </c>
      <c r="D658" s="3" t="str">
        <f t="shared" si="204"/>
        <v/>
      </c>
      <c r="E658" s="3" t="str">
        <f t="shared" si="205"/>
        <v/>
      </c>
      <c r="F658" s="3" t="str">
        <f t="shared" si="208"/>
        <v/>
      </c>
      <c r="G658" s="3" t="str">
        <f t="shared" si="206"/>
        <v/>
      </c>
      <c r="H658" s="3" t="str">
        <f t="shared" si="195"/>
        <v/>
      </c>
      <c r="I658" s="3" t="str">
        <f t="shared" si="196"/>
        <v/>
      </c>
      <c r="J658" s="2" t="str">
        <f t="shared" si="197"/>
        <v/>
      </c>
      <c r="K658" s="2" t="str">
        <f>IF(W658="","",LOOKUP('Extraction edi'!J658,Paramètrage!$A$6:$A$179,Paramètrage!$B$6:$B$179))</f>
        <v/>
      </c>
      <c r="L658" s="2" t="str">
        <f>IF(W658="","",LOOKUP('Extraction edi'!J658,Paramètrage!$A$6:$A$179,Paramètrage!$C$6:$C$179))</f>
        <v/>
      </c>
      <c r="M658" s="2" t="str">
        <f>IF(W658="","",LOOKUP('Extraction edi'!J658,Paramètrage!$A$6:$A$179,Paramètrage!$D$6:$D$179))</f>
        <v/>
      </c>
      <c r="N658" s="3" t="str">
        <f>IF(W658="","",LOOKUP('Extraction edi'!J658,Paramètrage!$A$6:$A$179,Paramètrage!$E$6:$E$179))</f>
        <v/>
      </c>
      <c r="O658" s="3" t="str">
        <f t="shared" si="198"/>
        <v/>
      </c>
      <c r="P658" s="3" t="str">
        <f t="shared" si="199"/>
        <v/>
      </c>
      <c r="Q658" s="3" t="str">
        <f t="shared" si="209"/>
        <v/>
      </c>
      <c r="R658" s="3" t="str">
        <f t="shared" si="200"/>
        <v/>
      </c>
      <c r="S658" s="3" t="str">
        <f t="shared" si="201"/>
        <v/>
      </c>
      <c r="T658" s="4" t="str">
        <f t="shared" si="202"/>
        <v/>
      </c>
      <c r="U658" s="5" t="str">
        <f t="shared" si="203"/>
        <v/>
      </c>
      <c r="V658" s="7" t="str">
        <f>IF(W658="","",IF(LOOKUP(W658,'Extration 3E date commande'!$A$6:$A$10000)=W658,LOOKUP(W658,'Extration 3E date commande'!$A$6:$A$10000,'Extration 3E date commande'!$C$6:$C$10000),"PAS DE DATE"))</f>
        <v/>
      </c>
    </row>
    <row r="659" spans="1:22" x14ac:dyDescent="0.25">
      <c r="A659" s="3" t="str">
        <f t="shared" si="193"/>
        <v/>
      </c>
      <c r="B659" s="3" t="str">
        <f t="shared" si="194"/>
        <v/>
      </c>
      <c r="C659" s="3" t="str">
        <f t="shared" si="207"/>
        <v/>
      </c>
      <c r="D659" s="3" t="str">
        <f t="shared" si="204"/>
        <v/>
      </c>
      <c r="E659" s="3" t="str">
        <f t="shared" si="205"/>
        <v/>
      </c>
      <c r="F659" s="3" t="str">
        <f t="shared" si="208"/>
        <v/>
      </c>
      <c r="G659" s="3" t="str">
        <f t="shared" si="206"/>
        <v/>
      </c>
      <c r="H659" s="3" t="str">
        <f t="shared" si="195"/>
        <v/>
      </c>
      <c r="I659" s="3" t="str">
        <f t="shared" si="196"/>
        <v/>
      </c>
      <c r="J659" s="2" t="str">
        <f t="shared" si="197"/>
        <v/>
      </c>
      <c r="K659" s="2" t="str">
        <f>IF(W659="","",LOOKUP('Extraction edi'!J659,Paramètrage!$A$6:$A$179,Paramètrage!$B$6:$B$179))</f>
        <v/>
      </c>
      <c r="L659" s="2" t="str">
        <f>IF(W659="","",LOOKUP('Extraction edi'!J659,Paramètrage!$A$6:$A$179,Paramètrage!$C$6:$C$179))</f>
        <v/>
      </c>
      <c r="M659" s="2" t="str">
        <f>IF(W659="","",LOOKUP('Extraction edi'!J659,Paramètrage!$A$6:$A$179,Paramètrage!$D$6:$D$179))</f>
        <v/>
      </c>
      <c r="N659" s="3" t="str">
        <f>IF(W659="","",LOOKUP('Extraction edi'!J659,Paramètrage!$A$6:$A$179,Paramètrage!$E$6:$E$179))</f>
        <v/>
      </c>
      <c r="O659" s="3" t="str">
        <f t="shared" si="198"/>
        <v/>
      </c>
      <c r="P659" s="3" t="str">
        <f t="shared" si="199"/>
        <v/>
      </c>
      <c r="Q659" s="3" t="str">
        <f t="shared" si="209"/>
        <v/>
      </c>
      <c r="R659" s="3" t="str">
        <f t="shared" si="200"/>
        <v/>
      </c>
      <c r="S659" s="3" t="str">
        <f t="shared" si="201"/>
        <v/>
      </c>
      <c r="T659" s="4" t="str">
        <f t="shared" si="202"/>
        <v/>
      </c>
      <c r="U659" s="5" t="str">
        <f t="shared" si="203"/>
        <v/>
      </c>
      <c r="V659" s="7" t="str">
        <f>IF(W659="","",IF(LOOKUP(W659,'Extration 3E date commande'!$A$6:$A$10000)=W659,LOOKUP(W659,'Extration 3E date commande'!$A$6:$A$10000,'Extration 3E date commande'!$C$6:$C$10000),"PAS DE DATE"))</f>
        <v/>
      </c>
    </row>
    <row r="660" spans="1:22" x14ac:dyDescent="0.25">
      <c r="A660" s="3" t="str">
        <f t="shared" si="193"/>
        <v/>
      </c>
      <c r="B660" s="3" t="str">
        <f t="shared" si="194"/>
        <v/>
      </c>
      <c r="C660" s="3" t="str">
        <f t="shared" si="207"/>
        <v/>
      </c>
      <c r="D660" s="3" t="str">
        <f t="shared" si="204"/>
        <v/>
      </c>
      <c r="E660" s="3" t="str">
        <f t="shared" si="205"/>
        <v/>
      </c>
      <c r="F660" s="3" t="str">
        <f t="shared" si="208"/>
        <v/>
      </c>
      <c r="G660" s="3" t="str">
        <f t="shared" si="206"/>
        <v/>
      </c>
      <c r="H660" s="3" t="str">
        <f t="shared" si="195"/>
        <v/>
      </c>
      <c r="I660" s="3" t="str">
        <f t="shared" si="196"/>
        <v/>
      </c>
      <c r="J660" s="2" t="str">
        <f t="shared" si="197"/>
        <v/>
      </c>
      <c r="K660" s="2" t="str">
        <f>IF(W660="","",LOOKUP('Extraction edi'!J660,Paramètrage!$A$6:$A$179,Paramètrage!$B$6:$B$179))</f>
        <v/>
      </c>
      <c r="L660" s="2" t="str">
        <f>IF(W660="","",LOOKUP('Extraction edi'!J660,Paramètrage!$A$6:$A$179,Paramètrage!$C$6:$C$179))</f>
        <v/>
      </c>
      <c r="M660" s="2" t="str">
        <f>IF(W660="","",LOOKUP('Extraction edi'!J660,Paramètrage!$A$6:$A$179,Paramètrage!$D$6:$D$179))</f>
        <v/>
      </c>
      <c r="N660" s="3" t="str">
        <f>IF(W660="","",LOOKUP('Extraction edi'!J660,Paramètrage!$A$6:$A$179,Paramètrage!$E$6:$E$179))</f>
        <v/>
      </c>
      <c r="O660" s="3" t="str">
        <f t="shared" si="198"/>
        <v/>
      </c>
      <c r="P660" s="3" t="str">
        <f t="shared" si="199"/>
        <v/>
      </c>
      <c r="Q660" s="3" t="str">
        <f t="shared" si="209"/>
        <v/>
      </c>
      <c r="R660" s="3" t="str">
        <f t="shared" si="200"/>
        <v/>
      </c>
      <c r="S660" s="3" t="str">
        <f t="shared" si="201"/>
        <v/>
      </c>
      <c r="T660" s="4" t="str">
        <f t="shared" si="202"/>
        <v/>
      </c>
      <c r="U660" s="5" t="str">
        <f t="shared" si="203"/>
        <v/>
      </c>
      <c r="V660" s="7" t="str">
        <f>IF(W660="","",IF(LOOKUP(W660,'Extration 3E date commande'!$A$6:$A$10000)=W660,LOOKUP(W660,'Extration 3E date commande'!$A$6:$A$10000,'Extration 3E date commande'!$C$6:$C$10000),"PAS DE DATE"))</f>
        <v/>
      </c>
    </row>
    <row r="661" spans="1:22" x14ac:dyDescent="0.25">
      <c r="A661" s="3" t="str">
        <f t="shared" si="193"/>
        <v/>
      </c>
      <c r="B661" s="3" t="str">
        <f t="shared" si="194"/>
        <v/>
      </c>
      <c r="C661" s="3" t="str">
        <f t="shared" si="207"/>
        <v/>
      </c>
      <c r="D661" s="3" t="str">
        <f t="shared" si="204"/>
        <v/>
      </c>
      <c r="E661" s="3" t="str">
        <f t="shared" si="205"/>
        <v/>
      </c>
      <c r="F661" s="3" t="str">
        <f t="shared" si="208"/>
        <v/>
      </c>
      <c r="G661" s="3" t="str">
        <f t="shared" si="206"/>
        <v/>
      </c>
      <c r="H661" s="3" t="str">
        <f t="shared" si="195"/>
        <v/>
      </c>
      <c r="I661" s="3" t="str">
        <f t="shared" si="196"/>
        <v/>
      </c>
      <c r="J661" s="2" t="str">
        <f t="shared" si="197"/>
        <v/>
      </c>
      <c r="K661" s="2" t="str">
        <f>IF(W661="","",LOOKUP('Extraction edi'!J661,Paramètrage!$A$6:$A$179,Paramètrage!$B$6:$B$179))</f>
        <v/>
      </c>
      <c r="L661" s="2" t="str">
        <f>IF(W661="","",LOOKUP('Extraction edi'!J661,Paramètrage!$A$6:$A$179,Paramètrage!$C$6:$C$179))</f>
        <v/>
      </c>
      <c r="M661" s="2" t="str">
        <f>IF(W661="","",LOOKUP('Extraction edi'!J661,Paramètrage!$A$6:$A$179,Paramètrage!$D$6:$D$179))</f>
        <v/>
      </c>
      <c r="N661" s="3" t="str">
        <f>IF(W661="","",LOOKUP('Extraction edi'!J661,Paramètrage!$A$6:$A$179,Paramètrage!$E$6:$E$179))</f>
        <v/>
      </c>
      <c r="O661" s="3" t="str">
        <f t="shared" si="198"/>
        <v/>
      </c>
      <c r="P661" s="3" t="str">
        <f t="shared" si="199"/>
        <v/>
      </c>
      <c r="Q661" s="3" t="str">
        <f t="shared" si="209"/>
        <v/>
      </c>
      <c r="R661" s="3" t="str">
        <f t="shared" si="200"/>
        <v/>
      </c>
      <c r="S661" s="3" t="str">
        <f t="shared" si="201"/>
        <v/>
      </c>
      <c r="T661" s="4" t="str">
        <f t="shared" si="202"/>
        <v/>
      </c>
      <c r="U661" s="5" t="str">
        <f t="shared" si="203"/>
        <v/>
      </c>
      <c r="V661" s="7" t="str">
        <f>IF(W661="","",IF(LOOKUP(W661,'Extration 3E date commande'!$A$6:$A$10000)=W661,LOOKUP(W661,'Extration 3E date commande'!$A$6:$A$10000,'Extration 3E date commande'!$C$6:$C$10000),"PAS DE DATE"))</f>
        <v/>
      </c>
    </row>
    <row r="662" spans="1:22" x14ac:dyDescent="0.25">
      <c r="A662" s="3" t="str">
        <f t="shared" ref="A662:A725" si="210">IF(W662="","",LEFT(W662,7))</f>
        <v/>
      </c>
      <c r="B662" s="3" t="str">
        <f t="shared" ref="B662:B725" si="211">IF(W662="","",RIGHT(W662,3))</f>
        <v/>
      </c>
      <c r="C662" s="3" t="str">
        <f t="shared" si="207"/>
        <v/>
      </c>
      <c r="D662" s="3" t="str">
        <f t="shared" ref="D662:D725" si="212">IF(ISERROR(SEARCH("P",B662)),"","PE")</f>
        <v/>
      </c>
      <c r="E662" s="3" t="str">
        <f t="shared" si="205"/>
        <v/>
      </c>
      <c r="F662" s="3" t="str">
        <f t="shared" ref="F662:F725" si="213">IF(ISERROR(SEARCH("H",B662))=FALSE,"TEXTURAL",IF(ISERROR(SEARCH("Z",B662)),"","TEXTURAL"))</f>
        <v/>
      </c>
      <c r="G662" s="3" t="str">
        <f t="shared" si="206"/>
        <v/>
      </c>
      <c r="H662" s="3" t="str">
        <f t="shared" ref="H662:H725" si="214">IF(W662="","",X662)</f>
        <v/>
      </c>
      <c r="I662" s="3" t="str">
        <f t="shared" ref="I662:I725" si="215">IF(W662="","",Z662)</f>
        <v/>
      </c>
      <c r="J662" s="2" t="str">
        <f t="shared" ref="J662:J725" si="216">IF(W662="","",IF(AND(T662=FALSE,T661=FALSE,T660=FALSE,T659=FALSE,T658=FALSE),AA657,IF(AND(T662=FALSE,T661=FALSE,T660=FALSE,T659=FALSE),AA658,IF(AND(T662=FALSE,T661=FALSE,T660=FALSE),AA659,IF(AND(T662=FALSE,T661=FALSE),AA660,IF(T662=FALSE,AA661,AA662))))))</f>
        <v/>
      </c>
      <c r="K662" s="2" t="str">
        <f>IF(W662="","",LOOKUP('Extraction edi'!J662,Paramètrage!$A$6:$A$179,Paramètrage!$B$6:$B$179))</f>
        <v/>
      </c>
      <c r="L662" s="2" t="str">
        <f>IF(W662="","",LOOKUP('Extraction edi'!J662,Paramètrage!$A$6:$A$179,Paramètrage!$C$6:$C$179))</f>
        <v/>
      </c>
      <c r="M662" s="2" t="str">
        <f>IF(W662="","",LOOKUP('Extraction edi'!J662,Paramètrage!$A$6:$A$179,Paramètrage!$D$6:$D$179))</f>
        <v/>
      </c>
      <c r="N662" s="3" t="str">
        <f>IF(W662="","",LOOKUP('Extraction edi'!J662,Paramètrage!$A$6:$A$179,Paramètrage!$E$6:$E$179))</f>
        <v/>
      </c>
      <c r="O662" s="3" t="str">
        <f t="shared" ref="O662:O725" si="217">IF(W662="","",IF(LEFT(AA662,4)="soub",AB662,IF(LEFT(AA662,3)="cim",AB662,AA662)))</f>
        <v/>
      </c>
      <c r="P662" s="3" t="str">
        <f t="shared" ref="P662:P725" si="218">IF(LEFT(U662,1)="N",SUBSTITUTE(AB662,"*",""),IF(LEFT(U662,1)="S",SUBSTITUTE(AB662,"*",""),IF(LEFT(U662,1)="G",SUBSTITUTE(AB662,"*",""),IF(LEN(U662)=11,SUBSTITUTE(AB662,"*",""),U662))))</f>
        <v/>
      </c>
      <c r="Q662" s="3" t="str">
        <f t="shared" si="209"/>
        <v/>
      </c>
      <c r="R662" s="3" t="str">
        <f t="shared" ref="R662:R725" si="219">IF(W662="","",IF(RIGHT(L662,7)="RAL9001",L662,IF(LEFT(AE662,1)="N",AE662,IF(LEFT(AE662,1)="S",AE662,IF(LEFT(AE662,1)="G",AE662,"")))))</f>
        <v/>
      </c>
      <c r="S662" s="3" t="str">
        <f t="shared" ref="S662:S725" si="220">IF(W662="","",IF(RIGHT(M662,7)="RAL9001",M662,IF(LEFT(AC662,1)="N",AC662,IF(LEFT(AC662,1)="S",AC662,IF(LEFT(AC662,1)="G",AC662,IF(LEFT(AD662,1)="N",AD662,IF(LEFT(AD662,1)="S",AD662,IF(LEFT(AD662,1)="G",AD662,""))))))))</f>
        <v/>
      </c>
      <c r="T662" s="4" t="str">
        <f t="shared" ref="T662:T725" si="221">IF(W662="","",IF(LEFT(AA662,4)&lt;&gt;"soub",IF(LEFT(AA662,3)&lt;&gt;"cim"=FALSE,AA662),AA662))</f>
        <v/>
      </c>
      <c r="U662" s="5" t="str">
        <f t="shared" ref="U662:U725" si="222">SUBSTITUTE(AC662,"*","")</f>
        <v/>
      </c>
      <c r="V662" s="7" t="str">
        <f>IF(W662="","",IF(LOOKUP(W662,'Extration 3E date commande'!$A$6:$A$10000)=W662,LOOKUP(W662,'Extration 3E date commande'!$A$6:$A$10000,'Extration 3E date commande'!$C$6:$C$10000),"PAS DE DATE"))</f>
        <v/>
      </c>
    </row>
    <row r="663" spans="1:22" x14ac:dyDescent="0.25">
      <c r="A663" s="3" t="str">
        <f t="shared" si="210"/>
        <v/>
      </c>
      <c r="B663" s="3" t="str">
        <f t="shared" si="211"/>
        <v/>
      </c>
      <c r="C663" s="3" t="str">
        <f t="shared" si="207"/>
        <v/>
      </c>
      <c r="D663" s="3" t="str">
        <f t="shared" si="212"/>
        <v/>
      </c>
      <c r="E663" s="3" t="str">
        <f t="shared" si="205"/>
        <v/>
      </c>
      <c r="F663" s="3" t="str">
        <f t="shared" si="213"/>
        <v/>
      </c>
      <c r="G663" s="3" t="str">
        <f t="shared" si="206"/>
        <v/>
      </c>
      <c r="H663" s="3" t="str">
        <f t="shared" si="214"/>
        <v/>
      </c>
      <c r="I663" s="3" t="str">
        <f t="shared" si="215"/>
        <v/>
      </c>
      <c r="J663" s="2" t="str">
        <f t="shared" si="216"/>
        <v/>
      </c>
      <c r="K663" s="2" t="str">
        <f>IF(W663="","",LOOKUP('Extraction edi'!J663,Paramètrage!$A$6:$A$179,Paramètrage!$B$6:$B$179))</f>
        <v/>
      </c>
      <c r="L663" s="2" t="str">
        <f>IF(W663="","",LOOKUP('Extraction edi'!J663,Paramètrage!$A$6:$A$179,Paramètrage!$C$6:$C$179))</f>
        <v/>
      </c>
      <c r="M663" s="2" t="str">
        <f>IF(W663="","",LOOKUP('Extraction edi'!J663,Paramètrage!$A$6:$A$179,Paramètrage!$D$6:$D$179))</f>
        <v/>
      </c>
      <c r="N663" s="3" t="str">
        <f>IF(W663="","",LOOKUP('Extraction edi'!J663,Paramètrage!$A$6:$A$179,Paramètrage!$E$6:$E$179))</f>
        <v/>
      </c>
      <c r="O663" s="3" t="str">
        <f t="shared" si="217"/>
        <v/>
      </c>
      <c r="P663" s="3" t="str">
        <f t="shared" si="218"/>
        <v/>
      </c>
      <c r="Q663" s="3" t="str">
        <f t="shared" si="209"/>
        <v/>
      </c>
      <c r="R663" s="3" t="str">
        <f t="shared" si="219"/>
        <v/>
      </c>
      <c r="S663" s="3" t="str">
        <f t="shared" si="220"/>
        <v/>
      </c>
      <c r="T663" s="4" t="str">
        <f t="shared" si="221"/>
        <v/>
      </c>
      <c r="U663" s="5" t="str">
        <f t="shared" si="222"/>
        <v/>
      </c>
      <c r="V663" s="7" t="str">
        <f>IF(W663="","",IF(LOOKUP(W663,'Extration 3E date commande'!$A$6:$A$10000)=W663,LOOKUP(W663,'Extration 3E date commande'!$A$6:$A$10000,'Extration 3E date commande'!$C$6:$C$10000),"PAS DE DATE"))</f>
        <v/>
      </c>
    </row>
    <row r="664" spans="1:22" x14ac:dyDescent="0.25">
      <c r="A664" s="3" t="str">
        <f t="shared" si="210"/>
        <v/>
      </c>
      <c r="B664" s="3" t="str">
        <f t="shared" si="211"/>
        <v/>
      </c>
      <c r="C664" s="3" t="str">
        <f t="shared" si="207"/>
        <v/>
      </c>
      <c r="D664" s="3" t="str">
        <f t="shared" si="212"/>
        <v/>
      </c>
      <c r="E664" s="3" t="str">
        <f t="shared" si="205"/>
        <v/>
      </c>
      <c r="F664" s="3" t="str">
        <f t="shared" si="213"/>
        <v/>
      </c>
      <c r="G664" s="3" t="str">
        <f t="shared" si="206"/>
        <v/>
      </c>
      <c r="H664" s="3" t="str">
        <f t="shared" si="214"/>
        <v/>
      </c>
      <c r="I664" s="3" t="str">
        <f t="shared" si="215"/>
        <v/>
      </c>
      <c r="J664" s="2" t="str">
        <f t="shared" si="216"/>
        <v/>
      </c>
      <c r="K664" s="2" t="str">
        <f>IF(W664="","",LOOKUP('Extraction edi'!J664,Paramètrage!$A$6:$A$179,Paramètrage!$B$6:$B$179))</f>
        <v/>
      </c>
      <c r="L664" s="2" t="str">
        <f>IF(W664="","",LOOKUP('Extraction edi'!J664,Paramètrage!$A$6:$A$179,Paramètrage!$C$6:$C$179))</f>
        <v/>
      </c>
      <c r="M664" s="2" t="str">
        <f>IF(W664="","",LOOKUP('Extraction edi'!J664,Paramètrage!$A$6:$A$179,Paramètrage!$D$6:$D$179))</f>
        <v/>
      </c>
      <c r="N664" s="3" t="str">
        <f>IF(W664="","",LOOKUP('Extraction edi'!J664,Paramètrage!$A$6:$A$179,Paramètrage!$E$6:$E$179))</f>
        <v/>
      </c>
      <c r="O664" s="3" t="str">
        <f t="shared" si="217"/>
        <v/>
      </c>
      <c r="P664" s="3" t="str">
        <f t="shared" si="218"/>
        <v/>
      </c>
      <c r="Q664" s="3" t="str">
        <f t="shared" si="209"/>
        <v/>
      </c>
      <c r="R664" s="3" t="str">
        <f t="shared" si="219"/>
        <v/>
      </c>
      <c r="S664" s="3" t="str">
        <f t="shared" si="220"/>
        <v/>
      </c>
      <c r="T664" s="4" t="str">
        <f t="shared" si="221"/>
        <v/>
      </c>
      <c r="U664" s="5" t="str">
        <f t="shared" si="222"/>
        <v/>
      </c>
      <c r="V664" s="7" t="str">
        <f>IF(W664="","",IF(LOOKUP(W664,'Extration 3E date commande'!$A$6:$A$10000)=W664,LOOKUP(W664,'Extration 3E date commande'!$A$6:$A$10000,'Extration 3E date commande'!$C$6:$C$10000),"PAS DE DATE"))</f>
        <v/>
      </c>
    </row>
    <row r="665" spans="1:22" x14ac:dyDescent="0.25">
      <c r="A665" s="3" t="str">
        <f t="shared" si="210"/>
        <v/>
      </c>
      <c r="B665" s="3" t="str">
        <f t="shared" si="211"/>
        <v/>
      </c>
      <c r="C665" s="3" t="str">
        <f t="shared" si="207"/>
        <v/>
      </c>
      <c r="D665" s="3" t="str">
        <f t="shared" si="212"/>
        <v/>
      </c>
      <c r="E665" s="3" t="str">
        <f t="shared" si="205"/>
        <v/>
      </c>
      <c r="F665" s="3" t="str">
        <f t="shared" si="213"/>
        <v/>
      </c>
      <c r="G665" s="3" t="str">
        <f t="shared" si="206"/>
        <v/>
      </c>
      <c r="H665" s="3" t="str">
        <f t="shared" si="214"/>
        <v/>
      </c>
      <c r="I665" s="3" t="str">
        <f t="shared" si="215"/>
        <v/>
      </c>
      <c r="J665" s="2" t="str">
        <f t="shared" si="216"/>
        <v/>
      </c>
      <c r="K665" s="2" t="str">
        <f>IF(W665="","",LOOKUP('Extraction edi'!J665,Paramètrage!$A$6:$A$179,Paramètrage!$B$6:$B$179))</f>
        <v/>
      </c>
      <c r="L665" s="2" t="str">
        <f>IF(W665="","",LOOKUP('Extraction edi'!J665,Paramètrage!$A$6:$A$179,Paramètrage!$C$6:$C$179))</f>
        <v/>
      </c>
      <c r="M665" s="2" t="str">
        <f>IF(W665="","",LOOKUP('Extraction edi'!J665,Paramètrage!$A$6:$A$179,Paramètrage!$D$6:$D$179))</f>
        <v/>
      </c>
      <c r="N665" s="3" t="str">
        <f>IF(W665="","",LOOKUP('Extraction edi'!J665,Paramètrage!$A$6:$A$179,Paramètrage!$E$6:$E$179))</f>
        <v/>
      </c>
      <c r="O665" s="3" t="str">
        <f t="shared" si="217"/>
        <v/>
      </c>
      <c r="P665" s="3" t="str">
        <f t="shared" si="218"/>
        <v/>
      </c>
      <c r="Q665" s="3" t="str">
        <f t="shared" si="209"/>
        <v/>
      </c>
      <c r="R665" s="3" t="str">
        <f t="shared" si="219"/>
        <v/>
      </c>
      <c r="S665" s="3" t="str">
        <f t="shared" si="220"/>
        <v/>
      </c>
      <c r="T665" s="4" t="str">
        <f t="shared" si="221"/>
        <v/>
      </c>
      <c r="U665" s="5" t="str">
        <f t="shared" si="222"/>
        <v/>
      </c>
      <c r="V665" s="7" t="str">
        <f>IF(W665="","",IF(LOOKUP(W665,'Extration 3E date commande'!$A$6:$A$10000)=W665,LOOKUP(W665,'Extration 3E date commande'!$A$6:$A$10000,'Extration 3E date commande'!$C$6:$C$10000),"PAS DE DATE"))</f>
        <v/>
      </c>
    </row>
    <row r="666" spans="1:22" x14ac:dyDescent="0.25">
      <c r="A666" s="3" t="str">
        <f t="shared" si="210"/>
        <v/>
      </c>
      <c r="B666" s="3" t="str">
        <f t="shared" si="211"/>
        <v/>
      </c>
      <c r="C666" s="3" t="str">
        <f t="shared" si="207"/>
        <v/>
      </c>
      <c r="D666" s="3" t="str">
        <f t="shared" si="212"/>
        <v/>
      </c>
      <c r="E666" s="3" t="str">
        <f t="shared" si="205"/>
        <v/>
      </c>
      <c r="F666" s="3" t="str">
        <f t="shared" si="213"/>
        <v/>
      </c>
      <c r="G666" s="3" t="str">
        <f t="shared" si="206"/>
        <v/>
      </c>
      <c r="H666" s="3" t="str">
        <f t="shared" si="214"/>
        <v/>
      </c>
      <c r="I666" s="3" t="str">
        <f t="shared" si="215"/>
        <v/>
      </c>
      <c r="J666" s="2" t="str">
        <f t="shared" si="216"/>
        <v/>
      </c>
      <c r="K666" s="2" t="str">
        <f>IF(W666="","",LOOKUP('Extraction edi'!J666,Paramètrage!$A$6:$A$179,Paramètrage!$B$6:$B$179))</f>
        <v/>
      </c>
      <c r="L666" s="2" t="str">
        <f>IF(W666="","",LOOKUP('Extraction edi'!J666,Paramètrage!$A$6:$A$179,Paramètrage!$C$6:$C$179))</f>
        <v/>
      </c>
      <c r="M666" s="2" t="str">
        <f>IF(W666="","",LOOKUP('Extraction edi'!J666,Paramètrage!$A$6:$A$179,Paramètrage!$D$6:$D$179))</f>
        <v/>
      </c>
      <c r="N666" s="3" t="str">
        <f>IF(W666="","",LOOKUP('Extraction edi'!J666,Paramètrage!$A$6:$A$179,Paramètrage!$E$6:$E$179))</f>
        <v/>
      </c>
      <c r="O666" s="3" t="str">
        <f t="shared" si="217"/>
        <v/>
      </c>
      <c r="P666" s="3" t="str">
        <f t="shared" si="218"/>
        <v/>
      </c>
      <c r="Q666" s="3" t="str">
        <f t="shared" si="209"/>
        <v/>
      </c>
      <c r="R666" s="3" t="str">
        <f t="shared" si="219"/>
        <v/>
      </c>
      <c r="S666" s="3" t="str">
        <f t="shared" si="220"/>
        <v/>
      </c>
      <c r="T666" s="4" t="str">
        <f t="shared" si="221"/>
        <v/>
      </c>
      <c r="U666" s="5" t="str">
        <f t="shared" si="222"/>
        <v/>
      </c>
      <c r="V666" s="7" t="str">
        <f>IF(W666="","",IF(LOOKUP(W666,'Extration 3E date commande'!$A$6:$A$10000)=W666,LOOKUP(W666,'Extration 3E date commande'!$A$6:$A$10000,'Extration 3E date commande'!$C$6:$C$10000),"PAS DE DATE"))</f>
        <v/>
      </c>
    </row>
    <row r="667" spans="1:22" x14ac:dyDescent="0.25">
      <c r="A667" s="3" t="str">
        <f t="shared" si="210"/>
        <v/>
      </c>
      <c r="B667" s="3" t="str">
        <f t="shared" si="211"/>
        <v/>
      </c>
      <c r="C667" s="3" t="str">
        <f t="shared" si="207"/>
        <v/>
      </c>
      <c r="D667" s="3" t="str">
        <f t="shared" si="212"/>
        <v/>
      </c>
      <c r="E667" s="3" t="str">
        <f t="shared" si="205"/>
        <v/>
      </c>
      <c r="F667" s="3" t="str">
        <f t="shared" si="213"/>
        <v/>
      </c>
      <c r="G667" s="3" t="str">
        <f t="shared" si="206"/>
        <v/>
      </c>
      <c r="H667" s="3" t="str">
        <f t="shared" si="214"/>
        <v/>
      </c>
      <c r="I667" s="3" t="str">
        <f t="shared" si="215"/>
        <v/>
      </c>
      <c r="J667" s="2" t="str">
        <f t="shared" si="216"/>
        <v/>
      </c>
      <c r="K667" s="2" t="str">
        <f>IF(W667="","",LOOKUP('Extraction edi'!J667,Paramètrage!$A$6:$A$179,Paramètrage!$B$6:$B$179))</f>
        <v/>
      </c>
      <c r="L667" s="2" t="str">
        <f>IF(W667="","",LOOKUP('Extraction edi'!J667,Paramètrage!$A$6:$A$179,Paramètrage!$C$6:$C$179))</f>
        <v/>
      </c>
      <c r="M667" s="2" t="str">
        <f>IF(W667="","",LOOKUP('Extraction edi'!J667,Paramètrage!$A$6:$A$179,Paramètrage!$D$6:$D$179))</f>
        <v/>
      </c>
      <c r="N667" s="3" t="str">
        <f>IF(W667="","",LOOKUP('Extraction edi'!J667,Paramètrage!$A$6:$A$179,Paramètrage!$E$6:$E$179))</f>
        <v/>
      </c>
      <c r="O667" s="3" t="str">
        <f t="shared" si="217"/>
        <v/>
      </c>
      <c r="P667" s="3" t="str">
        <f t="shared" si="218"/>
        <v/>
      </c>
      <c r="Q667" s="3" t="str">
        <f t="shared" si="209"/>
        <v/>
      </c>
      <c r="R667" s="3" t="str">
        <f t="shared" si="219"/>
        <v/>
      </c>
      <c r="S667" s="3" t="str">
        <f t="shared" si="220"/>
        <v/>
      </c>
      <c r="T667" s="4" t="str">
        <f t="shared" si="221"/>
        <v/>
      </c>
      <c r="U667" s="5" t="str">
        <f t="shared" si="222"/>
        <v/>
      </c>
      <c r="V667" s="7" t="str">
        <f>IF(W667="","",IF(LOOKUP(W667,'Extration 3E date commande'!$A$6:$A$10000)=W667,LOOKUP(W667,'Extration 3E date commande'!$A$6:$A$10000,'Extration 3E date commande'!$C$6:$C$10000),"PAS DE DATE"))</f>
        <v/>
      </c>
    </row>
    <row r="668" spans="1:22" x14ac:dyDescent="0.25">
      <c r="A668" s="3" t="str">
        <f t="shared" si="210"/>
        <v/>
      </c>
      <c r="B668" s="3" t="str">
        <f t="shared" si="211"/>
        <v/>
      </c>
      <c r="C668" s="3" t="str">
        <f t="shared" si="207"/>
        <v/>
      </c>
      <c r="D668" s="3" t="str">
        <f t="shared" si="212"/>
        <v/>
      </c>
      <c r="E668" s="3" t="str">
        <f t="shared" si="205"/>
        <v/>
      </c>
      <c r="F668" s="3" t="str">
        <f t="shared" si="213"/>
        <v/>
      </c>
      <c r="G668" s="3" t="str">
        <f t="shared" si="206"/>
        <v/>
      </c>
      <c r="H668" s="3" t="str">
        <f t="shared" si="214"/>
        <v/>
      </c>
      <c r="I668" s="3" t="str">
        <f t="shared" si="215"/>
        <v/>
      </c>
      <c r="J668" s="2" t="str">
        <f t="shared" si="216"/>
        <v/>
      </c>
      <c r="K668" s="2" t="str">
        <f>IF(W668="","",LOOKUP('Extraction edi'!J668,Paramètrage!$A$6:$A$179,Paramètrage!$B$6:$B$179))</f>
        <v/>
      </c>
      <c r="L668" s="2" t="str">
        <f>IF(W668="","",LOOKUP('Extraction edi'!J668,Paramètrage!$A$6:$A$179,Paramètrage!$C$6:$C$179))</f>
        <v/>
      </c>
      <c r="M668" s="2" t="str">
        <f>IF(W668="","",LOOKUP('Extraction edi'!J668,Paramètrage!$A$6:$A$179,Paramètrage!$D$6:$D$179))</f>
        <v/>
      </c>
      <c r="N668" s="3" t="str">
        <f>IF(W668="","",LOOKUP('Extraction edi'!J668,Paramètrage!$A$6:$A$179,Paramètrage!$E$6:$E$179))</f>
        <v/>
      </c>
      <c r="O668" s="3" t="str">
        <f t="shared" si="217"/>
        <v/>
      </c>
      <c r="P668" s="3" t="str">
        <f t="shared" si="218"/>
        <v/>
      </c>
      <c r="Q668" s="3" t="str">
        <f t="shared" si="209"/>
        <v/>
      </c>
      <c r="R668" s="3" t="str">
        <f t="shared" si="219"/>
        <v/>
      </c>
      <c r="S668" s="3" t="str">
        <f t="shared" si="220"/>
        <v/>
      </c>
      <c r="T668" s="4" t="str">
        <f t="shared" si="221"/>
        <v/>
      </c>
      <c r="U668" s="5" t="str">
        <f t="shared" si="222"/>
        <v/>
      </c>
      <c r="V668" s="7" t="str">
        <f>IF(W668="","",IF(LOOKUP(W668,'Extration 3E date commande'!$A$6:$A$10000)=W668,LOOKUP(W668,'Extration 3E date commande'!$A$6:$A$10000,'Extration 3E date commande'!$C$6:$C$10000),"PAS DE DATE"))</f>
        <v/>
      </c>
    </row>
    <row r="669" spans="1:22" x14ac:dyDescent="0.25">
      <c r="A669" s="3" t="str">
        <f t="shared" si="210"/>
        <v/>
      </c>
      <c r="B669" s="3" t="str">
        <f t="shared" si="211"/>
        <v/>
      </c>
      <c r="C669" s="3" t="str">
        <f t="shared" si="207"/>
        <v/>
      </c>
      <c r="D669" s="3" t="str">
        <f t="shared" si="212"/>
        <v/>
      </c>
      <c r="E669" s="3" t="str">
        <f t="shared" si="205"/>
        <v/>
      </c>
      <c r="F669" s="3" t="str">
        <f t="shared" si="213"/>
        <v/>
      </c>
      <c r="G669" s="3" t="str">
        <f t="shared" si="206"/>
        <v/>
      </c>
      <c r="H669" s="3" t="str">
        <f t="shared" si="214"/>
        <v/>
      </c>
      <c r="I669" s="3" t="str">
        <f t="shared" si="215"/>
        <v/>
      </c>
      <c r="J669" s="2" t="str">
        <f t="shared" si="216"/>
        <v/>
      </c>
      <c r="K669" s="2" t="str">
        <f>IF(W669="","",LOOKUP('Extraction edi'!J669,Paramètrage!$A$6:$A$179,Paramètrage!$B$6:$B$179))</f>
        <v/>
      </c>
      <c r="L669" s="2" t="str">
        <f>IF(W669="","",LOOKUP('Extraction edi'!J669,Paramètrage!$A$6:$A$179,Paramètrage!$C$6:$C$179))</f>
        <v/>
      </c>
      <c r="M669" s="2" t="str">
        <f>IF(W669="","",LOOKUP('Extraction edi'!J669,Paramètrage!$A$6:$A$179,Paramètrage!$D$6:$D$179))</f>
        <v/>
      </c>
      <c r="N669" s="3" t="str">
        <f>IF(W669="","",LOOKUP('Extraction edi'!J669,Paramètrage!$A$6:$A$179,Paramètrage!$E$6:$E$179))</f>
        <v/>
      </c>
      <c r="O669" s="3" t="str">
        <f t="shared" si="217"/>
        <v/>
      </c>
      <c r="P669" s="3" t="str">
        <f t="shared" si="218"/>
        <v/>
      </c>
      <c r="Q669" s="3" t="str">
        <f t="shared" si="209"/>
        <v/>
      </c>
      <c r="R669" s="3" t="str">
        <f t="shared" si="219"/>
        <v/>
      </c>
      <c r="S669" s="3" t="str">
        <f t="shared" si="220"/>
        <v/>
      </c>
      <c r="T669" s="4" t="str">
        <f t="shared" si="221"/>
        <v/>
      </c>
      <c r="U669" s="5" t="str">
        <f t="shared" si="222"/>
        <v/>
      </c>
      <c r="V669" s="7" t="str">
        <f>IF(W669="","",IF(LOOKUP(W669,'Extration 3E date commande'!$A$6:$A$10000)=W669,LOOKUP(W669,'Extration 3E date commande'!$A$6:$A$10000,'Extration 3E date commande'!$C$6:$C$10000),"PAS DE DATE"))</f>
        <v/>
      </c>
    </row>
    <row r="670" spans="1:22" x14ac:dyDescent="0.25">
      <c r="A670" s="3" t="str">
        <f t="shared" si="210"/>
        <v/>
      </c>
      <c r="B670" s="3" t="str">
        <f t="shared" si="211"/>
        <v/>
      </c>
      <c r="C670" s="3" t="str">
        <f t="shared" si="207"/>
        <v/>
      </c>
      <c r="D670" s="3" t="str">
        <f t="shared" si="212"/>
        <v/>
      </c>
      <c r="E670" s="3" t="str">
        <f t="shared" si="205"/>
        <v/>
      </c>
      <c r="F670" s="3" t="str">
        <f t="shared" si="213"/>
        <v/>
      </c>
      <c r="G670" s="3" t="str">
        <f t="shared" si="206"/>
        <v/>
      </c>
      <c r="H670" s="3" t="str">
        <f t="shared" si="214"/>
        <v/>
      </c>
      <c r="I670" s="3" t="str">
        <f t="shared" si="215"/>
        <v/>
      </c>
      <c r="J670" s="2" t="str">
        <f t="shared" si="216"/>
        <v/>
      </c>
      <c r="K670" s="2" t="str">
        <f>IF(W670="","",LOOKUP('Extraction edi'!J670,Paramètrage!$A$6:$A$179,Paramètrage!$B$6:$B$179))</f>
        <v/>
      </c>
      <c r="L670" s="2" t="str">
        <f>IF(W670="","",LOOKUP('Extraction edi'!J670,Paramètrage!$A$6:$A$179,Paramètrage!$C$6:$C$179))</f>
        <v/>
      </c>
      <c r="M670" s="2" t="str">
        <f>IF(W670="","",LOOKUP('Extraction edi'!J670,Paramètrage!$A$6:$A$179,Paramètrage!$D$6:$D$179))</f>
        <v/>
      </c>
      <c r="N670" s="3" t="str">
        <f>IF(W670="","",LOOKUP('Extraction edi'!J670,Paramètrage!$A$6:$A$179,Paramètrage!$E$6:$E$179))</f>
        <v/>
      </c>
      <c r="O670" s="3" t="str">
        <f t="shared" si="217"/>
        <v/>
      </c>
      <c r="P670" s="3" t="str">
        <f t="shared" si="218"/>
        <v/>
      </c>
      <c r="Q670" s="3" t="str">
        <f t="shared" si="209"/>
        <v/>
      </c>
      <c r="R670" s="3" t="str">
        <f t="shared" si="219"/>
        <v/>
      </c>
      <c r="S670" s="3" t="str">
        <f t="shared" si="220"/>
        <v/>
      </c>
      <c r="T670" s="4" t="str">
        <f t="shared" si="221"/>
        <v/>
      </c>
      <c r="U670" s="5" t="str">
        <f t="shared" si="222"/>
        <v/>
      </c>
      <c r="V670" s="7" t="str">
        <f>IF(W670="","",IF(LOOKUP(W670,'Extration 3E date commande'!$A$6:$A$10000)=W670,LOOKUP(W670,'Extration 3E date commande'!$A$6:$A$10000,'Extration 3E date commande'!$C$6:$C$10000),"PAS DE DATE"))</f>
        <v/>
      </c>
    </row>
    <row r="671" spans="1:22" x14ac:dyDescent="0.25">
      <c r="A671" s="3" t="str">
        <f t="shared" si="210"/>
        <v/>
      </c>
      <c r="B671" s="3" t="str">
        <f t="shared" si="211"/>
        <v/>
      </c>
      <c r="C671" s="3" t="str">
        <f t="shared" si="207"/>
        <v/>
      </c>
      <c r="D671" s="3" t="str">
        <f t="shared" si="212"/>
        <v/>
      </c>
      <c r="E671" s="3" t="str">
        <f t="shared" si="205"/>
        <v/>
      </c>
      <c r="F671" s="3" t="str">
        <f t="shared" si="213"/>
        <v/>
      </c>
      <c r="G671" s="3" t="str">
        <f t="shared" si="206"/>
        <v/>
      </c>
      <c r="H671" s="3" t="str">
        <f t="shared" si="214"/>
        <v/>
      </c>
      <c r="I671" s="3" t="str">
        <f t="shared" si="215"/>
        <v/>
      </c>
      <c r="J671" s="2" t="str">
        <f t="shared" si="216"/>
        <v/>
      </c>
      <c r="K671" s="2" t="str">
        <f>IF(W671="","",LOOKUP('Extraction edi'!J671,Paramètrage!$A$6:$A$179,Paramètrage!$B$6:$B$179))</f>
        <v/>
      </c>
      <c r="L671" s="2" t="str">
        <f>IF(W671="","",LOOKUP('Extraction edi'!J671,Paramètrage!$A$6:$A$179,Paramètrage!$C$6:$C$179))</f>
        <v/>
      </c>
      <c r="M671" s="2" t="str">
        <f>IF(W671="","",LOOKUP('Extraction edi'!J671,Paramètrage!$A$6:$A$179,Paramètrage!$D$6:$D$179))</f>
        <v/>
      </c>
      <c r="N671" s="3" t="str">
        <f>IF(W671="","",LOOKUP('Extraction edi'!J671,Paramètrage!$A$6:$A$179,Paramètrage!$E$6:$E$179))</f>
        <v/>
      </c>
      <c r="O671" s="3" t="str">
        <f t="shared" si="217"/>
        <v/>
      </c>
      <c r="P671" s="3" t="str">
        <f t="shared" si="218"/>
        <v/>
      </c>
      <c r="Q671" s="3" t="str">
        <f t="shared" si="209"/>
        <v/>
      </c>
      <c r="R671" s="3" t="str">
        <f t="shared" si="219"/>
        <v/>
      </c>
      <c r="S671" s="3" t="str">
        <f t="shared" si="220"/>
        <v/>
      </c>
      <c r="T671" s="4" t="str">
        <f t="shared" si="221"/>
        <v/>
      </c>
      <c r="U671" s="5" t="str">
        <f t="shared" si="222"/>
        <v/>
      </c>
      <c r="V671" s="7" t="str">
        <f>IF(W671="","",IF(LOOKUP(W671,'Extration 3E date commande'!$A$6:$A$10000)=W671,LOOKUP(W671,'Extration 3E date commande'!$A$6:$A$10000,'Extration 3E date commande'!$C$6:$C$10000),"PAS DE DATE"))</f>
        <v/>
      </c>
    </row>
    <row r="672" spans="1:22" x14ac:dyDescent="0.25">
      <c r="A672" s="3" t="str">
        <f t="shared" si="210"/>
        <v/>
      </c>
      <c r="B672" s="3" t="str">
        <f t="shared" si="211"/>
        <v/>
      </c>
      <c r="C672" s="3" t="str">
        <f t="shared" si="207"/>
        <v/>
      </c>
      <c r="D672" s="3" t="str">
        <f t="shared" si="212"/>
        <v/>
      </c>
      <c r="E672" s="3" t="str">
        <f t="shared" si="205"/>
        <v/>
      </c>
      <c r="F672" s="3" t="str">
        <f t="shared" si="213"/>
        <v/>
      </c>
      <c r="G672" s="3" t="str">
        <f t="shared" si="206"/>
        <v/>
      </c>
      <c r="H672" s="3" t="str">
        <f t="shared" si="214"/>
        <v/>
      </c>
      <c r="I672" s="3" t="str">
        <f t="shared" si="215"/>
        <v/>
      </c>
      <c r="J672" s="2" t="str">
        <f t="shared" si="216"/>
        <v/>
      </c>
      <c r="K672" s="2" t="str">
        <f>IF(W672="","",LOOKUP('Extraction edi'!J672,Paramètrage!$A$6:$A$179,Paramètrage!$B$6:$B$179))</f>
        <v/>
      </c>
      <c r="L672" s="2" t="str">
        <f>IF(W672="","",LOOKUP('Extraction edi'!J672,Paramètrage!$A$6:$A$179,Paramètrage!$C$6:$C$179))</f>
        <v/>
      </c>
      <c r="M672" s="2" t="str">
        <f>IF(W672="","",LOOKUP('Extraction edi'!J672,Paramètrage!$A$6:$A$179,Paramètrage!$D$6:$D$179))</f>
        <v/>
      </c>
      <c r="N672" s="3" t="str">
        <f>IF(W672="","",LOOKUP('Extraction edi'!J672,Paramètrage!$A$6:$A$179,Paramètrage!$E$6:$E$179))</f>
        <v/>
      </c>
      <c r="O672" s="3" t="str">
        <f t="shared" si="217"/>
        <v/>
      </c>
      <c r="P672" s="3" t="str">
        <f t="shared" si="218"/>
        <v/>
      </c>
      <c r="Q672" s="3" t="str">
        <f t="shared" si="209"/>
        <v/>
      </c>
      <c r="R672" s="3" t="str">
        <f t="shared" si="219"/>
        <v/>
      </c>
      <c r="S672" s="3" t="str">
        <f t="shared" si="220"/>
        <v/>
      </c>
      <c r="T672" s="4" t="str">
        <f t="shared" si="221"/>
        <v/>
      </c>
      <c r="U672" s="5" t="str">
        <f t="shared" si="222"/>
        <v/>
      </c>
      <c r="V672" s="7" t="str">
        <f>IF(W672="","",IF(LOOKUP(W672,'Extration 3E date commande'!$A$6:$A$10000)=W672,LOOKUP(W672,'Extration 3E date commande'!$A$6:$A$10000,'Extration 3E date commande'!$C$6:$C$10000),"PAS DE DATE"))</f>
        <v/>
      </c>
    </row>
    <row r="673" spans="1:22" x14ac:dyDescent="0.25">
      <c r="A673" s="3" t="str">
        <f t="shared" si="210"/>
        <v/>
      </c>
      <c r="B673" s="3" t="str">
        <f t="shared" si="211"/>
        <v/>
      </c>
      <c r="C673" s="3" t="str">
        <f t="shared" si="207"/>
        <v/>
      </c>
      <c r="D673" s="3" t="str">
        <f t="shared" si="212"/>
        <v/>
      </c>
      <c r="E673" s="3" t="str">
        <f t="shared" si="205"/>
        <v/>
      </c>
      <c r="F673" s="3" t="str">
        <f t="shared" si="213"/>
        <v/>
      </c>
      <c r="G673" s="3" t="str">
        <f t="shared" si="206"/>
        <v/>
      </c>
      <c r="H673" s="3" t="str">
        <f t="shared" si="214"/>
        <v/>
      </c>
      <c r="I673" s="3" t="str">
        <f t="shared" si="215"/>
        <v/>
      </c>
      <c r="J673" s="2" t="str">
        <f t="shared" si="216"/>
        <v/>
      </c>
      <c r="K673" s="2" t="str">
        <f>IF(W673="","",LOOKUP('Extraction edi'!J673,Paramètrage!$A$6:$A$179,Paramètrage!$B$6:$B$179))</f>
        <v/>
      </c>
      <c r="L673" s="2" t="str">
        <f>IF(W673="","",LOOKUP('Extraction edi'!J673,Paramètrage!$A$6:$A$179,Paramètrage!$C$6:$C$179))</f>
        <v/>
      </c>
      <c r="M673" s="2" t="str">
        <f>IF(W673="","",LOOKUP('Extraction edi'!J673,Paramètrage!$A$6:$A$179,Paramètrage!$D$6:$D$179))</f>
        <v/>
      </c>
      <c r="N673" s="3" t="str">
        <f>IF(W673="","",LOOKUP('Extraction edi'!J673,Paramètrage!$A$6:$A$179,Paramètrage!$E$6:$E$179))</f>
        <v/>
      </c>
      <c r="O673" s="3" t="str">
        <f t="shared" si="217"/>
        <v/>
      </c>
      <c r="P673" s="3" t="str">
        <f t="shared" si="218"/>
        <v/>
      </c>
      <c r="Q673" s="3" t="str">
        <f t="shared" si="209"/>
        <v/>
      </c>
      <c r="R673" s="3" t="str">
        <f t="shared" si="219"/>
        <v/>
      </c>
      <c r="S673" s="3" t="str">
        <f t="shared" si="220"/>
        <v/>
      </c>
      <c r="T673" s="4" t="str">
        <f t="shared" si="221"/>
        <v/>
      </c>
      <c r="U673" s="5" t="str">
        <f t="shared" si="222"/>
        <v/>
      </c>
      <c r="V673" s="7" t="str">
        <f>IF(W673="","",IF(LOOKUP(W673,'Extration 3E date commande'!$A$6:$A$10000)=W673,LOOKUP(W673,'Extration 3E date commande'!$A$6:$A$10000,'Extration 3E date commande'!$C$6:$C$10000),"PAS DE DATE"))</f>
        <v/>
      </c>
    </row>
    <row r="674" spans="1:22" x14ac:dyDescent="0.25">
      <c r="A674" s="3" t="str">
        <f t="shared" si="210"/>
        <v/>
      </c>
      <c r="B674" s="3" t="str">
        <f t="shared" si="211"/>
        <v/>
      </c>
      <c r="C674" s="3" t="str">
        <f t="shared" si="207"/>
        <v/>
      </c>
      <c r="D674" s="3" t="str">
        <f t="shared" si="212"/>
        <v/>
      </c>
      <c r="E674" s="3" t="str">
        <f t="shared" si="205"/>
        <v/>
      </c>
      <c r="F674" s="3" t="str">
        <f t="shared" si="213"/>
        <v/>
      </c>
      <c r="G674" s="3" t="str">
        <f t="shared" si="206"/>
        <v/>
      </c>
      <c r="H674" s="3" t="str">
        <f t="shared" si="214"/>
        <v/>
      </c>
      <c r="I674" s="3" t="str">
        <f t="shared" si="215"/>
        <v/>
      </c>
      <c r="J674" s="2" t="str">
        <f t="shared" si="216"/>
        <v/>
      </c>
      <c r="K674" s="2" t="str">
        <f>IF(W674="","",LOOKUP('Extraction edi'!J674,Paramètrage!$A$6:$A$179,Paramètrage!$B$6:$B$179))</f>
        <v/>
      </c>
      <c r="L674" s="2" t="str">
        <f>IF(W674="","",LOOKUP('Extraction edi'!J674,Paramètrage!$A$6:$A$179,Paramètrage!$C$6:$C$179))</f>
        <v/>
      </c>
      <c r="M674" s="2" t="str">
        <f>IF(W674="","",LOOKUP('Extraction edi'!J674,Paramètrage!$A$6:$A$179,Paramètrage!$D$6:$D$179))</f>
        <v/>
      </c>
      <c r="N674" s="3" t="str">
        <f>IF(W674="","",LOOKUP('Extraction edi'!J674,Paramètrage!$A$6:$A$179,Paramètrage!$E$6:$E$179))</f>
        <v/>
      </c>
      <c r="O674" s="3" t="str">
        <f t="shared" si="217"/>
        <v/>
      </c>
      <c r="P674" s="3" t="str">
        <f t="shared" si="218"/>
        <v/>
      </c>
      <c r="Q674" s="3" t="str">
        <f t="shared" si="209"/>
        <v/>
      </c>
      <c r="R674" s="3" t="str">
        <f t="shared" si="219"/>
        <v/>
      </c>
      <c r="S674" s="3" t="str">
        <f t="shared" si="220"/>
        <v/>
      </c>
      <c r="T674" s="4" t="str">
        <f t="shared" si="221"/>
        <v/>
      </c>
      <c r="U674" s="5" t="str">
        <f t="shared" si="222"/>
        <v/>
      </c>
      <c r="V674" s="7" t="str">
        <f>IF(W674="","",IF(LOOKUP(W674,'Extration 3E date commande'!$A$6:$A$10000)=W674,LOOKUP(W674,'Extration 3E date commande'!$A$6:$A$10000,'Extration 3E date commande'!$C$6:$C$10000),"PAS DE DATE"))</f>
        <v/>
      </c>
    </row>
    <row r="675" spans="1:22" x14ac:dyDescent="0.25">
      <c r="A675" s="3" t="str">
        <f t="shared" si="210"/>
        <v/>
      </c>
      <c r="B675" s="3" t="str">
        <f t="shared" si="211"/>
        <v/>
      </c>
      <c r="C675" s="3" t="str">
        <f t="shared" si="207"/>
        <v/>
      </c>
      <c r="D675" s="3" t="str">
        <f t="shared" si="212"/>
        <v/>
      </c>
      <c r="E675" s="3" t="str">
        <f t="shared" si="205"/>
        <v/>
      </c>
      <c r="F675" s="3" t="str">
        <f t="shared" si="213"/>
        <v/>
      </c>
      <c r="G675" s="3" t="str">
        <f t="shared" si="206"/>
        <v/>
      </c>
      <c r="H675" s="3" t="str">
        <f t="shared" si="214"/>
        <v/>
      </c>
      <c r="I675" s="3" t="str">
        <f t="shared" si="215"/>
        <v/>
      </c>
      <c r="J675" s="2" t="str">
        <f t="shared" si="216"/>
        <v/>
      </c>
      <c r="K675" s="2" t="str">
        <f>IF(W675="","",LOOKUP('Extraction edi'!J675,Paramètrage!$A$6:$A$179,Paramètrage!$B$6:$B$179))</f>
        <v/>
      </c>
      <c r="L675" s="2" t="str">
        <f>IF(W675="","",LOOKUP('Extraction edi'!J675,Paramètrage!$A$6:$A$179,Paramètrage!$C$6:$C$179))</f>
        <v/>
      </c>
      <c r="M675" s="2" t="str">
        <f>IF(W675="","",LOOKUP('Extraction edi'!J675,Paramètrage!$A$6:$A$179,Paramètrage!$D$6:$D$179))</f>
        <v/>
      </c>
      <c r="N675" s="3" t="str">
        <f>IF(W675="","",LOOKUP('Extraction edi'!J675,Paramètrage!$A$6:$A$179,Paramètrage!$E$6:$E$179))</f>
        <v/>
      </c>
      <c r="O675" s="3" t="str">
        <f t="shared" si="217"/>
        <v/>
      </c>
      <c r="P675" s="3" t="str">
        <f t="shared" si="218"/>
        <v/>
      </c>
      <c r="Q675" s="3" t="str">
        <f t="shared" si="209"/>
        <v/>
      </c>
      <c r="R675" s="3" t="str">
        <f t="shared" si="219"/>
        <v/>
      </c>
      <c r="S675" s="3" t="str">
        <f t="shared" si="220"/>
        <v/>
      </c>
      <c r="T675" s="4" t="str">
        <f t="shared" si="221"/>
        <v/>
      </c>
      <c r="U675" s="5" t="str">
        <f t="shared" si="222"/>
        <v/>
      </c>
      <c r="V675" s="7" t="str">
        <f>IF(W675="","",IF(LOOKUP(W675,'Extration 3E date commande'!$A$6:$A$10000)=W675,LOOKUP(W675,'Extration 3E date commande'!$A$6:$A$10000,'Extration 3E date commande'!$C$6:$C$10000),"PAS DE DATE"))</f>
        <v/>
      </c>
    </row>
    <row r="676" spans="1:22" x14ac:dyDescent="0.25">
      <c r="A676" s="3" t="str">
        <f t="shared" si="210"/>
        <v/>
      </c>
      <c r="B676" s="3" t="str">
        <f t="shared" si="211"/>
        <v/>
      </c>
      <c r="C676" s="3" t="str">
        <f t="shared" si="207"/>
        <v/>
      </c>
      <c r="D676" s="3" t="str">
        <f t="shared" si="212"/>
        <v/>
      </c>
      <c r="E676" s="3" t="str">
        <f t="shared" si="205"/>
        <v/>
      </c>
      <c r="F676" s="3" t="str">
        <f t="shared" si="213"/>
        <v/>
      </c>
      <c r="G676" s="3" t="str">
        <f t="shared" si="206"/>
        <v/>
      </c>
      <c r="H676" s="3" t="str">
        <f t="shared" si="214"/>
        <v/>
      </c>
      <c r="I676" s="3" t="str">
        <f t="shared" si="215"/>
        <v/>
      </c>
      <c r="J676" s="2" t="str">
        <f t="shared" si="216"/>
        <v/>
      </c>
      <c r="K676" s="2" t="str">
        <f>IF(W676="","",LOOKUP('Extraction edi'!J676,Paramètrage!$A$6:$A$179,Paramètrage!$B$6:$B$179))</f>
        <v/>
      </c>
      <c r="L676" s="2" t="str">
        <f>IF(W676="","",LOOKUP('Extraction edi'!J676,Paramètrage!$A$6:$A$179,Paramètrage!$C$6:$C$179))</f>
        <v/>
      </c>
      <c r="M676" s="2" t="str">
        <f>IF(W676="","",LOOKUP('Extraction edi'!J676,Paramètrage!$A$6:$A$179,Paramètrage!$D$6:$D$179))</f>
        <v/>
      </c>
      <c r="N676" s="3" t="str">
        <f>IF(W676="","",LOOKUP('Extraction edi'!J676,Paramètrage!$A$6:$A$179,Paramètrage!$E$6:$E$179))</f>
        <v/>
      </c>
      <c r="O676" s="3" t="str">
        <f t="shared" si="217"/>
        <v/>
      </c>
      <c r="P676" s="3" t="str">
        <f t="shared" si="218"/>
        <v/>
      </c>
      <c r="Q676" s="3" t="str">
        <f t="shared" si="209"/>
        <v/>
      </c>
      <c r="R676" s="3" t="str">
        <f t="shared" si="219"/>
        <v/>
      </c>
      <c r="S676" s="3" t="str">
        <f t="shared" si="220"/>
        <v/>
      </c>
      <c r="T676" s="4" t="str">
        <f t="shared" si="221"/>
        <v/>
      </c>
      <c r="U676" s="5" t="str">
        <f t="shared" si="222"/>
        <v/>
      </c>
      <c r="V676" s="7" t="str">
        <f>IF(W676="","",IF(LOOKUP(W676,'Extration 3E date commande'!$A$6:$A$10000)=W676,LOOKUP(W676,'Extration 3E date commande'!$A$6:$A$10000,'Extration 3E date commande'!$C$6:$C$10000),"PAS DE DATE"))</f>
        <v/>
      </c>
    </row>
    <row r="677" spans="1:22" x14ac:dyDescent="0.25">
      <c r="A677" s="3" t="str">
        <f t="shared" si="210"/>
        <v/>
      </c>
      <c r="B677" s="3" t="str">
        <f t="shared" si="211"/>
        <v/>
      </c>
      <c r="C677" s="3" t="str">
        <f t="shared" si="207"/>
        <v/>
      </c>
      <c r="D677" s="3" t="str">
        <f t="shared" si="212"/>
        <v/>
      </c>
      <c r="E677" s="3" t="str">
        <f t="shared" si="205"/>
        <v/>
      </c>
      <c r="F677" s="3" t="str">
        <f t="shared" si="213"/>
        <v/>
      </c>
      <c r="G677" s="3" t="str">
        <f t="shared" si="206"/>
        <v/>
      </c>
      <c r="H677" s="3" t="str">
        <f t="shared" si="214"/>
        <v/>
      </c>
      <c r="I677" s="3" t="str">
        <f t="shared" si="215"/>
        <v/>
      </c>
      <c r="J677" s="2" t="str">
        <f t="shared" si="216"/>
        <v/>
      </c>
      <c r="K677" s="2" t="str">
        <f>IF(W677="","",LOOKUP('Extraction edi'!J677,Paramètrage!$A$6:$A$179,Paramètrage!$B$6:$B$179))</f>
        <v/>
      </c>
      <c r="L677" s="2" t="str">
        <f>IF(W677="","",LOOKUP('Extraction edi'!J677,Paramètrage!$A$6:$A$179,Paramètrage!$C$6:$C$179))</f>
        <v/>
      </c>
      <c r="M677" s="2" t="str">
        <f>IF(W677="","",LOOKUP('Extraction edi'!J677,Paramètrage!$A$6:$A$179,Paramètrage!$D$6:$D$179))</f>
        <v/>
      </c>
      <c r="N677" s="3" t="str">
        <f>IF(W677="","",LOOKUP('Extraction edi'!J677,Paramètrage!$A$6:$A$179,Paramètrage!$E$6:$E$179))</f>
        <v/>
      </c>
      <c r="O677" s="3" t="str">
        <f t="shared" si="217"/>
        <v/>
      </c>
      <c r="P677" s="3" t="str">
        <f t="shared" si="218"/>
        <v/>
      </c>
      <c r="Q677" s="3" t="str">
        <f t="shared" si="209"/>
        <v/>
      </c>
      <c r="R677" s="3" t="str">
        <f t="shared" si="219"/>
        <v/>
      </c>
      <c r="S677" s="3" t="str">
        <f t="shared" si="220"/>
        <v/>
      </c>
      <c r="T677" s="4" t="str">
        <f t="shared" si="221"/>
        <v/>
      </c>
      <c r="U677" s="5" t="str">
        <f t="shared" si="222"/>
        <v/>
      </c>
      <c r="V677" s="7" t="str">
        <f>IF(W677="","",IF(LOOKUP(W677,'Extration 3E date commande'!$A$6:$A$10000)=W677,LOOKUP(W677,'Extration 3E date commande'!$A$6:$A$10000,'Extration 3E date commande'!$C$6:$C$10000),"PAS DE DATE"))</f>
        <v/>
      </c>
    </row>
    <row r="678" spans="1:22" x14ac:dyDescent="0.25">
      <c r="A678" s="3" t="str">
        <f t="shared" si="210"/>
        <v/>
      </c>
      <c r="B678" s="3" t="str">
        <f t="shared" si="211"/>
        <v/>
      </c>
      <c r="C678" s="3" t="str">
        <f t="shared" si="207"/>
        <v/>
      </c>
      <c r="D678" s="3" t="str">
        <f t="shared" si="212"/>
        <v/>
      </c>
      <c r="E678" s="3" t="str">
        <f t="shared" si="205"/>
        <v/>
      </c>
      <c r="F678" s="3" t="str">
        <f t="shared" si="213"/>
        <v/>
      </c>
      <c r="G678" s="3" t="str">
        <f t="shared" si="206"/>
        <v/>
      </c>
      <c r="H678" s="3" t="str">
        <f t="shared" si="214"/>
        <v/>
      </c>
      <c r="I678" s="3" t="str">
        <f t="shared" si="215"/>
        <v/>
      </c>
      <c r="J678" s="2" t="str">
        <f t="shared" si="216"/>
        <v/>
      </c>
      <c r="K678" s="2" t="str">
        <f>IF(W678="","",LOOKUP('Extraction edi'!J678,Paramètrage!$A$6:$A$179,Paramètrage!$B$6:$B$179))</f>
        <v/>
      </c>
      <c r="L678" s="2" t="str">
        <f>IF(W678="","",LOOKUP('Extraction edi'!J678,Paramètrage!$A$6:$A$179,Paramètrage!$C$6:$C$179))</f>
        <v/>
      </c>
      <c r="M678" s="2" t="str">
        <f>IF(W678="","",LOOKUP('Extraction edi'!J678,Paramètrage!$A$6:$A$179,Paramètrage!$D$6:$D$179))</f>
        <v/>
      </c>
      <c r="N678" s="3" t="str">
        <f>IF(W678="","",LOOKUP('Extraction edi'!J678,Paramètrage!$A$6:$A$179,Paramètrage!$E$6:$E$179))</f>
        <v/>
      </c>
      <c r="O678" s="3" t="str">
        <f t="shared" si="217"/>
        <v/>
      </c>
      <c r="P678" s="3" t="str">
        <f t="shared" si="218"/>
        <v/>
      </c>
      <c r="Q678" s="3" t="str">
        <f t="shared" si="209"/>
        <v/>
      </c>
      <c r="R678" s="3" t="str">
        <f t="shared" si="219"/>
        <v/>
      </c>
      <c r="S678" s="3" t="str">
        <f t="shared" si="220"/>
        <v/>
      </c>
      <c r="T678" s="4" t="str">
        <f t="shared" si="221"/>
        <v/>
      </c>
      <c r="U678" s="5" t="str">
        <f t="shared" si="222"/>
        <v/>
      </c>
      <c r="V678" s="7" t="str">
        <f>IF(W678="","",IF(LOOKUP(W678,'Extration 3E date commande'!$A$6:$A$10000)=W678,LOOKUP(W678,'Extration 3E date commande'!$A$6:$A$10000,'Extration 3E date commande'!$C$6:$C$10000),"PAS DE DATE"))</f>
        <v/>
      </c>
    </row>
    <row r="679" spans="1:22" x14ac:dyDescent="0.25">
      <c r="A679" s="3" t="str">
        <f t="shared" si="210"/>
        <v/>
      </c>
      <c r="B679" s="3" t="str">
        <f t="shared" si="211"/>
        <v/>
      </c>
      <c r="C679" s="3" t="str">
        <f t="shared" si="207"/>
        <v/>
      </c>
      <c r="D679" s="3" t="str">
        <f t="shared" si="212"/>
        <v/>
      </c>
      <c r="E679" s="3" t="str">
        <f t="shared" si="205"/>
        <v/>
      </c>
      <c r="F679" s="3" t="str">
        <f t="shared" si="213"/>
        <v/>
      </c>
      <c r="G679" s="3" t="str">
        <f t="shared" si="206"/>
        <v/>
      </c>
      <c r="H679" s="3" t="str">
        <f t="shared" si="214"/>
        <v/>
      </c>
      <c r="I679" s="3" t="str">
        <f t="shared" si="215"/>
        <v/>
      </c>
      <c r="J679" s="2" t="str">
        <f t="shared" si="216"/>
        <v/>
      </c>
      <c r="K679" s="2" t="str">
        <f>IF(W679="","",LOOKUP('Extraction edi'!J679,Paramètrage!$A$6:$A$179,Paramètrage!$B$6:$B$179))</f>
        <v/>
      </c>
      <c r="L679" s="2" t="str">
        <f>IF(W679="","",LOOKUP('Extraction edi'!J679,Paramètrage!$A$6:$A$179,Paramètrage!$C$6:$C$179))</f>
        <v/>
      </c>
      <c r="M679" s="2" t="str">
        <f>IF(W679="","",LOOKUP('Extraction edi'!J679,Paramètrage!$A$6:$A$179,Paramètrage!$D$6:$D$179))</f>
        <v/>
      </c>
      <c r="N679" s="3" t="str">
        <f>IF(W679="","",LOOKUP('Extraction edi'!J679,Paramètrage!$A$6:$A$179,Paramètrage!$E$6:$E$179))</f>
        <v/>
      </c>
      <c r="O679" s="3" t="str">
        <f t="shared" si="217"/>
        <v/>
      </c>
      <c r="P679" s="3" t="str">
        <f t="shared" si="218"/>
        <v/>
      </c>
      <c r="Q679" s="3" t="str">
        <f t="shared" si="209"/>
        <v/>
      </c>
      <c r="R679" s="3" t="str">
        <f t="shared" si="219"/>
        <v/>
      </c>
      <c r="S679" s="3" t="str">
        <f t="shared" si="220"/>
        <v/>
      </c>
      <c r="T679" s="4" t="str">
        <f t="shared" si="221"/>
        <v/>
      </c>
      <c r="U679" s="5" t="str">
        <f t="shared" si="222"/>
        <v/>
      </c>
      <c r="V679" s="7" t="str">
        <f>IF(W679="","",IF(LOOKUP(W679,'Extration 3E date commande'!$A$6:$A$10000)=W679,LOOKUP(W679,'Extration 3E date commande'!$A$6:$A$10000,'Extration 3E date commande'!$C$6:$C$10000),"PAS DE DATE"))</f>
        <v/>
      </c>
    </row>
    <row r="680" spans="1:22" x14ac:dyDescent="0.25">
      <c r="A680" s="3" t="str">
        <f t="shared" si="210"/>
        <v/>
      </c>
      <c r="B680" s="3" t="str">
        <f t="shared" si="211"/>
        <v/>
      </c>
      <c r="C680" s="3" t="str">
        <f t="shared" si="207"/>
        <v/>
      </c>
      <c r="D680" s="3" t="str">
        <f t="shared" si="212"/>
        <v/>
      </c>
      <c r="E680" s="3" t="str">
        <f t="shared" si="205"/>
        <v/>
      </c>
      <c r="F680" s="3" t="str">
        <f t="shared" si="213"/>
        <v/>
      </c>
      <c r="G680" s="3" t="str">
        <f t="shared" si="206"/>
        <v/>
      </c>
      <c r="H680" s="3" t="str">
        <f t="shared" si="214"/>
        <v/>
      </c>
      <c r="I680" s="3" t="str">
        <f t="shared" si="215"/>
        <v/>
      </c>
      <c r="J680" s="2" t="str">
        <f t="shared" si="216"/>
        <v/>
      </c>
      <c r="K680" s="2" t="str">
        <f>IF(W680="","",LOOKUP('Extraction edi'!J680,Paramètrage!$A$6:$A$179,Paramètrage!$B$6:$B$179))</f>
        <v/>
      </c>
      <c r="L680" s="2" t="str">
        <f>IF(W680="","",LOOKUP('Extraction edi'!J680,Paramètrage!$A$6:$A$179,Paramètrage!$C$6:$C$179))</f>
        <v/>
      </c>
      <c r="M680" s="2" t="str">
        <f>IF(W680="","",LOOKUP('Extraction edi'!J680,Paramètrage!$A$6:$A$179,Paramètrage!$D$6:$D$179))</f>
        <v/>
      </c>
      <c r="N680" s="3" t="str">
        <f>IF(W680="","",LOOKUP('Extraction edi'!J680,Paramètrage!$A$6:$A$179,Paramètrage!$E$6:$E$179))</f>
        <v/>
      </c>
      <c r="O680" s="3" t="str">
        <f t="shared" si="217"/>
        <v/>
      </c>
      <c r="P680" s="3" t="str">
        <f t="shared" si="218"/>
        <v/>
      </c>
      <c r="Q680" s="3" t="str">
        <f t="shared" si="209"/>
        <v/>
      </c>
      <c r="R680" s="3" t="str">
        <f t="shared" si="219"/>
        <v/>
      </c>
      <c r="S680" s="3" t="str">
        <f t="shared" si="220"/>
        <v/>
      </c>
      <c r="T680" s="4" t="str">
        <f t="shared" si="221"/>
        <v/>
      </c>
      <c r="U680" s="5" t="str">
        <f t="shared" si="222"/>
        <v/>
      </c>
      <c r="V680" s="7" t="str">
        <f>IF(W680="","",IF(LOOKUP(W680,'Extration 3E date commande'!$A$6:$A$10000)=W680,LOOKUP(W680,'Extration 3E date commande'!$A$6:$A$10000,'Extration 3E date commande'!$C$6:$C$10000),"PAS DE DATE"))</f>
        <v/>
      </c>
    </row>
    <row r="681" spans="1:22" x14ac:dyDescent="0.25">
      <c r="A681" s="3" t="str">
        <f t="shared" si="210"/>
        <v/>
      </c>
      <c r="B681" s="3" t="str">
        <f t="shared" si="211"/>
        <v/>
      </c>
      <c r="C681" s="3" t="str">
        <f t="shared" si="207"/>
        <v/>
      </c>
      <c r="D681" s="3" t="str">
        <f t="shared" si="212"/>
        <v/>
      </c>
      <c r="E681" s="3" t="str">
        <f t="shared" si="205"/>
        <v/>
      </c>
      <c r="F681" s="3" t="str">
        <f t="shared" si="213"/>
        <v/>
      </c>
      <c r="G681" s="3" t="str">
        <f t="shared" si="206"/>
        <v/>
      </c>
      <c r="H681" s="3" t="str">
        <f t="shared" si="214"/>
        <v/>
      </c>
      <c r="I681" s="3" t="str">
        <f t="shared" si="215"/>
        <v/>
      </c>
      <c r="J681" s="2" t="str">
        <f t="shared" si="216"/>
        <v/>
      </c>
      <c r="K681" s="2" t="str">
        <f>IF(W681="","",LOOKUP('Extraction edi'!J681,Paramètrage!$A$6:$A$179,Paramètrage!$B$6:$B$179))</f>
        <v/>
      </c>
      <c r="L681" s="2" t="str">
        <f>IF(W681="","",LOOKUP('Extraction edi'!J681,Paramètrage!$A$6:$A$179,Paramètrage!$C$6:$C$179))</f>
        <v/>
      </c>
      <c r="M681" s="2" t="str">
        <f>IF(W681="","",LOOKUP('Extraction edi'!J681,Paramètrage!$A$6:$A$179,Paramètrage!$D$6:$D$179))</f>
        <v/>
      </c>
      <c r="N681" s="3" t="str">
        <f>IF(W681="","",LOOKUP('Extraction edi'!J681,Paramètrage!$A$6:$A$179,Paramètrage!$E$6:$E$179))</f>
        <v/>
      </c>
      <c r="O681" s="3" t="str">
        <f t="shared" si="217"/>
        <v/>
      </c>
      <c r="P681" s="3" t="str">
        <f t="shared" si="218"/>
        <v/>
      </c>
      <c r="Q681" s="3" t="str">
        <f t="shared" si="209"/>
        <v/>
      </c>
      <c r="R681" s="3" t="str">
        <f t="shared" si="219"/>
        <v/>
      </c>
      <c r="S681" s="3" t="str">
        <f t="shared" si="220"/>
        <v/>
      </c>
      <c r="T681" s="4" t="str">
        <f t="shared" si="221"/>
        <v/>
      </c>
      <c r="U681" s="5" t="str">
        <f t="shared" si="222"/>
        <v/>
      </c>
      <c r="V681" s="7" t="str">
        <f>IF(W681="","",IF(LOOKUP(W681,'Extration 3E date commande'!$A$6:$A$10000)=W681,LOOKUP(W681,'Extration 3E date commande'!$A$6:$A$10000,'Extration 3E date commande'!$C$6:$C$10000),"PAS DE DATE"))</f>
        <v/>
      </c>
    </row>
    <row r="682" spans="1:22" x14ac:dyDescent="0.25">
      <c r="A682" s="3" t="str">
        <f t="shared" si="210"/>
        <v/>
      </c>
      <c r="B682" s="3" t="str">
        <f t="shared" si="211"/>
        <v/>
      </c>
      <c r="C682" s="3" t="str">
        <f t="shared" si="207"/>
        <v/>
      </c>
      <c r="D682" s="3" t="str">
        <f t="shared" si="212"/>
        <v/>
      </c>
      <c r="E682" s="3" t="str">
        <f t="shared" si="205"/>
        <v/>
      </c>
      <c r="F682" s="3" t="str">
        <f t="shared" si="213"/>
        <v/>
      </c>
      <c r="G682" s="3" t="str">
        <f t="shared" si="206"/>
        <v/>
      </c>
      <c r="H682" s="3" t="str">
        <f t="shared" si="214"/>
        <v/>
      </c>
      <c r="I682" s="3" t="str">
        <f t="shared" si="215"/>
        <v/>
      </c>
      <c r="J682" s="2" t="str">
        <f t="shared" si="216"/>
        <v/>
      </c>
      <c r="K682" s="2" t="str">
        <f>IF(W682="","",LOOKUP('Extraction edi'!J682,Paramètrage!$A$6:$A$179,Paramètrage!$B$6:$B$179))</f>
        <v/>
      </c>
      <c r="L682" s="2" t="str">
        <f>IF(W682="","",LOOKUP('Extraction edi'!J682,Paramètrage!$A$6:$A$179,Paramètrage!$C$6:$C$179))</f>
        <v/>
      </c>
      <c r="M682" s="2" t="str">
        <f>IF(W682="","",LOOKUP('Extraction edi'!J682,Paramètrage!$A$6:$A$179,Paramètrage!$D$6:$D$179))</f>
        <v/>
      </c>
      <c r="N682" s="3" t="str">
        <f>IF(W682="","",LOOKUP('Extraction edi'!J682,Paramètrage!$A$6:$A$179,Paramètrage!$E$6:$E$179))</f>
        <v/>
      </c>
      <c r="O682" s="3" t="str">
        <f t="shared" si="217"/>
        <v/>
      </c>
      <c r="P682" s="3" t="str">
        <f t="shared" si="218"/>
        <v/>
      </c>
      <c r="Q682" s="3" t="str">
        <f t="shared" si="209"/>
        <v/>
      </c>
      <c r="R682" s="3" t="str">
        <f t="shared" si="219"/>
        <v/>
      </c>
      <c r="S682" s="3" t="str">
        <f t="shared" si="220"/>
        <v/>
      </c>
      <c r="T682" s="4" t="str">
        <f t="shared" si="221"/>
        <v/>
      </c>
      <c r="U682" s="5" t="str">
        <f t="shared" si="222"/>
        <v/>
      </c>
      <c r="V682" s="7" t="str">
        <f>IF(W682="","",IF(LOOKUP(W682,'Extration 3E date commande'!$A$6:$A$10000)=W682,LOOKUP(W682,'Extration 3E date commande'!$A$6:$A$10000,'Extration 3E date commande'!$C$6:$C$10000),"PAS DE DATE"))</f>
        <v/>
      </c>
    </row>
    <row r="683" spans="1:22" x14ac:dyDescent="0.25">
      <c r="A683" s="3" t="str">
        <f t="shared" si="210"/>
        <v/>
      </c>
      <c r="B683" s="3" t="str">
        <f t="shared" si="211"/>
        <v/>
      </c>
      <c r="C683" s="3" t="str">
        <f t="shared" si="207"/>
        <v/>
      </c>
      <c r="D683" s="3" t="str">
        <f t="shared" si="212"/>
        <v/>
      </c>
      <c r="E683" s="3" t="str">
        <f t="shared" si="205"/>
        <v/>
      </c>
      <c r="F683" s="3" t="str">
        <f t="shared" si="213"/>
        <v/>
      </c>
      <c r="G683" s="3" t="str">
        <f t="shared" si="206"/>
        <v/>
      </c>
      <c r="H683" s="3" t="str">
        <f t="shared" si="214"/>
        <v/>
      </c>
      <c r="I683" s="3" t="str">
        <f t="shared" si="215"/>
        <v/>
      </c>
      <c r="J683" s="2" t="str">
        <f t="shared" si="216"/>
        <v/>
      </c>
      <c r="K683" s="2" t="str">
        <f>IF(W683="","",LOOKUP('Extraction edi'!J683,Paramètrage!$A$6:$A$179,Paramètrage!$B$6:$B$179))</f>
        <v/>
      </c>
      <c r="L683" s="2" t="str">
        <f>IF(W683="","",LOOKUP('Extraction edi'!J683,Paramètrage!$A$6:$A$179,Paramètrage!$C$6:$C$179))</f>
        <v/>
      </c>
      <c r="M683" s="2" t="str">
        <f>IF(W683="","",LOOKUP('Extraction edi'!J683,Paramètrage!$A$6:$A$179,Paramètrage!$D$6:$D$179))</f>
        <v/>
      </c>
      <c r="N683" s="3" t="str">
        <f>IF(W683="","",LOOKUP('Extraction edi'!J683,Paramètrage!$A$6:$A$179,Paramètrage!$E$6:$E$179))</f>
        <v/>
      </c>
      <c r="O683" s="3" t="str">
        <f t="shared" si="217"/>
        <v/>
      </c>
      <c r="P683" s="3" t="str">
        <f t="shared" si="218"/>
        <v/>
      </c>
      <c r="Q683" s="3" t="str">
        <f t="shared" si="209"/>
        <v/>
      </c>
      <c r="R683" s="3" t="str">
        <f t="shared" si="219"/>
        <v/>
      </c>
      <c r="S683" s="3" t="str">
        <f t="shared" si="220"/>
        <v/>
      </c>
      <c r="T683" s="4" t="str">
        <f t="shared" si="221"/>
        <v/>
      </c>
      <c r="U683" s="5" t="str">
        <f t="shared" si="222"/>
        <v/>
      </c>
      <c r="V683" s="7" t="str">
        <f>IF(W683="","",IF(LOOKUP(W683,'Extration 3E date commande'!$A$6:$A$10000)=W683,LOOKUP(W683,'Extration 3E date commande'!$A$6:$A$10000,'Extration 3E date commande'!$C$6:$C$10000),"PAS DE DATE"))</f>
        <v/>
      </c>
    </row>
    <row r="684" spans="1:22" x14ac:dyDescent="0.25">
      <c r="A684" s="3" t="str">
        <f t="shared" si="210"/>
        <v/>
      </c>
      <c r="B684" s="3" t="str">
        <f t="shared" si="211"/>
        <v/>
      </c>
      <c r="C684" s="3" t="str">
        <f t="shared" si="207"/>
        <v/>
      </c>
      <c r="D684" s="3" t="str">
        <f t="shared" si="212"/>
        <v/>
      </c>
      <c r="E684" s="3" t="str">
        <f t="shared" si="205"/>
        <v/>
      </c>
      <c r="F684" s="3" t="str">
        <f t="shared" si="213"/>
        <v/>
      </c>
      <c r="G684" s="3" t="str">
        <f t="shared" si="206"/>
        <v/>
      </c>
      <c r="H684" s="3" t="str">
        <f t="shared" si="214"/>
        <v/>
      </c>
      <c r="I684" s="3" t="str">
        <f t="shared" si="215"/>
        <v/>
      </c>
      <c r="J684" s="2" t="str">
        <f t="shared" si="216"/>
        <v/>
      </c>
      <c r="K684" s="2" t="str">
        <f>IF(W684="","",LOOKUP('Extraction edi'!J684,Paramètrage!$A$6:$A$179,Paramètrage!$B$6:$B$179))</f>
        <v/>
      </c>
      <c r="L684" s="2" t="str">
        <f>IF(W684="","",LOOKUP('Extraction edi'!J684,Paramètrage!$A$6:$A$179,Paramètrage!$C$6:$C$179))</f>
        <v/>
      </c>
      <c r="M684" s="2" t="str">
        <f>IF(W684="","",LOOKUP('Extraction edi'!J684,Paramètrage!$A$6:$A$179,Paramètrage!$D$6:$D$179))</f>
        <v/>
      </c>
      <c r="N684" s="3" t="str">
        <f>IF(W684="","",LOOKUP('Extraction edi'!J684,Paramètrage!$A$6:$A$179,Paramètrage!$E$6:$E$179))</f>
        <v/>
      </c>
      <c r="O684" s="3" t="str">
        <f t="shared" si="217"/>
        <v/>
      </c>
      <c r="P684" s="3" t="str">
        <f t="shared" si="218"/>
        <v/>
      </c>
      <c r="Q684" s="3" t="str">
        <f t="shared" si="209"/>
        <v/>
      </c>
      <c r="R684" s="3" t="str">
        <f t="shared" si="219"/>
        <v/>
      </c>
      <c r="S684" s="3" t="str">
        <f t="shared" si="220"/>
        <v/>
      </c>
      <c r="T684" s="4" t="str">
        <f t="shared" si="221"/>
        <v/>
      </c>
      <c r="U684" s="5" t="str">
        <f t="shared" si="222"/>
        <v/>
      </c>
      <c r="V684" s="7" t="str">
        <f>IF(W684="","",IF(LOOKUP(W684,'Extration 3E date commande'!$A$6:$A$10000)=W684,LOOKUP(W684,'Extration 3E date commande'!$A$6:$A$10000,'Extration 3E date commande'!$C$6:$C$10000),"PAS DE DATE"))</f>
        <v/>
      </c>
    </row>
    <row r="685" spans="1:22" x14ac:dyDescent="0.25">
      <c r="A685" s="3" t="str">
        <f t="shared" si="210"/>
        <v/>
      </c>
      <c r="B685" s="3" t="str">
        <f t="shared" si="211"/>
        <v/>
      </c>
      <c r="C685" s="3" t="str">
        <f t="shared" si="207"/>
        <v/>
      </c>
      <c r="D685" s="3" t="str">
        <f t="shared" si="212"/>
        <v/>
      </c>
      <c r="E685" s="3" t="str">
        <f t="shared" si="205"/>
        <v/>
      </c>
      <c r="F685" s="3" t="str">
        <f t="shared" si="213"/>
        <v/>
      </c>
      <c r="G685" s="3" t="str">
        <f t="shared" si="206"/>
        <v/>
      </c>
      <c r="H685" s="3" t="str">
        <f t="shared" si="214"/>
        <v/>
      </c>
      <c r="I685" s="3" t="str">
        <f t="shared" si="215"/>
        <v/>
      </c>
      <c r="J685" s="2" t="str">
        <f t="shared" si="216"/>
        <v/>
      </c>
      <c r="K685" s="2" t="str">
        <f>IF(W685="","",LOOKUP('Extraction edi'!J685,Paramètrage!$A$6:$A$179,Paramètrage!$B$6:$B$179))</f>
        <v/>
      </c>
      <c r="L685" s="2" t="str">
        <f>IF(W685="","",LOOKUP('Extraction edi'!J685,Paramètrage!$A$6:$A$179,Paramètrage!$C$6:$C$179))</f>
        <v/>
      </c>
      <c r="M685" s="2" t="str">
        <f>IF(W685="","",LOOKUP('Extraction edi'!J685,Paramètrage!$A$6:$A$179,Paramètrage!$D$6:$D$179))</f>
        <v/>
      </c>
      <c r="N685" s="3" t="str">
        <f>IF(W685="","",LOOKUP('Extraction edi'!J685,Paramètrage!$A$6:$A$179,Paramètrage!$E$6:$E$179))</f>
        <v/>
      </c>
      <c r="O685" s="3" t="str">
        <f t="shared" si="217"/>
        <v/>
      </c>
      <c r="P685" s="3" t="str">
        <f t="shared" si="218"/>
        <v/>
      </c>
      <c r="Q685" s="3" t="str">
        <f t="shared" si="209"/>
        <v/>
      </c>
      <c r="R685" s="3" t="str">
        <f t="shared" si="219"/>
        <v/>
      </c>
      <c r="S685" s="3" t="str">
        <f t="shared" si="220"/>
        <v/>
      </c>
      <c r="T685" s="4" t="str">
        <f t="shared" si="221"/>
        <v/>
      </c>
      <c r="U685" s="5" t="str">
        <f t="shared" si="222"/>
        <v/>
      </c>
      <c r="V685" s="7" t="str">
        <f>IF(W685="","",IF(LOOKUP(W685,'Extration 3E date commande'!$A$6:$A$10000)=W685,LOOKUP(W685,'Extration 3E date commande'!$A$6:$A$10000,'Extration 3E date commande'!$C$6:$C$10000),"PAS DE DATE"))</f>
        <v/>
      </c>
    </row>
    <row r="686" spans="1:22" x14ac:dyDescent="0.25">
      <c r="A686" s="3" t="str">
        <f t="shared" si="210"/>
        <v/>
      </c>
      <c r="B686" s="3" t="str">
        <f t="shared" si="211"/>
        <v/>
      </c>
      <c r="C686" s="3" t="str">
        <f t="shared" si="207"/>
        <v/>
      </c>
      <c r="D686" s="3" t="str">
        <f t="shared" si="212"/>
        <v/>
      </c>
      <c r="E686" s="3" t="str">
        <f t="shared" si="205"/>
        <v/>
      </c>
      <c r="F686" s="3" t="str">
        <f t="shared" si="213"/>
        <v/>
      </c>
      <c r="G686" s="3" t="str">
        <f t="shared" si="206"/>
        <v/>
      </c>
      <c r="H686" s="3" t="str">
        <f t="shared" si="214"/>
        <v/>
      </c>
      <c r="I686" s="3" t="str">
        <f t="shared" si="215"/>
        <v/>
      </c>
      <c r="J686" s="2" t="str">
        <f t="shared" si="216"/>
        <v/>
      </c>
      <c r="K686" s="2" t="str">
        <f>IF(W686="","",LOOKUP('Extraction edi'!J686,Paramètrage!$A$6:$A$179,Paramètrage!$B$6:$B$179))</f>
        <v/>
      </c>
      <c r="L686" s="2" t="str">
        <f>IF(W686="","",LOOKUP('Extraction edi'!J686,Paramètrage!$A$6:$A$179,Paramètrage!$C$6:$C$179))</f>
        <v/>
      </c>
      <c r="M686" s="2" t="str">
        <f>IF(W686="","",LOOKUP('Extraction edi'!J686,Paramètrage!$A$6:$A$179,Paramètrage!$D$6:$D$179))</f>
        <v/>
      </c>
      <c r="N686" s="3" t="str">
        <f>IF(W686="","",LOOKUP('Extraction edi'!J686,Paramètrage!$A$6:$A$179,Paramètrage!$E$6:$E$179))</f>
        <v/>
      </c>
      <c r="O686" s="3" t="str">
        <f t="shared" si="217"/>
        <v/>
      </c>
      <c r="P686" s="3" t="str">
        <f t="shared" si="218"/>
        <v/>
      </c>
      <c r="Q686" s="3" t="str">
        <f t="shared" si="209"/>
        <v/>
      </c>
      <c r="R686" s="3" t="str">
        <f t="shared" si="219"/>
        <v/>
      </c>
      <c r="S686" s="3" t="str">
        <f t="shared" si="220"/>
        <v/>
      </c>
      <c r="T686" s="4" t="str">
        <f t="shared" si="221"/>
        <v/>
      </c>
      <c r="U686" s="5" t="str">
        <f t="shared" si="222"/>
        <v/>
      </c>
      <c r="V686" s="7" t="str">
        <f>IF(W686="","",IF(LOOKUP(W686,'Extration 3E date commande'!$A$6:$A$10000)=W686,LOOKUP(W686,'Extration 3E date commande'!$A$6:$A$10000,'Extration 3E date commande'!$C$6:$C$10000),"PAS DE DATE"))</f>
        <v/>
      </c>
    </row>
    <row r="687" spans="1:22" x14ac:dyDescent="0.25">
      <c r="A687" s="3" t="str">
        <f t="shared" si="210"/>
        <v/>
      </c>
      <c r="B687" s="3" t="str">
        <f t="shared" si="211"/>
        <v/>
      </c>
      <c r="C687" s="3" t="str">
        <f t="shared" si="207"/>
        <v/>
      </c>
      <c r="D687" s="3" t="str">
        <f t="shared" si="212"/>
        <v/>
      </c>
      <c r="E687" s="3" t="str">
        <f t="shared" si="205"/>
        <v/>
      </c>
      <c r="F687" s="3" t="str">
        <f t="shared" si="213"/>
        <v/>
      </c>
      <c r="G687" s="3" t="str">
        <f t="shared" si="206"/>
        <v/>
      </c>
      <c r="H687" s="3" t="str">
        <f t="shared" si="214"/>
        <v/>
      </c>
      <c r="I687" s="3" t="str">
        <f t="shared" si="215"/>
        <v/>
      </c>
      <c r="J687" s="2" t="str">
        <f t="shared" si="216"/>
        <v/>
      </c>
      <c r="K687" s="2" t="str">
        <f>IF(W687="","",LOOKUP('Extraction edi'!J687,Paramètrage!$A$6:$A$179,Paramètrage!$B$6:$B$179))</f>
        <v/>
      </c>
      <c r="L687" s="2" t="str">
        <f>IF(W687="","",LOOKUP('Extraction edi'!J687,Paramètrage!$A$6:$A$179,Paramètrage!$C$6:$C$179))</f>
        <v/>
      </c>
      <c r="M687" s="2" t="str">
        <f>IF(W687="","",LOOKUP('Extraction edi'!J687,Paramètrage!$A$6:$A$179,Paramètrage!$D$6:$D$179))</f>
        <v/>
      </c>
      <c r="N687" s="3" t="str">
        <f>IF(W687="","",LOOKUP('Extraction edi'!J687,Paramètrage!$A$6:$A$179,Paramètrage!$E$6:$E$179))</f>
        <v/>
      </c>
      <c r="O687" s="3" t="str">
        <f t="shared" si="217"/>
        <v/>
      </c>
      <c r="P687" s="3" t="str">
        <f t="shared" si="218"/>
        <v/>
      </c>
      <c r="Q687" s="3" t="str">
        <f t="shared" si="209"/>
        <v/>
      </c>
      <c r="R687" s="3" t="str">
        <f t="shared" si="219"/>
        <v/>
      </c>
      <c r="S687" s="3" t="str">
        <f t="shared" si="220"/>
        <v/>
      </c>
      <c r="T687" s="4" t="str">
        <f t="shared" si="221"/>
        <v/>
      </c>
      <c r="U687" s="5" t="str">
        <f t="shared" si="222"/>
        <v/>
      </c>
      <c r="V687" s="7" t="str">
        <f>IF(W687="","",IF(LOOKUP(W687,'Extration 3E date commande'!$A$6:$A$10000)=W687,LOOKUP(W687,'Extration 3E date commande'!$A$6:$A$10000,'Extration 3E date commande'!$C$6:$C$10000),"PAS DE DATE"))</f>
        <v/>
      </c>
    </row>
    <row r="688" spans="1:22" x14ac:dyDescent="0.25">
      <c r="A688" s="3" t="str">
        <f t="shared" si="210"/>
        <v/>
      </c>
      <c r="B688" s="3" t="str">
        <f t="shared" si="211"/>
        <v/>
      </c>
      <c r="C688" s="3" t="str">
        <f t="shared" si="207"/>
        <v/>
      </c>
      <c r="D688" s="3" t="str">
        <f t="shared" si="212"/>
        <v/>
      </c>
      <c r="E688" s="3" t="str">
        <f t="shared" si="205"/>
        <v/>
      </c>
      <c r="F688" s="3" t="str">
        <f t="shared" si="213"/>
        <v/>
      </c>
      <c r="G688" s="3" t="str">
        <f t="shared" si="206"/>
        <v/>
      </c>
      <c r="H688" s="3" t="str">
        <f t="shared" si="214"/>
        <v/>
      </c>
      <c r="I688" s="3" t="str">
        <f t="shared" si="215"/>
        <v/>
      </c>
      <c r="J688" s="2" t="str">
        <f t="shared" si="216"/>
        <v/>
      </c>
      <c r="K688" s="2" t="str">
        <f>IF(W688="","",LOOKUP('Extraction edi'!J688,Paramètrage!$A$6:$A$179,Paramètrage!$B$6:$B$179))</f>
        <v/>
      </c>
      <c r="L688" s="2" t="str">
        <f>IF(W688="","",LOOKUP('Extraction edi'!J688,Paramètrage!$A$6:$A$179,Paramètrage!$C$6:$C$179))</f>
        <v/>
      </c>
      <c r="M688" s="2" t="str">
        <f>IF(W688="","",LOOKUP('Extraction edi'!J688,Paramètrage!$A$6:$A$179,Paramètrage!$D$6:$D$179))</f>
        <v/>
      </c>
      <c r="N688" s="3" t="str">
        <f>IF(W688="","",LOOKUP('Extraction edi'!J688,Paramètrage!$A$6:$A$179,Paramètrage!$E$6:$E$179))</f>
        <v/>
      </c>
      <c r="O688" s="3" t="str">
        <f t="shared" si="217"/>
        <v/>
      </c>
      <c r="P688" s="3" t="str">
        <f t="shared" si="218"/>
        <v/>
      </c>
      <c r="Q688" s="3" t="str">
        <f t="shared" si="209"/>
        <v/>
      </c>
      <c r="R688" s="3" t="str">
        <f t="shared" si="219"/>
        <v/>
      </c>
      <c r="S688" s="3" t="str">
        <f t="shared" si="220"/>
        <v/>
      </c>
      <c r="T688" s="4" t="str">
        <f t="shared" si="221"/>
        <v/>
      </c>
      <c r="U688" s="5" t="str">
        <f t="shared" si="222"/>
        <v/>
      </c>
      <c r="V688" s="7" t="str">
        <f>IF(W688="","",IF(LOOKUP(W688,'Extration 3E date commande'!$A$6:$A$10000)=W688,LOOKUP(W688,'Extration 3E date commande'!$A$6:$A$10000,'Extration 3E date commande'!$C$6:$C$10000),"PAS DE DATE"))</f>
        <v/>
      </c>
    </row>
    <row r="689" spans="1:22" x14ac:dyDescent="0.25">
      <c r="A689" s="3" t="str">
        <f t="shared" si="210"/>
        <v/>
      </c>
      <c r="B689" s="3" t="str">
        <f t="shared" si="211"/>
        <v/>
      </c>
      <c r="C689" s="3" t="str">
        <f t="shared" si="207"/>
        <v/>
      </c>
      <c r="D689" s="3" t="str">
        <f t="shared" si="212"/>
        <v/>
      </c>
      <c r="E689" s="3" t="str">
        <f t="shared" si="205"/>
        <v/>
      </c>
      <c r="F689" s="3" t="str">
        <f t="shared" si="213"/>
        <v/>
      </c>
      <c r="G689" s="3" t="str">
        <f t="shared" si="206"/>
        <v/>
      </c>
      <c r="H689" s="3" t="str">
        <f t="shared" si="214"/>
        <v/>
      </c>
      <c r="I689" s="3" t="str">
        <f t="shared" si="215"/>
        <v/>
      </c>
      <c r="J689" s="2" t="str">
        <f t="shared" si="216"/>
        <v/>
      </c>
      <c r="K689" s="2" t="str">
        <f>IF(W689="","",LOOKUP('Extraction edi'!J689,Paramètrage!$A$6:$A$179,Paramètrage!$B$6:$B$179))</f>
        <v/>
      </c>
      <c r="L689" s="2" t="str">
        <f>IF(W689="","",LOOKUP('Extraction edi'!J689,Paramètrage!$A$6:$A$179,Paramètrage!$C$6:$C$179))</f>
        <v/>
      </c>
      <c r="M689" s="2" t="str">
        <f>IF(W689="","",LOOKUP('Extraction edi'!J689,Paramètrage!$A$6:$A$179,Paramètrage!$D$6:$D$179))</f>
        <v/>
      </c>
      <c r="N689" s="3" t="str">
        <f>IF(W689="","",LOOKUP('Extraction edi'!J689,Paramètrage!$A$6:$A$179,Paramètrage!$E$6:$E$179))</f>
        <v/>
      </c>
      <c r="O689" s="3" t="str">
        <f t="shared" si="217"/>
        <v/>
      </c>
      <c r="P689" s="3" t="str">
        <f t="shared" si="218"/>
        <v/>
      </c>
      <c r="Q689" s="3" t="str">
        <f t="shared" si="209"/>
        <v/>
      </c>
      <c r="R689" s="3" t="str">
        <f t="shared" si="219"/>
        <v/>
      </c>
      <c r="S689" s="3" t="str">
        <f t="shared" si="220"/>
        <v/>
      </c>
      <c r="T689" s="4" t="str">
        <f t="shared" si="221"/>
        <v/>
      </c>
      <c r="U689" s="5" t="str">
        <f t="shared" si="222"/>
        <v/>
      </c>
      <c r="V689" s="7" t="str">
        <f>IF(W689="","",IF(LOOKUP(W689,'Extration 3E date commande'!$A$6:$A$10000)=W689,LOOKUP(W689,'Extration 3E date commande'!$A$6:$A$10000,'Extration 3E date commande'!$C$6:$C$10000),"PAS DE DATE"))</f>
        <v/>
      </c>
    </row>
    <row r="690" spans="1:22" x14ac:dyDescent="0.25">
      <c r="A690" s="3" t="str">
        <f t="shared" si="210"/>
        <v/>
      </c>
      <c r="B690" s="3" t="str">
        <f t="shared" si="211"/>
        <v/>
      </c>
      <c r="C690" s="3" t="str">
        <f t="shared" si="207"/>
        <v/>
      </c>
      <c r="D690" s="3" t="str">
        <f t="shared" si="212"/>
        <v/>
      </c>
      <c r="E690" s="3" t="str">
        <f t="shared" si="205"/>
        <v/>
      </c>
      <c r="F690" s="3" t="str">
        <f t="shared" si="213"/>
        <v/>
      </c>
      <c r="G690" s="3" t="str">
        <f t="shared" si="206"/>
        <v/>
      </c>
      <c r="H690" s="3" t="str">
        <f t="shared" si="214"/>
        <v/>
      </c>
      <c r="I690" s="3" t="str">
        <f t="shared" si="215"/>
        <v/>
      </c>
      <c r="J690" s="2" t="str">
        <f t="shared" si="216"/>
        <v/>
      </c>
      <c r="K690" s="2" t="str">
        <f>IF(W690="","",LOOKUP('Extraction edi'!J690,Paramètrage!$A$6:$A$179,Paramètrage!$B$6:$B$179))</f>
        <v/>
      </c>
      <c r="L690" s="2" t="str">
        <f>IF(W690="","",LOOKUP('Extraction edi'!J690,Paramètrage!$A$6:$A$179,Paramètrage!$C$6:$C$179))</f>
        <v/>
      </c>
      <c r="M690" s="2" t="str">
        <f>IF(W690="","",LOOKUP('Extraction edi'!J690,Paramètrage!$A$6:$A$179,Paramètrage!$D$6:$D$179))</f>
        <v/>
      </c>
      <c r="N690" s="3" t="str">
        <f>IF(W690="","",LOOKUP('Extraction edi'!J690,Paramètrage!$A$6:$A$179,Paramètrage!$E$6:$E$179))</f>
        <v/>
      </c>
      <c r="O690" s="3" t="str">
        <f t="shared" si="217"/>
        <v/>
      </c>
      <c r="P690" s="3" t="str">
        <f t="shared" si="218"/>
        <v/>
      </c>
      <c r="Q690" s="3" t="str">
        <f t="shared" si="209"/>
        <v/>
      </c>
      <c r="R690" s="3" t="str">
        <f t="shared" si="219"/>
        <v/>
      </c>
      <c r="S690" s="3" t="str">
        <f t="shared" si="220"/>
        <v/>
      </c>
      <c r="T690" s="4" t="str">
        <f t="shared" si="221"/>
        <v/>
      </c>
      <c r="U690" s="5" t="str">
        <f t="shared" si="222"/>
        <v/>
      </c>
      <c r="V690" s="7" t="str">
        <f>IF(W690="","",IF(LOOKUP(W690,'Extration 3E date commande'!$A$6:$A$10000)=W690,LOOKUP(W690,'Extration 3E date commande'!$A$6:$A$10000,'Extration 3E date commande'!$C$6:$C$10000),"PAS DE DATE"))</f>
        <v/>
      </c>
    </row>
    <row r="691" spans="1:22" x14ac:dyDescent="0.25">
      <c r="A691" s="3" t="str">
        <f t="shared" si="210"/>
        <v/>
      </c>
      <c r="B691" s="3" t="str">
        <f t="shared" si="211"/>
        <v/>
      </c>
      <c r="C691" s="3" t="str">
        <f t="shared" si="207"/>
        <v/>
      </c>
      <c r="D691" s="3" t="str">
        <f t="shared" si="212"/>
        <v/>
      </c>
      <c r="E691" s="3" t="str">
        <f t="shared" si="205"/>
        <v/>
      </c>
      <c r="F691" s="3" t="str">
        <f t="shared" si="213"/>
        <v/>
      </c>
      <c r="G691" s="3" t="str">
        <f t="shared" si="206"/>
        <v/>
      </c>
      <c r="H691" s="3" t="str">
        <f t="shared" si="214"/>
        <v/>
      </c>
      <c r="I691" s="3" t="str">
        <f t="shared" si="215"/>
        <v/>
      </c>
      <c r="J691" s="2" t="str">
        <f t="shared" si="216"/>
        <v/>
      </c>
      <c r="K691" s="2" t="str">
        <f>IF(W691="","",LOOKUP('Extraction edi'!J691,Paramètrage!$A$6:$A$179,Paramètrage!$B$6:$B$179))</f>
        <v/>
      </c>
      <c r="L691" s="2" t="str">
        <f>IF(W691="","",LOOKUP('Extraction edi'!J691,Paramètrage!$A$6:$A$179,Paramètrage!$C$6:$C$179))</f>
        <v/>
      </c>
      <c r="M691" s="2" t="str">
        <f>IF(W691="","",LOOKUP('Extraction edi'!J691,Paramètrage!$A$6:$A$179,Paramètrage!$D$6:$D$179))</f>
        <v/>
      </c>
      <c r="N691" s="3" t="str">
        <f>IF(W691="","",LOOKUP('Extraction edi'!J691,Paramètrage!$A$6:$A$179,Paramètrage!$E$6:$E$179))</f>
        <v/>
      </c>
      <c r="O691" s="3" t="str">
        <f t="shared" si="217"/>
        <v/>
      </c>
      <c r="P691" s="3" t="str">
        <f t="shared" si="218"/>
        <v/>
      </c>
      <c r="Q691" s="3" t="str">
        <f t="shared" si="209"/>
        <v/>
      </c>
      <c r="R691" s="3" t="str">
        <f t="shared" si="219"/>
        <v/>
      </c>
      <c r="S691" s="3" t="str">
        <f t="shared" si="220"/>
        <v/>
      </c>
      <c r="T691" s="4" t="str">
        <f t="shared" si="221"/>
        <v/>
      </c>
      <c r="U691" s="5" t="str">
        <f t="shared" si="222"/>
        <v/>
      </c>
      <c r="V691" s="7" t="str">
        <f>IF(W691="","",IF(LOOKUP(W691,'Extration 3E date commande'!$A$6:$A$10000)=W691,LOOKUP(W691,'Extration 3E date commande'!$A$6:$A$10000,'Extration 3E date commande'!$C$6:$C$10000),"PAS DE DATE"))</f>
        <v/>
      </c>
    </row>
    <row r="692" spans="1:22" x14ac:dyDescent="0.25">
      <c r="A692" s="3" t="str">
        <f t="shared" si="210"/>
        <v/>
      </c>
      <c r="B692" s="3" t="str">
        <f t="shared" si="211"/>
        <v/>
      </c>
      <c r="C692" s="3" t="str">
        <f t="shared" si="207"/>
        <v/>
      </c>
      <c r="D692" s="3" t="str">
        <f t="shared" si="212"/>
        <v/>
      </c>
      <c r="E692" s="3" t="str">
        <f t="shared" si="205"/>
        <v/>
      </c>
      <c r="F692" s="3" t="str">
        <f t="shared" si="213"/>
        <v/>
      </c>
      <c r="G692" s="3" t="str">
        <f t="shared" si="206"/>
        <v/>
      </c>
      <c r="H692" s="3" t="str">
        <f t="shared" si="214"/>
        <v/>
      </c>
      <c r="I692" s="3" t="str">
        <f t="shared" si="215"/>
        <v/>
      </c>
      <c r="J692" s="2" t="str">
        <f t="shared" si="216"/>
        <v/>
      </c>
      <c r="K692" s="2" t="str">
        <f>IF(W692="","",LOOKUP('Extraction edi'!J692,Paramètrage!$A$6:$A$179,Paramètrage!$B$6:$B$179))</f>
        <v/>
      </c>
      <c r="L692" s="2" t="str">
        <f>IF(W692="","",LOOKUP('Extraction edi'!J692,Paramètrage!$A$6:$A$179,Paramètrage!$C$6:$C$179))</f>
        <v/>
      </c>
      <c r="M692" s="2" t="str">
        <f>IF(W692="","",LOOKUP('Extraction edi'!J692,Paramètrage!$A$6:$A$179,Paramètrage!$D$6:$D$179))</f>
        <v/>
      </c>
      <c r="N692" s="3" t="str">
        <f>IF(W692="","",LOOKUP('Extraction edi'!J692,Paramètrage!$A$6:$A$179,Paramètrage!$E$6:$E$179))</f>
        <v/>
      </c>
      <c r="O692" s="3" t="str">
        <f t="shared" si="217"/>
        <v/>
      </c>
      <c r="P692" s="3" t="str">
        <f t="shared" si="218"/>
        <v/>
      </c>
      <c r="Q692" s="3" t="str">
        <f t="shared" si="209"/>
        <v/>
      </c>
      <c r="R692" s="3" t="str">
        <f t="shared" si="219"/>
        <v/>
      </c>
      <c r="S692" s="3" t="str">
        <f t="shared" si="220"/>
        <v/>
      </c>
      <c r="T692" s="4" t="str">
        <f t="shared" si="221"/>
        <v/>
      </c>
      <c r="U692" s="5" t="str">
        <f t="shared" si="222"/>
        <v/>
      </c>
      <c r="V692" s="7" t="str">
        <f>IF(W692="","",IF(LOOKUP(W692,'Extration 3E date commande'!$A$6:$A$10000)=W692,LOOKUP(W692,'Extration 3E date commande'!$A$6:$A$10000,'Extration 3E date commande'!$C$6:$C$10000),"PAS DE DATE"))</f>
        <v/>
      </c>
    </row>
    <row r="693" spans="1:22" x14ac:dyDescent="0.25">
      <c r="A693" s="3" t="str">
        <f t="shared" si="210"/>
        <v/>
      </c>
      <c r="B693" s="3" t="str">
        <f t="shared" si="211"/>
        <v/>
      </c>
      <c r="C693" s="3" t="str">
        <f t="shared" si="207"/>
        <v/>
      </c>
      <c r="D693" s="3" t="str">
        <f t="shared" si="212"/>
        <v/>
      </c>
      <c r="E693" s="3" t="str">
        <f t="shared" si="205"/>
        <v/>
      </c>
      <c r="F693" s="3" t="str">
        <f t="shared" si="213"/>
        <v/>
      </c>
      <c r="G693" s="3" t="str">
        <f t="shared" si="206"/>
        <v/>
      </c>
      <c r="H693" s="3" t="str">
        <f t="shared" si="214"/>
        <v/>
      </c>
      <c r="I693" s="3" t="str">
        <f t="shared" si="215"/>
        <v/>
      </c>
      <c r="J693" s="2" t="str">
        <f t="shared" si="216"/>
        <v/>
      </c>
      <c r="K693" s="2" t="str">
        <f>IF(W693="","",LOOKUP('Extraction edi'!J693,Paramètrage!$A$6:$A$179,Paramètrage!$B$6:$B$179))</f>
        <v/>
      </c>
      <c r="L693" s="2" t="str">
        <f>IF(W693="","",LOOKUP('Extraction edi'!J693,Paramètrage!$A$6:$A$179,Paramètrage!$C$6:$C$179))</f>
        <v/>
      </c>
      <c r="M693" s="2" t="str">
        <f>IF(W693="","",LOOKUP('Extraction edi'!J693,Paramètrage!$A$6:$A$179,Paramètrage!$D$6:$D$179))</f>
        <v/>
      </c>
      <c r="N693" s="3" t="str">
        <f>IF(W693="","",LOOKUP('Extraction edi'!J693,Paramètrage!$A$6:$A$179,Paramètrage!$E$6:$E$179))</f>
        <v/>
      </c>
      <c r="O693" s="3" t="str">
        <f t="shared" si="217"/>
        <v/>
      </c>
      <c r="P693" s="3" t="str">
        <f t="shared" si="218"/>
        <v/>
      </c>
      <c r="Q693" s="3" t="str">
        <f t="shared" si="209"/>
        <v/>
      </c>
      <c r="R693" s="3" t="str">
        <f t="shared" si="219"/>
        <v/>
      </c>
      <c r="S693" s="3" t="str">
        <f t="shared" si="220"/>
        <v/>
      </c>
      <c r="T693" s="4" t="str">
        <f t="shared" si="221"/>
        <v/>
      </c>
      <c r="U693" s="5" t="str">
        <f t="shared" si="222"/>
        <v/>
      </c>
      <c r="V693" s="7" t="str">
        <f>IF(W693="","",IF(LOOKUP(W693,'Extration 3E date commande'!$A$6:$A$10000)=W693,LOOKUP(W693,'Extration 3E date commande'!$A$6:$A$10000,'Extration 3E date commande'!$C$6:$C$10000),"PAS DE DATE"))</f>
        <v/>
      </c>
    </row>
    <row r="694" spans="1:22" x14ac:dyDescent="0.25">
      <c r="A694" s="3" t="str">
        <f t="shared" si="210"/>
        <v/>
      </c>
      <c r="B694" s="3" t="str">
        <f t="shared" si="211"/>
        <v/>
      </c>
      <c r="C694" s="3" t="str">
        <f t="shared" si="207"/>
        <v/>
      </c>
      <c r="D694" s="3" t="str">
        <f t="shared" si="212"/>
        <v/>
      </c>
      <c r="E694" s="3" t="str">
        <f t="shared" si="205"/>
        <v/>
      </c>
      <c r="F694" s="3" t="str">
        <f t="shared" si="213"/>
        <v/>
      </c>
      <c r="G694" s="3" t="str">
        <f t="shared" si="206"/>
        <v/>
      </c>
      <c r="H694" s="3" t="str">
        <f t="shared" si="214"/>
        <v/>
      </c>
      <c r="I694" s="3" t="str">
        <f t="shared" si="215"/>
        <v/>
      </c>
      <c r="J694" s="2" t="str">
        <f t="shared" si="216"/>
        <v/>
      </c>
      <c r="K694" s="2" t="str">
        <f>IF(W694="","",LOOKUP('Extraction edi'!J694,Paramètrage!$A$6:$A$179,Paramètrage!$B$6:$B$179))</f>
        <v/>
      </c>
      <c r="L694" s="2" t="str">
        <f>IF(W694="","",LOOKUP('Extraction edi'!J694,Paramètrage!$A$6:$A$179,Paramètrage!$C$6:$C$179))</f>
        <v/>
      </c>
      <c r="M694" s="2" t="str">
        <f>IF(W694="","",LOOKUP('Extraction edi'!J694,Paramètrage!$A$6:$A$179,Paramètrage!$D$6:$D$179))</f>
        <v/>
      </c>
      <c r="N694" s="3" t="str">
        <f>IF(W694="","",LOOKUP('Extraction edi'!J694,Paramètrage!$A$6:$A$179,Paramètrage!$E$6:$E$179))</f>
        <v/>
      </c>
      <c r="O694" s="3" t="str">
        <f t="shared" si="217"/>
        <v/>
      </c>
      <c r="P694" s="3" t="str">
        <f t="shared" si="218"/>
        <v/>
      </c>
      <c r="Q694" s="3" t="str">
        <f t="shared" si="209"/>
        <v/>
      </c>
      <c r="R694" s="3" t="str">
        <f t="shared" si="219"/>
        <v/>
      </c>
      <c r="S694" s="3" t="str">
        <f t="shared" si="220"/>
        <v/>
      </c>
      <c r="T694" s="4" t="str">
        <f t="shared" si="221"/>
        <v/>
      </c>
      <c r="U694" s="5" t="str">
        <f t="shared" si="222"/>
        <v/>
      </c>
      <c r="V694" s="7" t="str">
        <f>IF(W694="","",IF(LOOKUP(W694,'Extration 3E date commande'!$A$6:$A$10000)=W694,LOOKUP(W694,'Extration 3E date commande'!$A$6:$A$10000,'Extration 3E date commande'!$C$6:$C$10000),"PAS DE DATE"))</f>
        <v/>
      </c>
    </row>
    <row r="695" spans="1:22" x14ac:dyDescent="0.25">
      <c r="A695" s="3" t="str">
        <f t="shared" si="210"/>
        <v/>
      </c>
      <c r="B695" s="3" t="str">
        <f t="shared" si="211"/>
        <v/>
      </c>
      <c r="C695" s="3" t="str">
        <f t="shared" si="207"/>
        <v/>
      </c>
      <c r="D695" s="3" t="str">
        <f t="shared" si="212"/>
        <v/>
      </c>
      <c r="E695" s="3" t="str">
        <f t="shared" si="205"/>
        <v/>
      </c>
      <c r="F695" s="3" t="str">
        <f t="shared" si="213"/>
        <v/>
      </c>
      <c r="G695" s="3" t="str">
        <f t="shared" si="206"/>
        <v/>
      </c>
      <c r="H695" s="3" t="str">
        <f t="shared" si="214"/>
        <v/>
      </c>
      <c r="I695" s="3" t="str">
        <f t="shared" si="215"/>
        <v/>
      </c>
      <c r="J695" s="2" t="str">
        <f t="shared" si="216"/>
        <v/>
      </c>
      <c r="K695" s="2" t="str">
        <f>IF(W695="","",LOOKUP('Extraction edi'!J695,Paramètrage!$A$6:$A$179,Paramètrage!$B$6:$B$179))</f>
        <v/>
      </c>
      <c r="L695" s="2" t="str">
        <f>IF(W695="","",LOOKUP('Extraction edi'!J695,Paramètrage!$A$6:$A$179,Paramètrage!$C$6:$C$179))</f>
        <v/>
      </c>
      <c r="M695" s="2" t="str">
        <f>IF(W695="","",LOOKUP('Extraction edi'!J695,Paramètrage!$A$6:$A$179,Paramètrage!$D$6:$D$179))</f>
        <v/>
      </c>
      <c r="N695" s="3" t="str">
        <f>IF(W695="","",LOOKUP('Extraction edi'!J695,Paramètrage!$A$6:$A$179,Paramètrage!$E$6:$E$179))</f>
        <v/>
      </c>
      <c r="O695" s="3" t="str">
        <f t="shared" si="217"/>
        <v/>
      </c>
      <c r="P695" s="3" t="str">
        <f t="shared" si="218"/>
        <v/>
      </c>
      <c r="Q695" s="3" t="str">
        <f t="shared" si="209"/>
        <v/>
      </c>
      <c r="R695" s="3" t="str">
        <f t="shared" si="219"/>
        <v/>
      </c>
      <c r="S695" s="3" t="str">
        <f t="shared" si="220"/>
        <v/>
      </c>
      <c r="T695" s="4" t="str">
        <f t="shared" si="221"/>
        <v/>
      </c>
      <c r="U695" s="5" t="str">
        <f t="shared" si="222"/>
        <v/>
      </c>
      <c r="V695" s="7" t="str">
        <f>IF(W695="","",IF(LOOKUP(W695,'Extration 3E date commande'!$A$6:$A$10000)=W695,LOOKUP(W695,'Extration 3E date commande'!$A$6:$A$10000,'Extration 3E date commande'!$C$6:$C$10000),"PAS DE DATE"))</f>
        <v/>
      </c>
    </row>
    <row r="696" spans="1:22" x14ac:dyDescent="0.25">
      <c r="A696" s="3" t="str">
        <f t="shared" si="210"/>
        <v/>
      </c>
      <c r="B696" s="3" t="str">
        <f t="shared" si="211"/>
        <v/>
      </c>
      <c r="C696" s="3" t="str">
        <f t="shared" si="207"/>
        <v/>
      </c>
      <c r="D696" s="3" t="str">
        <f t="shared" si="212"/>
        <v/>
      </c>
      <c r="E696" s="3" t="str">
        <f t="shared" si="205"/>
        <v/>
      </c>
      <c r="F696" s="3" t="str">
        <f t="shared" si="213"/>
        <v/>
      </c>
      <c r="G696" s="3" t="str">
        <f t="shared" si="206"/>
        <v/>
      </c>
      <c r="H696" s="3" t="str">
        <f t="shared" si="214"/>
        <v/>
      </c>
      <c r="I696" s="3" t="str">
        <f t="shared" si="215"/>
        <v/>
      </c>
      <c r="J696" s="2" t="str">
        <f t="shared" si="216"/>
        <v/>
      </c>
      <c r="K696" s="2" t="str">
        <f>IF(W696="","",LOOKUP('Extraction edi'!J696,Paramètrage!$A$6:$A$179,Paramètrage!$B$6:$B$179))</f>
        <v/>
      </c>
      <c r="L696" s="2" t="str">
        <f>IF(W696="","",LOOKUP('Extraction edi'!J696,Paramètrage!$A$6:$A$179,Paramètrage!$C$6:$C$179))</f>
        <v/>
      </c>
      <c r="M696" s="2" t="str">
        <f>IF(W696="","",LOOKUP('Extraction edi'!J696,Paramètrage!$A$6:$A$179,Paramètrage!$D$6:$D$179))</f>
        <v/>
      </c>
      <c r="N696" s="3" t="str">
        <f>IF(W696="","",LOOKUP('Extraction edi'!J696,Paramètrage!$A$6:$A$179,Paramètrage!$E$6:$E$179))</f>
        <v/>
      </c>
      <c r="O696" s="3" t="str">
        <f t="shared" si="217"/>
        <v/>
      </c>
      <c r="P696" s="3" t="str">
        <f t="shared" si="218"/>
        <v/>
      </c>
      <c r="Q696" s="3" t="str">
        <f t="shared" si="209"/>
        <v/>
      </c>
      <c r="R696" s="3" t="str">
        <f t="shared" si="219"/>
        <v/>
      </c>
      <c r="S696" s="3" t="str">
        <f t="shared" si="220"/>
        <v/>
      </c>
      <c r="T696" s="4" t="str">
        <f t="shared" si="221"/>
        <v/>
      </c>
      <c r="U696" s="5" t="str">
        <f t="shared" si="222"/>
        <v/>
      </c>
      <c r="V696" s="7" t="str">
        <f>IF(W696="","",IF(LOOKUP(W696,'Extration 3E date commande'!$A$6:$A$10000)=W696,LOOKUP(W696,'Extration 3E date commande'!$A$6:$A$10000,'Extration 3E date commande'!$C$6:$C$10000),"PAS DE DATE"))</f>
        <v/>
      </c>
    </row>
    <row r="697" spans="1:22" x14ac:dyDescent="0.25">
      <c r="A697" s="3" t="str">
        <f t="shared" si="210"/>
        <v/>
      </c>
      <c r="B697" s="3" t="str">
        <f t="shared" si="211"/>
        <v/>
      </c>
      <c r="C697" s="3" t="str">
        <f t="shared" si="207"/>
        <v/>
      </c>
      <c r="D697" s="3" t="str">
        <f t="shared" si="212"/>
        <v/>
      </c>
      <c r="E697" s="3" t="str">
        <f t="shared" si="205"/>
        <v/>
      </c>
      <c r="F697" s="3" t="str">
        <f t="shared" si="213"/>
        <v/>
      </c>
      <c r="G697" s="3" t="str">
        <f t="shared" si="206"/>
        <v/>
      </c>
      <c r="H697" s="3" t="str">
        <f t="shared" si="214"/>
        <v/>
      </c>
      <c r="I697" s="3" t="str">
        <f t="shared" si="215"/>
        <v/>
      </c>
      <c r="J697" s="2" t="str">
        <f t="shared" si="216"/>
        <v/>
      </c>
      <c r="K697" s="2" t="str">
        <f>IF(W697="","",LOOKUP('Extraction edi'!J697,Paramètrage!$A$6:$A$179,Paramètrage!$B$6:$B$179))</f>
        <v/>
      </c>
      <c r="L697" s="2" t="str">
        <f>IF(W697="","",LOOKUP('Extraction edi'!J697,Paramètrage!$A$6:$A$179,Paramètrage!$C$6:$C$179))</f>
        <v/>
      </c>
      <c r="M697" s="2" t="str">
        <f>IF(W697="","",LOOKUP('Extraction edi'!J697,Paramètrage!$A$6:$A$179,Paramètrage!$D$6:$D$179))</f>
        <v/>
      </c>
      <c r="N697" s="3" t="str">
        <f>IF(W697="","",LOOKUP('Extraction edi'!J697,Paramètrage!$A$6:$A$179,Paramètrage!$E$6:$E$179))</f>
        <v/>
      </c>
      <c r="O697" s="3" t="str">
        <f t="shared" si="217"/>
        <v/>
      </c>
      <c r="P697" s="3" t="str">
        <f t="shared" si="218"/>
        <v/>
      </c>
      <c r="Q697" s="3" t="str">
        <f t="shared" si="209"/>
        <v/>
      </c>
      <c r="R697" s="3" t="str">
        <f t="shared" si="219"/>
        <v/>
      </c>
      <c r="S697" s="3" t="str">
        <f t="shared" si="220"/>
        <v/>
      </c>
      <c r="T697" s="4" t="str">
        <f t="shared" si="221"/>
        <v/>
      </c>
      <c r="U697" s="5" t="str">
        <f t="shared" si="222"/>
        <v/>
      </c>
      <c r="V697" s="7" t="str">
        <f>IF(W697="","",IF(LOOKUP(W697,'Extration 3E date commande'!$A$6:$A$10000)=W697,LOOKUP(W697,'Extration 3E date commande'!$A$6:$A$10000,'Extration 3E date commande'!$C$6:$C$10000),"PAS DE DATE"))</f>
        <v/>
      </c>
    </row>
    <row r="698" spans="1:22" x14ac:dyDescent="0.25">
      <c r="A698" s="3" t="str">
        <f t="shared" si="210"/>
        <v/>
      </c>
      <c r="B698" s="3" t="str">
        <f t="shared" si="211"/>
        <v/>
      </c>
      <c r="C698" s="3" t="str">
        <f t="shared" si="207"/>
        <v/>
      </c>
      <c r="D698" s="3" t="str">
        <f t="shared" si="212"/>
        <v/>
      </c>
      <c r="E698" s="3" t="str">
        <f t="shared" si="205"/>
        <v/>
      </c>
      <c r="F698" s="3" t="str">
        <f t="shared" si="213"/>
        <v/>
      </c>
      <c r="G698" s="3" t="str">
        <f t="shared" si="206"/>
        <v/>
      </c>
      <c r="H698" s="3" t="str">
        <f t="shared" si="214"/>
        <v/>
      </c>
      <c r="I698" s="3" t="str">
        <f t="shared" si="215"/>
        <v/>
      </c>
      <c r="J698" s="2" t="str">
        <f t="shared" si="216"/>
        <v/>
      </c>
      <c r="K698" s="2" t="str">
        <f>IF(W698="","",LOOKUP('Extraction edi'!J698,Paramètrage!$A$6:$A$179,Paramètrage!$B$6:$B$179))</f>
        <v/>
      </c>
      <c r="L698" s="2" t="str">
        <f>IF(W698="","",LOOKUP('Extraction edi'!J698,Paramètrage!$A$6:$A$179,Paramètrage!$C$6:$C$179))</f>
        <v/>
      </c>
      <c r="M698" s="2" t="str">
        <f>IF(W698="","",LOOKUP('Extraction edi'!J698,Paramètrage!$A$6:$A$179,Paramètrage!$D$6:$D$179))</f>
        <v/>
      </c>
      <c r="N698" s="3" t="str">
        <f>IF(W698="","",LOOKUP('Extraction edi'!J698,Paramètrage!$A$6:$A$179,Paramètrage!$E$6:$E$179))</f>
        <v/>
      </c>
      <c r="O698" s="3" t="str">
        <f t="shared" si="217"/>
        <v/>
      </c>
      <c r="P698" s="3" t="str">
        <f t="shared" si="218"/>
        <v/>
      </c>
      <c r="Q698" s="3" t="str">
        <f t="shared" si="209"/>
        <v/>
      </c>
      <c r="R698" s="3" t="str">
        <f t="shared" si="219"/>
        <v/>
      </c>
      <c r="S698" s="3" t="str">
        <f t="shared" si="220"/>
        <v/>
      </c>
      <c r="T698" s="4" t="str">
        <f t="shared" si="221"/>
        <v/>
      </c>
      <c r="U698" s="5" t="str">
        <f t="shared" si="222"/>
        <v/>
      </c>
      <c r="V698" s="7" t="str">
        <f>IF(W698="","",IF(LOOKUP(W698,'Extration 3E date commande'!$A$6:$A$10000)=W698,LOOKUP(W698,'Extration 3E date commande'!$A$6:$A$10000,'Extration 3E date commande'!$C$6:$C$10000),"PAS DE DATE"))</f>
        <v/>
      </c>
    </row>
    <row r="699" spans="1:22" x14ac:dyDescent="0.25">
      <c r="A699" s="3" t="str">
        <f t="shared" si="210"/>
        <v/>
      </c>
      <c r="B699" s="3" t="str">
        <f t="shared" si="211"/>
        <v/>
      </c>
      <c r="C699" s="3" t="str">
        <f t="shared" si="207"/>
        <v/>
      </c>
      <c r="D699" s="3" t="str">
        <f t="shared" si="212"/>
        <v/>
      </c>
      <c r="E699" s="3" t="str">
        <f t="shared" si="205"/>
        <v/>
      </c>
      <c r="F699" s="3" t="str">
        <f t="shared" si="213"/>
        <v/>
      </c>
      <c r="G699" s="3" t="str">
        <f t="shared" si="206"/>
        <v/>
      </c>
      <c r="H699" s="3" t="str">
        <f t="shared" si="214"/>
        <v/>
      </c>
      <c r="I699" s="3" t="str">
        <f t="shared" si="215"/>
        <v/>
      </c>
      <c r="J699" s="2" t="str">
        <f t="shared" si="216"/>
        <v/>
      </c>
      <c r="K699" s="2" t="str">
        <f>IF(W699="","",LOOKUP('Extraction edi'!J699,Paramètrage!$A$6:$A$179,Paramètrage!$B$6:$B$179))</f>
        <v/>
      </c>
      <c r="L699" s="2" t="str">
        <f>IF(W699="","",LOOKUP('Extraction edi'!J699,Paramètrage!$A$6:$A$179,Paramètrage!$C$6:$C$179))</f>
        <v/>
      </c>
      <c r="M699" s="2" t="str">
        <f>IF(W699="","",LOOKUP('Extraction edi'!J699,Paramètrage!$A$6:$A$179,Paramètrage!$D$6:$D$179))</f>
        <v/>
      </c>
      <c r="N699" s="3" t="str">
        <f>IF(W699="","",LOOKUP('Extraction edi'!J699,Paramètrage!$A$6:$A$179,Paramètrage!$E$6:$E$179))</f>
        <v/>
      </c>
      <c r="O699" s="3" t="str">
        <f t="shared" si="217"/>
        <v/>
      </c>
      <c r="P699" s="3" t="str">
        <f t="shared" si="218"/>
        <v/>
      </c>
      <c r="Q699" s="3" t="str">
        <f t="shared" si="209"/>
        <v/>
      </c>
      <c r="R699" s="3" t="str">
        <f t="shared" si="219"/>
        <v/>
      </c>
      <c r="S699" s="3" t="str">
        <f t="shared" si="220"/>
        <v/>
      </c>
      <c r="T699" s="4" t="str">
        <f t="shared" si="221"/>
        <v/>
      </c>
      <c r="U699" s="5" t="str">
        <f t="shared" si="222"/>
        <v/>
      </c>
      <c r="V699" s="7" t="str">
        <f>IF(W699="","",IF(LOOKUP(W699,'Extration 3E date commande'!$A$6:$A$10000)=W699,LOOKUP(W699,'Extration 3E date commande'!$A$6:$A$10000,'Extration 3E date commande'!$C$6:$C$10000),"PAS DE DATE"))</f>
        <v/>
      </c>
    </row>
    <row r="700" spans="1:22" x14ac:dyDescent="0.25">
      <c r="A700" s="3" t="str">
        <f t="shared" si="210"/>
        <v/>
      </c>
      <c r="B700" s="3" t="str">
        <f t="shared" si="211"/>
        <v/>
      </c>
      <c r="C700" s="3" t="str">
        <f t="shared" si="207"/>
        <v/>
      </c>
      <c r="D700" s="3" t="str">
        <f t="shared" si="212"/>
        <v/>
      </c>
      <c r="E700" s="3" t="str">
        <f t="shared" si="205"/>
        <v/>
      </c>
      <c r="F700" s="3" t="str">
        <f t="shared" si="213"/>
        <v/>
      </c>
      <c r="G700" s="3" t="str">
        <f t="shared" si="206"/>
        <v/>
      </c>
      <c r="H700" s="3" t="str">
        <f t="shared" si="214"/>
        <v/>
      </c>
      <c r="I700" s="3" t="str">
        <f t="shared" si="215"/>
        <v/>
      </c>
      <c r="J700" s="2" t="str">
        <f t="shared" si="216"/>
        <v/>
      </c>
      <c r="K700" s="2" t="str">
        <f>IF(W700="","",LOOKUP('Extraction edi'!J700,Paramètrage!$A$6:$A$179,Paramètrage!$B$6:$B$179))</f>
        <v/>
      </c>
      <c r="L700" s="2" t="str">
        <f>IF(W700="","",LOOKUP('Extraction edi'!J700,Paramètrage!$A$6:$A$179,Paramètrage!$C$6:$C$179))</f>
        <v/>
      </c>
      <c r="M700" s="2" t="str">
        <f>IF(W700="","",LOOKUP('Extraction edi'!J700,Paramètrage!$A$6:$A$179,Paramètrage!$D$6:$D$179))</f>
        <v/>
      </c>
      <c r="N700" s="3" t="str">
        <f>IF(W700="","",LOOKUP('Extraction edi'!J700,Paramètrage!$A$6:$A$179,Paramètrage!$E$6:$E$179))</f>
        <v/>
      </c>
      <c r="O700" s="3" t="str">
        <f t="shared" si="217"/>
        <v/>
      </c>
      <c r="P700" s="3" t="str">
        <f t="shared" si="218"/>
        <v/>
      </c>
      <c r="Q700" s="3" t="str">
        <f t="shared" si="209"/>
        <v/>
      </c>
      <c r="R700" s="3" t="str">
        <f t="shared" si="219"/>
        <v/>
      </c>
      <c r="S700" s="3" t="str">
        <f t="shared" si="220"/>
        <v/>
      </c>
      <c r="T700" s="4" t="str">
        <f t="shared" si="221"/>
        <v/>
      </c>
      <c r="U700" s="5" t="str">
        <f t="shared" si="222"/>
        <v/>
      </c>
      <c r="V700" s="7" t="str">
        <f>IF(W700="","",IF(LOOKUP(W700,'Extration 3E date commande'!$A$6:$A$10000)=W700,LOOKUP(W700,'Extration 3E date commande'!$A$6:$A$10000,'Extration 3E date commande'!$C$6:$C$10000),"PAS DE DATE"))</f>
        <v/>
      </c>
    </row>
    <row r="701" spans="1:22" x14ac:dyDescent="0.25">
      <c r="A701" s="3" t="str">
        <f t="shared" si="210"/>
        <v/>
      </c>
      <c r="B701" s="3" t="str">
        <f t="shared" si="211"/>
        <v/>
      </c>
      <c r="C701" s="3" t="str">
        <f t="shared" si="207"/>
        <v/>
      </c>
      <c r="D701" s="3" t="str">
        <f t="shared" si="212"/>
        <v/>
      </c>
      <c r="E701" s="3" t="str">
        <f t="shared" si="205"/>
        <v/>
      </c>
      <c r="F701" s="3" t="str">
        <f t="shared" si="213"/>
        <v/>
      </c>
      <c r="G701" s="3" t="str">
        <f t="shared" si="206"/>
        <v/>
      </c>
      <c r="H701" s="3" t="str">
        <f t="shared" si="214"/>
        <v/>
      </c>
      <c r="I701" s="3" t="str">
        <f t="shared" si="215"/>
        <v/>
      </c>
      <c r="J701" s="2" t="str">
        <f t="shared" si="216"/>
        <v/>
      </c>
      <c r="K701" s="2" t="str">
        <f>IF(W701="","",LOOKUP('Extraction edi'!J701,Paramètrage!$A$6:$A$179,Paramètrage!$B$6:$B$179))</f>
        <v/>
      </c>
      <c r="L701" s="2" t="str">
        <f>IF(W701="","",LOOKUP('Extraction edi'!J701,Paramètrage!$A$6:$A$179,Paramètrage!$C$6:$C$179))</f>
        <v/>
      </c>
      <c r="M701" s="2" t="str">
        <f>IF(W701="","",LOOKUP('Extraction edi'!J701,Paramètrage!$A$6:$A$179,Paramètrage!$D$6:$D$179))</f>
        <v/>
      </c>
      <c r="N701" s="3" t="str">
        <f>IF(W701="","",LOOKUP('Extraction edi'!J701,Paramètrage!$A$6:$A$179,Paramètrage!$E$6:$E$179))</f>
        <v/>
      </c>
      <c r="O701" s="3" t="str">
        <f t="shared" si="217"/>
        <v/>
      </c>
      <c r="P701" s="3" t="str">
        <f t="shared" si="218"/>
        <v/>
      </c>
      <c r="Q701" s="3" t="str">
        <f t="shared" si="209"/>
        <v/>
      </c>
      <c r="R701" s="3" t="str">
        <f t="shared" si="219"/>
        <v/>
      </c>
      <c r="S701" s="3" t="str">
        <f t="shared" si="220"/>
        <v/>
      </c>
      <c r="T701" s="4" t="str">
        <f t="shared" si="221"/>
        <v/>
      </c>
      <c r="U701" s="5" t="str">
        <f t="shared" si="222"/>
        <v/>
      </c>
      <c r="V701" s="7" t="str">
        <f>IF(W701="","",IF(LOOKUP(W701,'Extration 3E date commande'!$A$6:$A$10000)=W701,LOOKUP(W701,'Extration 3E date commande'!$A$6:$A$10000,'Extration 3E date commande'!$C$6:$C$10000),"PAS DE DATE"))</f>
        <v/>
      </c>
    </row>
    <row r="702" spans="1:22" x14ac:dyDescent="0.25">
      <c r="A702" s="3" t="str">
        <f t="shared" si="210"/>
        <v/>
      </c>
      <c r="B702" s="3" t="str">
        <f t="shared" si="211"/>
        <v/>
      </c>
      <c r="C702" s="3" t="str">
        <f t="shared" si="207"/>
        <v/>
      </c>
      <c r="D702" s="3" t="str">
        <f t="shared" si="212"/>
        <v/>
      </c>
      <c r="E702" s="3" t="str">
        <f t="shared" si="205"/>
        <v/>
      </c>
      <c r="F702" s="3" t="str">
        <f t="shared" si="213"/>
        <v/>
      </c>
      <c r="G702" s="3" t="str">
        <f t="shared" si="206"/>
        <v/>
      </c>
      <c r="H702" s="3" t="str">
        <f t="shared" si="214"/>
        <v/>
      </c>
      <c r="I702" s="3" t="str">
        <f t="shared" si="215"/>
        <v/>
      </c>
      <c r="J702" s="2" t="str">
        <f t="shared" si="216"/>
        <v/>
      </c>
      <c r="K702" s="2" t="str">
        <f>IF(W702="","",LOOKUP('Extraction edi'!J702,Paramètrage!$A$6:$A$179,Paramètrage!$B$6:$B$179))</f>
        <v/>
      </c>
      <c r="L702" s="2" t="str">
        <f>IF(W702="","",LOOKUP('Extraction edi'!J702,Paramètrage!$A$6:$A$179,Paramètrage!$C$6:$C$179))</f>
        <v/>
      </c>
      <c r="M702" s="2" t="str">
        <f>IF(W702="","",LOOKUP('Extraction edi'!J702,Paramètrage!$A$6:$A$179,Paramètrage!$D$6:$D$179))</f>
        <v/>
      </c>
      <c r="N702" s="3" t="str">
        <f>IF(W702="","",LOOKUP('Extraction edi'!J702,Paramètrage!$A$6:$A$179,Paramètrage!$E$6:$E$179))</f>
        <v/>
      </c>
      <c r="O702" s="3" t="str">
        <f t="shared" si="217"/>
        <v/>
      </c>
      <c r="P702" s="3" t="str">
        <f t="shared" si="218"/>
        <v/>
      </c>
      <c r="Q702" s="3" t="str">
        <f t="shared" si="209"/>
        <v/>
      </c>
      <c r="R702" s="3" t="str">
        <f t="shared" si="219"/>
        <v/>
      </c>
      <c r="S702" s="3" t="str">
        <f t="shared" si="220"/>
        <v/>
      </c>
      <c r="T702" s="4" t="str">
        <f t="shared" si="221"/>
        <v/>
      </c>
      <c r="U702" s="5" t="str">
        <f t="shared" si="222"/>
        <v/>
      </c>
      <c r="V702" s="7" t="str">
        <f>IF(W702="","",IF(LOOKUP(W702,'Extration 3E date commande'!$A$6:$A$10000)=W702,LOOKUP(W702,'Extration 3E date commande'!$A$6:$A$10000,'Extration 3E date commande'!$C$6:$C$10000),"PAS DE DATE"))</f>
        <v/>
      </c>
    </row>
    <row r="703" spans="1:22" x14ac:dyDescent="0.25">
      <c r="A703" s="3" t="str">
        <f t="shared" si="210"/>
        <v/>
      </c>
      <c r="B703" s="3" t="str">
        <f t="shared" si="211"/>
        <v/>
      </c>
      <c r="C703" s="3" t="str">
        <f t="shared" si="207"/>
        <v/>
      </c>
      <c r="D703" s="3" t="str">
        <f t="shared" si="212"/>
        <v/>
      </c>
      <c r="E703" s="3" t="str">
        <f t="shared" si="205"/>
        <v/>
      </c>
      <c r="F703" s="3" t="str">
        <f t="shared" si="213"/>
        <v/>
      </c>
      <c r="G703" s="3" t="str">
        <f t="shared" si="206"/>
        <v/>
      </c>
      <c r="H703" s="3" t="str">
        <f t="shared" si="214"/>
        <v/>
      </c>
      <c r="I703" s="3" t="str">
        <f t="shared" si="215"/>
        <v/>
      </c>
      <c r="J703" s="2" t="str">
        <f t="shared" si="216"/>
        <v/>
      </c>
      <c r="K703" s="2" t="str">
        <f>IF(W703="","",LOOKUP('Extraction edi'!J703,Paramètrage!$A$6:$A$179,Paramètrage!$B$6:$B$179))</f>
        <v/>
      </c>
      <c r="L703" s="2" t="str">
        <f>IF(W703="","",LOOKUP('Extraction edi'!J703,Paramètrage!$A$6:$A$179,Paramètrage!$C$6:$C$179))</f>
        <v/>
      </c>
      <c r="M703" s="2" t="str">
        <f>IF(W703="","",LOOKUP('Extraction edi'!J703,Paramètrage!$A$6:$A$179,Paramètrage!$D$6:$D$179))</f>
        <v/>
      </c>
      <c r="N703" s="3" t="str">
        <f>IF(W703="","",LOOKUP('Extraction edi'!J703,Paramètrage!$A$6:$A$179,Paramètrage!$E$6:$E$179))</f>
        <v/>
      </c>
      <c r="O703" s="3" t="str">
        <f t="shared" si="217"/>
        <v/>
      </c>
      <c r="P703" s="3" t="str">
        <f t="shared" si="218"/>
        <v/>
      </c>
      <c r="Q703" s="3" t="str">
        <f t="shared" si="209"/>
        <v/>
      </c>
      <c r="R703" s="3" t="str">
        <f t="shared" si="219"/>
        <v/>
      </c>
      <c r="S703" s="3" t="str">
        <f t="shared" si="220"/>
        <v/>
      </c>
      <c r="T703" s="4" t="str">
        <f t="shared" si="221"/>
        <v/>
      </c>
      <c r="U703" s="5" t="str">
        <f t="shared" si="222"/>
        <v/>
      </c>
      <c r="V703" s="7" t="str">
        <f>IF(W703="","",IF(LOOKUP(W703,'Extration 3E date commande'!$A$6:$A$10000)=W703,LOOKUP(W703,'Extration 3E date commande'!$A$6:$A$10000,'Extration 3E date commande'!$C$6:$C$10000),"PAS DE DATE"))</f>
        <v/>
      </c>
    </row>
    <row r="704" spans="1:22" x14ac:dyDescent="0.25">
      <c r="A704" s="3" t="str">
        <f t="shared" si="210"/>
        <v/>
      </c>
      <c r="B704" s="3" t="str">
        <f t="shared" si="211"/>
        <v/>
      </c>
      <c r="C704" s="3" t="str">
        <f t="shared" si="207"/>
        <v/>
      </c>
      <c r="D704" s="3" t="str">
        <f t="shared" si="212"/>
        <v/>
      </c>
      <c r="E704" s="3" t="str">
        <f t="shared" si="205"/>
        <v/>
      </c>
      <c r="F704" s="3" t="str">
        <f t="shared" si="213"/>
        <v/>
      </c>
      <c r="G704" s="3" t="str">
        <f t="shared" si="206"/>
        <v/>
      </c>
      <c r="H704" s="3" t="str">
        <f t="shared" si="214"/>
        <v/>
      </c>
      <c r="I704" s="3" t="str">
        <f t="shared" si="215"/>
        <v/>
      </c>
      <c r="J704" s="2" t="str">
        <f t="shared" si="216"/>
        <v/>
      </c>
      <c r="K704" s="2" t="str">
        <f>IF(W704="","",LOOKUP('Extraction edi'!J704,Paramètrage!$A$6:$A$179,Paramètrage!$B$6:$B$179))</f>
        <v/>
      </c>
      <c r="L704" s="2" t="str">
        <f>IF(W704="","",LOOKUP('Extraction edi'!J704,Paramètrage!$A$6:$A$179,Paramètrage!$C$6:$C$179))</f>
        <v/>
      </c>
      <c r="M704" s="2" t="str">
        <f>IF(W704="","",LOOKUP('Extraction edi'!J704,Paramètrage!$A$6:$A$179,Paramètrage!$D$6:$D$179))</f>
        <v/>
      </c>
      <c r="N704" s="3" t="str">
        <f>IF(W704="","",LOOKUP('Extraction edi'!J704,Paramètrage!$A$6:$A$179,Paramètrage!$E$6:$E$179))</f>
        <v/>
      </c>
      <c r="O704" s="3" t="str">
        <f t="shared" si="217"/>
        <v/>
      </c>
      <c r="P704" s="3" t="str">
        <f t="shared" si="218"/>
        <v/>
      </c>
      <c r="Q704" s="3" t="str">
        <f t="shared" si="209"/>
        <v/>
      </c>
      <c r="R704" s="3" t="str">
        <f t="shared" si="219"/>
        <v/>
      </c>
      <c r="S704" s="3" t="str">
        <f t="shared" si="220"/>
        <v/>
      </c>
      <c r="T704" s="4" t="str">
        <f t="shared" si="221"/>
        <v/>
      </c>
      <c r="U704" s="5" t="str">
        <f t="shared" si="222"/>
        <v/>
      </c>
      <c r="V704" s="7" t="str">
        <f>IF(W704="","",IF(LOOKUP(W704,'Extration 3E date commande'!$A$6:$A$10000)=W704,LOOKUP(W704,'Extration 3E date commande'!$A$6:$A$10000,'Extration 3E date commande'!$C$6:$C$10000),"PAS DE DATE"))</f>
        <v/>
      </c>
    </row>
    <row r="705" spans="1:22" x14ac:dyDescent="0.25">
      <c r="A705" s="3" t="str">
        <f t="shared" si="210"/>
        <v/>
      </c>
      <c r="B705" s="3" t="str">
        <f t="shared" si="211"/>
        <v/>
      </c>
      <c r="C705" s="3" t="str">
        <f t="shared" si="207"/>
        <v/>
      </c>
      <c r="D705" s="3" t="str">
        <f t="shared" si="212"/>
        <v/>
      </c>
      <c r="E705" s="3" t="str">
        <f t="shared" si="205"/>
        <v/>
      </c>
      <c r="F705" s="3" t="str">
        <f t="shared" si="213"/>
        <v/>
      </c>
      <c r="G705" s="3" t="str">
        <f t="shared" si="206"/>
        <v/>
      </c>
      <c r="H705" s="3" t="str">
        <f t="shared" si="214"/>
        <v/>
      </c>
      <c r="I705" s="3" t="str">
        <f t="shared" si="215"/>
        <v/>
      </c>
      <c r="J705" s="2" t="str">
        <f t="shared" si="216"/>
        <v/>
      </c>
      <c r="K705" s="2" t="str">
        <f>IF(W705="","",LOOKUP('Extraction edi'!J705,Paramètrage!$A$6:$A$179,Paramètrage!$B$6:$B$179))</f>
        <v/>
      </c>
      <c r="L705" s="2" t="str">
        <f>IF(W705="","",LOOKUP('Extraction edi'!J705,Paramètrage!$A$6:$A$179,Paramètrage!$C$6:$C$179))</f>
        <v/>
      </c>
      <c r="M705" s="2" t="str">
        <f>IF(W705="","",LOOKUP('Extraction edi'!J705,Paramètrage!$A$6:$A$179,Paramètrage!$D$6:$D$179))</f>
        <v/>
      </c>
      <c r="N705" s="3" t="str">
        <f>IF(W705="","",LOOKUP('Extraction edi'!J705,Paramètrage!$A$6:$A$179,Paramètrage!$E$6:$E$179))</f>
        <v/>
      </c>
      <c r="O705" s="3" t="str">
        <f t="shared" si="217"/>
        <v/>
      </c>
      <c r="P705" s="3" t="str">
        <f t="shared" si="218"/>
        <v/>
      </c>
      <c r="Q705" s="3" t="str">
        <f t="shared" si="209"/>
        <v/>
      </c>
      <c r="R705" s="3" t="str">
        <f t="shared" si="219"/>
        <v/>
      </c>
      <c r="S705" s="3" t="str">
        <f t="shared" si="220"/>
        <v/>
      </c>
      <c r="T705" s="4" t="str">
        <f t="shared" si="221"/>
        <v/>
      </c>
      <c r="U705" s="5" t="str">
        <f t="shared" si="222"/>
        <v/>
      </c>
      <c r="V705" s="7" t="str">
        <f>IF(W705="","",IF(LOOKUP(W705,'Extration 3E date commande'!$A$6:$A$10000)=W705,LOOKUP(W705,'Extration 3E date commande'!$A$6:$A$10000,'Extration 3E date commande'!$C$6:$C$10000),"PAS DE DATE"))</f>
        <v/>
      </c>
    </row>
    <row r="706" spans="1:22" x14ac:dyDescent="0.25">
      <c r="A706" s="3" t="str">
        <f t="shared" si="210"/>
        <v/>
      </c>
      <c r="B706" s="3" t="str">
        <f t="shared" si="211"/>
        <v/>
      </c>
      <c r="C706" s="3" t="str">
        <f t="shared" si="207"/>
        <v/>
      </c>
      <c r="D706" s="3" t="str">
        <f t="shared" si="212"/>
        <v/>
      </c>
      <c r="E706" s="3" t="str">
        <f t="shared" si="205"/>
        <v/>
      </c>
      <c r="F706" s="3" t="str">
        <f t="shared" si="213"/>
        <v/>
      </c>
      <c r="G706" s="3" t="str">
        <f t="shared" si="206"/>
        <v/>
      </c>
      <c r="H706" s="3" t="str">
        <f t="shared" si="214"/>
        <v/>
      </c>
      <c r="I706" s="3" t="str">
        <f t="shared" si="215"/>
        <v/>
      </c>
      <c r="J706" s="2" t="str">
        <f t="shared" si="216"/>
        <v/>
      </c>
      <c r="K706" s="2" t="str">
        <f>IF(W706="","",LOOKUP('Extraction edi'!J706,Paramètrage!$A$6:$A$179,Paramètrage!$B$6:$B$179))</f>
        <v/>
      </c>
      <c r="L706" s="2" t="str">
        <f>IF(W706="","",LOOKUP('Extraction edi'!J706,Paramètrage!$A$6:$A$179,Paramètrage!$C$6:$C$179))</f>
        <v/>
      </c>
      <c r="M706" s="2" t="str">
        <f>IF(W706="","",LOOKUP('Extraction edi'!J706,Paramètrage!$A$6:$A$179,Paramètrage!$D$6:$D$179))</f>
        <v/>
      </c>
      <c r="N706" s="3" t="str">
        <f>IF(W706="","",LOOKUP('Extraction edi'!J706,Paramètrage!$A$6:$A$179,Paramètrage!$E$6:$E$179))</f>
        <v/>
      </c>
      <c r="O706" s="3" t="str">
        <f t="shared" si="217"/>
        <v/>
      </c>
      <c r="P706" s="3" t="str">
        <f t="shared" si="218"/>
        <v/>
      </c>
      <c r="Q706" s="3" t="str">
        <f t="shared" si="209"/>
        <v/>
      </c>
      <c r="R706" s="3" t="str">
        <f t="shared" si="219"/>
        <v/>
      </c>
      <c r="S706" s="3" t="str">
        <f t="shared" si="220"/>
        <v/>
      </c>
      <c r="T706" s="4" t="str">
        <f t="shared" si="221"/>
        <v/>
      </c>
      <c r="U706" s="5" t="str">
        <f t="shared" si="222"/>
        <v/>
      </c>
      <c r="V706" s="7" t="str">
        <f>IF(W706="","",IF(LOOKUP(W706,'Extration 3E date commande'!$A$6:$A$10000)=W706,LOOKUP(W706,'Extration 3E date commande'!$A$6:$A$10000,'Extration 3E date commande'!$C$6:$C$10000),"PAS DE DATE"))</f>
        <v/>
      </c>
    </row>
    <row r="707" spans="1:22" x14ac:dyDescent="0.25">
      <c r="A707" s="3" t="str">
        <f t="shared" si="210"/>
        <v/>
      </c>
      <c r="B707" s="3" t="str">
        <f t="shared" si="211"/>
        <v/>
      </c>
      <c r="C707" s="3" t="str">
        <f t="shared" si="207"/>
        <v/>
      </c>
      <c r="D707" s="3" t="str">
        <f t="shared" si="212"/>
        <v/>
      </c>
      <c r="E707" s="3" t="str">
        <f t="shared" si="205"/>
        <v/>
      </c>
      <c r="F707" s="3" t="str">
        <f t="shared" si="213"/>
        <v/>
      </c>
      <c r="G707" s="3" t="str">
        <f t="shared" si="206"/>
        <v/>
      </c>
      <c r="H707" s="3" t="str">
        <f t="shared" si="214"/>
        <v/>
      </c>
      <c r="I707" s="3" t="str">
        <f t="shared" si="215"/>
        <v/>
      </c>
      <c r="J707" s="2" t="str">
        <f t="shared" si="216"/>
        <v/>
      </c>
      <c r="K707" s="2" t="str">
        <f>IF(W707="","",LOOKUP('Extraction edi'!J707,Paramètrage!$A$6:$A$179,Paramètrage!$B$6:$B$179))</f>
        <v/>
      </c>
      <c r="L707" s="2" t="str">
        <f>IF(W707="","",LOOKUP('Extraction edi'!J707,Paramètrage!$A$6:$A$179,Paramètrage!$C$6:$C$179))</f>
        <v/>
      </c>
      <c r="M707" s="2" t="str">
        <f>IF(W707="","",LOOKUP('Extraction edi'!J707,Paramètrage!$A$6:$A$179,Paramètrage!$D$6:$D$179))</f>
        <v/>
      </c>
      <c r="N707" s="3" t="str">
        <f>IF(W707="","",LOOKUP('Extraction edi'!J707,Paramètrage!$A$6:$A$179,Paramètrage!$E$6:$E$179))</f>
        <v/>
      </c>
      <c r="O707" s="3" t="str">
        <f t="shared" si="217"/>
        <v/>
      </c>
      <c r="P707" s="3" t="str">
        <f t="shared" si="218"/>
        <v/>
      </c>
      <c r="Q707" s="3" t="str">
        <f t="shared" si="209"/>
        <v/>
      </c>
      <c r="R707" s="3" t="str">
        <f t="shared" si="219"/>
        <v/>
      </c>
      <c r="S707" s="3" t="str">
        <f t="shared" si="220"/>
        <v/>
      </c>
      <c r="T707" s="4" t="str">
        <f t="shared" si="221"/>
        <v/>
      </c>
      <c r="U707" s="5" t="str">
        <f t="shared" si="222"/>
        <v/>
      </c>
      <c r="V707" s="7" t="str">
        <f>IF(W707="","",IF(LOOKUP(W707,'Extration 3E date commande'!$A$6:$A$10000)=W707,LOOKUP(W707,'Extration 3E date commande'!$A$6:$A$10000,'Extration 3E date commande'!$C$6:$C$10000),"PAS DE DATE"))</f>
        <v/>
      </c>
    </row>
    <row r="708" spans="1:22" x14ac:dyDescent="0.25">
      <c r="A708" s="3" t="str">
        <f t="shared" si="210"/>
        <v/>
      </c>
      <c r="B708" s="3" t="str">
        <f t="shared" si="211"/>
        <v/>
      </c>
      <c r="C708" s="3" t="str">
        <f t="shared" si="207"/>
        <v/>
      </c>
      <c r="D708" s="3" t="str">
        <f t="shared" si="212"/>
        <v/>
      </c>
      <c r="E708" s="3" t="str">
        <f t="shared" si="205"/>
        <v/>
      </c>
      <c r="F708" s="3" t="str">
        <f t="shared" si="213"/>
        <v/>
      </c>
      <c r="G708" s="3" t="str">
        <f t="shared" si="206"/>
        <v/>
      </c>
      <c r="H708" s="3" t="str">
        <f t="shared" si="214"/>
        <v/>
      </c>
      <c r="I708" s="3" t="str">
        <f t="shared" si="215"/>
        <v/>
      </c>
      <c r="J708" s="2" t="str">
        <f t="shared" si="216"/>
        <v/>
      </c>
      <c r="K708" s="2" t="str">
        <f>IF(W708="","",LOOKUP('Extraction edi'!J708,Paramètrage!$A$6:$A$179,Paramètrage!$B$6:$B$179))</f>
        <v/>
      </c>
      <c r="L708" s="2" t="str">
        <f>IF(W708="","",LOOKUP('Extraction edi'!J708,Paramètrage!$A$6:$A$179,Paramètrage!$C$6:$C$179))</f>
        <v/>
      </c>
      <c r="M708" s="2" t="str">
        <f>IF(W708="","",LOOKUP('Extraction edi'!J708,Paramètrage!$A$6:$A$179,Paramètrage!$D$6:$D$179))</f>
        <v/>
      </c>
      <c r="N708" s="3" t="str">
        <f>IF(W708="","",LOOKUP('Extraction edi'!J708,Paramètrage!$A$6:$A$179,Paramètrage!$E$6:$E$179))</f>
        <v/>
      </c>
      <c r="O708" s="3" t="str">
        <f t="shared" si="217"/>
        <v/>
      </c>
      <c r="P708" s="3" t="str">
        <f t="shared" si="218"/>
        <v/>
      </c>
      <c r="Q708" s="3" t="str">
        <f t="shared" si="209"/>
        <v/>
      </c>
      <c r="R708" s="3" t="str">
        <f t="shared" si="219"/>
        <v/>
      </c>
      <c r="S708" s="3" t="str">
        <f t="shared" si="220"/>
        <v/>
      </c>
      <c r="T708" s="4" t="str">
        <f t="shared" si="221"/>
        <v/>
      </c>
      <c r="U708" s="5" t="str">
        <f t="shared" si="222"/>
        <v/>
      </c>
      <c r="V708" s="7" t="str">
        <f>IF(W708="","",IF(LOOKUP(W708,'Extration 3E date commande'!$A$6:$A$10000)=W708,LOOKUP(W708,'Extration 3E date commande'!$A$6:$A$10000,'Extration 3E date commande'!$C$6:$C$10000),"PAS DE DATE"))</f>
        <v/>
      </c>
    </row>
    <row r="709" spans="1:22" x14ac:dyDescent="0.25">
      <c r="A709" s="3" t="str">
        <f t="shared" si="210"/>
        <v/>
      </c>
      <c r="B709" s="3" t="str">
        <f t="shared" si="211"/>
        <v/>
      </c>
      <c r="C709" s="3" t="str">
        <f t="shared" si="207"/>
        <v/>
      </c>
      <c r="D709" s="3" t="str">
        <f t="shared" si="212"/>
        <v/>
      </c>
      <c r="E709" s="3" t="str">
        <f t="shared" si="205"/>
        <v/>
      </c>
      <c r="F709" s="3" t="str">
        <f t="shared" si="213"/>
        <v/>
      </c>
      <c r="G709" s="3" t="str">
        <f t="shared" si="206"/>
        <v/>
      </c>
      <c r="H709" s="3" t="str">
        <f t="shared" si="214"/>
        <v/>
      </c>
      <c r="I709" s="3" t="str">
        <f t="shared" si="215"/>
        <v/>
      </c>
      <c r="J709" s="2" t="str">
        <f t="shared" si="216"/>
        <v/>
      </c>
      <c r="K709" s="2" t="str">
        <f>IF(W709="","",LOOKUP('Extraction edi'!J709,Paramètrage!$A$6:$A$179,Paramètrage!$B$6:$B$179))</f>
        <v/>
      </c>
      <c r="L709" s="2" t="str">
        <f>IF(W709="","",LOOKUP('Extraction edi'!J709,Paramètrage!$A$6:$A$179,Paramètrage!$C$6:$C$179))</f>
        <v/>
      </c>
      <c r="M709" s="2" t="str">
        <f>IF(W709="","",LOOKUP('Extraction edi'!J709,Paramètrage!$A$6:$A$179,Paramètrage!$D$6:$D$179))</f>
        <v/>
      </c>
      <c r="N709" s="3" t="str">
        <f>IF(W709="","",LOOKUP('Extraction edi'!J709,Paramètrage!$A$6:$A$179,Paramètrage!$E$6:$E$179))</f>
        <v/>
      </c>
      <c r="O709" s="3" t="str">
        <f t="shared" si="217"/>
        <v/>
      </c>
      <c r="P709" s="3" t="str">
        <f t="shared" si="218"/>
        <v/>
      </c>
      <c r="Q709" s="3" t="str">
        <f t="shared" si="209"/>
        <v/>
      </c>
      <c r="R709" s="3" t="str">
        <f t="shared" si="219"/>
        <v/>
      </c>
      <c r="S709" s="3" t="str">
        <f t="shared" si="220"/>
        <v/>
      </c>
      <c r="T709" s="4" t="str">
        <f t="shared" si="221"/>
        <v/>
      </c>
      <c r="U709" s="5" t="str">
        <f t="shared" si="222"/>
        <v/>
      </c>
      <c r="V709" s="7" t="str">
        <f>IF(W709="","",IF(LOOKUP(W709,'Extration 3E date commande'!$A$6:$A$10000)=W709,LOOKUP(W709,'Extration 3E date commande'!$A$6:$A$10000,'Extration 3E date commande'!$C$6:$C$10000),"PAS DE DATE"))</f>
        <v/>
      </c>
    </row>
    <row r="710" spans="1:22" x14ac:dyDescent="0.25">
      <c r="A710" s="3" t="str">
        <f t="shared" si="210"/>
        <v/>
      </c>
      <c r="B710" s="3" t="str">
        <f t="shared" si="211"/>
        <v/>
      </c>
      <c r="C710" s="3" t="str">
        <f t="shared" si="207"/>
        <v/>
      </c>
      <c r="D710" s="3" t="str">
        <f t="shared" si="212"/>
        <v/>
      </c>
      <c r="E710" s="3" t="str">
        <f t="shared" ref="E710:E772" si="223">IF(ISERROR(SEARCH("U",B710))=FALSE,"ALU",IF(ISERROR(SEARCH("Y",B710)),"","ALU"))</f>
        <v/>
      </c>
      <c r="F710" s="3" t="str">
        <f t="shared" si="213"/>
        <v/>
      </c>
      <c r="G710" s="3" t="str">
        <f t="shared" ref="G710:G771" si="224">IF(B710="","",IF(C710="SAV","NEG/RELI/SAV",IF(C710="NEGOCE","NEG/RELI/SAV",IF(C710="RELI","NEG/RELI/SAV",IF(E710="ALU","ALU",IF(D710="PE","PE",IF(F710="TEX","TEX","STD")))))))</f>
        <v/>
      </c>
      <c r="H710" s="3" t="str">
        <f t="shared" si="214"/>
        <v/>
      </c>
      <c r="I710" s="3" t="str">
        <f t="shared" si="215"/>
        <v/>
      </c>
      <c r="J710" s="2" t="str">
        <f t="shared" si="216"/>
        <v/>
      </c>
      <c r="K710" s="2" t="str">
        <f>IF(W710="","",LOOKUP('Extraction edi'!J710,Paramètrage!$A$6:$A$179,Paramètrage!$B$6:$B$179))</f>
        <v/>
      </c>
      <c r="L710" s="2" t="str">
        <f>IF(W710="","",LOOKUP('Extraction edi'!J710,Paramètrage!$A$6:$A$179,Paramètrage!$C$6:$C$179))</f>
        <v/>
      </c>
      <c r="M710" s="2" t="str">
        <f>IF(W710="","",LOOKUP('Extraction edi'!J710,Paramètrage!$A$6:$A$179,Paramètrage!$D$6:$D$179))</f>
        <v/>
      </c>
      <c r="N710" s="3" t="str">
        <f>IF(W710="","",LOOKUP('Extraction edi'!J710,Paramètrage!$A$6:$A$179,Paramètrage!$E$6:$E$179))</f>
        <v/>
      </c>
      <c r="O710" s="3" t="str">
        <f t="shared" si="217"/>
        <v/>
      </c>
      <c r="P710" s="3" t="str">
        <f t="shared" si="218"/>
        <v/>
      </c>
      <c r="Q710" s="3" t="str">
        <f t="shared" si="209"/>
        <v/>
      </c>
      <c r="R710" s="3" t="str">
        <f t="shared" si="219"/>
        <v/>
      </c>
      <c r="S710" s="3" t="str">
        <f t="shared" si="220"/>
        <v/>
      </c>
      <c r="T710" s="4" t="str">
        <f t="shared" si="221"/>
        <v/>
      </c>
      <c r="U710" s="5" t="str">
        <f t="shared" si="222"/>
        <v/>
      </c>
      <c r="V710" s="7" t="str">
        <f>IF(W710="","",IF(LOOKUP(W710,'Extration 3E date commande'!$A$6:$A$10000)=W710,LOOKUP(W710,'Extration 3E date commande'!$A$6:$A$10000,'Extration 3E date commande'!$C$6:$C$10000),"PAS DE DATE"))</f>
        <v/>
      </c>
    </row>
    <row r="711" spans="1:22" x14ac:dyDescent="0.25">
      <c r="A711" s="3" t="str">
        <f t="shared" si="210"/>
        <v/>
      </c>
      <c r="B711" s="3" t="str">
        <f t="shared" si="211"/>
        <v/>
      </c>
      <c r="C711" s="3" t="str">
        <f t="shared" ref="C711:C774" si="225">IF(ISERROR(SEARCH("ELI",B711))=FALSE,"RELIQUAT",IF(ISERROR(SEARCH("N",B711))=FALSE,"NEGOCE",IF(ISERROR(SEARCH("S",B711))=FALSE,"SAV",IF(ISERROR(SEARCH("J",B711)),"","SAV"))))</f>
        <v/>
      </c>
      <c r="D711" s="3" t="str">
        <f t="shared" si="212"/>
        <v/>
      </c>
      <c r="E711" s="3" t="str">
        <f t="shared" si="223"/>
        <v/>
      </c>
      <c r="F711" s="3" t="str">
        <f t="shared" si="213"/>
        <v/>
      </c>
      <c r="G711" s="3" t="str">
        <f t="shared" si="224"/>
        <v/>
      </c>
      <c r="H711" s="3" t="str">
        <f t="shared" si="214"/>
        <v/>
      </c>
      <c r="I711" s="3" t="str">
        <f t="shared" si="215"/>
        <v/>
      </c>
      <c r="J711" s="2" t="str">
        <f t="shared" si="216"/>
        <v/>
      </c>
      <c r="K711" s="2" t="str">
        <f>IF(W711="","",LOOKUP('Extraction edi'!J711,Paramètrage!$A$6:$A$179,Paramètrage!$B$6:$B$179))</f>
        <v/>
      </c>
      <c r="L711" s="2" t="str">
        <f>IF(W711="","",LOOKUP('Extraction edi'!J711,Paramètrage!$A$6:$A$179,Paramètrage!$C$6:$C$179))</f>
        <v/>
      </c>
      <c r="M711" s="2" t="str">
        <f>IF(W711="","",LOOKUP('Extraction edi'!J711,Paramètrage!$A$6:$A$179,Paramètrage!$D$6:$D$179))</f>
        <v/>
      </c>
      <c r="N711" s="3" t="str">
        <f>IF(W711="","",LOOKUP('Extraction edi'!J711,Paramètrage!$A$6:$A$179,Paramètrage!$E$6:$E$179))</f>
        <v/>
      </c>
      <c r="O711" s="3" t="str">
        <f t="shared" si="217"/>
        <v/>
      </c>
      <c r="P711" s="3" t="str">
        <f t="shared" si="218"/>
        <v/>
      </c>
      <c r="Q711" s="3" t="str">
        <f t="shared" si="209"/>
        <v/>
      </c>
      <c r="R711" s="3" t="str">
        <f t="shared" si="219"/>
        <v/>
      </c>
      <c r="S711" s="3" t="str">
        <f t="shared" si="220"/>
        <v/>
      </c>
      <c r="T711" s="4" t="str">
        <f t="shared" si="221"/>
        <v/>
      </c>
      <c r="U711" s="5" t="str">
        <f t="shared" si="222"/>
        <v/>
      </c>
      <c r="V711" s="7" t="str">
        <f>IF(W711="","",IF(LOOKUP(W711,'Extration 3E date commande'!$A$6:$A$10000)=W711,LOOKUP(W711,'Extration 3E date commande'!$A$6:$A$10000,'Extration 3E date commande'!$C$6:$C$10000),"PAS DE DATE"))</f>
        <v/>
      </c>
    </row>
    <row r="712" spans="1:22" x14ac:dyDescent="0.25">
      <c r="A712" s="3" t="str">
        <f t="shared" si="210"/>
        <v/>
      </c>
      <c r="B712" s="3" t="str">
        <f t="shared" si="211"/>
        <v/>
      </c>
      <c r="C712" s="3" t="str">
        <f t="shared" si="225"/>
        <v/>
      </c>
      <c r="D712" s="3" t="str">
        <f t="shared" si="212"/>
        <v/>
      </c>
      <c r="E712" s="3" t="str">
        <f t="shared" si="223"/>
        <v/>
      </c>
      <c r="F712" s="3" t="str">
        <f t="shared" si="213"/>
        <v/>
      </c>
      <c r="G712" s="3" t="str">
        <f t="shared" si="224"/>
        <v/>
      </c>
      <c r="H712" s="3" t="str">
        <f t="shared" si="214"/>
        <v/>
      </c>
      <c r="I712" s="3" t="str">
        <f t="shared" si="215"/>
        <v/>
      </c>
      <c r="J712" s="2" t="str">
        <f t="shared" si="216"/>
        <v/>
      </c>
      <c r="K712" s="2" t="str">
        <f>IF(W712="","",LOOKUP('Extraction edi'!J712,Paramètrage!$A$6:$A$179,Paramètrage!$B$6:$B$179))</f>
        <v/>
      </c>
      <c r="L712" s="2" t="str">
        <f>IF(W712="","",LOOKUP('Extraction edi'!J712,Paramètrage!$A$6:$A$179,Paramètrage!$C$6:$C$179))</f>
        <v/>
      </c>
      <c r="M712" s="2" t="str">
        <f>IF(W712="","",LOOKUP('Extraction edi'!J712,Paramètrage!$A$6:$A$179,Paramètrage!$D$6:$D$179))</f>
        <v/>
      </c>
      <c r="N712" s="3" t="str">
        <f>IF(W712="","",LOOKUP('Extraction edi'!J712,Paramètrage!$A$6:$A$179,Paramètrage!$E$6:$E$179))</f>
        <v/>
      </c>
      <c r="O712" s="3" t="str">
        <f t="shared" si="217"/>
        <v/>
      </c>
      <c r="P712" s="3" t="str">
        <f t="shared" si="218"/>
        <v/>
      </c>
      <c r="Q712" s="3" t="str">
        <f t="shared" si="209"/>
        <v/>
      </c>
      <c r="R712" s="3" t="str">
        <f t="shared" si="219"/>
        <v/>
      </c>
      <c r="S712" s="3" t="str">
        <f t="shared" si="220"/>
        <v/>
      </c>
      <c r="T712" s="4" t="str">
        <f t="shared" si="221"/>
        <v/>
      </c>
      <c r="U712" s="5" t="str">
        <f t="shared" si="222"/>
        <v/>
      </c>
      <c r="V712" s="7" t="str">
        <f>IF(W712="","",IF(LOOKUP(W712,'Extration 3E date commande'!$A$6:$A$10000)=W712,LOOKUP(W712,'Extration 3E date commande'!$A$6:$A$10000,'Extration 3E date commande'!$C$6:$C$10000),"PAS DE DATE"))</f>
        <v/>
      </c>
    </row>
    <row r="713" spans="1:22" x14ac:dyDescent="0.25">
      <c r="A713" s="3" t="str">
        <f t="shared" si="210"/>
        <v/>
      </c>
      <c r="B713" s="3" t="str">
        <f t="shared" si="211"/>
        <v/>
      </c>
      <c r="C713" s="3" t="str">
        <f t="shared" si="225"/>
        <v/>
      </c>
      <c r="D713" s="3" t="str">
        <f t="shared" si="212"/>
        <v/>
      </c>
      <c r="E713" s="3" t="str">
        <f t="shared" si="223"/>
        <v/>
      </c>
      <c r="F713" s="3" t="str">
        <f t="shared" si="213"/>
        <v/>
      </c>
      <c r="G713" s="3" t="str">
        <f t="shared" si="224"/>
        <v/>
      </c>
      <c r="H713" s="3" t="str">
        <f t="shared" si="214"/>
        <v/>
      </c>
      <c r="I713" s="3" t="str">
        <f t="shared" si="215"/>
        <v/>
      </c>
      <c r="J713" s="2" t="str">
        <f t="shared" si="216"/>
        <v/>
      </c>
      <c r="K713" s="2" t="str">
        <f>IF(W713="","",LOOKUP('Extraction edi'!J713,Paramètrage!$A$6:$A$179,Paramètrage!$B$6:$B$179))</f>
        <v/>
      </c>
      <c r="L713" s="2" t="str">
        <f>IF(W713="","",LOOKUP('Extraction edi'!J713,Paramètrage!$A$6:$A$179,Paramètrage!$C$6:$C$179))</f>
        <v/>
      </c>
      <c r="M713" s="2" t="str">
        <f>IF(W713="","",LOOKUP('Extraction edi'!J713,Paramètrage!$A$6:$A$179,Paramètrage!$D$6:$D$179))</f>
        <v/>
      </c>
      <c r="N713" s="3" t="str">
        <f>IF(W713="","",LOOKUP('Extraction edi'!J713,Paramètrage!$A$6:$A$179,Paramètrage!$E$6:$E$179))</f>
        <v/>
      </c>
      <c r="O713" s="3" t="str">
        <f t="shared" si="217"/>
        <v/>
      </c>
      <c r="P713" s="3" t="str">
        <f t="shared" si="218"/>
        <v/>
      </c>
      <c r="Q713" s="3" t="str">
        <f t="shared" si="209"/>
        <v/>
      </c>
      <c r="R713" s="3" t="str">
        <f t="shared" si="219"/>
        <v/>
      </c>
      <c r="S713" s="3" t="str">
        <f t="shared" si="220"/>
        <v/>
      </c>
      <c r="T713" s="4" t="str">
        <f t="shared" si="221"/>
        <v/>
      </c>
      <c r="U713" s="5" t="str">
        <f t="shared" si="222"/>
        <v/>
      </c>
      <c r="V713" s="7" t="str">
        <f>IF(W713="","",IF(LOOKUP(W713,'Extration 3E date commande'!$A$6:$A$10000)=W713,LOOKUP(W713,'Extration 3E date commande'!$A$6:$A$10000,'Extration 3E date commande'!$C$6:$C$10000),"PAS DE DATE"))</f>
        <v/>
      </c>
    </row>
    <row r="714" spans="1:22" x14ac:dyDescent="0.25">
      <c r="A714" s="3" t="str">
        <f t="shared" si="210"/>
        <v/>
      </c>
      <c r="B714" s="3" t="str">
        <f t="shared" si="211"/>
        <v/>
      </c>
      <c r="C714" s="3" t="str">
        <f t="shared" si="225"/>
        <v/>
      </c>
      <c r="D714" s="3" t="str">
        <f t="shared" si="212"/>
        <v/>
      </c>
      <c r="E714" s="3" t="str">
        <f t="shared" si="223"/>
        <v/>
      </c>
      <c r="F714" s="3" t="str">
        <f t="shared" si="213"/>
        <v/>
      </c>
      <c r="G714" s="3" t="str">
        <f t="shared" si="224"/>
        <v/>
      </c>
      <c r="H714" s="3" t="str">
        <f t="shared" si="214"/>
        <v/>
      </c>
      <c r="I714" s="3" t="str">
        <f t="shared" si="215"/>
        <v/>
      </c>
      <c r="J714" s="2" t="str">
        <f t="shared" si="216"/>
        <v/>
      </c>
      <c r="K714" s="2" t="str">
        <f>IF(W714="","",LOOKUP('Extraction edi'!J714,Paramètrage!$A$6:$A$179,Paramètrage!$B$6:$B$179))</f>
        <v/>
      </c>
      <c r="L714" s="2" t="str">
        <f>IF(W714="","",LOOKUP('Extraction edi'!J714,Paramètrage!$A$6:$A$179,Paramètrage!$C$6:$C$179))</f>
        <v/>
      </c>
      <c r="M714" s="2" t="str">
        <f>IF(W714="","",LOOKUP('Extraction edi'!J714,Paramètrage!$A$6:$A$179,Paramètrage!$D$6:$D$179))</f>
        <v/>
      </c>
      <c r="N714" s="3" t="str">
        <f>IF(W714="","",LOOKUP('Extraction edi'!J714,Paramètrage!$A$6:$A$179,Paramètrage!$E$6:$E$179))</f>
        <v/>
      </c>
      <c r="O714" s="3" t="str">
        <f t="shared" si="217"/>
        <v/>
      </c>
      <c r="P714" s="3" t="str">
        <f t="shared" si="218"/>
        <v/>
      </c>
      <c r="Q714" s="3" t="str">
        <f t="shared" si="209"/>
        <v/>
      </c>
      <c r="R714" s="3" t="str">
        <f t="shared" si="219"/>
        <v/>
      </c>
      <c r="S714" s="3" t="str">
        <f t="shared" si="220"/>
        <v/>
      </c>
      <c r="T714" s="4" t="str">
        <f t="shared" si="221"/>
        <v/>
      </c>
      <c r="U714" s="5" t="str">
        <f t="shared" si="222"/>
        <v/>
      </c>
      <c r="V714" s="7" t="str">
        <f>IF(W714="","",IF(LOOKUP(W714,'Extration 3E date commande'!$A$6:$A$10000)=W714,LOOKUP(W714,'Extration 3E date commande'!$A$6:$A$10000,'Extration 3E date commande'!$C$6:$C$10000),"PAS DE DATE"))</f>
        <v/>
      </c>
    </row>
    <row r="715" spans="1:22" x14ac:dyDescent="0.25">
      <c r="A715" s="3" t="str">
        <f t="shared" si="210"/>
        <v/>
      </c>
      <c r="B715" s="3" t="str">
        <f t="shared" si="211"/>
        <v/>
      </c>
      <c r="C715" s="3" t="str">
        <f t="shared" si="225"/>
        <v/>
      </c>
      <c r="D715" s="3" t="str">
        <f t="shared" si="212"/>
        <v/>
      </c>
      <c r="E715" s="3" t="str">
        <f t="shared" si="223"/>
        <v/>
      </c>
      <c r="F715" s="3" t="str">
        <f t="shared" si="213"/>
        <v/>
      </c>
      <c r="G715" s="3" t="str">
        <f t="shared" si="224"/>
        <v/>
      </c>
      <c r="H715" s="3" t="str">
        <f t="shared" si="214"/>
        <v/>
      </c>
      <c r="I715" s="3" t="str">
        <f t="shared" si="215"/>
        <v/>
      </c>
      <c r="J715" s="2" t="str">
        <f t="shared" si="216"/>
        <v/>
      </c>
      <c r="K715" s="2" t="str">
        <f>IF(W715="","",LOOKUP('Extraction edi'!J715,Paramètrage!$A$6:$A$179,Paramètrage!$B$6:$B$179))</f>
        <v/>
      </c>
      <c r="L715" s="2" t="str">
        <f>IF(W715="","",LOOKUP('Extraction edi'!J715,Paramètrage!$A$6:$A$179,Paramètrage!$C$6:$C$179))</f>
        <v/>
      </c>
      <c r="M715" s="2" t="str">
        <f>IF(W715="","",LOOKUP('Extraction edi'!J715,Paramètrage!$A$6:$A$179,Paramètrage!$D$6:$D$179))</f>
        <v/>
      </c>
      <c r="N715" s="3" t="str">
        <f>IF(W715="","",LOOKUP('Extraction edi'!J715,Paramètrage!$A$6:$A$179,Paramètrage!$E$6:$E$179))</f>
        <v/>
      </c>
      <c r="O715" s="3" t="str">
        <f t="shared" si="217"/>
        <v/>
      </c>
      <c r="P715" s="3" t="str">
        <f t="shared" si="218"/>
        <v/>
      </c>
      <c r="Q715" s="3" t="str">
        <f t="shared" si="209"/>
        <v/>
      </c>
      <c r="R715" s="3" t="str">
        <f t="shared" si="219"/>
        <v/>
      </c>
      <c r="S715" s="3" t="str">
        <f t="shared" si="220"/>
        <v/>
      </c>
      <c r="T715" s="4" t="str">
        <f t="shared" si="221"/>
        <v/>
      </c>
      <c r="U715" s="5" t="str">
        <f t="shared" si="222"/>
        <v/>
      </c>
      <c r="V715" s="7" t="str">
        <f>IF(W715="","",IF(LOOKUP(W715,'Extration 3E date commande'!$A$6:$A$10000)=W715,LOOKUP(W715,'Extration 3E date commande'!$A$6:$A$10000,'Extration 3E date commande'!$C$6:$C$10000),"PAS DE DATE"))</f>
        <v/>
      </c>
    </row>
    <row r="716" spans="1:22" x14ac:dyDescent="0.25">
      <c r="A716" s="3" t="str">
        <f t="shared" si="210"/>
        <v/>
      </c>
      <c r="B716" s="3" t="str">
        <f t="shared" si="211"/>
        <v/>
      </c>
      <c r="C716" s="3" t="str">
        <f t="shared" si="225"/>
        <v/>
      </c>
      <c r="D716" s="3" t="str">
        <f t="shared" si="212"/>
        <v/>
      </c>
      <c r="E716" s="3" t="str">
        <f t="shared" si="223"/>
        <v/>
      </c>
      <c r="F716" s="3" t="str">
        <f t="shared" si="213"/>
        <v/>
      </c>
      <c r="G716" s="3" t="str">
        <f t="shared" si="224"/>
        <v/>
      </c>
      <c r="H716" s="3" t="str">
        <f t="shared" si="214"/>
        <v/>
      </c>
      <c r="I716" s="3" t="str">
        <f t="shared" si="215"/>
        <v/>
      </c>
      <c r="J716" s="2" t="str">
        <f t="shared" si="216"/>
        <v/>
      </c>
      <c r="K716" s="2" t="str">
        <f>IF(W716="","",LOOKUP('Extraction edi'!J716,Paramètrage!$A$6:$A$179,Paramètrage!$B$6:$B$179))</f>
        <v/>
      </c>
      <c r="L716" s="2" t="str">
        <f>IF(W716="","",LOOKUP('Extraction edi'!J716,Paramètrage!$A$6:$A$179,Paramètrage!$C$6:$C$179))</f>
        <v/>
      </c>
      <c r="M716" s="2" t="str">
        <f>IF(W716="","",LOOKUP('Extraction edi'!J716,Paramètrage!$A$6:$A$179,Paramètrage!$D$6:$D$179))</f>
        <v/>
      </c>
      <c r="N716" s="3" t="str">
        <f>IF(W716="","",LOOKUP('Extraction edi'!J716,Paramètrage!$A$6:$A$179,Paramètrage!$E$6:$E$179))</f>
        <v/>
      </c>
      <c r="O716" s="3" t="str">
        <f t="shared" si="217"/>
        <v/>
      </c>
      <c r="P716" s="3" t="str">
        <f t="shared" si="218"/>
        <v/>
      </c>
      <c r="Q716" s="3" t="str">
        <f t="shared" si="209"/>
        <v/>
      </c>
      <c r="R716" s="3" t="str">
        <f t="shared" si="219"/>
        <v/>
      </c>
      <c r="S716" s="3" t="str">
        <f t="shared" si="220"/>
        <v/>
      </c>
      <c r="T716" s="4" t="str">
        <f t="shared" si="221"/>
        <v/>
      </c>
      <c r="U716" s="5" t="str">
        <f t="shared" si="222"/>
        <v/>
      </c>
      <c r="V716" s="7" t="str">
        <f>IF(W716="","",IF(LOOKUP(W716,'Extration 3E date commande'!$A$6:$A$10000)=W716,LOOKUP(W716,'Extration 3E date commande'!$A$6:$A$10000,'Extration 3E date commande'!$C$6:$C$10000),"PAS DE DATE"))</f>
        <v/>
      </c>
    </row>
    <row r="717" spans="1:22" x14ac:dyDescent="0.25">
      <c r="A717" s="3" t="str">
        <f t="shared" si="210"/>
        <v/>
      </c>
      <c r="B717" s="3" t="str">
        <f t="shared" si="211"/>
        <v/>
      </c>
      <c r="C717" s="3" t="str">
        <f t="shared" si="225"/>
        <v/>
      </c>
      <c r="D717" s="3" t="str">
        <f t="shared" si="212"/>
        <v/>
      </c>
      <c r="E717" s="3" t="str">
        <f t="shared" si="223"/>
        <v/>
      </c>
      <c r="F717" s="3" t="str">
        <f t="shared" si="213"/>
        <v/>
      </c>
      <c r="G717" s="3" t="str">
        <f t="shared" si="224"/>
        <v/>
      </c>
      <c r="H717" s="3" t="str">
        <f t="shared" si="214"/>
        <v/>
      </c>
      <c r="I717" s="3" t="str">
        <f t="shared" si="215"/>
        <v/>
      </c>
      <c r="J717" s="2" t="str">
        <f t="shared" si="216"/>
        <v/>
      </c>
      <c r="K717" s="2" t="str">
        <f>IF(W717="","",LOOKUP('Extraction edi'!J717,Paramètrage!$A$6:$A$179,Paramètrage!$B$6:$B$179))</f>
        <v/>
      </c>
      <c r="L717" s="2" t="str">
        <f>IF(W717="","",LOOKUP('Extraction edi'!J717,Paramètrage!$A$6:$A$179,Paramètrage!$C$6:$C$179))</f>
        <v/>
      </c>
      <c r="M717" s="2" t="str">
        <f>IF(W717="","",LOOKUP('Extraction edi'!J717,Paramètrage!$A$6:$A$179,Paramètrage!$D$6:$D$179))</f>
        <v/>
      </c>
      <c r="N717" s="3" t="str">
        <f>IF(W717="","",LOOKUP('Extraction edi'!J717,Paramètrage!$A$6:$A$179,Paramètrage!$E$6:$E$179))</f>
        <v/>
      </c>
      <c r="O717" s="3" t="str">
        <f t="shared" si="217"/>
        <v/>
      </c>
      <c r="P717" s="3" t="str">
        <f t="shared" si="218"/>
        <v/>
      </c>
      <c r="Q717" s="3" t="str">
        <f t="shared" si="209"/>
        <v/>
      </c>
      <c r="R717" s="3" t="str">
        <f t="shared" si="219"/>
        <v/>
      </c>
      <c r="S717" s="3" t="str">
        <f t="shared" si="220"/>
        <v/>
      </c>
      <c r="T717" s="4" t="str">
        <f t="shared" si="221"/>
        <v/>
      </c>
      <c r="U717" s="5" t="str">
        <f t="shared" si="222"/>
        <v/>
      </c>
      <c r="V717" s="7" t="str">
        <f>IF(W717="","",IF(LOOKUP(W717,'Extration 3E date commande'!$A$6:$A$10000)=W717,LOOKUP(W717,'Extration 3E date commande'!$A$6:$A$10000,'Extration 3E date commande'!$C$6:$C$10000),"PAS DE DATE"))</f>
        <v/>
      </c>
    </row>
    <row r="718" spans="1:22" x14ac:dyDescent="0.25">
      <c r="A718" s="3" t="str">
        <f t="shared" si="210"/>
        <v/>
      </c>
      <c r="B718" s="3" t="str">
        <f t="shared" si="211"/>
        <v/>
      </c>
      <c r="C718" s="3" t="str">
        <f t="shared" si="225"/>
        <v/>
      </c>
      <c r="D718" s="3" t="str">
        <f t="shared" si="212"/>
        <v/>
      </c>
      <c r="E718" s="3" t="str">
        <f t="shared" si="223"/>
        <v/>
      </c>
      <c r="F718" s="3" t="str">
        <f t="shared" si="213"/>
        <v/>
      </c>
      <c r="G718" s="3" t="str">
        <f t="shared" si="224"/>
        <v/>
      </c>
      <c r="H718" s="3" t="str">
        <f t="shared" si="214"/>
        <v/>
      </c>
      <c r="I718" s="3" t="str">
        <f t="shared" si="215"/>
        <v/>
      </c>
      <c r="J718" s="2" t="str">
        <f t="shared" si="216"/>
        <v/>
      </c>
      <c r="K718" s="2" t="str">
        <f>IF(W718="","",LOOKUP('Extraction edi'!J718,Paramètrage!$A$6:$A$179,Paramètrage!$B$6:$B$179))</f>
        <v/>
      </c>
      <c r="L718" s="2" t="str">
        <f>IF(W718="","",LOOKUP('Extraction edi'!J718,Paramètrage!$A$6:$A$179,Paramètrage!$C$6:$C$179))</f>
        <v/>
      </c>
      <c r="M718" s="2" t="str">
        <f>IF(W718="","",LOOKUP('Extraction edi'!J718,Paramètrage!$A$6:$A$179,Paramètrage!$D$6:$D$179))</f>
        <v/>
      </c>
      <c r="N718" s="3" t="str">
        <f>IF(W718="","",LOOKUP('Extraction edi'!J718,Paramètrage!$A$6:$A$179,Paramètrage!$E$6:$E$179))</f>
        <v/>
      </c>
      <c r="O718" s="3" t="str">
        <f t="shared" si="217"/>
        <v/>
      </c>
      <c r="P718" s="3" t="str">
        <f t="shared" si="218"/>
        <v/>
      </c>
      <c r="Q718" s="3" t="str">
        <f t="shared" si="209"/>
        <v/>
      </c>
      <c r="R718" s="3" t="str">
        <f t="shared" si="219"/>
        <v/>
      </c>
      <c r="S718" s="3" t="str">
        <f t="shared" si="220"/>
        <v/>
      </c>
      <c r="T718" s="4" t="str">
        <f t="shared" si="221"/>
        <v/>
      </c>
      <c r="U718" s="5" t="str">
        <f t="shared" si="222"/>
        <v/>
      </c>
      <c r="V718" s="7" t="str">
        <f>IF(W718="","",IF(LOOKUP(W718,'Extration 3E date commande'!$A$6:$A$10000)=W718,LOOKUP(W718,'Extration 3E date commande'!$A$6:$A$10000,'Extration 3E date commande'!$C$6:$C$10000),"PAS DE DATE"))</f>
        <v/>
      </c>
    </row>
    <row r="719" spans="1:22" x14ac:dyDescent="0.25">
      <c r="A719" s="3" t="str">
        <f t="shared" si="210"/>
        <v/>
      </c>
      <c r="B719" s="3" t="str">
        <f t="shared" si="211"/>
        <v/>
      </c>
      <c r="C719" s="3" t="str">
        <f t="shared" si="225"/>
        <v/>
      </c>
      <c r="D719" s="3" t="str">
        <f t="shared" si="212"/>
        <v/>
      </c>
      <c r="E719" s="3" t="str">
        <f t="shared" si="223"/>
        <v/>
      </c>
      <c r="F719" s="3" t="str">
        <f t="shared" si="213"/>
        <v/>
      </c>
      <c r="G719" s="3" t="str">
        <f t="shared" si="224"/>
        <v/>
      </c>
      <c r="H719" s="3" t="str">
        <f t="shared" si="214"/>
        <v/>
      </c>
      <c r="I719" s="3" t="str">
        <f t="shared" si="215"/>
        <v/>
      </c>
      <c r="J719" s="2" t="str">
        <f t="shared" si="216"/>
        <v/>
      </c>
      <c r="K719" s="2" t="str">
        <f>IF(W719="","",LOOKUP('Extraction edi'!J719,Paramètrage!$A$6:$A$179,Paramètrage!$B$6:$B$179))</f>
        <v/>
      </c>
      <c r="L719" s="2" t="str">
        <f>IF(W719="","",LOOKUP('Extraction edi'!J719,Paramètrage!$A$6:$A$179,Paramètrage!$C$6:$C$179))</f>
        <v/>
      </c>
      <c r="M719" s="2" t="str">
        <f>IF(W719="","",LOOKUP('Extraction edi'!J719,Paramètrage!$A$6:$A$179,Paramètrage!$D$6:$D$179))</f>
        <v/>
      </c>
      <c r="N719" s="3" t="str">
        <f>IF(W719="","",LOOKUP('Extraction edi'!J719,Paramètrage!$A$6:$A$179,Paramètrage!$E$6:$E$179))</f>
        <v/>
      </c>
      <c r="O719" s="3" t="str">
        <f t="shared" si="217"/>
        <v/>
      </c>
      <c r="P719" s="3" t="str">
        <f t="shared" si="218"/>
        <v/>
      </c>
      <c r="Q719" s="3" t="str">
        <f t="shared" ref="Q719:Q782" si="226">IF(ISERROR(SEARCH("laq",J719))=FALSE,"laquage RAL :",IF(ISERROR(SEARCH("lq",J719))=FALSE,"laquage RAL :",IF(ISERROR(SEARCH("ANO",J718))=FALSE,"laquage RAL :",IF(ISERROR(SEARCH("IVOI",J719)),"","laquage RAL :"))))</f>
        <v/>
      </c>
      <c r="R719" s="3" t="str">
        <f t="shared" si="219"/>
        <v/>
      </c>
      <c r="S719" s="3" t="str">
        <f t="shared" si="220"/>
        <v/>
      </c>
      <c r="T719" s="4" t="str">
        <f t="shared" si="221"/>
        <v/>
      </c>
      <c r="U719" s="5" t="str">
        <f t="shared" si="222"/>
        <v/>
      </c>
      <c r="V719" s="7" t="str">
        <f>IF(W719="","",IF(LOOKUP(W719,'Extration 3E date commande'!$A$6:$A$10000)=W719,LOOKUP(W719,'Extration 3E date commande'!$A$6:$A$10000,'Extration 3E date commande'!$C$6:$C$10000),"PAS DE DATE"))</f>
        <v/>
      </c>
    </row>
    <row r="720" spans="1:22" x14ac:dyDescent="0.25">
      <c r="A720" s="3" t="str">
        <f t="shared" si="210"/>
        <v/>
      </c>
      <c r="B720" s="3" t="str">
        <f t="shared" si="211"/>
        <v/>
      </c>
      <c r="C720" s="3" t="str">
        <f t="shared" si="225"/>
        <v/>
      </c>
      <c r="D720" s="3" t="str">
        <f t="shared" si="212"/>
        <v/>
      </c>
      <c r="E720" s="3" t="str">
        <f t="shared" si="223"/>
        <v/>
      </c>
      <c r="F720" s="3" t="str">
        <f t="shared" si="213"/>
        <v/>
      </c>
      <c r="G720" s="3" t="str">
        <f t="shared" si="224"/>
        <v/>
      </c>
      <c r="H720" s="3" t="str">
        <f t="shared" si="214"/>
        <v/>
      </c>
      <c r="I720" s="3" t="str">
        <f t="shared" si="215"/>
        <v/>
      </c>
      <c r="J720" s="2" t="str">
        <f t="shared" si="216"/>
        <v/>
      </c>
      <c r="K720" s="2" t="str">
        <f>IF(W720="","",LOOKUP('Extraction edi'!J720,Paramètrage!$A$6:$A$179,Paramètrage!$B$6:$B$179))</f>
        <v/>
      </c>
      <c r="L720" s="2" t="str">
        <f>IF(W720="","",LOOKUP('Extraction edi'!J720,Paramètrage!$A$6:$A$179,Paramètrage!$C$6:$C$179))</f>
        <v/>
      </c>
      <c r="M720" s="2" t="str">
        <f>IF(W720="","",LOOKUP('Extraction edi'!J720,Paramètrage!$A$6:$A$179,Paramètrage!$D$6:$D$179))</f>
        <v/>
      </c>
      <c r="N720" s="3" t="str">
        <f>IF(W720="","",LOOKUP('Extraction edi'!J720,Paramètrage!$A$6:$A$179,Paramètrage!$E$6:$E$179))</f>
        <v/>
      </c>
      <c r="O720" s="3" t="str">
        <f t="shared" si="217"/>
        <v/>
      </c>
      <c r="P720" s="3" t="str">
        <f t="shared" si="218"/>
        <v/>
      </c>
      <c r="Q720" s="3" t="str">
        <f t="shared" si="226"/>
        <v/>
      </c>
      <c r="R720" s="3" t="str">
        <f t="shared" si="219"/>
        <v/>
      </c>
      <c r="S720" s="3" t="str">
        <f t="shared" si="220"/>
        <v/>
      </c>
      <c r="T720" s="4" t="str">
        <f t="shared" si="221"/>
        <v/>
      </c>
      <c r="U720" s="5" t="str">
        <f t="shared" si="222"/>
        <v/>
      </c>
      <c r="V720" s="7" t="str">
        <f>IF(W720="","",IF(LOOKUP(W720,'Extration 3E date commande'!$A$6:$A$10000)=W720,LOOKUP(W720,'Extration 3E date commande'!$A$6:$A$10000,'Extration 3E date commande'!$C$6:$C$10000),"PAS DE DATE"))</f>
        <v/>
      </c>
    </row>
    <row r="721" spans="1:22" x14ac:dyDescent="0.25">
      <c r="A721" s="3" t="str">
        <f t="shared" si="210"/>
        <v/>
      </c>
      <c r="B721" s="3" t="str">
        <f t="shared" si="211"/>
        <v/>
      </c>
      <c r="C721" s="3" t="str">
        <f t="shared" si="225"/>
        <v/>
      </c>
      <c r="D721" s="3" t="str">
        <f t="shared" si="212"/>
        <v/>
      </c>
      <c r="E721" s="3" t="str">
        <f t="shared" si="223"/>
        <v/>
      </c>
      <c r="F721" s="3" t="str">
        <f t="shared" si="213"/>
        <v/>
      </c>
      <c r="G721" s="3" t="str">
        <f t="shared" si="224"/>
        <v/>
      </c>
      <c r="H721" s="3" t="str">
        <f t="shared" si="214"/>
        <v/>
      </c>
      <c r="I721" s="3" t="str">
        <f t="shared" si="215"/>
        <v/>
      </c>
      <c r="J721" s="2" t="str">
        <f t="shared" si="216"/>
        <v/>
      </c>
      <c r="K721" s="2" t="str">
        <f>IF(W721="","",LOOKUP('Extraction edi'!J721,Paramètrage!$A$6:$A$179,Paramètrage!$B$6:$B$179))</f>
        <v/>
      </c>
      <c r="L721" s="2" t="str">
        <f>IF(W721="","",LOOKUP('Extraction edi'!J721,Paramètrage!$A$6:$A$179,Paramètrage!$C$6:$C$179))</f>
        <v/>
      </c>
      <c r="M721" s="2" t="str">
        <f>IF(W721="","",LOOKUP('Extraction edi'!J721,Paramètrage!$A$6:$A$179,Paramètrage!$D$6:$D$179))</f>
        <v/>
      </c>
      <c r="N721" s="3" t="str">
        <f>IF(W721="","",LOOKUP('Extraction edi'!J721,Paramètrage!$A$6:$A$179,Paramètrage!$E$6:$E$179))</f>
        <v/>
      </c>
      <c r="O721" s="3" t="str">
        <f t="shared" si="217"/>
        <v/>
      </c>
      <c r="P721" s="3" t="str">
        <f t="shared" si="218"/>
        <v/>
      </c>
      <c r="Q721" s="3" t="str">
        <f t="shared" si="226"/>
        <v/>
      </c>
      <c r="R721" s="3" t="str">
        <f t="shared" si="219"/>
        <v/>
      </c>
      <c r="S721" s="3" t="str">
        <f t="shared" si="220"/>
        <v/>
      </c>
      <c r="T721" s="4" t="str">
        <f t="shared" si="221"/>
        <v/>
      </c>
      <c r="U721" s="5" t="str">
        <f t="shared" si="222"/>
        <v/>
      </c>
      <c r="V721" s="7" t="str">
        <f>IF(W721="","",IF(LOOKUP(W721,'Extration 3E date commande'!$A$6:$A$10000)=W721,LOOKUP(W721,'Extration 3E date commande'!$A$6:$A$10000,'Extration 3E date commande'!$C$6:$C$10000),"PAS DE DATE"))</f>
        <v/>
      </c>
    </row>
    <row r="722" spans="1:22" x14ac:dyDescent="0.25">
      <c r="A722" s="3" t="str">
        <f t="shared" si="210"/>
        <v/>
      </c>
      <c r="B722" s="3" t="str">
        <f t="shared" si="211"/>
        <v/>
      </c>
      <c r="C722" s="3" t="str">
        <f t="shared" si="225"/>
        <v/>
      </c>
      <c r="D722" s="3" t="str">
        <f t="shared" si="212"/>
        <v/>
      </c>
      <c r="E722" s="3" t="str">
        <f t="shared" si="223"/>
        <v/>
      </c>
      <c r="F722" s="3" t="str">
        <f t="shared" si="213"/>
        <v/>
      </c>
      <c r="G722" s="3" t="str">
        <f t="shared" si="224"/>
        <v/>
      </c>
      <c r="H722" s="3" t="str">
        <f t="shared" si="214"/>
        <v/>
      </c>
      <c r="I722" s="3" t="str">
        <f t="shared" si="215"/>
        <v/>
      </c>
      <c r="J722" s="2" t="str">
        <f t="shared" si="216"/>
        <v/>
      </c>
      <c r="K722" s="2" t="str">
        <f>IF(W722="","",LOOKUP('Extraction edi'!J722,Paramètrage!$A$6:$A$179,Paramètrage!$B$6:$B$179))</f>
        <v/>
      </c>
      <c r="L722" s="2" t="str">
        <f>IF(W722="","",LOOKUP('Extraction edi'!J722,Paramètrage!$A$6:$A$179,Paramètrage!$C$6:$C$179))</f>
        <v/>
      </c>
      <c r="M722" s="2" t="str">
        <f>IF(W722="","",LOOKUP('Extraction edi'!J722,Paramètrage!$A$6:$A$179,Paramètrage!$D$6:$D$179))</f>
        <v/>
      </c>
      <c r="N722" s="3" t="str">
        <f>IF(W722="","",LOOKUP('Extraction edi'!J722,Paramètrage!$A$6:$A$179,Paramètrage!$E$6:$E$179))</f>
        <v/>
      </c>
      <c r="O722" s="3" t="str">
        <f t="shared" si="217"/>
        <v/>
      </c>
      <c r="P722" s="3" t="str">
        <f t="shared" si="218"/>
        <v/>
      </c>
      <c r="Q722" s="3" t="str">
        <f t="shared" si="226"/>
        <v/>
      </c>
      <c r="R722" s="3" t="str">
        <f t="shared" si="219"/>
        <v/>
      </c>
      <c r="S722" s="3" t="str">
        <f t="shared" si="220"/>
        <v/>
      </c>
      <c r="T722" s="4" t="str">
        <f t="shared" si="221"/>
        <v/>
      </c>
      <c r="U722" s="5" t="str">
        <f t="shared" si="222"/>
        <v/>
      </c>
      <c r="V722" s="7" t="str">
        <f>IF(W722="","",IF(LOOKUP(W722,'Extration 3E date commande'!$A$6:$A$10000)=W722,LOOKUP(W722,'Extration 3E date commande'!$A$6:$A$10000,'Extration 3E date commande'!$C$6:$C$10000),"PAS DE DATE"))</f>
        <v/>
      </c>
    </row>
    <row r="723" spans="1:22" x14ac:dyDescent="0.25">
      <c r="A723" s="3" t="str">
        <f t="shared" si="210"/>
        <v/>
      </c>
      <c r="B723" s="3" t="str">
        <f t="shared" si="211"/>
        <v/>
      </c>
      <c r="C723" s="3" t="str">
        <f t="shared" si="225"/>
        <v/>
      </c>
      <c r="D723" s="3" t="str">
        <f t="shared" si="212"/>
        <v/>
      </c>
      <c r="E723" s="3" t="str">
        <f t="shared" si="223"/>
        <v/>
      </c>
      <c r="F723" s="3" t="str">
        <f t="shared" si="213"/>
        <v/>
      </c>
      <c r="G723" s="3" t="str">
        <f t="shared" si="224"/>
        <v/>
      </c>
      <c r="H723" s="3" t="str">
        <f t="shared" si="214"/>
        <v/>
      </c>
      <c r="I723" s="3" t="str">
        <f t="shared" si="215"/>
        <v/>
      </c>
      <c r="J723" s="2" t="str">
        <f t="shared" si="216"/>
        <v/>
      </c>
      <c r="K723" s="2" t="str">
        <f>IF(W723="","",LOOKUP('Extraction edi'!J723,Paramètrage!$A$6:$A$179,Paramètrage!$B$6:$B$179))</f>
        <v/>
      </c>
      <c r="L723" s="2" t="str">
        <f>IF(W723="","",LOOKUP('Extraction edi'!J723,Paramètrage!$A$6:$A$179,Paramètrage!$C$6:$C$179))</f>
        <v/>
      </c>
      <c r="M723" s="2" t="str">
        <f>IF(W723="","",LOOKUP('Extraction edi'!J723,Paramètrage!$A$6:$A$179,Paramètrage!$D$6:$D$179))</f>
        <v/>
      </c>
      <c r="N723" s="3" t="str">
        <f>IF(W723="","",LOOKUP('Extraction edi'!J723,Paramètrage!$A$6:$A$179,Paramètrage!$E$6:$E$179))</f>
        <v/>
      </c>
      <c r="O723" s="3" t="str">
        <f t="shared" si="217"/>
        <v/>
      </c>
      <c r="P723" s="3" t="str">
        <f t="shared" si="218"/>
        <v/>
      </c>
      <c r="Q723" s="3" t="str">
        <f t="shared" si="226"/>
        <v/>
      </c>
      <c r="R723" s="3" t="str">
        <f t="shared" si="219"/>
        <v/>
      </c>
      <c r="S723" s="3" t="str">
        <f t="shared" si="220"/>
        <v/>
      </c>
      <c r="T723" s="4" t="str">
        <f t="shared" si="221"/>
        <v/>
      </c>
      <c r="U723" s="5" t="str">
        <f t="shared" si="222"/>
        <v/>
      </c>
      <c r="V723" s="7" t="str">
        <f>IF(W723="","",IF(LOOKUP(W723,'Extration 3E date commande'!$A$6:$A$10000)=W723,LOOKUP(W723,'Extration 3E date commande'!$A$6:$A$10000,'Extration 3E date commande'!$C$6:$C$10000),"PAS DE DATE"))</f>
        <v/>
      </c>
    </row>
    <row r="724" spans="1:22" x14ac:dyDescent="0.25">
      <c r="A724" s="3" t="str">
        <f t="shared" si="210"/>
        <v/>
      </c>
      <c r="B724" s="3" t="str">
        <f t="shared" si="211"/>
        <v/>
      </c>
      <c r="C724" s="3" t="str">
        <f t="shared" si="225"/>
        <v/>
      </c>
      <c r="D724" s="3" t="str">
        <f t="shared" si="212"/>
        <v/>
      </c>
      <c r="E724" s="3" t="str">
        <f t="shared" si="223"/>
        <v/>
      </c>
      <c r="F724" s="3" t="str">
        <f t="shared" si="213"/>
        <v/>
      </c>
      <c r="G724" s="3" t="str">
        <f t="shared" si="224"/>
        <v/>
      </c>
      <c r="H724" s="3" t="str">
        <f t="shared" si="214"/>
        <v/>
      </c>
      <c r="I724" s="3" t="str">
        <f t="shared" si="215"/>
        <v/>
      </c>
      <c r="J724" s="2" t="str">
        <f t="shared" si="216"/>
        <v/>
      </c>
      <c r="K724" s="2" t="str">
        <f>IF(W724="","",LOOKUP('Extraction edi'!J724,Paramètrage!$A$6:$A$179,Paramètrage!$B$6:$B$179))</f>
        <v/>
      </c>
      <c r="L724" s="2" t="str">
        <f>IF(W724="","",LOOKUP('Extraction edi'!J724,Paramètrage!$A$6:$A$179,Paramètrage!$C$6:$C$179))</f>
        <v/>
      </c>
      <c r="M724" s="2" t="str">
        <f>IF(W724="","",LOOKUP('Extraction edi'!J724,Paramètrage!$A$6:$A$179,Paramètrage!$D$6:$D$179))</f>
        <v/>
      </c>
      <c r="N724" s="3" t="str">
        <f>IF(W724="","",LOOKUP('Extraction edi'!J724,Paramètrage!$A$6:$A$179,Paramètrage!$E$6:$E$179))</f>
        <v/>
      </c>
      <c r="O724" s="3" t="str">
        <f t="shared" si="217"/>
        <v/>
      </c>
      <c r="P724" s="3" t="str">
        <f t="shared" si="218"/>
        <v/>
      </c>
      <c r="Q724" s="3" t="str">
        <f t="shared" si="226"/>
        <v/>
      </c>
      <c r="R724" s="3" t="str">
        <f t="shared" si="219"/>
        <v/>
      </c>
      <c r="S724" s="3" t="str">
        <f t="shared" si="220"/>
        <v/>
      </c>
      <c r="T724" s="4" t="str">
        <f t="shared" si="221"/>
        <v/>
      </c>
      <c r="U724" s="5" t="str">
        <f t="shared" si="222"/>
        <v/>
      </c>
      <c r="V724" s="7" t="str">
        <f>IF(W724="","",IF(LOOKUP(W724,'Extration 3E date commande'!$A$6:$A$10000)=W724,LOOKUP(W724,'Extration 3E date commande'!$A$6:$A$10000,'Extration 3E date commande'!$C$6:$C$10000),"PAS DE DATE"))</f>
        <v/>
      </c>
    </row>
    <row r="725" spans="1:22" x14ac:dyDescent="0.25">
      <c r="A725" s="3" t="str">
        <f t="shared" si="210"/>
        <v/>
      </c>
      <c r="B725" s="3" t="str">
        <f t="shared" si="211"/>
        <v/>
      </c>
      <c r="C725" s="3" t="str">
        <f t="shared" si="225"/>
        <v/>
      </c>
      <c r="D725" s="3" t="str">
        <f t="shared" si="212"/>
        <v/>
      </c>
      <c r="E725" s="3" t="str">
        <f t="shared" si="223"/>
        <v/>
      </c>
      <c r="F725" s="3" t="str">
        <f t="shared" si="213"/>
        <v/>
      </c>
      <c r="G725" s="3" t="str">
        <f t="shared" si="224"/>
        <v/>
      </c>
      <c r="H725" s="3" t="str">
        <f t="shared" si="214"/>
        <v/>
      </c>
      <c r="I725" s="3" t="str">
        <f t="shared" si="215"/>
        <v/>
      </c>
      <c r="J725" s="2" t="str">
        <f t="shared" si="216"/>
        <v/>
      </c>
      <c r="K725" s="2" t="str">
        <f>IF(W725="","",LOOKUP('Extraction edi'!J725,Paramètrage!$A$6:$A$179,Paramètrage!$B$6:$B$179))</f>
        <v/>
      </c>
      <c r="L725" s="2" t="str">
        <f>IF(W725="","",LOOKUP('Extraction edi'!J725,Paramètrage!$A$6:$A$179,Paramètrage!$C$6:$C$179))</f>
        <v/>
      </c>
      <c r="M725" s="2" t="str">
        <f>IF(W725="","",LOOKUP('Extraction edi'!J725,Paramètrage!$A$6:$A$179,Paramètrage!$D$6:$D$179))</f>
        <v/>
      </c>
      <c r="N725" s="3" t="str">
        <f>IF(W725="","",LOOKUP('Extraction edi'!J725,Paramètrage!$A$6:$A$179,Paramètrage!$E$6:$E$179))</f>
        <v/>
      </c>
      <c r="O725" s="3" t="str">
        <f t="shared" si="217"/>
        <v/>
      </c>
      <c r="P725" s="3" t="str">
        <f t="shared" si="218"/>
        <v/>
      </c>
      <c r="Q725" s="3" t="str">
        <f t="shared" si="226"/>
        <v/>
      </c>
      <c r="R725" s="3" t="str">
        <f t="shared" si="219"/>
        <v/>
      </c>
      <c r="S725" s="3" t="str">
        <f t="shared" si="220"/>
        <v/>
      </c>
      <c r="T725" s="4" t="str">
        <f t="shared" si="221"/>
        <v/>
      </c>
      <c r="U725" s="5" t="str">
        <f t="shared" si="222"/>
        <v/>
      </c>
      <c r="V725" s="7" t="str">
        <f>IF(W725="","",IF(LOOKUP(W725,'Extration 3E date commande'!$A$6:$A$10000)=W725,LOOKUP(W725,'Extration 3E date commande'!$A$6:$A$10000,'Extration 3E date commande'!$C$6:$C$10000),"PAS DE DATE"))</f>
        <v/>
      </c>
    </row>
    <row r="726" spans="1:22" x14ac:dyDescent="0.25">
      <c r="A726" s="3" t="str">
        <f t="shared" ref="A726:A789" si="227">IF(W726="","",LEFT(W726,7))</f>
        <v/>
      </c>
      <c r="B726" s="3" t="str">
        <f t="shared" ref="B726:B789" si="228">IF(W726="","",RIGHT(W726,3))</f>
        <v/>
      </c>
      <c r="C726" s="3" t="str">
        <f t="shared" si="225"/>
        <v/>
      </c>
      <c r="D726" s="3" t="str">
        <f t="shared" ref="D726:D789" si="229">IF(ISERROR(SEARCH("P",B726)),"","PE")</f>
        <v/>
      </c>
      <c r="E726" s="3" t="str">
        <f t="shared" si="223"/>
        <v/>
      </c>
      <c r="F726" s="3" t="str">
        <f t="shared" ref="F726:F789" si="230">IF(ISERROR(SEARCH("H",B726))=FALSE,"TEXTURAL",IF(ISERROR(SEARCH("Z",B726)),"","TEXTURAL"))</f>
        <v/>
      </c>
      <c r="G726" s="3" t="str">
        <f t="shared" si="224"/>
        <v/>
      </c>
      <c r="H726" s="3" t="str">
        <f t="shared" ref="H726:H789" si="231">IF(W726="","",X726)</f>
        <v/>
      </c>
      <c r="I726" s="3" t="str">
        <f t="shared" ref="I726:I789" si="232">IF(W726="","",Z726)</f>
        <v/>
      </c>
      <c r="J726" s="2" t="str">
        <f t="shared" ref="J726:J789" si="233">IF(W726="","",IF(AND(T726=FALSE,T725=FALSE,T724=FALSE,T723=FALSE,T722=FALSE),AA721,IF(AND(T726=FALSE,T725=FALSE,T724=FALSE,T723=FALSE),AA722,IF(AND(T726=FALSE,T725=FALSE,T724=FALSE),AA723,IF(AND(T726=FALSE,T725=FALSE),AA724,IF(T726=FALSE,AA725,AA726))))))</f>
        <v/>
      </c>
      <c r="K726" s="2" t="str">
        <f>IF(W726="","",LOOKUP('Extraction edi'!J726,Paramètrage!$A$6:$A$179,Paramètrage!$B$6:$B$179))</f>
        <v/>
      </c>
      <c r="L726" s="2" t="str">
        <f>IF(W726="","",LOOKUP('Extraction edi'!J726,Paramètrage!$A$6:$A$179,Paramètrage!$C$6:$C$179))</f>
        <v/>
      </c>
      <c r="M726" s="2" t="str">
        <f>IF(W726="","",LOOKUP('Extraction edi'!J726,Paramètrage!$A$6:$A$179,Paramètrage!$D$6:$D$179))</f>
        <v/>
      </c>
      <c r="N726" s="3" t="str">
        <f>IF(W726="","",LOOKUP('Extraction edi'!J726,Paramètrage!$A$6:$A$179,Paramètrage!$E$6:$E$179))</f>
        <v/>
      </c>
      <c r="O726" s="3" t="str">
        <f t="shared" ref="O726:O789" si="234">IF(W726="","",IF(LEFT(AA726,4)="soub",AB726,IF(LEFT(AA726,3)="cim",AB726,AA726)))</f>
        <v/>
      </c>
      <c r="P726" s="3" t="str">
        <f t="shared" ref="P726:P789" si="235">IF(LEFT(U726,1)="N",SUBSTITUTE(AB726,"*",""),IF(LEFT(U726,1)="S",SUBSTITUTE(AB726,"*",""),IF(LEFT(U726,1)="G",SUBSTITUTE(AB726,"*",""),IF(LEN(U726)=11,SUBSTITUTE(AB726,"*",""),U726))))</f>
        <v/>
      </c>
      <c r="Q726" s="3" t="str">
        <f t="shared" si="226"/>
        <v/>
      </c>
      <c r="R726" s="3" t="str">
        <f t="shared" ref="R726:R789" si="236">IF(W726="","",IF(RIGHT(L726,7)="RAL9001",L726,IF(LEFT(AE726,1)="N",AE726,IF(LEFT(AE726,1)="S",AE726,IF(LEFT(AE726,1)="G",AE726,"")))))</f>
        <v/>
      </c>
      <c r="S726" s="3" t="str">
        <f t="shared" ref="S726:S789" si="237">IF(W726="","",IF(RIGHT(M726,7)="RAL9001",M726,IF(LEFT(AC726,1)="N",AC726,IF(LEFT(AC726,1)="S",AC726,IF(LEFT(AC726,1)="G",AC726,IF(LEFT(AD726,1)="N",AD726,IF(LEFT(AD726,1)="S",AD726,IF(LEFT(AD726,1)="G",AD726,""))))))))</f>
        <v/>
      </c>
      <c r="T726" s="4" t="str">
        <f t="shared" ref="T726:T789" si="238">IF(W726="","",IF(LEFT(AA726,4)&lt;&gt;"soub",IF(LEFT(AA726,3)&lt;&gt;"cim"=FALSE,AA726),AA726))</f>
        <v/>
      </c>
      <c r="U726" s="5" t="str">
        <f t="shared" ref="U726:U789" si="239">SUBSTITUTE(AC726,"*","")</f>
        <v/>
      </c>
      <c r="V726" s="7" t="str">
        <f>IF(W726="","",IF(LOOKUP(W726,'Extration 3E date commande'!$A$6:$A$10000)=W726,LOOKUP(W726,'Extration 3E date commande'!$A$6:$A$10000,'Extration 3E date commande'!$C$6:$C$10000),"PAS DE DATE"))</f>
        <v/>
      </c>
    </row>
    <row r="727" spans="1:22" x14ac:dyDescent="0.25">
      <c r="A727" s="3" t="str">
        <f t="shared" si="227"/>
        <v/>
      </c>
      <c r="B727" s="3" t="str">
        <f t="shared" si="228"/>
        <v/>
      </c>
      <c r="C727" s="3" t="str">
        <f t="shared" si="225"/>
        <v/>
      </c>
      <c r="D727" s="3" t="str">
        <f t="shared" si="229"/>
        <v/>
      </c>
      <c r="E727" s="3" t="str">
        <f t="shared" si="223"/>
        <v/>
      </c>
      <c r="F727" s="3" t="str">
        <f t="shared" si="230"/>
        <v/>
      </c>
      <c r="G727" s="3" t="str">
        <f t="shared" si="224"/>
        <v/>
      </c>
      <c r="H727" s="3" t="str">
        <f t="shared" si="231"/>
        <v/>
      </c>
      <c r="I727" s="3" t="str">
        <f t="shared" si="232"/>
        <v/>
      </c>
      <c r="J727" s="2" t="str">
        <f t="shared" si="233"/>
        <v/>
      </c>
      <c r="K727" s="2" t="str">
        <f>IF(W727="","",LOOKUP('Extraction edi'!J727,Paramètrage!$A$6:$A$179,Paramètrage!$B$6:$B$179))</f>
        <v/>
      </c>
      <c r="L727" s="2" t="str">
        <f>IF(W727="","",LOOKUP('Extraction edi'!J727,Paramètrage!$A$6:$A$179,Paramètrage!$C$6:$C$179))</f>
        <v/>
      </c>
      <c r="M727" s="2" t="str">
        <f>IF(W727="","",LOOKUP('Extraction edi'!J727,Paramètrage!$A$6:$A$179,Paramètrage!$D$6:$D$179))</f>
        <v/>
      </c>
      <c r="N727" s="3" t="str">
        <f>IF(W727="","",LOOKUP('Extraction edi'!J727,Paramètrage!$A$6:$A$179,Paramètrage!$E$6:$E$179))</f>
        <v/>
      </c>
      <c r="O727" s="3" t="str">
        <f t="shared" si="234"/>
        <v/>
      </c>
      <c r="P727" s="3" t="str">
        <f t="shared" si="235"/>
        <v/>
      </c>
      <c r="Q727" s="3" t="str">
        <f t="shared" si="226"/>
        <v/>
      </c>
      <c r="R727" s="3" t="str">
        <f t="shared" si="236"/>
        <v/>
      </c>
      <c r="S727" s="3" t="str">
        <f t="shared" si="237"/>
        <v/>
      </c>
      <c r="T727" s="4" t="str">
        <f t="shared" si="238"/>
        <v/>
      </c>
      <c r="U727" s="5" t="str">
        <f t="shared" si="239"/>
        <v/>
      </c>
      <c r="V727" s="7" t="str">
        <f>IF(W727="","",IF(LOOKUP(W727,'Extration 3E date commande'!$A$6:$A$10000)=W727,LOOKUP(W727,'Extration 3E date commande'!$A$6:$A$10000,'Extration 3E date commande'!$C$6:$C$10000),"PAS DE DATE"))</f>
        <v/>
      </c>
    </row>
    <row r="728" spans="1:22" x14ac:dyDescent="0.25">
      <c r="A728" s="3" t="str">
        <f t="shared" si="227"/>
        <v/>
      </c>
      <c r="B728" s="3" t="str">
        <f t="shared" si="228"/>
        <v/>
      </c>
      <c r="C728" s="3" t="str">
        <f t="shared" si="225"/>
        <v/>
      </c>
      <c r="D728" s="3" t="str">
        <f t="shared" si="229"/>
        <v/>
      </c>
      <c r="E728" s="3" t="str">
        <f t="shared" si="223"/>
        <v/>
      </c>
      <c r="F728" s="3" t="str">
        <f t="shared" si="230"/>
        <v/>
      </c>
      <c r="G728" s="3" t="str">
        <f t="shared" si="224"/>
        <v/>
      </c>
      <c r="H728" s="3" t="str">
        <f t="shared" si="231"/>
        <v/>
      </c>
      <c r="I728" s="3" t="str">
        <f t="shared" si="232"/>
        <v/>
      </c>
      <c r="J728" s="2" t="str">
        <f t="shared" si="233"/>
        <v/>
      </c>
      <c r="K728" s="2" t="str">
        <f>IF(W728="","",LOOKUP('Extraction edi'!J728,Paramètrage!$A$6:$A$179,Paramètrage!$B$6:$B$179))</f>
        <v/>
      </c>
      <c r="L728" s="2" t="str">
        <f>IF(W728="","",LOOKUP('Extraction edi'!J728,Paramètrage!$A$6:$A$179,Paramètrage!$C$6:$C$179))</f>
        <v/>
      </c>
      <c r="M728" s="2" t="str">
        <f>IF(W728="","",LOOKUP('Extraction edi'!J728,Paramètrage!$A$6:$A$179,Paramètrage!$D$6:$D$179))</f>
        <v/>
      </c>
      <c r="N728" s="3" t="str">
        <f>IF(W728="","",LOOKUP('Extraction edi'!J728,Paramètrage!$A$6:$A$179,Paramètrage!$E$6:$E$179))</f>
        <v/>
      </c>
      <c r="O728" s="3" t="str">
        <f t="shared" si="234"/>
        <v/>
      </c>
      <c r="P728" s="3" t="str">
        <f t="shared" si="235"/>
        <v/>
      </c>
      <c r="Q728" s="3" t="str">
        <f t="shared" si="226"/>
        <v/>
      </c>
      <c r="R728" s="3" t="str">
        <f t="shared" si="236"/>
        <v/>
      </c>
      <c r="S728" s="3" t="str">
        <f t="shared" si="237"/>
        <v/>
      </c>
      <c r="T728" s="4" t="str">
        <f t="shared" si="238"/>
        <v/>
      </c>
      <c r="U728" s="5" t="str">
        <f t="shared" si="239"/>
        <v/>
      </c>
      <c r="V728" s="7" t="str">
        <f>IF(W728="","",IF(LOOKUP(W728,'Extration 3E date commande'!$A$6:$A$10000)=W728,LOOKUP(W728,'Extration 3E date commande'!$A$6:$A$10000,'Extration 3E date commande'!$C$6:$C$10000),"PAS DE DATE"))</f>
        <v/>
      </c>
    </row>
    <row r="729" spans="1:22" x14ac:dyDescent="0.25">
      <c r="A729" s="3" t="str">
        <f t="shared" si="227"/>
        <v/>
      </c>
      <c r="B729" s="3" t="str">
        <f t="shared" si="228"/>
        <v/>
      </c>
      <c r="C729" s="3" t="str">
        <f t="shared" si="225"/>
        <v/>
      </c>
      <c r="D729" s="3" t="str">
        <f t="shared" si="229"/>
        <v/>
      </c>
      <c r="E729" s="3" t="str">
        <f t="shared" si="223"/>
        <v/>
      </c>
      <c r="F729" s="3" t="str">
        <f t="shared" si="230"/>
        <v/>
      </c>
      <c r="G729" s="3" t="str">
        <f t="shared" si="224"/>
        <v/>
      </c>
      <c r="H729" s="3" t="str">
        <f t="shared" si="231"/>
        <v/>
      </c>
      <c r="I729" s="3" t="str">
        <f t="shared" si="232"/>
        <v/>
      </c>
      <c r="J729" s="2" t="str">
        <f t="shared" si="233"/>
        <v/>
      </c>
      <c r="K729" s="2" t="str">
        <f>IF(W729="","",LOOKUP('Extraction edi'!J729,Paramètrage!$A$6:$A$179,Paramètrage!$B$6:$B$179))</f>
        <v/>
      </c>
      <c r="L729" s="2" t="str">
        <f>IF(W729="","",LOOKUP('Extraction edi'!J729,Paramètrage!$A$6:$A$179,Paramètrage!$C$6:$C$179))</f>
        <v/>
      </c>
      <c r="M729" s="2" t="str">
        <f>IF(W729="","",LOOKUP('Extraction edi'!J729,Paramètrage!$A$6:$A$179,Paramètrage!$D$6:$D$179))</f>
        <v/>
      </c>
      <c r="N729" s="3" t="str">
        <f>IF(W729="","",LOOKUP('Extraction edi'!J729,Paramètrage!$A$6:$A$179,Paramètrage!$E$6:$E$179))</f>
        <v/>
      </c>
      <c r="O729" s="3" t="str">
        <f t="shared" si="234"/>
        <v/>
      </c>
      <c r="P729" s="3" t="str">
        <f t="shared" si="235"/>
        <v/>
      </c>
      <c r="Q729" s="3" t="str">
        <f t="shared" si="226"/>
        <v/>
      </c>
      <c r="R729" s="3" t="str">
        <f t="shared" si="236"/>
        <v/>
      </c>
      <c r="S729" s="3" t="str">
        <f t="shared" si="237"/>
        <v/>
      </c>
      <c r="T729" s="4" t="str">
        <f t="shared" si="238"/>
        <v/>
      </c>
      <c r="U729" s="5" t="str">
        <f t="shared" si="239"/>
        <v/>
      </c>
      <c r="V729" s="7" t="str">
        <f>IF(W729="","",IF(LOOKUP(W729,'Extration 3E date commande'!$A$6:$A$10000)=W729,LOOKUP(W729,'Extration 3E date commande'!$A$6:$A$10000,'Extration 3E date commande'!$C$6:$C$10000),"PAS DE DATE"))</f>
        <v/>
      </c>
    </row>
    <row r="730" spans="1:22" x14ac:dyDescent="0.25">
      <c r="A730" s="3" t="str">
        <f t="shared" si="227"/>
        <v/>
      </c>
      <c r="B730" s="3" t="str">
        <f t="shared" si="228"/>
        <v/>
      </c>
      <c r="C730" s="3" t="str">
        <f t="shared" si="225"/>
        <v/>
      </c>
      <c r="D730" s="3" t="str">
        <f t="shared" si="229"/>
        <v/>
      </c>
      <c r="E730" s="3" t="str">
        <f t="shared" si="223"/>
        <v/>
      </c>
      <c r="F730" s="3" t="str">
        <f t="shared" si="230"/>
        <v/>
      </c>
      <c r="G730" s="3" t="str">
        <f t="shared" si="224"/>
        <v/>
      </c>
      <c r="H730" s="3" t="str">
        <f t="shared" si="231"/>
        <v/>
      </c>
      <c r="I730" s="3" t="str">
        <f t="shared" si="232"/>
        <v/>
      </c>
      <c r="J730" s="2" t="str">
        <f t="shared" si="233"/>
        <v/>
      </c>
      <c r="K730" s="2" t="str">
        <f>IF(W730="","",LOOKUP('Extraction edi'!J730,Paramètrage!$A$6:$A$179,Paramètrage!$B$6:$B$179))</f>
        <v/>
      </c>
      <c r="L730" s="2" t="str">
        <f>IF(W730="","",LOOKUP('Extraction edi'!J730,Paramètrage!$A$6:$A$179,Paramètrage!$C$6:$C$179))</f>
        <v/>
      </c>
      <c r="M730" s="2" t="str">
        <f>IF(W730="","",LOOKUP('Extraction edi'!J730,Paramètrage!$A$6:$A$179,Paramètrage!$D$6:$D$179))</f>
        <v/>
      </c>
      <c r="N730" s="3" t="str">
        <f>IF(W730="","",LOOKUP('Extraction edi'!J730,Paramètrage!$A$6:$A$179,Paramètrage!$E$6:$E$179))</f>
        <v/>
      </c>
      <c r="O730" s="3" t="str">
        <f t="shared" si="234"/>
        <v/>
      </c>
      <c r="P730" s="3" t="str">
        <f t="shared" si="235"/>
        <v/>
      </c>
      <c r="Q730" s="3" t="str">
        <f t="shared" si="226"/>
        <v/>
      </c>
      <c r="R730" s="3" t="str">
        <f t="shared" si="236"/>
        <v/>
      </c>
      <c r="S730" s="3" t="str">
        <f t="shared" si="237"/>
        <v/>
      </c>
      <c r="T730" s="4" t="str">
        <f t="shared" si="238"/>
        <v/>
      </c>
      <c r="U730" s="5" t="str">
        <f t="shared" si="239"/>
        <v/>
      </c>
      <c r="V730" s="7" t="str">
        <f>IF(W730="","",IF(LOOKUP(W730,'Extration 3E date commande'!$A$6:$A$10000)=W730,LOOKUP(W730,'Extration 3E date commande'!$A$6:$A$10000,'Extration 3E date commande'!$C$6:$C$10000),"PAS DE DATE"))</f>
        <v/>
      </c>
    </row>
    <row r="731" spans="1:22" x14ac:dyDescent="0.25">
      <c r="A731" s="3" t="str">
        <f t="shared" si="227"/>
        <v/>
      </c>
      <c r="B731" s="3" t="str">
        <f t="shared" si="228"/>
        <v/>
      </c>
      <c r="C731" s="3" t="str">
        <f t="shared" si="225"/>
        <v/>
      </c>
      <c r="D731" s="3" t="str">
        <f t="shared" si="229"/>
        <v/>
      </c>
      <c r="E731" s="3" t="str">
        <f t="shared" si="223"/>
        <v/>
      </c>
      <c r="F731" s="3" t="str">
        <f t="shared" si="230"/>
        <v/>
      </c>
      <c r="G731" s="3" t="str">
        <f t="shared" si="224"/>
        <v/>
      </c>
      <c r="H731" s="3" t="str">
        <f t="shared" si="231"/>
        <v/>
      </c>
      <c r="I731" s="3" t="str">
        <f t="shared" si="232"/>
        <v/>
      </c>
      <c r="J731" s="2" t="str">
        <f t="shared" si="233"/>
        <v/>
      </c>
      <c r="K731" s="2" t="str">
        <f>IF(W731="","",LOOKUP('Extraction edi'!J731,Paramètrage!$A$6:$A$179,Paramètrage!$B$6:$B$179))</f>
        <v/>
      </c>
      <c r="L731" s="2" t="str">
        <f>IF(W731="","",LOOKUP('Extraction edi'!J731,Paramètrage!$A$6:$A$179,Paramètrage!$C$6:$C$179))</f>
        <v/>
      </c>
      <c r="M731" s="2" t="str">
        <f>IF(W731="","",LOOKUP('Extraction edi'!J731,Paramètrage!$A$6:$A$179,Paramètrage!$D$6:$D$179))</f>
        <v/>
      </c>
      <c r="N731" s="3" t="str">
        <f>IF(W731="","",LOOKUP('Extraction edi'!J731,Paramètrage!$A$6:$A$179,Paramètrage!$E$6:$E$179))</f>
        <v/>
      </c>
      <c r="O731" s="3" t="str">
        <f t="shared" si="234"/>
        <v/>
      </c>
      <c r="P731" s="3" t="str">
        <f t="shared" si="235"/>
        <v/>
      </c>
      <c r="Q731" s="3" t="str">
        <f t="shared" si="226"/>
        <v/>
      </c>
      <c r="R731" s="3" t="str">
        <f t="shared" si="236"/>
        <v/>
      </c>
      <c r="S731" s="3" t="str">
        <f t="shared" si="237"/>
        <v/>
      </c>
      <c r="T731" s="4" t="str">
        <f t="shared" si="238"/>
        <v/>
      </c>
      <c r="U731" s="5" t="str">
        <f t="shared" si="239"/>
        <v/>
      </c>
      <c r="V731" s="7" t="str">
        <f>IF(W731="","",IF(LOOKUP(W731,'Extration 3E date commande'!$A$6:$A$10000)=W731,LOOKUP(W731,'Extration 3E date commande'!$A$6:$A$10000,'Extration 3E date commande'!$C$6:$C$10000),"PAS DE DATE"))</f>
        <v/>
      </c>
    </row>
    <row r="732" spans="1:22" x14ac:dyDescent="0.25">
      <c r="A732" s="3" t="str">
        <f t="shared" si="227"/>
        <v/>
      </c>
      <c r="B732" s="3" t="str">
        <f t="shared" si="228"/>
        <v/>
      </c>
      <c r="C732" s="3" t="str">
        <f t="shared" si="225"/>
        <v/>
      </c>
      <c r="D732" s="3" t="str">
        <f t="shared" si="229"/>
        <v/>
      </c>
      <c r="E732" s="3" t="str">
        <f t="shared" si="223"/>
        <v/>
      </c>
      <c r="F732" s="3" t="str">
        <f t="shared" si="230"/>
        <v/>
      </c>
      <c r="G732" s="3" t="str">
        <f t="shared" si="224"/>
        <v/>
      </c>
      <c r="H732" s="3" t="str">
        <f t="shared" si="231"/>
        <v/>
      </c>
      <c r="I732" s="3" t="str">
        <f t="shared" si="232"/>
        <v/>
      </c>
      <c r="J732" s="2" t="str">
        <f t="shared" si="233"/>
        <v/>
      </c>
      <c r="K732" s="2" t="str">
        <f>IF(W732="","",LOOKUP('Extraction edi'!J732,Paramètrage!$A$6:$A$179,Paramètrage!$B$6:$B$179))</f>
        <v/>
      </c>
      <c r="L732" s="2" t="str">
        <f>IF(W732="","",LOOKUP('Extraction edi'!J732,Paramètrage!$A$6:$A$179,Paramètrage!$C$6:$C$179))</f>
        <v/>
      </c>
      <c r="M732" s="2" t="str">
        <f>IF(W732="","",LOOKUP('Extraction edi'!J732,Paramètrage!$A$6:$A$179,Paramètrage!$D$6:$D$179))</f>
        <v/>
      </c>
      <c r="N732" s="3" t="str">
        <f>IF(W732="","",LOOKUP('Extraction edi'!J732,Paramètrage!$A$6:$A$179,Paramètrage!$E$6:$E$179))</f>
        <v/>
      </c>
      <c r="O732" s="3" t="str">
        <f t="shared" si="234"/>
        <v/>
      </c>
      <c r="P732" s="3" t="str">
        <f t="shared" si="235"/>
        <v/>
      </c>
      <c r="Q732" s="3" t="str">
        <f t="shared" si="226"/>
        <v/>
      </c>
      <c r="R732" s="3" t="str">
        <f t="shared" si="236"/>
        <v/>
      </c>
      <c r="S732" s="3" t="str">
        <f t="shared" si="237"/>
        <v/>
      </c>
      <c r="T732" s="4" t="str">
        <f t="shared" si="238"/>
        <v/>
      </c>
      <c r="U732" s="5" t="str">
        <f t="shared" si="239"/>
        <v/>
      </c>
      <c r="V732" s="7" t="str">
        <f>IF(W732="","",IF(LOOKUP(W732,'Extration 3E date commande'!$A$6:$A$10000)=W732,LOOKUP(W732,'Extration 3E date commande'!$A$6:$A$10000,'Extration 3E date commande'!$C$6:$C$10000),"PAS DE DATE"))</f>
        <v/>
      </c>
    </row>
    <row r="733" spans="1:22" x14ac:dyDescent="0.25">
      <c r="A733" s="3" t="str">
        <f t="shared" si="227"/>
        <v/>
      </c>
      <c r="B733" s="3" t="str">
        <f t="shared" si="228"/>
        <v/>
      </c>
      <c r="C733" s="3" t="str">
        <f t="shared" si="225"/>
        <v/>
      </c>
      <c r="D733" s="3" t="str">
        <f t="shared" si="229"/>
        <v/>
      </c>
      <c r="E733" s="3" t="str">
        <f t="shared" si="223"/>
        <v/>
      </c>
      <c r="F733" s="3" t="str">
        <f t="shared" si="230"/>
        <v/>
      </c>
      <c r="G733" s="3" t="str">
        <f t="shared" si="224"/>
        <v/>
      </c>
      <c r="H733" s="3" t="str">
        <f t="shared" si="231"/>
        <v/>
      </c>
      <c r="I733" s="3" t="str">
        <f t="shared" si="232"/>
        <v/>
      </c>
      <c r="J733" s="2" t="str">
        <f t="shared" si="233"/>
        <v/>
      </c>
      <c r="K733" s="2" t="str">
        <f>IF(W733="","",LOOKUP('Extraction edi'!J733,Paramètrage!$A$6:$A$179,Paramètrage!$B$6:$B$179))</f>
        <v/>
      </c>
      <c r="L733" s="2" t="str">
        <f>IF(W733="","",LOOKUP('Extraction edi'!J733,Paramètrage!$A$6:$A$179,Paramètrage!$C$6:$C$179))</f>
        <v/>
      </c>
      <c r="M733" s="2" t="str">
        <f>IF(W733="","",LOOKUP('Extraction edi'!J733,Paramètrage!$A$6:$A$179,Paramètrage!$D$6:$D$179))</f>
        <v/>
      </c>
      <c r="N733" s="3" t="str">
        <f>IF(W733="","",LOOKUP('Extraction edi'!J733,Paramètrage!$A$6:$A$179,Paramètrage!$E$6:$E$179))</f>
        <v/>
      </c>
      <c r="O733" s="3" t="str">
        <f t="shared" si="234"/>
        <v/>
      </c>
      <c r="P733" s="3" t="str">
        <f t="shared" si="235"/>
        <v/>
      </c>
      <c r="Q733" s="3" t="str">
        <f t="shared" si="226"/>
        <v/>
      </c>
      <c r="R733" s="3" t="str">
        <f t="shared" si="236"/>
        <v/>
      </c>
      <c r="S733" s="3" t="str">
        <f t="shared" si="237"/>
        <v/>
      </c>
      <c r="T733" s="4" t="str">
        <f t="shared" si="238"/>
        <v/>
      </c>
      <c r="U733" s="5" t="str">
        <f t="shared" si="239"/>
        <v/>
      </c>
      <c r="V733" s="7" t="str">
        <f>IF(W733="","",IF(LOOKUP(W733,'Extration 3E date commande'!$A$6:$A$10000)=W733,LOOKUP(W733,'Extration 3E date commande'!$A$6:$A$10000,'Extration 3E date commande'!$C$6:$C$10000),"PAS DE DATE"))</f>
        <v/>
      </c>
    </row>
    <row r="734" spans="1:22" x14ac:dyDescent="0.25">
      <c r="A734" s="3" t="str">
        <f t="shared" si="227"/>
        <v/>
      </c>
      <c r="B734" s="3" t="str">
        <f t="shared" si="228"/>
        <v/>
      </c>
      <c r="C734" s="3" t="str">
        <f t="shared" si="225"/>
        <v/>
      </c>
      <c r="D734" s="3" t="str">
        <f t="shared" si="229"/>
        <v/>
      </c>
      <c r="E734" s="3" t="str">
        <f t="shared" si="223"/>
        <v/>
      </c>
      <c r="F734" s="3" t="str">
        <f t="shared" si="230"/>
        <v/>
      </c>
      <c r="G734" s="3" t="str">
        <f t="shared" si="224"/>
        <v/>
      </c>
      <c r="H734" s="3" t="str">
        <f t="shared" si="231"/>
        <v/>
      </c>
      <c r="I734" s="3" t="str">
        <f t="shared" si="232"/>
        <v/>
      </c>
      <c r="J734" s="2" t="str">
        <f t="shared" si="233"/>
        <v/>
      </c>
      <c r="K734" s="2" t="str">
        <f>IF(W734="","",LOOKUP('Extraction edi'!J734,Paramètrage!$A$6:$A$179,Paramètrage!$B$6:$B$179))</f>
        <v/>
      </c>
      <c r="L734" s="2" t="str">
        <f>IF(W734="","",LOOKUP('Extraction edi'!J734,Paramètrage!$A$6:$A$179,Paramètrage!$C$6:$C$179))</f>
        <v/>
      </c>
      <c r="M734" s="2" t="str">
        <f>IF(W734="","",LOOKUP('Extraction edi'!J734,Paramètrage!$A$6:$A$179,Paramètrage!$D$6:$D$179))</f>
        <v/>
      </c>
      <c r="N734" s="3" t="str">
        <f>IF(W734="","",LOOKUP('Extraction edi'!J734,Paramètrage!$A$6:$A$179,Paramètrage!$E$6:$E$179))</f>
        <v/>
      </c>
      <c r="O734" s="3" t="str">
        <f t="shared" si="234"/>
        <v/>
      </c>
      <c r="P734" s="3" t="str">
        <f t="shared" si="235"/>
        <v/>
      </c>
      <c r="Q734" s="3" t="str">
        <f t="shared" si="226"/>
        <v/>
      </c>
      <c r="R734" s="3" t="str">
        <f t="shared" si="236"/>
        <v/>
      </c>
      <c r="S734" s="3" t="str">
        <f t="shared" si="237"/>
        <v/>
      </c>
      <c r="T734" s="4" t="str">
        <f t="shared" si="238"/>
        <v/>
      </c>
      <c r="U734" s="5" t="str">
        <f t="shared" si="239"/>
        <v/>
      </c>
      <c r="V734" s="7" t="str">
        <f>IF(W734="","",IF(LOOKUP(W734,'Extration 3E date commande'!$A$6:$A$10000)=W734,LOOKUP(W734,'Extration 3E date commande'!$A$6:$A$10000,'Extration 3E date commande'!$C$6:$C$10000),"PAS DE DATE"))</f>
        <v/>
      </c>
    </row>
    <row r="735" spans="1:22" x14ac:dyDescent="0.25">
      <c r="A735" s="3" t="str">
        <f t="shared" si="227"/>
        <v/>
      </c>
      <c r="B735" s="3" t="str">
        <f t="shared" si="228"/>
        <v/>
      </c>
      <c r="C735" s="3" t="str">
        <f t="shared" si="225"/>
        <v/>
      </c>
      <c r="D735" s="3" t="str">
        <f t="shared" si="229"/>
        <v/>
      </c>
      <c r="E735" s="3" t="str">
        <f t="shared" si="223"/>
        <v/>
      </c>
      <c r="F735" s="3" t="str">
        <f t="shared" si="230"/>
        <v/>
      </c>
      <c r="G735" s="3" t="str">
        <f t="shared" si="224"/>
        <v/>
      </c>
      <c r="H735" s="3" t="str">
        <f t="shared" si="231"/>
        <v/>
      </c>
      <c r="I735" s="3" t="str">
        <f t="shared" si="232"/>
        <v/>
      </c>
      <c r="J735" s="2" t="str">
        <f t="shared" si="233"/>
        <v/>
      </c>
      <c r="K735" s="2" t="str">
        <f>IF(W735="","",LOOKUP('Extraction edi'!J735,Paramètrage!$A$6:$A$179,Paramètrage!$B$6:$B$179))</f>
        <v/>
      </c>
      <c r="L735" s="2" t="str">
        <f>IF(W735="","",LOOKUP('Extraction edi'!J735,Paramètrage!$A$6:$A$179,Paramètrage!$C$6:$C$179))</f>
        <v/>
      </c>
      <c r="M735" s="2" t="str">
        <f>IF(W735="","",LOOKUP('Extraction edi'!J735,Paramètrage!$A$6:$A$179,Paramètrage!$D$6:$D$179))</f>
        <v/>
      </c>
      <c r="N735" s="3" t="str">
        <f>IF(W735="","",LOOKUP('Extraction edi'!J735,Paramètrage!$A$6:$A$179,Paramètrage!$E$6:$E$179))</f>
        <v/>
      </c>
      <c r="O735" s="3" t="str">
        <f t="shared" si="234"/>
        <v/>
      </c>
      <c r="P735" s="3" t="str">
        <f t="shared" si="235"/>
        <v/>
      </c>
      <c r="Q735" s="3" t="str">
        <f t="shared" si="226"/>
        <v/>
      </c>
      <c r="R735" s="3" t="str">
        <f t="shared" si="236"/>
        <v/>
      </c>
      <c r="S735" s="3" t="str">
        <f t="shared" si="237"/>
        <v/>
      </c>
      <c r="T735" s="4" t="str">
        <f t="shared" si="238"/>
        <v/>
      </c>
      <c r="U735" s="5" t="str">
        <f t="shared" si="239"/>
        <v/>
      </c>
      <c r="V735" s="7" t="str">
        <f>IF(W735="","",IF(LOOKUP(W735,'Extration 3E date commande'!$A$6:$A$10000)=W735,LOOKUP(W735,'Extration 3E date commande'!$A$6:$A$10000,'Extration 3E date commande'!$C$6:$C$10000),"PAS DE DATE"))</f>
        <v/>
      </c>
    </row>
    <row r="736" spans="1:22" x14ac:dyDescent="0.25">
      <c r="A736" s="3" t="str">
        <f t="shared" si="227"/>
        <v/>
      </c>
      <c r="B736" s="3" t="str">
        <f t="shared" si="228"/>
        <v/>
      </c>
      <c r="C736" s="3" t="str">
        <f t="shared" si="225"/>
        <v/>
      </c>
      <c r="D736" s="3" t="str">
        <f t="shared" si="229"/>
        <v/>
      </c>
      <c r="E736" s="3" t="str">
        <f t="shared" si="223"/>
        <v/>
      </c>
      <c r="F736" s="3" t="str">
        <f t="shared" si="230"/>
        <v/>
      </c>
      <c r="G736" s="3" t="str">
        <f t="shared" si="224"/>
        <v/>
      </c>
      <c r="H736" s="3" t="str">
        <f t="shared" si="231"/>
        <v/>
      </c>
      <c r="I736" s="3" t="str">
        <f t="shared" si="232"/>
        <v/>
      </c>
      <c r="J736" s="2" t="str">
        <f t="shared" si="233"/>
        <v/>
      </c>
      <c r="K736" s="2" t="str">
        <f>IF(W736="","",LOOKUP('Extraction edi'!J736,Paramètrage!$A$6:$A$179,Paramètrage!$B$6:$B$179))</f>
        <v/>
      </c>
      <c r="L736" s="2" t="str">
        <f>IF(W736="","",LOOKUP('Extraction edi'!J736,Paramètrage!$A$6:$A$179,Paramètrage!$C$6:$C$179))</f>
        <v/>
      </c>
      <c r="M736" s="2" t="str">
        <f>IF(W736="","",LOOKUP('Extraction edi'!J736,Paramètrage!$A$6:$A$179,Paramètrage!$D$6:$D$179))</f>
        <v/>
      </c>
      <c r="N736" s="3" t="str">
        <f>IF(W736="","",LOOKUP('Extraction edi'!J736,Paramètrage!$A$6:$A$179,Paramètrage!$E$6:$E$179))</f>
        <v/>
      </c>
      <c r="O736" s="3" t="str">
        <f t="shared" si="234"/>
        <v/>
      </c>
      <c r="P736" s="3" t="str">
        <f t="shared" si="235"/>
        <v/>
      </c>
      <c r="Q736" s="3" t="str">
        <f t="shared" si="226"/>
        <v/>
      </c>
      <c r="R736" s="3" t="str">
        <f t="shared" si="236"/>
        <v/>
      </c>
      <c r="S736" s="3" t="str">
        <f t="shared" si="237"/>
        <v/>
      </c>
      <c r="T736" s="4" t="str">
        <f t="shared" si="238"/>
        <v/>
      </c>
      <c r="U736" s="5" t="str">
        <f t="shared" si="239"/>
        <v/>
      </c>
      <c r="V736" s="7" t="str">
        <f>IF(W736="","",IF(LOOKUP(W736,'Extration 3E date commande'!$A$6:$A$10000)=W736,LOOKUP(W736,'Extration 3E date commande'!$A$6:$A$10000,'Extration 3E date commande'!$C$6:$C$10000),"PAS DE DATE"))</f>
        <v/>
      </c>
    </row>
    <row r="737" spans="1:22" x14ac:dyDescent="0.25">
      <c r="A737" s="3" t="str">
        <f t="shared" si="227"/>
        <v/>
      </c>
      <c r="B737" s="3" t="str">
        <f t="shared" si="228"/>
        <v/>
      </c>
      <c r="C737" s="3" t="str">
        <f t="shared" si="225"/>
        <v/>
      </c>
      <c r="D737" s="3" t="str">
        <f t="shared" si="229"/>
        <v/>
      </c>
      <c r="E737" s="3" t="str">
        <f t="shared" si="223"/>
        <v/>
      </c>
      <c r="F737" s="3" t="str">
        <f t="shared" si="230"/>
        <v/>
      </c>
      <c r="G737" s="3" t="str">
        <f t="shared" si="224"/>
        <v/>
      </c>
      <c r="H737" s="3" t="str">
        <f t="shared" si="231"/>
        <v/>
      </c>
      <c r="I737" s="3" t="str">
        <f t="shared" si="232"/>
        <v/>
      </c>
      <c r="J737" s="2" t="str">
        <f t="shared" si="233"/>
        <v/>
      </c>
      <c r="K737" s="2" t="str">
        <f>IF(W737="","",LOOKUP('Extraction edi'!J737,Paramètrage!$A$6:$A$179,Paramètrage!$B$6:$B$179))</f>
        <v/>
      </c>
      <c r="L737" s="2" t="str">
        <f>IF(W737="","",LOOKUP('Extraction edi'!J737,Paramètrage!$A$6:$A$179,Paramètrage!$C$6:$C$179))</f>
        <v/>
      </c>
      <c r="M737" s="2" t="str">
        <f>IF(W737="","",LOOKUP('Extraction edi'!J737,Paramètrage!$A$6:$A$179,Paramètrage!$D$6:$D$179))</f>
        <v/>
      </c>
      <c r="N737" s="3" t="str">
        <f>IF(W737="","",LOOKUP('Extraction edi'!J737,Paramètrage!$A$6:$A$179,Paramètrage!$E$6:$E$179))</f>
        <v/>
      </c>
      <c r="O737" s="3" t="str">
        <f t="shared" si="234"/>
        <v/>
      </c>
      <c r="P737" s="3" t="str">
        <f t="shared" si="235"/>
        <v/>
      </c>
      <c r="Q737" s="3" t="str">
        <f t="shared" si="226"/>
        <v/>
      </c>
      <c r="R737" s="3" t="str">
        <f t="shared" si="236"/>
        <v/>
      </c>
      <c r="S737" s="3" t="str">
        <f t="shared" si="237"/>
        <v/>
      </c>
      <c r="T737" s="4" t="str">
        <f t="shared" si="238"/>
        <v/>
      </c>
      <c r="U737" s="5" t="str">
        <f t="shared" si="239"/>
        <v/>
      </c>
      <c r="V737" s="7" t="str">
        <f>IF(W737="","",IF(LOOKUP(W737,'Extration 3E date commande'!$A$6:$A$10000)=W737,LOOKUP(W737,'Extration 3E date commande'!$A$6:$A$10000,'Extration 3E date commande'!$C$6:$C$10000),"PAS DE DATE"))</f>
        <v/>
      </c>
    </row>
    <row r="738" spans="1:22" x14ac:dyDescent="0.25">
      <c r="A738" s="3" t="str">
        <f t="shared" si="227"/>
        <v/>
      </c>
      <c r="B738" s="3" t="str">
        <f t="shared" si="228"/>
        <v/>
      </c>
      <c r="C738" s="3" t="str">
        <f t="shared" si="225"/>
        <v/>
      </c>
      <c r="D738" s="3" t="str">
        <f t="shared" si="229"/>
        <v/>
      </c>
      <c r="E738" s="3" t="str">
        <f t="shared" si="223"/>
        <v/>
      </c>
      <c r="F738" s="3" t="str">
        <f t="shared" si="230"/>
        <v/>
      </c>
      <c r="G738" s="3" t="str">
        <f t="shared" si="224"/>
        <v/>
      </c>
      <c r="H738" s="3" t="str">
        <f t="shared" si="231"/>
        <v/>
      </c>
      <c r="I738" s="3" t="str">
        <f t="shared" si="232"/>
        <v/>
      </c>
      <c r="J738" s="2" t="str">
        <f t="shared" si="233"/>
        <v/>
      </c>
      <c r="K738" s="2" t="str">
        <f>IF(W738="","",LOOKUP('Extraction edi'!J738,Paramètrage!$A$6:$A$179,Paramètrage!$B$6:$B$179))</f>
        <v/>
      </c>
      <c r="L738" s="2" t="str">
        <f>IF(W738="","",LOOKUP('Extraction edi'!J738,Paramètrage!$A$6:$A$179,Paramètrage!$C$6:$C$179))</f>
        <v/>
      </c>
      <c r="M738" s="2" t="str">
        <f>IF(W738="","",LOOKUP('Extraction edi'!J738,Paramètrage!$A$6:$A$179,Paramètrage!$D$6:$D$179))</f>
        <v/>
      </c>
      <c r="N738" s="3" t="str">
        <f>IF(W738="","",LOOKUP('Extraction edi'!J738,Paramètrage!$A$6:$A$179,Paramètrage!$E$6:$E$179))</f>
        <v/>
      </c>
      <c r="O738" s="3" t="str">
        <f t="shared" si="234"/>
        <v/>
      </c>
      <c r="P738" s="3" t="str">
        <f t="shared" si="235"/>
        <v/>
      </c>
      <c r="Q738" s="3" t="str">
        <f t="shared" si="226"/>
        <v/>
      </c>
      <c r="R738" s="3" t="str">
        <f t="shared" si="236"/>
        <v/>
      </c>
      <c r="S738" s="3" t="str">
        <f t="shared" si="237"/>
        <v/>
      </c>
      <c r="T738" s="4" t="str">
        <f t="shared" si="238"/>
        <v/>
      </c>
      <c r="U738" s="5" t="str">
        <f t="shared" si="239"/>
        <v/>
      </c>
      <c r="V738" s="7" t="str">
        <f>IF(W738="","",IF(LOOKUP(W738,'Extration 3E date commande'!$A$6:$A$10000)=W738,LOOKUP(W738,'Extration 3E date commande'!$A$6:$A$10000,'Extration 3E date commande'!$C$6:$C$10000),"PAS DE DATE"))</f>
        <v/>
      </c>
    </row>
    <row r="739" spans="1:22" x14ac:dyDescent="0.25">
      <c r="A739" s="3" t="str">
        <f t="shared" si="227"/>
        <v/>
      </c>
      <c r="B739" s="3" t="str">
        <f t="shared" si="228"/>
        <v/>
      </c>
      <c r="C739" s="3" t="str">
        <f t="shared" si="225"/>
        <v/>
      </c>
      <c r="D739" s="3" t="str">
        <f t="shared" si="229"/>
        <v/>
      </c>
      <c r="E739" s="3" t="str">
        <f t="shared" si="223"/>
        <v/>
      </c>
      <c r="F739" s="3" t="str">
        <f t="shared" si="230"/>
        <v/>
      </c>
      <c r="G739" s="3" t="str">
        <f t="shared" si="224"/>
        <v/>
      </c>
      <c r="H739" s="3" t="str">
        <f t="shared" si="231"/>
        <v/>
      </c>
      <c r="I739" s="3" t="str">
        <f t="shared" si="232"/>
        <v/>
      </c>
      <c r="J739" s="2" t="str">
        <f t="shared" si="233"/>
        <v/>
      </c>
      <c r="K739" s="2" t="str">
        <f>IF(W739="","",LOOKUP('Extraction edi'!J739,Paramètrage!$A$6:$A$179,Paramètrage!$B$6:$B$179))</f>
        <v/>
      </c>
      <c r="L739" s="2" t="str">
        <f>IF(W739="","",LOOKUP('Extraction edi'!J739,Paramètrage!$A$6:$A$179,Paramètrage!$C$6:$C$179))</f>
        <v/>
      </c>
      <c r="M739" s="2" t="str">
        <f>IF(W739="","",LOOKUP('Extraction edi'!J739,Paramètrage!$A$6:$A$179,Paramètrage!$D$6:$D$179))</f>
        <v/>
      </c>
      <c r="N739" s="3" t="str">
        <f>IF(W739="","",LOOKUP('Extraction edi'!J739,Paramètrage!$A$6:$A$179,Paramètrage!$E$6:$E$179))</f>
        <v/>
      </c>
      <c r="O739" s="3" t="str">
        <f t="shared" si="234"/>
        <v/>
      </c>
      <c r="P739" s="3" t="str">
        <f t="shared" si="235"/>
        <v/>
      </c>
      <c r="Q739" s="3" t="str">
        <f t="shared" si="226"/>
        <v/>
      </c>
      <c r="R739" s="3" t="str">
        <f t="shared" si="236"/>
        <v/>
      </c>
      <c r="S739" s="3" t="str">
        <f t="shared" si="237"/>
        <v/>
      </c>
      <c r="T739" s="4" t="str">
        <f t="shared" si="238"/>
        <v/>
      </c>
      <c r="U739" s="5" t="str">
        <f t="shared" si="239"/>
        <v/>
      </c>
      <c r="V739" s="7" t="str">
        <f>IF(W739="","",IF(LOOKUP(W739,'Extration 3E date commande'!$A$6:$A$10000)=W739,LOOKUP(W739,'Extration 3E date commande'!$A$6:$A$10000,'Extration 3E date commande'!$C$6:$C$10000),"PAS DE DATE"))</f>
        <v/>
      </c>
    </row>
    <row r="740" spans="1:22" x14ac:dyDescent="0.25">
      <c r="A740" s="3" t="str">
        <f t="shared" si="227"/>
        <v/>
      </c>
      <c r="B740" s="3" t="str">
        <f t="shared" si="228"/>
        <v/>
      </c>
      <c r="C740" s="3" t="str">
        <f t="shared" si="225"/>
        <v/>
      </c>
      <c r="D740" s="3" t="str">
        <f t="shared" si="229"/>
        <v/>
      </c>
      <c r="E740" s="3" t="str">
        <f t="shared" si="223"/>
        <v/>
      </c>
      <c r="F740" s="3" t="str">
        <f t="shared" si="230"/>
        <v/>
      </c>
      <c r="G740" s="3" t="str">
        <f t="shared" si="224"/>
        <v/>
      </c>
      <c r="H740" s="3" t="str">
        <f t="shared" si="231"/>
        <v/>
      </c>
      <c r="I740" s="3" t="str">
        <f t="shared" si="232"/>
        <v/>
      </c>
      <c r="J740" s="2" t="str">
        <f t="shared" si="233"/>
        <v/>
      </c>
      <c r="K740" s="2" t="str">
        <f>IF(W740="","",LOOKUP('Extraction edi'!J740,Paramètrage!$A$6:$A$179,Paramètrage!$B$6:$B$179))</f>
        <v/>
      </c>
      <c r="L740" s="2" t="str">
        <f>IF(W740="","",LOOKUP('Extraction edi'!J740,Paramètrage!$A$6:$A$179,Paramètrage!$C$6:$C$179))</f>
        <v/>
      </c>
      <c r="M740" s="2" t="str">
        <f>IF(W740="","",LOOKUP('Extraction edi'!J740,Paramètrage!$A$6:$A$179,Paramètrage!$D$6:$D$179))</f>
        <v/>
      </c>
      <c r="N740" s="3" t="str">
        <f>IF(W740="","",LOOKUP('Extraction edi'!J740,Paramètrage!$A$6:$A$179,Paramètrage!$E$6:$E$179))</f>
        <v/>
      </c>
      <c r="O740" s="3" t="str">
        <f t="shared" si="234"/>
        <v/>
      </c>
      <c r="P740" s="3" t="str">
        <f t="shared" si="235"/>
        <v/>
      </c>
      <c r="Q740" s="3" t="str">
        <f t="shared" si="226"/>
        <v/>
      </c>
      <c r="R740" s="3" t="str">
        <f t="shared" si="236"/>
        <v/>
      </c>
      <c r="S740" s="3" t="str">
        <f t="shared" si="237"/>
        <v/>
      </c>
      <c r="T740" s="4" t="str">
        <f t="shared" si="238"/>
        <v/>
      </c>
      <c r="U740" s="5" t="str">
        <f t="shared" si="239"/>
        <v/>
      </c>
      <c r="V740" s="7" t="str">
        <f>IF(W740="","",IF(LOOKUP(W740,'Extration 3E date commande'!$A$6:$A$10000)=W740,LOOKUP(W740,'Extration 3E date commande'!$A$6:$A$10000,'Extration 3E date commande'!$C$6:$C$10000),"PAS DE DATE"))</f>
        <v/>
      </c>
    </row>
    <row r="741" spans="1:22" x14ac:dyDescent="0.25">
      <c r="A741" s="3" t="str">
        <f t="shared" si="227"/>
        <v/>
      </c>
      <c r="B741" s="3" t="str">
        <f t="shared" si="228"/>
        <v/>
      </c>
      <c r="C741" s="3" t="str">
        <f t="shared" si="225"/>
        <v/>
      </c>
      <c r="D741" s="3" t="str">
        <f t="shared" si="229"/>
        <v/>
      </c>
      <c r="E741" s="3" t="str">
        <f t="shared" si="223"/>
        <v/>
      </c>
      <c r="F741" s="3" t="str">
        <f t="shared" si="230"/>
        <v/>
      </c>
      <c r="G741" s="3" t="str">
        <f t="shared" si="224"/>
        <v/>
      </c>
      <c r="H741" s="3" t="str">
        <f t="shared" si="231"/>
        <v/>
      </c>
      <c r="I741" s="3" t="str">
        <f t="shared" si="232"/>
        <v/>
      </c>
      <c r="J741" s="2" t="str">
        <f t="shared" si="233"/>
        <v/>
      </c>
      <c r="K741" s="2" t="str">
        <f>IF(W741="","",LOOKUP('Extraction edi'!J741,Paramètrage!$A$6:$A$179,Paramètrage!$B$6:$B$179))</f>
        <v/>
      </c>
      <c r="L741" s="2" t="str">
        <f>IF(W741="","",LOOKUP('Extraction edi'!J741,Paramètrage!$A$6:$A$179,Paramètrage!$C$6:$C$179))</f>
        <v/>
      </c>
      <c r="M741" s="2" t="str">
        <f>IF(W741="","",LOOKUP('Extraction edi'!J741,Paramètrage!$A$6:$A$179,Paramètrage!$D$6:$D$179))</f>
        <v/>
      </c>
      <c r="N741" s="3" t="str">
        <f>IF(W741="","",LOOKUP('Extraction edi'!J741,Paramètrage!$A$6:$A$179,Paramètrage!$E$6:$E$179))</f>
        <v/>
      </c>
      <c r="O741" s="3" t="str">
        <f t="shared" si="234"/>
        <v/>
      </c>
      <c r="P741" s="3" t="str">
        <f t="shared" si="235"/>
        <v/>
      </c>
      <c r="Q741" s="3" t="str">
        <f t="shared" si="226"/>
        <v/>
      </c>
      <c r="R741" s="3" t="str">
        <f t="shared" si="236"/>
        <v/>
      </c>
      <c r="S741" s="3" t="str">
        <f t="shared" si="237"/>
        <v/>
      </c>
      <c r="T741" s="4" t="str">
        <f t="shared" si="238"/>
        <v/>
      </c>
      <c r="U741" s="5" t="str">
        <f t="shared" si="239"/>
        <v/>
      </c>
      <c r="V741" s="7" t="str">
        <f>IF(W741="","",IF(LOOKUP(W741,'Extration 3E date commande'!$A$6:$A$10000)=W741,LOOKUP(W741,'Extration 3E date commande'!$A$6:$A$10000,'Extration 3E date commande'!$C$6:$C$10000),"PAS DE DATE"))</f>
        <v/>
      </c>
    </row>
    <row r="742" spans="1:22" x14ac:dyDescent="0.25">
      <c r="A742" s="3" t="str">
        <f t="shared" si="227"/>
        <v/>
      </c>
      <c r="B742" s="3" t="str">
        <f t="shared" si="228"/>
        <v/>
      </c>
      <c r="C742" s="3" t="str">
        <f t="shared" si="225"/>
        <v/>
      </c>
      <c r="D742" s="3" t="str">
        <f t="shared" si="229"/>
        <v/>
      </c>
      <c r="E742" s="3" t="str">
        <f t="shared" si="223"/>
        <v/>
      </c>
      <c r="F742" s="3" t="str">
        <f t="shared" si="230"/>
        <v/>
      </c>
      <c r="G742" s="3" t="str">
        <f t="shared" si="224"/>
        <v/>
      </c>
      <c r="H742" s="3" t="str">
        <f t="shared" si="231"/>
        <v/>
      </c>
      <c r="I742" s="3" t="str">
        <f t="shared" si="232"/>
        <v/>
      </c>
      <c r="J742" s="2" t="str">
        <f t="shared" si="233"/>
        <v/>
      </c>
      <c r="K742" s="2" t="str">
        <f>IF(W742="","",LOOKUP('Extraction edi'!J742,Paramètrage!$A$6:$A$179,Paramètrage!$B$6:$B$179))</f>
        <v/>
      </c>
      <c r="L742" s="2" t="str">
        <f>IF(W742="","",LOOKUP('Extraction edi'!J742,Paramètrage!$A$6:$A$179,Paramètrage!$C$6:$C$179))</f>
        <v/>
      </c>
      <c r="M742" s="2" t="str">
        <f>IF(W742="","",LOOKUP('Extraction edi'!J742,Paramètrage!$A$6:$A$179,Paramètrage!$D$6:$D$179))</f>
        <v/>
      </c>
      <c r="N742" s="3" t="str">
        <f>IF(W742="","",LOOKUP('Extraction edi'!J742,Paramètrage!$A$6:$A$179,Paramètrage!$E$6:$E$179))</f>
        <v/>
      </c>
      <c r="O742" s="3" t="str">
        <f t="shared" si="234"/>
        <v/>
      </c>
      <c r="P742" s="3" t="str">
        <f t="shared" si="235"/>
        <v/>
      </c>
      <c r="Q742" s="3" t="str">
        <f t="shared" si="226"/>
        <v/>
      </c>
      <c r="R742" s="3" t="str">
        <f t="shared" si="236"/>
        <v/>
      </c>
      <c r="S742" s="3" t="str">
        <f t="shared" si="237"/>
        <v/>
      </c>
      <c r="T742" s="4" t="str">
        <f t="shared" si="238"/>
        <v/>
      </c>
      <c r="U742" s="5" t="str">
        <f t="shared" si="239"/>
        <v/>
      </c>
      <c r="V742" s="7" t="str">
        <f>IF(W742="","",IF(LOOKUP(W742,'Extration 3E date commande'!$A$6:$A$10000)=W742,LOOKUP(W742,'Extration 3E date commande'!$A$6:$A$10000,'Extration 3E date commande'!$C$6:$C$10000),"PAS DE DATE"))</f>
        <v/>
      </c>
    </row>
    <row r="743" spans="1:22" x14ac:dyDescent="0.25">
      <c r="A743" s="3" t="str">
        <f t="shared" si="227"/>
        <v/>
      </c>
      <c r="B743" s="3" t="str">
        <f t="shared" si="228"/>
        <v/>
      </c>
      <c r="C743" s="3" t="str">
        <f t="shared" si="225"/>
        <v/>
      </c>
      <c r="D743" s="3" t="str">
        <f t="shared" si="229"/>
        <v/>
      </c>
      <c r="E743" s="3" t="str">
        <f t="shared" si="223"/>
        <v/>
      </c>
      <c r="F743" s="3" t="str">
        <f t="shared" si="230"/>
        <v/>
      </c>
      <c r="G743" s="3" t="str">
        <f t="shared" si="224"/>
        <v/>
      </c>
      <c r="H743" s="3" t="str">
        <f t="shared" si="231"/>
        <v/>
      </c>
      <c r="I743" s="3" t="str">
        <f t="shared" si="232"/>
        <v/>
      </c>
      <c r="J743" s="2" t="str">
        <f t="shared" si="233"/>
        <v/>
      </c>
      <c r="K743" s="2" t="str">
        <f>IF(W743="","",LOOKUP('Extraction edi'!J743,Paramètrage!$A$6:$A$179,Paramètrage!$B$6:$B$179))</f>
        <v/>
      </c>
      <c r="L743" s="2" t="str">
        <f>IF(W743="","",LOOKUP('Extraction edi'!J743,Paramètrage!$A$6:$A$179,Paramètrage!$C$6:$C$179))</f>
        <v/>
      </c>
      <c r="M743" s="2" t="str">
        <f>IF(W743="","",LOOKUP('Extraction edi'!J743,Paramètrage!$A$6:$A$179,Paramètrage!$D$6:$D$179))</f>
        <v/>
      </c>
      <c r="N743" s="3" t="str">
        <f>IF(W743="","",LOOKUP('Extraction edi'!J743,Paramètrage!$A$6:$A$179,Paramètrage!$E$6:$E$179))</f>
        <v/>
      </c>
      <c r="O743" s="3" t="str">
        <f t="shared" si="234"/>
        <v/>
      </c>
      <c r="P743" s="3" t="str">
        <f t="shared" si="235"/>
        <v/>
      </c>
      <c r="Q743" s="3" t="str">
        <f t="shared" si="226"/>
        <v/>
      </c>
      <c r="R743" s="3" t="str">
        <f t="shared" si="236"/>
        <v/>
      </c>
      <c r="S743" s="3" t="str">
        <f t="shared" si="237"/>
        <v/>
      </c>
      <c r="T743" s="4" t="str">
        <f t="shared" si="238"/>
        <v/>
      </c>
      <c r="U743" s="5" t="str">
        <f t="shared" si="239"/>
        <v/>
      </c>
      <c r="V743" s="7" t="str">
        <f>IF(W743="","",IF(LOOKUP(W743,'Extration 3E date commande'!$A$6:$A$10000)=W743,LOOKUP(W743,'Extration 3E date commande'!$A$6:$A$10000,'Extration 3E date commande'!$C$6:$C$10000),"PAS DE DATE"))</f>
        <v/>
      </c>
    </row>
    <row r="744" spans="1:22" x14ac:dyDescent="0.25">
      <c r="A744" s="3" t="str">
        <f t="shared" si="227"/>
        <v/>
      </c>
      <c r="B744" s="3" t="str">
        <f t="shared" si="228"/>
        <v/>
      </c>
      <c r="C744" s="3" t="str">
        <f t="shared" si="225"/>
        <v/>
      </c>
      <c r="D744" s="3" t="str">
        <f t="shared" si="229"/>
        <v/>
      </c>
      <c r="E744" s="3" t="str">
        <f t="shared" si="223"/>
        <v/>
      </c>
      <c r="F744" s="3" t="str">
        <f t="shared" si="230"/>
        <v/>
      </c>
      <c r="G744" s="3" t="str">
        <f t="shared" si="224"/>
        <v/>
      </c>
      <c r="H744" s="3" t="str">
        <f t="shared" si="231"/>
        <v/>
      </c>
      <c r="I744" s="3" t="str">
        <f t="shared" si="232"/>
        <v/>
      </c>
      <c r="J744" s="2" t="str">
        <f t="shared" si="233"/>
        <v/>
      </c>
      <c r="K744" s="2" t="str">
        <f>IF(W744="","",LOOKUP('Extraction edi'!J744,Paramètrage!$A$6:$A$179,Paramètrage!$B$6:$B$179))</f>
        <v/>
      </c>
      <c r="L744" s="2" t="str">
        <f>IF(W744="","",LOOKUP('Extraction edi'!J744,Paramètrage!$A$6:$A$179,Paramètrage!$C$6:$C$179))</f>
        <v/>
      </c>
      <c r="M744" s="2" t="str">
        <f>IF(W744="","",LOOKUP('Extraction edi'!J744,Paramètrage!$A$6:$A$179,Paramètrage!$D$6:$D$179))</f>
        <v/>
      </c>
      <c r="N744" s="3" t="str">
        <f>IF(W744="","",LOOKUP('Extraction edi'!J744,Paramètrage!$A$6:$A$179,Paramètrage!$E$6:$E$179))</f>
        <v/>
      </c>
      <c r="O744" s="3" t="str">
        <f t="shared" si="234"/>
        <v/>
      </c>
      <c r="P744" s="3" t="str">
        <f t="shared" si="235"/>
        <v/>
      </c>
      <c r="Q744" s="3" t="str">
        <f t="shared" si="226"/>
        <v/>
      </c>
      <c r="R744" s="3" t="str">
        <f t="shared" si="236"/>
        <v/>
      </c>
      <c r="S744" s="3" t="str">
        <f t="shared" si="237"/>
        <v/>
      </c>
      <c r="T744" s="4" t="str">
        <f t="shared" si="238"/>
        <v/>
      </c>
      <c r="U744" s="5" t="str">
        <f t="shared" si="239"/>
        <v/>
      </c>
      <c r="V744" s="7" t="str">
        <f>IF(W744="","",IF(LOOKUP(W744,'Extration 3E date commande'!$A$6:$A$10000)=W744,LOOKUP(W744,'Extration 3E date commande'!$A$6:$A$10000,'Extration 3E date commande'!$C$6:$C$10000),"PAS DE DATE"))</f>
        <v/>
      </c>
    </row>
    <row r="745" spans="1:22" x14ac:dyDescent="0.25">
      <c r="A745" s="3" t="str">
        <f t="shared" si="227"/>
        <v/>
      </c>
      <c r="B745" s="3" t="str">
        <f t="shared" si="228"/>
        <v/>
      </c>
      <c r="C745" s="3" t="str">
        <f t="shared" si="225"/>
        <v/>
      </c>
      <c r="D745" s="3" t="str">
        <f t="shared" si="229"/>
        <v/>
      </c>
      <c r="E745" s="3" t="str">
        <f t="shared" si="223"/>
        <v/>
      </c>
      <c r="F745" s="3" t="str">
        <f t="shared" si="230"/>
        <v/>
      </c>
      <c r="G745" s="3" t="str">
        <f t="shared" si="224"/>
        <v/>
      </c>
      <c r="H745" s="3" t="str">
        <f t="shared" si="231"/>
        <v/>
      </c>
      <c r="I745" s="3" t="str">
        <f t="shared" si="232"/>
        <v/>
      </c>
      <c r="J745" s="2" t="str">
        <f t="shared" si="233"/>
        <v/>
      </c>
      <c r="K745" s="2" t="str">
        <f>IF(W745="","",LOOKUP('Extraction edi'!J745,Paramètrage!$A$6:$A$179,Paramètrage!$B$6:$B$179))</f>
        <v/>
      </c>
      <c r="L745" s="2" t="str">
        <f>IF(W745="","",LOOKUP('Extraction edi'!J745,Paramètrage!$A$6:$A$179,Paramètrage!$C$6:$C$179))</f>
        <v/>
      </c>
      <c r="M745" s="2" t="str">
        <f>IF(W745="","",LOOKUP('Extraction edi'!J745,Paramètrage!$A$6:$A$179,Paramètrage!$D$6:$D$179))</f>
        <v/>
      </c>
      <c r="N745" s="3" t="str">
        <f>IF(W745="","",LOOKUP('Extraction edi'!J745,Paramètrage!$A$6:$A$179,Paramètrage!$E$6:$E$179))</f>
        <v/>
      </c>
      <c r="O745" s="3" t="str">
        <f t="shared" si="234"/>
        <v/>
      </c>
      <c r="P745" s="3" t="str">
        <f t="shared" si="235"/>
        <v/>
      </c>
      <c r="Q745" s="3" t="str">
        <f t="shared" si="226"/>
        <v/>
      </c>
      <c r="R745" s="3" t="str">
        <f t="shared" si="236"/>
        <v/>
      </c>
      <c r="S745" s="3" t="str">
        <f t="shared" si="237"/>
        <v/>
      </c>
      <c r="T745" s="4" t="str">
        <f t="shared" si="238"/>
        <v/>
      </c>
      <c r="U745" s="5" t="str">
        <f t="shared" si="239"/>
        <v/>
      </c>
      <c r="V745" s="7" t="str">
        <f>IF(W745="","",IF(LOOKUP(W745,'Extration 3E date commande'!$A$6:$A$10000)=W745,LOOKUP(W745,'Extration 3E date commande'!$A$6:$A$10000,'Extration 3E date commande'!$C$6:$C$10000),"PAS DE DATE"))</f>
        <v/>
      </c>
    </row>
    <row r="746" spans="1:22" x14ac:dyDescent="0.25">
      <c r="A746" s="3" t="str">
        <f t="shared" si="227"/>
        <v/>
      </c>
      <c r="B746" s="3" t="str">
        <f t="shared" si="228"/>
        <v/>
      </c>
      <c r="C746" s="3" t="str">
        <f t="shared" si="225"/>
        <v/>
      </c>
      <c r="D746" s="3" t="str">
        <f t="shared" si="229"/>
        <v/>
      </c>
      <c r="E746" s="3" t="str">
        <f t="shared" si="223"/>
        <v/>
      </c>
      <c r="F746" s="3" t="str">
        <f t="shared" si="230"/>
        <v/>
      </c>
      <c r="G746" s="3" t="str">
        <f t="shared" si="224"/>
        <v/>
      </c>
      <c r="H746" s="3" t="str">
        <f t="shared" si="231"/>
        <v/>
      </c>
      <c r="I746" s="3" t="str">
        <f t="shared" si="232"/>
        <v/>
      </c>
      <c r="J746" s="2" t="str">
        <f t="shared" si="233"/>
        <v/>
      </c>
      <c r="K746" s="2" t="str">
        <f>IF(W746="","",LOOKUP('Extraction edi'!J746,Paramètrage!$A$6:$A$179,Paramètrage!$B$6:$B$179))</f>
        <v/>
      </c>
      <c r="L746" s="2" t="str">
        <f>IF(W746="","",LOOKUP('Extraction edi'!J746,Paramètrage!$A$6:$A$179,Paramètrage!$C$6:$C$179))</f>
        <v/>
      </c>
      <c r="M746" s="2" t="str">
        <f>IF(W746="","",LOOKUP('Extraction edi'!J746,Paramètrage!$A$6:$A$179,Paramètrage!$D$6:$D$179))</f>
        <v/>
      </c>
      <c r="N746" s="3" t="str">
        <f>IF(W746="","",LOOKUP('Extraction edi'!J746,Paramètrage!$A$6:$A$179,Paramètrage!$E$6:$E$179))</f>
        <v/>
      </c>
      <c r="O746" s="3" t="str">
        <f t="shared" si="234"/>
        <v/>
      </c>
      <c r="P746" s="3" t="str">
        <f t="shared" si="235"/>
        <v/>
      </c>
      <c r="Q746" s="3" t="str">
        <f t="shared" si="226"/>
        <v/>
      </c>
      <c r="R746" s="3" t="str">
        <f t="shared" si="236"/>
        <v/>
      </c>
      <c r="S746" s="3" t="str">
        <f t="shared" si="237"/>
        <v/>
      </c>
      <c r="T746" s="4" t="str">
        <f t="shared" si="238"/>
        <v/>
      </c>
      <c r="U746" s="5" t="str">
        <f t="shared" si="239"/>
        <v/>
      </c>
      <c r="V746" s="7" t="str">
        <f>IF(W746="","",IF(LOOKUP(W746,'Extration 3E date commande'!$A$6:$A$10000)=W746,LOOKUP(W746,'Extration 3E date commande'!$A$6:$A$10000,'Extration 3E date commande'!$C$6:$C$10000),"PAS DE DATE"))</f>
        <v/>
      </c>
    </row>
    <row r="747" spans="1:22" x14ac:dyDescent="0.25">
      <c r="A747" s="3" t="str">
        <f t="shared" si="227"/>
        <v/>
      </c>
      <c r="B747" s="3" t="str">
        <f t="shared" si="228"/>
        <v/>
      </c>
      <c r="C747" s="3" t="str">
        <f t="shared" si="225"/>
        <v/>
      </c>
      <c r="D747" s="3" t="str">
        <f t="shared" si="229"/>
        <v/>
      </c>
      <c r="E747" s="3" t="str">
        <f t="shared" si="223"/>
        <v/>
      </c>
      <c r="F747" s="3" t="str">
        <f t="shared" si="230"/>
        <v/>
      </c>
      <c r="G747" s="3" t="str">
        <f t="shared" si="224"/>
        <v/>
      </c>
      <c r="H747" s="3" t="str">
        <f t="shared" si="231"/>
        <v/>
      </c>
      <c r="I747" s="3" t="str">
        <f t="shared" si="232"/>
        <v/>
      </c>
      <c r="J747" s="2" t="str">
        <f t="shared" si="233"/>
        <v/>
      </c>
      <c r="K747" s="2" t="str">
        <f>IF(W747="","",LOOKUP('Extraction edi'!J747,Paramètrage!$A$6:$A$179,Paramètrage!$B$6:$B$179))</f>
        <v/>
      </c>
      <c r="L747" s="2" t="str">
        <f>IF(W747="","",LOOKUP('Extraction edi'!J747,Paramètrage!$A$6:$A$179,Paramètrage!$C$6:$C$179))</f>
        <v/>
      </c>
      <c r="M747" s="2" t="str">
        <f>IF(W747="","",LOOKUP('Extraction edi'!J747,Paramètrage!$A$6:$A$179,Paramètrage!$D$6:$D$179))</f>
        <v/>
      </c>
      <c r="N747" s="3" t="str">
        <f>IF(W747="","",LOOKUP('Extraction edi'!J747,Paramètrage!$A$6:$A$179,Paramètrage!$E$6:$E$179))</f>
        <v/>
      </c>
      <c r="O747" s="3" t="str">
        <f t="shared" si="234"/>
        <v/>
      </c>
      <c r="P747" s="3" t="str">
        <f t="shared" si="235"/>
        <v/>
      </c>
      <c r="Q747" s="3" t="str">
        <f t="shared" si="226"/>
        <v/>
      </c>
      <c r="R747" s="3" t="str">
        <f t="shared" si="236"/>
        <v/>
      </c>
      <c r="S747" s="3" t="str">
        <f t="shared" si="237"/>
        <v/>
      </c>
      <c r="T747" s="4" t="str">
        <f t="shared" si="238"/>
        <v/>
      </c>
      <c r="U747" s="5" t="str">
        <f t="shared" si="239"/>
        <v/>
      </c>
      <c r="V747" s="7" t="str">
        <f>IF(W747="","",IF(LOOKUP(W747,'Extration 3E date commande'!$A$6:$A$10000)=W747,LOOKUP(W747,'Extration 3E date commande'!$A$6:$A$10000,'Extration 3E date commande'!$C$6:$C$10000),"PAS DE DATE"))</f>
        <v/>
      </c>
    </row>
    <row r="748" spans="1:22" x14ac:dyDescent="0.25">
      <c r="A748" s="3" t="str">
        <f t="shared" si="227"/>
        <v/>
      </c>
      <c r="B748" s="3" t="str">
        <f t="shared" si="228"/>
        <v/>
      </c>
      <c r="C748" s="3" t="str">
        <f t="shared" si="225"/>
        <v/>
      </c>
      <c r="D748" s="3" t="str">
        <f t="shared" si="229"/>
        <v/>
      </c>
      <c r="E748" s="3" t="str">
        <f t="shared" si="223"/>
        <v/>
      </c>
      <c r="F748" s="3" t="str">
        <f t="shared" si="230"/>
        <v/>
      </c>
      <c r="G748" s="3" t="str">
        <f t="shared" si="224"/>
        <v/>
      </c>
      <c r="H748" s="3" t="str">
        <f t="shared" si="231"/>
        <v/>
      </c>
      <c r="I748" s="3" t="str">
        <f t="shared" si="232"/>
        <v/>
      </c>
      <c r="J748" s="2" t="str">
        <f t="shared" si="233"/>
        <v/>
      </c>
      <c r="K748" s="2" t="str">
        <f>IF(W748="","",LOOKUP('Extraction edi'!J748,Paramètrage!$A$6:$A$179,Paramètrage!$B$6:$B$179))</f>
        <v/>
      </c>
      <c r="L748" s="2" t="str">
        <f>IF(W748="","",LOOKUP('Extraction edi'!J748,Paramètrage!$A$6:$A$179,Paramètrage!$C$6:$C$179))</f>
        <v/>
      </c>
      <c r="M748" s="2" t="str">
        <f>IF(W748="","",LOOKUP('Extraction edi'!J748,Paramètrage!$A$6:$A$179,Paramètrage!$D$6:$D$179))</f>
        <v/>
      </c>
      <c r="N748" s="3" t="str">
        <f>IF(W748="","",LOOKUP('Extraction edi'!J748,Paramètrage!$A$6:$A$179,Paramètrage!$E$6:$E$179))</f>
        <v/>
      </c>
      <c r="O748" s="3" t="str">
        <f t="shared" si="234"/>
        <v/>
      </c>
      <c r="P748" s="3" t="str">
        <f t="shared" si="235"/>
        <v/>
      </c>
      <c r="Q748" s="3" t="str">
        <f t="shared" si="226"/>
        <v/>
      </c>
      <c r="R748" s="3" t="str">
        <f t="shared" si="236"/>
        <v/>
      </c>
      <c r="S748" s="3" t="str">
        <f t="shared" si="237"/>
        <v/>
      </c>
      <c r="T748" s="4" t="str">
        <f t="shared" si="238"/>
        <v/>
      </c>
      <c r="U748" s="5" t="str">
        <f t="shared" si="239"/>
        <v/>
      </c>
      <c r="V748" s="7" t="str">
        <f>IF(W748="","",IF(LOOKUP(W748,'Extration 3E date commande'!$A$6:$A$10000)=W748,LOOKUP(W748,'Extration 3E date commande'!$A$6:$A$10000,'Extration 3E date commande'!$C$6:$C$10000),"PAS DE DATE"))</f>
        <v/>
      </c>
    </row>
    <row r="749" spans="1:22" x14ac:dyDescent="0.25">
      <c r="A749" s="3" t="str">
        <f t="shared" si="227"/>
        <v/>
      </c>
      <c r="B749" s="3" t="str">
        <f t="shared" si="228"/>
        <v/>
      </c>
      <c r="C749" s="3" t="str">
        <f t="shared" si="225"/>
        <v/>
      </c>
      <c r="D749" s="3" t="str">
        <f t="shared" si="229"/>
        <v/>
      </c>
      <c r="E749" s="3" t="str">
        <f t="shared" si="223"/>
        <v/>
      </c>
      <c r="F749" s="3" t="str">
        <f t="shared" si="230"/>
        <v/>
      </c>
      <c r="G749" s="3" t="str">
        <f t="shared" si="224"/>
        <v/>
      </c>
      <c r="H749" s="3" t="str">
        <f t="shared" si="231"/>
        <v/>
      </c>
      <c r="I749" s="3" t="str">
        <f t="shared" si="232"/>
        <v/>
      </c>
      <c r="J749" s="2" t="str">
        <f t="shared" si="233"/>
        <v/>
      </c>
      <c r="K749" s="2" t="str">
        <f>IF(W749="","",LOOKUP('Extraction edi'!J749,Paramètrage!$A$6:$A$179,Paramètrage!$B$6:$B$179))</f>
        <v/>
      </c>
      <c r="L749" s="2" t="str">
        <f>IF(W749="","",LOOKUP('Extraction edi'!J749,Paramètrage!$A$6:$A$179,Paramètrage!$C$6:$C$179))</f>
        <v/>
      </c>
      <c r="M749" s="2" t="str">
        <f>IF(W749="","",LOOKUP('Extraction edi'!J749,Paramètrage!$A$6:$A$179,Paramètrage!$D$6:$D$179))</f>
        <v/>
      </c>
      <c r="N749" s="3" t="str">
        <f>IF(W749="","",LOOKUP('Extraction edi'!J749,Paramètrage!$A$6:$A$179,Paramètrage!$E$6:$E$179))</f>
        <v/>
      </c>
      <c r="O749" s="3" t="str">
        <f t="shared" si="234"/>
        <v/>
      </c>
      <c r="P749" s="3" t="str">
        <f t="shared" si="235"/>
        <v/>
      </c>
      <c r="Q749" s="3" t="str">
        <f t="shared" si="226"/>
        <v/>
      </c>
      <c r="R749" s="3" t="str">
        <f t="shared" si="236"/>
        <v/>
      </c>
      <c r="S749" s="3" t="str">
        <f t="shared" si="237"/>
        <v/>
      </c>
      <c r="T749" s="4" t="str">
        <f t="shared" si="238"/>
        <v/>
      </c>
      <c r="U749" s="5" t="str">
        <f t="shared" si="239"/>
        <v/>
      </c>
      <c r="V749" s="7" t="str">
        <f>IF(W749="","",IF(LOOKUP(W749,'Extration 3E date commande'!$A$6:$A$10000)=W749,LOOKUP(W749,'Extration 3E date commande'!$A$6:$A$10000,'Extration 3E date commande'!$C$6:$C$10000),"PAS DE DATE"))</f>
        <v/>
      </c>
    </row>
    <row r="750" spans="1:22" x14ac:dyDescent="0.25">
      <c r="A750" s="3" t="str">
        <f t="shared" si="227"/>
        <v/>
      </c>
      <c r="B750" s="3" t="str">
        <f t="shared" si="228"/>
        <v/>
      </c>
      <c r="C750" s="3" t="str">
        <f t="shared" si="225"/>
        <v/>
      </c>
      <c r="D750" s="3" t="str">
        <f t="shared" si="229"/>
        <v/>
      </c>
      <c r="E750" s="3" t="str">
        <f t="shared" si="223"/>
        <v/>
      </c>
      <c r="F750" s="3" t="str">
        <f t="shared" si="230"/>
        <v/>
      </c>
      <c r="G750" s="3" t="str">
        <f t="shared" si="224"/>
        <v/>
      </c>
      <c r="H750" s="3" t="str">
        <f t="shared" si="231"/>
        <v/>
      </c>
      <c r="I750" s="3" t="str">
        <f t="shared" si="232"/>
        <v/>
      </c>
      <c r="J750" s="2" t="str">
        <f t="shared" si="233"/>
        <v/>
      </c>
      <c r="K750" s="2" t="str">
        <f>IF(W750="","",LOOKUP('Extraction edi'!J750,Paramètrage!$A$6:$A$179,Paramètrage!$B$6:$B$179))</f>
        <v/>
      </c>
      <c r="L750" s="2" t="str">
        <f>IF(W750="","",LOOKUP('Extraction edi'!J750,Paramètrage!$A$6:$A$179,Paramètrage!$C$6:$C$179))</f>
        <v/>
      </c>
      <c r="M750" s="2" t="str">
        <f>IF(W750="","",LOOKUP('Extraction edi'!J750,Paramètrage!$A$6:$A$179,Paramètrage!$D$6:$D$179))</f>
        <v/>
      </c>
      <c r="N750" s="3" t="str">
        <f>IF(W750="","",LOOKUP('Extraction edi'!J750,Paramètrage!$A$6:$A$179,Paramètrage!$E$6:$E$179))</f>
        <v/>
      </c>
      <c r="O750" s="3" t="str">
        <f t="shared" si="234"/>
        <v/>
      </c>
      <c r="P750" s="3" t="str">
        <f t="shared" si="235"/>
        <v/>
      </c>
      <c r="Q750" s="3" t="str">
        <f t="shared" si="226"/>
        <v/>
      </c>
      <c r="R750" s="3" t="str">
        <f t="shared" si="236"/>
        <v/>
      </c>
      <c r="S750" s="3" t="str">
        <f t="shared" si="237"/>
        <v/>
      </c>
      <c r="T750" s="4" t="str">
        <f t="shared" si="238"/>
        <v/>
      </c>
      <c r="U750" s="5" t="str">
        <f t="shared" si="239"/>
        <v/>
      </c>
      <c r="V750" s="7" t="str">
        <f>IF(W750="","",IF(LOOKUP(W750,'Extration 3E date commande'!$A$6:$A$10000)=W750,LOOKUP(W750,'Extration 3E date commande'!$A$6:$A$10000,'Extration 3E date commande'!$C$6:$C$10000),"PAS DE DATE"))</f>
        <v/>
      </c>
    </row>
    <row r="751" spans="1:22" x14ac:dyDescent="0.25">
      <c r="A751" s="3" t="str">
        <f t="shared" si="227"/>
        <v/>
      </c>
      <c r="B751" s="3" t="str">
        <f t="shared" si="228"/>
        <v/>
      </c>
      <c r="C751" s="3" t="str">
        <f t="shared" si="225"/>
        <v/>
      </c>
      <c r="D751" s="3" t="str">
        <f t="shared" si="229"/>
        <v/>
      </c>
      <c r="E751" s="3" t="str">
        <f t="shared" si="223"/>
        <v/>
      </c>
      <c r="F751" s="3" t="str">
        <f t="shared" si="230"/>
        <v/>
      </c>
      <c r="G751" s="3" t="str">
        <f t="shared" si="224"/>
        <v/>
      </c>
      <c r="H751" s="3" t="str">
        <f t="shared" si="231"/>
        <v/>
      </c>
      <c r="I751" s="3" t="str">
        <f t="shared" si="232"/>
        <v/>
      </c>
      <c r="J751" s="2" t="str">
        <f t="shared" si="233"/>
        <v/>
      </c>
      <c r="K751" s="2" t="str">
        <f>IF(W751="","",LOOKUP('Extraction edi'!J751,Paramètrage!$A$6:$A$179,Paramètrage!$B$6:$B$179))</f>
        <v/>
      </c>
      <c r="L751" s="2" t="str">
        <f>IF(W751="","",LOOKUP('Extraction edi'!J751,Paramètrage!$A$6:$A$179,Paramètrage!$C$6:$C$179))</f>
        <v/>
      </c>
      <c r="M751" s="2" t="str">
        <f>IF(W751="","",LOOKUP('Extraction edi'!J751,Paramètrage!$A$6:$A$179,Paramètrage!$D$6:$D$179))</f>
        <v/>
      </c>
      <c r="N751" s="3" t="str">
        <f>IF(W751="","",LOOKUP('Extraction edi'!J751,Paramètrage!$A$6:$A$179,Paramètrage!$E$6:$E$179))</f>
        <v/>
      </c>
      <c r="O751" s="3" t="str">
        <f t="shared" si="234"/>
        <v/>
      </c>
      <c r="P751" s="3" t="str">
        <f t="shared" si="235"/>
        <v/>
      </c>
      <c r="Q751" s="3" t="str">
        <f t="shared" si="226"/>
        <v/>
      </c>
      <c r="R751" s="3" t="str">
        <f t="shared" si="236"/>
        <v/>
      </c>
      <c r="S751" s="3" t="str">
        <f t="shared" si="237"/>
        <v/>
      </c>
      <c r="T751" s="4" t="str">
        <f t="shared" si="238"/>
        <v/>
      </c>
      <c r="U751" s="5" t="str">
        <f t="shared" si="239"/>
        <v/>
      </c>
      <c r="V751" s="7" t="str">
        <f>IF(W751="","",IF(LOOKUP(W751,'Extration 3E date commande'!$A$6:$A$10000)=W751,LOOKUP(W751,'Extration 3E date commande'!$A$6:$A$10000,'Extration 3E date commande'!$C$6:$C$10000),"PAS DE DATE"))</f>
        <v/>
      </c>
    </row>
    <row r="752" spans="1:22" x14ac:dyDescent="0.25">
      <c r="A752" s="3" t="str">
        <f t="shared" si="227"/>
        <v/>
      </c>
      <c r="B752" s="3" t="str">
        <f t="shared" si="228"/>
        <v/>
      </c>
      <c r="C752" s="3" t="str">
        <f t="shared" si="225"/>
        <v/>
      </c>
      <c r="D752" s="3" t="str">
        <f t="shared" si="229"/>
        <v/>
      </c>
      <c r="E752" s="3" t="str">
        <f t="shared" si="223"/>
        <v/>
      </c>
      <c r="F752" s="3" t="str">
        <f t="shared" si="230"/>
        <v/>
      </c>
      <c r="G752" s="3" t="str">
        <f t="shared" si="224"/>
        <v/>
      </c>
      <c r="H752" s="3" t="str">
        <f t="shared" si="231"/>
        <v/>
      </c>
      <c r="I752" s="3" t="str">
        <f t="shared" si="232"/>
        <v/>
      </c>
      <c r="J752" s="2" t="str">
        <f t="shared" si="233"/>
        <v/>
      </c>
      <c r="K752" s="2" t="str">
        <f>IF(W752="","",LOOKUP('Extraction edi'!J752,Paramètrage!$A$6:$A$179,Paramètrage!$B$6:$B$179))</f>
        <v/>
      </c>
      <c r="L752" s="2" t="str">
        <f>IF(W752="","",LOOKUP('Extraction edi'!J752,Paramètrage!$A$6:$A$179,Paramètrage!$C$6:$C$179))</f>
        <v/>
      </c>
      <c r="M752" s="2" t="str">
        <f>IF(W752="","",LOOKUP('Extraction edi'!J752,Paramètrage!$A$6:$A$179,Paramètrage!$D$6:$D$179))</f>
        <v/>
      </c>
      <c r="N752" s="3" t="str">
        <f>IF(W752="","",LOOKUP('Extraction edi'!J752,Paramètrage!$A$6:$A$179,Paramètrage!$E$6:$E$179))</f>
        <v/>
      </c>
      <c r="O752" s="3" t="str">
        <f t="shared" si="234"/>
        <v/>
      </c>
      <c r="P752" s="3" t="str">
        <f t="shared" si="235"/>
        <v/>
      </c>
      <c r="Q752" s="3" t="str">
        <f t="shared" si="226"/>
        <v/>
      </c>
      <c r="R752" s="3" t="str">
        <f t="shared" si="236"/>
        <v/>
      </c>
      <c r="S752" s="3" t="str">
        <f t="shared" si="237"/>
        <v/>
      </c>
      <c r="T752" s="4" t="str">
        <f t="shared" si="238"/>
        <v/>
      </c>
      <c r="U752" s="5" t="str">
        <f t="shared" si="239"/>
        <v/>
      </c>
      <c r="V752" s="7" t="str">
        <f>IF(W752="","",IF(LOOKUP(W752,'Extration 3E date commande'!$A$6:$A$10000)=W752,LOOKUP(W752,'Extration 3E date commande'!$A$6:$A$10000,'Extration 3E date commande'!$C$6:$C$10000),"PAS DE DATE"))</f>
        <v/>
      </c>
    </row>
    <row r="753" spans="1:22" x14ac:dyDescent="0.25">
      <c r="A753" s="3" t="str">
        <f t="shared" si="227"/>
        <v/>
      </c>
      <c r="B753" s="3" t="str">
        <f t="shared" si="228"/>
        <v/>
      </c>
      <c r="C753" s="3" t="str">
        <f t="shared" si="225"/>
        <v/>
      </c>
      <c r="D753" s="3" t="str">
        <f t="shared" si="229"/>
        <v/>
      </c>
      <c r="E753" s="3" t="str">
        <f t="shared" si="223"/>
        <v/>
      </c>
      <c r="F753" s="3" t="str">
        <f t="shared" si="230"/>
        <v/>
      </c>
      <c r="G753" s="3" t="str">
        <f t="shared" si="224"/>
        <v/>
      </c>
      <c r="H753" s="3" t="str">
        <f t="shared" si="231"/>
        <v/>
      </c>
      <c r="I753" s="3" t="str">
        <f t="shared" si="232"/>
        <v/>
      </c>
      <c r="J753" s="2" t="str">
        <f t="shared" si="233"/>
        <v/>
      </c>
      <c r="K753" s="2" t="str">
        <f>IF(W753="","",LOOKUP('Extraction edi'!J753,Paramètrage!$A$6:$A$179,Paramètrage!$B$6:$B$179))</f>
        <v/>
      </c>
      <c r="L753" s="2" t="str">
        <f>IF(W753="","",LOOKUP('Extraction edi'!J753,Paramètrage!$A$6:$A$179,Paramètrage!$C$6:$C$179))</f>
        <v/>
      </c>
      <c r="M753" s="2" t="str">
        <f>IF(W753="","",LOOKUP('Extraction edi'!J753,Paramètrage!$A$6:$A$179,Paramètrage!$D$6:$D$179))</f>
        <v/>
      </c>
      <c r="N753" s="3" t="str">
        <f>IF(W753="","",LOOKUP('Extraction edi'!J753,Paramètrage!$A$6:$A$179,Paramètrage!$E$6:$E$179))</f>
        <v/>
      </c>
      <c r="O753" s="3" t="str">
        <f t="shared" si="234"/>
        <v/>
      </c>
      <c r="P753" s="3" t="str">
        <f t="shared" si="235"/>
        <v/>
      </c>
      <c r="Q753" s="3" t="str">
        <f t="shared" si="226"/>
        <v/>
      </c>
      <c r="R753" s="3" t="str">
        <f t="shared" si="236"/>
        <v/>
      </c>
      <c r="S753" s="3" t="str">
        <f t="shared" si="237"/>
        <v/>
      </c>
      <c r="T753" s="4" t="str">
        <f t="shared" si="238"/>
        <v/>
      </c>
      <c r="U753" s="5" t="str">
        <f t="shared" si="239"/>
        <v/>
      </c>
      <c r="V753" s="7" t="str">
        <f>IF(W753="","",IF(LOOKUP(W753,'Extration 3E date commande'!$A$6:$A$10000)=W753,LOOKUP(W753,'Extration 3E date commande'!$A$6:$A$10000,'Extration 3E date commande'!$C$6:$C$10000),"PAS DE DATE"))</f>
        <v/>
      </c>
    </row>
    <row r="754" spans="1:22" x14ac:dyDescent="0.25">
      <c r="A754" s="3" t="str">
        <f t="shared" si="227"/>
        <v/>
      </c>
      <c r="B754" s="3" t="str">
        <f t="shared" si="228"/>
        <v/>
      </c>
      <c r="C754" s="3" t="str">
        <f t="shared" si="225"/>
        <v/>
      </c>
      <c r="D754" s="3" t="str">
        <f t="shared" si="229"/>
        <v/>
      </c>
      <c r="E754" s="3" t="str">
        <f t="shared" si="223"/>
        <v/>
      </c>
      <c r="F754" s="3" t="str">
        <f t="shared" si="230"/>
        <v/>
      </c>
      <c r="G754" s="3" t="str">
        <f t="shared" si="224"/>
        <v/>
      </c>
      <c r="H754" s="3" t="str">
        <f t="shared" si="231"/>
        <v/>
      </c>
      <c r="I754" s="3" t="str">
        <f t="shared" si="232"/>
        <v/>
      </c>
      <c r="J754" s="2" t="str">
        <f t="shared" si="233"/>
        <v/>
      </c>
      <c r="K754" s="2" t="str">
        <f>IF(W754="","",LOOKUP('Extraction edi'!J754,Paramètrage!$A$6:$A$179,Paramètrage!$B$6:$B$179))</f>
        <v/>
      </c>
      <c r="L754" s="2" t="str">
        <f>IF(W754="","",LOOKUP('Extraction edi'!J754,Paramètrage!$A$6:$A$179,Paramètrage!$C$6:$C$179))</f>
        <v/>
      </c>
      <c r="M754" s="2" t="str">
        <f>IF(W754="","",LOOKUP('Extraction edi'!J754,Paramètrage!$A$6:$A$179,Paramètrage!$D$6:$D$179))</f>
        <v/>
      </c>
      <c r="N754" s="3" t="str">
        <f>IF(W754="","",LOOKUP('Extraction edi'!J754,Paramètrage!$A$6:$A$179,Paramètrage!$E$6:$E$179))</f>
        <v/>
      </c>
      <c r="O754" s="3" t="str">
        <f t="shared" si="234"/>
        <v/>
      </c>
      <c r="P754" s="3" t="str">
        <f t="shared" si="235"/>
        <v/>
      </c>
      <c r="Q754" s="3" t="str">
        <f t="shared" si="226"/>
        <v/>
      </c>
      <c r="R754" s="3" t="str">
        <f t="shared" si="236"/>
        <v/>
      </c>
      <c r="S754" s="3" t="str">
        <f t="shared" si="237"/>
        <v/>
      </c>
      <c r="T754" s="4" t="str">
        <f t="shared" si="238"/>
        <v/>
      </c>
      <c r="U754" s="5" t="str">
        <f t="shared" si="239"/>
        <v/>
      </c>
      <c r="V754" s="7" t="str">
        <f>IF(W754="","",IF(LOOKUP(W754,'Extration 3E date commande'!$A$6:$A$10000)=W754,LOOKUP(W754,'Extration 3E date commande'!$A$6:$A$10000,'Extration 3E date commande'!$C$6:$C$10000),"PAS DE DATE"))</f>
        <v/>
      </c>
    </row>
    <row r="755" spans="1:22" x14ac:dyDescent="0.25">
      <c r="A755" s="3" t="str">
        <f t="shared" si="227"/>
        <v/>
      </c>
      <c r="B755" s="3" t="str">
        <f t="shared" si="228"/>
        <v/>
      </c>
      <c r="C755" s="3" t="str">
        <f t="shared" si="225"/>
        <v/>
      </c>
      <c r="D755" s="3" t="str">
        <f t="shared" si="229"/>
        <v/>
      </c>
      <c r="E755" s="3" t="str">
        <f t="shared" si="223"/>
        <v/>
      </c>
      <c r="F755" s="3" t="str">
        <f t="shared" si="230"/>
        <v/>
      </c>
      <c r="G755" s="3" t="str">
        <f t="shared" si="224"/>
        <v/>
      </c>
      <c r="H755" s="3" t="str">
        <f t="shared" si="231"/>
        <v/>
      </c>
      <c r="I755" s="3" t="str">
        <f t="shared" si="232"/>
        <v/>
      </c>
      <c r="J755" s="2" t="str">
        <f t="shared" si="233"/>
        <v/>
      </c>
      <c r="K755" s="2" t="str">
        <f>IF(W755="","",LOOKUP('Extraction edi'!J755,Paramètrage!$A$6:$A$179,Paramètrage!$B$6:$B$179))</f>
        <v/>
      </c>
      <c r="L755" s="2" t="str">
        <f>IF(W755="","",LOOKUP('Extraction edi'!J755,Paramètrage!$A$6:$A$179,Paramètrage!$C$6:$C$179))</f>
        <v/>
      </c>
      <c r="M755" s="2" t="str">
        <f>IF(W755="","",LOOKUP('Extraction edi'!J755,Paramètrage!$A$6:$A$179,Paramètrage!$D$6:$D$179))</f>
        <v/>
      </c>
      <c r="N755" s="3" t="str">
        <f>IF(W755="","",LOOKUP('Extraction edi'!J755,Paramètrage!$A$6:$A$179,Paramètrage!$E$6:$E$179))</f>
        <v/>
      </c>
      <c r="O755" s="3" t="str">
        <f t="shared" si="234"/>
        <v/>
      </c>
      <c r="P755" s="3" t="str">
        <f t="shared" si="235"/>
        <v/>
      </c>
      <c r="Q755" s="3" t="str">
        <f t="shared" si="226"/>
        <v/>
      </c>
      <c r="R755" s="3" t="str">
        <f t="shared" si="236"/>
        <v/>
      </c>
      <c r="S755" s="3" t="str">
        <f t="shared" si="237"/>
        <v/>
      </c>
      <c r="T755" s="4" t="str">
        <f t="shared" si="238"/>
        <v/>
      </c>
      <c r="U755" s="5" t="str">
        <f t="shared" si="239"/>
        <v/>
      </c>
      <c r="V755" s="7" t="str">
        <f>IF(W755="","",IF(LOOKUP(W755,'Extration 3E date commande'!$A$6:$A$10000)=W755,LOOKUP(W755,'Extration 3E date commande'!$A$6:$A$10000,'Extration 3E date commande'!$C$6:$C$10000),"PAS DE DATE"))</f>
        <v/>
      </c>
    </row>
    <row r="756" spans="1:22" x14ac:dyDescent="0.25">
      <c r="A756" s="3" t="str">
        <f t="shared" si="227"/>
        <v/>
      </c>
      <c r="B756" s="3" t="str">
        <f t="shared" si="228"/>
        <v/>
      </c>
      <c r="C756" s="3" t="str">
        <f t="shared" si="225"/>
        <v/>
      </c>
      <c r="D756" s="3" t="str">
        <f t="shared" si="229"/>
        <v/>
      </c>
      <c r="E756" s="3" t="str">
        <f t="shared" si="223"/>
        <v/>
      </c>
      <c r="F756" s="3" t="str">
        <f t="shared" si="230"/>
        <v/>
      </c>
      <c r="G756" s="3" t="str">
        <f t="shared" si="224"/>
        <v/>
      </c>
      <c r="H756" s="3" t="str">
        <f t="shared" si="231"/>
        <v/>
      </c>
      <c r="I756" s="3" t="str">
        <f t="shared" si="232"/>
        <v/>
      </c>
      <c r="J756" s="2" t="str">
        <f t="shared" si="233"/>
        <v/>
      </c>
      <c r="K756" s="2" t="str">
        <f>IF(W756="","",LOOKUP('Extraction edi'!J756,Paramètrage!$A$6:$A$179,Paramètrage!$B$6:$B$179))</f>
        <v/>
      </c>
      <c r="L756" s="2" t="str">
        <f>IF(W756="","",LOOKUP('Extraction edi'!J756,Paramètrage!$A$6:$A$179,Paramètrage!$C$6:$C$179))</f>
        <v/>
      </c>
      <c r="M756" s="2" t="str">
        <f>IF(W756="","",LOOKUP('Extraction edi'!J756,Paramètrage!$A$6:$A$179,Paramètrage!$D$6:$D$179))</f>
        <v/>
      </c>
      <c r="N756" s="3" t="str">
        <f>IF(W756="","",LOOKUP('Extraction edi'!J756,Paramètrage!$A$6:$A$179,Paramètrage!$E$6:$E$179))</f>
        <v/>
      </c>
      <c r="O756" s="3" t="str">
        <f t="shared" si="234"/>
        <v/>
      </c>
      <c r="P756" s="3" t="str">
        <f t="shared" si="235"/>
        <v/>
      </c>
      <c r="Q756" s="3" t="str">
        <f t="shared" si="226"/>
        <v/>
      </c>
      <c r="R756" s="3" t="str">
        <f t="shared" si="236"/>
        <v/>
      </c>
      <c r="S756" s="3" t="str">
        <f t="shared" si="237"/>
        <v/>
      </c>
      <c r="T756" s="4" t="str">
        <f t="shared" si="238"/>
        <v/>
      </c>
      <c r="U756" s="5" t="str">
        <f t="shared" si="239"/>
        <v/>
      </c>
      <c r="V756" s="7" t="str">
        <f>IF(W756="","",IF(LOOKUP(W756,'Extration 3E date commande'!$A$6:$A$10000)=W756,LOOKUP(W756,'Extration 3E date commande'!$A$6:$A$10000,'Extration 3E date commande'!$C$6:$C$10000),"PAS DE DATE"))</f>
        <v/>
      </c>
    </row>
    <row r="757" spans="1:22" x14ac:dyDescent="0.25">
      <c r="A757" s="3" t="str">
        <f t="shared" si="227"/>
        <v/>
      </c>
      <c r="B757" s="3" t="str">
        <f t="shared" si="228"/>
        <v/>
      </c>
      <c r="C757" s="3" t="str">
        <f t="shared" si="225"/>
        <v/>
      </c>
      <c r="D757" s="3" t="str">
        <f t="shared" si="229"/>
        <v/>
      </c>
      <c r="E757" s="3" t="str">
        <f t="shared" si="223"/>
        <v/>
      </c>
      <c r="F757" s="3" t="str">
        <f t="shared" si="230"/>
        <v/>
      </c>
      <c r="G757" s="3" t="str">
        <f t="shared" si="224"/>
        <v/>
      </c>
      <c r="H757" s="3" t="str">
        <f t="shared" si="231"/>
        <v/>
      </c>
      <c r="I757" s="3" t="str">
        <f t="shared" si="232"/>
        <v/>
      </c>
      <c r="J757" s="2" t="str">
        <f t="shared" si="233"/>
        <v/>
      </c>
      <c r="K757" s="2" t="str">
        <f>IF(W757="","",LOOKUP('Extraction edi'!J757,Paramètrage!$A$6:$A$179,Paramètrage!$B$6:$B$179))</f>
        <v/>
      </c>
      <c r="L757" s="2" t="str">
        <f>IF(W757="","",LOOKUP('Extraction edi'!J757,Paramètrage!$A$6:$A$179,Paramètrage!$C$6:$C$179))</f>
        <v/>
      </c>
      <c r="M757" s="2" t="str">
        <f>IF(W757="","",LOOKUP('Extraction edi'!J757,Paramètrage!$A$6:$A$179,Paramètrage!$D$6:$D$179))</f>
        <v/>
      </c>
      <c r="N757" s="3" t="str">
        <f>IF(W757="","",LOOKUP('Extraction edi'!J757,Paramètrage!$A$6:$A$179,Paramètrage!$E$6:$E$179))</f>
        <v/>
      </c>
      <c r="O757" s="3" t="str">
        <f t="shared" si="234"/>
        <v/>
      </c>
      <c r="P757" s="3" t="str">
        <f t="shared" si="235"/>
        <v/>
      </c>
      <c r="Q757" s="3" t="str">
        <f t="shared" si="226"/>
        <v/>
      </c>
      <c r="R757" s="3" t="str">
        <f t="shared" si="236"/>
        <v/>
      </c>
      <c r="S757" s="3" t="str">
        <f t="shared" si="237"/>
        <v/>
      </c>
      <c r="T757" s="4" t="str">
        <f t="shared" si="238"/>
        <v/>
      </c>
      <c r="U757" s="5" t="str">
        <f t="shared" si="239"/>
        <v/>
      </c>
      <c r="V757" s="7" t="str">
        <f>IF(W757="","",IF(LOOKUP(W757,'Extration 3E date commande'!$A$6:$A$10000)=W757,LOOKUP(W757,'Extration 3E date commande'!$A$6:$A$10000,'Extration 3E date commande'!$C$6:$C$10000),"PAS DE DATE"))</f>
        <v/>
      </c>
    </row>
    <row r="758" spans="1:22" x14ac:dyDescent="0.25">
      <c r="A758" s="3" t="str">
        <f t="shared" si="227"/>
        <v/>
      </c>
      <c r="B758" s="3" t="str">
        <f t="shared" si="228"/>
        <v/>
      </c>
      <c r="C758" s="3" t="str">
        <f t="shared" si="225"/>
        <v/>
      </c>
      <c r="D758" s="3" t="str">
        <f t="shared" si="229"/>
        <v/>
      </c>
      <c r="E758" s="3" t="str">
        <f t="shared" si="223"/>
        <v/>
      </c>
      <c r="F758" s="3" t="str">
        <f t="shared" si="230"/>
        <v/>
      </c>
      <c r="G758" s="3" t="str">
        <f t="shared" si="224"/>
        <v/>
      </c>
      <c r="H758" s="3" t="str">
        <f t="shared" si="231"/>
        <v/>
      </c>
      <c r="I758" s="3" t="str">
        <f t="shared" si="232"/>
        <v/>
      </c>
      <c r="J758" s="2" t="str">
        <f t="shared" si="233"/>
        <v/>
      </c>
      <c r="K758" s="2" t="str">
        <f>IF(W758="","",LOOKUP('Extraction edi'!J758,Paramètrage!$A$6:$A$179,Paramètrage!$B$6:$B$179))</f>
        <v/>
      </c>
      <c r="L758" s="2" t="str">
        <f>IF(W758="","",LOOKUP('Extraction edi'!J758,Paramètrage!$A$6:$A$179,Paramètrage!$C$6:$C$179))</f>
        <v/>
      </c>
      <c r="M758" s="2" t="str">
        <f>IF(W758="","",LOOKUP('Extraction edi'!J758,Paramètrage!$A$6:$A$179,Paramètrage!$D$6:$D$179))</f>
        <v/>
      </c>
      <c r="N758" s="3" t="str">
        <f>IF(W758="","",LOOKUP('Extraction edi'!J758,Paramètrage!$A$6:$A$179,Paramètrage!$E$6:$E$179))</f>
        <v/>
      </c>
      <c r="O758" s="3" t="str">
        <f t="shared" si="234"/>
        <v/>
      </c>
      <c r="P758" s="3" t="str">
        <f t="shared" si="235"/>
        <v/>
      </c>
      <c r="Q758" s="3" t="str">
        <f t="shared" si="226"/>
        <v/>
      </c>
      <c r="R758" s="3" t="str">
        <f t="shared" si="236"/>
        <v/>
      </c>
      <c r="S758" s="3" t="str">
        <f t="shared" si="237"/>
        <v/>
      </c>
      <c r="T758" s="4" t="str">
        <f t="shared" si="238"/>
        <v/>
      </c>
      <c r="U758" s="5" t="str">
        <f t="shared" si="239"/>
        <v/>
      </c>
      <c r="V758" s="7" t="str">
        <f>IF(W758="","",IF(LOOKUP(W758,'Extration 3E date commande'!$A$6:$A$10000)=W758,LOOKUP(W758,'Extration 3E date commande'!$A$6:$A$10000,'Extration 3E date commande'!$C$6:$C$10000),"PAS DE DATE"))</f>
        <v/>
      </c>
    </row>
    <row r="759" spans="1:22" x14ac:dyDescent="0.25">
      <c r="A759" s="3" t="str">
        <f t="shared" si="227"/>
        <v/>
      </c>
      <c r="B759" s="3" t="str">
        <f t="shared" si="228"/>
        <v/>
      </c>
      <c r="C759" s="3" t="str">
        <f t="shared" si="225"/>
        <v/>
      </c>
      <c r="D759" s="3" t="str">
        <f t="shared" si="229"/>
        <v/>
      </c>
      <c r="E759" s="3" t="str">
        <f t="shared" si="223"/>
        <v/>
      </c>
      <c r="F759" s="3" t="str">
        <f t="shared" si="230"/>
        <v/>
      </c>
      <c r="G759" s="3" t="str">
        <f t="shared" si="224"/>
        <v/>
      </c>
      <c r="H759" s="3" t="str">
        <f t="shared" si="231"/>
        <v/>
      </c>
      <c r="I759" s="3" t="str">
        <f t="shared" si="232"/>
        <v/>
      </c>
      <c r="J759" s="2" t="str">
        <f t="shared" si="233"/>
        <v/>
      </c>
      <c r="K759" s="2" t="str">
        <f>IF(W759="","",LOOKUP('Extraction edi'!J759,Paramètrage!$A$6:$A$179,Paramètrage!$B$6:$B$179))</f>
        <v/>
      </c>
      <c r="L759" s="2" t="str">
        <f>IF(W759="","",LOOKUP('Extraction edi'!J759,Paramètrage!$A$6:$A$179,Paramètrage!$C$6:$C$179))</f>
        <v/>
      </c>
      <c r="M759" s="2" t="str">
        <f>IF(W759="","",LOOKUP('Extraction edi'!J759,Paramètrage!$A$6:$A$179,Paramètrage!$D$6:$D$179))</f>
        <v/>
      </c>
      <c r="N759" s="3" t="str">
        <f>IF(W759="","",LOOKUP('Extraction edi'!J759,Paramètrage!$A$6:$A$179,Paramètrage!$E$6:$E$179))</f>
        <v/>
      </c>
      <c r="O759" s="3" t="str">
        <f t="shared" si="234"/>
        <v/>
      </c>
      <c r="P759" s="3" t="str">
        <f t="shared" si="235"/>
        <v/>
      </c>
      <c r="Q759" s="3" t="str">
        <f t="shared" si="226"/>
        <v/>
      </c>
      <c r="R759" s="3" t="str">
        <f t="shared" si="236"/>
        <v/>
      </c>
      <c r="S759" s="3" t="str">
        <f t="shared" si="237"/>
        <v/>
      </c>
      <c r="T759" s="4" t="str">
        <f t="shared" si="238"/>
        <v/>
      </c>
      <c r="U759" s="5" t="str">
        <f t="shared" si="239"/>
        <v/>
      </c>
      <c r="V759" s="7" t="str">
        <f>IF(W759="","",IF(LOOKUP(W759,'Extration 3E date commande'!$A$6:$A$10000)=W759,LOOKUP(W759,'Extration 3E date commande'!$A$6:$A$10000,'Extration 3E date commande'!$C$6:$C$10000),"PAS DE DATE"))</f>
        <v/>
      </c>
    </row>
    <row r="760" spans="1:22" x14ac:dyDescent="0.25">
      <c r="A760" s="3" t="str">
        <f t="shared" si="227"/>
        <v/>
      </c>
      <c r="B760" s="3" t="str">
        <f t="shared" si="228"/>
        <v/>
      </c>
      <c r="C760" s="3" t="str">
        <f t="shared" si="225"/>
        <v/>
      </c>
      <c r="D760" s="3" t="str">
        <f t="shared" si="229"/>
        <v/>
      </c>
      <c r="E760" s="3" t="str">
        <f t="shared" si="223"/>
        <v/>
      </c>
      <c r="F760" s="3" t="str">
        <f t="shared" si="230"/>
        <v/>
      </c>
      <c r="G760" s="3" t="str">
        <f t="shared" si="224"/>
        <v/>
      </c>
      <c r="H760" s="3" t="str">
        <f t="shared" si="231"/>
        <v/>
      </c>
      <c r="I760" s="3" t="str">
        <f t="shared" si="232"/>
        <v/>
      </c>
      <c r="J760" s="2" t="str">
        <f t="shared" si="233"/>
        <v/>
      </c>
      <c r="K760" s="2" t="str">
        <f>IF(W760="","",LOOKUP('Extraction edi'!J760,Paramètrage!$A$6:$A$179,Paramètrage!$B$6:$B$179))</f>
        <v/>
      </c>
      <c r="L760" s="2" t="str">
        <f>IF(W760="","",LOOKUP('Extraction edi'!J760,Paramètrage!$A$6:$A$179,Paramètrage!$C$6:$C$179))</f>
        <v/>
      </c>
      <c r="M760" s="2" t="str">
        <f>IF(W760="","",LOOKUP('Extraction edi'!J760,Paramètrage!$A$6:$A$179,Paramètrage!$D$6:$D$179))</f>
        <v/>
      </c>
      <c r="N760" s="3" t="str">
        <f>IF(W760="","",LOOKUP('Extraction edi'!J760,Paramètrage!$A$6:$A$179,Paramètrage!$E$6:$E$179))</f>
        <v/>
      </c>
      <c r="O760" s="3" t="str">
        <f t="shared" si="234"/>
        <v/>
      </c>
      <c r="P760" s="3" t="str">
        <f t="shared" si="235"/>
        <v/>
      </c>
      <c r="Q760" s="3" t="str">
        <f t="shared" si="226"/>
        <v/>
      </c>
      <c r="R760" s="3" t="str">
        <f t="shared" si="236"/>
        <v/>
      </c>
      <c r="S760" s="3" t="str">
        <f t="shared" si="237"/>
        <v/>
      </c>
      <c r="T760" s="4" t="str">
        <f t="shared" si="238"/>
        <v/>
      </c>
      <c r="U760" s="5" t="str">
        <f t="shared" si="239"/>
        <v/>
      </c>
      <c r="V760" s="7" t="str">
        <f>IF(W760="","",IF(LOOKUP(W760,'Extration 3E date commande'!$A$6:$A$10000)=W760,LOOKUP(W760,'Extration 3E date commande'!$A$6:$A$10000,'Extration 3E date commande'!$C$6:$C$10000),"PAS DE DATE"))</f>
        <v/>
      </c>
    </row>
    <row r="761" spans="1:22" x14ac:dyDescent="0.25">
      <c r="A761" s="3" t="str">
        <f t="shared" si="227"/>
        <v/>
      </c>
      <c r="B761" s="3" t="str">
        <f t="shared" si="228"/>
        <v/>
      </c>
      <c r="C761" s="3" t="str">
        <f t="shared" si="225"/>
        <v/>
      </c>
      <c r="D761" s="3" t="str">
        <f t="shared" si="229"/>
        <v/>
      </c>
      <c r="E761" s="3" t="str">
        <f t="shared" si="223"/>
        <v/>
      </c>
      <c r="F761" s="3" t="str">
        <f t="shared" si="230"/>
        <v/>
      </c>
      <c r="G761" s="3" t="str">
        <f t="shared" si="224"/>
        <v/>
      </c>
      <c r="H761" s="3" t="str">
        <f t="shared" si="231"/>
        <v/>
      </c>
      <c r="I761" s="3" t="str">
        <f t="shared" si="232"/>
        <v/>
      </c>
      <c r="J761" s="2" t="str">
        <f t="shared" si="233"/>
        <v/>
      </c>
      <c r="K761" s="2" t="str">
        <f>IF(W761="","",LOOKUP('Extraction edi'!J761,Paramètrage!$A$6:$A$179,Paramètrage!$B$6:$B$179))</f>
        <v/>
      </c>
      <c r="L761" s="2" t="str">
        <f>IF(W761="","",LOOKUP('Extraction edi'!J761,Paramètrage!$A$6:$A$179,Paramètrage!$C$6:$C$179))</f>
        <v/>
      </c>
      <c r="M761" s="2" t="str">
        <f>IF(W761="","",LOOKUP('Extraction edi'!J761,Paramètrage!$A$6:$A$179,Paramètrage!$D$6:$D$179))</f>
        <v/>
      </c>
      <c r="N761" s="3" t="str">
        <f>IF(W761="","",LOOKUP('Extraction edi'!J761,Paramètrage!$A$6:$A$179,Paramètrage!$E$6:$E$179))</f>
        <v/>
      </c>
      <c r="O761" s="3" t="str">
        <f t="shared" si="234"/>
        <v/>
      </c>
      <c r="P761" s="3" t="str">
        <f t="shared" si="235"/>
        <v/>
      </c>
      <c r="Q761" s="3" t="str">
        <f t="shared" si="226"/>
        <v/>
      </c>
      <c r="R761" s="3" t="str">
        <f t="shared" si="236"/>
        <v/>
      </c>
      <c r="S761" s="3" t="str">
        <f t="shared" si="237"/>
        <v/>
      </c>
      <c r="T761" s="4" t="str">
        <f t="shared" si="238"/>
        <v/>
      </c>
      <c r="U761" s="5" t="str">
        <f t="shared" si="239"/>
        <v/>
      </c>
      <c r="V761" s="7" t="str">
        <f>IF(W761="","",IF(LOOKUP(W761,'Extration 3E date commande'!$A$6:$A$10000)=W761,LOOKUP(W761,'Extration 3E date commande'!$A$6:$A$10000,'Extration 3E date commande'!$C$6:$C$10000),"PAS DE DATE"))</f>
        <v/>
      </c>
    </row>
    <row r="762" spans="1:22" x14ac:dyDescent="0.25">
      <c r="A762" s="3" t="str">
        <f t="shared" si="227"/>
        <v/>
      </c>
      <c r="B762" s="3" t="str">
        <f t="shared" si="228"/>
        <v/>
      </c>
      <c r="C762" s="3" t="str">
        <f t="shared" si="225"/>
        <v/>
      </c>
      <c r="D762" s="3" t="str">
        <f t="shared" si="229"/>
        <v/>
      </c>
      <c r="E762" s="3" t="str">
        <f t="shared" si="223"/>
        <v/>
      </c>
      <c r="F762" s="3" t="str">
        <f t="shared" si="230"/>
        <v/>
      </c>
      <c r="G762" s="3" t="str">
        <f t="shared" si="224"/>
        <v/>
      </c>
      <c r="H762" s="3" t="str">
        <f t="shared" si="231"/>
        <v/>
      </c>
      <c r="I762" s="3" t="str">
        <f t="shared" si="232"/>
        <v/>
      </c>
      <c r="J762" s="2" t="str">
        <f t="shared" si="233"/>
        <v/>
      </c>
      <c r="K762" s="2" t="str">
        <f>IF(W762="","",LOOKUP('Extraction edi'!J762,Paramètrage!$A$6:$A$179,Paramètrage!$B$6:$B$179))</f>
        <v/>
      </c>
      <c r="L762" s="2" t="str">
        <f>IF(W762="","",LOOKUP('Extraction edi'!J762,Paramètrage!$A$6:$A$179,Paramètrage!$C$6:$C$179))</f>
        <v/>
      </c>
      <c r="M762" s="2" t="str">
        <f>IF(W762="","",LOOKUP('Extraction edi'!J762,Paramètrage!$A$6:$A$179,Paramètrage!$D$6:$D$179))</f>
        <v/>
      </c>
      <c r="N762" s="3" t="str">
        <f>IF(W762="","",LOOKUP('Extraction edi'!J762,Paramètrage!$A$6:$A$179,Paramètrage!$E$6:$E$179))</f>
        <v/>
      </c>
      <c r="O762" s="3" t="str">
        <f t="shared" si="234"/>
        <v/>
      </c>
      <c r="P762" s="3" t="str">
        <f t="shared" si="235"/>
        <v/>
      </c>
      <c r="Q762" s="3" t="str">
        <f t="shared" si="226"/>
        <v/>
      </c>
      <c r="R762" s="3" t="str">
        <f t="shared" si="236"/>
        <v/>
      </c>
      <c r="S762" s="3" t="str">
        <f t="shared" si="237"/>
        <v/>
      </c>
      <c r="T762" s="4" t="str">
        <f t="shared" si="238"/>
        <v/>
      </c>
      <c r="U762" s="5" t="str">
        <f t="shared" si="239"/>
        <v/>
      </c>
      <c r="V762" s="7" t="str">
        <f>IF(W762="","",IF(LOOKUP(W762,'Extration 3E date commande'!$A$6:$A$10000)=W762,LOOKUP(W762,'Extration 3E date commande'!$A$6:$A$10000,'Extration 3E date commande'!$C$6:$C$10000),"PAS DE DATE"))</f>
        <v/>
      </c>
    </row>
    <row r="763" spans="1:22" x14ac:dyDescent="0.25">
      <c r="A763" s="3" t="str">
        <f t="shared" si="227"/>
        <v/>
      </c>
      <c r="B763" s="3" t="str">
        <f t="shared" si="228"/>
        <v/>
      </c>
      <c r="C763" s="3" t="str">
        <f t="shared" si="225"/>
        <v/>
      </c>
      <c r="D763" s="3" t="str">
        <f t="shared" si="229"/>
        <v/>
      </c>
      <c r="E763" s="3" t="str">
        <f t="shared" si="223"/>
        <v/>
      </c>
      <c r="F763" s="3" t="str">
        <f t="shared" si="230"/>
        <v/>
      </c>
      <c r="G763" s="3" t="str">
        <f t="shared" si="224"/>
        <v/>
      </c>
      <c r="H763" s="3" t="str">
        <f t="shared" si="231"/>
        <v/>
      </c>
      <c r="I763" s="3" t="str">
        <f t="shared" si="232"/>
        <v/>
      </c>
      <c r="J763" s="2" t="str">
        <f t="shared" si="233"/>
        <v/>
      </c>
      <c r="K763" s="2" t="str">
        <f>IF(W763="","",LOOKUP('Extraction edi'!J763,Paramètrage!$A$6:$A$179,Paramètrage!$B$6:$B$179))</f>
        <v/>
      </c>
      <c r="L763" s="2" t="str">
        <f>IF(W763="","",LOOKUP('Extraction edi'!J763,Paramètrage!$A$6:$A$179,Paramètrage!$C$6:$C$179))</f>
        <v/>
      </c>
      <c r="M763" s="2" t="str">
        <f>IF(W763="","",LOOKUP('Extraction edi'!J763,Paramètrage!$A$6:$A$179,Paramètrage!$D$6:$D$179))</f>
        <v/>
      </c>
      <c r="N763" s="3" t="str">
        <f>IF(W763="","",LOOKUP('Extraction edi'!J763,Paramètrage!$A$6:$A$179,Paramètrage!$E$6:$E$179))</f>
        <v/>
      </c>
      <c r="O763" s="3" t="str">
        <f t="shared" si="234"/>
        <v/>
      </c>
      <c r="P763" s="3" t="str">
        <f t="shared" si="235"/>
        <v/>
      </c>
      <c r="Q763" s="3" t="str">
        <f t="shared" si="226"/>
        <v/>
      </c>
      <c r="R763" s="3" t="str">
        <f t="shared" si="236"/>
        <v/>
      </c>
      <c r="S763" s="3" t="str">
        <f t="shared" si="237"/>
        <v/>
      </c>
      <c r="T763" s="4" t="str">
        <f t="shared" si="238"/>
        <v/>
      </c>
      <c r="U763" s="5" t="str">
        <f t="shared" si="239"/>
        <v/>
      </c>
      <c r="V763" s="7" t="str">
        <f>IF(W763="","",IF(LOOKUP(W763,'Extration 3E date commande'!$A$6:$A$10000)=W763,LOOKUP(W763,'Extration 3E date commande'!$A$6:$A$10000,'Extration 3E date commande'!$C$6:$C$10000),"PAS DE DATE"))</f>
        <v/>
      </c>
    </row>
    <row r="764" spans="1:22" x14ac:dyDescent="0.25">
      <c r="A764" s="3" t="str">
        <f t="shared" si="227"/>
        <v/>
      </c>
      <c r="B764" s="3" t="str">
        <f t="shared" si="228"/>
        <v/>
      </c>
      <c r="C764" s="3" t="str">
        <f t="shared" si="225"/>
        <v/>
      </c>
      <c r="D764" s="3" t="str">
        <f t="shared" si="229"/>
        <v/>
      </c>
      <c r="E764" s="3" t="str">
        <f t="shared" si="223"/>
        <v/>
      </c>
      <c r="F764" s="3" t="str">
        <f t="shared" si="230"/>
        <v/>
      </c>
      <c r="G764" s="3" t="str">
        <f t="shared" si="224"/>
        <v/>
      </c>
      <c r="H764" s="3" t="str">
        <f t="shared" si="231"/>
        <v/>
      </c>
      <c r="I764" s="3" t="str">
        <f t="shared" si="232"/>
        <v/>
      </c>
      <c r="J764" s="2" t="str">
        <f t="shared" si="233"/>
        <v/>
      </c>
      <c r="K764" s="2" t="str">
        <f>IF(W764="","",LOOKUP('Extraction edi'!J764,Paramètrage!$A$6:$A$179,Paramètrage!$B$6:$B$179))</f>
        <v/>
      </c>
      <c r="L764" s="2" t="str">
        <f>IF(W764="","",LOOKUP('Extraction edi'!J764,Paramètrage!$A$6:$A$179,Paramètrage!$C$6:$C$179))</f>
        <v/>
      </c>
      <c r="M764" s="2" t="str">
        <f>IF(W764="","",LOOKUP('Extraction edi'!J764,Paramètrage!$A$6:$A$179,Paramètrage!$D$6:$D$179))</f>
        <v/>
      </c>
      <c r="N764" s="3" t="str">
        <f>IF(W764="","",LOOKUP('Extraction edi'!J764,Paramètrage!$A$6:$A$179,Paramètrage!$E$6:$E$179))</f>
        <v/>
      </c>
      <c r="O764" s="3" t="str">
        <f t="shared" si="234"/>
        <v/>
      </c>
      <c r="P764" s="3" t="str">
        <f t="shared" si="235"/>
        <v/>
      </c>
      <c r="Q764" s="3" t="str">
        <f t="shared" si="226"/>
        <v/>
      </c>
      <c r="R764" s="3" t="str">
        <f t="shared" si="236"/>
        <v/>
      </c>
      <c r="S764" s="3" t="str">
        <f t="shared" si="237"/>
        <v/>
      </c>
      <c r="T764" s="4" t="str">
        <f t="shared" si="238"/>
        <v/>
      </c>
      <c r="U764" s="5" t="str">
        <f t="shared" si="239"/>
        <v/>
      </c>
      <c r="V764" s="7" t="str">
        <f>IF(W764="","",IF(LOOKUP(W764,'Extration 3E date commande'!$A$6:$A$10000)=W764,LOOKUP(W764,'Extration 3E date commande'!$A$6:$A$10000,'Extration 3E date commande'!$C$6:$C$10000),"PAS DE DATE"))</f>
        <v/>
      </c>
    </row>
    <row r="765" spans="1:22" x14ac:dyDescent="0.25">
      <c r="A765" s="3" t="str">
        <f t="shared" si="227"/>
        <v/>
      </c>
      <c r="B765" s="3" t="str">
        <f t="shared" si="228"/>
        <v/>
      </c>
      <c r="C765" s="3" t="str">
        <f t="shared" si="225"/>
        <v/>
      </c>
      <c r="D765" s="3" t="str">
        <f t="shared" si="229"/>
        <v/>
      </c>
      <c r="E765" s="3" t="str">
        <f t="shared" si="223"/>
        <v/>
      </c>
      <c r="F765" s="3" t="str">
        <f t="shared" si="230"/>
        <v/>
      </c>
      <c r="G765" s="3" t="str">
        <f t="shared" si="224"/>
        <v/>
      </c>
      <c r="H765" s="3" t="str">
        <f t="shared" si="231"/>
        <v/>
      </c>
      <c r="I765" s="3" t="str">
        <f t="shared" si="232"/>
        <v/>
      </c>
      <c r="J765" s="2" t="str">
        <f t="shared" si="233"/>
        <v/>
      </c>
      <c r="K765" s="2" t="str">
        <f>IF(W765="","",LOOKUP('Extraction edi'!J765,Paramètrage!$A$6:$A$179,Paramètrage!$B$6:$B$179))</f>
        <v/>
      </c>
      <c r="L765" s="2" t="str">
        <f>IF(W765="","",LOOKUP('Extraction edi'!J765,Paramètrage!$A$6:$A$179,Paramètrage!$C$6:$C$179))</f>
        <v/>
      </c>
      <c r="M765" s="2" t="str">
        <f>IF(W765="","",LOOKUP('Extraction edi'!J765,Paramètrage!$A$6:$A$179,Paramètrage!$D$6:$D$179))</f>
        <v/>
      </c>
      <c r="N765" s="3" t="str">
        <f>IF(W765="","",LOOKUP('Extraction edi'!J765,Paramètrage!$A$6:$A$179,Paramètrage!$E$6:$E$179))</f>
        <v/>
      </c>
      <c r="O765" s="3" t="str">
        <f t="shared" si="234"/>
        <v/>
      </c>
      <c r="P765" s="3" t="str">
        <f t="shared" si="235"/>
        <v/>
      </c>
      <c r="Q765" s="3" t="str">
        <f t="shared" si="226"/>
        <v/>
      </c>
      <c r="R765" s="3" t="str">
        <f t="shared" si="236"/>
        <v/>
      </c>
      <c r="S765" s="3" t="str">
        <f t="shared" si="237"/>
        <v/>
      </c>
      <c r="T765" s="4" t="str">
        <f t="shared" si="238"/>
        <v/>
      </c>
      <c r="U765" s="5" t="str">
        <f t="shared" si="239"/>
        <v/>
      </c>
      <c r="V765" s="7" t="str">
        <f>IF(W765="","",IF(LOOKUP(W765,'Extration 3E date commande'!$A$6:$A$10000)=W765,LOOKUP(W765,'Extration 3E date commande'!$A$6:$A$10000,'Extration 3E date commande'!$C$6:$C$10000),"PAS DE DATE"))</f>
        <v/>
      </c>
    </row>
    <row r="766" spans="1:22" x14ac:dyDescent="0.25">
      <c r="A766" s="3" t="str">
        <f t="shared" si="227"/>
        <v/>
      </c>
      <c r="B766" s="3" t="str">
        <f t="shared" si="228"/>
        <v/>
      </c>
      <c r="C766" s="3" t="str">
        <f t="shared" si="225"/>
        <v/>
      </c>
      <c r="D766" s="3" t="str">
        <f t="shared" si="229"/>
        <v/>
      </c>
      <c r="E766" s="3" t="str">
        <f t="shared" si="223"/>
        <v/>
      </c>
      <c r="F766" s="3" t="str">
        <f t="shared" si="230"/>
        <v/>
      </c>
      <c r="G766" s="3" t="str">
        <f t="shared" si="224"/>
        <v/>
      </c>
      <c r="H766" s="3" t="str">
        <f t="shared" si="231"/>
        <v/>
      </c>
      <c r="I766" s="3" t="str">
        <f t="shared" si="232"/>
        <v/>
      </c>
      <c r="J766" s="2" t="str">
        <f t="shared" si="233"/>
        <v/>
      </c>
      <c r="K766" s="2" t="str">
        <f>IF(W766="","",LOOKUP('Extraction edi'!J766,Paramètrage!$A$6:$A$179,Paramètrage!$B$6:$B$179))</f>
        <v/>
      </c>
      <c r="L766" s="2" t="str">
        <f>IF(W766="","",LOOKUP('Extraction edi'!J766,Paramètrage!$A$6:$A$179,Paramètrage!$C$6:$C$179))</f>
        <v/>
      </c>
      <c r="M766" s="2" t="str">
        <f>IF(W766="","",LOOKUP('Extraction edi'!J766,Paramètrage!$A$6:$A$179,Paramètrage!$D$6:$D$179))</f>
        <v/>
      </c>
      <c r="N766" s="3" t="str">
        <f>IF(W766="","",LOOKUP('Extraction edi'!J766,Paramètrage!$A$6:$A$179,Paramètrage!$E$6:$E$179))</f>
        <v/>
      </c>
      <c r="O766" s="3" t="str">
        <f t="shared" si="234"/>
        <v/>
      </c>
      <c r="P766" s="3" t="str">
        <f t="shared" si="235"/>
        <v/>
      </c>
      <c r="Q766" s="3" t="str">
        <f t="shared" si="226"/>
        <v/>
      </c>
      <c r="R766" s="3" t="str">
        <f t="shared" si="236"/>
        <v/>
      </c>
      <c r="S766" s="3" t="str">
        <f t="shared" si="237"/>
        <v/>
      </c>
      <c r="T766" s="4" t="str">
        <f t="shared" si="238"/>
        <v/>
      </c>
      <c r="U766" s="5" t="str">
        <f t="shared" si="239"/>
        <v/>
      </c>
      <c r="V766" s="7" t="str">
        <f>IF(W766="","",IF(LOOKUP(W766,'Extration 3E date commande'!$A$6:$A$10000)=W766,LOOKUP(W766,'Extration 3E date commande'!$A$6:$A$10000,'Extration 3E date commande'!$C$6:$C$10000),"PAS DE DATE"))</f>
        <v/>
      </c>
    </row>
    <row r="767" spans="1:22" x14ac:dyDescent="0.25">
      <c r="A767" s="3" t="str">
        <f t="shared" si="227"/>
        <v/>
      </c>
      <c r="B767" s="3" t="str">
        <f t="shared" si="228"/>
        <v/>
      </c>
      <c r="C767" s="3" t="str">
        <f t="shared" si="225"/>
        <v/>
      </c>
      <c r="D767" s="3" t="str">
        <f t="shared" si="229"/>
        <v/>
      </c>
      <c r="E767" s="3" t="str">
        <f t="shared" si="223"/>
        <v/>
      </c>
      <c r="F767" s="3" t="str">
        <f t="shared" si="230"/>
        <v/>
      </c>
      <c r="G767" s="3" t="str">
        <f t="shared" si="224"/>
        <v/>
      </c>
      <c r="H767" s="3" t="str">
        <f t="shared" si="231"/>
        <v/>
      </c>
      <c r="I767" s="3" t="str">
        <f t="shared" si="232"/>
        <v/>
      </c>
      <c r="J767" s="2" t="str">
        <f t="shared" si="233"/>
        <v/>
      </c>
      <c r="K767" s="2" t="str">
        <f>IF(W767="","",LOOKUP('Extraction edi'!J767,Paramètrage!$A$6:$A$179,Paramètrage!$B$6:$B$179))</f>
        <v/>
      </c>
      <c r="L767" s="2" t="str">
        <f>IF(W767="","",LOOKUP('Extraction edi'!J767,Paramètrage!$A$6:$A$179,Paramètrage!$C$6:$C$179))</f>
        <v/>
      </c>
      <c r="M767" s="2" t="str">
        <f>IF(W767="","",LOOKUP('Extraction edi'!J767,Paramètrage!$A$6:$A$179,Paramètrage!$D$6:$D$179))</f>
        <v/>
      </c>
      <c r="N767" s="3" t="str">
        <f>IF(W767="","",LOOKUP('Extraction edi'!J767,Paramètrage!$A$6:$A$179,Paramètrage!$E$6:$E$179))</f>
        <v/>
      </c>
      <c r="O767" s="3" t="str">
        <f t="shared" si="234"/>
        <v/>
      </c>
      <c r="P767" s="3" t="str">
        <f t="shared" si="235"/>
        <v/>
      </c>
      <c r="Q767" s="3" t="str">
        <f t="shared" si="226"/>
        <v/>
      </c>
      <c r="R767" s="3" t="str">
        <f t="shared" si="236"/>
        <v/>
      </c>
      <c r="S767" s="3" t="str">
        <f t="shared" si="237"/>
        <v/>
      </c>
      <c r="T767" s="4" t="str">
        <f t="shared" si="238"/>
        <v/>
      </c>
      <c r="U767" s="5" t="str">
        <f t="shared" si="239"/>
        <v/>
      </c>
      <c r="V767" s="7" t="str">
        <f>IF(W767="","",IF(LOOKUP(W767,'Extration 3E date commande'!$A$6:$A$10000)=W767,LOOKUP(W767,'Extration 3E date commande'!$A$6:$A$10000,'Extration 3E date commande'!$C$6:$C$10000),"PAS DE DATE"))</f>
        <v/>
      </c>
    </row>
    <row r="768" spans="1:22" x14ac:dyDescent="0.25">
      <c r="A768" s="3" t="str">
        <f t="shared" si="227"/>
        <v/>
      </c>
      <c r="B768" s="3" t="str">
        <f t="shared" si="228"/>
        <v/>
      </c>
      <c r="C768" s="3" t="str">
        <f t="shared" si="225"/>
        <v/>
      </c>
      <c r="D768" s="3" t="str">
        <f t="shared" si="229"/>
        <v/>
      </c>
      <c r="E768" s="3" t="str">
        <f t="shared" si="223"/>
        <v/>
      </c>
      <c r="F768" s="3" t="str">
        <f t="shared" si="230"/>
        <v/>
      </c>
      <c r="G768" s="3" t="str">
        <f t="shared" si="224"/>
        <v/>
      </c>
      <c r="H768" s="3" t="str">
        <f t="shared" si="231"/>
        <v/>
      </c>
      <c r="I768" s="3" t="str">
        <f t="shared" si="232"/>
        <v/>
      </c>
      <c r="J768" s="2" t="str">
        <f t="shared" si="233"/>
        <v/>
      </c>
      <c r="K768" s="2" t="str">
        <f>IF(W768="","",LOOKUP('Extraction edi'!J768,Paramètrage!$A$6:$A$179,Paramètrage!$B$6:$B$179))</f>
        <v/>
      </c>
      <c r="L768" s="2" t="str">
        <f>IF(W768="","",LOOKUP('Extraction edi'!J768,Paramètrage!$A$6:$A$179,Paramètrage!$C$6:$C$179))</f>
        <v/>
      </c>
      <c r="M768" s="2" t="str">
        <f>IF(W768="","",LOOKUP('Extraction edi'!J768,Paramètrage!$A$6:$A$179,Paramètrage!$D$6:$D$179))</f>
        <v/>
      </c>
      <c r="N768" s="3" t="str">
        <f>IF(W768="","",LOOKUP('Extraction edi'!J768,Paramètrage!$A$6:$A$179,Paramètrage!$E$6:$E$179))</f>
        <v/>
      </c>
      <c r="O768" s="3" t="str">
        <f t="shared" si="234"/>
        <v/>
      </c>
      <c r="P768" s="3" t="str">
        <f t="shared" si="235"/>
        <v/>
      </c>
      <c r="Q768" s="3" t="str">
        <f t="shared" si="226"/>
        <v/>
      </c>
      <c r="R768" s="3" t="str">
        <f t="shared" si="236"/>
        <v/>
      </c>
      <c r="S768" s="3" t="str">
        <f t="shared" si="237"/>
        <v/>
      </c>
      <c r="T768" s="4" t="str">
        <f t="shared" si="238"/>
        <v/>
      </c>
      <c r="U768" s="5" t="str">
        <f t="shared" si="239"/>
        <v/>
      </c>
      <c r="V768" s="7" t="str">
        <f>IF(W768="","",IF(LOOKUP(W768,'Extration 3E date commande'!$A$6:$A$10000)=W768,LOOKUP(W768,'Extration 3E date commande'!$A$6:$A$10000,'Extration 3E date commande'!$C$6:$C$10000),"PAS DE DATE"))</f>
        <v/>
      </c>
    </row>
    <row r="769" spans="1:22" x14ac:dyDescent="0.25">
      <c r="A769" s="3" t="str">
        <f t="shared" si="227"/>
        <v/>
      </c>
      <c r="B769" s="3" t="str">
        <f t="shared" si="228"/>
        <v/>
      </c>
      <c r="C769" s="3" t="str">
        <f t="shared" si="225"/>
        <v/>
      </c>
      <c r="D769" s="3" t="str">
        <f t="shared" si="229"/>
        <v/>
      </c>
      <c r="E769" s="3" t="str">
        <f t="shared" si="223"/>
        <v/>
      </c>
      <c r="F769" s="3" t="str">
        <f t="shared" si="230"/>
        <v/>
      </c>
      <c r="G769" s="3" t="str">
        <f t="shared" si="224"/>
        <v/>
      </c>
      <c r="H769" s="3" t="str">
        <f t="shared" si="231"/>
        <v/>
      </c>
      <c r="I769" s="3" t="str">
        <f t="shared" si="232"/>
        <v/>
      </c>
      <c r="J769" s="2" t="str">
        <f t="shared" si="233"/>
        <v/>
      </c>
      <c r="K769" s="2" t="str">
        <f>IF(W769="","",LOOKUP('Extraction edi'!J769,Paramètrage!$A$6:$A$179,Paramètrage!$B$6:$B$179))</f>
        <v/>
      </c>
      <c r="L769" s="2" t="str">
        <f>IF(W769="","",LOOKUP('Extraction edi'!J769,Paramètrage!$A$6:$A$179,Paramètrage!$C$6:$C$179))</f>
        <v/>
      </c>
      <c r="M769" s="2" t="str">
        <f>IF(W769="","",LOOKUP('Extraction edi'!J769,Paramètrage!$A$6:$A$179,Paramètrage!$D$6:$D$179))</f>
        <v/>
      </c>
      <c r="N769" s="3" t="str">
        <f>IF(W769="","",LOOKUP('Extraction edi'!J769,Paramètrage!$A$6:$A$179,Paramètrage!$E$6:$E$179))</f>
        <v/>
      </c>
      <c r="O769" s="3" t="str">
        <f t="shared" si="234"/>
        <v/>
      </c>
      <c r="P769" s="3" t="str">
        <f t="shared" si="235"/>
        <v/>
      </c>
      <c r="Q769" s="3" t="str">
        <f t="shared" si="226"/>
        <v/>
      </c>
      <c r="R769" s="3" t="str">
        <f t="shared" si="236"/>
        <v/>
      </c>
      <c r="S769" s="3" t="str">
        <f t="shared" si="237"/>
        <v/>
      </c>
      <c r="T769" s="4" t="str">
        <f t="shared" si="238"/>
        <v/>
      </c>
      <c r="U769" s="5" t="str">
        <f t="shared" si="239"/>
        <v/>
      </c>
      <c r="V769" s="7" t="str">
        <f>IF(W769="","",IF(LOOKUP(W769,'Extration 3E date commande'!$A$6:$A$10000)=W769,LOOKUP(W769,'Extration 3E date commande'!$A$6:$A$10000,'Extration 3E date commande'!$C$6:$C$10000),"PAS DE DATE"))</f>
        <v/>
      </c>
    </row>
    <row r="770" spans="1:22" x14ac:dyDescent="0.25">
      <c r="A770" s="3" t="str">
        <f t="shared" si="227"/>
        <v/>
      </c>
      <c r="B770" s="3" t="str">
        <f t="shared" si="228"/>
        <v/>
      </c>
      <c r="C770" s="3" t="str">
        <f t="shared" si="225"/>
        <v/>
      </c>
      <c r="D770" s="3" t="str">
        <f t="shared" si="229"/>
        <v/>
      </c>
      <c r="E770" s="3" t="str">
        <f t="shared" si="223"/>
        <v/>
      </c>
      <c r="F770" s="3" t="str">
        <f t="shared" si="230"/>
        <v/>
      </c>
      <c r="G770" s="3" t="str">
        <f t="shared" si="224"/>
        <v/>
      </c>
      <c r="H770" s="3" t="str">
        <f t="shared" si="231"/>
        <v/>
      </c>
      <c r="I770" s="3" t="str">
        <f t="shared" si="232"/>
        <v/>
      </c>
      <c r="J770" s="2" t="str">
        <f t="shared" si="233"/>
        <v/>
      </c>
      <c r="K770" s="2" t="str">
        <f>IF(W770="","",LOOKUP('Extraction edi'!J770,Paramètrage!$A$6:$A$179,Paramètrage!$B$6:$B$179))</f>
        <v/>
      </c>
      <c r="L770" s="2" t="str">
        <f>IF(W770="","",LOOKUP('Extraction edi'!J770,Paramètrage!$A$6:$A$179,Paramètrage!$C$6:$C$179))</f>
        <v/>
      </c>
      <c r="M770" s="2" t="str">
        <f>IF(W770="","",LOOKUP('Extraction edi'!J770,Paramètrage!$A$6:$A$179,Paramètrage!$D$6:$D$179))</f>
        <v/>
      </c>
      <c r="N770" s="3" t="str">
        <f>IF(W770="","",LOOKUP('Extraction edi'!J770,Paramètrage!$A$6:$A$179,Paramètrage!$E$6:$E$179))</f>
        <v/>
      </c>
      <c r="O770" s="3" t="str">
        <f t="shared" si="234"/>
        <v/>
      </c>
      <c r="P770" s="3" t="str">
        <f t="shared" si="235"/>
        <v/>
      </c>
      <c r="Q770" s="3" t="str">
        <f t="shared" si="226"/>
        <v/>
      </c>
      <c r="R770" s="3" t="str">
        <f t="shared" si="236"/>
        <v/>
      </c>
      <c r="S770" s="3" t="str">
        <f t="shared" si="237"/>
        <v/>
      </c>
      <c r="T770" s="4" t="str">
        <f t="shared" si="238"/>
        <v/>
      </c>
      <c r="U770" s="5" t="str">
        <f t="shared" si="239"/>
        <v/>
      </c>
      <c r="V770" s="7" t="str">
        <f>IF(W770="","",IF(LOOKUP(W770,'Extration 3E date commande'!$A$6:$A$10000)=W770,LOOKUP(W770,'Extration 3E date commande'!$A$6:$A$10000,'Extration 3E date commande'!$C$6:$C$10000),"PAS DE DATE"))</f>
        <v/>
      </c>
    </row>
    <row r="771" spans="1:22" x14ac:dyDescent="0.25">
      <c r="A771" s="3" t="str">
        <f t="shared" si="227"/>
        <v/>
      </c>
      <c r="B771" s="3" t="str">
        <f t="shared" si="228"/>
        <v/>
      </c>
      <c r="C771" s="3" t="str">
        <f t="shared" si="225"/>
        <v/>
      </c>
      <c r="D771" s="3" t="str">
        <f t="shared" si="229"/>
        <v/>
      </c>
      <c r="E771" s="3" t="str">
        <f t="shared" si="223"/>
        <v/>
      </c>
      <c r="F771" s="3" t="str">
        <f t="shared" si="230"/>
        <v/>
      </c>
      <c r="G771" s="3" t="str">
        <f t="shared" si="224"/>
        <v/>
      </c>
      <c r="H771" s="3" t="str">
        <f t="shared" si="231"/>
        <v/>
      </c>
      <c r="I771" s="3" t="str">
        <f t="shared" si="232"/>
        <v/>
      </c>
      <c r="J771" s="2" t="str">
        <f t="shared" si="233"/>
        <v/>
      </c>
      <c r="K771" s="2" t="str">
        <f>IF(W771="","",LOOKUP('Extraction edi'!J771,Paramètrage!$A$6:$A$179,Paramètrage!$B$6:$B$179))</f>
        <v/>
      </c>
      <c r="L771" s="2" t="str">
        <f>IF(W771="","",LOOKUP('Extraction edi'!J771,Paramètrage!$A$6:$A$179,Paramètrage!$C$6:$C$179))</f>
        <v/>
      </c>
      <c r="M771" s="2" t="str">
        <f>IF(W771="","",LOOKUP('Extraction edi'!J771,Paramètrage!$A$6:$A$179,Paramètrage!$D$6:$D$179))</f>
        <v/>
      </c>
      <c r="N771" s="3" t="str">
        <f>IF(W771="","",LOOKUP('Extraction edi'!J771,Paramètrage!$A$6:$A$179,Paramètrage!$E$6:$E$179))</f>
        <v/>
      </c>
      <c r="O771" s="3" t="str">
        <f t="shared" si="234"/>
        <v/>
      </c>
      <c r="P771" s="3" t="str">
        <f t="shared" si="235"/>
        <v/>
      </c>
      <c r="Q771" s="3" t="str">
        <f t="shared" si="226"/>
        <v/>
      </c>
      <c r="R771" s="3" t="str">
        <f t="shared" si="236"/>
        <v/>
      </c>
      <c r="S771" s="3" t="str">
        <f t="shared" si="237"/>
        <v/>
      </c>
      <c r="T771" s="4" t="str">
        <f t="shared" si="238"/>
        <v/>
      </c>
      <c r="U771" s="5" t="str">
        <f t="shared" si="239"/>
        <v/>
      </c>
      <c r="V771" s="7" t="str">
        <f>IF(W771="","",IF(LOOKUP(W771,'Extration 3E date commande'!$A$6:$A$10000)=W771,LOOKUP(W771,'Extration 3E date commande'!$A$6:$A$10000,'Extration 3E date commande'!$C$6:$C$10000),"PAS DE DATE"))</f>
        <v/>
      </c>
    </row>
    <row r="772" spans="1:22" x14ac:dyDescent="0.25">
      <c r="A772" s="3" t="str">
        <f t="shared" si="227"/>
        <v/>
      </c>
      <c r="B772" s="3" t="str">
        <f t="shared" si="228"/>
        <v/>
      </c>
      <c r="C772" s="3" t="str">
        <f t="shared" si="225"/>
        <v/>
      </c>
      <c r="D772" s="3" t="str">
        <f t="shared" si="229"/>
        <v/>
      </c>
      <c r="E772" s="3" t="str">
        <f t="shared" si="223"/>
        <v/>
      </c>
      <c r="F772" s="3" t="str">
        <f t="shared" si="230"/>
        <v/>
      </c>
      <c r="G772" s="3" t="str">
        <f t="shared" ref="G772:G789" si="240">IF(B772="","",IF(C772="SAV","ZONE NEGOCE / RELIQUAT / SAV",IF(C772="NEGOCE","ZONE NEGOCE / RELIQUAT / SAV",IF(C772="RELIQUAT","ZONE NEGOCE / RELIQUAT / SAV",IF(E772="ALU","LIGNE VITRAGE ALU",IF(D772="PE","LIGNE VITRAGE PE",IF(F772="TEXTURAL","LIGNE VITRAGE TEXTURAL","LIGNE VITRAGE STANDARD")))))))</f>
        <v/>
      </c>
      <c r="H772" s="3" t="str">
        <f t="shared" si="231"/>
        <v/>
      </c>
      <c r="I772" s="3" t="str">
        <f t="shared" si="232"/>
        <v/>
      </c>
      <c r="J772" s="2" t="str">
        <f t="shared" si="233"/>
        <v/>
      </c>
      <c r="K772" s="2" t="str">
        <f>IF(W772="","",LOOKUP('Extraction edi'!J772,Paramètrage!$A$6:$A$179,Paramètrage!$B$6:$B$179))</f>
        <v/>
      </c>
      <c r="L772" s="2" t="str">
        <f>IF(W772="","",LOOKUP('Extraction edi'!J772,Paramètrage!$A$6:$A$179,Paramètrage!$C$6:$C$179))</f>
        <v/>
      </c>
      <c r="M772" s="2" t="str">
        <f>IF(W772="","",LOOKUP('Extraction edi'!J772,Paramètrage!$A$6:$A$179,Paramètrage!$D$6:$D$179))</f>
        <v/>
      </c>
      <c r="N772" s="3" t="str">
        <f>IF(W772="","",LOOKUP('Extraction edi'!J772,Paramètrage!$A$6:$A$179,Paramètrage!$E$6:$E$179))</f>
        <v/>
      </c>
      <c r="O772" s="3" t="str">
        <f t="shared" si="234"/>
        <v/>
      </c>
      <c r="P772" s="3" t="str">
        <f t="shared" si="235"/>
        <v/>
      </c>
      <c r="Q772" s="3" t="str">
        <f t="shared" si="226"/>
        <v/>
      </c>
      <c r="R772" s="3" t="str">
        <f t="shared" si="236"/>
        <v/>
      </c>
      <c r="S772" s="3" t="str">
        <f t="shared" si="237"/>
        <v/>
      </c>
      <c r="T772" s="4" t="str">
        <f t="shared" si="238"/>
        <v/>
      </c>
      <c r="U772" s="5" t="str">
        <f t="shared" si="239"/>
        <v/>
      </c>
      <c r="V772" s="7" t="str">
        <f>IF(W772="","",IF(LOOKUP(W772,'Extration 3E date commande'!$A$6:$A$10000)=W772,LOOKUP(W772,'Extration 3E date commande'!$A$6:$A$10000,'Extration 3E date commande'!$C$6:$C$10000),"PAS DE DATE"))</f>
        <v/>
      </c>
    </row>
    <row r="773" spans="1:22" x14ac:dyDescent="0.25">
      <c r="A773" s="3" t="str">
        <f t="shared" si="227"/>
        <v/>
      </c>
      <c r="B773" s="3" t="str">
        <f t="shared" si="228"/>
        <v/>
      </c>
      <c r="C773" s="3" t="str">
        <f t="shared" si="225"/>
        <v/>
      </c>
      <c r="D773" s="3" t="str">
        <f t="shared" si="229"/>
        <v/>
      </c>
      <c r="E773" s="3" t="str">
        <f t="shared" ref="E773:E789" si="241">IF(ISERROR(SEARCH("U",B773))=FALSE,"ALU",IF(ISERROR(SEARCH("Y",B773)),"","ALU"))</f>
        <v/>
      </c>
      <c r="F773" s="3" t="str">
        <f t="shared" si="230"/>
        <v/>
      </c>
      <c r="G773" s="3" t="str">
        <f t="shared" si="240"/>
        <v/>
      </c>
      <c r="H773" s="3" t="str">
        <f t="shared" si="231"/>
        <v/>
      </c>
      <c r="I773" s="3" t="str">
        <f t="shared" si="232"/>
        <v/>
      </c>
      <c r="J773" s="2" t="str">
        <f t="shared" si="233"/>
        <v/>
      </c>
      <c r="K773" s="2" t="str">
        <f>IF(W773="","",LOOKUP('Extraction edi'!J773,Paramètrage!$A$6:$A$179,Paramètrage!$B$6:$B$179))</f>
        <v/>
      </c>
      <c r="L773" s="2" t="str">
        <f>IF(W773="","",LOOKUP('Extraction edi'!J773,Paramètrage!$A$6:$A$179,Paramètrage!$C$6:$C$179))</f>
        <v/>
      </c>
      <c r="M773" s="2" t="str">
        <f>IF(W773="","",LOOKUP('Extraction edi'!J773,Paramètrage!$A$6:$A$179,Paramètrage!$D$6:$D$179))</f>
        <v/>
      </c>
      <c r="N773" s="3" t="str">
        <f>IF(W773="","",LOOKUP('Extraction edi'!J773,Paramètrage!$A$6:$A$179,Paramètrage!$E$6:$E$179))</f>
        <v/>
      </c>
      <c r="O773" s="3" t="str">
        <f t="shared" si="234"/>
        <v/>
      </c>
      <c r="P773" s="3" t="str">
        <f t="shared" si="235"/>
        <v/>
      </c>
      <c r="Q773" s="3" t="str">
        <f t="shared" si="226"/>
        <v/>
      </c>
      <c r="R773" s="3" t="str">
        <f t="shared" si="236"/>
        <v/>
      </c>
      <c r="S773" s="3" t="str">
        <f t="shared" si="237"/>
        <v/>
      </c>
      <c r="T773" s="4" t="str">
        <f t="shared" si="238"/>
        <v/>
      </c>
      <c r="U773" s="5" t="str">
        <f t="shared" si="239"/>
        <v/>
      </c>
      <c r="V773" s="7" t="str">
        <f>IF(W773="","",IF(LOOKUP(W773,'Extration 3E date commande'!$A$6:$A$10000)=W773,LOOKUP(W773,'Extration 3E date commande'!$A$6:$A$10000,'Extration 3E date commande'!$C$6:$C$10000),"PAS DE DATE"))</f>
        <v/>
      </c>
    </row>
    <row r="774" spans="1:22" x14ac:dyDescent="0.25">
      <c r="A774" s="3" t="str">
        <f t="shared" si="227"/>
        <v/>
      </c>
      <c r="B774" s="3" t="str">
        <f t="shared" si="228"/>
        <v/>
      </c>
      <c r="C774" s="3" t="str">
        <f t="shared" si="225"/>
        <v/>
      </c>
      <c r="D774" s="3" t="str">
        <f t="shared" si="229"/>
        <v/>
      </c>
      <c r="E774" s="3" t="str">
        <f t="shared" si="241"/>
        <v/>
      </c>
      <c r="F774" s="3" t="str">
        <f t="shared" si="230"/>
        <v/>
      </c>
      <c r="G774" s="3" t="str">
        <f t="shared" si="240"/>
        <v/>
      </c>
      <c r="H774" s="3" t="str">
        <f t="shared" si="231"/>
        <v/>
      </c>
      <c r="I774" s="3" t="str">
        <f t="shared" si="232"/>
        <v/>
      </c>
      <c r="J774" s="2" t="str">
        <f t="shared" si="233"/>
        <v/>
      </c>
      <c r="K774" s="2" t="str">
        <f>IF(W774="","",LOOKUP('Extraction edi'!J774,Paramètrage!$A$6:$A$179,Paramètrage!$B$6:$B$179))</f>
        <v/>
      </c>
      <c r="L774" s="2" t="str">
        <f>IF(W774="","",LOOKUP('Extraction edi'!J774,Paramètrage!$A$6:$A$179,Paramètrage!$C$6:$C$179))</f>
        <v/>
      </c>
      <c r="M774" s="2" t="str">
        <f>IF(W774="","",LOOKUP('Extraction edi'!J774,Paramètrage!$A$6:$A$179,Paramètrage!$D$6:$D$179))</f>
        <v/>
      </c>
      <c r="N774" s="3" t="str">
        <f>IF(W774="","",LOOKUP('Extraction edi'!J774,Paramètrage!$A$6:$A$179,Paramètrage!$E$6:$E$179))</f>
        <v/>
      </c>
      <c r="O774" s="3" t="str">
        <f t="shared" si="234"/>
        <v/>
      </c>
      <c r="P774" s="3" t="str">
        <f t="shared" si="235"/>
        <v/>
      </c>
      <c r="Q774" s="3" t="str">
        <f t="shared" si="226"/>
        <v/>
      </c>
      <c r="R774" s="3" t="str">
        <f t="shared" si="236"/>
        <v/>
      </c>
      <c r="S774" s="3" t="str">
        <f t="shared" si="237"/>
        <v/>
      </c>
      <c r="T774" s="4" t="str">
        <f t="shared" si="238"/>
        <v/>
      </c>
      <c r="U774" s="5" t="str">
        <f t="shared" si="239"/>
        <v/>
      </c>
      <c r="V774" s="7" t="str">
        <f>IF(W774="","",IF(LOOKUP(W774,'Extration 3E date commande'!$A$6:$A$10000)=W774,LOOKUP(W774,'Extration 3E date commande'!$A$6:$A$10000,'Extration 3E date commande'!$C$6:$C$10000),"PAS DE DATE"))</f>
        <v/>
      </c>
    </row>
    <row r="775" spans="1:22" x14ac:dyDescent="0.25">
      <c r="A775" s="3" t="str">
        <f t="shared" si="227"/>
        <v/>
      </c>
      <c r="B775" s="3" t="str">
        <f t="shared" si="228"/>
        <v/>
      </c>
      <c r="C775" s="3" t="str">
        <f t="shared" ref="C775:C792" si="242">IF(ISERROR(SEARCH("ELI",B775))=FALSE,"RELIQUAT",IF(ISERROR(SEARCH("N",B775))=FALSE,"NEGOCE",IF(ISERROR(SEARCH("S",B775))=FALSE,"SAV",IF(ISERROR(SEARCH("J",B775)),"","SAV"))))</f>
        <v/>
      </c>
      <c r="D775" s="3" t="str">
        <f t="shared" si="229"/>
        <v/>
      </c>
      <c r="E775" s="3" t="str">
        <f t="shared" si="241"/>
        <v/>
      </c>
      <c r="F775" s="3" t="str">
        <f t="shared" si="230"/>
        <v/>
      </c>
      <c r="G775" s="3" t="str">
        <f t="shared" si="240"/>
        <v/>
      </c>
      <c r="H775" s="3" t="str">
        <f t="shared" si="231"/>
        <v/>
      </c>
      <c r="I775" s="3" t="str">
        <f t="shared" si="232"/>
        <v/>
      </c>
      <c r="J775" s="2" t="str">
        <f t="shared" si="233"/>
        <v/>
      </c>
      <c r="K775" s="2" t="str">
        <f>IF(W775="","",LOOKUP('Extraction edi'!J775,Paramètrage!$A$6:$A$179,Paramètrage!$B$6:$B$179))</f>
        <v/>
      </c>
      <c r="L775" s="2" t="str">
        <f>IF(W775="","",LOOKUP('Extraction edi'!J775,Paramètrage!$A$6:$A$179,Paramètrage!$C$6:$C$179))</f>
        <v/>
      </c>
      <c r="M775" s="2" t="str">
        <f>IF(W775="","",LOOKUP('Extraction edi'!J775,Paramètrage!$A$6:$A$179,Paramètrage!$D$6:$D$179))</f>
        <v/>
      </c>
      <c r="N775" s="3" t="str">
        <f>IF(W775="","",LOOKUP('Extraction edi'!J775,Paramètrage!$A$6:$A$179,Paramètrage!$E$6:$E$179))</f>
        <v/>
      </c>
      <c r="O775" s="3" t="str">
        <f t="shared" si="234"/>
        <v/>
      </c>
      <c r="P775" s="3" t="str">
        <f t="shared" si="235"/>
        <v/>
      </c>
      <c r="Q775" s="3" t="str">
        <f t="shared" si="226"/>
        <v/>
      </c>
      <c r="R775" s="3" t="str">
        <f t="shared" si="236"/>
        <v/>
      </c>
      <c r="S775" s="3" t="str">
        <f t="shared" si="237"/>
        <v/>
      </c>
      <c r="T775" s="4" t="str">
        <f t="shared" si="238"/>
        <v/>
      </c>
      <c r="U775" s="5" t="str">
        <f t="shared" si="239"/>
        <v/>
      </c>
      <c r="V775" s="7" t="str">
        <f>IF(W775="","",IF(LOOKUP(W775,'Extration 3E date commande'!$A$6:$A$10000)=W775,LOOKUP(W775,'Extration 3E date commande'!$A$6:$A$10000,'Extration 3E date commande'!$C$6:$C$10000),"PAS DE DATE"))</f>
        <v/>
      </c>
    </row>
    <row r="776" spans="1:22" x14ac:dyDescent="0.25">
      <c r="A776" s="3" t="str">
        <f t="shared" si="227"/>
        <v/>
      </c>
      <c r="B776" s="3" t="str">
        <f t="shared" si="228"/>
        <v/>
      </c>
      <c r="C776" s="3" t="str">
        <f t="shared" si="242"/>
        <v/>
      </c>
      <c r="D776" s="3" t="str">
        <f t="shared" si="229"/>
        <v/>
      </c>
      <c r="E776" s="3" t="str">
        <f t="shared" si="241"/>
        <v/>
      </c>
      <c r="F776" s="3" t="str">
        <f t="shared" si="230"/>
        <v/>
      </c>
      <c r="G776" s="3" t="str">
        <f t="shared" si="240"/>
        <v/>
      </c>
      <c r="H776" s="3" t="str">
        <f t="shared" si="231"/>
        <v/>
      </c>
      <c r="I776" s="3" t="str">
        <f t="shared" si="232"/>
        <v/>
      </c>
      <c r="J776" s="2" t="str">
        <f t="shared" si="233"/>
        <v/>
      </c>
      <c r="K776" s="2" t="str">
        <f>IF(W776="","",LOOKUP('Extraction edi'!J776,Paramètrage!$A$6:$A$179,Paramètrage!$B$6:$B$179))</f>
        <v/>
      </c>
      <c r="L776" s="2" t="str">
        <f>IF(W776="","",LOOKUP('Extraction edi'!J776,Paramètrage!$A$6:$A$179,Paramètrage!$C$6:$C$179))</f>
        <v/>
      </c>
      <c r="M776" s="2" t="str">
        <f>IF(W776="","",LOOKUP('Extraction edi'!J776,Paramètrage!$A$6:$A$179,Paramètrage!$D$6:$D$179))</f>
        <v/>
      </c>
      <c r="N776" s="3" t="str">
        <f>IF(W776="","",LOOKUP('Extraction edi'!J776,Paramètrage!$A$6:$A$179,Paramètrage!$E$6:$E$179))</f>
        <v/>
      </c>
      <c r="O776" s="3" t="str">
        <f t="shared" si="234"/>
        <v/>
      </c>
      <c r="P776" s="3" t="str">
        <f t="shared" si="235"/>
        <v/>
      </c>
      <c r="Q776" s="3" t="str">
        <f t="shared" si="226"/>
        <v/>
      </c>
      <c r="R776" s="3" t="str">
        <f t="shared" si="236"/>
        <v/>
      </c>
      <c r="S776" s="3" t="str">
        <f t="shared" si="237"/>
        <v/>
      </c>
      <c r="T776" s="4" t="str">
        <f t="shared" si="238"/>
        <v/>
      </c>
      <c r="U776" s="5" t="str">
        <f t="shared" si="239"/>
        <v/>
      </c>
      <c r="V776" s="7" t="str">
        <f>IF(W776="","",IF(LOOKUP(W776,'Extration 3E date commande'!$A$6:$A$10000)=W776,LOOKUP(W776,'Extration 3E date commande'!$A$6:$A$10000,'Extration 3E date commande'!$C$6:$C$10000),"PAS DE DATE"))</f>
        <v/>
      </c>
    </row>
    <row r="777" spans="1:22" x14ac:dyDescent="0.25">
      <c r="A777" s="3" t="str">
        <f t="shared" si="227"/>
        <v/>
      </c>
      <c r="B777" s="3" t="str">
        <f t="shared" si="228"/>
        <v/>
      </c>
      <c r="C777" s="3" t="str">
        <f t="shared" si="242"/>
        <v/>
      </c>
      <c r="D777" s="3" t="str">
        <f t="shared" si="229"/>
        <v/>
      </c>
      <c r="E777" s="3" t="str">
        <f t="shared" si="241"/>
        <v/>
      </c>
      <c r="F777" s="3" t="str">
        <f t="shared" si="230"/>
        <v/>
      </c>
      <c r="G777" s="3" t="str">
        <f t="shared" si="240"/>
        <v/>
      </c>
      <c r="H777" s="3" t="str">
        <f t="shared" si="231"/>
        <v/>
      </c>
      <c r="I777" s="3" t="str">
        <f t="shared" si="232"/>
        <v/>
      </c>
      <c r="J777" s="2" t="str">
        <f t="shared" si="233"/>
        <v/>
      </c>
      <c r="K777" s="2" t="str">
        <f>IF(W777="","",LOOKUP('Extraction edi'!J777,Paramètrage!$A$6:$A$179,Paramètrage!$B$6:$B$179))</f>
        <v/>
      </c>
      <c r="L777" s="2" t="str">
        <f>IF(W777="","",LOOKUP('Extraction edi'!J777,Paramètrage!$A$6:$A$179,Paramètrage!$C$6:$C$179))</f>
        <v/>
      </c>
      <c r="M777" s="2" t="str">
        <f>IF(W777="","",LOOKUP('Extraction edi'!J777,Paramètrage!$A$6:$A$179,Paramètrage!$D$6:$D$179))</f>
        <v/>
      </c>
      <c r="N777" s="3" t="str">
        <f>IF(W777="","",LOOKUP('Extraction edi'!J777,Paramètrage!$A$6:$A$179,Paramètrage!$E$6:$E$179))</f>
        <v/>
      </c>
      <c r="O777" s="3" t="str">
        <f t="shared" si="234"/>
        <v/>
      </c>
      <c r="P777" s="3" t="str">
        <f t="shared" si="235"/>
        <v/>
      </c>
      <c r="Q777" s="3" t="str">
        <f t="shared" si="226"/>
        <v/>
      </c>
      <c r="R777" s="3" t="str">
        <f t="shared" si="236"/>
        <v/>
      </c>
      <c r="S777" s="3" t="str">
        <f t="shared" si="237"/>
        <v/>
      </c>
      <c r="T777" s="4" t="str">
        <f t="shared" si="238"/>
        <v/>
      </c>
      <c r="U777" s="5" t="str">
        <f t="shared" si="239"/>
        <v/>
      </c>
      <c r="V777" s="7" t="str">
        <f>IF(W777="","",IF(LOOKUP(W777,'Extration 3E date commande'!$A$6:$A$10000)=W777,LOOKUP(W777,'Extration 3E date commande'!$A$6:$A$10000,'Extration 3E date commande'!$C$6:$C$10000),"PAS DE DATE"))</f>
        <v/>
      </c>
    </row>
    <row r="778" spans="1:22" x14ac:dyDescent="0.25">
      <c r="A778" s="3" t="str">
        <f t="shared" si="227"/>
        <v/>
      </c>
      <c r="B778" s="3" t="str">
        <f t="shared" si="228"/>
        <v/>
      </c>
      <c r="C778" s="3" t="str">
        <f t="shared" si="242"/>
        <v/>
      </c>
      <c r="D778" s="3" t="str">
        <f t="shared" si="229"/>
        <v/>
      </c>
      <c r="E778" s="3" t="str">
        <f t="shared" si="241"/>
        <v/>
      </c>
      <c r="F778" s="3" t="str">
        <f t="shared" si="230"/>
        <v/>
      </c>
      <c r="G778" s="3" t="str">
        <f t="shared" si="240"/>
        <v/>
      </c>
      <c r="H778" s="3" t="str">
        <f t="shared" si="231"/>
        <v/>
      </c>
      <c r="I778" s="3" t="str">
        <f t="shared" si="232"/>
        <v/>
      </c>
      <c r="J778" s="2" t="str">
        <f t="shared" si="233"/>
        <v/>
      </c>
      <c r="K778" s="2" t="str">
        <f>IF(W778="","",LOOKUP('Extraction edi'!J778,Paramètrage!$A$6:$A$179,Paramètrage!$B$6:$B$179))</f>
        <v/>
      </c>
      <c r="L778" s="2" t="str">
        <f>IF(W778="","",LOOKUP('Extraction edi'!J778,Paramètrage!$A$6:$A$179,Paramètrage!$C$6:$C$179))</f>
        <v/>
      </c>
      <c r="M778" s="2" t="str">
        <f>IF(W778="","",LOOKUP('Extraction edi'!J778,Paramètrage!$A$6:$A$179,Paramètrage!$D$6:$D$179))</f>
        <v/>
      </c>
      <c r="N778" s="3" t="str">
        <f>IF(W778="","",LOOKUP('Extraction edi'!J778,Paramètrage!$A$6:$A$179,Paramètrage!$E$6:$E$179))</f>
        <v/>
      </c>
      <c r="O778" s="3" t="str">
        <f t="shared" si="234"/>
        <v/>
      </c>
      <c r="P778" s="3" t="str">
        <f t="shared" si="235"/>
        <v/>
      </c>
      <c r="Q778" s="3" t="str">
        <f t="shared" si="226"/>
        <v/>
      </c>
      <c r="R778" s="3" t="str">
        <f t="shared" si="236"/>
        <v/>
      </c>
      <c r="S778" s="3" t="str">
        <f t="shared" si="237"/>
        <v/>
      </c>
      <c r="T778" s="4" t="str">
        <f t="shared" si="238"/>
        <v/>
      </c>
      <c r="U778" s="5" t="str">
        <f t="shared" si="239"/>
        <v/>
      </c>
      <c r="V778" s="7" t="str">
        <f>IF(W778="","",IF(LOOKUP(W778,'Extration 3E date commande'!$A$6:$A$10000)=W778,LOOKUP(W778,'Extration 3E date commande'!$A$6:$A$10000,'Extration 3E date commande'!$C$6:$C$10000),"PAS DE DATE"))</f>
        <v/>
      </c>
    </row>
    <row r="779" spans="1:22" x14ac:dyDescent="0.25">
      <c r="A779" s="3" t="str">
        <f t="shared" si="227"/>
        <v/>
      </c>
      <c r="B779" s="3" t="str">
        <f t="shared" si="228"/>
        <v/>
      </c>
      <c r="C779" s="3" t="str">
        <f t="shared" si="242"/>
        <v/>
      </c>
      <c r="D779" s="3" t="str">
        <f t="shared" si="229"/>
        <v/>
      </c>
      <c r="E779" s="3" t="str">
        <f t="shared" si="241"/>
        <v/>
      </c>
      <c r="F779" s="3" t="str">
        <f t="shared" si="230"/>
        <v/>
      </c>
      <c r="G779" s="3" t="str">
        <f t="shared" si="240"/>
        <v/>
      </c>
      <c r="H779" s="3" t="str">
        <f t="shared" si="231"/>
        <v/>
      </c>
      <c r="I779" s="3" t="str">
        <f t="shared" si="232"/>
        <v/>
      </c>
      <c r="J779" s="2" t="str">
        <f t="shared" si="233"/>
        <v/>
      </c>
      <c r="K779" s="2" t="str">
        <f>IF(W779="","",LOOKUP('Extraction edi'!J779,Paramètrage!$A$6:$A$179,Paramètrage!$B$6:$B$179))</f>
        <v/>
      </c>
      <c r="L779" s="2" t="str">
        <f>IF(W779="","",LOOKUP('Extraction edi'!J779,Paramètrage!$A$6:$A$179,Paramètrage!$C$6:$C$179))</f>
        <v/>
      </c>
      <c r="M779" s="2" t="str">
        <f>IF(W779="","",LOOKUP('Extraction edi'!J779,Paramètrage!$A$6:$A$179,Paramètrage!$D$6:$D$179))</f>
        <v/>
      </c>
      <c r="N779" s="3" t="str">
        <f>IF(W779="","",LOOKUP('Extraction edi'!J779,Paramètrage!$A$6:$A$179,Paramètrage!$E$6:$E$179))</f>
        <v/>
      </c>
      <c r="O779" s="3" t="str">
        <f t="shared" si="234"/>
        <v/>
      </c>
      <c r="P779" s="3" t="str">
        <f t="shared" si="235"/>
        <v/>
      </c>
      <c r="Q779" s="3" t="str">
        <f t="shared" si="226"/>
        <v/>
      </c>
      <c r="R779" s="3" t="str">
        <f t="shared" si="236"/>
        <v/>
      </c>
      <c r="S779" s="3" t="str">
        <f t="shared" si="237"/>
        <v/>
      </c>
      <c r="T779" s="4" t="str">
        <f t="shared" si="238"/>
        <v/>
      </c>
      <c r="U779" s="5" t="str">
        <f t="shared" si="239"/>
        <v/>
      </c>
      <c r="V779" s="7" t="str">
        <f>IF(W779="","",IF(LOOKUP(W779,'Extration 3E date commande'!$A$6:$A$10000)=W779,LOOKUP(W779,'Extration 3E date commande'!$A$6:$A$10000,'Extration 3E date commande'!$C$6:$C$10000),"PAS DE DATE"))</f>
        <v/>
      </c>
    </row>
    <row r="780" spans="1:22" x14ac:dyDescent="0.25">
      <c r="A780" s="3" t="str">
        <f t="shared" si="227"/>
        <v/>
      </c>
      <c r="B780" s="3" t="str">
        <f t="shared" si="228"/>
        <v/>
      </c>
      <c r="C780" s="3" t="str">
        <f t="shared" si="242"/>
        <v/>
      </c>
      <c r="D780" s="3" t="str">
        <f t="shared" si="229"/>
        <v/>
      </c>
      <c r="E780" s="3" t="str">
        <f t="shared" si="241"/>
        <v/>
      </c>
      <c r="F780" s="3" t="str">
        <f t="shared" si="230"/>
        <v/>
      </c>
      <c r="G780" s="3" t="str">
        <f t="shared" si="240"/>
        <v/>
      </c>
      <c r="H780" s="3" t="str">
        <f t="shared" si="231"/>
        <v/>
      </c>
      <c r="I780" s="3" t="str">
        <f t="shared" si="232"/>
        <v/>
      </c>
      <c r="J780" s="2" t="str">
        <f t="shared" si="233"/>
        <v/>
      </c>
      <c r="K780" s="2" t="str">
        <f>IF(W780="","",LOOKUP('Extraction edi'!J780,Paramètrage!$A$6:$A$179,Paramètrage!$B$6:$B$179))</f>
        <v/>
      </c>
      <c r="L780" s="2" t="str">
        <f>IF(W780="","",LOOKUP('Extraction edi'!J780,Paramètrage!$A$6:$A$179,Paramètrage!$C$6:$C$179))</f>
        <v/>
      </c>
      <c r="M780" s="2" t="str">
        <f>IF(W780="","",LOOKUP('Extraction edi'!J780,Paramètrage!$A$6:$A$179,Paramètrage!$D$6:$D$179))</f>
        <v/>
      </c>
      <c r="N780" s="3" t="str">
        <f>IF(W780="","",LOOKUP('Extraction edi'!J780,Paramètrage!$A$6:$A$179,Paramètrage!$E$6:$E$179))</f>
        <v/>
      </c>
      <c r="O780" s="3" t="str">
        <f t="shared" si="234"/>
        <v/>
      </c>
      <c r="P780" s="3" t="str">
        <f t="shared" si="235"/>
        <v/>
      </c>
      <c r="Q780" s="3" t="str">
        <f t="shared" si="226"/>
        <v/>
      </c>
      <c r="R780" s="3" t="str">
        <f t="shared" si="236"/>
        <v/>
      </c>
      <c r="S780" s="3" t="str">
        <f t="shared" si="237"/>
        <v/>
      </c>
      <c r="T780" s="4" t="str">
        <f t="shared" si="238"/>
        <v/>
      </c>
      <c r="U780" s="5" t="str">
        <f t="shared" si="239"/>
        <v/>
      </c>
      <c r="V780" s="7" t="str">
        <f>IF(W780="","",IF(LOOKUP(W780,'Extration 3E date commande'!$A$6:$A$10000)=W780,LOOKUP(W780,'Extration 3E date commande'!$A$6:$A$10000,'Extration 3E date commande'!$C$6:$C$10000),"PAS DE DATE"))</f>
        <v/>
      </c>
    </row>
    <row r="781" spans="1:22" x14ac:dyDescent="0.25">
      <c r="A781" s="3" t="str">
        <f t="shared" si="227"/>
        <v/>
      </c>
      <c r="B781" s="3" t="str">
        <f t="shared" si="228"/>
        <v/>
      </c>
      <c r="C781" s="3" t="str">
        <f t="shared" si="242"/>
        <v/>
      </c>
      <c r="D781" s="3" t="str">
        <f t="shared" si="229"/>
        <v/>
      </c>
      <c r="E781" s="3" t="str">
        <f t="shared" si="241"/>
        <v/>
      </c>
      <c r="F781" s="3" t="str">
        <f t="shared" si="230"/>
        <v/>
      </c>
      <c r="G781" s="3" t="str">
        <f t="shared" si="240"/>
        <v/>
      </c>
      <c r="H781" s="3" t="str">
        <f t="shared" si="231"/>
        <v/>
      </c>
      <c r="I781" s="3" t="str">
        <f t="shared" si="232"/>
        <v/>
      </c>
      <c r="J781" s="2" t="str">
        <f t="shared" si="233"/>
        <v/>
      </c>
      <c r="K781" s="2" t="str">
        <f>IF(W781="","",LOOKUP('Extraction edi'!J781,Paramètrage!$A$6:$A$179,Paramètrage!$B$6:$B$179))</f>
        <v/>
      </c>
      <c r="L781" s="2" t="str">
        <f>IF(W781="","",LOOKUP('Extraction edi'!J781,Paramètrage!$A$6:$A$179,Paramètrage!$C$6:$C$179))</f>
        <v/>
      </c>
      <c r="M781" s="2" t="str">
        <f>IF(W781="","",LOOKUP('Extraction edi'!J781,Paramètrage!$A$6:$A$179,Paramètrage!$D$6:$D$179))</f>
        <v/>
      </c>
      <c r="N781" s="3" t="str">
        <f>IF(W781="","",LOOKUP('Extraction edi'!J781,Paramètrage!$A$6:$A$179,Paramètrage!$E$6:$E$179))</f>
        <v/>
      </c>
      <c r="O781" s="3" t="str">
        <f t="shared" si="234"/>
        <v/>
      </c>
      <c r="P781" s="3" t="str">
        <f t="shared" si="235"/>
        <v/>
      </c>
      <c r="Q781" s="3" t="str">
        <f t="shared" si="226"/>
        <v/>
      </c>
      <c r="R781" s="3" t="str">
        <f t="shared" si="236"/>
        <v/>
      </c>
      <c r="S781" s="3" t="str">
        <f t="shared" si="237"/>
        <v/>
      </c>
      <c r="T781" s="4" t="str">
        <f t="shared" si="238"/>
        <v/>
      </c>
      <c r="U781" s="5" t="str">
        <f t="shared" si="239"/>
        <v/>
      </c>
      <c r="V781" s="7" t="str">
        <f>IF(W781="","",IF(LOOKUP(W781,'Extration 3E date commande'!$A$6:$A$10000)=W781,LOOKUP(W781,'Extration 3E date commande'!$A$6:$A$10000,'Extration 3E date commande'!$C$6:$C$10000),"PAS DE DATE"))</f>
        <v/>
      </c>
    </row>
    <row r="782" spans="1:22" x14ac:dyDescent="0.25">
      <c r="A782" s="3" t="str">
        <f t="shared" si="227"/>
        <v/>
      </c>
      <c r="B782" s="3" t="str">
        <f t="shared" si="228"/>
        <v/>
      </c>
      <c r="C782" s="3" t="str">
        <f t="shared" si="242"/>
        <v/>
      </c>
      <c r="D782" s="3" t="str">
        <f t="shared" si="229"/>
        <v/>
      </c>
      <c r="E782" s="3" t="str">
        <f t="shared" si="241"/>
        <v/>
      </c>
      <c r="F782" s="3" t="str">
        <f t="shared" si="230"/>
        <v/>
      </c>
      <c r="G782" s="3" t="str">
        <f t="shared" si="240"/>
        <v/>
      </c>
      <c r="H782" s="3" t="str">
        <f t="shared" si="231"/>
        <v/>
      </c>
      <c r="I782" s="3" t="str">
        <f t="shared" si="232"/>
        <v/>
      </c>
      <c r="J782" s="2" t="str">
        <f t="shared" si="233"/>
        <v/>
      </c>
      <c r="K782" s="2" t="str">
        <f>IF(W782="","",LOOKUP('Extraction edi'!J782,Paramètrage!$A$6:$A$179,Paramètrage!$B$6:$B$179))</f>
        <v/>
      </c>
      <c r="L782" s="2" t="str">
        <f>IF(W782="","",LOOKUP('Extraction edi'!J782,Paramètrage!$A$6:$A$179,Paramètrage!$C$6:$C$179))</f>
        <v/>
      </c>
      <c r="M782" s="2" t="str">
        <f>IF(W782="","",LOOKUP('Extraction edi'!J782,Paramètrage!$A$6:$A$179,Paramètrage!$D$6:$D$179))</f>
        <v/>
      </c>
      <c r="N782" s="3" t="str">
        <f>IF(W782="","",LOOKUP('Extraction edi'!J782,Paramètrage!$A$6:$A$179,Paramètrage!$E$6:$E$179))</f>
        <v/>
      </c>
      <c r="O782" s="3" t="str">
        <f t="shared" si="234"/>
        <v/>
      </c>
      <c r="P782" s="3" t="str">
        <f t="shared" si="235"/>
        <v/>
      </c>
      <c r="Q782" s="3" t="str">
        <f t="shared" si="226"/>
        <v/>
      </c>
      <c r="R782" s="3" t="str">
        <f t="shared" si="236"/>
        <v/>
      </c>
      <c r="S782" s="3" t="str">
        <f t="shared" si="237"/>
        <v/>
      </c>
      <c r="T782" s="4" t="str">
        <f t="shared" si="238"/>
        <v/>
      </c>
      <c r="U782" s="5" t="str">
        <f t="shared" si="239"/>
        <v/>
      </c>
      <c r="V782" s="7" t="str">
        <f>IF(W782="","",IF(LOOKUP(W782,'Extration 3E date commande'!$A$6:$A$10000)=W782,LOOKUP(W782,'Extration 3E date commande'!$A$6:$A$10000,'Extration 3E date commande'!$C$6:$C$10000),"PAS DE DATE"))</f>
        <v/>
      </c>
    </row>
    <row r="783" spans="1:22" x14ac:dyDescent="0.25">
      <c r="A783" s="3" t="str">
        <f t="shared" si="227"/>
        <v/>
      </c>
      <c r="B783" s="3" t="str">
        <f t="shared" si="228"/>
        <v/>
      </c>
      <c r="C783" s="3" t="str">
        <f t="shared" si="242"/>
        <v/>
      </c>
      <c r="D783" s="3" t="str">
        <f t="shared" si="229"/>
        <v/>
      </c>
      <c r="E783" s="3" t="str">
        <f t="shared" si="241"/>
        <v/>
      </c>
      <c r="F783" s="3" t="str">
        <f t="shared" si="230"/>
        <v/>
      </c>
      <c r="G783" s="3" t="str">
        <f t="shared" si="240"/>
        <v/>
      </c>
      <c r="H783" s="3" t="str">
        <f t="shared" si="231"/>
        <v/>
      </c>
      <c r="I783" s="3" t="str">
        <f t="shared" si="232"/>
        <v/>
      </c>
      <c r="J783" s="2" t="str">
        <f t="shared" si="233"/>
        <v/>
      </c>
      <c r="K783" s="2" t="str">
        <f>IF(W783="","",LOOKUP('Extraction edi'!J783,Paramètrage!$A$6:$A$179,Paramètrage!$B$6:$B$179))</f>
        <v/>
      </c>
      <c r="L783" s="2" t="str">
        <f>IF(W783="","",LOOKUP('Extraction edi'!J783,Paramètrage!$A$6:$A$179,Paramètrage!$C$6:$C$179))</f>
        <v/>
      </c>
      <c r="M783" s="2" t="str">
        <f>IF(W783="","",LOOKUP('Extraction edi'!J783,Paramètrage!$A$6:$A$179,Paramètrage!$D$6:$D$179))</f>
        <v/>
      </c>
      <c r="N783" s="3" t="str">
        <f>IF(W783="","",LOOKUP('Extraction edi'!J783,Paramètrage!$A$6:$A$179,Paramètrage!$E$6:$E$179))</f>
        <v/>
      </c>
      <c r="O783" s="3" t="str">
        <f t="shared" si="234"/>
        <v/>
      </c>
      <c r="P783" s="3" t="str">
        <f t="shared" si="235"/>
        <v/>
      </c>
      <c r="Q783" s="3" t="str">
        <f t="shared" ref="Q783:Q846" si="243">IF(ISERROR(SEARCH("laq",J783))=FALSE,"laquage RAL :",IF(ISERROR(SEARCH("lq",J783))=FALSE,"laquage RAL :",IF(ISERROR(SEARCH("ANO",J782))=FALSE,"laquage RAL :",IF(ISERROR(SEARCH("IVOI",J783)),"","laquage RAL :"))))</f>
        <v/>
      </c>
      <c r="R783" s="3" t="str">
        <f t="shared" si="236"/>
        <v/>
      </c>
      <c r="S783" s="3" t="str">
        <f t="shared" si="237"/>
        <v/>
      </c>
      <c r="T783" s="4" t="str">
        <f t="shared" si="238"/>
        <v/>
      </c>
      <c r="U783" s="5" t="str">
        <f t="shared" si="239"/>
        <v/>
      </c>
      <c r="V783" s="7" t="str">
        <f>IF(W783="","",IF(LOOKUP(W783,'Extration 3E date commande'!$A$6:$A$10000)=W783,LOOKUP(W783,'Extration 3E date commande'!$A$6:$A$10000,'Extration 3E date commande'!$C$6:$C$10000),"PAS DE DATE"))</f>
        <v/>
      </c>
    </row>
    <row r="784" spans="1:22" x14ac:dyDescent="0.25">
      <c r="A784" s="3" t="str">
        <f t="shared" si="227"/>
        <v/>
      </c>
      <c r="B784" s="3" t="str">
        <f t="shared" si="228"/>
        <v/>
      </c>
      <c r="C784" s="3" t="str">
        <f t="shared" si="242"/>
        <v/>
      </c>
      <c r="D784" s="3" t="str">
        <f t="shared" si="229"/>
        <v/>
      </c>
      <c r="E784" s="3" t="str">
        <f t="shared" si="241"/>
        <v/>
      </c>
      <c r="F784" s="3" t="str">
        <f t="shared" si="230"/>
        <v/>
      </c>
      <c r="G784" s="3" t="str">
        <f t="shared" si="240"/>
        <v/>
      </c>
      <c r="H784" s="3" t="str">
        <f t="shared" si="231"/>
        <v/>
      </c>
      <c r="I784" s="3" t="str">
        <f t="shared" si="232"/>
        <v/>
      </c>
      <c r="J784" s="2" t="str">
        <f t="shared" si="233"/>
        <v/>
      </c>
      <c r="K784" s="2" t="str">
        <f>IF(W784="","",LOOKUP('Extraction edi'!J784,Paramètrage!$A$6:$A$179,Paramètrage!$B$6:$B$179))</f>
        <v/>
      </c>
      <c r="L784" s="2" t="str">
        <f>IF(W784="","",LOOKUP('Extraction edi'!J784,Paramètrage!$A$6:$A$179,Paramètrage!$C$6:$C$179))</f>
        <v/>
      </c>
      <c r="M784" s="2" t="str">
        <f>IF(W784="","",LOOKUP('Extraction edi'!J784,Paramètrage!$A$6:$A$179,Paramètrage!$D$6:$D$179))</f>
        <v/>
      </c>
      <c r="N784" s="3" t="str">
        <f>IF(W784="","",LOOKUP('Extraction edi'!J784,Paramètrage!$A$6:$A$179,Paramètrage!$E$6:$E$179))</f>
        <v/>
      </c>
      <c r="O784" s="3" t="str">
        <f t="shared" si="234"/>
        <v/>
      </c>
      <c r="P784" s="3" t="str">
        <f t="shared" si="235"/>
        <v/>
      </c>
      <c r="Q784" s="3" t="str">
        <f t="shared" si="243"/>
        <v/>
      </c>
      <c r="R784" s="3" t="str">
        <f t="shared" si="236"/>
        <v/>
      </c>
      <c r="S784" s="3" t="str">
        <f t="shared" si="237"/>
        <v/>
      </c>
      <c r="T784" s="4" t="str">
        <f t="shared" si="238"/>
        <v/>
      </c>
      <c r="U784" s="5" t="str">
        <f t="shared" si="239"/>
        <v/>
      </c>
      <c r="V784" s="7" t="str">
        <f>IF(W784="","",IF(LOOKUP(W784,'Extration 3E date commande'!$A$6:$A$10000)=W784,LOOKUP(W784,'Extration 3E date commande'!$A$6:$A$10000,'Extration 3E date commande'!$C$6:$C$10000),"PAS DE DATE"))</f>
        <v/>
      </c>
    </row>
    <row r="785" spans="1:22" x14ac:dyDescent="0.25">
      <c r="A785" s="3" t="str">
        <f t="shared" si="227"/>
        <v/>
      </c>
      <c r="B785" s="3" t="str">
        <f t="shared" si="228"/>
        <v/>
      </c>
      <c r="C785" s="3" t="str">
        <f t="shared" si="242"/>
        <v/>
      </c>
      <c r="D785" s="3" t="str">
        <f t="shared" si="229"/>
        <v/>
      </c>
      <c r="E785" s="3" t="str">
        <f t="shared" si="241"/>
        <v/>
      </c>
      <c r="F785" s="3" t="str">
        <f t="shared" si="230"/>
        <v/>
      </c>
      <c r="G785" s="3" t="str">
        <f t="shared" si="240"/>
        <v/>
      </c>
      <c r="H785" s="3" t="str">
        <f t="shared" si="231"/>
        <v/>
      </c>
      <c r="I785" s="3" t="str">
        <f t="shared" si="232"/>
        <v/>
      </c>
      <c r="J785" s="2" t="str">
        <f t="shared" si="233"/>
        <v/>
      </c>
      <c r="K785" s="2" t="str">
        <f>IF(W785="","",LOOKUP('Extraction edi'!J785,Paramètrage!$A$6:$A$179,Paramètrage!$B$6:$B$179))</f>
        <v/>
      </c>
      <c r="L785" s="2" t="str">
        <f>IF(W785="","",LOOKUP('Extraction edi'!J785,Paramètrage!$A$6:$A$179,Paramètrage!$C$6:$C$179))</f>
        <v/>
      </c>
      <c r="M785" s="2" t="str">
        <f>IF(W785="","",LOOKUP('Extraction edi'!J785,Paramètrage!$A$6:$A$179,Paramètrage!$D$6:$D$179))</f>
        <v/>
      </c>
      <c r="N785" s="3" t="str">
        <f>IF(W785="","",LOOKUP('Extraction edi'!J785,Paramètrage!$A$6:$A$179,Paramètrage!$E$6:$E$179))</f>
        <v/>
      </c>
      <c r="O785" s="3" t="str">
        <f t="shared" si="234"/>
        <v/>
      </c>
      <c r="P785" s="3" t="str">
        <f t="shared" si="235"/>
        <v/>
      </c>
      <c r="Q785" s="3" t="str">
        <f t="shared" si="243"/>
        <v/>
      </c>
      <c r="R785" s="3" t="str">
        <f t="shared" si="236"/>
        <v/>
      </c>
      <c r="S785" s="3" t="str">
        <f t="shared" si="237"/>
        <v/>
      </c>
      <c r="T785" s="4" t="str">
        <f t="shared" si="238"/>
        <v/>
      </c>
      <c r="U785" s="5" t="str">
        <f t="shared" si="239"/>
        <v/>
      </c>
      <c r="V785" s="7" t="str">
        <f>IF(W785="","",IF(LOOKUP(W785,'Extration 3E date commande'!$A$6:$A$10000)=W785,LOOKUP(W785,'Extration 3E date commande'!$A$6:$A$10000,'Extration 3E date commande'!$C$6:$C$10000),"PAS DE DATE"))</f>
        <v/>
      </c>
    </row>
    <row r="786" spans="1:22" x14ac:dyDescent="0.25">
      <c r="A786" s="3" t="str">
        <f t="shared" si="227"/>
        <v/>
      </c>
      <c r="B786" s="3" t="str">
        <f t="shared" si="228"/>
        <v/>
      </c>
      <c r="C786" s="3" t="str">
        <f t="shared" si="242"/>
        <v/>
      </c>
      <c r="D786" s="3" t="str">
        <f t="shared" si="229"/>
        <v/>
      </c>
      <c r="E786" s="3" t="str">
        <f t="shared" si="241"/>
        <v/>
      </c>
      <c r="F786" s="3" t="str">
        <f t="shared" si="230"/>
        <v/>
      </c>
      <c r="G786" s="3" t="str">
        <f t="shared" si="240"/>
        <v/>
      </c>
      <c r="H786" s="3" t="str">
        <f t="shared" si="231"/>
        <v/>
      </c>
      <c r="I786" s="3" t="str">
        <f t="shared" si="232"/>
        <v/>
      </c>
      <c r="J786" s="2" t="str">
        <f t="shared" si="233"/>
        <v/>
      </c>
      <c r="K786" s="2" t="str">
        <f>IF(W786="","",LOOKUP('Extraction edi'!J786,Paramètrage!$A$6:$A$179,Paramètrage!$B$6:$B$179))</f>
        <v/>
      </c>
      <c r="L786" s="2" t="str">
        <f>IF(W786="","",LOOKUP('Extraction edi'!J786,Paramètrage!$A$6:$A$179,Paramètrage!$C$6:$C$179))</f>
        <v/>
      </c>
      <c r="M786" s="2" t="str">
        <f>IF(W786="","",LOOKUP('Extraction edi'!J786,Paramètrage!$A$6:$A$179,Paramètrage!$D$6:$D$179))</f>
        <v/>
      </c>
      <c r="N786" s="3" t="str">
        <f>IF(W786="","",LOOKUP('Extraction edi'!J786,Paramètrage!$A$6:$A$179,Paramètrage!$E$6:$E$179))</f>
        <v/>
      </c>
      <c r="O786" s="3" t="str">
        <f t="shared" si="234"/>
        <v/>
      </c>
      <c r="P786" s="3" t="str">
        <f t="shared" si="235"/>
        <v/>
      </c>
      <c r="Q786" s="3" t="str">
        <f t="shared" si="243"/>
        <v/>
      </c>
      <c r="R786" s="3" t="str">
        <f t="shared" si="236"/>
        <v/>
      </c>
      <c r="S786" s="3" t="str">
        <f t="shared" si="237"/>
        <v/>
      </c>
      <c r="T786" s="4" t="str">
        <f t="shared" si="238"/>
        <v/>
      </c>
      <c r="U786" s="5" t="str">
        <f t="shared" si="239"/>
        <v/>
      </c>
      <c r="V786" s="7" t="str">
        <f>IF(W786="","",IF(LOOKUP(W786,'Extration 3E date commande'!$A$6:$A$10000)=W786,LOOKUP(W786,'Extration 3E date commande'!$A$6:$A$10000,'Extration 3E date commande'!$C$6:$C$10000),"PAS DE DATE"))</f>
        <v/>
      </c>
    </row>
    <row r="787" spans="1:22" x14ac:dyDescent="0.25">
      <c r="A787" s="3" t="str">
        <f t="shared" si="227"/>
        <v/>
      </c>
      <c r="B787" s="3" t="str">
        <f t="shared" si="228"/>
        <v/>
      </c>
      <c r="C787" s="3" t="str">
        <f t="shared" si="242"/>
        <v/>
      </c>
      <c r="D787" s="3" t="str">
        <f t="shared" si="229"/>
        <v/>
      </c>
      <c r="E787" s="3" t="str">
        <f t="shared" si="241"/>
        <v/>
      </c>
      <c r="F787" s="3" t="str">
        <f t="shared" si="230"/>
        <v/>
      </c>
      <c r="G787" s="3" t="str">
        <f t="shared" si="240"/>
        <v/>
      </c>
      <c r="H787" s="3" t="str">
        <f t="shared" si="231"/>
        <v/>
      </c>
      <c r="I787" s="3" t="str">
        <f t="shared" si="232"/>
        <v/>
      </c>
      <c r="J787" s="2" t="str">
        <f t="shared" si="233"/>
        <v/>
      </c>
      <c r="K787" s="2" t="str">
        <f>IF(W787="","",LOOKUP('Extraction edi'!J787,Paramètrage!$A$6:$A$179,Paramètrage!$B$6:$B$179))</f>
        <v/>
      </c>
      <c r="L787" s="2" t="str">
        <f>IF(W787="","",LOOKUP('Extraction edi'!J787,Paramètrage!$A$6:$A$179,Paramètrage!$C$6:$C$179))</f>
        <v/>
      </c>
      <c r="M787" s="2" t="str">
        <f>IF(W787="","",LOOKUP('Extraction edi'!J787,Paramètrage!$A$6:$A$179,Paramètrage!$D$6:$D$179))</f>
        <v/>
      </c>
      <c r="N787" s="3" t="str">
        <f>IF(W787="","",LOOKUP('Extraction edi'!J787,Paramètrage!$A$6:$A$179,Paramètrage!$E$6:$E$179))</f>
        <v/>
      </c>
      <c r="O787" s="3" t="str">
        <f t="shared" si="234"/>
        <v/>
      </c>
      <c r="P787" s="3" t="str">
        <f t="shared" si="235"/>
        <v/>
      </c>
      <c r="Q787" s="3" t="str">
        <f t="shared" si="243"/>
        <v/>
      </c>
      <c r="R787" s="3" t="str">
        <f t="shared" si="236"/>
        <v/>
      </c>
      <c r="S787" s="3" t="str">
        <f t="shared" si="237"/>
        <v/>
      </c>
      <c r="T787" s="4" t="str">
        <f t="shared" si="238"/>
        <v/>
      </c>
      <c r="U787" s="5" t="str">
        <f t="shared" si="239"/>
        <v/>
      </c>
      <c r="V787" s="7" t="str">
        <f>IF(W787="","",IF(LOOKUP(W787,'Extration 3E date commande'!$A$6:$A$10000)=W787,LOOKUP(W787,'Extration 3E date commande'!$A$6:$A$10000,'Extration 3E date commande'!$C$6:$C$10000),"PAS DE DATE"))</f>
        <v/>
      </c>
    </row>
    <row r="788" spans="1:22" x14ac:dyDescent="0.25">
      <c r="A788" s="3" t="str">
        <f t="shared" si="227"/>
        <v/>
      </c>
      <c r="B788" s="3" t="str">
        <f t="shared" si="228"/>
        <v/>
      </c>
      <c r="C788" s="3" t="str">
        <f t="shared" si="242"/>
        <v/>
      </c>
      <c r="D788" s="3" t="str">
        <f t="shared" si="229"/>
        <v/>
      </c>
      <c r="E788" s="3" t="str">
        <f t="shared" si="241"/>
        <v/>
      </c>
      <c r="F788" s="3" t="str">
        <f t="shared" si="230"/>
        <v/>
      </c>
      <c r="G788" s="3" t="str">
        <f t="shared" si="240"/>
        <v/>
      </c>
      <c r="H788" s="3" t="str">
        <f t="shared" si="231"/>
        <v/>
      </c>
      <c r="I788" s="3" t="str">
        <f t="shared" si="232"/>
        <v/>
      </c>
      <c r="J788" s="2" t="str">
        <f t="shared" si="233"/>
        <v/>
      </c>
      <c r="K788" s="2" t="str">
        <f>IF(W788="","",LOOKUP('Extraction edi'!J788,Paramètrage!$A$6:$A$179,Paramètrage!$B$6:$B$179))</f>
        <v/>
      </c>
      <c r="L788" s="2" t="str">
        <f>IF(W788="","",LOOKUP('Extraction edi'!J788,Paramètrage!$A$6:$A$179,Paramètrage!$C$6:$C$179))</f>
        <v/>
      </c>
      <c r="M788" s="2" t="str">
        <f>IF(W788="","",LOOKUP('Extraction edi'!J788,Paramètrage!$A$6:$A$179,Paramètrage!$D$6:$D$179))</f>
        <v/>
      </c>
      <c r="N788" s="3" t="str">
        <f>IF(W788="","",LOOKUP('Extraction edi'!J788,Paramètrage!$A$6:$A$179,Paramètrage!$E$6:$E$179))</f>
        <v/>
      </c>
      <c r="O788" s="3" t="str">
        <f t="shared" si="234"/>
        <v/>
      </c>
      <c r="P788" s="3" t="str">
        <f t="shared" si="235"/>
        <v/>
      </c>
      <c r="Q788" s="3" t="str">
        <f t="shared" si="243"/>
        <v/>
      </c>
      <c r="R788" s="3" t="str">
        <f t="shared" si="236"/>
        <v/>
      </c>
      <c r="S788" s="3" t="str">
        <f t="shared" si="237"/>
        <v/>
      </c>
      <c r="T788" s="4" t="str">
        <f t="shared" si="238"/>
        <v/>
      </c>
      <c r="U788" s="5" t="str">
        <f t="shared" si="239"/>
        <v/>
      </c>
      <c r="V788" s="7" t="str">
        <f>IF(W788="","",IF(LOOKUP(W788,'Extration 3E date commande'!$A$6:$A$10000)=W788,LOOKUP(W788,'Extration 3E date commande'!$A$6:$A$10000,'Extration 3E date commande'!$C$6:$C$10000),"PAS DE DATE"))</f>
        <v/>
      </c>
    </row>
    <row r="789" spans="1:22" x14ac:dyDescent="0.25">
      <c r="A789" s="3" t="str">
        <f t="shared" si="227"/>
        <v/>
      </c>
      <c r="B789" s="3" t="str">
        <f t="shared" si="228"/>
        <v/>
      </c>
      <c r="C789" s="3" t="str">
        <f t="shared" si="242"/>
        <v/>
      </c>
      <c r="D789" s="3" t="str">
        <f t="shared" si="229"/>
        <v/>
      </c>
      <c r="E789" s="3" t="str">
        <f t="shared" si="241"/>
        <v/>
      </c>
      <c r="F789" s="3" t="str">
        <f t="shared" si="230"/>
        <v/>
      </c>
      <c r="G789" s="3" t="str">
        <f t="shared" si="240"/>
        <v/>
      </c>
      <c r="H789" s="3" t="str">
        <f t="shared" si="231"/>
        <v/>
      </c>
      <c r="I789" s="3" t="str">
        <f t="shared" si="232"/>
        <v/>
      </c>
      <c r="J789" s="2" t="str">
        <f t="shared" si="233"/>
        <v/>
      </c>
      <c r="K789" s="2" t="str">
        <f>IF(W789="","",LOOKUP('Extraction edi'!J789,Paramètrage!$A$6:$A$179,Paramètrage!$B$6:$B$179))</f>
        <v/>
      </c>
      <c r="L789" s="2" t="str">
        <f>IF(W789="","",LOOKUP('Extraction edi'!J789,Paramètrage!$A$6:$A$179,Paramètrage!$C$6:$C$179))</f>
        <v/>
      </c>
      <c r="M789" s="2" t="str">
        <f>IF(W789="","",LOOKUP('Extraction edi'!J789,Paramètrage!$A$6:$A$179,Paramètrage!$D$6:$D$179))</f>
        <v/>
      </c>
      <c r="N789" s="3" t="str">
        <f>IF(W789="","",LOOKUP('Extraction edi'!J789,Paramètrage!$A$6:$A$179,Paramètrage!$E$6:$E$179))</f>
        <v/>
      </c>
      <c r="O789" s="3" t="str">
        <f t="shared" si="234"/>
        <v/>
      </c>
      <c r="P789" s="3" t="str">
        <f t="shared" si="235"/>
        <v/>
      </c>
      <c r="Q789" s="3" t="str">
        <f t="shared" si="243"/>
        <v/>
      </c>
      <c r="R789" s="3" t="str">
        <f t="shared" si="236"/>
        <v/>
      </c>
      <c r="S789" s="3" t="str">
        <f t="shared" si="237"/>
        <v/>
      </c>
      <c r="T789" s="4" t="str">
        <f t="shared" si="238"/>
        <v/>
      </c>
      <c r="U789" s="5" t="str">
        <f t="shared" si="239"/>
        <v/>
      </c>
      <c r="V789" s="7" t="str">
        <f>IF(W789="","",IF(LOOKUP(W789,'Extration 3E date commande'!$A$6:$A$10000)=W789,LOOKUP(W789,'Extration 3E date commande'!$A$6:$A$10000,'Extration 3E date commande'!$C$6:$C$10000),"PAS DE DATE"))</f>
        <v/>
      </c>
    </row>
    <row r="790" spans="1:22" x14ac:dyDescent="0.25">
      <c r="A790" s="3" t="str">
        <f t="shared" ref="A790:A853" si="244">IF(W790="","",LEFT(W790,7))</f>
        <v/>
      </c>
      <c r="B790" s="3" t="str">
        <f t="shared" ref="B790:B853" si="245">IF(W790="","",RIGHT(W790,3))</f>
        <v/>
      </c>
      <c r="C790" s="3" t="str">
        <f t="shared" si="242"/>
        <v/>
      </c>
      <c r="D790" s="3" t="str">
        <f t="shared" ref="D790:D853" si="246">IF(ISERROR(SEARCH("P",B790)),"","PE")</f>
        <v/>
      </c>
      <c r="E790" s="3" t="str">
        <f t="shared" ref="E790:E853" si="247">IF(ISERROR(SEARCH("U",B790))=FALSE,"ALU",IF(ISERROR(SEARCH("Y",B790)),"","ALU"))</f>
        <v/>
      </c>
      <c r="F790" s="3" t="str">
        <f t="shared" ref="F790:F853" si="248">IF(ISERROR(SEARCH("H",B790))=FALSE,"TEXTURAL",IF(ISERROR(SEARCH("Z",B790)),"","TEXTURAL"))</f>
        <v/>
      </c>
      <c r="G790" s="3" t="str">
        <f t="shared" ref="G790:G853" si="249">IF(B790="","",IF(C790="SAV","ZONE NEGOCE / RELIQUAT / SAV",IF(C790="NEGOCE","ZONE NEGOCE / RELIQUAT / SAV",IF(C790="RELIQUAT","ZONE NEGOCE / RELIQUAT / SAV",IF(E790="ALU","LIGNE VITRAGE ALU",IF(D790="PE","LIGNE VITRAGE PE",IF(F790="TEXTURAL","LIGNE VITRAGE TEXTURAL","LIGNE VITRAGE STANDARD")))))))</f>
        <v/>
      </c>
      <c r="H790" s="3" t="str">
        <f t="shared" ref="H790:H853" si="250">IF(W790="","",X790)</f>
        <v/>
      </c>
      <c r="I790" s="3" t="str">
        <f t="shared" ref="I790:I853" si="251">IF(W790="","",Z790)</f>
        <v/>
      </c>
      <c r="J790" s="2" t="str">
        <f t="shared" ref="J790:J853" si="252">IF(W790="","",IF(AND(T790=FALSE,T789=FALSE,T788=FALSE,T787=FALSE,T786=FALSE),AA785,IF(AND(T790=FALSE,T789=FALSE,T788=FALSE,T787=FALSE),AA786,IF(AND(T790=FALSE,T789=FALSE,T788=FALSE),AA787,IF(AND(T790=FALSE,T789=FALSE),AA788,IF(T790=FALSE,AA789,AA790))))))</f>
        <v/>
      </c>
      <c r="K790" s="2" t="str">
        <f>IF(W790="","",LOOKUP('Extraction edi'!J790,Paramètrage!$A$6:$A$179,Paramètrage!$B$6:$B$179))</f>
        <v/>
      </c>
      <c r="L790" s="2" t="str">
        <f>IF(W790="","",LOOKUP('Extraction edi'!J790,Paramètrage!$A$6:$A$179,Paramètrage!$C$6:$C$179))</f>
        <v/>
      </c>
      <c r="M790" s="2" t="str">
        <f>IF(W790="","",LOOKUP('Extraction edi'!J790,Paramètrage!$A$6:$A$179,Paramètrage!$D$6:$D$179))</f>
        <v/>
      </c>
      <c r="N790" s="3" t="str">
        <f>IF(W790="","",LOOKUP('Extraction edi'!J790,Paramètrage!$A$6:$A$179,Paramètrage!$E$6:$E$179))</f>
        <v/>
      </c>
      <c r="O790" s="3" t="str">
        <f t="shared" ref="O790:O853" si="253">IF(W790="","",IF(LEFT(AA790,4)="soub",AB790,IF(LEFT(AA790,3)="cim",AB790,AA790)))</f>
        <v/>
      </c>
      <c r="P790" s="3" t="str">
        <f t="shared" ref="P790:P853" si="254">IF(LEFT(U790,1)="N",SUBSTITUTE(AB790,"*",""),IF(LEFT(U790,1)="S",SUBSTITUTE(AB790,"*",""),IF(LEFT(U790,1)="G",SUBSTITUTE(AB790,"*",""),IF(LEN(U790)=11,SUBSTITUTE(AB790,"*",""),U790))))</f>
        <v/>
      </c>
      <c r="Q790" s="3" t="str">
        <f t="shared" si="243"/>
        <v/>
      </c>
      <c r="R790" s="3" t="str">
        <f t="shared" ref="R790:R853" si="255">IF(W790="","",IF(RIGHT(L790,7)="RAL9001",L790,IF(LEFT(AE790,1)="N",AE790,IF(LEFT(AE790,1)="S",AE790,IF(LEFT(AE790,1)="G",AE790,"")))))</f>
        <v/>
      </c>
      <c r="S790" s="3" t="str">
        <f t="shared" ref="S790:S853" si="256">IF(W790="","",IF(RIGHT(M790,7)="RAL9001",M790,IF(LEFT(AC790,1)="N",AC790,IF(LEFT(AC790,1)="S",AC790,IF(LEFT(AC790,1)="G",AC790,IF(LEFT(AD790,1)="N",AD790,IF(LEFT(AD790,1)="S",AD790,IF(LEFT(AD790,1)="G",AD790,""))))))))</f>
        <v/>
      </c>
      <c r="T790" s="4" t="str">
        <f t="shared" ref="T790:T853" si="257">IF(W790="","",IF(LEFT(AA790,4)&lt;&gt;"soub",IF(LEFT(AA790,3)&lt;&gt;"cim"=FALSE,AA790),AA790))</f>
        <v/>
      </c>
      <c r="U790" s="5" t="str">
        <f t="shared" ref="U790:U853" si="258">SUBSTITUTE(AC790,"*","")</f>
        <v/>
      </c>
      <c r="V790" s="7" t="str">
        <f>IF(W790="","",IF(LOOKUP(W790,'Extration 3E date commande'!$A$6:$A$10000)=W790,LOOKUP(W790,'Extration 3E date commande'!$A$6:$A$10000,'Extration 3E date commande'!$C$6:$C$10000),"PAS DE DATE"))</f>
        <v/>
      </c>
    </row>
    <row r="791" spans="1:22" x14ac:dyDescent="0.25">
      <c r="A791" s="3" t="str">
        <f t="shared" si="244"/>
        <v/>
      </c>
      <c r="B791" s="3" t="str">
        <f t="shared" si="245"/>
        <v/>
      </c>
      <c r="C791" s="3" t="str">
        <f t="shared" si="242"/>
        <v/>
      </c>
      <c r="D791" s="3" t="str">
        <f t="shared" si="246"/>
        <v/>
      </c>
      <c r="E791" s="3" t="str">
        <f t="shared" si="247"/>
        <v/>
      </c>
      <c r="F791" s="3" t="str">
        <f t="shared" si="248"/>
        <v/>
      </c>
      <c r="G791" s="3" t="str">
        <f t="shared" si="249"/>
        <v/>
      </c>
      <c r="H791" s="3" t="str">
        <f t="shared" si="250"/>
        <v/>
      </c>
      <c r="I791" s="3" t="str">
        <f t="shared" si="251"/>
        <v/>
      </c>
      <c r="J791" s="2" t="str">
        <f t="shared" si="252"/>
        <v/>
      </c>
      <c r="K791" s="2" t="str">
        <f>IF(W791="","",LOOKUP('Extraction edi'!J791,Paramètrage!$A$6:$A$179,Paramètrage!$B$6:$B$179))</f>
        <v/>
      </c>
      <c r="L791" s="2" t="str">
        <f>IF(W791="","",LOOKUP('Extraction edi'!J791,Paramètrage!$A$6:$A$179,Paramètrage!$C$6:$C$179))</f>
        <v/>
      </c>
      <c r="M791" s="2" t="str">
        <f>IF(W791="","",LOOKUP('Extraction edi'!J791,Paramètrage!$A$6:$A$179,Paramètrage!$D$6:$D$179))</f>
        <v/>
      </c>
      <c r="N791" s="3" t="str">
        <f>IF(W791="","",LOOKUP('Extraction edi'!J791,Paramètrage!$A$6:$A$179,Paramètrage!$E$6:$E$179))</f>
        <v/>
      </c>
      <c r="O791" s="3" t="str">
        <f t="shared" si="253"/>
        <v/>
      </c>
      <c r="P791" s="3" t="str">
        <f t="shared" si="254"/>
        <v/>
      </c>
      <c r="Q791" s="3" t="str">
        <f t="shared" si="243"/>
        <v/>
      </c>
      <c r="R791" s="3" t="str">
        <f t="shared" si="255"/>
        <v/>
      </c>
      <c r="S791" s="3" t="str">
        <f t="shared" si="256"/>
        <v/>
      </c>
      <c r="T791" s="4" t="str">
        <f t="shared" si="257"/>
        <v/>
      </c>
      <c r="U791" s="5" t="str">
        <f t="shared" si="258"/>
        <v/>
      </c>
      <c r="V791" s="7" t="str">
        <f>IF(W791="","",IF(LOOKUP(W791,'Extration 3E date commande'!$A$6:$A$10000)=W791,LOOKUP(W791,'Extration 3E date commande'!$A$6:$A$10000,'Extration 3E date commande'!$C$6:$C$10000),"PAS DE DATE"))</f>
        <v/>
      </c>
    </row>
    <row r="792" spans="1:22" x14ac:dyDescent="0.25">
      <c r="A792" s="3" t="str">
        <f t="shared" si="244"/>
        <v/>
      </c>
      <c r="B792" s="3" t="str">
        <f t="shared" si="245"/>
        <v/>
      </c>
      <c r="C792" s="3" t="str">
        <f t="shared" si="242"/>
        <v/>
      </c>
      <c r="D792" s="3" t="str">
        <f t="shared" si="246"/>
        <v/>
      </c>
      <c r="E792" s="3" t="str">
        <f t="shared" si="247"/>
        <v/>
      </c>
      <c r="F792" s="3" t="str">
        <f t="shared" si="248"/>
        <v/>
      </c>
      <c r="G792" s="3" t="str">
        <f t="shared" si="249"/>
        <v/>
      </c>
      <c r="H792" s="3" t="str">
        <f t="shared" si="250"/>
        <v/>
      </c>
      <c r="I792" s="3" t="str">
        <f t="shared" si="251"/>
        <v/>
      </c>
      <c r="J792" s="2" t="str">
        <f t="shared" si="252"/>
        <v/>
      </c>
      <c r="K792" s="2" t="str">
        <f>IF(W792="","",LOOKUP('Extraction edi'!J792,Paramètrage!$A$6:$A$179,Paramètrage!$B$6:$B$179))</f>
        <v/>
      </c>
      <c r="L792" s="2" t="str">
        <f>IF(W792="","",LOOKUP('Extraction edi'!J792,Paramètrage!$A$6:$A$179,Paramètrage!$C$6:$C$179))</f>
        <v/>
      </c>
      <c r="M792" s="2" t="str">
        <f>IF(W792="","",LOOKUP('Extraction edi'!J792,Paramètrage!$A$6:$A$179,Paramètrage!$D$6:$D$179))</f>
        <v/>
      </c>
      <c r="N792" s="3" t="str">
        <f>IF(W792="","",LOOKUP('Extraction edi'!J792,Paramètrage!$A$6:$A$179,Paramètrage!$E$6:$E$179))</f>
        <v/>
      </c>
      <c r="O792" s="3" t="str">
        <f t="shared" si="253"/>
        <v/>
      </c>
      <c r="P792" s="3" t="str">
        <f t="shared" si="254"/>
        <v/>
      </c>
      <c r="Q792" s="3" t="str">
        <f t="shared" si="243"/>
        <v/>
      </c>
      <c r="R792" s="3" t="str">
        <f t="shared" si="255"/>
        <v/>
      </c>
      <c r="S792" s="3" t="str">
        <f t="shared" si="256"/>
        <v/>
      </c>
      <c r="T792" s="4" t="str">
        <f t="shared" si="257"/>
        <v/>
      </c>
      <c r="U792" s="5" t="str">
        <f t="shared" si="258"/>
        <v/>
      </c>
      <c r="V792" s="7" t="str">
        <f>IF(W792="","",IF(LOOKUP(W792,'Extration 3E date commande'!$A$6:$A$10000)=W792,LOOKUP(W792,'Extration 3E date commande'!$A$6:$A$10000,'Extration 3E date commande'!$C$6:$C$10000),"PAS DE DATE"))</f>
        <v/>
      </c>
    </row>
    <row r="793" spans="1:22" x14ac:dyDescent="0.25">
      <c r="A793" s="3" t="str">
        <f t="shared" si="244"/>
        <v/>
      </c>
      <c r="B793" s="3" t="str">
        <f t="shared" si="245"/>
        <v/>
      </c>
      <c r="C793" s="3" t="str">
        <f t="shared" ref="C793:C853" si="259">IF(ISERROR(SEARCH("ELI",B793))=FALSE,"RELIQUAT",IF(ISERROR(SEARCH("N",B793))=FALSE,"NEGOCE",IF(ISERROR(SEARCH("S",B793))=FALSE,"SAV",IF(ISERROR(SEARCH("J",B793)),"","SAV"))))</f>
        <v/>
      </c>
      <c r="D793" s="3" t="str">
        <f t="shared" si="246"/>
        <v/>
      </c>
      <c r="E793" s="3" t="str">
        <f t="shared" si="247"/>
        <v/>
      </c>
      <c r="F793" s="3" t="str">
        <f t="shared" si="248"/>
        <v/>
      </c>
      <c r="G793" s="3" t="str">
        <f t="shared" si="249"/>
        <v/>
      </c>
      <c r="H793" s="3" t="str">
        <f t="shared" si="250"/>
        <v/>
      </c>
      <c r="I793" s="3" t="str">
        <f t="shared" si="251"/>
        <v/>
      </c>
      <c r="J793" s="2" t="str">
        <f t="shared" si="252"/>
        <v/>
      </c>
      <c r="K793" s="2" t="str">
        <f>IF(W793="","",LOOKUP('Extraction edi'!J793,Paramètrage!$A$6:$A$179,Paramètrage!$B$6:$B$179))</f>
        <v/>
      </c>
      <c r="L793" s="2" t="str">
        <f>IF(W793="","",LOOKUP('Extraction edi'!J793,Paramètrage!$A$6:$A$179,Paramètrage!$C$6:$C$179))</f>
        <v/>
      </c>
      <c r="M793" s="2" t="str">
        <f>IF(W793="","",LOOKUP('Extraction edi'!J793,Paramètrage!$A$6:$A$179,Paramètrage!$D$6:$D$179))</f>
        <v/>
      </c>
      <c r="N793" s="3" t="str">
        <f>IF(W793="","",LOOKUP('Extraction edi'!J793,Paramètrage!$A$6:$A$179,Paramètrage!$E$6:$E$179))</f>
        <v/>
      </c>
      <c r="O793" s="3" t="str">
        <f t="shared" si="253"/>
        <v/>
      </c>
      <c r="P793" s="3" t="str">
        <f t="shared" si="254"/>
        <v/>
      </c>
      <c r="Q793" s="3" t="str">
        <f t="shared" si="243"/>
        <v/>
      </c>
      <c r="R793" s="3" t="str">
        <f t="shared" si="255"/>
        <v/>
      </c>
      <c r="S793" s="3" t="str">
        <f t="shared" si="256"/>
        <v/>
      </c>
      <c r="T793" s="4" t="str">
        <f t="shared" si="257"/>
        <v/>
      </c>
      <c r="U793" s="5" t="str">
        <f t="shared" si="258"/>
        <v/>
      </c>
      <c r="V793" s="7" t="str">
        <f>IF(W793="","",IF(LOOKUP(W793,'Extration 3E date commande'!$A$6:$A$10000)=W793,LOOKUP(W793,'Extration 3E date commande'!$A$6:$A$10000,'Extration 3E date commande'!$C$6:$C$10000),"PAS DE DATE"))</f>
        <v/>
      </c>
    </row>
    <row r="794" spans="1:22" x14ac:dyDescent="0.25">
      <c r="A794" s="3" t="str">
        <f t="shared" si="244"/>
        <v/>
      </c>
      <c r="B794" s="3" t="str">
        <f t="shared" si="245"/>
        <v/>
      </c>
      <c r="C794" s="3" t="str">
        <f t="shared" si="259"/>
        <v/>
      </c>
      <c r="D794" s="3" t="str">
        <f t="shared" si="246"/>
        <v/>
      </c>
      <c r="E794" s="3" t="str">
        <f t="shared" si="247"/>
        <v/>
      </c>
      <c r="F794" s="3" t="str">
        <f t="shared" si="248"/>
        <v/>
      </c>
      <c r="G794" s="3" t="str">
        <f t="shared" si="249"/>
        <v/>
      </c>
      <c r="H794" s="3" t="str">
        <f t="shared" si="250"/>
        <v/>
      </c>
      <c r="I794" s="3" t="str">
        <f t="shared" si="251"/>
        <v/>
      </c>
      <c r="J794" s="2" t="str">
        <f t="shared" si="252"/>
        <v/>
      </c>
      <c r="K794" s="2" t="str">
        <f>IF(W794="","",LOOKUP('Extraction edi'!J794,Paramètrage!$A$6:$A$179,Paramètrage!$B$6:$B$179))</f>
        <v/>
      </c>
      <c r="L794" s="2" t="str">
        <f>IF(W794="","",LOOKUP('Extraction edi'!J794,Paramètrage!$A$6:$A$179,Paramètrage!$C$6:$C$179))</f>
        <v/>
      </c>
      <c r="M794" s="2" t="str">
        <f>IF(W794="","",LOOKUP('Extraction edi'!J794,Paramètrage!$A$6:$A$179,Paramètrage!$D$6:$D$179))</f>
        <v/>
      </c>
      <c r="N794" s="3" t="str">
        <f>IF(W794="","",LOOKUP('Extraction edi'!J794,Paramètrage!$A$6:$A$179,Paramètrage!$E$6:$E$179))</f>
        <v/>
      </c>
      <c r="O794" s="3" t="str">
        <f t="shared" si="253"/>
        <v/>
      </c>
      <c r="P794" s="3" t="str">
        <f t="shared" si="254"/>
        <v/>
      </c>
      <c r="Q794" s="3" t="str">
        <f t="shared" si="243"/>
        <v/>
      </c>
      <c r="R794" s="3" t="str">
        <f t="shared" si="255"/>
        <v/>
      </c>
      <c r="S794" s="3" t="str">
        <f t="shared" si="256"/>
        <v/>
      </c>
      <c r="T794" s="4" t="str">
        <f t="shared" si="257"/>
        <v/>
      </c>
      <c r="U794" s="5" t="str">
        <f t="shared" si="258"/>
        <v/>
      </c>
      <c r="V794" s="7" t="str">
        <f>IF(W794="","",IF(LOOKUP(W794,'Extration 3E date commande'!$A$6:$A$10000)=W794,LOOKUP(W794,'Extration 3E date commande'!$A$6:$A$10000,'Extration 3E date commande'!$C$6:$C$10000),"PAS DE DATE"))</f>
        <v/>
      </c>
    </row>
    <row r="795" spans="1:22" x14ac:dyDescent="0.25">
      <c r="A795" s="3" t="str">
        <f t="shared" si="244"/>
        <v/>
      </c>
      <c r="B795" s="3" t="str">
        <f t="shared" si="245"/>
        <v/>
      </c>
      <c r="C795" s="3" t="str">
        <f t="shared" si="259"/>
        <v/>
      </c>
      <c r="D795" s="3" t="str">
        <f t="shared" si="246"/>
        <v/>
      </c>
      <c r="E795" s="3" t="str">
        <f t="shared" si="247"/>
        <v/>
      </c>
      <c r="F795" s="3" t="str">
        <f t="shared" si="248"/>
        <v/>
      </c>
      <c r="G795" s="3" t="str">
        <f t="shared" si="249"/>
        <v/>
      </c>
      <c r="H795" s="3" t="str">
        <f t="shared" si="250"/>
        <v/>
      </c>
      <c r="I795" s="3" t="str">
        <f t="shared" si="251"/>
        <v/>
      </c>
      <c r="J795" s="2" t="str">
        <f t="shared" si="252"/>
        <v/>
      </c>
      <c r="K795" s="2" t="str">
        <f>IF(W795="","",LOOKUP('Extraction edi'!J795,Paramètrage!$A$6:$A$179,Paramètrage!$B$6:$B$179))</f>
        <v/>
      </c>
      <c r="L795" s="2" t="str">
        <f>IF(W795="","",LOOKUP('Extraction edi'!J795,Paramètrage!$A$6:$A$179,Paramètrage!$C$6:$C$179))</f>
        <v/>
      </c>
      <c r="M795" s="2" t="str">
        <f>IF(W795="","",LOOKUP('Extraction edi'!J795,Paramètrage!$A$6:$A$179,Paramètrage!$D$6:$D$179))</f>
        <v/>
      </c>
      <c r="N795" s="3" t="str">
        <f>IF(W795="","",LOOKUP('Extraction edi'!J795,Paramètrage!$A$6:$A$179,Paramètrage!$E$6:$E$179))</f>
        <v/>
      </c>
      <c r="O795" s="3" t="str">
        <f t="shared" si="253"/>
        <v/>
      </c>
      <c r="P795" s="3" t="str">
        <f t="shared" si="254"/>
        <v/>
      </c>
      <c r="Q795" s="3" t="str">
        <f t="shared" si="243"/>
        <v/>
      </c>
      <c r="R795" s="3" t="str">
        <f t="shared" si="255"/>
        <v/>
      </c>
      <c r="S795" s="3" t="str">
        <f t="shared" si="256"/>
        <v/>
      </c>
      <c r="T795" s="4" t="str">
        <f t="shared" si="257"/>
        <v/>
      </c>
      <c r="U795" s="5" t="str">
        <f t="shared" si="258"/>
        <v/>
      </c>
      <c r="V795" s="7" t="str">
        <f>IF(W795="","",IF(LOOKUP(W795,'Extration 3E date commande'!$A$6:$A$10000)=W795,LOOKUP(W795,'Extration 3E date commande'!$A$6:$A$10000,'Extration 3E date commande'!$C$6:$C$10000),"PAS DE DATE"))</f>
        <v/>
      </c>
    </row>
    <row r="796" spans="1:22" x14ac:dyDescent="0.25">
      <c r="A796" s="3" t="str">
        <f t="shared" si="244"/>
        <v/>
      </c>
      <c r="B796" s="3" t="str">
        <f t="shared" si="245"/>
        <v/>
      </c>
      <c r="C796" s="3" t="str">
        <f t="shared" si="259"/>
        <v/>
      </c>
      <c r="D796" s="3" t="str">
        <f t="shared" si="246"/>
        <v/>
      </c>
      <c r="E796" s="3" t="str">
        <f t="shared" si="247"/>
        <v/>
      </c>
      <c r="F796" s="3" t="str">
        <f t="shared" si="248"/>
        <v/>
      </c>
      <c r="G796" s="3" t="str">
        <f t="shared" si="249"/>
        <v/>
      </c>
      <c r="H796" s="3" t="str">
        <f t="shared" si="250"/>
        <v/>
      </c>
      <c r="I796" s="3" t="str">
        <f t="shared" si="251"/>
        <v/>
      </c>
      <c r="J796" s="2" t="str">
        <f t="shared" si="252"/>
        <v/>
      </c>
      <c r="K796" s="2" t="str">
        <f>IF(W796="","",LOOKUP('Extraction edi'!J796,Paramètrage!$A$6:$A$179,Paramètrage!$B$6:$B$179))</f>
        <v/>
      </c>
      <c r="L796" s="2" t="str">
        <f>IF(W796="","",LOOKUP('Extraction edi'!J796,Paramètrage!$A$6:$A$179,Paramètrage!$C$6:$C$179))</f>
        <v/>
      </c>
      <c r="M796" s="2" t="str">
        <f>IF(W796="","",LOOKUP('Extraction edi'!J796,Paramètrage!$A$6:$A$179,Paramètrage!$D$6:$D$179))</f>
        <v/>
      </c>
      <c r="N796" s="3" t="str">
        <f>IF(W796="","",LOOKUP('Extraction edi'!J796,Paramètrage!$A$6:$A$179,Paramètrage!$E$6:$E$179))</f>
        <v/>
      </c>
      <c r="O796" s="3" t="str">
        <f t="shared" si="253"/>
        <v/>
      </c>
      <c r="P796" s="3" t="str">
        <f t="shared" si="254"/>
        <v/>
      </c>
      <c r="Q796" s="3" t="str">
        <f t="shared" si="243"/>
        <v/>
      </c>
      <c r="R796" s="3" t="str">
        <f t="shared" si="255"/>
        <v/>
      </c>
      <c r="S796" s="3" t="str">
        <f t="shared" si="256"/>
        <v/>
      </c>
      <c r="T796" s="4" t="str">
        <f t="shared" si="257"/>
        <v/>
      </c>
      <c r="U796" s="5" t="str">
        <f t="shared" si="258"/>
        <v/>
      </c>
      <c r="V796" s="7" t="str">
        <f>IF(W796="","",IF(LOOKUP(W796,'Extration 3E date commande'!$A$6:$A$10000)=W796,LOOKUP(W796,'Extration 3E date commande'!$A$6:$A$10000,'Extration 3E date commande'!$C$6:$C$10000),"PAS DE DATE"))</f>
        <v/>
      </c>
    </row>
    <row r="797" spans="1:22" x14ac:dyDescent="0.25">
      <c r="A797" s="3" t="str">
        <f t="shared" si="244"/>
        <v/>
      </c>
      <c r="B797" s="3" t="str">
        <f t="shared" si="245"/>
        <v/>
      </c>
      <c r="C797" s="3" t="str">
        <f t="shared" si="259"/>
        <v/>
      </c>
      <c r="D797" s="3" t="str">
        <f t="shared" si="246"/>
        <v/>
      </c>
      <c r="E797" s="3" t="str">
        <f t="shared" si="247"/>
        <v/>
      </c>
      <c r="F797" s="3" t="str">
        <f t="shared" si="248"/>
        <v/>
      </c>
      <c r="G797" s="3" t="str">
        <f t="shared" si="249"/>
        <v/>
      </c>
      <c r="H797" s="3" t="str">
        <f t="shared" si="250"/>
        <v/>
      </c>
      <c r="I797" s="3" t="str">
        <f t="shared" si="251"/>
        <v/>
      </c>
      <c r="J797" s="2" t="str">
        <f t="shared" si="252"/>
        <v/>
      </c>
      <c r="K797" s="2" t="str">
        <f>IF(W797="","",LOOKUP('Extraction edi'!J797,Paramètrage!$A$6:$A$179,Paramètrage!$B$6:$B$179))</f>
        <v/>
      </c>
      <c r="L797" s="2" t="str">
        <f>IF(W797="","",LOOKUP('Extraction edi'!J797,Paramètrage!$A$6:$A$179,Paramètrage!$C$6:$C$179))</f>
        <v/>
      </c>
      <c r="M797" s="2" t="str">
        <f>IF(W797="","",LOOKUP('Extraction edi'!J797,Paramètrage!$A$6:$A$179,Paramètrage!$D$6:$D$179))</f>
        <v/>
      </c>
      <c r="N797" s="3" t="str">
        <f>IF(W797="","",LOOKUP('Extraction edi'!J797,Paramètrage!$A$6:$A$179,Paramètrage!$E$6:$E$179))</f>
        <v/>
      </c>
      <c r="O797" s="3" t="str">
        <f t="shared" si="253"/>
        <v/>
      </c>
      <c r="P797" s="3" t="str">
        <f t="shared" si="254"/>
        <v/>
      </c>
      <c r="Q797" s="3" t="str">
        <f t="shared" si="243"/>
        <v/>
      </c>
      <c r="R797" s="3" t="str">
        <f t="shared" si="255"/>
        <v/>
      </c>
      <c r="S797" s="3" t="str">
        <f t="shared" si="256"/>
        <v/>
      </c>
      <c r="T797" s="4" t="str">
        <f t="shared" si="257"/>
        <v/>
      </c>
      <c r="U797" s="5" t="str">
        <f t="shared" si="258"/>
        <v/>
      </c>
      <c r="V797" s="7" t="str">
        <f>IF(W797="","",IF(LOOKUP(W797,'Extration 3E date commande'!$A$6:$A$10000)=W797,LOOKUP(W797,'Extration 3E date commande'!$A$6:$A$10000,'Extration 3E date commande'!$C$6:$C$10000),"PAS DE DATE"))</f>
        <v/>
      </c>
    </row>
    <row r="798" spans="1:22" x14ac:dyDescent="0.25">
      <c r="A798" s="3" t="str">
        <f t="shared" si="244"/>
        <v/>
      </c>
      <c r="B798" s="3" t="str">
        <f t="shared" si="245"/>
        <v/>
      </c>
      <c r="C798" s="3" t="str">
        <f t="shared" si="259"/>
        <v/>
      </c>
      <c r="D798" s="3" t="str">
        <f t="shared" si="246"/>
        <v/>
      </c>
      <c r="E798" s="3" t="str">
        <f t="shared" si="247"/>
        <v/>
      </c>
      <c r="F798" s="3" t="str">
        <f t="shared" si="248"/>
        <v/>
      </c>
      <c r="G798" s="3" t="str">
        <f t="shared" si="249"/>
        <v/>
      </c>
      <c r="H798" s="3" t="str">
        <f t="shared" si="250"/>
        <v/>
      </c>
      <c r="I798" s="3" t="str">
        <f t="shared" si="251"/>
        <v/>
      </c>
      <c r="J798" s="2" t="str">
        <f t="shared" si="252"/>
        <v/>
      </c>
      <c r="K798" s="2" t="str">
        <f>IF(W798="","",LOOKUP('Extraction edi'!J798,Paramètrage!$A$6:$A$179,Paramètrage!$B$6:$B$179))</f>
        <v/>
      </c>
      <c r="L798" s="2" t="str">
        <f>IF(W798="","",LOOKUP('Extraction edi'!J798,Paramètrage!$A$6:$A$179,Paramètrage!$C$6:$C$179))</f>
        <v/>
      </c>
      <c r="M798" s="2" t="str">
        <f>IF(W798="","",LOOKUP('Extraction edi'!J798,Paramètrage!$A$6:$A$179,Paramètrage!$D$6:$D$179))</f>
        <v/>
      </c>
      <c r="N798" s="3" t="str">
        <f>IF(W798="","",LOOKUP('Extraction edi'!J798,Paramètrage!$A$6:$A$179,Paramètrage!$E$6:$E$179))</f>
        <v/>
      </c>
      <c r="O798" s="3" t="str">
        <f t="shared" si="253"/>
        <v/>
      </c>
      <c r="P798" s="3" t="str">
        <f t="shared" si="254"/>
        <v/>
      </c>
      <c r="Q798" s="3" t="str">
        <f t="shared" si="243"/>
        <v/>
      </c>
      <c r="R798" s="3" t="str">
        <f t="shared" si="255"/>
        <v/>
      </c>
      <c r="S798" s="3" t="str">
        <f t="shared" si="256"/>
        <v/>
      </c>
      <c r="T798" s="4" t="str">
        <f t="shared" si="257"/>
        <v/>
      </c>
      <c r="U798" s="5" t="str">
        <f t="shared" si="258"/>
        <v/>
      </c>
      <c r="V798" s="7" t="str">
        <f>IF(W798="","",IF(LOOKUP(W798,'Extration 3E date commande'!$A$6:$A$10000)=W798,LOOKUP(W798,'Extration 3E date commande'!$A$6:$A$10000,'Extration 3E date commande'!$C$6:$C$10000),"PAS DE DATE"))</f>
        <v/>
      </c>
    </row>
    <row r="799" spans="1:22" x14ac:dyDescent="0.25">
      <c r="A799" s="3" t="str">
        <f t="shared" si="244"/>
        <v/>
      </c>
      <c r="B799" s="3" t="str">
        <f t="shared" si="245"/>
        <v/>
      </c>
      <c r="C799" s="3" t="str">
        <f t="shared" si="259"/>
        <v/>
      </c>
      <c r="D799" s="3" t="str">
        <f t="shared" si="246"/>
        <v/>
      </c>
      <c r="E799" s="3" t="str">
        <f t="shared" si="247"/>
        <v/>
      </c>
      <c r="F799" s="3" t="str">
        <f t="shared" si="248"/>
        <v/>
      </c>
      <c r="G799" s="3" t="str">
        <f t="shared" si="249"/>
        <v/>
      </c>
      <c r="H799" s="3" t="str">
        <f t="shared" si="250"/>
        <v/>
      </c>
      <c r="I799" s="3" t="str">
        <f t="shared" si="251"/>
        <v/>
      </c>
      <c r="J799" s="2" t="str">
        <f t="shared" si="252"/>
        <v/>
      </c>
      <c r="K799" s="2" t="str">
        <f>IF(W799="","",LOOKUP('Extraction edi'!J799,Paramètrage!$A$6:$A$179,Paramètrage!$B$6:$B$179))</f>
        <v/>
      </c>
      <c r="L799" s="2" t="str">
        <f>IF(W799="","",LOOKUP('Extraction edi'!J799,Paramètrage!$A$6:$A$179,Paramètrage!$C$6:$C$179))</f>
        <v/>
      </c>
      <c r="M799" s="2" t="str">
        <f>IF(W799="","",LOOKUP('Extraction edi'!J799,Paramètrage!$A$6:$A$179,Paramètrage!$D$6:$D$179))</f>
        <v/>
      </c>
      <c r="N799" s="3" t="str">
        <f>IF(W799="","",LOOKUP('Extraction edi'!J799,Paramètrage!$A$6:$A$179,Paramètrage!$E$6:$E$179))</f>
        <v/>
      </c>
      <c r="O799" s="3" t="str">
        <f t="shared" si="253"/>
        <v/>
      </c>
      <c r="P799" s="3" t="str">
        <f t="shared" si="254"/>
        <v/>
      </c>
      <c r="Q799" s="3" t="str">
        <f t="shared" si="243"/>
        <v/>
      </c>
      <c r="R799" s="3" t="str">
        <f t="shared" si="255"/>
        <v/>
      </c>
      <c r="S799" s="3" t="str">
        <f t="shared" si="256"/>
        <v/>
      </c>
      <c r="T799" s="4" t="str">
        <f t="shared" si="257"/>
        <v/>
      </c>
      <c r="U799" s="5" t="str">
        <f t="shared" si="258"/>
        <v/>
      </c>
      <c r="V799" s="7" t="str">
        <f>IF(W799="","",IF(LOOKUP(W799,'Extration 3E date commande'!$A$6:$A$10000)=W799,LOOKUP(W799,'Extration 3E date commande'!$A$6:$A$10000,'Extration 3E date commande'!$C$6:$C$10000),"PAS DE DATE"))</f>
        <v/>
      </c>
    </row>
    <row r="800" spans="1:22" x14ac:dyDescent="0.25">
      <c r="A800" s="3" t="str">
        <f t="shared" si="244"/>
        <v/>
      </c>
      <c r="B800" s="3" t="str">
        <f t="shared" si="245"/>
        <v/>
      </c>
      <c r="C800" s="3" t="str">
        <f t="shared" si="259"/>
        <v/>
      </c>
      <c r="D800" s="3" t="str">
        <f t="shared" si="246"/>
        <v/>
      </c>
      <c r="E800" s="3" t="str">
        <f t="shared" si="247"/>
        <v/>
      </c>
      <c r="F800" s="3" t="str">
        <f t="shared" si="248"/>
        <v/>
      </c>
      <c r="G800" s="3" t="str">
        <f t="shared" si="249"/>
        <v/>
      </c>
      <c r="H800" s="3" t="str">
        <f t="shared" si="250"/>
        <v/>
      </c>
      <c r="I800" s="3" t="str">
        <f t="shared" si="251"/>
        <v/>
      </c>
      <c r="J800" s="2" t="str">
        <f t="shared" si="252"/>
        <v/>
      </c>
      <c r="K800" s="2" t="str">
        <f>IF(W800="","",LOOKUP('Extraction edi'!J800,Paramètrage!$A$6:$A$179,Paramètrage!$B$6:$B$179))</f>
        <v/>
      </c>
      <c r="L800" s="2" t="str">
        <f>IF(W800="","",LOOKUP('Extraction edi'!J800,Paramètrage!$A$6:$A$179,Paramètrage!$C$6:$C$179))</f>
        <v/>
      </c>
      <c r="M800" s="2" t="str">
        <f>IF(W800="","",LOOKUP('Extraction edi'!J800,Paramètrage!$A$6:$A$179,Paramètrage!$D$6:$D$179))</f>
        <v/>
      </c>
      <c r="N800" s="3" t="str">
        <f>IF(W800="","",LOOKUP('Extraction edi'!J800,Paramètrage!$A$6:$A$179,Paramètrage!$E$6:$E$179))</f>
        <v/>
      </c>
      <c r="O800" s="3" t="str">
        <f t="shared" si="253"/>
        <v/>
      </c>
      <c r="P800" s="3" t="str">
        <f t="shared" si="254"/>
        <v/>
      </c>
      <c r="Q800" s="3" t="str">
        <f t="shared" si="243"/>
        <v/>
      </c>
      <c r="R800" s="3" t="str">
        <f t="shared" si="255"/>
        <v/>
      </c>
      <c r="S800" s="3" t="str">
        <f t="shared" si="256"/>
        <v/>
      </c>
      <c r="T800" s="4" t="str">
        <f t="shared" si="257"/>
        <v/>
      </c>
      <c r="U800" s="5" t="str">
        <f t="shared" si="258"/>
        <v/>
      </c>
      <c r="V800" s="7" t="str">
        <f>IF(W800="","",IF(LOOKUP(W800,'Extration 3E date commande'!$A$6:$A$10000)=W800,LOOKUP(W800,'Extration 3E date commande'!$A$6:$A$10000,'Extration 3E date commande'!$C$6:$C$10000),"PAS DE DATE"))</f>
        <v/>
      </c>
    </row>
    <row r="801" spans="1:22" x14ac:dyDescent="0.25">
      <c r="A801" s="3" t="str">
        <f t="shared" si="244"/>
        <v/>
      </c>
      <c r="B801" s="3" t="str">
        <f t="shared" si="245"/>
        <v/>
      </c>
      <c r="C801" s="3" t="str">
        <f t="shared" si="259"/>
        <v/>
      </c>
      <c r="D801" s="3" t="str">
        <f t="shared" si="246"/>
        <v/>
      </c>
      <c r="E801" s="3" t="str">
        <f t="shared" si="247"/>
        <v/>
      </c>
      <c r="F801" s="3" t="str">
        <f t="shared" si="248"/>
        <v/>
      </c>
      <c r="G801" s="3" t="str">
        <f t="shared" si="249"/>
        <v/>
      </c>
      <c r="H801" s="3" t="str">
        <f t="shared" si="250"/>
        <v/>
      </c>
      <c r="I801" s="3" t="str">
        <f t="shared" si="251"/>
        <v/>
      </c>
      <c r="J801" s="2" t="str">
        <f t="shared" si="252"/>
        <v/>
      </c>
      <c r="K801" s="2" t="str">
        <f>IF(W801="","",LOOKUP('Extraction edi'!J801,Paramètrage!$A$6:$A$179,Paramètrage!$B$6:$B$179))</f>
        <v/>
      </c>
      <c r="L801" s="2" t="str">
        <f>IF(W801="","",LOOKUP('Extraction edi'!J801,Paramètrage!$A$6:$A$179,Paramètrage!$C$6:$C$179))</f>
        <v/>
      </c>
      <c r="M801" s="2" t="str">
        <f>IF(W801="","",LOOKUP('Extraction edi'!J801,Paramètrage!$A$6:$A$179,Paramètrage!$D$6:$D$179))</f>
        <v/>
      </c>
      <c r="N801" s="3" t="str">
        <f>IF(W801="","",LOOKUP('Extraction edi'!J801,Paramètrage!$A$6:$A$179,Paramètrage!$E$6:$E$179))</f>
        <v/>
      </c>
      <c r="O801" s="3" t="str">
        <f t="shared" si="253"/>
        <v/>
      </c>
      <c r="P801" s="3" t="str">
        <f t="shared" si="254"/>
        <v/>
      </c>
      <c r="Q801" s="3" t="str">
        <f t="shared" si="243"/>
        <v/>
      </c>
      <c r="R801" s="3" t="str">
        <f t="shared" si="255"/>
        <v/>
      </c>
      <c r="S801" s="3" t="str">
        <f t="shared" si="256"/>
        <v/>
      </c>
      <c r="T801" s="4" t="str">
        <f t="shared" si="257"/>
        <v/>
      </c>
      <c r="U801" s="5" t="str">
        <f t="shared" si="258"/>
        <v/>
      </c>
      <c r="V801" s="7" t="str">
        <f>IF(W801="","",IF(LOOKUP(W801,'Extration 3E date commande'!$A$6:$A$10000)=W801,LOOKUP(W801,'Extration 3E date commande'!$A$6:$A$10000,'Extration 3E date commande'!$C$6:$C$10000),"PAS DE DATE"))</f>
        <v/>
      </c>
    </row>
    <row r="802" spans="1:22" x14ac:dyDescent="0.25">
      <c r="A802" s="3" t="str">
        <f t="shared" si="244"/>
        <v/>
      </c>
      <c r="B802" s="3" t="str">
        <f t="shared" si="245"/>
        <v/>
      </c>
      <c r="C802" s="3" t="str">
        <f t="shared" si="259"/>
        <v/>
      </c>
      <c r="D802" s="3" t="str">
        <f t="shared" si="246"/>
        <v/>
      </c>
      <c r="E802" s="3" t="str">
        <f t="shared" si="247"/>
        <v/>
      </c>
      <c r="F802" s="3" t="str">
        <f t="shared" si="248"/>
        <v/>
      </c>
      <c r="G802" s="3" t="str">
        <f t="shared" si="249"/>
        <v/>
      </c>
      <c r="H802" s="3" t="str">
        <f t="shared" si="250"/>
        <v/>
      </c>
      <c r="I802" s="3" t="str">
        <f t="shared" si="251"/>
        <v/>
      </c>
      <c r="J802" s="2" t="str">
        <f t="shared" si="252"/>
        <v/>
      </c>
      <c r="K802" s="2" t="str">
        <f>IF(W802="","",LOOKUP('Extraction edi'!J802,Paramètrage!$A$6:$A$179,Paramètrage!$B$6:$B$179))</f>
        <v/>
      </c>
      <c r="L802" s="2" t="str">
        <f>IF(W802="","",LOOKUP('Extraction edi'!J802,Paramètrage!$A$6:$A$179,Paramètrage!$C$6:$C$179))</f>
        <v/>
      </c>
      <c r="M802" s="2" t="str">
        <f>IF(W802="","",LOOKUP('Extraction edi'!J802,Paramètrage!$A$6:$A$179,Paramètrage!$D$6:$D$179))</f>
        <v/>
      </c>
      <c r="N802" s="3" t="str">
        <f>IF(W802="","",LOOKUP('Extraction edi'!J802,Paramètrage!$A$6:$A$179,Paramètrage!$E$6:$E$179))</f>
        <v/>
      </c>
      <c r="O802" s="3" t="str">
        <f t="shared" si="253"/>
        <v/>
      </c>
      <c r="P802" s="3" t="str">
        <f t="shared" si="254"/>
        <v/>
      </c>
      <c r="Q802" s="3" t="str">
        <f t="shared" si="243"/>
        <v/>
      </c>
      <c r="R802" s="3" t="str">
        <f t="shared" si="255"/>
        <v/>
      </c>
      <c r="S802" s="3" t="str">
        <f t="shared" si="256"/>
        <v/>
      </c>
      <c r="T802" s="4" t="str">
        <f t="shared" si="257"/>
        <v/>
      </c>
      <c r="U802" s="5" t="str">
        <f t="shared" si="258"/>
        <v/>
      </c>
      <c r="V802" s="7" t="str">
        <f>IF(W802="","",IF(LOOKUP(W802,'Extration 3E date commande'!$A$6:$A$10000)=W802,LOOKUP(W802,'Extration 3E date commande'!$A$6:$A$10000,'Extration 3E date commande'!$C$6:$C$10000),"PAS DE DATE"))</f>
        <v/>
      </c>
    </row>
    <row r="803" spans="1:22" x14ac:dyDescent="0.25">
      <c r="A803" s="3" t="str">
        <f t="shared" si="244"/>
        <v/>
      </c>
      <c r="B803" s="3" t="str">
        <f t="shared" si="245"/>
        <v/>
      </c>
      <c r="C803" s="3" t="str">
        <f t="shared" si="259"/>
        <v/>
      </c>
      <c r="D803" s="3" t="str">
        <f t="shared" si="246"/>
        <v/>
      </c>
      <c r="E803" s="3" t="str">
        <f t="shared" si="247"/>
        <v/>
      </c>
      <c r="F803" s="3" t="str">
        <f t="shared" si="248"/>
        <v/>
      </c>
      <c r="G803" s="3" t="str">
        <f t="shared" si="249"/>
        <v/>
      </c>
      <c r="H803" s="3" t="str">
        <f t="shared" si="250"/>
        <v/>
      </c>
      <c r="I803" s="3" t="str">
        <f t="shared" si="251"/>
        <v/>
      </c>
      <c r="J803" s="2" t="str">
        <f t="shared" si="252"/>
        <v/>
      </c>
      <c r="K803" s="2" t="str">
        <f>IF(W803="","",LOOKUP('Extraction edi'!J803,Paramètrage!$A$6:$A$179,Paramètrage!$B$6:$B$179))</f>
        <v/>
      </c>
      <c r="L803" s="2" t="str">
        <f>IF(W803="","",LOOKUP('Extraction edi'!J803,Paramètrage!$A$6:$A$179,Paramètrage!$C$6:$C$179))</f>
        <v/>
      </c>
      <c r="M803" s="2" t="str">
        <f>IF(W803="","",LOOKUP('Extraction edi'!J803,Paramètrage!$A$6:$A$179,Paramètrage!$D$6:$D$179))</f>
        <v/>
      </c>
      <c r="N803" s="3" t="str">
        <f>IF(W803="","",LOOKUP('Extraction edi'!J803,Paramètrage!$A$6:$A$179,Paramètrage!$E$6:$E$179))</f>
        <v/>
      </c>
      <c r="O803" s="3" t="str">
        <f t="shared" si="253"/>
        <v/>
      </c>
      <c r="P803" s="3" t="str">
        <f t="shared" si="254"/>
        <v/>
      </c>
      <c r="Q803" s="3" t="str">
        <f t="shared" si="243"/>
        <v/>
      </c>
      <c r="R803" s="3" t="str">
        <f t="shared" si="255"/>
        <v/>
      </c>
      <c r="S803" s="3" t="str">
        <f t="shared" si="256"/>
        <v/>
      </c>
      <c r="T803" s="4" t="str">
        <f t="shared" si="257"/>
        <v/>
      </c>
      <c r="U803" s="5" t="str">
        <f t="shared" si="258"/>
        <v/>
      </c>
      <c r="V803" s="7" t="str">
        <f>IF(W803="","",IF(LOOKUP(W803,'Extration 3E date commande'!$A$6:$A$10000)=W803,LOOKUP(W803,'Extration 3E date commande'!$A$6:$A$10000,'Extration 3E date commande'!$C$6:$C$10000),"PAS DE DATE"))</f>
        <v/>
      </c>
    </row>
    <row r="804" spans="1:22" x14ac:dyDescent="0.25">
      <c r="A804" s="3" t="str">
        <f t="shared" si="244"/>
        <v/>
      </c>
      <c r="B804" s="3" t="str">
        <f t="shared" si="245"/>
        <v/>
      </c>
      <c r="C804" s="3" t="str">
        <f t="shared" si="259"/>
        <v/>
      </c>
      <c r="D804" s="3" t="str">
        <f t="shared" si="246"/>
        <v/>
      </c>
      <c r="E804" s="3" t="str">
        <f t="shared" si="247"/>
        <v/>
      </c>
      <c r="F804" s="3" t="str">
        <f t="shared" si="248"/>
        <v/>
      </c>
      <c r="G804" s="3" t="str">
        <f t="shared" si="249"/>
        <v/>
      </c>
      <c r="H804" s="3" t="str">
        <f t="shared" si="250"/>
        <v/>
      </c>
      <c r="I804" s="3" t="str">
        <f t="shared" si="251"/>
        <v/>
      </c>
      <c r="J804" s="2" t="str">
        <f t="shared" si="252"/>
        <v/>
      </c>
      <c r="K804" s="2" t="str">
        <f>IF(W804="","",LOOKUP('Extraction edi'!J804,Paramètrage!$A$6:$A$179,Paramètrage!$B$6:$B$179))</f>
        <v/>
      </c>
      <c r="L804" s="2" t="str">
        <f>IF(W804="","",LOOKUP('Extraction edi'!J804,Paramètrage!$A$6:$A$179,Paramètrage!$C$6:$C$179))</f>
        <v/>
      </c>
      <c r="M804" s="2" t="str">
        <f>IF(W804="","",LOOKUP('Extraction edi'!J804,Paramètrage!$A$6:$A$179,Paramètrage!$D$6:$D$179))</f>
        <v/>
      </c>
      <c r="N804" s="3" t="str">
        <f>IF(W804="","",LOOKUP('Extraction edi'!J804,Paramètrage!$A$6:$A$179,Paramètrage!$E$6:$E$179))</f>
        <v/>
      </c>
      <c r="O804" s="3" t="str">
        <f t="shared" si="253"/>
        <v/>
      </c>
      <c r="P804" s="3" t="str">
        <f t="shared" si="254"/>
        <v/>
      </c>
      <c r="Q804" s="3" t="str">
        <f t="shared" si="243"/>
        <v/>
      </c>
      <c r="R804" s="3" t="str">
        <f t="shared" si="255"/>
        <v/>
      </c>
      <c r="S804" s="3" t="str">
        <f t="shared" si="256"/>
        <v/>
      </c>
      <c r="T804" s="4" t="str">
        <f t="shared" si="257"/>
        <v/>
      </c>
      <c r="U804" s="5" t="str">
        <f t="shared" si="258"/>
        <v/>
      </c>
      <c r="V804" s="7" t="str">
        <f>IF(W804="","",IF(LOOKUP(W804,'Extration 3E date commande'!$A$6:$A$10000)=W804,LOOKUP(W804,'Extration 3E date commande'!$A$6:$A$10000,'Extration 3E date commande'!$C$6:$C$10000),"PAS DE DATE"))</f>
        <v/>
      </c>
    </row>
    <row r="805" spans="1:22" x14ac:dyDescent="0.25">
      <c r="A805" s="3" t="str">
        <f t="shared" si="244"/>
        <v/>
      </c>
      <c r="B805" s="3" t="str">
        <f t="shared" si="245"/>
        <v/>
      </c>
      <c r="C805" s="3" t="str">
        <f t="shared" si="259"/>
        <v/>
      </c>
      <c r="D805" s="3" t="str">
        <f t="shared" si="246"/>
        <v/>
      </c>
      <c r="E805" s="3" t="str">
        <f t="shared" si="247"/>
        <v/>
      </c>
      <c r="F805" s="3" t="str">
        <f t="shared" si="248"/>
        <v/>
      </c>
      <c r="G805" s="3" t="str">
        <f t="shared" si="249"/>
        <v/>
      </c>
      <c r="H805" s="3" t="str">
        <f t="shared" si="250"/>
        <v/>
      </c>
      <c r="I805" s="3" t="str">
        <f t="shared" si="251"/>
        <v/>
      </c>
      <c r="J805" s="2" t="str">
        <f t="shared" si="252"/>
        <v/>
      </c>
      <c r="K805" s="2" t="str">
        <f>IF(W805="","",LOOKUP('Extraction edi'!J805,Paramètrage!$A$6:$A$179,Paramètrage!$B$6:$B$179))</f>
        <v/>
      </c>
      <c r="L805" s="2" t="str">
        <f>IF(W805="","",LOOKUP('Extraction edi'!J805,Paramètrage!$A$6:$A$179,Paramètrage!$C$6:$C$179))</f>
        <v/>
      </c>
      <c r="M805" s="2" t="str">
        <f>IF(W805="","",LOOKUP('Extraction edi'!J805,Paramètrage!$A$6:$A$179,Paramètrage!$D$6:$D$179))</f>
        <v/>
      </c>
      <c r="N805" s="3" t="str">
        <f>IF(W805="","",LOOKUP('Extraction edi'!J805,Paramètrage!$A$6:$A$179,Paramètrage!$E$6:$E$179))</f>
        <v/>
      </c>
      <c r="O805" s="3" t="str">
        <f t="shared" si="253"/>
        <v/>
      </c>
      <c r="P805" s="3" t="str">
        <f t="shared" si="254"/>
        <v/>
      </c>
      <c r="Q805" s="3" t="str">
        <f t="shared" si="243"/>
        <v/>
      </c>
      <c r="R805" s="3" t="str">
        <f t="shared" si="255"/>
        <v/>
      </c>
      <c r="S805" s="3" t="str">
        <f t="shared" si="256"/>
        <v/>
      </c>
      <c r="T805" s="4" t="str">
        <f t="shared" si="257"/>
        <v/>
      </c>
      <c r="U805" s="5" t="str">
        <f t="shared" si="258"/>
        <v/>
      </c>
      <c r="V805" s="7" t="str">
        <f>IF(W805="","",IF(LOOKUP(W805,'Extration 3E date commande'!$A$6:$A$10000)=W805,LOOKUP(W805,'Extration 3E date commande'!$A$6:$A$10000,'Extration 3E date commande'!$C$6:$C$10000),"PAS DE DATE"))</f>
        <v/>
      </c>
    </row>
    <row r="806" spans="1:22" x14ac:dyDescent="0.25">
      <c r="A806" s="3" t="str">
        <f t="shared" si="244"/>
        <v/>
      </c>
      <c r="B806" s="3" t="str">
        <f t="shared" si="245"/>
        <v/>
      </c>
      <c r="C806" s="3" t="str">
        <f t="shared" si="259"/>
        <v/>
      </c>
      <c r="D806" s="3" t="str">
        <f t="shared" si="246"/>
        <v/>
      </c>
      <c r="E806" s="3" t="str">
        <f t="shared" si="247"/>
        <v/>
      </c>
      <c r="F806" s="3" t="str">
        <f t="shared" si="248"/>
        <v/>
      </c>
      <c r="G806" s="3" t="str">
        <f t="shared" si="249"/>
        <v/>
      </c>
      <c r="H806" s="3" t="str">
        <f t="shared" si="250"/>
        <v/>
      </c>
      <c r="I806" s="3" t="str">
        <f t="shared" si="251"/>
        <v/>
      </c>
      <c r="J806" s="2" t="str">
        <f t="shared" si="252"/>
        <v/>
      </c>
      <c r="K806" s="2" t="str">
        <f>IF(W806="","",LOOKUP('Extraction edi'!J806,Paramètrage!$A$6:$A$179,Paramètrage!$B$6:$B$179))</f>
        <v/>
      </c>
      <c r="L806" s="2" t="str">
        <f>IF(W806="","",LOOKUP('Extraction edi'!J806,Paramètrage!$A$6:$A$179,Paramètrage!$C$6:$C$179))</f>
        <v/>
      </c>
      <c r="M806" s="2" t="str">
        <f>IF(W806="","",LOOKUP('Extraction edi'!J806,Paramètrage!$A$6:$A$179,Paramètrage!$D$6:$D$179))</f>
        <v/>
      </c>
      <c r="N806" s="3" t="str">
        <f>IF(W806="","",LOOKUP('Extraction edi'!J806,Paramètrage!$A$6:$A$179,Paramètrage!$E$6:$E$179))</f>
        <v/>
      </c>
      <c r="O806" s="3" t="str">
        <f t="shared" si="253"/>
        <v/>
      </c>
      <c r="P806" s="3" t="str">
        <f t="shared" si="254"/>
        <v/>
      </c>
      <c r="Q806" s="3" t="str">
        <f t="shared" si="243"/>
        <v/>
      </c>
      <c r="R806" s="3" t="str">
        <f t="shared" si="255"/>
        <v/>
      </c>
      <c r="S806" s="3" t="str">
        <f t="shared" si="256"/>
        <v/>
      </c>
      <c r="T806" s="4" t="str">
        <f t="shared" si="257"/>
        <v/>
      </c>
      <c r="U806" s="5" t="str">
        <f t="shared" si="258"/>
        <v/>
      </c>
      <c r="V806" s="7" t="str">
        <f>IF(W806="","",IF(LOOKUP(W806,'Extration 3E date commande'!$A$6:$A$10000)=W806,LOOKUP(W806,'Extration 3E date commande'!$A$6:$A$10000,'Extration 3E date commande'!$C$6:$C$10000),"PAS DE DATE"))</f>
        <v/>
      </c>
    </row>
    <row r="807" spans="1:22" x14ac:dyDescent="0.25">
      <c r="A807" s="3" t="str">
        <f t="shared" si="244"/>
        <v/>
      </c>
      <c r="B807" s="3" t="str">
        <f t="shared" si="245"/>
        <v/>
      </c>
      <c r="C807" s="3" t="str">
        <f t="shared" si="259"/>
        <v/>
      </c>
      <c r="D807" s="3" t="str">
        <f t="shared" si="246"/>
        <v/>
      </c>
      <c r="E807" s="3" t="str">
        <f t="shared" si="247"/>
        <v/>
      </c>
      <c r="F807" s="3" t="str">
        <f t="shared" si="248"/>
        <v/>
      </c>
      <c r="G807" s="3" t="str">
        <f t="shared" si="249"/>
        <v/>
      </c>
      <c r="H807" s="3" t="str">
        <f t="shared" si="250"/>
        <v/>
      </c>
      <c r="I807" s="3" t="str">
        <f t="shared" si="251"/>
        <v/>
      </c>
      <c r="J807" s="2" t="str">
        <f t="shared" si="252"/>
        <v/>
      </c>
      <c r="K807" s="2" t="str">
        <f>IF(W807="","",LOOKUP('Extraction edi'!J807,Paramètrage!$A$6:$A$179,Paramètrage!$B$6:$B$179))</f>
        <v/>
      </c>
      <c r="L807" s="2" t="str">
        <f>IF(W807="","",LOOKUP('Extraction edi'!J807,Paramètrage!$A$6:$A$179,Paramètrage!$C$6:$C$179))</f>
        <v/>
      </c>
      <c r="M807" s="2" t="str">
        <f>IF(W807="","",LOOKUP('Extraction edi'!J807,Paramètrage!$A$6:$A$179,Paramètrage!$D$6:$D$179))</f>
        <v/>
      </c>
      <c r="N807" s="3" t="str">
        <f>IF(W807="","",LOOKUP('Extraction edi'!J807,Paramètrage!$A$6:$A$179,Paramètrage!$E$6:$E$179))</f>
        <v/>
      </c>
      <c r="O807" s="3" t="str">
        <f t="shared" si="253"/>
        <v/>
      </c>
      <c r="P807" s="3" t="str">
        <f t="shared" si="254"/>
        <v/>
      </c>
      <c r="Q807" s="3" t="str">
        <f t="shared" si="243"/>
        <v/>
      </c>
      <c r="R807" s="3" t="str">
        <f t="shared" si="255"/>
        <v/>
      </c>
      <c r="S807" s="3" t="str">
        <f t="shared" si="256"/>
        <v/>
      </c>
      <c r="T807" s="4" t="str">
        <f t="shared" si="257"/>
        <v/>
      </c>
      <c r="U807" s="5" t="str">
        <f t="shared" si="258"/>
        <v/>
      </c>
      <c r="V807" s="7" t="str">
        <f>IF(W807="","",IF(LOOKUP(W807,'Extration 3E date commande'!$A$6:$A$10000)=W807,LOOKUP(W807,'Extration 3E date commande'!$A$6:$A$10000,'Extration 3E date commande'!$C$6:$C$10000),"PAS DE DATE"))</f>
        <v/>
      </c>
    </row>
    <row r="808" spans="1:22" x14ac:dyDescent="0.25">
      <c r="A808" s="3" t="str">
        <f t="shared" si="244"/>
        <v/>
      </c>
      <c r="B808" s="3" t="str">
        <f t="shared" si="245"/>
        <v/>
      </c>
      <c r="C808" s="3" t="str">
        <f t="shared" si="259"/>
        <v/>
      </c>
      <c r="D808" s="3" t="str">
        <f t="shared" si="246"/>
        <v/>
      </c>
      <c r="E808" s="3" t="str">
        <f t="shared" si="247"/>
        <v/>
      </c>
      <c r="F808" s="3" t="str">
        <f t="shared" si="248"/>
        <v/>
      </c>
      <c r="G808" s="3" t="str">
        <f t="shared" si="249"/>
        <v/>
      </c>
      <c r="H808" s="3" t="str">
        <f t="shared" si="250"/>
        <v/>
      </c>
      <c r="I808" s="3" t="str">
        <f t="shared" si="251"/>
        <v/>
      </c>
      <c r="J808" s="2" t="str">
        <f t="shared" si="252"/>
        <v/>
      </c>
      <c r="K808" s="2" t="str">
        <f>IF(W808="","",LOOKUP('Extraction edi'!J808,Paramètrage!$A$6:$A$179,Paramètrage!$B$6:$B$179))</f>
        <v/>
      </c>
      <c r="L808" s="2" t="str">
        <f>IF(W808="","",LOOKUP('Extraction edi'!J808,Paramètrage!$A$6:$A$179,Paramètrage!$C$6:$C$179))</f>
        <v/>
      </c>
      <c r="M808" s="2" t="str">
        <f>IF(W808="","",LOOKUP('Extraction edi'!J808,Paramètrage!$A$6:$A$179,Paramètrage!$D$6:$D$179))</f>
        <v/>
      </c>
      <c r="N808" s="3" t="str">
        <f>IF(W808="","",LOOKUP('Extraction edi'!J808,Paramètrage!$A$6:$A$179,Paramètrage!$E$6:$E$179))</f>
        <v/>
      </c>
      <c r="O808" s="3" t="str">
        <f t="shared" si="253"/>
        <v/>
      </c>
      <c r="P808" s="3" t="str">
        <f t="shared" si="254"/>
        <v/>
      </c>
      <c r="Q808" s="3" t="str">
        <f t="shared" si="243"/>
        <v/>
      </c>
      <c r="R808" s="3" t="str">
        <f t="shared" si="255"/>
        <v/>
      </c>
      <c r="S808" s="3" t="str">
        <f t="shared" si="256"/>
        <v/>
      </c>
      <c r="T808" s="4" t="str">
        <f t="shared" si="257"/>
        <v/>
      </c>
      <c r="U808" s="5" t="str">
        <f t="shared" si="258"/>
        <v/>
      </c>
      <c r="V808" s="7" t="str">
        <f>IF(W808="","",IF(LOOKUP(W808,'Extration 3E date commande'!$A$6:$A$10000)=W808,LOOKUP(W808,'Extration 3E date commande'!$A$6:$A$10000,'Extration 3E date commande'!$C$6:$C$10000),"PAS DE DATE"))</f>
        <v/>
      </c>
    </row>
    <row r="809" spans="1:22" x14ac:dyDescent="0.25">
      <c r="A809" s="3" t="str">
        <f t="shared" si="244"/>
        <v/>
      </c>
      <c r="B809" s="3" t="str">
        <f t="shared" si="245"/>
        <v/>
      </c>
      <c r="C809" s="3" t="str">
        <f t="shared" si="259"/>
        <v/>
      </c>
      <c r="D809" s="3" t="str">
        <f t="shared" si="246"/>
        <v/>
      </c>
      <c r="E809" s="3" t="str">
        <f t="shared" si="247"/>
        <v/>
      </c>
      <c r="F809" s="3" t="str">
        <f t="shared" si="248"/>
        <v/>
      </c>
      <c r="G809" s="3" t="str">
        <f t="shared" si="249"/>
        <v/>
      </c>
      <c r="H809" s="3" t="str">
        <f t="shared" si="250"/>
        <v/>
      </c>
      <c r="I809" s="3" t="str">
        <f t="shared" si="251"/>
        <v/>
      </c>
      <c r="J809" s="2" t="str">
        <f t="shared" si="252"/>
        <v/>
      </c>
      <c r="K809" s="2" t="str">
        <f>IF(W809="","",LOOKUP('Extraction edi'!J809,Paramètrage!$A$6:$A$179,Paramètrage!$B$6:$B$179))</f>
        <v/>
      </c>
      <c r="L809" s="2" t="str">
        <f>IF(W809="","",LOOKUP('Extraction edi'!J809,Paramètrage!$A$6:$A$179,Paramètrage!$C$6:$C$179))</f>
        <v/>
      </c>
      <c r="M809" s="2" t="str">
        <f>IF(W809="","",LOOKUP('Extraction edi'!J809,Paramètrage!$A$6:$A$179,Paramètrage!$D$6:$D$179))</f>
        <v/>
      </c>
      <c r="N809" s="3" t="str">
        <f>IF(W809="","",LOOKUP('Extraction edi'!J809,Paramètrage!$A$6:$A$179,Paramètrage!$E$6:$E$179))</f>
        <v/>
      </c>
      <c r="O809" s="3" t="str">
        <f t="shared" si="253"/>
        <v/>
      </c>
      <c r="P809" s="3" t="str">
        <f t="shared" si="254"/>
        <v/>
      </c>
      <c r="Q809" s="3" t="str">
        <f t="shared" si="243"/>
        <v/>
      </c>
      <c r="R809" s="3" t="str">
        <f t="shared" si="255"/>
        <v/>
      </c>
      <c r="S809" s="3" t="str">
        <f t="shared" si="256"/>
        <v/>
      </c>
      <c r="T809" s="4" t="str">
        <f t="shared" si="257"/>
        <v/>
      </c>
      <c r="U809" s="5" t="str">
        <f t="shared" si="258"/>
        <v/>
      </c>
      <c r="V809" s="7" t="str">
        <f>IF(W809="","",IF(LOOKUP(W809,'Extration 3E date commande'!$A$6:$A$10000)=W809,LOOKUP(W809,'Extration 3E date commande'!$A$6:$A$10000,'Extration 3E date commande'!$C$6:$C$10000),"PAS DE DATE"))</f>
        <v/>
      </c>
    </row>
    <row r="810" spans="1:22" x14ac:dyDescent="0.25">
      <c r="A810" s="3" t="str">
        <f t="shared" si="244"/>
        <v/>
      </c>
      <c r="B810" s="3" t="str">
        <f t="shared" si="245"/>
        <v/>
      </c>
      <c r="C810" s="3" t="str">
        <f t="shared" si="259"/>
        <v/>
      </c>
      <c r="D810" s="3" t="str">
        <f t="shared" si="246"/>
        <v/>
      </c>
      <c r="E810" s="3" t="str">
        <f t="shared" si="247"/>
        <v/>
      </c>
      <c r="F810" s="3" t="str">
        <f t="shared" si="248"/>
        <v/>
      </c>
      <c r="G810" s="3" t="str">
        <f t="shared" si="249"/>
        <v/>
      </c>
      <c r="H810" s="3" t="str">
        <f t="shared" si="250"/>
        <v/>
      </c>
      <c r="I810" s="3" t="str">
        <f t="shared" si="251"/>
        <v/>
      </c>
      <c r="J810" s="2" t="str">
        <f t="shared" si="252"/>
        <v/>
      </c>
      <c r="K810" s="2" t="str">
        <f>IF(W810="","",LOOKUP('Extraction edi'!J810,Paramètrage!$A$6:$A$179,Paramètrage!$B$6:$B$179))</f>
        <v/>
      </c>
      <c r="L810" s="2" t="str">
        <f>IF(W810="","",LOOKUP('Extraction edi'!J810,Paramètrage!$A$6:$A$179,Paramètrage!$C$6:$C$179))</f>
        <v/>
      </c>
      <c r="M810" s="2" t="str">
        <f>IF(W810="","",LOOKUP('Extraction edi'!J810,Paramètrage!$A$6:$A$179,Paramètrage!$D$6:$D$179))</f>
        <v/>
      </c>
      <c r="N810" s="3" t="str">
        <f>IF(W810="","",LOOKUP('Extraction edi'!J810,Paramètrage!$A$6:$A$179,Paramètrage!$E$6:$E$179))</f>
        <v/>
      </c>
      <c r="O810" s="3" t="str">
        <f t="shared" si="253"/>
        <v/>
      </c>
      <c r="P810" s="3" t="str">
        <f t="shared" si="254"/>
        <v/>
      </c>
      <c r="Q810" s="3" t="str">
        <f t="shared" si="243"/>
        <v/>
      </c>
      <c r="R810" s="3" t="str">
        <f t="shared" si="255"/>
        <v/>
      </c>
      <c r="S810" s="3" t="str">
        <f t="shared" si="256"/>
        <v/>
      </c>
      <c r="T810" s="4" t="str">
        <f t="shared" si="257"/>
        <v/>
      </c>
      <c r="U810" s="5" t="str">
        <f t="shared" si="258"/>
        <v/>
      </c>
      <c r="V810" s="7" t="str">
        <f>IF(W810="","",IF(LOOKUP(W810,'Extration 3E date commande'!$A$6:$A$10000)=W810,LOOKUP(W810,'Extration 3E date commande'!$A$6:$A$10000,'Extration 3E date commande'!$C$6:$C$10000),"PAS DE DATE"))</f>
        <v/>
      </c>
    </row>
    <row r="811" spans="1:22" x14ac:dyDescent="0.25">
      <c r="A811" s="3" t="str">
        <f t="shared" si="244"/>
        <v/>
      </c>
      <c r="B811" s="3" t="str">
        <f t="shared" si="245"/>
        <v/>
      </c>
      <c r="C811" s="3" t="str">
        <f t="shared" si="259"/>
        <v/>
      </c>
      <c r="D811" s="3" t="str">
        <f t="shared" si="246"/>
        <v/>
      </c>
      <c r="E811" s="3" t="str">
        <f t="shared" si="247"/>
        <v/>
      </c>
      <c r="F811" s="3" t="str">
        <f t="shared" si="248"/>
        <v/>
      </c>
      <c r="G811" s="3" t="str">
        <f t="shared" si="249"/>
        <v/>
      </c>
      <c r="H811" s="3" t="str">
        <f t="shared" si="250"/>
        <v/>
      </c>
      <c r="I811" s="3" t="str">
        <f t="shared" si="251"/>
        <v/>
      </c>
      <c r="J811" s="2" t="str">
        <f t="shared" si="252"/>
        <v/>
      </c>
      <c r="K811" s="2" t="str">
        <f>IF(W811="","",LOOKUP('Extraction edi'!J811,Paramètrage!$A$6:$A$179,Paramètrage!$B$6:$B$179))</f>
        <v/>
      </c>
      <c r="L811" s="2" t="str">
        <f>IF(W811="","",LOOKUP('Extraction edi'!J811,Paramètrage!$A$6:$A$179,Paramètrage!$C$6:$C$179))</f>
        <v/>
      </c>
      <c r="M811" s="2" t="str">
        <f>IF(W811="","",LOOKUP('Extraction edi'!J811,Paramètrage!$A$6:$A$179,Paramètrage!$D$6:$D$179))</f>
        <v/>
      </c>
      <c r="N811" s="3" t="str">
        <f>IF(W811="","",LOOKUP('Extraction edi'!J811,Paramètrage!$A$6:$A$179,Paramètrage!$E$6:$E$179))</f>
        <v/>
      </c>
      <c r="O811" s="3" t="str">
        <f t="shared" si="253"/>
        <v/>
      </c>
      <c r="P811" s="3" t="str">
        <f t="shared" si="254"/>
        <v/>
      </c>
      <c r="Q811" s="3" t="str">
        <f t="shared" si="243"/>
        <v/>
      </c>
      <c r="R811" s="3" t="str">
        <f t="shared" si="255"/>
        <v/>
      </c>
      <c r="S811" s="3" t="str">
        <f t="shared" si="256"/>
        <v/>
      </c>
      <c r="T811" s="4" t="str">
        <f t="shared" si="257"/>
        <v/>
      </c>
      <c r="U811" s="5" t="str">
        <f t="shared" si="258"/>
        <v/>
      </c>
      <c r="V811" s="7" t="str">
        <f>IF(W811="","",IF(LOOKUP(W811,'Extration 3E date commande'!$A$6:$A$10000)=W811,LOOKUP(W811,'Extration 3E date commande'!$A$6:$A$10000,'Extration 3E date commande'!$C$6:$C$10000),"PAS DE DATE"))</f>
        <v/>
      </c>
    </row>
    <row r="812" spans="1:22" x14ac:dyDescent="0.25">
      <c r="A812" s="3" t="str">
        <f t="shared" si="244"/>
        <v/>
      </c>
      <c r="B812" s="3" t="str">
        <f t="shared" si="245"/>
        <v/>
      </c>
      <c r="C812" s="3" t="str">
        <f t="shared" si="259"/>
        <v/>
      </c>
      <c r="D812" s="3" t="str">
        <f t="shared" si="246"/>
        <v/>
      </c>
      <c r="E812" s="3" t="str">
        <f t="shared" si="247"/>
        <v/>
      </c>
      <c r="F812" s="3" t="str">
        <f t="shared" si="248"/>
        <v/>
      </c>
      <c r="G812" s="3" t="str">
        <f t="shared" si="249"/>
        <v/>
      </c>
      <c r="H812" s="3" t="str">
        <f t="shared" si="250"/>
        <v/>
      </c>
      <c r="I812" s="3" t="str">
        <f t="shared" si="251"/>
        <v/>
      </c>
      <c r="J812" s="2" t="str">
        <f t="shared" si="252"/>
        <v/>
      </c>
      <c r="K812" s="2" t="str">
        <f>IF(W812="","",LOOKUP('Extraction edi'!J812,Paramètrage!$A$6:$A$179,Paramètrage!$B$6:$B$179))</f>
        <v/>
      </c>
      <c r="L812" s="2" t="str">
        <f>IF(W812="","",LOOKUP('Extraction edi'!J812,Paramètrage!$A$6:$A$179,Paramètrage!$C$6:$C$179))</f>
        <v/>
      </c>
      <c r="M812" s="2" t="str">
        <f>IF(W812="","",LOOKUP('Extraction edi'!J812,Paramètrage!$A$6:$A$179,Paramètrage!$D$6:$D$179))</f>
        <v/>
      </c>
      <c r="N812" s="3" t="str">
        <f>IF(W812="","",LOOKUP('Extraction edi'!J812,Paramètrage!$A$6:$A$179,Paramètrage!$E$6:$E$179))</f>
        <v/>
      </c>
      <c r="O812" s="3" t="str">
        <f t="shared" si="253"/>
        <v/>
      </c>
      <c r="P812" s="3" t="str">
        <f t="shared" si="254"/>
        <v/>
      </c>
      <c r="Q812" s="3" t="str">
        <f t="shared" si="243"/>
        <v/>
      </c>
      <c r="R812" s="3" t="str">
        <f t="shared" si="255"/>
        <v/>
      </c>
      <c r="S812" s="3" t="str">
        <f t="shared" si="256"/>
        <v/>
      </c>
      <c r="T812" s="4" t="str">
        <f t="shared" si="257"/>
        <v/>
      </c>
      <c r="U812" s="5" t="str">
        <f t="shared" si="258"/>
        <v/>
      </c>
      <c r="V812" s="7" t="str">
        <f>IF(W812="","",IF(LOOKUP(W812,'Extration 3E date commande'!$A$6:$A$10000)=W812,LOOKUP(W812,'Extration 3E date commande'!$A$6:$A$10000,'Extration 3E date commande'!$C$6:$C$10000),"PAS DE DATE"))</f>
        <v/>
      </c>
    </row>
    <row r="813" spans="1:22" x14ac:dyDescent="0.25">
      <c r="A813" s="3" t="str">
        <f t="shared" si="244"/>
        <v/>
      </c>
      <c r="B813" s="3" t="str">
        <f t="shared" si="245"/>
        <v/>
      </c>
      <c r="C813" s="3" t="str">
        <f t="shared" si="259"/>
        <v/>
      </c>
      <c r="D813" s="3" t="str">
        <f t="shared" si="246"/>
        <v/>
      </c>
      <c r="E813" s="3" t="str">
        <f t="shared" si="247"/>
        <v/>
      </c>
      <c r="F813" s="3" t="str">
        <f t="shared" si="248"/>
        <v/>
      </c>
      <c r="G813" s="3" t="str">
        <f t="shared" si="249"/>
        <v/>
      </c>
      <c r="H813" s="3" t="str">
        <f t="shared" si="250"/>
        <v/>
      </c>
      <c r="I813" s="3" t="str">
        <f t="shared" si="251"/>
        <v/>
      </c>
      <c r="J813" s="2" t="str">
        <f t="shared" si="252"/>
        <v/>
      </c>
      <c r="K813" s="2" t="str">
        <f>IF(W813="","",LOOKUP('Extraction edi'!J813,Paramètrage!$A$6:$A$179,Paramètrage!$B$6:$B$179))</f>
        <v/>
      </c>
      <c r="L813" s="2" t="str">
        <f>IF(W813="","",LOOKUP('Extraction edi'!J813,Paramètrage!$A$6:$A$179,Paramètrage!$C$6:$C$179))</f>
        <v/>
      </c>
      <c r="M813" s="2" t="str">
        <f>IF(W813="","",LOOKUP('Extraction edi'!J813,Paramètrage!$A$6:$A$179,Paramètrage!$D$6:$D$179))</f>
        <v/>
      </c>
      <c r="N813" s="3" t="str">
        <f>IF(W813="","",LOOKUP('Extraction edi'!J813,Paramètrage!$A$6:$A$179,Paramètrage!$E$6:$E$179))</f>
        <v/>
      </c>
      <c r="O813" s="3" t="str">
        <f t="shared" si="253"/>
        <v/>
      </c>
      <c r="P813" s="3" t="str">
        <f t="shared" si="254"/>
        <v/>
      </c>
      <c r="Q813" s="3" t="str">
        <f t="shared" si="243"/>
        <v/>
      </c>
      <c r="R813" s="3" t="str">
        <f t="shared" si="255"/>
        <v/>
      </c>
      <c r="S813" s="3" t="str">
        <f t="shared" si="256"/>
        <v/>
      </c>
      <c r="T813" s="4" t="str">
        <f t="shared" si="257"/>
        <v/>
      </c>
      <c r="U813" s="5" t="str">
        <f t="shared" si="258"/>
        <v/>
      </c>
      <c r="V813" s="7" t="str">
        <f>IF(W813="","",IF(LOOKUP(W813,'Extration 3E date commande'!$A$6:$A$10000)=W813,LOOKUP(W813,'Extration 3E date commande'!$A$6:$A$10000,'Extration 3E date commande'!$C$6:$C$10000),"PAS DE DATE"))</f>
        <v/>
      </c>
    </row>
    <row r="814" spans="1:22" x14ac:dyDescent="0.25">
      <c r="A814" s="3" t="str">
        <f t="shared" si="244"/>
        <v/>
      </c>
      <c r="B814" s="3" t="str">
        <f t="shared" si="245"/>
        <v/>
      </c>
      <c r="C814" s="3" t="str">
        <f t="shared" si="259"/>
        <v/>
      </c>
      <c r="D814" s="3" t="str">
        <f t="shared" si="246"/>
        <v/>
      </c>
      <c r="E814" s="3" t="str">
        <f t="shared" si="247"/>
        <v/>
      </c>
      <c r="F814" s="3" t="str">
        <f t="shared" si="248"/>
        <v/>
      </c>
      <c r="G814" s="3" t="str">
        <f t="shared" si="249"/>
        <v/>
      </c>
      <c r="H814" s="3" t="str">
        <f t="shared" si="250"/>
        <v/>
      </c>
      <c r="I814" s="3" t="str">
        <f t="shared" si="251"/>
        <v/>
      </c>
      <c r="J814" s="2" t="str">
        <f t="shared" si="252"/>
        <v/>
      </c>
      <c r="K814" s="2" t="str">
        <f>IF(W814="","",LOOKUP('Extraction edi'!J814,Paramètrage!$A$6:$A$179,Paramètrage!$B$6:$B$179))</f>
        <v/>
      </c>
      <c r="L814" s="2" t="str">
        <f>IF(W814="","",LOOKUP('Extraction edi'!J814,Paramètrage!$A$6:$A$179,Paramètrage!$C$6:$C$179))</f>
        <v/>
      </c>
      <c r="M814" s="2" t="str">
        <f>IF(W814="","",LOOKUP('Extraction edi'!J814,Paramètrage!$A$6:$A$179,Paramètrage!$D$6:$D$179))</f>
        <v/>
      </c>
      <c r="N814" s="3" t="str">
        <f>IF(W814="","",LOOKUP('Extraction edi'!J814,Paramètrage!$A$6:$A$179,Paramètrage!$E$6:$E$179))</f>
        <v/>
      </c>
      <c r="O814" s="3" t="str">
        <f t="shared" si="253"/>
        <v/>
      </c>
      <c r="P814" s="3" t="str">
        <f t="shared" si="254"/>
        <v/>
      </c>
      <c r="Q814" s="3" t="str">
        <f t="shared" si="243"/>
        <v/>
      </c>
      <c r="R814" s="3" t="str">
        <f t="shared" si="255"/>
        <v/>
      </c>
      <c r="S814" s="3" t="str">
        <f t="shared" si="256"/>
        <v/>
      </c>
      <c r="T814" s="4" t="str">
        <f t="shared" si="257"/>
        <v/>
      </c>
      <c r="U814" s="5" t="str">
        <f t="shared" si="258"/>
        <v/>
      </c>
      <c r="V814" s="7" t="str">
        <f>IF(W814="","",IF(LOOKUP(W814,'Extration 3E date commande'!$A$6:$A$10000)=W814,LOOKUP(W814,'Extration 3E date commande'!$A$6:$A$10000,'Extration 3E date commande'!$C$6:$C$10000),"PAS DE DATE"))</f>
        <v/>
      </c>
    </row>
    <row r="815" spans="1:22" x14ac:dyDescent="0.25">
      <c r="A815" s="3" t="str">
        <f t="shared" si="244"/>
        <v/>
      </c>
      <c r="B815" s="3" t="str">
        <f t="shared" si="245"/>
        <v/>
      </c>
      <c r="C815" s="3" t="str">
        <f t="shared" si="259"/>
        <v/>
      </c>
      <c r="D815" s="3" t="str">
        <f t="shared" si="246"/>
        <v/>
      </c>
      <c r="E815" s="3" t="str">
        <f t="shared" si="247"/>
        <v/>
      </c>
      <c r="F815" s="3" t="str">
        <f t="shared" si="248"/>
        <v/>
      </c>
      <c r="G815" s="3" t="str">
        <f t="shared" si="249"/>
        <v/>
      </c>
      <c r="H815" s="3" t="str">
        <f t="shared" si="250"/>
        <v/>
      </c>
      <c r="I815" s="3" t="str">
        <f t="shared" si="251"/>
        <v/>
      </c>
      <c r="J815" s="2" t="str">
        <f t="shared" si="252"/>
        <v/>
      </c>
      <c r="K815" s="2" t="str">
        <f>IF(W815="","",LOOKUP('Extraction edi'!J815,Paramètrage!$A$6:$A$179,Paramètrage!$B$6:$B$179))</f>
        <v/>
      </c>
      <c r="L815" s="2" t="str">
        <f>IF(W815="","",LOOKUP('Extraction edi'!J815,Paramètrage!$A$6:$A$179,Paramètrage!$C$6:$C$179))</f>
        <v/>
      </c>
      <c r="M815" s="2" t="str">
        <f>IF(W815="","",LOOKUP('Extraction edi'!J815,Paramètrage!$A$6:$A$179,Paramètrage!$D$6:$D$179))</f>
        <v/>
      </c>
      <c r="N815" s="3" t="str">
        <f>IF(W815="","",LOOKUP('Extraction edi'!J815,Paramètrage!$A$6:$A$179,Paramètrage!$E$6:$E$179))</f>
        <v/>
      </c>
      <c r="O815" s="3" t="str">
        <f t="shared" si="253"/>
        <v/>
      </c>
      <c r="P815" s="3" t="str">
        <f t="shared" si="254"/>
        <v/>
      </c>
      <c r="Q815" s="3" t="str">
        <f t="shared" si="243"/>
        <v/>
      </c>
      <c r="R815" s="3" t="str">
        <f t="shared" si="255"/>
        <v/>
      </c>
      <c r="S815" s="3" t="str">
        <f t="shared" si="256"/>
        <v/>
      </c>
      <c r="T815" s="4" t="str">
        <f t="shared" si="257"/>
        <v/>
      </c>
      <c r="U815" s="5" t="str">
        <f t="shared" si="258"/>
        <v/>
      </c>
      <c r="V815" s="7" t="str">
        <f>IF(W815="","",IF(LOOKUP(W815,'Extration 3E date commande'!$A$6:$A$10000)=W815,LOOKUP(W815,'Extration 3E date commande'!$A$6:$A$10000,'Extration 3E date commande'!$C$6:$C$10000),"PAS DE DATE"))</f>
        <v/>
      </c>
    </row>
    <row r="816" spans="1:22" x14ac:dyDescent="0.25">
      <c r="A816" s="3" t="str">
        <f t="shared" si="244"/>
        <v/>
      </c>
      <c r="B816" s="3" t="str">
        <f t="shared" si="245"/>
        <v/>
      </c>
      <c r="C816" s="3" t="str">
        <f t="shared" si="259"/>
        <v/>
      </c>
      <c r="D816" s="3" t="str">
        <f t="shared" si="246"/>
        <v/>
      </c>
      <c r="E816" s="3" t="str">
        <f t="shared" si="247"/>
        <v/>
      </c>
      <c r="F816" s="3" t="str">
        <f t="shared" si="248"/>
        <v/>
      </c>
      <c r="G816" s="3" t="str">
        <f t="shared" si="249"/>
        <v/>
      </c>
      <c r="H816" s="3" t="str">
        <f t="shared" si="250"/>
        <v/>
      </c>
      <c r="I816" s="3" t="str">
        <f t="shared" si="251"/>
        <v/>
      </c>
      <c r="J816" s="2" t="str">
        <f t="shared" si="252"/>
        <v/>
      </c>
      <c r="K816" s="2" t="str">
        <f>IF(W816="","",LOOKUP('Extraction edi'!J816,Paramètrage!$A$6:$A$179,Paramètrage!$B$6:$B$179))</f>
        <v/>
      </c>
      <c r="L816" s="2" t="str">
        <f>IF(W816="","",LOOKUP('Extraction edi'!J816,Paramètrage!$A$6:$A$179,Paramètrage!$C$6:$C$179))</f>
        <v/>
      </c>
      <c r="M816" s="2" t="str">
        <f>IF(W816="","",LOOKUP('Extraction edi'!J816,Paramètrage!$A$6:$A$179,Paramètrage!$D$6:$D$179))</f>
        <v/>
      </c>
      <c r="N816" s="3" t="str">
        <f>IF(W816="","",LOOKUP('Extraction edi'!J816,Paramètrage!$A$6:$A$179,Paramètrage!$E$6:$E$179))</f>
        <v/>
      </c>
      <c r="O816" s="3" t="str">
        <f t="shared" si="253"/>
        <v/>
      </c>
      <c r="P816" s="3" t="str">
        <f t="shared" si="254"/>
        <v/>
      </c>
      <c r="Q816" s="3" t="str">
        <f t="shared" si="243"/>
        <v/>
      </c>
      <c r="R816" s="3" t="str">
        <f t="shared" si="255"/>
        <v/>
      </c>
      <c r="S816" s="3" t="str">
        <f t="shared" si="256"/>
        <v/>
      </c>
      <c r="T816" s="4" t="str">
        <f t="shared" si="257"/>
        <v/>
      </c>
      <c r="U816" s="5" t="str">
        <f t="shared" si="258"/>
        <v/>
      </c>
      <c r="V816" s="7" t="str">
        <f>IF(W816="","",IF(LOOKUP(W816,'Extration 3E date commande'!$A$6:$A$10000)=W816,LOOKUP(W816,'Extration 3E date commande'!$A$6:$A$10000,'Extration 3E date commande'!$C$6:$C$10000),"PAS DE DATE"))</f>
        <v/>
      </c>
    </row>
    <row r="817" spans="1:22" x14ac:dyDescent="0.25">
      <c r="A817" s="3" t="str">
        <f t="shared" si="244"/>
        <v/>
      </c>
      <c r="B817" s="3" t="str">
        <f t="shared" si="245"/>
        <v/>
      </c>
      <c r="C817" s="3" t="str">
        <f t="shared" si="259"/>
        <v/>
      </c>
      <c r="D817" s="3" t="str">
        <f t="shared" si="246"/>
        <v/>
      </c>
      <c r="E817" s="3" t="str">
        <f t="shared" si="247"/>
        <v/>
      </c>
      <c r="F817" s="3" t="str">
        <f t="shared" si="248"/>
        <v/>
      </c>
      <c r="G817" s="3" t="str">
        <f t="shared" si="249"/>
        <v/>
      </c>
      <c r="H817" s="3" t="str">
        <f t="shared" si="250"/>
        <v/>
      </c>
      <c r="I817" s="3" t="str">
        <f t="shared" si="251"/>
        <v/>
      </c>
      <c r="J817" s="2" t="str">
        <f t="shared" si="252"/>
        <v/>
      </c>
      <c r="K817" s="2" t="str">
        <f>IF(W817="","",LOOKUP('Extraction edi'!J817,Paramètrage!$A$6:$A$179,Paramètrage!$B$6:$B$179))</f>
        <v/>
      </c>
      <c r="L817" s="2" t="str">
        <f>IF(W817="","",LOOKUP('Extraction edi'!J817,Paramètrage!$A$6:$A$179,Paramètrage!$C$6:$C$179))</f>
        <v/>
      </c>
      <c r="M817" s="2" t="str">
        <f>IF(W817="","",LOOKUP('Extraction edi'!J817,Paramètrage!$A$6:$A$179,Paramètrage!$D$6:$D$179))</f>
        <v/>
      </c>
      <c r="N817" s="3" t="str">
        <f>IF(W817="","",LOOKUP('Extraction edi'!J817,Paramètrage!$A$6:$A$179,Paramètrage!$E$6:$E$179))</f>
        <v/>
      </c>
      <c r="O817" s="3" t="str">
        <f t="shared" si="253"/>
        <v/>
      </c>
      <c r="P817" s="3" t="str">
        <f t="shared" si="254"/>
        <v/>
      </c>
      <c r="Q817" s="3" t="str">
        <f t="shared" si="243"/>
        <v/>
      </c>
      <c r="R817" s="3" t="str">
        <f t="shared" si="255"/>
        <v/>
      </c>
      <c r="S817" s="3" t="str">
        <f t="shared" si="256"/>
        <v/>
      </c>
      <c r="T817" s="4" t="str">
        <f t="shared" si="257"/>
        <v/>
      </c>
      <c r="U817" s="5" t="str">
        <f t="shared" si="258"/>
        <v/>
      </c>
      <c r="V817" s="7" t="str">
        <f>IF(W817="","",IF(LOOKUP(W817,'Extration 3E date commande'!$A$6:$A$10000)=W817,LOOKUP(W817,'Extration 3E date commande'!$A$6:$A$10000,'Extration 3E date commande'!$C$6:$C$10000),"PAS DE DATE"))</f>
        <v/>
      </c>
    </row>
    <row r="818" spans="1:22" x14ac:dyDescent="0.25">
      <c r="A818" s="3" t="str">
        <f t="shared" si="244"/>
        <v/>
      </c>
      <c r="B818" s="3" t="str">
        <f t="shared" si="245"/>
        <v/>
      </c>
      <c r="C818" s="3" t="str">
        <f t="shared" si="259"/>
        <v/>
      </c>
      <c r="D818" s="3" t="str">
        <f t="shared" si="246"/>
        <v/>
      </c>
      <c r="E818" s="3" t="str">
        <f t="shared" si="247"/>
        <v/>
      </c>
      <c r="F818" s="3" t="str">
        <f t="shared" si="248"/>
        <v/>
      </c>
      <c r="G818" s="3" t="str">
        <f t="shared" si="249"/>
        <v/>
      </c>
      <c r="H818" s="3" t="str">
        <f t="shared" si="250"/>
        <v/>
      </c>
      <c r="I818" s="3" t="str">
        <f t="shared" si="251"/>
        <v/>
      </c>
      <c r="J818" s="2" t="str">
        <f t="shared" si="252"/>
        <v/>
      </c>
      <c r="K818" s="2" t="str">
        <f>IF(W818="","",LOOKUP('Extraction edi'!J818,Paramètrage!$A$6:$A$179,Paramètrage!$B$6:$B$179))</f>
        <v/>
      </c>
      <c r="L818" s="2" t="str">
        <f>IF(W818="","",LOOKUP('Extraction edi'!J818,Paramètrage!$A$6:$A$179,Paramètrage!$C$6:$C$179))</f>
        <v/>
      </c>
      <c r="M818" s="2" t="str">
        <f>IF(W818="","",LOOKUP('Extraction edi'!J818,Paramètrage!$A$6:$A$179,Paramètrage!$D$6:$D$179))</f>
        <v/>
      </c>
      <c r="N818" s="3" t="str">
        <f>IF(W818="","",LOOKUP('Extraction edi'!J818,Paramètrage!$A$6:$A$179,Paramètrage!$E$6:$E$179))</f>
        <v/>
      </c>
      <c r="O818" s="3" t="str">
        <f t="shared" si="253"/>
        <v/>
      </c>
      <c r="P818" s="3" t="str">
        <f t="shared" si="254"/>
        <v/>
      </c>
      <c r="Q818" s="3" t="str">
        <f t="shared" si="243"/>
        <v/>
      </c>
      <c r="R818" s="3" t="str">
        <f t="shared" si="255"/>
        <v/>
      </c>
      <c r="S818" s="3" t="str">
        <f t="shared" si="256"/>
        <v/>
      </c>
      <c r="T818" s="4" t="str">
        <f t="shared" si="257"/>
        <v/>
      </c>
      <c r="U818" s="5" t="str">
        <f t="shared" si="258"/>
        <v/>
      </c>
      <c r="V818" s="7" t="str">
        <f>IF(W818="","",IF(LOOKUP(W818,'Extration 3E date commande'!$A$6:$A$10000)=W818,LOOKUP(W818,'Extration 3E date commande'!$A$6:$A$10000,'Extration 3E date commande'!$C$6:$C$10000),"PAS DE DATE"))</f>
        <v/>
      </c>
    </row>
    <row r="819" spans="1:22" x14ac:dyDescent="0.25">
      <c r="A819" s="3" t="str">
        <f t="shared" si="244"/>
        <v/>
      </c>
      <c r="B819" s="3" t="str">
        <f t="shared" si="245"/>
        <v/>
      </c>
      <c r="C819" s="3" t="str">
        <f t="shared" si="259"/>
        <v/>
      </c>
      <c r="D819" s="3" t="str">
        <f t="shared" si="246"/>
        <v/>
      </c>
      <c r="E819" s="3" t="str">
        <f t="shared" si="247"/>
        <v/>
      </c>
      <c r="F819" s="3" t="str">
        <f t="shared" si="248"/>
        <v/>
      </c>
      <c r="G819" s="3" t="str">
        <f t="shared" si="249"/>
        <v/>
      </c>
      <c r="H819" s="3" t="str">
        <f t="shared" si="250"/>
        <v/>
      </c>
      <c r="I819" s="3" t="str">
        <f t="shared" si="251"/>
        <v/>
      </c>
      <c r="J819" s="2" t="str">
        <f t="shared" si="252"/>
        <v/>
      </c>
      <c r="K819" s="2" t="str">
        <f>IF(W819="","",LOOKUP('Extraction edi'!J819,Paramètrage!$A$6:$A$179,Paramètrage!$B$6:$B$179))</f>
        <v/>
      </c>
      <c r="L819" s="2" t="str">
        <f>IF(W819="","",LOOKUP('Extraction edi'!J819,Paramètrage!$A$6:$A$179,Paramètrage!$C$6:$C$179))</f>
        <v/>
      </c>
      <c r="M819" s="2" t="str">
        <f>IF(W819="","",LOOKUP('Extraction edi'!J819,Paramètrage!$A$6:$A$179,Paramètrage!$D$6:$D$179))</f>
        <v/>
      </c>
      <c r="N819" s="3" t="str">
        <f>IF(W819="","",LOOKUP('Extraction edi'!J819,Paramètrage!$A$6:$A$179,Paramètrage!$E$6:$E$179))</f>
        <v/>
      </c>
      <c r="O819" s="3" t="str">
        <f t="shared" si="253"/>
        <v/>
      </c>
      <c r="P819" s="3" t="str">
        <f t="shared" si="254"/>
        <v/>
      </c>
      <c r="Q819" s="3" t="str">
        <f t="shared" si="243"/>
        <v/>
      </c>
      <c r="R819" s="3" t="str">
        <f t="shared" si="255"/>
        <v/>
      </c>
      <c r="S819" s="3" t="str">
        <f t="shared" si="256"/>
        <v/>
      </c>
      <c r="T819" s="4" t="str">
        <f t="shared" si="257"/>
        <v/>
      </c>
      <c r="U819" s="5" t="str">
        <f t="shared" si="258"/>
        <v/>
      </c>
      <c r="V819" s="7" t="str">
        <f>IF(W819="","",IF(LOOKUP(W819,'Extration 3E date commande'!$A$6:$A$10000)=W819,LOOKUP(W819,'Extration 3E date commande'!$A$6:$A$10000,'Extration 3E date commande'!$C$6:$C$10000),"PAS DE DATE"))</f>
        <v/>
      </c>
    </row>
    <row r="820" spans="1:22" x14ac:dyDescent="0.25">
      <c r="A820" s="3" t="str">
        <f t="shared" si="244"/>
        <v/>
      </c>
      <c r="B820" s="3" t="str">
        <f t="shared" si="245"/>
        <v/>
      </c>
      <c r="C820" s="3" t="str">
        <f t="shared" si="259"/>
        <v/>
      </c>
      <c r="D820" s="3" t="str">
        <f t="shared" si="246"/>
        <v/>
      </c>
      <c r="E820" s="3" t="str">
        <f t="shared" si="247"/>
        <v/>
      </c>
      <c r="F820" s="3" t="str">
        <f t="shared" si="248"/>
        <v/>
      </c>
      <c r="G820" s="3" t="str">
        <f t="shared" si="249"/>
        <v/>
      </c>
      <c r="H820" s="3" t="str">
        <f t="shared" si="250"/>
        <v/>
      </c>
      <c r="I820" s="3" t="str">
        <f t="shared" si="251"/>
        <v/>
      </c>
      <c r="J820" s="2" t="str">
        <f t="shared" si="252"/>
        <v/>
      </c>
      <c r="K820" s="2" t="str">
        <f>IF(W820="","",LOOKUP('Extraction edi'!J820,Paramètrage!$A$6:$A$179,Paramètrage!$B$6:$B$179))</f>
        <v/>
      </c>
      <c r="L820" s="2" t="str">
        <f>IF(W820="","",LOOKUP('Extraction edi'!J820,Paramètrage!$A$6:$A$179,Paramètrage!$C$6:$C$179))</f>
        <v/>
      </c>
      <c r="M820" s="2" t="str">
        <f>IF(W820="","",LOOKUP('Extraction edi'!J820,Paramètrage!$A$6:$A$179,Paramètrage!$D$6:$D$179))</f>
        <v/>
      </c>
      <c r="N820" s="3" t="str">
        <f>IF(W820="","",LOOKUP('Extraction edi'!J820,Paramètrage!$A$6:$A$179,Paramètrage!$E$6:$E$179))</f>
        <v/>
      </c>
      <c r="O820" s="3" t="str">
        <f t="shared" si="253"/>
        <v/>
      </c>
      <c r="P820" s="3" t="str">
        <f t="shared" si="254"/>
        <v/>
      </c>
      <c r="Q820" s="3" t="str">
        <f t="shared" si="243"/>
        <v/>
      </c>
      <c r="R820" s="3" t="str">
        <f t="shared" si="255"/>
        <v/>
      </c>
      <c r="S820" s="3" t="str">
        <f t="shared" si="256"/>
        <v/>
      </c>
      <c r="T820" s="4" t="str">
        <f t="shared" si="257"/>
        <v/>
      </c>
      <c r="U820" s="5" t="str">
        <f t="shared" si="258"/>
        <v/>
      </c>
      <c r="V820" s="7" t="str">
        <f>IF(W820="","",IF(LOOKUP(W820,'Extration 3E date commande'!$A$6:$A$10000)=W820,LOOKUP(W820,'Extration 3E date commande'!$A$6:$A$10000,'Extration 3E date commande'!$C$6:$C$10000),"PAS DE DATE"))</f>
        <v/>
      </c>
    </row>
    <row r="821" spans="1:22" x14ac:dyDescent="0.25">
      <c r="A821" s="3" t="str">
        <f t="shared" si="244"/>
        <v/>
      </c>
      <c r="B821" s="3" t="str">
        <f t="shared" si="245"/>
        <v/>
      </c>
      <c r="C821" s="3" t="str">
        <f t="shared" si="259"/>
        <v/>
      </c>
      <c r="D821" s="3" t="str">
        <f t="shared" si="246"/>
        <v/>
      </c>
      <c r="E821" s="3" t="str">
        <f t="shared" si="247"/>
        <v/>
      </c>
      <c r="F821" s="3" t="str">
        <f t="shared" si="248"/>
        <v/>
      </c>
      <c r="G821" s="3" t="str">
        <f t="shared" si="249"/>
        <v/>
      </c>
      <c r="H821" s="3" t="str">
        <f t="shared" si="250"/>
        <v/>
      </c>
      <c r="I821" s="3" t="str">
        <f t="shared" si="251"/>
        <v/>
      </c>
      <c r="J821" s="2" t="str">
        <f t="shared" si="252"/>
        <v/>
      </c>
      <c r="K821" s="2" t="str">
        <f>IF(W821="","",LOOKUP('Extraction edi'!J821,Paramètrage!$A$6:$A$179,Paramètrage!$B$6:$B$179))</f>
        <v/>
      </c>
      <c r="L821" s="2" t="str">
        <f>IF(W821="","",LOOKUP('Extraction edi'!J821,Paramètrage!$A$6:$A$179,Paramètrage!$C$6:$C$179))</f>
        <v/>
      </c>
      <c r="M821" s="2" t="str">
        <f>IF(W821="","",LOOKUP('Extraction edi'!J821,Paramètrage!$A$6:$A$179,Paramètrage!$D$6:$D$179))</f>
        <v/>
      </c>
      <c r="N821" s="3" t="str">
        <f>IF(W821="","",LOOKUP('Extraction edi'!J821,Paramètrage!$A$6:$A$179,Paramètrage!$E$6:$E$179))</f>
        <v/>
      </c>
      <c r="O821" s="3" t="str">
        <f t="shared" si="253"/>
        <v/>
      </c>
      <c r="P821" s="3" t="str">
        <f t="shared" si="254"/>
        <v/>
      </c>
      <c r="Q821" s="3" t="str">
        <f t="shared" si="243"/>
        <v/>
      </c>
      <c r="R821" s="3" t="str">
        <f t="shared" si="255"/>
        <v/>
      </c>
      <c r="S821" s="3" t="str">
        <f t="shared" si="256"/>
        <v/>
      </c>
      <c r="T821" s="4" t="str">
        <f t="shared" si="257"/>
        <v/>
      </c>
      <c r="U821" s="5" t="str">
        <f t="shared" si="258"/>
        <v/>
      </c>
      <c r="V821" s="7" t="str">
        <f>IF(W821="","",IF(LOOKUP(W821,'Extration 3E date commande'!$A$6:$A$10000)=W821,LOOKUP(W821,'Extration 3E date commande'!$A$6:$A$10000,'Extration 3E date commande'!$C$6:$C$10000),"PAS DE DATE"))</f>
        <v/>
      </c>
    </row>
    <row r="822" spans="1:22" x14ac:dyDescent="0.25">
      <c r="A822" s="3" t="str">
        <f t="shared" si="244"/>
        <v/>
      </c>
      <c r="B822" s="3" t="str">
        <f t="shared" si="245"/>
        <v/>
      </c>
      <c r="C822" s="3" t="str">
        <f t="shared" si="259"/>
        <v/>
      </c>
      <c r="D822" s="3" t="str">
        <f t="shared" si="246"/>
        <v/>
      </c>
      <c r="E822" s="3" t="str">
        <f t="shared" si="247"/>
        <v/>
      </c>
      <c r="F822" s="3" t="str">
        <f t="shared" si="248"/>
        <v/>
      </c>
      <c r="G822" s="3" t="str">
        <f t="shared" si="249"/>
        <v/>
      </c>
      <c r="H822" s="3" t="str">
        <f t="shared" si="250"/>
        <v/>
      </c>
      <c r="I822" s="3" t="str">
        <f t="shared" si="251"/>
        <v/>
      </c>
      <c r="J822" s="2" t="str">
        <f t="shared" si="252"/>
        <v/>
      </c>
      <c r="K822" s="2" t="str">
        <f>IF(W822="","",LOOKUP('Extraction edi'!J822,Paramètrage!$A$6:$A$179,Paramètrage!$B$6:$B$179))</f>
        <v/>
      </c>
      <c r="L822" s="2" t="str">
        <f>IF(W822="","",LOOKUP('Extraction edi'!J822,Paramètrage!$A$6:$A$179,Paramètrage!$C$6:$C$179))</f>
        <v/>
      </c>
      <c r="M822" s="2" t="str">
        <f>IF(W822="","",LOOKUP('Extraction edi'!J822,Paramètrage!$A$6:$A$179,Paramètrage!$D$6:$D$179))</f>
        <v/>
      </c>
      <c r="N822" s="3" t="str">
        <f>IF(W822="","",LOOKUP('Extraction edi'!J822,Paramètrage!$A$6:$A$179,Paramètrage!$E$6:$E$179))</f>
        <v/>
      </c>
      <c r="O822" s="3" t="str">
        <f t="shared" si="253"/>
        <v/>
      </c>
      <c r="P822" s="3" t="str">
        <f t="shared" si="254"/>
        <v/>
      </c>
      <c r="Q822" s="3" t="str">
        <f t="shared" si="243"/>
        <v/>
      </c>
      <c r="R822" s="3" t="str">
        <f t="shared" si="255"/>
        <v/>
      </c>
      <c r="S822" s="3" t="str">
        <f t="shared" si="256"/>
        <v/>
      </c>
      <c r="T822" s="4" t="str">
        <f t="shared" si="257"/>
        <v/>
      </c>
      <c r="U822" s="5" t="str">
        <f t="shared" si="258"/>
        <v/>
      </c>
      <c r="V822" s="7" t="str">
        <f>IF(W822="","",IF(LOOKUP(W822,'Extration 3E date commande'!$A$6:$A$10000)=W822,LOOKUP(W822,'Extration 3E date commande'!$A$6:$A$10000,'Extration 3E date commande'!$C$6:$C$10000),"PAS DE DATE"))</f>
        <v/>
      </c>
    </row>
    <row r="823" spans="1:22" x14ac:dyDescent="0.25">
      <c r="A823" s="3" t="str">
        <f t="shared" si="244"/>
        <v/>
      </c>
      <c r="B823" s="3" t="str">
        <f t="shared" si="245"/>
        <v/>
      </c>
      <c r="C823" s="3" t="str">
        <f t="shared" si="259"/>
        <v/>
      </c>
      <c r="D823" s="3" t="str">
        <f t="shared" si="246"/>
        <v/>
      </c>
      <c r="E823" s="3" t="str">
        <f t="shared" si="247"/>
        <v/>
      </c>
      <c r="F823" s="3" t="str">
        <f t="shared" si="248"/>
        <v/>
      </c>
      <c r="G823" s="3" t="str">
        <f t="shared" si="249"/>
        <v/>
      </c>
      <c r="H823" s="3" t="str">
        <f t="shared" si="250"/>
        <v/>
      </c>
      <c r="I823" s="3" t="str">
        <f t="shared" si="251"/>
        <v/>
      </c>
      <c r="J823" s="2" t="str">
        <f t="shared" si="252"/>
        <v/>
      </c>
      <c r="K823" s="2" t="str">
        <f>IF(W823="","",LOOKUP('Extraction edi'!J823,Paramètrage!$A$6:$A$179,Paramètrage!$B$6:$B$179))</f>
        <v/>
      </c>
      <c r="L823" s="2" t="str">
        <f>IF(W823="","",LOOKUP('Extraction edi'!J823,Paramètrage!$A$6:$A$179,Paramètrage!$C$6:$C$179))</f>
        <v/>
      </c>
      <c r="M823" s="2" t="str">
        <f>IF(W823="","",LOOKUP('Extraction edi'!J823,Paramètrage!$A$6:$A$179,Paramètrage!$D$6:$D$179))</f>
        <v/>
      </c>
      <c r="N823" s="3" t="str">
        <f>IF(W823="","",LOOKUP('Extraction edi'!J823,Paramètrage!$A$6:$A$179,Paramètrage!$E$6:$E$179))</f>
        <v/>
      </c>
      <c r="O823" s="3" t="str">
        <f t="shared" si="253"/>
        <v/>
      </c>
      <c r="P823" s="3" t="str">
        <f t="shared" si="254"/>
        <v/>
      </c>
      <c r="Q823" s="3" t="str">
        <f t="shared" si="243"/>
        <v/>
      </c>
      <c r="R823" s="3" t="str">
        <f t="shared" si="255"/>
        <v/>
      </c>
      <c r="S823" s="3" t="str">
        <f t="shared" si="256"/>
        <v/>
      </c>
      <c r="T823" s="4" t="str">
        <f t="shared" si="257"/>
        <v/>
      </c>
      <c r="U823" s="5" t="str">
        <f t="shared" si="258"/>
        <v/>
      </c>
      <c r="V823" s="7" t="str">
        <f>IF(W823="","",IF(LOOKUP(W823,'Extration 3E date commande'!$A$6:$A$10000)=W823,LOOKUP(W823,'Extration 3E date commande'!$A$6:$A$10000,'Extration 3E date commande'!$C$6:$C$10000),"PAS DE DATE"))</f>
        <v/>
      </c>
    </row>
    <row r="824" spans="1:22" x14ac:dyDescent="0.25">
      <c r="A824" s="3" t="str">
        <f t="shared" si="244"/>
        <v/>
      </c>
      <c r="B824" s="3" t="str">
        <f t="shared" si="245"/>
        <v/>
      </c>
      <c r="C824" s="3" t="str">
        <f t="shared" si="259"/>
        <v/>
      </c>
      <c r="D824" s="3" t="str">
        <f t="shared" si="246"/>
        <v/>
      </c>
      <c r="E824" s="3" t="str">
        <f t="shared" si="247"/>
        <v/>
      </c>
      <c r="F824" s="3" t="str">
        <f t="shared" si="248"/>
        <v/>
      </c>
      <c r="G824" s="3" t="str">
        <f t="shared" si="249"/>
        <v/>
      </c>
      <c r="H824" s="3" t="str">
        <f t="shared" si="250"/>
        <v/>
      </c>
      <c r="I824" s="3" t="str">
        <f t="shared" si="251"/>
        <v/>
      </c>
      <c r="J824" s="2" t="str">
        <f t="shared" si="252"/>
        <v/>
      </c>
      <c r="K824" s="2" t="str">
        <f>IF(W824="","",LOOKUP('Extraction edi'!J824,Paramètrage!$A$6:$A$179,Paramètrage!$B$6:$B$179))</f>
        <v/>
      </c>
      <c r="L824" s="2" t="str">
        <f>IF(W824="","",LOOKUP('Extraction edi'!J824,Paramètrage!$A$6:$A$179,Paramètrage!$C$6:$C$179))</f>
        <v/>
      </c>
      <c r="M824" s="2" t="str">
        <f>IF(W824="","",LOOKUP('Extraction edi'!J824,Paramètrage!$A$6:$A$179,Paramètrage!$D$6:$D$179))</f>
        <v/>
      </c>
      <c r="N824" s="3" t="str">
        <f>IF(W824="","",LOOKUP('Extraction edi'!J824,Paramètrage!$A$6:$A$179,Paramètrage!$E$6:$E$179))</f>
        <v/>
      </c>
      <c r="O824" s="3" t="str">
        <f t="shared" si="253"/>
        <v/>
      </c>
      <c r="P824" s="3" t="str">
        <f t="shared" si="254"/>
        <v/>
      </c>
      <c r="Q824" s="3" t="str">
        <f t="shared" si="243"/>
        <v/>
      </c>
      <c r="R824" s="3" t="str">
        <f t="shared" si="255"/>
        <v/>
      </c>
      <c r="S824" s="3" t="str">
        <f t="shared" si="256"/>
        <v/>
      </c>
      <c r="T824" s="4" t="str">
        <f t="shared" si="257"/>
        <v/>
      </c>
      <c r="U824" s="5" t="str">
        <f t="shared" si="258"/>
        <v/>
      </c>
      <c r="V824" s="7" t="str">
        <f>IF(W824="","",IF(LOOKUP(W824,'Extration 3E date commande'!$A$6:$A$10000)=W824,LOOKUP(W824,'Extration 3E date commande'!$A$6:$A$10000,'Extration 3E date commande'!$C$6:$C$10000),"PAS DE DATE"))</f>
        <v/>
      </c>
    </row>
    <row r="825" spans="1:22" x14ac:dyDescent="0.25">
      <c r="A825" s="3" t="str">
        <f t="shared" si="244"/>
        <v/>
      </c>
      <c r="B825" s="3" t="str">
        <f t="shared" si="245"/>
        <v/>
      </c>
      <c r="C825" s="3" t="str">
        <f t="shared" si="259"/>
        <v/>
      </c>
      <c r="D825" s="3" t="str">
        <f t="shared" si="246"/>
        <v/>
      </c>
      <c r="E825" s="3" t="str">
        <f t="shared" si="247"/>
        <v/>
      </c>
      <c r="F825" s="3" t="str">
        <f t="shared" si="248"/>
        <v/>
      </c>
      <c r="G825" s="3" t="str">
        <f t="shared" si="249"/>
        <v/>
      </c>
      <c r="H825" s="3" t="str">
        <f t="shared" si="250"/>
        <v/>
      </c>
      <c r="I825" s="3" t="str">
        <f t="shared" si="251"/>
        <v/>
      </c>
      <c r="J825" s="2" t="str">
        <f t="shared" si="252"/>
        <v/>
      </c>
      <c r="K825" s="2" t="str">
        <f>IF(W825="","",LOOKUP('Extraction edi'!J825,Paramètrage!$A$6:$A$179,Paramètrage!$B$6:$B$179))</f>
        <v/>
      </c>
      <c r="L825" s="2" t="str">
        <f>IF(W825="","",LOOKUP('Extraction edi'!J825,Paramètrage!$A$6:$A$179,Paramètrage!$C$6:$C$179))</f>
        <v/>
      </c>
      <c r="M825" s="2" t="str">
        <f>IF(W825="","",LOOKUP('Extraction edi'!J825,Paramètrage!$A$6:$A$179,Paramètrage!$D$6:$D$179))</f>
        <v/>
      </c>
      <c r="N825" s="3" t="str">
        <f>IF(W825="","",LOOKUP('Extraction edi'!J825,Paramètrage!$A$6:$A$179,Paramètrage!$E$6:$E$179))</f>
        <v/>
      </c>
      <c r="O825" s="3" t="str">
        <f t="shared" si="253"/>
        <v/>
      </c>
      <c r="P825" s="3" t="str">
        <f t="shared" si="254"/>
        <v/>
      </c>
      <c r="Q825" s="3" t="str">
        <f t="shared" si="243"/>
        <v/>
      </c>
      <c r="R825" s="3" t="str">
        <f t="shared" si="255"/>
        <v/>
      </c>
      <c r="S825" s="3" t="str">
        <f t="shared" si="256"/>
        <v/>
      </c>
      <c r="T825" s="4" t="str">
        <f t="shared" si="257"/>
        <v/>
      </c>
      <c r="U825" s="5" t="str">
        <f t="shared" si="258"/>
        <v/>
      </c>
      <c r="V825" s="7" t="str">
        <f>IF(W825="","",IF(LOOKUP(W825,'Extration 3E date commande'!$A$6:$A$10000)=W825,LOOKUP(W825,'Extration 3E date commande'!$A$6:$A$10000,'Extration 3E date commande'!$C$6:$C$10000),"PAS DE DATE"))</f>
        <v/>
      </c>
    </row>
    <row r="826" spans="1:22" x14ac:dyDescent="0.25">
      <c r="A826" s="3" t="str">
        <f t="shared" si="244"/>
        <v/>
      </c>
      <c r="B826" s="3" t="str">
        <f t="shared" si="245"/>
        <v/>
      </c>
      <c r="C826" s="3" t="str">
        <f t="shared" si="259"/>
        <v/>
      </c>
      <c r="D826" s="3" t="str">
        <f t="shared" si="246"/>
        <v/>
      </c>
      <c r="E826" s="3" t="str">
        <f t="shared" si="247"/>
        <v/>
      </c>
      <c r="F826" s="3" t="str">
        <f t="shared" si="248"/>
        <v/>
      </c>
      <c r="G826" s="3" t="str">
        <f t="shared" si="249"/>
        <v/>
      </c>
      <c r="H826" s="3" t="str">
        <f t="shared" si="250"/>
        <v/>
      </c>
      <c r="I826" s="3" t="str">
        <f t="shared" si="251"/>
        <v/>
      </c>
      <c r="J826" s="2" t="str">
        <f t="shared" si="252"/>
        <v/>
      </c>
      <c r="K826" s="2" t="str">
        <f>IF(W826="","",LOOKUP('Extraction edi'!J826,Paramètrage!$A$6:$A$179,Paramètrage!$B$6:$B$179))</f>
        <v/>
      </c>
      <c r="L826" s="2" t="str">
        <f>IF(W826="","",LOOKUP('Extraction edi'!J826,Paramètrage!$A$6:$A$179,Paramètrage!$C$6:$C$179))</f>
        <v/>
      </c>
      <c r="M826" s="2" t="str">
        <f>IF(W826="","",LOOKUP('Extraction edi'!J826,Paramètrage!$A$6:$A$179,Paramètrage!$D$6:$D$179))</f>
        <v/>
      </c>
      <c r="N826" s="3" t="str">
        <f>IF(W826="","",LOOKUP('Extraction edi'!J826,Paramètrage!$A$6:$A$179,Paramètrage!$E$6:$E$179))</f>
        <v/>
      </c>
      <c r="O826" s="3" t="str">
        <f t="shared" si="253"/>
        <v/>
      </c>
      <c r="P826" s="3" t="str">
        <f t="shared" si="254"/>
        <v/>
      </c>
      <c r="Q826" s="3" t="str">
        <f t="shared" si="243"/>
        <v/>
      </c>
      <c r="R826" s="3" t="str">
        <f t="shared" si="255"/>
        <v/>
      </c>
      <c r="S826" s="3" t="str">
        <f t="shared" si="256"/>
        <v/>
      </c>
      <c r="T826" s="4" t="str">
        <f t="shared" si="257"/>
        <v/>
      </c>
      <c r="U826" s="5" t="str">
        <f t="shared" si="258"/>
        <v/>
      </c>
      <c r="V826" s="7" t="str">
        <f>IF(W826="","",IF(LOOKUP(W826,'Extration 3E date commande'!$A$6:$A$10000)=W826,LOOKUP(W826,'Extration 3E date commande'!$A$6:$A$10000,'Extration 3E date commande'!$C$6:$C$10000),"PAS DE DATE"))</f>
        <v/>
      </c>
    </row>
    <row r="827" spans="1:22" x14ac:dyDescent="0.25">
      <c r="A827" s="3" t="str">
        <f t="shared" si="244"/>
        <v/>
      </c>
      <c r="B827" s="3" t="str">
        <f t="shared" si="245"/>
        <v/>
      </c>
      <c r="C827" s="3" t="str">
        <f t="shared" si="259"/>
        <v/>
      </c>
      <c r="D827" s="3" t="str">
        <f t="shared" si="246"/>
        <v/>
      </c>
      <c r="E827" s="3" t="str">
        <f t="shared" si="247"/>
        <v/>
      </c>
      <c r="F827" s="3" t="str">
        <f t="shared" si="248"/>
        <v/>
      </c>
      <c r="G827" s="3" t="str">
        <f t="shared" si="249"/>
        <v/>
      </c>
      <c r="H827" s="3" t="str">
        <f t="shared" si="250"/>
        <v/>
      </c>
      <c r="I827" s="3" t="str">
        <f t="shared" si="251"/>
        <v/>
      </c>
      <c r="J827" s="2" t="str">
        <f t="shared" si="252"/>
        <v/>
      </c>
      <c r="K827" s="2" t="str">
        <f>IF(W827="","",LOOKUP('Extraction edi'!J827,Paramètrage!$A$6:$A$179,Paramètrage!$B$6:$B$179))</f>
        <v/>
      </c>
      <c r="L827" s="2" t="str">
        <f>IF(W827="","",LOOKUP('Extraction edi'!J827,Paramètrage!$A$6:$A$179,Paramètrage!$C$6:$C$179))</f>
        <v/>
      </c>
      <c r="M827" s="2" t="str">
        <f>IF(W827="","",LOOKUP('Extraction edi'!J827,Paramètrage!$A$6:$A$179,Paramètrage!$D$6:$D$179))</f>
        <v/>
      </c>
      <c r="N827" s="3" t="str">
        <f>IF(W827="","",LOOKUP('Extraction edi'!J827,Paramètrage!$A$6:$A$179,Paramètrage!$E$6:$E$179))</f>
        <v/>
      </c>
      <c r="O827" s="3" t="str">
        <f t="shared" si="253"/>
        <v/>
      </c>
      <c r="P827" s="3" t="str">
        <f t="shared" si="254"/>
        <v/>
      </c>
      <c r="Q827" s="3" t="str">
        <f t="shared" si="243"/>
        <v/>
      </c>
      <c r="R827" s="3" t="str">
        <f t="shared" si="255"/>
        <v/>
      </c>
      <c r="S827" s="3" t="str">
        <f t="shared" si="256"/>
        <v/>
      </c>
      <c r="T827" s="4" t="str">
        <f t="shared" si="257"/>
        <v/>
      </c>
      <c r="U827" s="5" t="str">
        <f t="shared" si="258"/>
        <v/>
      </c>
      <c r="V827" s="7" t="str">
        <f>IF(W827="","",IF(LOOKUP(W827,'Extration 3E date commande'!$A$6:$A$10000)=W827,LOOKUP(W827,'Extration 3E date commande'!$A$6:$A$10000,'Extration 3E date commande'!$C$6:$C$10000),"PAS DE DATE"))</f>
        <v/>
      </c>
    </row>
    <row r="828" spans="1:22" x14ac:dyDescent="0.25">
      <c r="A828" s="3" t="str">
        <f t="shared" si="244"/>
        <v/>
      </c>
      <c r="B828" s="3" t="str">
        <f t="shared" si="245"/>
        <v/>
      </c>
      <c r="C828" s="3" t="str">
        <f t="shared" si="259"/>
        <v/>
      </c>
      <c r="D828" s="3" t="str">
        <f t="shared" si="246"/>
        <v/>
      </c>
      <c r="E828" s="3" t="str">
        <f t="shared" si="247"/>
        <v/>
      </c>
      <c r="F828" s="3" t="str">
        <f t="shared" si="248"/>
        <v/>
      </c>
      <c r="G828" s="3" t="str">
        <f t="shared" si="249"/>
        <v/>
      </c>
      <c r="H828" s="3" t="str">
        <f t="shared" si="250"/>
        <v/>
      </c>
      <c r="I828" s="3" t="str">
        <f t="shared" si="251"/>
        <v/>
      </c>
      <c r="J828" s="2" t="str">
        <f t="shared" si="252"/>
        <v/>
      </c>
      <c r="K828" s="2" t="str">
        <f>IF(W828="","",LOOKUP('Extraction edi'!J828,Paramètrage!$A$6:$A$179,Paramètrage!$B$6:$B$179))</f>
        <v/>
      </c>
      <c r="L828" s="2" t="str">
        <f>IF(W828="","",LOOKUP('Extraction edi'!J828,Paramètrage!$A$6:$A$179,Paramètrage!$C$6:$C$179))</f>
        <v/>
      </c>
      <c r="M828" s="2" t="str">
        <f>IF(W828="","",LOOKUP('Extraction edi'!J828,Paramètrage!$A$6:$A$179,Paramètrage!$D$6:$D$179))</f>
        <v/>
      </c>
      <c r="N828" s="3" t="str">
        <f>IF(W828="","",LOOKUP('Extraction edi'!J828,Paramètrage!$A$6:$A$179,Paramètrage!$E$6:$E$179))</f>
        <v/>
      </c>
      <c r="O828" s="3" t="str">
        <f t="shared" si="253"/>
        <v/>
      </c>
      <c r="P828" s="3" t="str">
        <f t="shared" si="254"/>
        <v/>
      </c>
      <c r="Q828" s="3" t="str">
        <f t="shared" si="243"/>
        <v/>
      </c>
      <c r="R828" s="3" t="str">
        <f t="shared" si="255"/>
        <v/>
      </c>
      <c r="S828" s="3" t="str">
        <f t="shared" si="256"/>
        <v/>
      </c>
      <c r="T828" s="4" t="str">
        <f t="shared" si="257"/>
        <v/>
      </c>
      <c r="U828" s="5" t="str">
        <f t="shared" si="258"/>
        <v/>
      </c>
      <c r="V828" s="7" t="str">
        <f>IF(W828="","",IF(LOOKUP(W828,'Extration 3E date commande'!$A$6:$A$10000)=W828,LOOKUP(W828,'Extration 3E date commande'!$A$6:$A$10000,'Extration 3E date commande'!$C$6:$C$10000),"PAS DE DATE"))</f>
        <v/>
      </c>
    </row>
    <row r="829" spans="1:22" x14ac:dyDescent="0.25">
      <c r="A829" s="3" t="str">
        <f t="shared" si="244"/>
        <v/>
      </c>
      <c r="B829" s="3" t="str">
        <f t="shared" si="245"/>
        <v/>
      </c>
      <c r="C829" s="3" t="str">
        <f t="shared" si="259"/>
        <v/>
      </c>
      <c r="D829" s="3" t="str">
        <f t="shared" si="246"/>
        <v/>
      </c>
      <c r="E829" s="3" t="str">
        <f t="shared" si="247"/>
        <v/>
      </c>
      <c r="F829" s="3" t="str">
        <f t="shared" si="248"/>
        <v/>
      </c>
      <c r="G829" s="3" t="str">
        <f t="shared" si="249"/>
        <v/>
      </c>
      <c r="H829" s="3" t="str">
        <f t="shared" si="250"/>
        <v/>
      </c>
      <c r="I829" s="3" t="str">
        <f t="shared" si="251"/>
        <v/>
      </c>
      <c r="J829" s="2" t="str">
        <f t="shared" si="252"/>
        <v/>
      </c>
      <c r="K829" s="2" t="str">
        <f>IF(W829="","",LOOKUP('Extraction edi'!J829,Paramètrage!$A$6:$A$179,Paramètrage!$B$6:$B$179))</f>
        <v/>
      </c>
      <c r="L829" s="2" t="str">
        <f>IF(W829="","",LOOKUP('Extraction edi'!J829,Paramètrage!$A$6:$A$179,Paramètrage!$C$6:$C$179))</f>
        <v/>
      </c>
      <c r="M829" s="2" t="str">
        <f>IF(W829="","",LOOKUP('Extraction edi'!J829,Paramètrage!$A$6:$A$179,Paramètrage!$D$6:$D$179))</f>
        <v/>
      </c>
      <c r="N829" s="3" t="str">
        <f>IF(W829="","",LOOKUP('Extraction edi'!J829,Paramètrage!$A$6:$A$179,Paramètrage!$E$6:$E$179))</f>
        <v/>
      </c>
      <c r="O829" s="3" t="str">
        <f t="shared" si="253"/>
        <v/>
      </c>
      <c r="P829" s="3" t="str">
        <f t="shared" si="254"/>
        <v/>
      </c>
      <c r="Q829" s="3" t="str">
        <f t="shared" si="243"/>
        <v/>
      </c>
      <c r="R829" s="3" t="str">
        <f t="shared" si="255"/>
        <v/>
      </c>
      <c r="S829" s="3" t="str">
        <f t="shared" si="256"/>
        <v/>
      </c>
      <c r="T829" s="4" t="str">
        <f t="shared" si="257"/>
        <v/>
      </c>
      <c r="U829" s="5" t="str">
        <f t="shared" si="258"/>
        <v/>
      </c>
      <c r="V829" s="7" t="str">
        <f>IF(W829="","",IF(LOOKUP(W829,'Extration 3E date commande'!$A$6:$A$10000)=W829,LOOKUP(W829,'Extration 3E date commande'!$A$6:$A$10000,'Extration 3E date commande'!$C$6:$C$10000),"PAS DE DATE"))</f>
        <v/>
      </c>
    </row>
    <row r="830" spans="1:22" x14ac:dyDescent="0.25">
      <c r="A830" s="3" t="str">
        <f t="shared" si="244"/>
        <v/>
      </c>
      <c r="B830" s="3" t="str">
        <f t="shared" si="245"/>
        <v/>
      </c>
      <c r="C830" s="3" t="str">
        <f t="shared" si="259"/>
        <v/>
      </c>
      <c r="D830" s="3" t="str">
        <f t="shared" si="246"/>
        <v/>
      </c>
      <c r="E830" s="3" t="str">
        <f t="shared" si="247"/>
        <v/>
      </c>
      <c r="F830" s="3" t="str">
        <f t="shared" si="248"/>
        <v/>
      </c>
      <c r="G830" s="3" t="str">
        <f t="shared" si="249"/>
        <v/>
      </c>
      <c r="H830" s="3" t="str">
        <f t="shared" si="250"/>
        <v/>
      </c>
      <c r="I830" s="3" t="str">
        <f t="shared" si="251"/>
        <v/>
      </c>
      <c r="J830" s="2" t="str">
        <f t="shared" si="252"/>
        <v/>
      </c>
      <c r="K830" s="2" t="str">
        <f>IF(W830="","",LOOKUP('Extraction edi'!J830,Paramètrage!$A$6:$A$179,Paramètrage!$B$6:$B$179))</f>
        <v/>
      </c>
      <c r="L830" s="2" t="str">
        <f>IF(W830="","",LOOKUP('Extraction edi'!J830,Paramètrage!$A$6:$A$179,Paramètrage!$C$6:$C$179))</f>
        <v/>
      </c>
      <c r="M830" s="2" t="str">
        <f>IF(W830="","",LOOKUP('Extraction edi'!J830,Paramètrage!$A$6:$A$179,Paramètrage!$D$6:$D$179))</f>
        <v/>
      </c>
      <c r="N830" s="3" t="str">
        <f>IF(W830="","",LOOKUP('Extraction edi'!J830,Paramètrage!$A$6:$A$179,Paramètrage!$E$6:$E$179))</f>
        <v/>
      </c>
      <c r="O830" s="3" t="str">
        <f t="shared" si="253"/>
        <v/>
      </c>
      <c r="P830" s="3" t="str">
        <f t="shared" si="254"/>
        <v/>
      </c>
      <c r="Q830" s="3" t="str">
        <f t="shared" si="243"/>
        <v/>
      </c>
      <c r="R830" s="3" t="str">
        <f t="shared" si="255"/>
        <v/>
      </c>
      <c r="S830" s="3" t="str">
        <f t="shared" si="256"/>
        <v/>
      </c>
      <c r="T830" s="4" t="str">
        <f t="shared" si="257"/>
        <v/>
      </c>
      <c r="U830" s="5" t="str">
        <f t="shared" si="258"/>
        <v/>
      </c>
      <c r="V830" s="7" t="str">
        <f>IF(W830="","",IF(LOOKUP(W830,'Extration 3E date commande'!$A$6:$A$10000)=W830,LOOKUP(W830,'Extration 3E date commande'!$A$6:$A$10000,'Extration 3E date commande'!$C$6:$C$10000),"PAS DE DATE"))</f>
        <v/>
      </c>
    </row>
    <row r="831" spans="1:22" x14ac:dyDescent="0.25">
      <c r="A831" s="3" t="str">
        <f t="shared" si="244"/>
        <v/>
      </c>
      <c r="B831" s="3" t="str">
        <f t="shared" si="245"/>
        <v/>
      </c>
      <c r="C831" s="3" t="str">
        <f t="shared" si="259"/>
        <v/>
      </c>
      <c r="D831" s="3" t="str">
        <f t="shared" si="246"/>
        <v/>
      </c>
      <c r="E831" s="3" t="str">
        <f t="shared" si="247"/>
        <v/>
      </c>
      <c r="F831" s="3" t="str">
        <f t="shared" si="248"/>
        <v/>
      </c>
      <c r="G831" s="3" t="str">
        <f t="shared" si="249"/>
        <v/>
      </c>
      <c r="H831" s="3" t="str">
        <f t="shared" si="250"/>
        <v/>
      </c>
      <c r="I831" s="3" t="str">
        <f t="shared" si="251"/>
        <v/>
      </c>
      <c r="J831" s="2" t="str">
        <f t="shared" si="252"/>
        <v/>
      </c>
      <c r="K831" s="2" t="str">
        <f>IF(W831="","",LOOKUP('Extraction edi'!J831,Paramètrage!$A$6:$A$179,Paramètrage!$B$6:$B$179))</f>
        <v/>
      </c>
      <c r="L831" s="2" t="str">
        <f>IF(W831="","",LOOKUP('Extraction edi'!J831,Paramètrage!$A$6:$A$179,Paramètrage!$C$6:$C$179))</f>
        <v/>
      </c>
      <c r="M831" s="2" t="str">
        <f>IF(W831="","",LOOKUP('Extraction edi'!J831,Paramètrage!$A$6:$A$179,Paramètrage!$D$6:$D$179))</f>
        <v/>
      </c>
      <c r="N831" s="3" t="str">
        <f>IF(W831="","",LOOKUP('Extraction edi'!J831,Paramètrage!$A$6:$A$179,Paramètrage!$E$6:$E$179))</f>
        <v/>
      </c>
      <c r="O831" s="3" t="str">
        <f t="shared" si="253"/>
        <v/>
      </c>
      <c r="P831" s="3" t="str">
        <f t="shared" si="254"/>
        <v/>
      </c>
      <c r="Q831" s="3" t="str">
        <f t="shared" si="243"/>
        <v/>
      </c>
      <c r="R831" s="3" t="str">
        <f t="shared" si="255"/>
        <v/>
      </c>
      <c r="S831" s="3" t="str">
        <f t="shared" si="256"/>
        <v/>
      </c>
      <c r="T831" s="4" t="str">
        <f t="shared" si="257"/>
        <v/>
      </c>
      <c r="U831" s="5" t="str">
        <f t="shared" si="258"/>
        <v/>
      </c>
      <c r="V831" s="7" t="str">
        <f>IF(W831="","",IF(LOOKUP(W831,'Extration 3E date commande'!$A$6:$A$10000)=W831,LOOKUP(W831,'Extration 3E date commande'!$A$6:$A$10000,'Extration 3E date commande'!$C$6:$C$10000),"PAS DE DATE"))</f>
        <v/>
      </c>
    </row>
    <row r="832" spans="1:22" x14ac:dyDescent="0.25">
      <c r="A832" s="3" t="str">
        <f t="shared" si="244"/>
        <v/>
      </c>
      <c r="B832" s="3" t="str">
        <f t="shared" si="245"/>
        <v/>
      </c>
      <c r="C832" s="3" t="str">
        <f t="shared" si="259"/>
        <v/>
      </c>
      <c r="D832" s="3" t="str">
        <f t="shared" si="246"/>
        <v/>
      </c>
      <c r="E832" s="3" t="str">
        <f t="shared" si="247"/>
        <v/>
      </c>
      <c r="F832" s="3" t="str">
        <f t="shared" si="248"/>
        <v/>
      </c>
      <c r="G832" s="3" t="str">
        <f t="shared" si="249"/>
        <v/>
      </c>
      <c r="H832" s="3" t="str">
        <f t="shared" si="250"/>
        <v/>
      </c>
      <c r="I832" s="3" t="str">
        <f t="shared" si="251"/>
        <v/>
      </c>
      <c r="J832" s="2" t="str">
        <f t="shared" si="252"/>
        <v/>
      </c>
      <c r="K832" s="2" t="str">
        <f>IF(W832="","",LOOKUP('Extraction edi'!J832,Paramètrage!$A$6:$A$179,Paramètrage!$B$6:$B$179))</f>
        <v/>
      </c>
      <c r="L832" s="2" t="str">
        <f>IF(W832="","",LOOKUP('Extraction edi'!J832,Paramètrage!$A$6:$A$179,Paramètrage!$C$6:$C$179))</f>
        <v/>
      </c>
      <c r="M832" s="2" t="str">
        <f>IF(W832="","",LOOKUP('Extraction edi'!J832,Paramètrage!$A$6:$A$179,Paramètrage!$D$6:$D$179))</f>
        <v/>
      </c>
      <c r="N832" s="3" t="str">
        <f>IF(W832="","",LOOKUP('Extraction edi'!J832,Paramètrage!$A$6:$A$179,Paramètrage!$E$6:$E$179))</f>
        <v/>
      </c>
      <c r="O832" s="3" t="str">
        <f t="shared" si="253"/>
        <v/>
      </c>
      <c r="P832" s="3" t="str">
        <f t="shared" si="254"/>
        <v/>
      </c>
      <c r="Q832" s="3" t="str">
        <f t="shared" si="243"/>
        <v/>
      </c>
      <c r="R832" s="3" t="str">
        <f t="shared" si="255"/>
        <v/>
      </c>
      <c r="S832" s="3" t="str">
        <f t="shared" si="256"/>
        <v/>
      </c>
      <c r="T832" s="4" t="str">
        <f t="shared" si="257"/>
        <v/>
      </c>
      <c r="U832" s="5" t="str">
        <f t="shared" si="258"/>
        <v/>
      </c>
      <c r="V832" s="7" t="str">
        <f>IF(W832="","",IF(LOOKUP(W832,'Extration 3E date commande'!$A$6:$A$10000)=W832,LOOKUP(W832,'Extration 3E date commande'!$A$6:$A$10000,'Extration 3E date commande'!$C$6:$C$10000),"PAS DE DATE"))</f>
        <v/>
      </c>
    </row>
    <row r="833" spans="1:22" x14ac:dyDescent="0.25">
      <c r="A833" s="3" t="str">
        <f t="shared" si="244"/>
        <v/>
      </c>
      <c r="B833" s="3" t="str">
        <f t="shared" si="245"/>
        <v/>
      </c>
      <c r="C833" s="3" t="str">
        <f t="shared" si="259"/>
        <v/>
      </c>
      <c r="D833" s="3" t="str">
        <f t="shared" si="246"/>
        <v/>
      </c>
      <c r="E833" s="3" t="str">
        <f t="shared" si="247"/>
        <v/>
      </c>
      <c r="F833" s="3" t="str">
        <f t="shared" si="248"/>
        <v/>
      </c>
      <c r="G833" s="3" t="str">
        <f t="shared" si="249"/>
        <v/>
      </c>
      <c r="H833" s="3" t="str">
        <f t="shared" si="250"/>
        <v/>
      </c>
      <c r="I833" s="3" t="str">
        <f t="shared" si="251"/>
        <v/>
      </c>
      <c r="J833" s="2" t="str">
        <f t="shared" si="252"/>
        <v/>
      </c>
      <c r="K833" s="2" t="str">
        <f>IF(W833="","",LOOKUP('Extraction edi'!J833,Paramètrage!$A$6:$A$179,Paramètrage!$B$6:$B$179))</f>
        <v/>
      </c>
      <c r="L833" s="2" t="str">
        <f>IF(W833="","",LOOKUP('Extraction edi'!J833,Paramètrage!$A$6:$A$179,Paramètrage!$C$6:$C$179))</f>
        <v/>
      </c>
      <c r="M833" s="2" t="str">
        <f>IF(W833="","",LOOKUP('Extraction edi'!J833,Paramètrage!$A$6:$A$179,Paramètrage!$D$6:$D$179))</f>
        <v/>
      </c>
      <c r="N833" s="3" t="str">
        <f>IF(W833="","",LOOKUP('Extraction edi'!J833,Paramètrage!$A$6:$A$179,Paramètrage!$E$6:$E$179))</f>
        <v/>
      </c>
      <c r="O833" s="3" t="str">
        <f t="shared" si="253"/>
        <v/>
      </c>
      <c r="P833" s="3" t="str">
        <f t="shared" si="254"/>
        <v/>
      </c>
      <c r="Q833" s="3" t="str">
        <f t="shared" si="243"/>
        <v/>
      </c>
      <c r="R833" s="3" t="str">
        <f t="shared" si="255"/>
        <v/>
      </c>
      <c r="S833" s="3" t="str">
        <f t="shared" si="256"/>
        <v/>
      </c>
      <c r="T833" s="4" t="str">
        <f t="shared" si="257"/>
        <v/>
      </c>
      <c r="U833" s="5" t="str">
        <f t="shared" si="258"/>
        <v/>
      </c>
      <c r="V833" s="7" t="str">
        <f>IF(W833="","",IF(LOOKUP(W833,'Extration 3E date commande'!$A$6:$A$10000)=W833,LOOKUP(W833,'Extration 3E date commande'!$A$6:$A$10000,'Extration 3E date commande'!$C$6:$C$10000),"PAS DE DATE"))</f>
        <v/>
      </c>
    </row>
    <row r="834" spans="1:22" x14ac:dyDescent="0.25">
      <c r="A834" s="3" t="str">
        <f t="shared" si="244"/>
        <v/>
      </c>
      <c r="B834" s="3" t="str">
        <f t="shared" si="245"/>
        <v/>
      </c>
      <c r="C834" s="3" t="str">
        <f t="shared" si="259"/>
        <v/>
      </c>
      <c r="D834" s="3" t="str">
        <f t="shared" si="246"/>
        <v/>
      </c>
      <c r="E834" s="3" t="str">
        <f t="shared" si="247"/>
        <v/>
      </c>
      <c r="F834" s="3" t="str">
        <f t="shared" si="248"/>
        <v/>
      </c>
      <c r="G834" s="3" t="str">
        <f t="shared" si="249"/>
        <v/>
      </c>
      <c r="H834" s="3" t="str">
        <f t="shared" si="250"/>
        <v/>
      </c>
      <c r="I834" s="3" t="str">
        <f t="shared" si="251"/>
        <v/>
      </c>
      <c r="J834" s="2" t="str">
        <f t="shared" si="252"/>
        <v/>
      </c>
      <c r="K834" s="2" t="str">
        <f>IF(W834="","",LOOKUP('Extraction edi'!J834,Paramètrage!$A$6:$A$179,Paramètrage!$B$6:$B$179))</f>
        <v/>
      </c>
      <c r="L834" s="2" t="str">
        <f>IF(W834="","",LOOKUP('Extraction edi'!J834,Paramètrage!$A$6:$A$179,Paramètrage!$C$6:$C$179))</f>
        <v/>
      </c>
      <c r="M834" s="2" t="str">
        <f>IF(W834="","",LOOKUP('Extraction edi'!J834,Paramètrage!$A$6:$A$179,Paramètrage!$D$6:$D$179))</f>
        <v/>
      </c>
      <c r="N834" s="3" t="str">
        <f>IF(W834="","",LOOKUP('Extraction edi'!J834,Paramètrage!$A$6:$A$179,Paramètrage!$E$6:$E$179))</f>
        <v/>
      </c>
      <c r="O834" s="3" t="str">
        <f t="shared" si="253"/>
        <v/>
      </c>
      <c r="P834" s="3" t="str">
        <f t="shared" si="254"/>
        <v/>
      </c>
      <c r="Q834" s="3" t="str">
        <f t="shared" si="243"/>
        <v/>
      </c>
      <c r="R834" s="3" t="str">
        <f t="shared" si="255"/>
        <v/>
      </c>
      <c r="S834" s="3" t="str">
        <f t="shared" si="256"/>
        <v/>
      </c>
      <c r="T834" s="4" t="str">
        <f t="shared" si="257"/>
        <v/>
      </c>
      <c r="U834" s="5" t="str">
        <f t="shared" si="258"/>
        <v/>
      </c>
      <c r="V834" s="7" t="str">
        <f>IF(W834="","",IF(LOOKUP(W834,'Extration 3E date commande'!$A$6:$A$10000)=W834,LOOKUP(W834,'Extration 3E date commande'!$A$6:$A$10000,'Extration 3E date commande'!$C$6:$C$10000),"PAS DE DATE"))</f>
        <v/>
      </c>
    </row>
    <row r="835" spans="1:22" x14ac:dyDescent="0.25">
      <c r="A835" s="3" t="str">
        <f t="shared" si="244"/>
        <v/>
      </c>
      <c r="B835" s="3" t="str">
        <f t="shared" si="245"/>
        <v/>
      </c>
      <c r="C835" s="3" t="str">
        <f t="shared" si="259"/>
        <v/>
      </c>
      <c r="D835" s="3" t="str">
        <f t="shared" si="246"/>
        <v/>
      </c>
      <c r="E835" s="3" t="str">
        <f t="shared" si="247"/>
        <v/>
      </c>
      <c r="F835" s="3" t="str">
        <f t="shared" si="248"/>
        <v/>
      </c>
      <c r="G835" s="3" t="str">
        <f t="shared" si="249"/>
        <v/>
      </c>
      <c r="H835" s="3" t="str">
        <f t="shared" si="250"/>
        <v/>
      </c>
      <c r="I835" s="3" t="str">
        <f t="shared" si="251"/>
        <v/>
      </c>
      <c r="J835" s="2" t="str">
        <f t="shared" si="252"/>
        <v/>
      </c>
      <c r="K835" s="2" t="str">
        <f>IF(W835="","",LOOKUP('Extraction edi'!J835,Paramètrage!$A$6:$A$179,Paramètrage!$B$6:$B$179))</f>
        <v/>
      </c>
      <c r="L835" s="2" t="str">
        <f>IF(W835="","",LOOKUP('Extraction edi'!J835,Paramètrage!$A$6:$A$179,Paramètrage!$C$6:$C$179))</f>
        <v/>
      </c>
      <c r="M835" s="2" t="str">
        <f>IF(W835="","",LOOKUP('Extraction edi'!J835,Paramètrage!$A$6:$A$179,Paramètrage!$D$6:$D$179))</f>
        <v/>
      </c>
      <c r="N835" s="3" t="str">
        <f>IF(W835="","",LOOKUP('Extraction edi'!J835,Paramètrage!$A$6:$A$179,Paramètrage!$E$6:$E$179))</f>
        <v/>
      </c>
      <c r="O835" s="3" t="str">
        <f t="shared" si="253"/>
        <v/>
      </c>
      <c r="P835" s="3" t="str">
        <f t="shared" si="254"/>
        <v/>
      </c>
      <c r="Q835" s="3" t="str">
        <f t="shared" si="243"/>
        <v/>
      </c>
      <c r="R835" s="3" t="str">
        <f t="shared" si="255"/>
        <v/>
      </c>
      <c r="S835" s="3" t="str">
        <f t="shared" si="256"/>
        <v/>
      </c>
      <c r="T835" s="4" t="str">
        <f t="shared" si="257"/>
        <v/>
      </c>
      <c r="U835" s="5" t="str">
        <f t="shared" si="258"/>
        <v/>
      </c>
      <c r="V835" s="7" t="str">
        <f>IF(W835="","",IF(LOOKUP(W835,'Extration 3E date commande'!$A$6:$A$10000)=W835,LOOKUP(W835,'Extration 3E date commande'!$A$6:$A$10000,'Extration 3E date commande'!$C$6:$C$10000),"PAS DE DATE"))</f>
        <v/>
      </c>
    </row>
    <row r="836" spans="1:22" x14ac:dyDescent="0.25">
      <c r="A836" s="3" t="str">
        <f t="shared" si="244"/>
        <v/>
      </c>
      <c r="B836" s="3" t="str">
        <f t="shared" si="245"/>
        <v/>
      </c>
      <c r="C836" s="3" t="str">
        <f t="shared" si="259"/>
        <v/>
      </c>
      <c r="D836" s="3" t="str">
        <f t="shared" si="246"/>
        <v/>
      </c>
      <c r="E836" s="3" t="str">
        <f t="shared" si="247"/>
        <v/>
      </c>
      <c r="F836" s="3" t="str">
        <f t="shared" si="248"/>
        <v/>
      </c>
      <c r="G836" s="3" t="str">
        <f t="shared" si="249"/>
        <v/>
      </c>
      <c r="H836" s="3" t="str">
        <f t="shared" si="250"/>
        <v/>
      </c>
      <c r="I836" s="3" t="str">
        <f t="shared" si="251"/>
        <v/>
      </c>
      <c r="J836" s="2" t="str">
        <f t="shared" si="252"/>
        <v/>
      </c>
      <c r="K836" s="2" t="str">
        <f>IF(W836="","",LOOKUP('Extraction edi'!J836,Paramètrage!$A$6:$A$179,Paramètrage!$B$6:$B$179))</f>
        <v/>
      </c>
      <c r="L836" s="2" t="str">
        <f>IF(W836="","",LOOKUP('Extraction edi'!J836,Paramètrage!$A$6:$A$179,Paramètrage!$C$6:$C$179))</f>
        <v/>
      </c>
      <c r="M836" s="2" t="str">
        <f>IF(W836="","",LOOKUP('Extraction edi'!J836,Paramètrage!$A$6:$A$179,Paramètrage!$D$6:$D$179))</f>
        <v/>
      </c>
      <c r="N836" s="3" t="str">
        <f>IF(W836="","",LOOKUP('Extraction edi'!J836,Paramètrage!$A$6:$A$179,Paramètrage!$E$6:$E$179))</f>
        <v/>
      </c>
      <c r="O836" s="3" t="str">
        <f t="shared" si="253"/>
        <v/>
      </c>
      <c r="P836" s="3" t="str">
        <f t="shared" si="254"/>
        <v/>
      </c>
      <c r="Q836" s="3" t="str">
        <f t="shared" si="243"/>
        <v/>
      </c>
      <c r="R836" s="3" t="str">
        <f t="shared" si="255"/>
        <v/>
      </c>
      <c r="S836" s="3" t="str">
        <f t="shared" si="256"/>
        <v/>
      </c>
      <c r="T836" s="4" t="str">
        <f t="shared" si="257"/>
        <v/>
      </c>
      <c r="U836" s="5" t="str">
        <f t="shared" si="258"/>
        <v/>
      </c>
      <c r="V836" s="7" t="str">
        <f>IF(W836="","",IF(LOOKUP(W836,'Extration 3E date commande'!$A$6:$A$10000)=W836,LOOKUP(W836,'Extration 3E date commande'!$A$6:$A$10000,'Extration 3E date commande'!$C$6:$C$10000),"PAS DE DATE"))</f>
        <v/>
      </c>
    </row>
    <row r="837" spans="1:22" x14ac:dyDescent="0.25">
      <c r="A837" s="3" t="str">
        <f t="shared" si="244"/>
        <v/>
      </c>
      <c r="B837" s="3" t="str">
        <f t="shared" si="245"/>
        <v/>
      </c>
      <c r="C837" s="3" t="str">
        <f t="shared" si="259"/>
        <v/>
      </c>
      <c r="D837" s="3" t="str">
        <f t="shared" si="246"/>
        <v/>
      </c>
      <c r="E837" s="3" t="str">
        <f t="shared" si="247"/>
        <v/>
      </c>
      <c r="F837" s="3" t="str">
        <f t="shared" si="248"/>
        <v/>
      </c>
      <c r="G837" s="3" t="str">
        <f t="shared" si="249"/>
        <v/>
      </c>
      <c r="H837" s="3" t="str">
        <f t="shared" si="250"/>
        <v/>
      </c>
      <c r="I837" s="3" t="str">
        <f t="shared" si="251"/>
        <v/>
      </c>
      <c r="J837" s="2" t="str">
        <f t="shared" si="252"/>
        <v/>
      </c>
      <c r="K837" s="2" t="str">
        <f>IF(W837="","",LOOKUP('Extraction edi'!J837,Paramètrage!$A$6:$A$179,Paramètrage!$B$6:$B$179))</f>
        <v/>
      </c>
      <c r="L837" s="2" t="str">
        <f>IF(W837="","",LOOKUP('Extraction edi'!J837,Paramètrage!$A$6:$A$179,Paramètrage!$C$6:$C$179))</f>
        <v/>
      </c>
      <c r="M837" s="2" t="str">
        <f>IF(W837="","",LOOKUP('Extraction edi'!J837,Paramètrage!$A$6:$A$179,Paramètrage!$D$6:$D$179))</f>
        <v/>
      </c>
      <c r="N837" s="3" t="str">
        <f>IF(W837="","",LOOKUP('Extraction edi'!J837,Paramètrage!$A$6:$A$179,Paramètrage!$E$6:$E$179))</f>
        <v/>
      </c>
      <c r="O837" s="3" t="str">
        <f t="shared" si="253"/>
        <v/>
      </c>
      <c r="P837" s="3" t="str">
        <f t="shared" si="254"/>
        <v/>
      </c>
      <c r="Q837" s="3" t="str">
        <f t="shared" si="243"/>
        <v/>
      </c>
      <c r="R837" s="3" t="str">
        <f t="shared" si="255"/>
        <v/>
      </c>
      <c r="S837" s="3" t="str">
        <f t="shared" si="256"/>
        <v/>
      </c>
      <c r="T837" s="4" t="str">
        <f t="shared" si="257"/>
        <v/>
      </c>
      <c r="U837" s="5" t="str">
        <f t="shared" si="258"/>
        <v/>
      </c>
      <c r="V837" s="7" t="str">
        <f>IF(W837="","",IF(LOOKUP(W837,'Extration 3E date commande'!$A$6:$A$10000)=W837,LOOKUP(W837,'Extration 3E date commande'!$A$6:$A$10000,'Extration 3E date commande'!$C$6:$C$10000),"PAS DE DATE"))</f>
        <v/>
      </c>
    </row>
    <row r="838" spans="1:22" x14ac:dyDescent="0.25">
      <c r="A838" s="3" t="str">
        <f t="shared" si="244"/>
        <v/>
      </c>
      <c r="B838" s="3" t="str">
        <f t="shared" si="245"/>
        <v/>
      </c>
      <c r="C838" s="3" t="str">
        <f t="shared" si="259"/>
        <v/>
      </c>
      <c r="D838" s="3" t="str">
        <f t="shared" si="246"/>
        <v/>
      </c>
      <c r="E838" s="3" t="str">
        <f t="shared" si="247"/>
        <v/>
      </c>
      <c r="F838" s="3" t="str">
        <f t="shared" si="248"/>
        <v/>
      </c>
      <c r="G838" s="3" t="str">
        <f t="shared" si="249"/>
        <v/>
      </c>
      <c r="H838" s="3" t="str">
        <f t="shared" si="250"/>
        <v/>
      </c>
      <c r="I838" s="3" t="str">
        <f t="shared" si="251"/>
        <v/>
      </c>
      <c r="J838" s="2" t="str">
        <f t="shared" si="252"/>
        <v/>
      </c>
      <c r="K838" s="2" t="str">
        <f>IF(W838="","",LOOKUP('Extraction edi'!J838,Paramètrage!$A$6:$A$179,Paramètrage!$B$6:$B$179))</f>
        <v/>
      </c>
      <c r="L838" s="2" t="str">
        <f>IF(W838="","",LOOKUP('Extraction edi'!J838,Paramètrage!$A$6:$A$179,Paramètrage!$C$6:$C$179))</f>
        <v/>
      </c>
      <c r="M838" s="2" t="str">
        <f>IF(W838="","",LOOKUP('Extraction edi'!J838,Paramètrage!$A$6:$A$179,Paramètrage!$D$6:$D$179))</f>
        <v/>
      </c>
      <c r="N838" s="3" t="str">
        <f>IF(W838="","",LOOKUP('Extraction edi'!J838,Paramètrage!$A$6:$A$179,Paramètrage!$E$6:$E$179))</f>
        <v/>
      </c>
      <c r="O838" s="3" t="str">
        <f t="shared" si="253"/>
        <v/>
      </c>
      <c r="P838" s="3" t="str">
        <f t="shared" si="254"/>
        <v/>
      </c>
      <c r="Q838" s="3" t="str">
        <f t="shared" si="243"/>
        <v/>
      </c>
      <c r="R838" s="3" t="str">
        <f t="shared" si="255"/>
        <v/>
      </c>
      <c r="S838" s="3" t="str">
        <f t="shared" si="256"/>
        <v/>
      </c>
      <c r="T838" s="4" t="str">
        <f t="shared" si="257"/>
        <v/>
      </c>
      <c r="U838" s="5" t="str">
        <f t="shared" si="258"/>
        <v/>
      </c>
      <c r="V838" s="7" t="str">
        <f>IF(W838="","",IF(LOOKUP(W838,'Extration 3E date commande'!$A$6:$A$10000)=W838,LOOKUP(W838,'Extration 3E date commande'!$A$6:$A$10000,'Extration 3E date commande'!$C$6:$C$10000),"PAS DE DATE"))</f>
        <v/>
      </c>
    </row>
    <row r="839" spans="1:22" x14ac:dyDescent="0.25">
      <c r="A839" s="3" t="str">
        <f t="shared" si="244"/>
        <v/>
      </c>
      <c r="B839" s="3" t="str">
        <f t="shared" si="245"/>
        <v/>
      </c>
      <c r="C839" s="3" t="str">
        <f t="shared" si="259"/>
        <v/>
      </c>
      <c r="D839" s="3" t="str">
        <f t="shared" si="246"/>
        <v/>
      </c>
      <c r="E839" s="3" t="str">
        <f t="shared" si="247"/>
        <v/>
      </c>
      <c r="F839" s="3" t="str">
        <f t="shared" si="248"/>
        <v/>
      </c>
      <c r="G839" s="3" t="str">
        <f t="shared" si="249"/>
        <v/>
      </c>
      <c r="H839" s="3" t="str">
        <f t="shared" si="250"/>
        <v/>
      </c>
      <c r="I839" s="3" t="str">
        <f t="shared" si="251"/>
        <v/>
      </c>
      <c r="J839" s="2" t="str">
        <f t="shared" si="252"/>
        <v/>
      </c>
      <c r="K839" s="2" t="str">
        <f>IF(W839="","",LOOKUP('Extraction edi'!J839,Paramètrage!$A$6:$A$179,Paramètrage!$B$6:$B$179))</f>
        <v/>
      </c>
      <c r="L839" s="2" t="str">
        <f>IF(W839="","",LOOKUP('Extraction edi'!J839,Paramètrage!$A$6:$A$179,Paramètrage!$C$6:$C$179))</f>
        <v/>
      </c>
      <c r="M839" s="2" t="str">
        <f>IF(W839="","",LOOKUP('Extraction edi'!J839,Paramètrage!$A$6:$A$179,Paramètrage!$D$6:$D$179))</f>
        <v/>
      </c>
      <c r="N839" s="3" t="str">
        <f>IF(W839="","",LOOKUP('Extraction edi'!J839,Paramètrage!$A$6:$A$179,Paramètrage!$E$6:$E$179))</f>
        <v/>
      </c>
      <c r="O839" s="3" t="str">
        <f t="shared" si="253"/>
        <v/>
      </c>
      <c r="P839" s="3" t="str">
        <f t="shared" si="254"/>
        <v/>
      </c>
      <c r="Q839" s="3" t="str">
        <f t="shared" si="243"/>
        <v/>
      </c>
      <c r="R839" s="3" t="str">
        <f t="shared" si="255"/>
        <v/>
      </c>
      <c r="S839" s="3" t="str">
        <f t="shared" si="256"/>
        <v/>
      </c>
      <c r="T839" s="4" t="str">
        <f t="shared" si="257"/>
        <v/>
      </c>
      <c r="U839" s="5" t="str">
        <f t="shared" si="258"/>
        <v/>
      </c>
      <c r="V839" s="7" t="str">
        <f>IF(W839="","",IF(LOOKUP(W839,'Extration 3E date commande'!$A$6:$A$10000)=W839,LOOKUP(W839,'Extration 3E date commande'!$A$6:$A$10000,'Extration 3E date commande'!$C$6:$C$10000),"PAS DE DATE"))</f>
        <v/>
      </c>
    </row>
    <row r="840" spans="1:22" x14ac:dyDescent="0.25">
      <c r="A840" s="3" t="str">
        <f t="shared" si="244"/>
        <v/>
      </c>
      <c r="B840" s="3" t="str">
        <f t="shared" si="245"/>
        <v/>
      </c>
      <c r="C840" s="3" t="str">
        <f t="shared" si="259"/>
        <v/>
      </c>
      <c r="D840" s="3" t="str">
        <f t="shared" si="246"/>
        <v/>
      </c>
      <c r="E840" s="3" t="str">
        <f t="shared" si="247"/>
        <v/>
      </c>
      <c r="F840" s="3" t="str">
        <f t="shared" si="248"/>
        <v/>
      </c>
      <c r="G840" s="3" t="str">
        <f t="shared" si="249"/>
        <v/>
      </c>
      <c r="H840" s="3" t="str">
        <f t="shared" si="250"/>
        <v/>
      </c>
      <c r="I840" s="3" t="str">
        <f t="shared" si="251"/>
        <v/>
      </c>
      <c r="J840" s="2" t="str">
        <f t="shared" si="252"/>
        <v/>
      </c>
      <c r="K840" s="2" t="str">
        <f>IF(W840="","",LOOKUP('Extraction edi'!J840,Paramètrage!$A$6:$A$179,Paramètrage!$B$6:$B$179))</f>
        <v/>
      </c>
      <c r="L840" s="2" t="str">
        <f>IF(W840="","",LOOKUP('Extraction edi'!J840,Paramètrage!$A$6:$A$179,Paramètrage!$C$6:$C$179))</f>
        <v/>
      </c>
      <c r="M840" s="2" t="str">
        <f>IF(W840="","",LOOKUP('Extraction edi'!J840,Paramètrage!$A$6:$A$179,Paramètrage!$D$6:$D$179))</f>
        <v/>
      </c>
      <c r="N840" s="3" t="str">
        <f>IF(W840="","",LOOKUP('Extraction edi'!J840,Paramètrage!$A$6:$A$179,Paramètrage!$E$6:$E$179))</f>
        <v/>
      </c>
      <c r="O840" s="3" t="str">
        <f t="shared" si="253"/>
        <v/>
      </c>
      <c r="P840" s="3" t="str">
        <f t="shared" si="254"/>
        <v/>
      </c>
      <c r="Q840" s="3" t="str">
        <f t="shared" si="243"/>
        <v/>
      </c>
      <c r="R840" s="3" t="str">
        <f t="shared" si="255"/>
        <v/>
      </c>
      <c r="S840" s="3" t="str">
        <f t="shared" si="256"/>
        <v/>
      </c>
      <c r="T840" s="4" t="str">
        <f t="shared" si="257"/>
        <v/>
      </c>
      <c r="U840" s="5" t="str">
        <f t="shared" si="258"/>
        <v/>
      </c>
      <c r="V840" s="7" t="str">
        <f>IF(W840="","",IF(LOOKUP(W840,'Extration 3E date commande'!$A$6:$A$10000)=W840,LOOKUP(W840,'Extration 3E date commande'!$A$6:$A$10000,'Extration 3E date commande'!$C$6:$C$10000),"PAS DE DATE"))</f>
        <v/>
      </c>
    </row>
    <row r="841" spans="1:22" x14ac:dyDescent="0.25">
      <c r="A841" s="3" t="str">
        <f t="shared" si="244"/>
        <v/>
      </c>
      <c r="B841" s="3" t="str">
        <f t="shared" si="245"/>
        <v/>
      </c>
      <c r="C841" s="3" t="str">
        <f t="shared" si="259"/>
        <v/>
      </c>
      <c r="D841" s="3" t="str">
        <f t="shared" si="246"/>
        <v/>
      </c>
      <c r="E841" s="3" t="str">
        <f t="shared" si="247"/>
        <v/>
      </c>
      <c r="F841" s="3" t="str">
        <f t="shared" si="248"/>
        <v/>
      </c>
      <c r="G841" s="3" t="str">
        <f t="shared" si="249"/>
        <v/>
      </c>
      <c r="H841" s="3" t="str">
        <f t="shared" si="250"/>
        <v/>
      </c>
      <c r="I841" s="3" t="str">
        <f t="shared" si="251"/>
        <v/>
      </c>
      <c r="J841" s="2" t="str">
        <f t="shared" si="252"/>
        <v/>
      </c>
      <c r="K841" s="2" t="str">
        <f>IF(W841="","",LOOKUP('Extraction edi'!J841,Paramètrage!$A$6:$A$179,Paramètrage!$B$6:$B$179))</f>
        <v/>
      </c>
      <c r="L841" s="2" t="str">
        <f>IF(W841="","",LOOKUP('Extraction edi'!J841,Paramètrage!$A$6:$A$179,Paramètrage!$C$6:$C$179))</f>
        <v/>
      </c>
      <c r="M841" s="2" t="str">
        <f>IF(W841="","",LOOKUP('Extraction edi'!J841,Paramètrage!$A$6:$A$179,Paramètrage!$D$6:$D$179))</f>
        <v/>
      </c>
      <c r="N841" s="3" t="str">
        <f>IF(W841="","",LOOKUP('Extraction edi'!J841,Paramètrage!$A$6:$A$179,Paramètrage!$E$6:$E$179))</f>
        <v/>
      </c>
      <c r="O841" s="3" t="str">
        <f t="shared" si="253"/>
        <v/>
      </c>
      <c r="P841" s="3" t="str">
        <f t="shared" si="254"/>
        <v/>
      </c>
      <c r="Q841" s="3" t="str">
        <f t="shared" si="243"/>
        <v/>
      </c>
      <c r="R841" s="3" t="str">
        <f t="shared" si="255"/>
        <v/>
      </c>
      <c r="S841" s="3" t="str">
        <f t="shared" si="256"/>
        <v/>
      </c>
      <c r="T841" s="4" t="str">
        <f t="shared" si="257"/>
        <v/>
      </c>
      <c r="U841" s="5" t="str">
        <f t="shared" si="258"/>
        <v/>
      </c>
      <c r="V841" s="7" t="str">
        <f>IF(W841="","",IF(LOOKUP(W841,'Extration 3E date commande'!$A$6:$A$10000)=W841,LOOKUP(W841,'Extration 3E date commande'!$A$6:$A$10000,'Extration 3E date commande'!$C$6:$C$10000),"PAS DE DATE"))</f>
        <v/>
      </c>
    </row>
    <row r="842" spans="1:22" x14ac:dyDescent="0.25">
      <c r="A842" s="3" t="str">
        <f t="shared" si="244"/>
        <v/>
      </c>
      <c r="B842" s="3" t="str">
        <f t="shared" si="245"/>
        <v/>
      </c>
      <c r="C842" s="3" t="str">
        <f t="shared" si="259"/>
        <v/>
      </c>
      <c r="D842" s="3" t="str">
        <f t="shared" si="246"/>
        <v/>
      </c>
      <c r="E842" s="3" t="str">
        <f t="shared" si="247"/>
        <v/>
      </c>
      <c r="F842" s="3" t="str">
        <f t="shared" si="248"/>
        <v/>
      </c>
      <c r="G842" s="3" t="str">
        <f t="shared" si="249"/>
        <v/>
      </c>
      <c r="H842" s="3" t="str">
        <f t="shared" si="250"/>
        <v/>
      </c>
      <c r="I842" s="3" t="str">
        <f t="shared" si="251"/>
        <v/>
      </c>
      <c r="J842" s="2" t="str">
        <f t="shared" si="252"/>
        <v/>
      </c>
      <c r="K842" s="2" t="str">
        <f>IF(W842="","",LOOKUP('Extraction edi'!J842,Paramètrage!$A$6:$A$179,Paramètrage!$B$6:$B$179))</f>
        <v/>
      </c>
      <c r="L842" s="2" t="str">
        <f>IF(W842="","",LOOKUP('Extraction edi'!J842,Paramètrage!$A$6:$A$179,Paramètrage!$C$6:$C$179))</f>
        <v/>
      </c>
      <c r="M842" s="2" t="str">
        <f>IF(W842="","",LOOKUP('Extraction edi'!J842,Paramètrage!$A$6:$A$179,Paramètrage!$D$6:$D$179))</f>
        <v/>
      </c>
      <c r="N842" s="3" t="str">
        <f>IF(W842="","",LOOKUP('Extraction edi'!J842,Paramètrage!$A$6:$A$179,Paramètrage!$E$6:$E$179))</f>
        <v/>
      </c>
      <c r="O842" s="3" t="str">
        <f t="shared" si="253"/>
        <v/>
      </c>
      <c r="P842" s="3" t="str">
        <f t="shared" si="254"/>
        <v/>
      </c>
      <c r="Q842" s="3" t="str">
        <f t="shared" si="243"/>
        <v/>
      </c>
      <c r="R842" s="3" t="str">
        <f t="shared" si="255"/>
        <v/>
      </c>
      <c r="S842" s="3" t="str">
        <f t="shared" si="256"/>
        <v/>
      </c>
      <c r="T842" s="4" t="str">
        <f t="shared" si="257"/>
        <v/>
      </c>
      <c r="U842" s="5" t="str">
        <f t="shared" si="258"/>
        <v/>
      </c>
      <c r="V842" s="7" t="str">
        <f>IF(W842="","",IF(LOOKUP(W842,'Extration 3E date commande'!$A$6:$A$10000)=W842,LOOKUP(W842,'Extration 3E date commande'!$A$6:$A$10000,'Extration 3E date commande'!$C$6:$C$10000),"PAS DE DATE"))</f>
        <v/>
      </c>
    </row>
    <row r="843" spans="1:22" x14ac:dyDescent="0.25">
      <c r="A843" s="3" t="str">
        <f t="shared" si="244"/>
        <v/>
      </c>
      <c r="B843" s="3" t="str">
        <f t="shared" si="245"/>
        <v/>
      </c>
      <c r="C843" s="3" t="str">
        <f t="shared" si="259"/>
        <v/>
      </c>
      <c r="D843" s="3" t="str">
        <f t="shared" si="246"/>
        <v/>
      </c>
      <c r="E843" s="3" t="str">
        <f t="shared" si="247"/>
        <v/>
      </c>
      <c r="F843" s="3" t="str">
        <f t="shared" si="248"/>
        <v/>
      </c>
      <c r="G843" s="3" t="str">
        <f t="shared" si="249"/>
        <v/>
      </c>
      <c r="H843" s="3" t="str">
        <f t="shared" si="250"/>
        <v/>
      </c>
      <c r="I843" s="3" t="str">
        <f t="shared" si="251"/>
        <v/>
      </c>
      <c r="J843" s="2" t="str">
        <f t="shared" si="252"/>
        <v/>
      </c>
      <c r="K843" s="2" t="str">
        <f>IF(W843="","",LOOKUP('Extraction edi'!J843,Paramètrage!$A$6:$A$179,Paramètrage!$B$6:$B$179))</f>
        <v/>
      </c>
      <c r="L843" s="2" t="str">
        <f>IF(W843="","",LOOKUP('Extraction edi'!J843,Paramètrage!$A$6:$A$179,Paramètrage!$C$6:$C$179))</f>
        <v/>
      </c>
      <c r="M843" s="2" t="str">
        <f>IF(W843="","",LOOKUP('Extraction edi'!J843,Paramètrage!$A$6:$A$179,Paramètrage!$D$6:$D$179))</f>
        <v/>
      </c>
      <c r="N843" s="3" t="str">
        <f>IF(W843="","",LOOKUP('Extraction edi'!J843,Paramètrage!$A$6:$A$179,Paramètrage!$E$6:$E$179))</f>
        <v/>
      </c>
      <c r="O843" s="3" t="str">
        <f t="shared" si="253"/>
        <v/>
      </c>
      <c r="P843" s="3" t="str">
        <f t="shared" si="254"/>
        <v/>
      </c>
      <c r="Q843" s="3" t="str">
        <f t="shared" si="243"/>
        <v/>
      </c>
      <c r="R843" s="3" t="str">
        <f t="shared" si="255"/>
        <v/>
      </c>
      <c r="S843" s="3" t="str">
        <f t="shared" si="256"/>
        <v/>
      </c>
      <c r="T843" s="4" t="str">
        <f t="shared" si="257"/>
        <v/>
      </c>
      <c r="U843" s="5" t="str">
        <f t="shared" si="258"/>
        <v/>
      </c>
      <c r="V843" s="7" t="str">
        <f>IF(W843="","",IF(LOOKUP(W843,'Extration 3E date commande'!$A$6:$A$10000)=W843,LOOKUP(W843,'Extration 3E date commande'!$A$6:$A$10000,'Extration 3E date commande'!$C$6:$C$10000),"PAS DE DATE"))</f>
        <v/>
      </c>
    </row>
    <row r="844" spans="1:22" x14ac:dyDescent="0.25">
      <c r="A844" s="3" t="str">
        <f t="shared" si="244"/>
        <v/>
      </c>
      <c r="B844" s="3" t="str">
        <f t="shared" si="245"/>
        <v/>
      </c>
      <c r="C844" s="3" t="str">
        <f t="shared" si="259"/>
        <v/>
      </c>
      <c r="D844" s="3" t="str">
        <f t="shared" si="246"/>
        <v/>
      </c>
      <c r="E844" s="3" t="str">
        <f t="shared" si="247"/>
        <v/>
      </c>
      <c r="F844" s="3" t="str">
        <f t="shared" si="248"/>
        <v/>
      </c>
      <c r="G844" s="3" t="str">
        <f t="shared" si="249"/>
        <v/>
      </c>
      <c r="H844" s="3" t="str">
        <f t="shared" si="250"/>
        <v/>
      </c>
      <c r="I844" s="3" t="str">
        <f t="shared" si="251"/>
        <v/>
      </c>
      <c r="J844" s="2" t="str">
        <f t="shared" si="252"/>
        <v/>
      </c>
      <c r="K844" s="2" t="str">
        <f>IF(W844="","",LOOKUP('Extraction edi'!J844,Paramètrage!$A$6:$A$179,Paramètrage!$B$6:$B$179))</f>
        <v/>
      </c>
      <c r="L844" s="2" t="str">
        <f>IF(W844="","",LOOKUP('Extraction edi'!J844,Paramètrage!$A$6:$A$179,Paramètrage!$C$6:$C$179))</f>
        <v/>
      </c>
      <c r="M844" s="2" t="str">
        <f>IF(W844="","",LOOKUP('Extraction edi'!J844,Paramètrage!$A$6:$A$179,Paramètrage!$D$6:$D$179))</f>
        <v/>
      </c>
      <c r="N844" s="3" t="str">
        <f>IF(W844="","",LOOKUP('Extraction edi'!J844,Paramètrage!$A$6:$A$179,Paramètrage!$E$6:$E$179))</f>
        <v/>
      </c>
      <c r="O844" s="3" t="str">
        <f t="shared" si="253"/>
        <v/>
      </c>
      <c r="P844" s="3" t="str">
        <f t="shared" si="254"/>
        <v/>
      </c>
      <c r="Q844" s="3" t="str">
        <f t="shared" si="243"/>
        <v/>
      </c>
      <c r="R844" s="3" t="str">
        <f t="shared" si="255"/>
        <v/>
      </c>
      <c r="S844" s="3" t="str">
        <f t="shared" si="256"/>
        <v/>
      </c>
      <c r="T844" s="4" t="str">
        <f t="shared" si="257"/>
        <v/>
      </c>
      <c r="U844" s="5" t="str">
        <f t="shared" si="258"/>
        <v/>
      </c>
      <c r="V844" s="7" t="str">
        <f>IF(W844="","",IF(LOOKUP(W844,'Extration 3E date commande'!$A$6:$A$10000)=W844,LOOKUP(W844,'Extration 3E date commande'!$A$6:$A$10000,'Extration 3E date commande'!$C$6:$C$10000),"PAS DE DATE"))</f>
        <v/>
      </c>
    </row>
    <row r="845" spans="1:22" x14ac:dyDescent="0.25">
      <c r="A845" s="3" t="str">
        <f t="shared" si="244"/>
        <v/>
      </c>
      <c r="B845" s="3" t="str">
        <f t="shared" si="245"/>
        <v/>
      </c>
      <c r="C845" s="3" t="str">
        <f t="shared" si="259"/>
        <v/>
      </c>
      <c r="D845" s="3" t="str">
        <f t="shared" si="246"/>
        <v/>
      </c>
      <c r="E845" s="3" t="str">
        <f t="shared" si="247"/>
        <v/>
      </c>
      <c r="F845" s="3" t="str">
        <f t="shared" si="248"/>
        <v/>
      </c>
      <c r="G845" s="3" t="str">
        <f t="shared" si="249"/>
        <v/>
      </c>
      <c r="H845" s="3" t="str">
        <f t="shared" si="250"/>
        <v/>
      </c>
      <c r="I845" s="3" t="str">
        <f t="shared" si="251"/>
        <v/>
      </c>
      <c r="J845" s="2" t="str">
        <f t="shared" si="252"/>
        <v/>
      </c>
      <c r="K845" s="2" t="str">
        <f>IF(W845="","",LOOKUP('Extraction edi'!J845,Paramètrage!$A$6:$A$179,Paramètrage!$B$6:$B$179))</f>
        <v/>
      </c>
      <c r="L845" s="2" t="str">
        <f>IF(W845="","",LOOKUP('Extraction edi'!J845,Paramètrage!$A$6:$A$179,Paramètrage!$C$6:$C$179))</f>
        <v/>
      </c>
      <c r="M845" s="2" t="str">
        <f>IF(W845="","",LOOKUP('Extraction edi'!J845,Paramètrage!$A$6:$A$179,Paramètrage!$D$6:$D$179))</f>
        <v/>
      </c>
      <c r="N845" s="3" t="str">
        <f>IF(W845="","",LOOKUP('Extraction edi'!J845,Paramètrage!$A$6:$A$179,Paramètrage!$E$6:$E$179))</f>
        <v/>
      </c>
      <c r="O845" s="3" t="str">
        <f t="shared" si="253"/>
        <v/>
      </c>
      <c r="P845" s="3" t="str">
        <f t="shared" si="254"/>
        <v/>
      </c>
      <c r="Q845" s="3" t="str">
        <f t="shared" si="243"/>
        <v/>
      </c>
      <c r="R845" s="3" t="str">
        <f t="shared" si="255"/>
        <v/>
      </c>
      <c r="S845" s="3" t="str">
        <f t="shared" si="256"/>
        <v/>
      </c>
      <c r="T845" s="4" t="str">
        <f t="shared" si="257"/>
        <v/>
      </c>
      <c r="U845" s="5" t="str">
        <f t="shared" si="258"/>
        <v/>
      </c>
      <c r="V845" s="7" t="str">
        <f>IF(W845="","",IF(LOOKUP(W845,'Extration 3E date commande'!$A$6:$A$10000)=W845,LOOKUP(W845,'Extration 3E date commande'!$A$6:$A$10000,'Extration 3E date commande'!$C$6:$C$10000),"PAS DE DATE"))</f>
        <v/>
      </c>
    </row>
    <row r="846" spans="1:22" x14ac:dyDescent="0.25">
      <c r="A846" s="3" t="str">
        <f t="shared" si="244"/>
        <v/>
      </c>
      <c r="B846" s="3" t="str">
        <f t="shared" si="245"/>
        <v/>
      </c>
      <c r="C846" s="3" t="str">
        <f t="shared" si="259"/>
        <v/>
      </c>
      <c r="D846" s="3" t="str">
        <f t="shared" si="246"/>
        <v/>
      </c>
      <c r="E846" s="3" t="str">
        <f t="shared" si="247"/>
        <v/>
      </c>
      <c r="F846" s="3" t="str">
        <f t="shared" si="248"/>
        <v/>
      </c>
      <c r="G846" s="3" t="str">
        <f t="shared" si="249"/>
        <v/>
      </c>
      <c r="H846" s="3" t="str">
        <f t="shared" si="250"/>
        <v/>
      </c>
      <c r="I846" s="3" t="str">
        <f t="shared" si="251"/>
        <v/>
      </c>
      <c r="J846" s="2" t="str">
        <f t="shared" si="252"/>
        <v/>
      </c>
      <c r="K846" s="2" t="str">
        <f>IF(W846="","",LOOKUP('Extraction edi'!J846,Paramètrage!$A$6:$A$179,Paramètrage!$B$6:$B$179))</f>
        <v/>
      </c>
      <c r="L846" s="2" t="str">
        <f>IF(W846="","",LOOKUP('Extraction edi'!J846,Paramètrage!$A$6:$A$179,Paramètrage!$C$6:$C$179))</f>
        <v/>
      </c>
      <c r="M846" s="2" t="str">
        <f>IF(W846="","",LOOKUP('Extraction edi'!J846,Paramètrage!$A$6:$A$179,Paramètrage!$D$6:$D$179))</f>
        <v/>
      </c>
      <c r="N846" s="3" t="str">
        <f>IF(W846="","",LOOKUP('Extraction edi'!J846,Paramètrage!$A$6:$A$179,Paramètrage!$E$6:$E$179))</f>
        <v/>
      </c>
      <c r="O846" s="3" t="str">
        <f t="shared" si="253"/>
        <v/>
      </c>
      <c r="P846" s="3" t="str">
        <f t="shared" si="254"/>
        <v/>
      </c>
      <c r="Q846" s="3" t="str">
        <f t="shared" si="243"/>
        <v/>
      </c>
      <c r="R846" s="3" t="str">
        <f t="shared" si="255"/>
        <v/>
      </c>
      <c r="S846" s="3" t="str">
        <f t="shared" si="256"/>
        <v/>
      </c>
      <c r="T846" s="4" t="str">
        <f t="shared" si="257"/>
        <v/>
      </c>
      <c r="U846" s="5" t="str">
        <f t="shared" si="258"/>
        <v/>
      </c>
      <c r="V846" s="7" t="str">
        <f>IF(W846="","",IF(LOOKUP(W846,'Extration 3E date commande'!$A$6:$A$10000)=W846,LOOKUP(W846,'Extration 3E date commande'!$A$6:$A$10000,'Extration 3E date commande'!$C$6:$C$10000),"PAS DE DATE"))</f>
        <v/>
      </c>
    </row>
    <row r="847" spans="1:22" x14ac:dyDescent="0.25">
      <c r="A847" s="3" t="str">
        <f t="shared" si="244"/>
        <v/>
      </c>
      <c r="B847" s="3" t="str">
        <f t="shared" si="245"/>
        <v/>
      </c>
      <c r="C847" s="3" t="str">
        <f t="shared" si="259"/>
        <v/>
      </c>
      <c r="D847" s="3" t="str">
        <f t="shared" si="246"/>
        <v/>
      </c>
      <c r="E847" s="3" t="str">
        <f t="shared" si="247"/>
        <v/>
      </c>
      <c r="F847" s="3" t="str">
        <f t="shared" si="248"/>
        <v/>
      </c>
      <c r="G847" s="3" t="str">
        <f t="shared" si="249"/>
        <v/>
      </c>
      <c r="H847" s="3" t="str">
        <f t="shared" si="250"/>
        <v/>
      </c>
      <c r="I847" s="3" t="str">
        <f t="shared" si="251"/>
        <v/>
      </c>
      <c r="J847" s="2" t="str">
        <f t="shared" si="252"/>
        <v/>
      </c>
      <c r="K847" s="2" t="str">
        <f>IF(W847="","",LOOKUP('Extraction edi'!J847,Paramètrage!$A$6:$A$179,Paramètrage!$B$6:$B$179))</f>
        <v/>
      </c>
      <c r="L847" s="2" t="str">
        <f>IF(W847="","",LOOKUP('Extraction edi'!J847,Paramètrage!$A$6:$A$179,Paramètrage!$C$6:$C$179))</f>
        <v/>
      </c>
      <c r="M847" s="2" t="str">
        <f>IF(W847="","",LOOKUP('Extraction edi'!J847,Paramètrage!$A$6:$A$179,Paramètrage!$D$6:$D$179))</f>
        <v/>
      </c>
      <c r="N847" s="3" t="str">
        <f>IF(W847="","",LOOKUP('Extraction edi'!J847,Paramètrage!$A$6:$A$179,Paramètrage!$E$6:$E$179))</f>
        <v/>
      </c>
      <c r="O847" s="3" t="str">
        <f t="shared" si="253"/>
        <v/>
      </c>
      <c r="P847" s="3" t="str">
        <f t="shared" si="254"/>
        <v/>
      </c>
      <c r="Q847" s="3" t="str">
        <f t="shared" ref="Q847:Q910" si="260">IF(ISERROR(SEARCH("laq",J847))=FALSE,"laquage RAL :",IF(ISERROR(SEARCH("lq",J847))=FALSE,"laquage RAL :",IF(ISERROR(SEARCH("ANO",J846))=FALSE,"laquage RAL :",IF(ISERROR(SEARCH("IVOI",J847)),"","laquage RAL :"))))</f>
        <v/>
      </c>
      <c r="R847" s="3" t="str">
        <f t="shared" si="255"/>
        <v/>
      </c>
      <c r="S847" s="3" t="str">
        <f t="shared" si="256"/>
        <v/>
      </c>
      <c r="T847" s="4" t="str">
        <f t="shared" si="257"/>
        <v/>
      </c>
      <c r="U847" s="5" t="str">
        <f t="shared" si="258"/>
        <v/>
      </c>
      <c r="V847" s="7" t="str">
        <f>IF(W847="","",IF(LOOKUP(W847,'Extration 3E date commande'!$A$6:$A$10000)=W847,LOOKUP(W847,'Extration 3E date commande'!$A$6:$A$10000,'Extration 3E date commande'!$C$6:$C$10000),"PAS DE DATE"))</f>
        <v/>
      </c>
    </row>
    <row r="848" spans="1:22" x14ac:dyDescent="0.25">
      <c r="A848" s="3" t="str">
        <f t="shared" si="244"/>
        <v/>
      </c>
      <c r="B848" s="3" t="str">
        <f t="shared" si="245"/>
        <v/>
      </c>
      <c r="C848" s="3" t="str">
        <f t="shared" si="259"/>
        <v/>
      </c>
      <c r="D848" s="3" t="str">
        <f t="shared" si="246"/>
        <v/>
      </c>
      <c r="E848" s="3" t="str">
        <f t="shared" si="247"/>
        <v/>
      </c>
      <c r="F848" s="3" t="str">
        <f t="shared" si="248"/>
        <v/>
      </c>
      <c r="G848" s="3" t="str">
        <f t="shared" si="249"/>
        <v/>
      </c>
      <c r="H848" s="3" t="str">
        <f t="shared" si="250"/>
        <v/>
      </c>
      <c r="I848" s="3" t="str">
        <f t="shared" si="251"/>
        <v/>
      </c>
      <c r="J848" s="2" t="str">
        <f t="shared" si="252"/>
        <v/>
      </c>
      <c r="K848" s="2" t="str">
        <f>IF(W848="","",LOOKUP('Extraction edi'!J848,Paramètrage!$A$6:$A$179,Paramètrage!$B$6:$B$179))</f>
        <v/>
      </c>
      <c r="L848" s="2" t="str">
        <f>IF(W848="","",LOOKUP('Extraction edi'!J848,Paramètrage!$A$6:$A$179,Paramètrage!$C$6:$C$179))</f>
        <v/>
      </c>
      <c r="M848" s="2" t="str">
        <f>IF(W848="","",LOOKUP('Extraction edi'!J848,Paramètrage!$A$6:$A$179,Paramètrage!$D$6:$D$179))</f>
        <v/>
      </c>
      <c r="N848" s="3" t="str">
        <f>IF(W848="","",LOOKUP('Extraction edi'!J848,Paramètrage!$A$6:$A$179,Paramètrage!$E$6:$E$179))</f>
        <v/>
      </c>
      <c r="O848" s="3" t="str">
        <f t="shared" si="253"/>
        <v/>
      </c>
      <c r="P848" s="3" t="str">
        <f t="shared" si="254"/>
        <v/>
      </c>
      <c r="Q848" s="3" t="str">
        <f t="shared" si="260"/>
        <v/>
      </c>
      <c r="R848" s="3" t="str">
        <f t="shared" si="255"/>
        <v/>
      </c>
      <c r="S848" s="3" t="str">
        <f t="shared" si="256"/>
        <v/>
      </c>
      <c r="T848" s="4" t="str">
        <f t="shared" si="257"/>
        <v/>
      </c>
      <c r="U848" s="5" t="str">
        <f t="shared" si="258"/>
        <v/>
      </c>
      <c r="V848" s="7" t="str">
        <f>IF(W848="","",IF(LOOKUP(W848,'Extration 3E date commande'!$A$6:$A$10000)=W848,LOOKUP(W848,'Extration 3E date commande'!$A$6:$A$10000,'Extration 3E date commande'!$C$6:$C$10000),"PAS DE DATE"))</f>
        <v/>
      </c>
    </row>
    <row r="849" spans="1:22" x14ac:dyDescent="0.25">
      <c r="A849" s="3" t="str">
        <f t="shared" si="244"/>
        <v/>
      </c>
      <c r="B849" s="3" t="str">
        <f t="shared" si="245"/>
        <v/>
      </c>
      <c r="C849" s="3" t="str">
        <f t="shared" si="259"/>
        <v/>
      </c>
      <c r="D849" s="3" t="str">
        <f t="shared" si="246"/>
        <v/>
      </c>
      <c r="E849" s="3" t="str">
        <f t="shared" si="247"/>
        <v/>
      </c>
      <c r="F849" s="3" t="str">
        <f t="shared" si="248"/>
        <v/>
      </c>
      <c r="G849" s="3" t="str">
        <f t="shared" si="249"/>
        <v/>
      </c>
      <c r="H849" s="3" t="str">
        <f t="shared" si="250"/>
        <v/>
      </c>
      <c r="I849" s="3" t="str">
        <f t="shared" si="251"/>
        <v/>
      </c>
      <c r="J849" s="2" t="str">
        <f t="shared" si="252"/>
        <v/>
      </c>
      <c r="K849" s="2" t="str">
        <f>IF(W849="","",LOOKUP('Extraction edi'!J849,Paramètrage!$A$6:$A$179,Paramètrage!$B$6:$B$179))</f>
        <v/>
      </c>
      <c r="L849" s="2" t="str">
        <f>IF(W849="","",LOOKUP('Extraction edi'!J849,Paramètrage!$A$6:$A$179,Paramètrage!$C$6:$C$179))</f>
        <v/>
      </c>
      <c r="M849" s="2" t="str">
        <f>IF(W849="","",LOOKUP('Extraction edi'!J849,Paramètrage!$A$6:$A$179,Paramètrage!$D$6:$D$179))</f>
        <v/>
      </c>
      <c r="N849" s="3" t="str">
        <f>IF(W849="","",LOOKUP('Extraction edi'!J849,Paramètrage!$A$6:$A$179,Paramètrage!$E$6:$E$179))</f>
        <v/>
      </c>
      <c r="O849" s="3" t="str">
        <f t="shared" si="253"/>
        <v/>
      </c>
      <c r="P849" s="3" t="str">
        <f t="shared" si="254"/>
        <v/>
      </c>
      <c r="Q849" s="3" t="str">
        <f t="shared" si="260"/>
        <v/>
      </c>
      <c r="R849" s="3" t="str">
        <f t="shared" si="255"/>
        <v/>
      </c>
      <c r="S849" s="3" t="str">
        <f t="shared" si="256"/>
        <v/>
      </c>
      <c r="T849" s="4" t="str">
        <f t="shared" si="257"/>
        <v/>
      </c>
      <c r="U849" s="5" t="str">
        <f t="shared" si="258"/>
        <v/>
      </c>
      <c r="V849" s="7" t="str">
        <f>IF(W849="","",IF(LOOKUP(W849,'Extration 3E date commande'!$A$6:$A$10000)=W849,LOOKUP(W849,'Extration 3E date commande'!$A$6:$A$10000,'Extration 3E date commande'!$C$6:$C$10000),"PAS DE DATE"))</f>
        <v/>
      </c>
    </row>
    <row r="850" spans="1:22" x14ac:dyDescent="0.25">
      <c r="A850" s="3" t="str">
        <f t="shared" si="244"/>
        <v/>
      </c>
      <c r="B850" s="3" t="str">
        <f t="shared" si="245"/>
        <v/>
      </c>
      <c r="C850" s="3" t="str">
        <f t="shared" si="259"/>
        <v/>
      </c>
      <c r="D850" s="3" t="str">
        <f t="shared" si="246"/>
        <v/>
      </c>
      <c r="E850" s="3" t="str">
        <f t="shared" si="247"/>
        <v/>
      </c>
      <c r="F850" s="3" t="str">
        <f t="shared" si="248"/>
        <v/>
      </c>
      <c r="G850" s="3" t="str">
        <f t="shared" si="249"/>
        <v/>
      </c>
      <c r="H850" s="3" t="str">
        <f t="shared" si="250"/>
        <v/>
      </c>
      <c r="I850" s="3" t="str">
        <f t="shared" si="251"/>
        <v/>
      </c>
      <c r="J850" s="2" t="str">
        <f t="shared" si="252"/>
        <v/>
      </c>
      <c r="K850" s="2" t="str">
        <f>IF(W850="","",LOOKUP('Extraction edi'!J850,Paramètrage!$A$6:$A$179,Paramètrage!$B$6:$B$179))</f>
        <v/>
      </c>
      <c r="L850" s="2" t="str">
        <f>IF(W850="","",LOOKUP('Extraction edi'!J850,Paramètrage!$A$6:$A$179,Paramètrage!$C$6:$C$179))</f>
        <v/>
      </c>
      <c r="M850" s="2" t="str">
        <f>IF(W850="","",LOOKUP('Extraction edi'!J850,Paramètrage!$A$6:$A$179,Paramètrage!$D$6:$D$179))</f>
        <v/>
      </c>
      <c r="N850" s="3" t="str">
        <f>IF(W850="","",LOOKUP('Extraction edi'!J850,Paramètrage!$A$6:$A$179,Paramètrage!$E$6:$E$179))</f>
        <v/>
      </c>
      <c r="O850" s="3" t="str">
        <f t="shared" si="253"/>
        <v/>
      </c>
      <c r="P850" s="3" t="str">
        <f t="shared" si="254"/>
        <v/>
      </c>
      <c r="Q850" s="3" t="str">
        <f t="shared" si="260"/>
        <v/>
      </c>
      <c r="R850" s="3" t="str">
        <f t="shared" si="255"/>
        <v/>
      </c>
      <c r="S850" s="3" t="str">
        <f t="shared" si="256"/>
        <v/>
      </c>
      <c r="T850" s="4" t="str">
        <f t="shared" si="257"/>
        <v/>
      </c>
      <c r="U850" s="5" t="str">
        <f t="shared" si="258"/>
        <v/>
      </c>
      <c r="V850" s="7" t="str">
        <f>IF(W850="","",IF(LOOKUP(W850,'Extration 3E date commande'!$A$6:$A$10000)=W850,LOOKUP(W850,'Extration 3E date commande'!$A$6:$A$10000,'Extration 3E date commande'!$C$6:$C$10000),"PAS DE DATE"))</f>
        <v/>
      </c>
    </row>
    <row r="851" spans="1:22" x14ac:dyDescent="0.25">
      <c r="A851" s="3" t="str">
        <f t="shared" si="244"/>
        <v/>
      </c>
      <c r="B851" s="3" t="str">
        <f t="shared" si="245"/>
        <v/>
      </c>
      <c r="C851" s="3" t="str">
        <f t="shared" si="259"/>
        <v/>
      </c>
      <c r="D851" s="3" t="str">
        <f t="shared" si="246"/>
        <v/>
      </c>
      <c r="E851" s="3" t="str">
        <f t="shared" si="247"/>
        <v/>
      </c>
      <c r="F851" s="3" t="str">
        <f t="shared" si="248"/>
        <v/>
      </c>
      <c r="G851" s="3" t="str">
        <f t="shared" si="249"/>
        <v/>
      </c>
      <c r="H851" s="3" t="str">
        <f t="shared" si="250"/>
        <v/>
      </c>
      <c r="I851" s="3" t="str">
        <f t="shared" si="251"/>
        <v/>
      </c>
      <c r="J851" s="2" t="str">
        <f t="shared" si="252"/>
        <v/>
      </c>
      <c r="K851" s="2" t="str">
        <f>IF(W851="","",LOOKUP('Extraction edi'!J851,Paramètrage!$A$6:$A$179,Paramètrage!$B$6:$B$179))</f>
        <v/>
      </c>
      <c r="L851" s="2" t="str">
        <f>IF(W851="","",LOOKUP('Extraction edi'!J851,Paramètrage!$A$6:$A$179,Paramètrage!$C$6:$C$179))</f>
        <v/>
      </c>
      <c r="M851" s="2" t="str">
        <f>IF(W851="","",LOOKUP('Extraction edi'!J851,Paramètrage!$A$6:$A$179,Paramètrage!$D$6:$D$179))</f>
        <v/>
      </c>
      <c r="N851" s="3" t="str">
        <f>IF(W851="","",LOOKUP('Extraction edi'!J851,Paramètrage!$A$6:$A$179,Paramètrage!$E$6:$E$179))</f>
        <v/>
      </c>
      <c r="O851" s="3" t="str">
        <f t="shared" si="253"/>
        <v/>
      </c>
      <c r="P851" s="3" t="str">
        <f t="shared" si="254"/>
        <v/>
      </c>
      <c r="Q851" s="3" t="str">
        <f t="shared" si="260"/>
        <v/>
      </c>
      <c r="R851" s="3" t="str">
        <f t="shared" si="255"/>
        <v/>
      </c>
      <c r="S851" s="3" t="str">
        <f t="shared" si="256"/>
        <v/>
      </c>
      <c r="T851" s="4" t="str">
        <f t="shared" si="257"/>
        <v/>
      </c>
      <c r="U851" s="5" t="str">
        <f t="shared" si="258"/>
        <v/>
      </c>
      <c r="V851" s="7" t="str">
        <f>IF(W851="","",IF(LOOKUP(W851,'Extration 3E date commande'!$A$6:$A$10000)=W851,LOOKUP(W851,'Extration 3E date commande'!$A$6:$A$10000,'Extration 3E date commande'!$C$6:$C$10000),"PAS DE DATE"))</f>
        <v/>
      </c>
    </row>
    <row r="852" spans="1:22" x14ac:dyDescent="0.25">
      <c r="A852" s="3" t="str">
        <f t="shared" si="244"/>
        <v/>
      </c>
      <c r="B852" s="3" t="str">
        <f t="shared" si="245"/>
        <v/>
      </c>
      <c r="C852" s="3" t="str">
        <f t="shared" si="259"/>
        <v/>
      </c>
      <c r="D852" s="3" t="str">
        <f t="shared" si="246"/>
        <v/>
      </c>
      <c r="E852" s="3" t="str">
        <f t="shared" si="247"/>
        <v/>
      </c>
      <c r="F852" s="3" t="str">
        <f t="shared" si="248"/>
        <v/>
      </c>
      <c r="G852" s="3" t="str">
        <f t="shared" si="249"/>
        <v/>
      </c>
      <c r="H852" s="3" t="str">
        <f t="shared" si="250"/>
        <v/>
      </c>
      <c r="I852" s="3" t="str">
        <f t="shared" si="251"/>
        <v/>
      </c>
      <c r="J852" s="2" t="str">
        <f t="shared" si="252"/>
        <v/>
      </c>
      <c r="K852" s="2" t="str">
        <f>IF(W852="","",LOOKUP('Extraction edi'!J852,Paramètrage!$A$6:$A$179,Paramètrage!$B$6:$B$179))</f>
        <v/>
      </c>
      <c r="L852" s="2" t="str">
        <f>IF(W852="","",LOOKUP('Extraction edi'!J852,Paramètrage!$A$6:$A$179,Paramètrage!$C$6:$C$179))</f>
        <v/>
      </c>
      <c r="M852" s="2" t="str">
        <f>IF(W852="","",LOOKUP('Extraction edi'!J852,Paramètrage!$A$6:$A$179,Paramètrage!$D$6:$D$179))</f>
        <v/>
      </c>
      <c r="N852" s="3" t="str">
        <f>IF(W852="","",LOOKUP('Extraction edi'!J852,Paramètrage!$A$6:$A$179,Paramètrage!$E$6:$E$179))</f>
        <v/>
      </c>
      <c r="O852" s="3" t="str">
        <f t="shared" si="253"/>
        <v/>
      </c>
      <c r="P852" s="3" t="str">
        <f t="shared" si="254"/>
        <v/>
      </c>
      <c r="Q852" s="3" t="str">
        <f t="shared" si="260"/>
        <v/>
      </c>
      <c r="R852" s="3" t="str">
        <f t="shared" si="255"/>
        <v/>
      </c>
      <c r="S852" s="3" t="str">
        <f t="shared" si="256"/>
        <v/>
      </c>
      <c r="T852" s="4" t="str">
        <f t="shared" si="257"/>
        <v/>
      </c>
      <c r="U852" s="5" t="str">
        <f t="shared" si="258"/>
        <v/>
      </c>
      <c r="V852" s="7" t="str">
        <f>IF(W852="","",IF(LOOKUP(W852,'Extration 3E date commande'!$A$6:$A$10000)=W852,LOOKUP(W852,'Extration 3E date commande'!$A$6:$A$10000,'Extration 3E date commande'!$C$6:$C$10000),"PAS DE DATE"))</f>
        <v/>
      </c>
    </row>
    <row r="853" spans="1:22" x14ac:dyDescent="0.25">
      <c r="A853" s="3" t="str">
        <f t="shared" si="244"/>
        <v/>
      </c>
      <c r="B853" s="3" t="str">
        <f t="shared" si="245"/>
        <v/>
      </c>
      <c r="C853" s="3" t="str">
        <f t="shared" si="259"/>
        <v/>
      </c>
      <c r="D853" s="3" t="str">
        <f t="shared" si="246"/>
        <v/>
      </c>
      <c r="E853" s="3" t="str">
        <f t="shared" si="247"/>
        <v/>
      </c>
      <c r="F853" s="3" t="str">
        <f t="shared" si="248"/>
        <v/>
      </c>
      <c r="G853" s="3" t="str">
        <f t="shared" si="249"/>
        <v/>
      </c>
      <c r="H853" s="3" t="str">
        <f t="shared" si="250"/>
        <v/>
      </c>
      <c r="I853" s="3" t="str">
        <f t="shared" si="251"/>
        <v/>
      </c>
      <c r="J853" s="2" t="str">
        <f t="shared" si="252"/>
        <v/>
      </c>
      <c r="K853" s="2" t="str">
        <f>IF(W853="","",LOOKUP('Extraction edi'!J853,Paramètrage!$A$6:$A$179,Paramètrage!$B$6:$B$179))</f>
        <v/>
      </c>
      <c r="L853" s="2" t="str">
        <f>IF(W853="","",LOOKUP('Extraction edi'!J853,Paramètrage!$A$6:$A$179,Paramètrage!$C$6:$C$179))</f>
        <v/>
      </c>
      <c r="M853" s="2" t="str">
        <f>IF(W853="","",LOOKUP('Extraction edi'!J853,Paramètrage!$A$6:$A$179,Paramètrage!$D$6:$D$179))</f>
        <v/>
      </c>
      <c r="N853" s="3" t="str">
        <f>IF(W853="","",LOOKUP('Extraction edi'!J853,Paramètrage!$A$6:$A$179,Paramètrage!$E$6:$E$179))</f>
        <v/>
      </c>
      <c r="O853" s="3" t="str">
        <f t="shared" si="253"/>
        <v/>
      </c>
      <c r="P853" s="3" t="str">
        <f t="shared" si="254"/>
        <v/>
      </c>
      <c r="Q853" s="3" t="str">
        <f t="shared" si="260"/>
        <v/>
      </c>
      <c r="R853" s="3" t="str">
        <f t="shared" si="255"/>
        <v/>
      </c>
      <c r="S853" s="3" t="str">
        <f t="shared" si="256"/>
        <v/>
      </c>
      <c r="T853" s="4" t="str">
        <f t="shared" si="257"/>
        <v/>
      </c>
      <c r="U853" s="5" t="str">
        <f t="shared" si="258"/>
        <v/>
      </c>
      <c r="V853" s="7" t="str">
        <f>IF(W853="","",IF(LOOKUP(W853,'Extration 3E date commande'!$A$6:$A$10000)=W853,LOOKUP(W853,'Extration 3E date commande'!$A$6:$A$10000,'Extration 3E date commande'!$C$6:$C$10000),"PAS DE DATE"))</f>
        <v/>
      </c>
    </row>
    <row r="854" spans="1:22" x14ac:dyDescent="0.25">
      <c r="A854" s="3" t="str">
        <f t="shared" ref="A854:A917" si="261">IF(W854="","",LEFT(W854,7))</f>
        <v/>
      </c>
      <c r="B854" s="3" t="str">
        <f t="shared" ref="B854:B917" si="262">IF(W854="","",RIGHT(W854,3))</f>
        <v/>
      </c>
      <c r="C854" s="3" t="str">
        <f t="shared" ref="C854:C917" si="263">IF(ISERROR(SEARCH("ELI",B854))=FALSE,"RELIQUAT",IF(ISERROR(SEARCH("N",B854))=FALSE,"NEGOCE",IF(ISERROR(SEARCH("S",B854))=FALSE,"SAV",IF(ISERROR(SEARCH("J",B854)),"","SAV"))))</f>
        <v/>
      </c>
      <c r="D854" s="3" t="str">
        <f t="shared" ref="D854:D917" si="264">IF(ISERROR(SEARCH("P",B854)),"","PE")</f>
        <v/>
      </c>
      <c r="E854" s="3" t="str">
        <f t="shared" ref="E854:E917" si="265">IF(ISERROR(SEARCH("U",B854))=FALSE,"ALU",IF(ISERROR(SEARCH("Y",B854)),"","ALU"))</f>
        <v/>
      </c>
      <c r="F854" s="3" t="str">
        <f t="shared" ref="F854:F917" si="266">IF(ISERROR(SEARCH("H",B854))=FALSE,"TEXTURAL",IF(ISERROR(SEARCH("Z",B854)),"","TEXTURAL"))</f>
        <v/>
      </c>
      <c r="G854" s="3" t="str">
        <f t="shared" ref="G854:G917" si="267">IF(B854="","",IF(C854="SAV","ZONE NEGOCE / RELIQUAT / SAV",IF(C854="NEGOCE","ZONE NEGOCE / RELIQUAT / SAV",IF(C854="RELIQUAT","ZONE NEGOCE / RELIQUAT / SAV",IF(E854="ALU","LIGNE VITRAGE ALU",IF(D854="PE","LIGNE VITRAGE PE",IF(F854="TEXTURAL","LIGNE VITRAGE TEXTURAL","LIGNE VITRAGE STANDARD")))))))</f>
        <v/>
      </c>
      <c r="H854" s="3" t="str">
        <f t="shared" ref="H854:H917" si="268">IF(W854="","",X854)</f>
        <v/>
      </c>
      <c r="I854" s="3" t="str">
        <f t="shared" ref="I854:I917" si="269">IF(W854="","",Z854)</f>
        <v/>
      </c>
      <c r="J854" s="2" t="str">
        <f t="shared" ref="J854:J917" si="270">IF(W854="","",IF(AND(T854=FALSE,T853=FALSE,T852=FALSE,T851=FALSE,T850=FALSE),AA849,IF(AND(T854=FALSE,T853=FALSE,T852=FALSE,T851=FALSE),AA850,IF(AND(T854=FALSE,T853=FALSE,T852=FALSE),AA851,IF(AND(T854=FALSE,T853=FALSE),AA852,IF(T854=FALSE,AA853,AA854))))))</f>
        <v/>
      </c>
      <c r="K854" s="2" t="str">
        <f>IF(W854="","",LOOKUP('Extraction edi'!J854,Paramètrage!$A$6:$A$179,Paramètrage!$B$6:$B$179))</f>
        <v/>
      </c>
      <c r="L854" s="2" t="str">
        <f>IF(W854="","",LOOKUP('Extraction edi'!J854,Paramètrage!$A$6:$A$179,Paramètrage!$C$6:$C$179))</f>
        <v/>
      </c>
      <c r="M854" s="2" t="str">
        <f>IF(W854="","",LOOKUP('Extraction edi'!J854,Paramètrage!$A$6:$A$179,Paramètrage!$D$6:$D$179))</f>
        <v/>
      </c>
      <c r="N854" s="3" t="str">
        <f>IF(W854="","",LOOKUP('Extraction edi'!J854,Paramètrage!$A$6:$A$179,Paramètrage!$E$6:$E$179))</f>
        <v/>
      </c>
      <c r="O854" s="3" t="str">
        <f t="shared" ref="O854:O917" si="271">IF(W854="","",IF(LEFT(AA854,4)="soub",AB854,IF(LEFT(AA854,3)="cim",AB854,AA854)))</f>
        <v/>
      </c>
      <c r="P854" s="3" t="str">
        <f t="shared" ref="P854:P917" si="272">IF(LEFT(U854,1)="N",SUBSTITUTE(AB854,"*",""),IF(LEFT(U854,1)="S",SUBSTITUTE(AB854,"*",""),IF(LEFT(U854,1)="G",SUBSTITUTE(AB854,"*",""),IF(LEN(U854)=11,SUBSTITUTE(AB854,"*",""),U854))))</f>
        <v/>
      </c>
      <c r="Q854" s="3" t="str">
        <f t="shared" si="260"/>
        <v/>
      </c>
      <c r="R854" s="3" t="str">
        <f t="shared" ref="R854:R917" si="273">IF(W854="","",IF(RIGHT(L854,7)="RAL9001",L854,IF(LEFT(AE854,1)="N",AE854,IF(LEFT(AE854,1)="S",AE854,IF(LEFT(AE854,1)="G",AE854,"")))))</f>
        <v/>
      </c>
      <c r="S854" s="3" t="str">
        <f t="shared" ref="S854:S917" si="274">IF(W854="","",IF(RIGHT(M854,7)="RAL9001",M854,IF(LEFT(AC854,1)="N",AC854,IF(LEFT(AC854,1)="S",AC854,IF(LEFT(AC854,1)="G",AC854,IF(LEFT(AD854,1)="N",AD854,IF(LEFT(AD854,1)="S",AD854,IF(LEFT(AD854,1)="G",AD854,""))))))))</f>
        <v/>
      </c>
      <c r="T854" s="4" t="str">
        <f t="shared" ref="T854:T917" si="275">IF(W854="","",IF(LEFT(AA854,4)&lt;&gt;"soub",IF(LEFT(AA854,3)&lt;&gt;"cim"=FALSE,AA854),AA854))</f>
        <v/>
      </c>
      <c r="U854" s="5" t="str">
        <f t="shared" ref="U854:U917" si="276">SUBSTITUTE(AC854,"*","")</f>
        <v/>
      </c>
      <c r="V854" s="7" t="str">
        <f>IF(W854="","",IF(LOOKUP(W854,'Extration 3E date commande'!$A$6:$A$10000)=W854,LOOKUP(W854,'Extration 3E date commande'!$A$6:$A$10000,'Extration 3E date commande'!$C$6:$C$10000),"PAS DE DATE"))</f>
        <v/>
      </c>
    </row>
    <row r="855" spans="1:22" x14ac:dyDescent="0.25">
      <c r="A855" s="3" t="str">
        <f t="shared" si="261"/>
        <v/>
      </c>
      <c r="B855" s="3" t="str">
        <f t="shared" si="262"/>
        <v/>
      </c>
      <c r="C855" s="3" t="str">
        <f t="shared" si="263"/>
        <v/>
      </c>
      <c r="D855" s="3" t="str">
        <f t="shared" si="264"/>
        <v/>
      </c>
      <c r="E855" s="3" t="str">
        <f t="shared" si="265"/>
        <v/>
      </c>
      <c r="F855" s="3" t="str">
        <f t="shared" si="266"/>
        <v/>
      </c>
      <c r="G855" s="3" t="str">
        <f t="shared" si="267"/>
        <v/>
      </c>
      <c r="H855" s="3" t="str">
        <f t="shared" si="268"/>
        <v/>
      </c>
      <c r="I855" s="3" t="str">
        <f t="shared" si="269"/>
        <v/>
      </c>
      <c r="J855" s="2" t="str">
        <f t="shared" si="270"/>
        <v/>
      </c>
      <c r="K855" s="2" t="str">
        <f>IF(W855="","",LOOKUP('Extraction edi'!J855,Paramètrage!$A$6:$A$179,Paramètrage!$B$6:$B$179))</f>
        <v/>
      </c>
      <c r="L855" s="2" t="str">
        <f>IF(W855="","",LOOKUP('Extraction edi'!J855,Paramètrage!$A$6:$A$179,Paramètrage!$C$6:$C$179))</f>
        <v/>
      </c>
      <c r="M855" s="2" t="str">
        <f>IF(W855="","",LOOKUP('Extraction edi'!J855,Paramètrage!$A$6:$A$179,Paramètrage!$D$6:$D$179))</f>
        <v/>
      </c>
      <c r="N855" s="3" t="str">
        <f>IF(W855="","",LOOKUP('Extraction edi'!J855,Paramètrage!$A$6:$A$179,Paramètrage!$E$6:$E$179))</f>
        <v/>
      </c>
      <c r="O855" s="3" t="str">
        <f t="shared" si="271"/>
        <v/>
      </c>
      <c r="P855" s="3" t="str">
        <f t="shared" si="272"/>
        <v/>
      </c>
      <c r="Q855" s="3" t="str">
        <f t="shared" si="260"/>
        <v/>
      </c>
      <c r="R855" s="3" t="str">
        <f t="shared" si="273"/>
        <v/>
      </c>
      <c r="S855" s="3" t="str">
        <f t="shared" si="274"/>
        <v/>
      </c>
      <c r="T855" s="4" t="str">
        <f t="shared" si="275"/>
        <v/>
      </c>
      <c r="U855" s="5" t="str">
        <f t="shared" si="276"/>
        <v/>
      </c>
      <c r="V855" s="7" t="str">
        <f>IF(W855="","",IF(LOOKUP(W855,'Extration 3E date commande'!$A$6:$A$10000)=W855,LOOKUP(W855,'Extration 3E date commande'!$A$6:$A$10000,'Extration 3E date commande'!$C$6:$C$10000),"PAS DE DATE"))</f>
        <v/>
      </c>
    </row>
    <row r="856" spans="1:22" x14ac:dyDescent="0.25">
      <c r="A856" s="3" t="str">
        <f t="shared" si="261"/>
        <v/>
      </c>
      <c r="B856" s="3" t="str">
        <f t="shared" si="262"/>
        <v/>
      </c>
      <c r="C856" s="3" t="str">
        <f t="shared" si="263"/>
        <v/>
      </c>
      <c r="D856" s="3" t="str">
        <f t="shared" si="264"/>
        <v/>
      </c>
      <c r="E856" s="3" t="str">
        <f t="shared" si="265"/>
        <v/>
      </c>
      <c r="F856" s="3" t="str">
        <f t="shared" si="266"/>
        <v/>
      </c>
      <c r="G856" s="3" t="str">
        <f t="shared" si="267"/>
        <v/>
      </c>
      <c r="H856" s="3" t="str">
        <f t="shared" si="268"/>
        <v/>
      </c>
      <c r="I856" s="3" t="str">
        <f t="shared" si="269"/>
        <v/>
      </c>
      <c r="J856" s="2" t="str">
        <f t="shared" si="270"/>
        <v/>
      </c>
      <c r="K856" s="2" t="str">
        <f>IF(W856="","",LOOKUP('Extraction edi'!J856,Paramètrage!$A$6:$A$179,Paramètrage!$B$6:$B$179))</f>
        <v/>
      </c>
      <c r="L856" s="2" t="str">
        <f>IF(W856="","",LOOKUP('Extraction edi'!J856,Paramètrage!$A$6:$A$179,Paramètrage!$C$6:$C$179))</f>
        <v/>
      </c>
      <c r="M856" s="2" t="str">
        <f>IF(W856="","",LOOKUP('Extraction edi'!J856,Paramètrage!$A$6:$A$179,Paramètrage!$D$6:$D$179))</f>
        <v/>
      </c>
      <c r="N856" s="3" t="str">
        <f>IF(W856="","",LOOKUP('Extraction edi'!J856,Paramètrage!$A$6:$A$179,Paramètrage!$E$6:$E$179))</f>
        <v/>
      </c>
      <c r="O856" s="3" t="str">
        <f t="shared" si="271"/>
        <v/>
      </c>
      <c r="P856" s="3" t="str">
        <f t="shared" si="272"/>
        <v/>
      </c>
      <c r="Q856" s="3" t="str">
        <f t="shared" si="260"/>
        <v/>
      </c>
      <c r="R856" s="3" t="str">
        <f t="shared" si="273"/>
        <v/>
      </c>
      <c r="S856" s="3" t="str">
        <f t="shared" si="274"/>
        <v/>
      </c>
      <c r="T856" s="4" t="str">
        <f t="shared" si="275"/>
        <v/>
      </c>
      <c r="U856" s="5" t="str">
        <f t="shared" si="276"/>
        <v/>
      </c>
      <c r="V856" s="7" t="str">
        <f>IF(W856="","",IF(LOOKUP(W856,'Extration 3E date commande'!$A$6:$A$10000)=W856,LOOKUP(W856,'Extration 3E date commande'!$A$6:$A$10000,'Extration 3E date commande'!$C$6:$C$10000),"PAS DE DATE"))</f>
        <v/>
      </c>
    </row>
    <row r="857" spans="1:22" x14ac:dyDescent="0.25">
      <c r="A857" s="3" t="str">
        <f t="shared" si="261"/>
        <v/>
      </c>
      <c r="B857" s="3" t="str">
        <f t="shared" si="262"/>
        <v/>
      </c>
      <c r="C857" s="3" t="str">
        <f t="shared" si="263"/>
        <v/>
      </c>
      <c r="D857" s="3" t="str">
        <f t="shared" si="264"/>
        <v/>
      </c>
      <c r="E857" s="3" t="str">
        <f t="shared" si="265"/>
        <v/>
      </c>
      <c r="F857" s="3" t="str">
        <f t="shared" si="266"/>
        <v/>
      </c>
      <c r="G857" s="3" t="str">
        <f t="shared" si="267"/>
        <v/>
      </c>
      <c r="H857" s="3" t="str">
        <f t="shared" si="268"/>
        <v/>
      </c>
      <c r="I857" s="3" t="str">
        <f t="shared" si="269"/>
        <v/>
      </c>
      <c r="J857" s="2" t="str">
        <f t="shared" si="270"/>
        <v/>
      </c>
      <c r="K857" s="2" t="str">
        <f>IF(W857="","",LOOKUP('Extraction edi'!J857,Paramètrage!$A$6:$A$179,Paramètrage!$B$6:$B$179))</f>
        <v/>
      </c>
      <c r="L857" s="2" t="str">
        <f>IF(W857="","",LOOKUP('Extraction edi'!J857,Paramètrage!$A$6:$A$179,Paramètrage!$C$6:$C$179))</f>
        <v/>
      </c>
      <c r="M857" s="2" t="str">
        <f>IF(W857="","",LOOKUP('Extraction edi'!J857,Paramètrage!$A$6:$A$179,Paramètrage!$D$6:$D$179))</f>
        <v/>
      </c>
      <c r="N857" s="3" t="str">
        <f>IF(W857="","",LOOKUP('Extraction edi'!J857,Paramètrage!$A$6:$A$179,Paramètrage!$E$6:$E$179))</f>
        <v/>
      </c>
      <c r="O857" s="3" t="str">
        <f t="shared" si="271"/>
        <v/>
      </c>
      <c r="P857" s="3" t="str">
        <f t="shared" si="272"/>
        <v/>
      </c>
      <c r="Q857" s="3" t="str">
        <f t="shared" si="260"/>
        <v/>
      </c>
      <c r="R857" s="3" t="str">
        <f t="shared" si="273"/>
        <v/>
      </c>
      <c r="S857" s="3" t="str">
        <f t="shared" si="274"/>
        <v/>
      </c>
      <c r="T857" s="4" t="str">
        <f t="shared" si="275"/>
        <v/>
      </c>
      <c r="U857" s="5" t="str">
        <f t="shared" si="276"/>
        <v/>
      </c>
      <c r="V857" s="7" t="str">
        <f>IF(W857="","",IF(LOOKUP(W857,'Extration 3E date commande'!$A$6:$A$10000)=W857,LOOKUP(W857,'Extration 3E date commande'!$A$6:$A$10000,'Extration 3E date commande'!$C$6:$C$10000),"PAS DE DATE"))</f>
        <v/>
      </c>
    </row>
    <row r="858" spans="1:22" x14ac:dyDescent="0.25">
      <c r="A858" s="3" t="str">
        <f t="shared" si="261"/>
        <v/>
      </c>
      <c r="B858" s="3" t="str">
        <f t="shared" si="262"/>
        <v/>
      </c>
      <c r="C858" s="3" t="str">
        <f t="shared" si="263"/>
        <v/>
      </c>
      <c r="D858" s="3" t="str">
        <f t="shared" si="264"/>
        <v/>
      </c>
      <c r="E858" s="3" t="str">
        <f t="shared" si="265"/>
        <v/>
      </c>
      <c r="F858" s="3" t="str">
        <f t="shared" si="266"/>
        <v/>
      </c>
      <c r="G858" s="3" t="str">
        <f t="shared" si="267"/>
        <v/>
      </c>
      <c r="H858" s="3" t="str">
        <f t="shared" si="268"/>
        <v/>
      </c>
      <c r="I858" s="3" t="str">
        <f t="shared" si="269"/>
        <v/>
      </c>
      <c r="J858" s="2" t="str">
        <f t="shared" si="270"/>
        <v/>
      </c>
      <c r="K858" s="2" t="str">
        <f>IF(W858="","",LOOKUP('Extraction edi'!J858,Paramètrage!$A$6:$A$179,Paramètrage!$B$6:$B$179))</f>
        <v/>
      </c>
      <c r="L858" s="2" t="str">
        <f>IF(W858="","",LOOKUP('Extraction edi'!J858,Paramètrage!$A$6:$A$179,Paramètrage!$C$6:$C$179))</f>
        <v/>
      </c>
      <c r="M858" s="2" t="str">
        <f>IF(W858="","",LOOKUP('Extraction edi'!J858,Paramètrage!$A$6:$A$179,Paramètrage!$D$6:$D$179))</f>
        <v/>
      </c>
      <c r="N858" s="3" t="str">
        <f>IF(W858="","",LOOKUP('Extraction edi'!J858,Paramètrage!$A$6:$A$179,Paramètrage!$E$6:$E$179))</f>
        <v/>
      </c>
      <c r="O858" s="3" t="str">
        <f t="shared" si="271"/>
        <v/>
      </c>
      <c r="P858" s="3" t="str">
        <f t="shared" si="272"/>
        <v/>
      </c>
      <c r="Q858" s="3" t="str">
        <f t="shared" si="260"/>
        <v/>
      </c>
      <c r="R858" s="3" t="str">
        <f t="shared" si="273"/>
        <v/>
      </c>
      <c r="S858" s="3" t="str">
        <f t="shared" si="274"/>
        <v/>
      </c>
      <c r="T858" s="4" t="str">
        <f t="shared" si="275"/>
        <v/>
      </c>
      <c r="U858" s="5" t="str">
        <f t="shared" si="276"/>
        <v/>
      </c>
      <c r="V858" s="7" t="str">
        <f>IF(W858="","",IF(LOOKUP(W858,'Extration 3E date commande'!$A$6:$A$10000)=W858,LOOKUP(W858,'Extration 3E date commande'!$A$6:$A$10000,'Extration 3E date commande'!$C$6:$C$10000),"PAS DE DATE"))</f>
        <v/>
      </c>
    </row>
    <row r="859" spans="1:22" x14ac:dyDescent="0.25">
      <c r="A859" s="3" t="str">
        <f t="shared" si="261"/>
        <v/>
      </c>
      <c r="B859" s="3" t="str">
        <f t="shared" si="262"/>
        <v/>
      </c>
      <c r="C859" s="3" t="str">
        <f t="shared" si="263"/>
        <v/>
      </c>
      <c r="D859" s="3" t="str">
        <f t="shared" si="264"/>
        <v/>
      </c>
      <c r="E859" s="3" t="str">
        <f t="shared" si="265"/>
        <v/>
      </c>
      <c r="F859" s="3" t="str">
        <f t="shared" si="266"/>
        <v/>
      </c>
      <c r="G859" s="3" t="str">
        <f t="shared" si="267"/>
        <v/>
      </c>
      <c r="H859" s="3" t="str">
        <f t="shared" si="268"/>
        <v/>
      </c>
      <c r="I859" s="3" t="str">
        <f t="shared" si="269"/>
        <v/>
      </c>
      <c r="J859" s="2" t="str">
        <f t="shared" si="270"/>
        <v/>
      </c>
      <c r="K859" s="2" t="str">
        <f>IF(W859="","",LOOKUP('Extraction edi'!J859,Paramètrage!$A$6:$A$179,Paramètrage!$B$6:$B$179))</f>
        <v/>
      </c>
      <c r="L859" s="2" t="str">
        <f>IF(W859="","",LOOKUP('Extraction edi'!J859,Paramètrage!$A$6:$A$179,Paramètrage!$C$6:$C$179))</f>
        <v/>
      </c>
      <c r="M859" s="2" t="str">
        <f>IF(W859="","",LOOKUP('Extraction edi'!J859,Paramètrage!$A$6:$A$179,Paramètrage!$D$6:$D$179))</f>
        <v/>
      </c>
      <c r="N859" s="3" t="str">
        <f>IF(W859="","",LOOKUP('Extraction edi'!J859,Paramètrage!$A$6:$A$179,Paramètrage!$E$6:$E$179))</f>
        <v/>
      </c>
      <c r="O859" s="3" t="str">
        <f t="shared" si="271"/>
        <v/>
      </c>
      <c r="P859" s="3" t="str">
        <f t="shared" si="272"/>
        <v/>
      </c>
      <c r="Q859" s="3" t="str">
        <f t="shared" si="260"/>
        <v/>
      </c>
      <c r="R859" s="3" t="str">
        <f t="shared" si="273"/>
        <v/>
      </c>
      <c r="S859" s="3" t="str">
        <f t="shared" si="274"/>
        <v/>
      </c>
      <c r="T859" s="4" t="str">
        <f t="shared" si="275"/>
        <v/>
      </c>
      <c r="U859" s="5" t="str">
        <f t="shared" si="276"/>
        <v/>
      </c>
      <c r="V859" s="7" t="str">
        <f>IF(W859="","",IF(LOOKUP(W859,'Extration 3E date commande'!$A$6:$A$10000)=W859,LOOKUP(W859,'Extration 3E date commande'!$A$6:$A$10000,'Extration 3E date commande'!$C$6:$C$10000),"PAS DE DATE"))</f>
        <v/>
      </c>
    </row>
    <row r="860" spans="1:22" x14ac:dyDescent="0.25">
      <c r="A860" s="3" t="str">
        <f t="shared" si="261"/>
        <v/>
      </c>
      <c r="B860" s="3" t="str">
        <f t="shared" si="262"/>
        <v/>
      </c>
      <c r="C860" s="3" t="str">
        <f t="shared" si="263"/>
        <v/>
      </c>
      <c r="D860" s="3" t="str">
        <f t="shared" si="264"/>
        <v/>
      </c>
      <c r="E860" s="3" t="str">
        <f t="shared" si="265"/>
        <v/>
      </c>
      <c r="F860" s="3" t="str">
        <f t="shared" si="266"/>
        <v/>
      </c>
      <c r="G860" s="3" t="str">
        <f t="shared" si="267"/>
        <v/>
      </c>
      <c r="H860" s="3" t="str">
        <f t="shared" si="268"/>
        <v/>
      </c>
      <c r="I860" s="3" t="str">
        <f t="shared" si="269"/>
        <v/>
      </c>
      <c r="J860" s="2" t="str">
        <f t="shared" si="270"/>
        <v/>
      </c>
      <c r="K860" s="2" t="str">
        <f>IF(W860="","",LOOKUP('Extraction edi'!J860,Paramètrage!$A$6:$A$179,Paramètrage!$B$6:$B$179))</f>
        <v/>
      </c>
      <c r="L860" s="2" t="str">
        <f>IF(W860="","",LOOKUP('Extraction edi'!J860,Paramètrage!$A$6:$A$179,Paramètrage!$C$6:$C$179))</f>
        <v/>
      </c>
      <c r="M860" s="2" t="str">
        <f>IF(W860="","",LOOKUP('Extraction edi'!J860,Paramètrage!$A$6:$A$179,Paramètrage!$D$6:$D$179))</f>
        <v/>
      </c>
      <c r="N860" s="3" t="str">
        <f>IF(W860="","",LOOKUP('Extraction edi'!J860,Paramètrage!$A$6:$A$179,Paramètrage!$E$6:$E$179))</f>
        <v/>
      </c>
      <c r="O860" s="3" t="str">
        <f t="shared" si="271"/>
        <v/>
      </c>
      <c r="P860" s="3" t="str">
        <f t="shared" si="272"/>
        <v/>
      </c>
      <c r="Q860" s="3" t="str">
        <f t="shared" si="260"/>
        <v/>
      </c>
      <c r="R860" s="3" t="str">
        <f t="shared" si="273"/>
        <v/>
      </c>
      <c r="S860" s="3" t="str">
        <f t="shared" si="274"/>
        <v/>
      </c>
      <c r="T860" s="4" t="str">
        <f t="shared" si="275"/>
        <v/>
      </c>
      <c r="U860" s="5" t="str">
        <f t="shared" si="276"/>
        <v/>
      </c>
      <c r="V860" s="7" t="str">
        <f>IF(W860="","",IF(LOOKUP(W860,'Extration 3E date commande'!$A$6:$A$10000)=W860,LOOKUP(W860,'Extration 3E date commande'!$A$6:$A$10000,'Extration 3E date commande'!$C$6:$C$10000),"PAS DE DATE"))</f>
        <v/>
      </c>
    </row>
    <row r="861" spans="1:22" x14ac:dyDescent="0.25">
      <c r="A861" s="3" t="str">
        <f t="shared" si="261"/>
        <v/>
      </c>
      <c r="B861" s="3" t="str">
        <f t="shared" si="262"/>
        <v/>
      </c>
      <c r="C861" s="3" t="str">
        <f t="shared" si="263"/>
        <v/>
      </c>
      <c r="D861" s="3" t="str">
        <f t="shared" si="264"/>
        <v/>
      </c>
      <c r="E861" s="3" t="str">
        <f t="shared" si="265"/>
        <v/>
      </c>
      <c r="F861" s="3" t="str">
        <f t="shared" si="266"/>
        <v/>
      </c>
      <c r="G861" s="3" t="str">
        <f t="shared" si="267"/>
        <v/>
      </c>
      <c r="H861" s="3" t="str">
        <f t="shared" si="268"/>
        <v/>
      </c>
      <c r="I861" s="3" t="str">
        <f t="shared" si="269"/>
        <v/>
      </c>
      <c r="J861" s="2" t="str">
        <f t="shared" si="270"/>
        <v/>
      </c>
      <c r="K861" s="2" t="str">
        <f>IF(W861="","",LOOKUP('Extraction edi'!J861,Paramètrage!$A$6:$A$179,Paramètrage!$B$6:$B$179))</f>
        <v/>
      </c>
      <c r="L861" s="2" t="str">
        <f>IF(W861="","",LOOKUP('Extraction edi'!J861,Paramètrage!$A$6:$A$179,Paramètrage!$C$6:$C$179))</f>
        <v/>
      </c>
      <c r="M861" s="2" t="str">
        <f>IF(W861="","",LOOKUP('Extraction edi'!J861,Paramètrage!$A$6:$A$179,Paramètrage!$D$6:$D$179))</f>
        <v/>
      </c>
      <c r="N861" s="3" t="str">
        <f>IF(W861="","",LOOKUP('Extraction edi'!J861,Paramètrage!$A$6:$A$179,Paramètrage!$E$6:$E$179))</f>
        <v/>
      </c>
      <c r="O861" s="3" t="str">
        <f t="shared" si="271"/>
        <v/>
      </c>
      <c r="P861" s="3" t="str">
        <f t="shared" si="272"/>
        <v/>
      </c>
      <c r="Q861" s="3" t="str">
        <f t="shared" si="260"/>
        <v/>
      </c>
      <c r="R861" s="3" t="str">
        <f t="shared" si="273"/>
        <v/>
      </c>
      <c r="S861" s="3" t="str">
        <f t="shared" si="274"/>
        <v/>
      </c>
      <c r="T861" s="4" t="str">
        <f t="shared" si="275"/>
        <v/>
      </c>
      <c r="U861" s="5" t="str">
        <f t="shared" si="276"/>
        <v/>
      </c>
      <c r="V861" s="7" t="str">
        <f>IF(W861="","",IF(LOOKUP(W861,'Extration 3E date commande'!$A$6:$A$10000)=W861,LOOKUP(W861,'Extration 3E date commande'!$A$6:$A$10000,'Extration 3E date commande'!$C$6:$C$10000),"PAS DE DATE"))</f>
        <v/>
      </c>
    </row>
    <row r="862" spans="1:22" x14ac:dyDescent="0.25">
      <c r="A862" s="3" t="str">
        <f t="shared" si="261"/>
        <v/>
      </c>
      <c r="B862" s="3" t="str">
        <f t="shared" si="262"/>
        <v/>
      </c>
      <c r="C862" s="3" t="str">
        <f t="shared" si="263"/>
        <v/>
      </c>
      <c r="D862" s="3" t="str">
        <f t="shared" si="264"/>
        <v/>
      </c>
      <c r="E862" s="3" t="str">
        <f t="shared" si="265"/>
        <v/>
      </c>
      <c r="F862" s="3" t="str">
        <f t="shared" si="266"/>
        <v/>
      </c>
      <c r="G862" s="3" t="str">
        <f t="shared" si="267"/>
        <v/>
      </c>
      <c r="H862" s="3" t="str">
        <f t="shared" si="268"/>
        <v/>
      </c>
      <c r="I862" s="3" t="str">
        <f t="shared" si="269"/>
        <v/>
      </c>
      <c r="J862" s="2" t="str">
        <f t="shared" si="270"/>
        <v/>
      </c>
      <c r="K862" s="2" t="str">
        <f>IF(W862="","",LOOKUP('Extraction edi'!J862,Paramètrage!$A$6:$A$179,Paramètrage!$B$6:$B$179))</f>
        <v/>
      </c>
      <c r="L862" s="2" t="str">
        <f>IF(W862="","",LOOKUP('Extraction edi'!J862,Paramètrage!$A$6:$A$179,Paramètrage!$C$6:$C$179))</f>
        <v/>
      </c>
      <c r="M862" s="2" t="str">
        <f>IF(W862="","",LOOKUP('Extraction edi'!J862,Paramètrage!$A$6:$A$179,Paramètrage!$D$6:$D$179))</f>
        <v/>
      </c>
      <c r="N862" s="3" t="str">
        <f>IF(W862="","",LOOKUP('Extraction edi'!J862,Paramètrage!$A$6:$A$179,Paramètrage!$E$6:$E$179))</f>
        <v/>
      </c>
      <c r="O862" s="3" t="str">
        <f t="shared" si="271"/>
        <v/>
      </c>
      <c r="P862" s="3" t="str">
        <f t="shared" si="272"/>
        <v/>
      </c>
      <c r="Q862" s="3" t="str">
        <f t="shared" si="260"/>
        <v/>
      </c>
      <c r="R862" s="3" t="str">
        <f t="shared" si="273"/>
        <v/>
      </c>
      <c r="S862" s="3" t="str">
        <f t="shared" si="274"/>
        <v/>
      </c>
      <c r="T862" s="4" t="str">
        <f t="shared" si="275"/>
        <v/>
      </c>
      <c r="U862" s="5" t="str">
        <f t="shared" si="276"/>
        <v/>
      </c>
      <c r="V862" s="7" t="str">
        <f>IF(W862="","",IF(LOOKUP(W862,'Extration 3E date commande'!$A$6:$A$10000)=W862,LOOKUP(W862,'Extration 3E date commande'!$A$6:$A$10000,'Extration 3E date commande'!$C$6:$C$10000),"PAS DE DATE"))</f>
        <v/>
      </c>
    </row>
    <row r="863" spans="1:22" x14ac:dyDescent="0.25">
      <c r="A863" s="3" t="str">
        <f t="shared" si="261"/>
        <v/>
      </c>
      <c r="B863" s="3" t="str">
        <f t="shared" si="262"/>
        <v/>
      </c>
      <c r="C863" s="3" t="str">
        <f t="shared" si="263"/>
        <v/>
      </c>
      <c r="D863" s="3" t="str">
        <f t="shared" si="264"/>
        <v/>
      </c>
      <c r="E863" s="3" t="str">
        <f t="shared" si="265"/>
        <v/>
      </c>
      <c r="F863" s="3" t="str">
        <f t="shared" si="266"/>
        <v/>
      </c>
      <c r="G863" s="3" t="str">
        <f t="shared" si="267"/>
        <v/>
      </c>
      <c r="H863" s="3" t="str">
        <f t="shared" si="268"/>
        <v/>
      </c>
      <c r="I863" s="3" t="str">
        <f t="shared" si="269"/>
        <v/>
      </c>
      <c r="J863" s="2" t="str">
        <f t="shared" si="270"/>
        <v/>
      </c>
      <c r="K863" s="2" t="str">
        <f>IF(W863="","",LOOKUP('Extraction edi'!J863,Paramètrage!$A$6:$A$179,Paramètrage!$B$6:$B$179))</f>
        <v/>
      </c>
      <c r="L863" s="2" t="str">
        <f>IF(W863="","",LOOKUP('Extraction edi'!J863,Paramètrage!$A$6:$A$179,Paramètrage!$C$6:$C$179))</f>
        <v/>
      </c>
      <c r="M863" s="2" t="str">
        <f>IF(W863="","",LOOKUP('Extraction edi'!J863,Paramètrage!$A$6:$A$179,Paramètrage!$D$6:$D$179))</f>
        <v/>
      </c>
      <c r="N863" s="3" t="str">
        <f>IF(W863="","",LOOKUP('Extraction edi'!J863,Paramètrage!$A$6:$A$179,Paramètrage!$E$6:$E$179))</f>
        <v/>
      </c>
      <c r="O863" s="3" t="str">
        <f t="shared" si="271"/>
        <v/>
      </c>
      <c r="P863" s="3" t="str">
        <f t="shared" si="272"/>
        <v/>
      </c>
      <c r="Q863" s="3" t="str">
        <f t="shared" si="260"/>
        <v/>
      </c>
      <c r="R863" s="3" t="str">
        <f t="shared" si="273"/>
        <v/>
      </c>
      <c r="S863" s="3" t="str">
        <f t="shared" si="274"/>
        <v/>
      </c>
      <c r="T863" s="4" t="str">
        <f t="shared" si="275"/>
        <v/>
      </c>
      <c r="U863" s="5" t="str">
        <f t="shared" si="276"/>
        <v/>
      </c>
      <c r="V863" s="7" t="str">
        <f>IF(W863="","",IF(LOOKUP(W863,'Extration 3E date commande'!$A$6:$A$10000)=W863,LOOKUP(W863,'Extration 3E date commande'!$A$6:$A$10000,'Extration 3E date commande'!$C$6:$C$10000),"PAS DE DATE"))</f>
        <v/>
      </c>
    </row>
    <row r="864" spans="1:22" x14ac:dyDescent="0.25">
      <c r="A864" s="3" t="str">
        <f t="shared" si="261"/>
        <v/>
      </c>
      <c r="B864" s="3" t="str">
        <f t="shared" si="262"/>
        <v/>
      </c>
      <c r="C864" s="3" t="str">
        <f t="shared" si="263"/>
        <v/>
      </c>
      <c r="D864" s="3" t="str">
        <f t="shared" si="264"/>
        <v/>
      </c>
      <c r="E864" s="3" t="str">
        <f t="shared" si="265"/>
        <v/>
      </c>
      <c r="F864" s="3" t="str">
        <f t="shared" si="266"/>
        <v/>
      </c>
      <c r="G864" s="3" t="str">
        <f t="shared" si="267"/>
        <v/>
      </c>
      <c r="H864" s="3" t="str">
        <f t="shared" si="268"/>
        <v/>
      </c>
      <c r="I864" s="3" t="str">
        <f t="shared" si="269"/>
        <v/>
      </c>
      <c r="J864" s="2" t="str">
        <f t="shared" si="270"/>
        <v/>
      </c>
      <c r="K864" s="2" t="str">
        <f>IF(W864="","",LOOKUP('Extraction edi'!J864,Paramètrage!$A$6:$A$179,Paramètrage!$B$6:$B$179))</f>
        <v/>
      </c>
      <c r="L864" s="2" t="str">
        <f>IF(W864="","",LOOKUP('Extraction edi'!J864,Paramètrage!$A$6:$A$179,Paramètrage!$C$6:$C$179))</f>
        <v/>
      </c>
      <c r="M864" s="2" t="str">
        <f>IF(W864="","",LOOKUP('Extraction edi'!J864,Paramètrage!$A$6:$A$179,Paramètrage!$D$6:$D$179))</f>
        <v/>
      </c>
      <c r="N864" s="3" t="str">
        <f>IF(W864="","",LOOKUP('Extraction edi'!J864,Paramètrage!$A$6:$A$179,Paramètrage!$E$6:$E$179))</f>
        <v/>
      </c>
      <c r="O864" s="3" t="str">
        <f t="shared" si="271"/>
        <v/>
      </c>
      <c r="P864" s="3" t="str">
        <f t="shared" si="272"/>
        <v/>
      </c>
      <c r="Q864" s="3" t="str">
        <f t="shared" si="260"/>
        <v/>
      </c>
      <c r="R864" s="3" t="str">
        <f t="shared" si="273"/>
        <v/>
      </c>
      <c r="S864" s="3" t="str">
        <f t="shared" si="274"/>
        <v/>
      </c>
      <c r="T864" s="4" t="str">
        <f t="shared" si="275"/>
        <v/>
      </c>
      <c r="U864" s="5" t="str">
        <f t="shared" si="276"/>
        <v/>
      </c>
      <c r="V864" s="7" t="str">
        <f>IF(W864="","",IF(LOOKUP(W864,'Extration 3E date commande'!$A$6:$A$10000)=W864,LOOKUP(W864,'Extration 3E date commande'!$A$6:$A$10000,'Extration 3E date commande'!$C$6:$C$10000),"PAS DE DATE"))</f>
        <v/>
      </c>
    </row>
    <row r="865" spans="1:22" x14ac:dyDescent="0.25">
      <c r="A865" s="3" t="str">
        <f t="shared" si="261"/>
        <v/>
      </c>
      <c r="B865" s="3" t="str">
        <f t="shared" si="262"/>
        <v/>
      </c>
      <c r="C865" s="3" t="str">
        <f t="shared" si="263"/>
        <v/>
      </c>
      <c r="D865" s="3" t="str">
        <f t="shared" si="264"/>
        <v/>
      </c>
      <c r="E865" s="3" t="str">
        <f t="shared" si="265"/>
        <v/>
      </c>
      <c r="F865" s="3" t="str">
        <f t="shared" si="266"/>
        <v/>
      </c>
      <c r="G865" s="3" t="str">
        <f t="shared" si="267"/>
        <v/>
      </c>
      <c r="H865" s="3" t="str">
        <f t="shared" si="268"/>
        <v/>
      </c>
      <c r="I865" s="3" t="str">
        <f t="shared" si="269"/>
        <v/>
      </c>
      <c r="J865" s="2" t="str">
        <f t="shared" si="270"/>
        <v/>
      </c>
      <c r="K865" s="2" t="str">
        <f>IF(W865="","",LOOKUP('Extraction edi'!J865,Paramètrage!$A$6:$A$179,Paramètrage!$B$6:$B$179))</f>
        <v/>
      </c>
      <c r="L865" s="2" t="str">
        <f>IF(W865="","",LOOKUP('Extraction edi'!J865,Paramètrage!$A$6:$A$179,Paramètrage!$C$6:$C$179))</f>
        <v/>
      </c>
      <c r="M865" s="2" t="str">
        <f>IF(W865="","",LOOKUP('Extraction edi'!J865,Paramètrage!$A$6:$A$179,Paramètrage!$D$6:$D$179))</f>
        <v/>
      </c>
      <c r="N865" s="3" t="str">
        <f>IF(W865="","",LOOKUP('Extraction edi'!J865,Paramètrage!$A$6:$A$179,Paramètrage!$E$6:$E$179))</f>
        <v/>
      </c>
      <c r="O865" s="3" t="str">
        <f t="shared" si="271"/>
        <v/>
      </c>
      <c r="P865" s="3" t="str">
        <f t="shared" si="272"/>
        <v/>
      </c>
      <c r="Q865" s="3" t="str">
        <f t="shared" si="260"/>
        <v/>
      </c>
      <c r="R865" s="3" t="str">
        <f t="shared" si="273"/>
        <v/>
      </c>
      <c r="S865" s="3" t="str">
        <f t="shared" si="274"/>
        <v/>
      </c>
      <c r="T865" s="4" t="str">
        <f t="shared" si="275"/>
        <v/>
      </c>
      <c r="U865" s="5" t="str">
        <f t="shared" si="276"/>
        <v/>
      </c>
      <c r="V865" s="7" t="str">
        <f>IF(W865="","",IF(LOOKUP(W865,'Extration 3E date commande'!$A$6:$A$10000)=W865,LOOKUP(W865,'Extration 3E date commande'!$A$6:$A$10000,'Extration 3E date commande'!$C$6:$C$10000),"PAS DE DATE"))</f>
        <v/>
      </c>
    </row>
    <row r="866" spans="1:22" x14ac:dyDescent="0.25">
      <c r="A866" s="3" t="str">
        <f t="shared" si="261"/>
        <v/>
      </c>
      <c r="B866" s="3" t="str">
        <f t="shared" si="262"/>
        <v/>
      </c>
      <c r="C866" s="3" t="str">
        <f t="shared" si="263"/>
        <v/>
      </c>
      <c r="D866" s="3" t="str">
        <f t="shared" si="264"/>
        <v/>
      </c>
      <c r="E866" s="3" t="str">
        <f t="shared" si="265"/>
        <v/>
      </c>
      <c r="F866" s="3" t="str">
        <f t="shared" si="266"/>
        <v/>
      </c>
      <c r="G866" s="3" t="str">
        <f t="shared" si="267"/>
        <v/>
      </c>
      <c r="H866" s="3" t="str">
        <f t="shared" si="268"/>
        <v/>
      </c>
      <c r="I866" s="3" t="str">
        <f t="shared" si="269"/>
        <v/>
      </c>
      <c r="J866" s="2" t="str">
        <f t="shared" si="270"/>
        <v/>
      </c>
      <c r="K866" s="2" t="str">
        <f>IF(W866="","",LOOKUP('Extraction edi'!J866,Paramètrage!$A$6:$A$179,Paramètrage!$B$6:$B$179))</f>
        <v/>
      </c>
      <c r="L866" s="2" t="str">
        <f>IF(W866="","",LOOKUP('Extraction edi'!J866,Paramètrage!$A$6:$A$179,Paramètrage!$C$6:$C$179))</f>
        <v/>
      </c>
      <c r="M866" s="2" t="str">
        <f>IF(W866="","",LOOKUP('Extraction edi'!J866,Paramètrage!$A$6:$A$179,Paramètrage!$D$6:$D$179))</f>
        <v/>
      </c>
      <c r="N866" s="3" t="str">
        <f>IF(W866="","",LOOKUP('Extraction edi'!J866,Paramètrage!$A$6:$A$179,Paramètrage!$E$6:$E$179))</f>
        <v/>
      </c>
      <c r="O866" s="3" t="str">
        <f t="shared" si="271"/>
        <v/>
      </c>
      <c r="P866" s="3" t="str">
        <f t="shared" si="272"/>
        <v/>
      </c>
      <c r="Q866" s="3" t="str">
        <f t="shared" si="260"/>
        <v/>
      </c>
      <c r="R866" s="3" t="str">
        <f t="shared" si="273"/>
        <v/>
      </c>
      <c r="S866" s="3" t="str">
        <f t="shared" si="274"/>
        <v/>
      </c>
      <c r="T866" s="4" t="str">
        <f t="shared" si="275"/>
        <v/>
      </c>
      <c r="U866" s="5" t="str">
        <f t="shared" si="276"/>
        <v/>
      </c>
      <c r="V866" s="7" t="str">
        <f>IF(W866="","",IF(LOOKUP(W866,'Extration 3E date commande'!$A$6:$A$10000)=W866,LOOKUP(W866,'Extration 3E date commande'!$A$6:$A$10000,'Extration 3E date commande'!$C$6:$C$10000),"PAS DE DATE"))</f>
        <v/>
      </c>
    </row>
    <row r="867" spans="1:22" x14ac:dyDescent="0.25">
      <c r="A867" s="3" t="str">
        <f t="shared" si="261"/>
        <v/>
      </c>
      <c r="B867" s="3" t="str">
        <f t="shared" si="262"/>
        <v/>
      </c>
      <c r="C867" s="3" t="str">
        <f t="shared" si="263"/>
        <v/>
      </c>
      <c r="D867" s="3" t="str">
        <f t="shared" si="264"/>
        <v/>
      </c>
      <c r="E867" s="3" t="str">
        <f t="shared" si="265"/>
        <v/>
      </c>
      <c r="F867" s="3" t="str">
        <f t="shared" si="266"/>
        <v/>
      </c>
      <c r="G867" s="3" t="str">
        <f t="shared" si="267"/>
        <v/>
      </c>
      <c r="H867" s="3" t="str">
        <f t="shared" si="268"/>
        <v/>
      </c>
      <c r="I867" s="3" t="str">
        <f t="shared" si="269"/>
        <v/>
      </c>
      <c r="J867" s="2" t="str">
        <f t="shared" si="270"/>
        <v/>
      </c>
      <c r="K867" s="2" t="str">
        <f>IF(W867="","",LOOKUP('Extraction edi'!J867,Paramètrage!$A$6:$A$179,Paramètrage!$B$6:$B$179))</f>
        <v/>
      </c>
      <c r="L867" s="2" t="str">
        <f>IF(W867="","",LOOKUP('Extraction edi'!J867,Paramètrage!$A$6:$A$179,Paramètrage!$C$6:$C$179))</f>
        <v/>
      </c>
      <c r="M867" s="2" t="str">
        <f>IF(W867="","",LOOKUP('Extraction edi'!J867,Paramètrage!$A$6:$A$179,Paramètrage!$D$6:$D$179))</f>
        <v/>
      </c>
      <c r="N867" s="3" t="str">
        <f>IF(W867="","",LOOKUP('Extraction edi'!J867,Paramètrage!$A$6:$A$179,Paramètrage!$E$6:$E$179))</f>
        <v/>
      </c>
      <c r="O867" s="3" t="str">
        <f t="shared" si="271"/>
        <v/>
      </c>
      <c r="P867" s="3" t="str">
        <f t="shared" si="272"/>
        <v/>
      </c>
      <c r="Q867" s="3" t="str">
        <f t="shared" si="260"/>
        <v/>
      </c>
      <c r="R867" s="3" t="str">
        <f t="shared" si="273"/>
        <v/>
      </c>
      <c r="S867" s="3" t="str">
        <f t="shared" si="274"/>
        <v/>
      </c>
      <c r="T867" s="4" t="str">
        <f t="shared" si="275"/>
        <v/>
      </c>
      <c r="U867" s="5" t="str">
        <f t="shared" si="276"/>
        <v/>
      </c>
      <c r="V867" s="7" t="str">
        <f>IF(W867="","",IF(LOOKUP(W867,'Extration 3E date commande'!$A$6:$A$10000)=W867,LOOKUP(W867,'Extration 3E date commande'!$A$6:$A$10000,'Extration 3E date commande'!$C$6:$C$10000),"PAS DE DATE"))</f>
        <v/>
      </c>
    </row>
    <row r="868" spans="1:22" x14ac:dyDescent="0.25">
      <c r="A868" s="3" t="str">
        <f t="shared" si="261"/>
        <v/>
      </c>
      <c r="B868" s="3" t="str">
        <f t="shared" si="262"/>
        <v/>
      </c>
      <c r="C868" s="3" t="str">
        <f t="shared" si="263"/>
        <v/>
      </c>
      <c r="D868" s="3" t="str">
        <f t="shared" si="264"/>
        <v/>
      </c>
      <c r="E868" s="3" t="str">
        <f t="shared" si="265"/>
        <v/>
      </c>
      <c r="F868" s="3" t="str">
        <f t="shared" si="266"/>
        <v/>
      </c>
      <c r="G868" s="3" t="str">
        <f t="shared" si="267"/>
        <v/>
      </c>
      <c r="H868" s="3" t="str">
        <f t="shared" si="268"/>
        <v/>
      </c>
      <c r="I868" s="3" t="str">
        <f t="shared" si="269"/>
        <v/>
      </c>
      <c r="J868" s="2" t="str">
        <f t="shared" si="270"/>
        <v/>
      </c>
      <c r="K868" s="2" t="str">
        <f>IF(W868="","",LOOKUP('Extraction edi'!J868,Paramètrage!$A$6:$A$179,Paramètrage!$B$6:$B$179))</f>
        <v/>
      </c>
      <c r="L868" s="2" t="str">
        <f>IF(W868="","",LOOKUP('Extraction edi'!J868,Paramètrage!$A$6:$A$179,Paramètrage!$C$6:$C$179))</f>
        <v/>
      </c>
      <c r="M868" s="2" t="str">
        <f>IF(W868="","",LOOKUP('Extraction edi'!J868,Paramètrage!$A$6:$A$179,Paramètrage!$D$6:$D$179))</f>
        <v/>
      </c>
      <c r="N868" s="3" t="str">
        <f>IF(W868="","",LOOKUP('Extraction edi'!J868,Paramètrage!$A$6:$A$179,Paramètrage!$E$6:$E$179))</f>
        <v/>
      </c>
      <c r="O868" s="3" t="str">
        <f t="shared" si="271"/>
        <v/>
      </c>
      <c r="P868" s="3" t="str">
        <f t="shared" si="272"/>
        <v/>
      </c>
      <c r="Q868" s="3" t="str">
        <f t="shared" si="260"/>
        <v/>
      </c>
      <c r="R868" s="3" t="str">
        <f t="shared" si="273"/>
        <v/>
      </c>
      <c r="S868" s="3" t="str">
        <f t="shared" si="274"/>
        <v/>
      </c>
      <c r="T868" s="4" t="str">
        <f t="shared" si="275"/>
        <v/>
      </c>
      <c r="U868" s="5" t="str">
        <f t="shared" si="276"/>
        <v/>
      </c>
      <c r="V868" s="7" t="str">
        <f>IF(W868="","",IF(LOOKUP(W868,'Extration 3E date commande'!$A$6:$A$10000)=W868,LOOKUP(W868,'Extration 3E date commande'!$A$6:$A$10000,'Extration 3E date commande'!$C$6:$C$10000),"PAS DE DATE"))</f>
        <v/>
      </c>
    </row>
    <row r="869" spans="1:22" x14ac:dyDescent="0.25">
      <c r="A869" s="3" t="str">
        <f t="shared" si="261"/>
        <v/>
      </c>
      <c r="B869" s="3" t="str">
        <f t="shared" si="262"/>
        <v/>
      </c>
      <c r="C869" s="3" t="str">
        <f t="shared" si="263"/>
        <v/>
      </c>
      <c r="D869" s="3" t="str">
        <f t="shared" si="264"/>
        <v/>
      </c>
      <c r="E869" s="3" t="str">
        <f t="shared" si="265"/>
        <v/>
      </c>
      <c r="F869" s="3" t="str">
        <f t="shared" si="266"/>
        <v/>
      </c>
      <c r="G869" s="3" t="str">
        <f t="shared" si="267"/>
        <v/>
      </c>
      <c r="H869" s="3" t="str">
        <f t="shared" si="268"/>
        <v/>
      </c>
      <c r="I869" s="3" t="str">
        <f t="shared" si="269"/>
        <v/>
      </c>
      <c r="J869" s="2" t="str">
        <f t="shared" si="270"/>
        <v/>
      </c>
      <c r="K869" s="2" t="str">
        <f>IF(W869="","",LOOKUP('Extraction edi'!J869,Paramètrage!$A$6:$A$179,Paramètrage!$B$6:$B$179))</f>
        <v/>
      </c>
      <c r="L869" s="2" t="str">
        <f>IF(W869="","",LOOKUP('Extraction edi'!J869,Paramètrage!$A$6:$A$179,Paramètrage!$C$6:$C$179))</f>
        <v/>
      </c>
      <c r="M869" s="2" t="str">
        <f>IF(W869="","",LOOKUP('Extraction edi'!J869,Paramètrage!$A$6:$A$179,Paramètrage!$D$6:$D$179))</f>
        <v/>
      </c>
      <c r="N869" s="3" t="str">
        <f>IF(W869="","",LOOKUP('Extraction edi'!J869,Paramètrage!$A$6:$A$179,Paramètrage!$E$6:$E$179))</f>
        <v/>
      </c>
      <c r="O869" s="3" t="str">
        <f t="shared" si="271"/>
        <v/>
      </c>
      <c r="P869" s="3" t="str">
        <f t="shared" si="272"/>
        <v/>
      </c>
      <c r="Q869" s="3" t="str">
        <f t="shared" si="260"/>
        <v/>
      </c>
      <c r="R869" s="3" t="str">
        <f t="shared" si="273"/>
        <v/>
      </c>
      <c r="S869" s="3" t="str">
        <f t="shared" si="274"/>
        <v/>
      </c>
      <c r="T869" s="4" t="str">
        <f t="shared" si="275"/>
        <v/>
      </c>
      <c r="U869" s="5" t="str">
        <f t="shared" si="276"/>
        <v/>
      </c>
      <c r="V869" s="7" t="str">
        <f>IF(W869="","",IF(LOOKUP(W869,'Extration 3E date commande'!$A$6:$A$10000)=W869,LOOKUP(W869,'Extration 3E date commande'!$A$6:$A$10000,'Extration 3E date commande'!$C$6:$C$10000),"PAS DE DATE"))</f>
        <v/>
      </c>
    </row>
    <row r="870" spans="1:22" x14ac:dyDescent="0.25">
      <c r="A870" s="3" t="str">
        <f t="shared" si="261"/>
        <v/>
      </c>
      <c r="B870" s="3" t="str">
        <f t="shared" si="262"/>
        <v/>
      </c>
      <c r="C870" s="3" t="str">
        <f t="shared" si="263"/>
        <v/>
      </c>
      <c r="D870" s="3" t="str">
        <f t="shared" si="264"/>
        <v/>
      </c>
      <c r="E870" s="3" t="str">
        <f t="shared" si="265"/>
        <v/>
      </c>
      <c r="F870" s="3" t="str">
        <f t="shared" si="266"/>
        <v/>
      </c>
      <c r="G870" s="3" t="str">
        <f t="shared" si="267"/>
        <v/>
      </c>
      <c r="H870" s="3" t="str">
        <f t="shared" si="268"/>
        <v/>
      </c>
      <c r="I870" s="3" t="str">
        <f t="shared" si="269"/>
        <v/>
      </c>
      <c r="J870" s="2" t="str">
        <f t="shared" si="270"/>
        <v/>
      </c>
      <c r="K870" s="2" t="str">
        <f>IF(W870="","",LOOKUP('Extraction edi'!J870,Paramètrage!$A$6:$A$179,Paramètrage!$B$6:$B$179))</f>
        <v/>
      </c>
      <c r="L870" s="2" t="str">
        <f>IF(W870="","",LOOKUP('Extraction edi'!J870,Paramètrage!$A$6:$A$179,Paramètrage!$C$6:$C$179))</f>
        <v/>
      </c>
      <c r="M870" s="2" t="str">
        <f>IF(W870="","",LOOKUP('Extraction edi'!J870,Paramètrage!$A$6:$A$179,Paramètrage!$D$6:$D$179))</f>
        <v/>
      </c>
      <c r="N870" s="3" t="str">
        <f>IF(W870="","",LOOKUP('Extraction edi'!J870,Paramètrage!$A$6:$A$179,Paramètrage!$E$6:$E$179))</f>
        <v/>
      </c>
      <c r="O870" s="3" t="str">
        <f t="shared" si="271"/>
        <v/>
      </c>
      <c r="P870" s="3" t="str">
        <f t="shared" si="272"/>
        <v/>
      </c>
      <c r="Q870" s="3" t="str">
        <f t="shared" si="260"/>
        <v/>
      </c>
      <c r="R870" s="3" t="str">
        <f t="shared" si="273"/>
        <v/>
      </c>
      <c r="S870" s="3" t="str">
        <f t="shared" si="274"/>
        <v/>
      </c>
      <c r="T870" s="4" t="str">
        <f t="shared" si="275"/>
        <v/>
      </c>
      <c r="U870" s="5" t="str">
        <f t="shared" si="276"/>
        <v/>
      </c>
      <c r="V870" s="7" t="str">
        <f>IF(W870="","",IF(LOOKUP(W870,'Extration 3E date commande'!$A$6:$A$10000)=W870,LOOKUP(W870,'Extration 3E date commande'!$A$6:$A$10000,'Extration 3E date commande'!$C$6:$C$10000),"PAS DE DATE"))</f>
        <v/>
      </c>
    </row>
    <row r="871" spans="1:22" x14ac:dyDescent="0.25">
      <c r="A871" s="3" t="str">
        <f t="shared" si="261"/>
        <v/>
      </c>
      <c r="B871" s="3" t="str">
        <f t="shared" si="262"/>
        <v/>
      </c>
      <c r="C871" s="3" t="str">
        <f t="shared" si="263"/>
        <v/>
      </c>
      <c r="D871" s="3" t="str">
        <f t="shared" si="264"/>
        <v/>
      </c>
      <c r="E871" s="3" t="str">
        <f t="shared" si="265"/>
        <v/>
      </c>
      <c r="F871" s="3" t="str">
        <f t="shared" si="266"/>
        <v/>
      </c>
      <c r="G871" s="3" t="str">
        <f t="shared" si="267"/>
        <v/>
      </c>
      <c r="H871" s="3" t="str">
        <f t="shared" si="268"/>
        <v/>
      </c>
      <c r="I871" s="3" t="str">
        <f t="shared" si="269"/>
        <v/>
      </c>
      <c r="J871" s="2" t="str">
        <f t="shared" si="270"/>
        <v/>
      </c>
      <c r="K871" s="2" t="str">
        <f>IF(W871="","",LOOKUP('Extraction edi'!J871,Paramètrage!$A$6:$A$179,Paramètrage!$B$6:$B$179))</f>
        <v/>
      </c>
      <c r="L871" s="2" t="str">
        <f>IF(W871="","",LOOKUP('Extraction edi'!J871,Paramètrage!$A$6:$A$179,Paramètrage!$C$6:$C$179))</f>
        <v/>
      </c>
      <c r="M871" s="2" t="str">
        <f>IF(W871="","",LOOKUP('Extraction edi'!J871,Paramètrage!$A$6:$A$179,Paramètrage!$D$6:$D$179))</f>
        <v/>
      </c>
      <c r="N871" s="3" t="str">
        <f>IF(W871="","",LOOKUP('Extraction edi'!J871,Paramètrage!$A$6:$A$179,Paramètrage!$E$6:$E$179))</f>
        <v/>
      </c>
      <c r="O871" s="3" t="str">
        <f t="shared" si="271"/>
        <v/>
      </c>
      <c r="P871" s="3" t="str">
        <f t="shared" si="272"/>
        <v/>
      </c>
      <c r="Q871" s="3" t="str">
        <f t="shared" si="260"/>
        <v/>
      </c>
      <c r="R871" s="3" t="str">
        <f t="shared" si="273"/>
        <v/>
      </c>
      <c r="S871" s="3" t="str">
        <f t="shared" si="274"/>
        <v/>
      </c>
      <c r="T871" s="4" t="str">
        <f t="shared" si="275"/>
        <v/>
      </c>
      <c r="U871" s="5" t="str">
        <f t="shared" si="276"/>
        <v/>
      </c>
      <c r="V871" s="7" t="str">
        <f>IF(W871="","",IF(LOOKUP(W871,'Extration 3E date commande'!$A$6:$A$10000)=W871,LOOKUP(W871,'Extration 3E date commande'!$A$6:$A$10000,'Extration 3E date commande'!$C$6:$C$10000),"PAS DE DATE"))</f>
        <v/>
      </c>
    </row>
    <row r="872" spans="1:22" x14ac:dyDescent="0.25">
      <c r="A872" s="3" t="str">
        <f t="shared" si="261"/>
        <v/>
      </c>
      <c r="B872" s="3" t="str">
        <f t="shared" si="262"/>
        <v/>
      </c>
      <c r="C872" s="3" t="str">
        <f t="shared" si="263"/>
        <v/>
      </c>
      <c r="D872" s="3" t="str">
        <f t="shared" si="264"/>
        <v/>
      </c>
      <c r="E872" s="3" t="str">
        <f t="shared" si="265"/>
        <v/>
      </c>
      <c r="F872" s="3" t="str">
        <f t="shared" si="266"/>
        <v/>
      </c>
      <c r="G872" s="3" t="str">
        <f t="shared" si="267"/>
        <v/>
      </c>
      <c r="H872" s="3" t="str">
        <f t="shared" si="268"/>
        <v/>
      </c>
      <c r="I872" s="3" t="str">
        <f t="shared" si="269"/>
        <v/>
      </c>
      <c r="J872" s="2" t="str">
        <f t="shared" si="270"/>
        <v/>
      </c>
      <c r="K872" s="2" t="str">
        <f>IF(W872="","",LOOKUP('Extraction edi'!J872,Paramètrage!$A$6:$A$179,Paramètrage!$B$6:$B$179))</f>
        <v/>
      </c>
      <c r="L872" s="2" t="str">
        <f>IF(W872="","",LOOKUP('Extraction edi'!J872,Paramètrage!$A$6:$A$179,Paramètrage!$C$6:$C$179))</f>
        <v/>
      </c>
      <c r="M872" s="2" t="str">
        <f>IF(W872="","",LOOKUP('Extraction edi'!J872,Paramètrage!$A$6:$A$179,Paramètrage!$D$6:$D$179))</f>
        <v/>
      </c>
      <c r="N872" s="3" t="str">
        <f>IF(W872="","",LOOKUP('Extraction edi'!J872,Paramètrage!$A$6:$A$179,Paramètrage!$E$6:$E$179))</f>
        <v/>
      </c>
      <c r="O872" s="3" t="str">
        <f t="shared" si="271"/>
        <v/>
      </c>
      <c r="P872" s="3" t="str">
        <f t="shared" si="272"/>
        <v/>
      </c>
      <c r="Q872" s="3" t="str">
        <f t="shared" si="260"/>
        <v/>
      </c>
      <c r="R872" s="3" t="str">
        <f t="shared" si="273"/>
        <v/>
      </c>
      <c r="S872" s="3" t="str">
        <f t="shared" si="274"/>
        <v/>
      </c>
      <c r="T872" s="4" t="str">
        <f t="shared" si="275"/>
        <v/>
      </c>
      <c r="U872" s="5" t="str">
        <f t="shared" si="276"/>
        <v/>
      </c>
      <c r="V872" s="7" t="str">
        <f>IF(W872="","",IF(LOOKUP(W872,'Extration 3E date commande'!$A$6:$A$10000)=W872,LOOKUP(W872,'Extration 3E date commande'!$A$6:$A$10000,'Extration 3E date commande'!$C$6:$C$10000),"PAS DE DATE"))</f>
        <v/>
      </c>
    </row>
    <row r="873" spans="1:22" x14ac:dyDescent="0.25">
      <c r="A873" s="3" t="str">
        <f t="shared" si="261"/>
        <v/>
      </c>
      <c r="B873" s="3" t="str">
        <f t="shared" si="262"/>
        <v/>
      </c>
      <c r="C873" s="3" t="str">
        <f t="shared" si="263"/>
        <v/>
      </c>
      <c r="D873" s="3" t="str">
        <f t="shared" si="264"/>
        <v/>
      </c>
      <c r="E873" s="3" t="str">
        <f t="shared" si="265"/>
        <v/>
      </c>
      <c r="F873" s="3" t="str">
        <f t="shared" si="266"/>
        <v/>
      </c>
      <c r="G873" s="3" t="str">
        <f t="shared" si="267"/>
        <v/>
      </c>
      <c r="H873" s="3" t="str">
        <f t="shared" si="268"/>
        <v/>
      </c>
      <c r="I873" s="3" t="str">
        <f t="shared" si="269"/>
        <v/>
      </c>
      <c r="J873" s="2" t="str">
        <f t="shared" si="270"/>
        <v/>
      </c>
      <c r="K873" s="2" t="str">
        <f>IF(W873="","",LOOKUP('Extraction edi'!J873,Paramètrage!$A$6:$A$179,Paramètrage!$B$6:$B$179))</f>
        <v/>
      </c>
      <c r="L873" s="2" t="str">
        <f>IF(W873="","",LOOKUP('Extraction edi'!J873,Paramètrage!$A$6:$A$179,Paramètrage!$C$6:$C$179))</f>
        <v/>
      </c>
      <c r="M873" s="2" t="str">
        <f>IF(W873="","",LOOKUP('Extraction edi'!J873,Paramètrage!$A$6:$A$179,Paramètrage!$D$6:$D$179))</f>
        <v/>
      </c>
      <c r="N873" s="3" t="str">
        <f>IF(W873="","",LOOKUP('Extraction edi'!J873,Paramètrage!$A$6:$A$179,Paramètrage!$E$6:$E$179))</f>
        <v/>
      </c>
      <c r="O873" s="3" t="str">
        <f t="shared" si="271"/>
        <v/>
      </c>
      <c r="P873" s="3" t="str">
        <f t="shared" si="272"/>
        <v/>
      </c>
      <c r="Q873" s="3" t="str">
        <f t="shared" si="260"/>
        <v/>
      </c>
      <c r="R873" s="3" t="str">
        <f t="shared" si="273"/>
        <v/>
      </c>
      <c r="S873" s="3" t="str">
        <f t="shared" si="274"/>
        <v/>
      </c>
      <c r="T873" s="4" t="str">
        <f t="shared" si="275"/>
        <v/>
      </c>
      <c r="U873" s="5" t="str">
        <f t="shared" si="276"/>
        <v/>
      </c>
      <c r="V873" s="7" t="str">
        <f>IF(W873="","",IF(LOOKUP(W873,'Extration 3E date commande'!$A$6:$A$10000)=W873,LOOKUP(W873,'Extration 3E date commande'!$A$6:$A$10000,'Extration 3E date commande'!$C$6:$C$10000),"PAS DE DATE"))</f>
        <v/>
      </c>
    </row>
    <row r="874" spans="1:22" x14ac:dyDescent="0.25">
      <c r="A874" s="3" t="str">
        <f t="shared" si="261"/>
        <v/>
      </c>
      <c r="B874" s="3" t="str">
        <f t="shared" si="262"/>
        <v/>
      </c>
      <c r="C874" s="3" t="str">
        <f t="shared" si="263"/>
        <v/>
      </c>
      <c r="D874" s="3" t="str">
        <f t="shared" si="264"/>
        <v/>
      </c>
      <c r="E874" s="3" t="str">
        <f t="shared" si="265"/>
        <v/>
      </c>
      <c r="F874" s="3" t="str">
        <f t="shared" si="266"/>
        <v/>
      </c>
      <c r="G874" s="3" t="str">
        <f t="shared" si="267"/>
        <v/>
      </c>
      <c r="H874" s="3" t="str">
        <f t="shared" si="268"/>
        <v/>
      </c>
      <c r="I874" s="3" t="str">
        <f t="shared" si="269"/>
        <v/>
      </c>
      <c r="J874" s="2" t="str">
        <f t="shared" si="270"/>
        <v/>
      </c>
      <c r="K874" s="2" t="str">
        <f>IF(W874="","",LOOKUP('Extraction edi'!J874,Paramètrage!$A$6:$A$179,Paramètrage!$B$6:$B$179))</f>
        <v/>
      </c>
      <c r="L874" s="2" t="str">
        <f>IF(W874="","",LOOKUP('Extraction edi'!J874,Paramètrage!$A$6:$A$179,Paramètrage!$C$6:$C$179))</f>
        <v/>
      </c>
      <c r="M874" s="2" t="str">
        <f>IF(W874="","",LOOKUP('Extraction edi'!J874,Paramètrage!$A$6:$A$179,Paramètrage!$D$6:$D$179))</f>
        <v/>
      </c>
      <c r="N874" s="3" t="str">
        <f>IF(W874="","",LOOKUP('Extraction edi'!J874,Paramètrage!$A$6:$A$179,Paramètrage!$E$6:$E$179))</f>
        <v/>
      </c>
      <c r="O874" s="3" t="str">
        <f t="shared" si="271"/>
        <v/>
      </c>
      <c r="P874" s="3" t="str">
        <f t="shared" si="272"/>
        <v/>
      </c>
      <c r="Q874" s="3" t="str">
        <f t="shared" si="260"/>
        <v/>
      </c>
      <c r="R874" s="3" t="str">
        <f t="shared" si="273"/>
        <v/>
      </c>
      <c r="S874" s="3" t="str">
        <f t="shared" si="274"/>
        <v/>
      </c>
      <c r="T874" s="4" t="str">
        <f t="shared" si="275"/>
        <v/>
      </c>
      <c r="U874" s="5" t="str">
        <f t="shared" si="276"/>
        <v/>
      </c>
      <c r="V874" s="7" t="str">
        <f>IF(W874="","",IF(LOOKUP(W874,'Extration 3E date commande'!$A$6:$A$10000)=W874,LOOKUP(W874,'Extration 3E date commande'!$A$6:$A$10000,'Extration 3E date commande'!$C$6:$C$10000),"PAS DE DATE"))</f>
        <v/>
      </c>
    </row>
    <row r="875" spans="1:22" x14ac:dyDescent="0.25">
      <c r="A875" s="3" t="str">
        <f t="shared" si="261"/>
        <v/>
      </c>
      <c r="B875" s="3" t="str">
        <f t="shared" si="262"/>
        <v/>
      </c>
      <c r="C875" s="3" t="str">
        <f t="shared" si="263"/>
        <v/>
      </c>
      <c r="D875" s="3" t="str">
        <f t="shared" si="264"/>
        <v/>
      </c>
      <c r="E875" s="3" t="str">
        <f t="shared" si="265"/>
        <v/>
      </c>
      <c r="F875" s="3" t="str">
        <f t="shared" si="266"/>
        <v/>
      </c>
      <c r="G875" s="3" t="str">
        <f t="shared" si="267"/>
        <v/>
      </c>
      <c r="H875" s="3" t="str">
        <f t="shared" si="268"/>
        <v/>
      </c>
      <c r="I875" s="3" t="str">
        <f t="shared" si="269"/>
        <v/>
      </c>
      <c r="J875" s="2" t="str">
        <f t="shared" si="270"/>
        <v/>
      </c>
      <c r="K875" s="2" t="str">
        <f>IF(W875="","",LOOKUP('Extraction edi'!J875,Paramètrage!$A$6:$A$179,Paramètrage!$B$6:$B$179))</f>
        <v/>
      </c>
      <c r="L875" s="2" t="str">
        <f>IF(W875="","",LOOKUP('Extraction edi'!J875,Paramètrage!$A$6:$A$179,Paramètrage!$C$6:$C$179))</f>
        <v/>
      </c>
      <c r="M875" s="2" t="str">
        <f>IF(W875="","",LOOKUP('Extraction edi'!J875,Paramètrage!$A$6:$A$179,Paramètrage!$D$6:$D$179))</f>
        <v/>
      </c>
      <c r="N875" s="3" t="str">
        <f>IF(W875="","",LOOKUP('Extraction edi'!J875,Paramètrage!$A$6:$A$179,Paramètrage!$E$6:$E$179))</f>
        <v/>
      </c>
      <c r="O875" s="3" t="str">
        <f t="shared" si="271"/>
        <v/>
      </c>
      <c r="P875" s="3" t="str">
        <f t="shared" si="272"/>
        <v/>
      </c>
      <c r="Q875" s="3" t="str">
        <f t="shared" si="260"/>
        <v/>
      </c>
      <c r="R875" s="3" t="str">
        <f t="shared" si="273"/>
        <v/>
      </c>
      <c r="S875" s="3" t="str">
        <f t="shared" si="274"/>
        <v/>
      </c>
      <c r="T875" s="4" t="str">
        <f t="shared" si="275"/>
        <v/>
      </c>
      <c r="U875" s="5" t="str">
        <f t="shared" si="276"/>
        <v/>
      </c>
      <c r="V875" s="7" t="str">
        <f>IF(W875="","",IF(LOOKUP(W875,'Extration 3E date commande'!$A$6:$A$10000)=W875,LOOKUP(W875,'Extration 3E date commande'!$A$6:$A$10000,'Extration 3E date commande'!$C$6:$C$10000),"PAS DE DATE"))</f>
        <v/>
      </c>
    </row>
    <row r="876" spans="1:22" x14ac:dyDescent="0.25">
      <c r="A876" s="3" t="str">
        <f t="shared" si="261"/>
        <v/>
      </c>
      <c r="B876" s="3" t="str">
        <f t="shared" si="262"/>
        <v/>
      </c>
      <c r="C876" s="3" t="str">
        <f t="shared" si="263"/>
        <v/>
      </c>
      <c r="D876" s="3" t="str">
        <f t="shared" si="264"/>
        <v/>
      </c>
      <c r="E876" s="3" t="str">
        <f t="shared" si="265"/>
        <v/>
      </c>
      <c r="F876" s="3" t="str">
        <f t="shared" si="266"/>
        <v/>
      </c>
      <c r="G876" s="3" t="str">
        <f t="shared" si="267"/>
        <v/>
      </c>
      <c r="H876" s="3" t="str">
        <f t="shared" si="268"/>
        <v/>
      </c>
      <c r="I876" s="3" t="str">
        <f t="shared" si="269"/>
        <v/>
      </c>
      <c r="J876" s="2" t="str">
        <f t="shared" si="270"/>
        <v/>
      </c>
      <c r="K876" s="2" t="str">
        <f>IF(W876="","",LOOKUP('Extraction edi'!J876,Paramètrage!$A$6:$A$179,Paramètrage!$B$6:$B$179))</f>
        <v/>
      </c>
      <c r="L876" s="2" t="str">
        <f>IF(W876="","",LOOKUP('Extraction edi'!J876,Paramètrage!$A$6:$A$179,Paramètrage!$C$6:$C$179))</f>
        <v/>
      </c>
      <c r="M876" s="2" t="str">
        <f>IF(W876="","",LOOKUP('Extraction edi'!J876,Paramètrage!$A$6:$A$179,Paramètrage!$D$6:$D$179))</f>
        <v/>
      </c>
      <c r="N876" s="3" t="str">
        <f>IF(W876="","",LOOKUP('Extraction edi'!J876,Paramètrage!$A$6:$A$179,Paramètrage!$E$6:$E$179))</f>
        <v/>
      </c>
      <c r="O876" s="3" t="str">
        <f t="shared" si="271"/>
        <v/>
      </c>
      <c r="P876" s="3" t="str">
        <f t="shared" si="272"/>
        <v/>
      </c>
      <c r="Q876" s="3" t="str">
        <f t="shared" si="260"/>
        <v/>
      </c>
      <c r="R876" s="3" t="str">
        <f t="shared" si="273"/>
        <v/>
      </c>
      <c r="S876" s="3" t="str">
        <f t="shared" si="274"/>
        <v/>
      </c>
      <c r="T876" s="4" t="str">
        <f t="shared" si="275"/>
        <v/>
      </c>
      <c r="U876" s="5" t="str">
        <f t="shared" si="276"/>
        <v/>
      </c>
      <c r="V876" s="7" t="str">
        <f>IF(W876="","",IF(LOOKUP(W876,'Extration 3E date commande'!$A$6:$A$10000)=W876,LOOKUP(W876,'Extration 3E date commande'!$A$6:$A$10000,'Extration 3E date commande'!$C$6:$C$10000),"PAS DE DATE"))</f>
        <v/>
      </c>
    </row>
    <row r="877" spans="1:22" x14ac:dyDescent="0.25">
      <c r="A877" s="3" t="str">
        <f t="shared" si="261"/>
        <v/>
      </c>
      <c r="B877" s="3" t="str">
        <f t="shared" si="262"/>
        <v/>
      </c>
      <c r="C877" s="3" t="str">
        <f t="shared" si="263"/>
        <v/>
      </c>
      <c r="D877" s="3" t="str">
        <f t="shared" si="264"/>
        <v/>
      </c>
      <c r="E877" s="3" t="str">
        <f t="shared" si="265"/>
        <v/>
      </c>
      <c r="F877" s="3" t="str">
        <f t="shared" si="266"/>
        <v/>
      </c>
      <c r="G877" s="3" t="str">
        <f t="shared" si="267"/>
        <v/>
      </c>
      <c r="H877" s="3" t="str">
        <f t="shared" si="268"/>
        <v/>
      </c>
      <c r="I877" s="3" t="str">
        <f t="shared" si="269"/>
        <v/>
      </c>
      <c r="J877" s="2" t="str">
        <f t="shared" si="270"/>
        <v/>
      </c>
      <c r="K877" s="2" t="str">
        <f>IF(W877="","",LOOKUP('Extraction edi'!J877,Paramètrage!$A$6:$A$179,Paramètrage!$B$6:$B$179))</f>
        <v/>
      </c>
      <c r="L877" s="2" t="str">
        <f>IF(W877="","",LOOKUP('Extraction edi'!J877,Paramètrage!$A$6:$A$179,Paramètrage!$C$6:$C$179))</f>
        <v/>
      </c>
      <c r="M877" s="2" t="str">
        <f>IF(W877="","",LOOKUP('Extraction edi'!J877,Paramètrage!$A$6:$A$179,Paramètrage!$D$6:$D$179))</f>
        <v/>
      </c>
      <c r="N877" s="3" t="str">
        <f>IF(W877="","",LOOKUP('Extraction edi'!J877,Paramètrage!$A$6:$A$179,Paramètrage!$E$6:$E$179))</f>
        <v/>
      </c>
      <c r="O877" s="3" t="str">
        <f t="shared" si="271"/>
        <v/>
      </c>
      <c r="P877" s="3" t="str">
        <f t="shared" si="272"/>
        <v/>
      </c>
      <c r="Q877" s="3" t="str">
        <f t="shared" si="260"/>
        <v/>
      </c>
      <c r="R877" s="3" t="str">
        <f t="shared" si="273"/>
        <v/>
      </c>
      <c r="S877" s="3" t="str">
        <f t="shared" si="274"/>
        <v/>
      </c>
      <c r="T877" s="4" t="str">
        <f t="shared" si="275"/>
        <v/>
      </c>
      <c r="U877" s="5" t="str">
        <f t="shared" si="276"/>
        <v/>
      </c>
      <c r="V877" s="7" t="str">
        <f>IF(W877="","",IF(LOOKUP(W877,'Extration 3E date commande'!$A$6:$A$10000)=W877,LOOKUP(W877,'Extration 3E date commande'!$A$6:$A$10000,'Extration 3E date commande'!$C$6:$C$10000),"PAS DE DATE"))</f>
        <v/>
      </c>
    </row>
    <row r="878" spans="1:22" x14ac:dyDescent="0.25">
      <c r="A878" s="3" t="str">
        <f t="shared" si="261"/>
        <v/>
      </c>
      <c r="B878" s="3" t="str">
        <f t="shared" si="262"/>
        <v/>
      </c>
      <c r="C878" s="3" t="str">
        <f t="shared" si="263"/>
        <v/>
      </c>
      <c r="D878" s="3" t="str">
        <f t="shared" si="264"/>
        <v/>
      </c>
      <c r="E878" s="3" t="str">
        <f t="shared" si="265"/>
        <v/>
      </c>
      <c r="F878" s="3" t="str">
        <f t="shared" si="266"/>
        <v/>
      </c>
      <c r="G878" s="3" t="str">
        <f t="shared" si="267"/>
        <v/>
      </c>
      <c r="H878" s="3" t="str">
        <f t="shared" si="268"/>
        <v/>
      </c>
      <c r="I878" s="3" t="str">
        <f t="shared" si="269"/>
        <v/>
      </c>
      <c r="J878" s="2" t="str">
        <f t="shared" si="270"/>
        <v/>
      </c>
      <c r="K878" s="2" t="str">
        <f>IF(W878="","",LOOKUP('Extraction edi'!J878,Paramètrage!$A$6:$A$179,Paramètrage!$B$6:$B$179))</f>
        <v/>
      </c>
      <c r="L878" s="2" t="str">
        <f>IF(W878="","",LOOKUP('Extraction edi'!J878,Paramètrage!$A$6:$A$179,Paramètrage!$C$6:$C$179))</f>
        <v/>
      </c>
      <c r="M878" s="2" t="str">
        <f>IF(W878="","",LOOKUP('Extraction edi'!J878,Paramètrage!$A$6:$A$179,Paramètrage!$D$6:$D$179))</f>
        <v/>
      </c>
      <c r="N878" s="3" t="str">
        <f>IF(W878="","",LOOKUP('Extraction edi'!J878,Paramètrage!$A$6:$A$179,Paramètrage!$E$6:$E$179))</f>
        <v/>
      </c>
      <c r="O878" s="3" t="str">
        <f t="shared" si="271"/>
        <v/>
      </c>
      <c r="P878" s="3" t="str">
        <f t="shared" si="272"/>
        <v/>
      </c>
      <c r="Q878" s="3" t="str">
        <f t="shared" si="260"/>
        <v/>
      </c>
      <c r="R878" s="3" t="str">
        <f t="shared" si="273"/>
        <v/>
      </c>
      <c r="S878" s="3" t="str">
        <f t="shared" si="274"/>
        <v/>
      </c>
      <c r="T878" s="4" t="str">
        <f t="shared" si="275"/>
        <v/>
      </c>
      <c r="U878" s="5" t="str">
        <f t="shared" si="276"/>
        <v/>
      </c>
      <c r="V878" s="7" t="str">
        <f>IF(W878="","",IF(LOOKUP(W878,'Extration 3E date commande'!$A$6:$A$10000)=W878,LOOKUP(W878,'Extration 3E date commande'!$A$6:$A$10000,'Extration 3E date commande'!$C$6:$C$10000),"PAS DE DATE"))</f>
        <v/>
      </c>
    </row>
    <row r="879" spans="1:22" x14ac:dyDescent="0.25">
      <c r="A879" s="3" t="str">
        <f t="shared" si="261"/>
        <v/>
      </c>
      <c r="B879" s="3" t="str">
        <f t="shared" si="262"/>
        <v/>
      </c>
      <c r="C879" s="3" t="str">
        <f t="shared" si="263"/>
        <v/>
      </c>
      <c r="D879" s="3" t="str">
        <f t="shared" si="264"/>
        <v/>
      </c>
      <c r="E879" s="3" t="str">
        <f t="shared" si="265"/>
        <v/>
      </c>
      <c r="F879" s="3" t="str">
        <f t="shared" si="266"/>
        <v/>
      </c>
      <c r="G879" s="3" t="str">
        <f t="shared" si="267"/>
        <v/>
      </c>
      <c r="H879" s="3" t="str">
        <f t="shared" si="268"/>
        <v/>
      </c>
      <c r="I879" s="3" t="str">
        <f t="shared" si="269"/>
        <v/>
      </c>
      <c r="J879" s="2" t="str">
        <f t="shared" si="270"/>
        <v/>
      </c>
      <c r="K879" s="2" t="str">
        <f>IF(W879="","",LOOKUP('Extraction edi'!J879,Paramètrage!$A$6:$A$179,Paramètrage!$B$6:$B$179))</f>
        <v/>
      </c>
      <c r="L879" s="2" t="str">
        <f>IF(W879="","",LOOKUP('Extraction edi'!J879,Paramètrage!$A$6:$A$179,Paramètrage!$C$6:$C$179))</f>
        <v/>
      </c>
      <c r="M879" s="2" t="str">
        <f>IF(W879="","",LOOKUP('Extraction edi'!J879,Paramètrage!$A$6:$A$179,Paramètrage!$D$6:$D$179))</f>
        <v/>
      </c>
      <c r="N879" s="3" t="str">
        <f>IF(W879="","",LOOKUP('Extraction edi'!J879,Paramètrage!$A$6:$A$179,Paramètrage!$E$6:$E$179))</f>
        <v/>
      </c>
      <c r="O879" s="3" t="str">
        <f t="shared" si="271"/>
        <v/>
      </c>
      <c r="P879" s="3" t="str">
        <f t="shared" si="272"/>
        <v/>
      </c>
      <c r="Q879" s="3" t="str">
        <f t="shared" si="260"/>
        <v/>
      </c>
      <c r="R879" s="3" t="str">
        <f t="shared" si="273"/>
        <v/>
      </c>
      <c r="S879" s="3" t="str">
        <f t="shared" si="274"/>
        <v/>
      </c>
      <c r="T879" s="4" t="str">
        <f t="shared" si="275"/>
        <v/>
      </c>
      <c r="U879" s="5" t="str">
        <f t="shared" si="276"/>
        <v/>
      </c>
      <c r="V879" s="7" t="str">
        <f>IF(W879="","",IF(LOOKUP(W879,'Extration 3E date commande'!$A$6:$A$10000)=W879,LOOKUP(W879,'Extration 3E date commande'!$A$6:$A$10000,'Extration 3E date commande'!$C$6:$C$10000),"PAS DE DATE"))</f>
        <v/>
      </c>
    </row>
    <row r="880" spans="1:22" x14ac:dyDescent="0.25">
      <c r="A880" s="3" t="str">
        <f t="shared" si="261"/>
        <v/>
      </c>
      <c r="B880" s="3" t="str">
        <f t="shared" si="262"/>
        <v/>
      </c>
      <c r="C880" s="3" t="str">
        <f t="shared" si="263"/>
        <v/>
      </c>
      <c r="D880" s="3" t="str">
        <f t="shared" si="264"/>
        <v/>
      </c>
      <c r="E880" s="3" t="str">
        <f t="shared" si="265"/>
        <v/>
      </c>
      <c r="F880" s="3" t="str">
        <f t="shared" si="266"/>
        <v/>
      </c>
      <c r="G880" s="3" t="str">
        <f t="shared" si="267"/>
        <v/>
      </c>
      <c r="H880" s="3" t="str">
        <f t="shared" si="268"/>
        <v/>
      </c>
      <c r="I880" s="3" t="str">
        <f t="shared" si="269"/>
        <v/>
      </c>
      <c r="J880" s="2" t="str">
        <f t="shared" si="270"/>
        <v/>
      </c>
      <c r="K880" s="2" t="str">
        <f>IF(W880="","",LOOKUP('Extraction edi'!J880,Paramètrage!$A$6:$A$179,Paramètrage!$B$6:$B$179))</f>
        <v/>
      </c>
      <c r="L880" s="2" t="str">
        <f>IF(W880="","",LOOKUP('Extraction edi'!J880,Paramètrage!$A$6:$A$179,Paramètrage!$C$6:$C$179))</f>
        <v/>
      </c>
      <c r="M880" s="2" t="str">
        <f>IF(W880="","",LOOKUP('Extraction edi'!J880,Paramètrage!$A$6:$A$179,Paramètrage!$D$6:$D$179))</f>
        <v/>
      </c>
      <c r="N880" s="3" t="str">
        <f>IF(W880="","",LOOKUP('Extraction edi'!J880,Paramètrage!$A$6:$A$179,Paramètrage!$E$6:$E$179))</f>
        <v/>
      </c>
      <c r="O880" s="3" t="str">
        <f t="shared" si="271"/>
        <v/>
      </c>
      <c r="P880" s="3" t="str">
        <f t="shared" si="272"/>
        <v/>
      </c>
      <c r="Q880" s="3" t="str">
        <f t="shared" si="260"/>
        <v/>
      </c>
      <c r="R880" s="3" t="str">
        <f t="shared" si="273"/>
        <v/>
      </c>
      <c r="S880" s="3" t="str">
        <f t="shared" si="274"/>
        <v/>
      </c>
      <c r="T880" s="4" t="str">
        <f t="shared" si="275"/>
        <v/>
      </c>
      <c r="U880" s="5" t="str">
        <f t="shared" si="276"/>
        <v/>
      </c>
      <c r="V880" s="7" t="str">
        <f>IF(W880="","",IF(LOOKUP(W880,'Extration 3E date commande'!$A$6:$A$10000)=W880,LOOKUP(W880,'Extration 3E date commande'!$A$6:$A$10000,'Extration 3E date commande'!$C$6:$C$10000),"PAS DE DATE"))</f>
        <v/>
      </c>
    </row>
    <row r="881" spans="1:22" x14ac:dyDescent="0.25">
      <c r="A881" s="3" t="str">
        <f t="shared" si="261"/>
        <v/>
      </c>
      <c r="B881" s="3" t="str">
        <f t="shared" si="262"/>
        <v/>
      </c>
      <c r="C881" s="3" t="str">
        <f t="shared" si="263"/>
        <v/>
      </c>
      <c r="D881" s="3" t="str">
        <f t="shared" si="264"/>
        <v/>
      </c>
      <c r="E881" s="3" t="str">
        <f t="shared" si="265"/>
        <v/>
      </c>
      <c r="F881" s="3" t="str">
        <f t="shared" si="266"/>
        <v/>
      </c>
      <c r="G881" s="3" t="str">
        <f t="shared" si="267"/>
        <v/>
      </c>
      <c r="H881" s="3" t="str">
        <f t="shared" si="268"/>
        <v/>
      </c>
      <c r="I881" s="3" t="str">
        <f t="shared" si="269"/>
        <v/>
      </c>
      <c r="J881" s="2" t="str">
        <f t="shared" si="270"/>
        <v/>
      </c>
      <c r="K881" s="2" t="str">
        <f>IF(W881="","",LOOKUP('Extraction edi'!J881,Paramètrage!$A$6:$A$179,Paramètrage!$B$6:$B$179))</f>
        <v/>
      </c>
      <c r="L881" s="2" t="str">
        <f>IF(W881="","",LOOKUP('Extraction edi'!J881,Paramètrage!$A$6:$A$179,Paramètrage!$C$6:$C$179))</f>
        <v/>
      </c>
      <c r="M881" s="2" t="str">
        <f>IF(W881="","",LOOKUP('Extraction edi'!J881,Paramètrage!$A$6:$A$179,Paramètrage!$D$6:$D$179))</f>
        <v/>
      </c>
      <c r="N881" s="3" t="str">
        <f>IF(W881="","",LOOKUP('Extraction edi'!J881,Paramètrage!$A$6:$A$179,Paramètrage!$E$6:$E$179))</f>
        <v/>
      </c>
      <c r="O881" s="3" t="str">
        <f t="shared" si="271"/>
        <v/>
      </c>
      <c r="P881" s="3" t="str">
        <f t="shared" si="272"/>
        <v/>
      </c>
      <c r="Q881" s="3" t="str">
        <f t="shared" si="260"/>
        <v/>
      </c>
      <c r="R881" s="3" t="str">
        <f t="shared" si="273"/>
        <v/>
      </c>
      <c r="S881" s="3" t="str">
        <f t="shared" si="274"/>
        <v/>
      </c>
      <c r="T881" s="4" t="str">
        <f t="shared" si="275"/>
        <v/>
      </c>
      <c r="U881" s="5" t="str">
        <f t="shared" si="276"/>
        <v/>
      </c>
      <c r="V881" s="7" t="str">
        <f>IF(W881="","",IF(LOOKUP(W881,'Extration 3E date commande'!$A$6:$A$10000)=W881,LOOKUP(W881,'Extration 3E date commande'!$A$6:$A$10000,'Extration 3E date commande'!$C$6:$C$10000),"PAS DE DATE"))</f>
        <v/>
      </c>
    </row>
    <row r="882" spans="1:22" x14ac:dyDescent="0.25">
      <c r="A882" s="3" t="str">
        <f t="shared" si="261"/>
        <v/>
      </c>
      <c r="B882" s="3" t="str">
        <f t="shared" si="262"/>
        <v/>
      </c>
      <c r="C882" s="3" t="str">
        <f t="shared" si="263"/>
        <v/>
      </c>
      <c r="D882" s="3" t="str">
        <f t="shared" si="264"/>
        <v/>
      </c>
      <c r="E882" s="3" t="str">
        <f t="shared" si="265"/>
        <v/>
      </c>
      <c r="F882" s="3" t="str">
        <f t="shared" si="266"/>
        <v/>
      </c>
      <c r="G882" s="3" t="str">
        <f t="shared" si="267"/>
        <v/>
      </c>
      <c r="H882" s="3" t="str">
        <f t="shared" si="268"/>
        <v/>
      </c>
      <c r="I882" s="3" t="str">
        <f t="shared" si="269"/>
        <v/>
      </c>
      <c r="J882" s="2" t="str">
        <f t="shared" si="270"/>
        <v/>
      </c>
      <c r="K882" s="2" t="str">
        <f>IF(W882="","",LOOKUP('Extraction edi'!J882,Paramètrage!$A$6:$A$179,Paramètrage!$B$6:$B$179))</f>
        <v/>
      </c>
      <c r="L882" s="2" t="str">
        <f>IF(W882="","",LOOKUP('Extraction edi'!J882,Paramètrage!$A$6:$A$179,Paramètrage!$C$6:$C$179))</f>
        <v/>
      </c>
      <c r="M882" s="2" t="str">
        <f>IF(W882="","",LOOKUP('Extraction edi'!J882,Paramètrage!$A$6:$A$179,Paramètrage!$D$6:$D$179))</f>
        <v/>
      </c>
      <c r="N882" s="3" t="str">
        <f>IF(W882="","",LOOKUP('Extraction edi'!J882,Paramètrage!$A$6:$A$179,Paramètrage!$E$6:$E$179))</f>
        <v/>
      </c>
      <c r="O882" s="3" t="str">
        <f t="shared" si="271"/>
        <v/>
      </c>
      <c r="P882" s="3" t="str">
        <f t="shared" si="272"/>
        <v/>
      </c>
      <c r="Q882" s="3" t="str">
        <f t="shared" si="260"/>
        <v/>
      </c>
      <c r="R882" s="3" t="str">
        <f t="shared" si="273"/>
        <v/>
      </c>
      <c r="S882" s="3" t="str">
        <f t="shared" si="274"/>
        <v/>
      </c>
      <c r="T882" s="4" t="str">
        <f t="shared" si="275"/>
        <v/>
      </c>
      <c r="U882" s="5" t="str">
        <f t="shared" si="276"/>
        <v/>
      </c>
      <c r="V882" s="7" t="str">
        <f>IF(W882="","",IF(LOOKUP(W882,'Extration 3E date commande'!$A$6:$A$10000)=W882,LOOKUP(W882,'Extration 3E date commande'!$A$6:$A$10000,'Extration 3E date commande'!$C$6:$C$10000),"PAS DE DATE"))</f>
        <v/>
      </c>
    </row>
    <row r="883" spans="1:22" x14ac:dyDescent="0.25">
      <c r="A883" s="3" t="str">
        <f t="shared" si="261"/>
        <v/>
      </c>
      <c r="B883" s="3" t="str">
        <f t="shared" si="262"/>
        <v/>
      </c>
      <c r="C883" s="3" t="str">
        <f t="shared" si="263"/>
        <v/>
      </c>
      <c r="D883" s="3" t="str">
        <f t="shared" si="264"/>
        <v/>
      </c>
      <c r="E883" s="3" t="str">
        <f t="shared" si="265"/>
        <v/>
      </c>
      <c r="F883" s="3" t="str">
        <f t="shared" si="266"/>
        <v/>
      </c>
      <c r="G883" s="3" t="str">
        <f t="shared" si="267"/>
        <v/>
      </c>
      <c r="H883" s="3" t="str">
        <f t="shared" si="268"/>
        <v/>
      </c>
      <c r="I883" s="3" t="str">
        <f t="shared" si="269"/>
        <v/>
      </c>
      <c r="J883" s="2" t="str">
        <f t="shared" si="270"/>
        <v/>
      </c>
      <c r="K883" s="2" t="str">
        <f>IF(W883="","",LOOKUP('Extraction edi'!J883,Paramètrage!$A$6:$A$179,Paramètrage!$B$6:$B$179))</f>
        <v/>
      </c>
      <c r="L883" s="2" t="str">
        <f>IF(W883="","",LOOKUP('Extraction edi'!J883,Paramètrage!$A$6:$A$179,Paramètrage!$C$6:$C$179))</f>
        <v/>
      </c>
      <c r="M883" s="2" t="str">
        <f>IF(W883="","",LOOKUP('Extraction edi'!J883,Paramètrage!$A$6:$A$179,Paramètrage!$D$6:$D$179))</f>
        <v/>
      </c>
      <c r="N883" s="3" t="str">
        <f>IF(W883="","",LOOKUP('Extraction edi'!J883,Paramètrage!$A$6:$A$179,Paramètrage!$E$6:$E$179))</f>
        <v/>
      </c>
      <c r="O883" s="3" t="str">
        <f t="shared" si="271"/>
        <v/>
      </c>
      <c r="P883" s="3" t="str">
        <f t="shared" si="272"/>
        <v/>
      </c>
      <c r="Q883" s="3" t="str">
        <f t="shared" si="260"/>
        <v/>
      </c>
      <c r="R883" s="3" t="str">
        <f t="shared" si="273"/>
        <v/>
      </c>
      <c r="S883" s="3" t="str">
        <f t="shared" si="274"/>
        <v/>
      </c>
      <c r="T883" s="4" t="str">
        <f t="shared" si="275"/>
        <v/>
      </c>
      <c r="U883" s="5" t="str">
        <f t="shared" si="276"/>
        <v/>
      </c>
      <c r="V883" s="7" t="str">
        <f>IF(W883="","",IF(LOOKUP(W883,'Extration 3E date commande'!$A$6:$A$10000)=W883,LOOKUP(W883,'Extration 3E date commande'!$A$6:$A$10000,'Extration 3E date commande'!$C$6:$C$10000),"PAS DE DATE"))</f>
        <v/>
      </c>
    </row>
    <row r="884" spans="1:22" x14ac:dyDescent="0.25">
      <c r="A884" s="3" t="str">
        <f t="shared" si="261"/>
        <v/>
      </c>
      <c r="B884" s="3" t="str">
        <f t="shared" si="262"/>
        <v/>
      </c>
      <c r="C884" s="3" t="str">
        <f t="shared" si="263"/>
        <v/>
      </c>
      <c r="D884" s="3" t="str">
        <f t="shared" si="264"/>
        <v/>
      </c>
      <c r="E884" s="3" t="str">
        <f t="shared" si="265"/>
        <v/>
      </c>
      <c r="F884" s="3" t="str">
        <f t="shared" si="266"/>
        <v/>
      </c>
      <c r="G884" s="3" t="str">
        <f t="shared" si="267"/>
        <v/>
      </c>
      <c r="H884" s="3" t="str">
        <f t="shared" si="268"/>
        <v/>
      </c>
      <c r="I884" s="3" t="str">
        <f t="shared" si="269"/>
        <v/>
      </c>
      <c r="J884" s="2" t="str">
        <f t="shared" si="270"/>
        <v/>
      </c>
      <c r="K884" s="2" t="str">
        <f>IF(W884="","",LOOKUP('Extraction edi'!J884,Paramètrage!$A$6:$A$179,Paramètrage!$B$6:$B$179))</f>
        <v/>
      </c>
      <c r="L884" s="2" t="str">
        <f>IF(W884="","",LOOKUP('Extraction edi'!J884,Paramètrage!$A$6:$A$179,Paramètrage!$C$6:$C$179))</f>
        <v/>
      </c>
      <c r="M884" s="2" t="str">
        <f>IF(W884="","",LOOKUP('Extraction edi'!J884,Paramètrage!$A$6:$A$179,Paramètrage!$D$6:$D$179))</f>
        <v/>
      </c>
      <c r="N884" s="3" t="str">
        <f>IF(W884="","",LOOKUP('Extraction edi'!J884,Paramètrage!$A$6:$A$179,Paramètrage!$E$6:$E$179))</f>
        <v/>
      </c>
      <c r="O884" s="3" t="str">
        <f t="shared" si="271"/>
        <v/>
      </c>
      <c r="P884" s="3" t="str">
        <f t="shared" si="272"/>
        <v/>
      </c>
      <c r="Q884" s="3" t="str">
        <f t="shared" si="260"/>
        <v/>
      </c>
      <c r="R884" s="3" t="str">
        <f t="shared" si="273"/>
        <v/>
      </c>
      <c r="S884" s="3" t="str">
        <f t="shared" si="274"/>
        <v/>
      </c>
      <c r="T884" s="4" t="str">
        <f t="shared" si="275"/>
        <v/>
      </c>
      <c r="U884" s="5" t="str">
        <f t="shared" si="276"/>
        <v/>
      </c>
      <c r="V884" s="7" t="str">
        <f>IF(W884="","",IF(LOOKUP(W884,'Extration 3E date commande'!$A$6:$A$10000)=W884,LOOKUP(W884,'Extration 3E date commande'!$A$6:$A$10000,'Extration 3E date commande'!$C$6:$C$10000),"PAS DE DATE"))</f>
        <v/>
      </c>
    </row>
    <row r="885" spans="1:22" x14ac:dyDescent="0.25">
      <c r="A885" s="3" t="str">
        <f t="shared" si="261"/>
        <v/>
      </c>
      <c r="B885" s="3" t="str">
        <f t="shared" si="262"/>
        <v/>
      </c>
      <c r="C885" s="3" t="str">
        <f t="shared" si="263"/>
        <v/>
      </c>
      <c r="D885" s="3" t="str">
        <f t="shared" si="264"/>
        <v/>
      </c>
      <c r="E885" s="3" t="str">
        <f t="shared" si="265"/>
        <v/>
      </c>
      <c r="F885" s="3" t="str">
        <f t="shared" si="266"/>
        <v/>
      </c>
      <c r="G885" s="3" t="str">
        <f t="shared" si="267"/>
        <v/>
      </c>
      <c r="H885" s="3" t="str">
        <f t="shared" si="268"/>
        <v/>
      </c>
      <c r="I885" s="3" t="str">
        <f t="shared" si="269"/>
        <v/>
      </c>
      <c r="J885" s="2" t="str">
        <f t="shared" si="270"/>
        <v/>
      </c>
      <c r="K885" s="2" t="str">
        <f>IF(W885="","",LOOKUP('Extraction edi'!J885,Paramètrage!$A$6:$A$179,Paramètrage!$B$6:$B$179))</f>
        <v/>
      </c>
      <c r="L885" s="2" t="str">
        <f>IF(W885="","",LOOKUP('Extraction edi'!J885,Paramètrage!$A$6:$A$179,Paramètrage!$C$6:$C$179))</f>
        <v/>
      </c>
      <c r="M885" s="2" t="str">
        <f>IF(W885="","",LOOKUP('Extraction edi'!J885,Paramètrage!$A$6:$A$179,Paramètrage!$D$6:$D$179))</f>
        <v/>
      </c>
      <c r="N885" s="3" t="str">
        <f>IF(W885="","",LOOKUP('Extraction edi'!J885,Paramètrage!$A$6:$A$179,Paramètrage!$E$6:$E$179))</f>
        <v/>
      </c>
      <c r="O885" s="3" t="str">
        <f t="shared" si="271"/>
        <v/>
      </c>
      <c r="P885" s="3" t="str">
        <f t="shared" si="272"/>
        <v/>
      </c>
      <c r="Q885" s="3" t="str">
        <f t="shared" si="260"/>
        <v/>
      </c>
      <c r="R885" s="3" t="str">
        <f t="shared" si="273"/>
        <v/>
      </c>
      <c r="S885" s="3" t="str">
        <f t="shared" si="274"/>
        <v/>
      </c>
      <c r="T885" s="4" t="str">
        <f t="shared" si="275"/>
        <v/>
      </c>
      <c r="U885" s="5" t="str">
        <f t="shared" si="276"/>
        <v/>
      </c>
      <c r="V885" s="7" t="str">
        <f>IF(W885="","",IF(LOOKUP(W885,'Extration 3E date commande'!$A$6:$A$10000)=W885,LOOKUP(W885,'Extration 3E date commande'!$A$6:$A$10000,'Extration 3E date commande'!$C$6:$C$10000),"PAS DE DATE"))</f>
        <v/>
      </c>
    </row>
    <row r="886" spans="1:22" x14ac:dyDescent="0.25">
      <c r="A886" s="3" t="str">
        <f t="shared" si="261"/>
        <v/>
      </c>
      <c r="B886" s="3" t="str">
        <f t="shared" si="262"/>
        <v/>
      </c>
      <c r="C886" s="3" t="str">
        <f t="shared" si="263"/>
        <v/>
      </c>
      <c r="D886" s="3" t="str">
        <f t="shared" si="264"/>
        <v/>
      </c>
      <c r="E886" s="3" t="str">
        <f t="shared" si="265"/>
        <v/>
      </c>
      <c r="F886" s="3" t="str">
        <f t="shared" si="266"/>
        <v/>
      </c>
      <c r="G886" s="3" t="str">
        <f t="shared" si="267"/>
        <v/>
      </c>
      <c r="H886" s="3" t="str">
        <f t="shared" si="268"/>
        <v/>
      </c>
      <c r="I886" s="3" t="str">
        <f t="shared" si="269"/>
        <v/>
      </c>
      <c r="J886" s="2" t="str">
        <f t="shared" si="270"/>
        <v/>
      </c>
      <c r="K886" s="2" t="str">
        <f>IF(W886="","",LOOKUP('Extraction edi'!J886,Paramètrage!$A$6:$A$179,Paramètrage!$B$6:$B$179))</f>
        <v/>
      </c>
      <c r="L886" s="2" t="str">
        <f>IF(W886="","",LOOKUP('Extraction edi'!J886,Paramètrage!$A$6:$A$179,Paramètrage!$C$6:$C$179))</f>
        <v/>
      </c>
      <c r="M886" s="2" t="str">
        <f>IF(W886="","",LOOKUP('Extraction edi'!J886,Paramètrage!$A$6:$A$179,Paramètrage!$D$6:$D$179))</f>
        <v/>
      </c>
      <c r="N886" s="3" t="str">
        <f>IF(W886="","",LOOKUP('Extraction edi'!J886,Paramètrage!$A$6:$A$179,Paramètrage!$E$6:$E$179))</f>
        <v/>
      </c>
      <c r="O886" s="3" t="str">
        <f t="shared" si="271"/>
        <v/>
      </c>
      <c r="P886" s="3" t="str">
        <f t="shared" si="272"/>
        <v/>
      </c>
      <c r="Q886" s="3" t="str">
        <f t="shared" si="260"/>
        <v/>
      </c>
      <c r="R886" s="3" t="str">
        <f t="shared" si="273"/>
        <v/>
      </c>
      <c r="S886" s="3" t="str">
        <f t="shared" si="274"/>
        <v/>
      </c>
      <c r="T886" s="4" t="str">
        <f t="shared" si="275"/>
        <v/>
      </c>
      <c r="U886" s="5" t="str">
        <f t="shared" si="276"/>
        <v/>
      </c>
      <c r="V886" s="7" t="str">
        <f>IF(W886="","",IF(LOOKUP(W886,'Extration 3E date commande'!$A$6:$A$10000)=W886,LOOKUP(W886,'Extration 3E date commande'!$A$6:$A$10000,'Extration 3E date commande'!$C$6:$C$10000),"PAS DE DATE"))</f>
        <v/>
      </c>
    </row>
    <row r="887" spans="1:22" x14ac:dyDescent="0.25">
      <c r="A887" s="3" t="str">
        <f t="shared" si="261"/>
        <v/>
      </c>
      <c r="B887" s="3" t="str">
        <f t="shared" si="262"/>
        <v/>
      </c>
      <c r="C887" s="3" t="str">
        <f t="shared" si="263"/>
        <v/>
      </c>
      <c r="D887" s="3" t="str">
        <f t="shared" si="264"/>
        <v/>
      </c>
      <c r="E887" s="3" t="str">
        <f t="shared" si="265"/>
        <v/>
      </c>
      <c r="F887" s="3" t="str">
        <f t="shared" si="266"/>
        <v/>
      </c>
      <c r="G887" s="3" t="str">
        <f t="shared" si="267"/>
        <v/>
      </c>
      <c r="H887" s="3" t="str">
        <f t="shared" si="268"/>
        <v/>
      </c>
      <c r="I887" s="3" t="str">
        <f t="shared" si="269"/>
        <v/>
      </c>
      <c r="J887" s="2" t="str">
        <f t="shared" si="270"/>
        <v/>
      </c>
      <c r="K887" s="2" t="str">
        <f>IF(W887="","",LOOKUP('Extraction edi'!J887,Paramètrage!$A$6:$A$179,Paramètrage!$B$6:$B$179))</f>
        <v/>
      </c>
      <c r="L887" s="2" t="str">
        <f>IF(W887="","",LOOKUP('Extraction edi'!J887,Paramètrage!$A$6:$A$179,Paramètrage!$C$6:$C$179))</f>
        <v/>
      </c>
      <c r="M887" s="2" t="str">
        <f>IF(W887="","",LOOKUP('Extraction edi'!J887,Paramètrage!$A$6:$A$179,Paramètrage!$D$6:$D$179))</f>
        <v/>
      </c>
      <c r="N887" s="3" t="str">
        <f>IF(W887="","",LOOKUP('Extraction edi'!J887,Paramètrage!$A$6:$A$179,Paramètrage!$E$6:$E$179))</f>
        <v/>
      </c>
      <c r="O887" s="3" t="str">
        <f t="shared" si="271"/>
        <v/>
      </c>
      <c r="P887" s="3" t="str">
        <f t="shared" si="272"/>
        <v/>
      </c>
      <c r="Q887" s="3" t="str">
        <f t="shared" si="260"/>
        <v/>
      </c>
      <c r="R887" s="3" t="str">
        <f t="shared" si="273"/>
        <v/>
      </c>
      <c r="S887" s="3" t="str">
        <f t="shared" si="274"/>
        <v/>
      </c>
      <c r="T887" s="4" t="str">
        <f t="shared" si="275"/>
        <v/>
      </c>
      <c r="U887" s="5" t="str">
        <f t="shared" si="276"/>
        <v/>
      </c>
      <c r="V887" s="7" t="str">
        <f>IF(W887="","",IF(LOOKUP(W887,'Extration 3E date commande'!$A$6:$A$10000)=W887,LOOKUP(W887,'Extration 3E date commande'!$A$6:$A$10000,'Extration 3E date commande'!$C$6:$C$10000),"PAS DE DATE"))</f>
        <v/>
      </c>
    </row>
    <row r="888" spans="1:22" x14ac:dyDescent="0.25">
      <c r="A888" s="3" t="str">
        <f t="shared" si="261"/>
        <v/>
      </c>
      <c r="B888" s="3" t="str">
        <f t="shared" si="262"/>
        <v/>
      </c>
      <c r="C888" s="3" t="str">
        <f t="shared" si="263"/>
        <v/>
      </c>
      <c r="D888" s="3" t="str">
        <f t="shared" si="264"/>
        <v/>
      </c>
      <c r="E888" s="3" t="str">
        <f t="shared" si="265"/>
        <v/>
      </c>
      <c r="F888" s="3" t="str">
        <f t="shared" si="266"/>
        <v/>
      </c>
      <c r="G888" s="3" t="str">
        <f t="shared" si="267"/>
        <v/>
      </c>
      <c r="H888" s="3" t="str">
        <f t="shared" si="268"/>
        <v/>
      </c>
      <c r="I888" s="3" t="str">
        <f t="shared" si="269"/>
        <v/>
      </c>
      <c r="J888" s="2" t="str">
        <f t="shared" si="270"/>
        <v/>
      </c>
      <c r="K888" s="2" t="str">
        <f>IF(W888="","",LOOKUP('Extraction edi'!J888,Paramètrage!$A$6:$A$179,Paramètrage!$B$6:$B$179))</f>
        <v/>
      </c>
      <c r="L888" s="2" t="str">
        <f>IF(W888="","",LOOKUP('Extraction edi'!J888,Paramètrage!$A$6:$A$179,Paramètrage!$C$6:$C$179))</f>
        <v/>
      </c>
      <c r="M888" s="2" t="str">
        <f>IF(W888="","",LOOKUP('Extraction edi'!J888,Paramètrage!$A$6:$A$179,Paramètrage!$D$6:$D$179))</f>
        <v/>
      </c>
      <c r="N888" s="3" t="str">
        <f>IF(W888="","",LOOKUP('Extraction edi'!J888,Paramètrage!$A$6:$A$179,Paramètrage!$E$6:$E$179))</f>
        <v/>
      </c>
      <c r="O888" s="3" t="str">
        <f t="shared" si="271"/>
        <v/>
      </c>
      <c r="P888" s="3" t="str">
        <f t="shared" si="272"/>
        <v/>
      </c>
      <c r="Q888" s="3" t="str">
        <f t="shared" si="260"/>
        <v/>
      </c>
      <c r="R888" s="3" t="str">
        <f t="shared" si="273"/>
        <v/>
      </c>
      <c r="S888" s="3" t="str">
        <f t="shared" si="274"/>
        <v/>
      </c>
      <c r="T888" s="4" t="str">
        <f t="shared" si="275"/>
        <v/>
      </c>
      <c r="U888" s="5" t="str">
        <f t="shared" si="276"/>
        <v/>
      </c>
      <c r="V888" s="7" t="str">
        <f>IF(W888="","",IF(LOOKUP(W888,'Extration 3E date commande'!$A$6:$A$10000)=W888,LOOKUP(W888,'Extration 3E date commande'!$A$6:$A$10000,'Extration 3E date commande'!$C$6:$C$10000),"PAS DE DATE"))</f>
        <v/>
      </c>
    </row>
    <row r="889" spans="1:22" x14ac:dyDescent="0.25">
      <c r="A889" s="3" t="str">
        <f t="shared" si="261"/>
        <v/>
      </c>
      <c r="B889" s="3" t="str">
        <f t="shared" si="262"/>
        <v/>
      </c>
      <c r="C889" s="3" t="str">
        <f t="shared" si="263"/>
        <v/>
      </c>
      <c r="D889" s="3" t="str">
        <f t="shared" si="264"/>
        <v/>
      </c>
      <c r="E889" s="3" t="str">
        <f t="shared" si="265"/>
        <v/>
      </c>
      <c r="F889" s="3" t="str">
        <f t="shared" si="266"/>
        <v/>
      </c>
      <c r="G889" s="3" t="str">
        <f t="shared" si="267"/>
        <v/>
      </c>
      <c r="H889" s="3" t="str">
        <f t="shared" si="268"/>
        <v/>
      </c>
      <c r="I889" s="3" t="str">
        <f t="shared" si="269"/>
        <v/>
      </c>
      <c r="J889" s="2" t="str">
        <f t="shared" si="270"/>
        <v/>
      </c>
      <c r="K889" s="2" t="str">
        <f>IF(W889="","",LOOKUP('Extraction edi'!J889,Paramètrage!$A$6:$A$179,Paramètrage!$B$6:$B$179))</f>
        <v/>
      </c>
      <c r="L889" s="2" t="str">
        <f>IF(W889="","",LOOKUP('Extraction edi'!J889,Paramètrage!$A$6:$A$179,Paramètrage!$C$6:$C$179))</f>
        <v/>
      </c>
      <c r="M889" s="2" t="str">
        <f>IF(W889="","",LOOKUP('Extraction edi'!J889,Paramètrage!$A$6:$A$179,Paramètrage!$D$6:$D$179))</f>
        <v/>
      </c>
      <c r="N889" s="3" t="str">
        <f>IF(W889="","",LOOKUP('Extraction edi'!J889,Paramètrage!$A$6:$A$179,Paramètrage!$E$6:$E$179))</f>
        <v/>
      </c>
      <c r="O889" s="3" t="str">
        <f t="shared" si="271"/>
        <v/>
      </c>
      <c r="P889" s="3" t="str">
        <f t="shared" si="272"/>
        <v/>
      </c>
      <c r="Q889" s="3" t="str">
        <f t="shared" si="260"/>
        <v/>
      </c>
      <c r="R889" s="3" t="str">
        <f t="shared" si="273"/>
        <v/>
      </c>
      <c r="S889" s="3" t="str">
        <f t="shared" si="274"/>
        <v/>
      </c>
      <c r="T889" s="4" t="str">
        <f t="shared" si="275"/>
        <v/>
      </c>
      <c r="U889" s="5" t="str">
        <f t="shared" si="276"/>
        <v/>
      </c>
      <c r="V889" s="7" t="str">
        <f>IF(W889="","",IF(LOOKUP(W889,'Extration 3E date commande'!$A$6:$A$10000)=W889,LOOKUP(W889,'Extration 3E date commande'!$A$6:$A$10000,'Extration 3E date commande'!$C$6:$C$10000),"PAS DE DATE"))</f>
        <v/>
      </c>
    </row>
    <row r="890" spans="1:22" x14ac:dyDescent="0.25">
      <c r="A890" s="3" t="str">
        <f t="shared" si="261"/>
        <v/>
      </c>
      <c r="B890" s="3" t="str">
        <f t="shared" si="262"/>
        <v/>
      </c>
      <c r="C890" s="3" t="str">
        <f t="shared" si="263"/>
        <v/>
      </c>
      <c r="D890" s="3" t="str">
        <f t="shared" si="264"/>
        <v/>
      </c>
      <c r="E890" s="3" t="str">
        <f t="shared" si="265"/>
        <v/>
      </c>
      <c r="F890" s="3" t="str">
        <f t="shared" si="266"/>
        <v/>
      </c>
      <c r="G890" s="3" t="str">
        <f t="shared" si="267"/>
        <v/>
      </c>
      <c r="H890" s="3" t="str">
        <f t="shared" si="268"/>
        <v/>
      </c>
      <c r="I890" s="3" t="str">
        <f t="shared" si="269"/>
        <v/>
      </c>
      <c r="J890" s="2" t="str">
        <f t="shared" si="270"/>
        <v/>
      </c>
      <c r="K890" s="2" t="str">
        <f>IF(W890="","",LOOKUP('Extraction edi'!J890,Paramètrage!$A$6:$A$179,Paramètrage!$B$6:$B$179))</f>
        <v/>
      </c>
      <c r="L890" s="2" t="str">
        <f>IF(W890="","",LOOKUP('Extraction edi'!J890,Paramètrage!$A$6:$A$179,Paramètrage!$C$6:$C$179))</f>
        <v/>
      </c>
      <c r="M890" s="2" t="str">
        <f>IF(W890="","",LOOKUP('Extraction edi'!J890,Paramètrage!$A$6:$A$179,Paramètrage!$D$6:$D$179))</f>
        <v/>
      </c>
      <c r="N890" s="3" t="str">
        <f>IF(W890="","",LOOKUP('Extraction edi'!J890,Paramètrage!$A$6:$A$179,Paramètrage!$E$6:$E$179))</f>
        <v/>
      </c>
      <c r="O890" s="3" t="str">
        <f t="shared" si="271"/>
        <v/>
      </c>
      <c r="P890" s="3" t="str">
        <f t="shared" si="272"/>
        <v/>
      </c>
      <c r="Q890" s="3" t="str">
        <f t="shared" si="260"/>
        <v/>
      </c>
      <c r="R890" s="3" t="str">
        <f t="shared" si="273"/>
        <v/>
      </c>
      <c r="S890" s="3" t="str">
        <f t="shared" si="274"/>
        <v/>
      </c>
      <c r="T890" s="4" t="str">
        <f t="shared" si="275"/>
        <v/>
      </c>
      <c r="U890" s="5" t="str">
        <f t="shared" si="276"/>
        <v/>
      </c>
      <c r="V890" s="7" t="str">
        <f>IF(W890="","",IF(LOOKUP(W890,'Extration 3E date commande'!$A$6:$A$10000)=W890,LOOKUP(W890,'Extration 3E date commande'!$A$6:$A$10000,'Extration 3E date commande'!$C$6:$C$10000),"PAS DE DATE"))</f>
        <v/>
      </c>
    </row>
    <row r="891" spans="1:22" x14ac:dyDescent="0.25">
      <c r="A891" s="3" t="str">
        <f t="shared" si="261"/>
        <v/>
      </c>
      <c r="B891" s="3" t="str">
        <f t="shared" si="262"/>
        <v/>
      </c>
      <c r="C891" s="3" t="str">
        <f t="shared" si="263"/>
        <v/>
      </c>
      <c r="D891" s="3" t="str">
        <f t="shared" si="264"/>
        <v/>
      </c>
      <c r="E891" s="3" t="str">
        <f t="shared" si="265"/>
        <v/>
      </c>
      <c r="F891" s="3" t="str">
        <f t="shared" si="266"/>
        <v/>
      </c>
      <c r="G891" s="3" t="str">
        <f t="shared" si="267"/>
        <v/>
      </c>
      <c r="H891" s="3" t="str">
        <f t="shared" si="268"/>
        <v/>
      </c>
      <c r="I891" s="3" t="str">
        <f t="shared" si="269"/>
        <v/>
      </c>
      <c r="J891" s="2" t="str">
        <f t="shared" si="270"/>
        <v/>
      </c>
      <c r="K891" s="2" t="str">
        <f>IF(W891="","",LOOKUP('Extraction edi'!J891,Paramètrage!$A$6:$A$179,Paramètrage!$B$6:$B$179))</f>
        <v/>
      </c>
      <c r="L891" s="2" t="str">
        <f>IF(W891="","",LOOKUP('Extraction edi'!J891,Paramètrage!$A$6:$A$179,Paramètrage!$C$6:$C$179))</f>
        <v/>
      </c>
      <c r="M891" s="2" t="str">
        <f>IF(W891="","",LOOKUP('Extraction edi'!J891,Paramètrage!$A$6:$A$179,Paramètrage!$D$6:$D$179))</f>
        <v/>
      </c>
      <c r="N891" s="3" t="str">
        <f>IF(W891="","",LOOKUP('Extraction edi'!J891,Paramètrage!$A$6:$A$179,Paramètrage!$E$6:$E$179))</f>
        <v/>
      </c>
      <c r="O891" s="3" t="str">
        <f t="shared" si="271"/>
        <v/>
      </c>
      <c r="P891" s="3" t="str">
        <f t="shared" si="272"/>
        <v/>
      </c>
      <c r="Q891" s="3" t="str">
        <f t="shared" si="260"/>
        <v/>
      </c>
      <c r="R891" s="3" t="str">
        <f t="shared" si="273"/>
        <v/>
      </c>
      <c r="S891" s="3" t="str">
        <f t="shared" si="274"/>
        <v/>
      </c>
      <c r="T891" s="4" t="str">
        <f t="shared" si="275"/>
        <v/>
      </c>
      <c r="U891" s="5" t="str">
        <f t="shared" si="276"/>
        <v/>
      </c>
      <c r="V891" s="7" t="str">
        <f>IF(W891="","",IF(LOOKUP(W891,'Extration 3E date commande'!$A$6:$A$10000)=W891,LOOKUP(W891,'Extration 3E date commande'!$A$6:$A$10000,'Extration 3E date commande'!$C$6:$C$10000),"PAS DE DATE"))</f>
        <v/>
      </c>
    </row>
    <row r="892" spans="1:22" x14ac:dyDescent="0.25">
      <c r="A892" s="3" t="str">
        <f t="shared" si="261"/>
        <v/>
      </c>
      <c r="B892" s="3" t="str">
        <f t="shared" si="262"/>
        <v/>
      </c>
      <c r="C892" s="3" t="str">
        <f t="shared" si="263"/>
        <v/>
      </c>
      <c r="D892" s="3" t="str">
        <f t="shared" si="264"/>
        <v/>
      </c>
      <c r="E892" s="3" t="str">
        <f t="shared" si="265"/>
        <v/>
      </c>
      <c r="F892" s="3" t="str">
        <f t="shared" si="266"/>
        <v/>
      </c>
      <c r="G892" s="3" t="str">
        <f t="shared" si="267"/>
        <v/>
      </c>
      <c r="H892" s="3" t="str">
        <f t="shared" si="268"/>
        <v/>
      </c>
      <c r="I892" s="3" t="str">
        <f t="shared" si="269"/>
        <v/>
      </c>
      <c r="J892" s="2" t="str">
        <f t="shared" si="270"/>
        <v/>
      </c>
      <c r="K892" s="2" t="str">
        <f>IF(W892="","",LOOKUP('Extraction edi'!J892,Paramètrage!$A$6:$A$179,Paramètrage!$B$6:$B$179))</f>
        <v/>
      </c>
      <c r="L892" s="2" t="str">
        <f>IF(W892="","",LOOKUP('Extraction edi'!J892,Paramètrage!$A$6:$A$179,Paramètrage!$C$6:$C$179))</f>
        <v/>
      </c>
      <c r="M892" s="2" t="str">
        <f>IF(W892="","",LOOKUP('Extraction edi'!J892,Paramètrage!$A$6:$A$179,Paramètrage!$D$6:$D$179))</f>
        <v/>
      </c>
      <c r="N892" s="3" t="str">
        <f>IF(W892="","",LOOKUP('Extraction edi'!J892,Paramètrage!$A$6:$A$179,Paramètrage!$E$6:$E$179))</f>
        <v/>
      </c>
      <c r="O892" s="3" t="str">
        <f t="shared" si="271"/>
        <v/>
      </c>
      <c r="P892" s="3" t="str">
        <f t="shared" si="272"/>
        <v/>
      </c>
      <c r="Q892" s="3" t="str">
        <f t="shared" si="260"/>
        <v/>
      </c>
      <c r="R892" s="3" t="str">
        <f t="shared" si="273"/>
        <v/>
      </c>
      <c r="S892" s="3" t="str">
        <f t="shared" si="274"/>
        <v/>
      </c>
      <c r="T892" s="4" t="str">
        <f t="shared" si="275"/>
        <v/>
      </c>
      <c r="U892" s="5" t="str">
        <f t="shared" si="276"/>
        <v/>
      </c>
      <c r="V892" s="7" t="str">
        <f>IF(W892="","",IF(LOOKUP(W892,'Extration 3E date commande'!$A$6:$A$10000)=W892,LOOKUP(W892,'Extration 3E date commande'!$A$6:$A$10000,'Extration 3E date commande'!$C$6:$C$10000),"PAS DE DATE"))</f>
        <v/>
      </c>
    </row>
    <row r="893" spans="1:22" x14ac:dyDescent="0.25">
      <c r="A893" s="3" t="str">
        <f t="shared" si="261"/>
        <v/>
      </c>
      <c r="B893" s="3" t="str">
        <f t="shared" si="262"/>
        <v/>
      </c>
      <c r="C893" s="3" t="str">
        <f t="shared" si="263"/>
        <v/>
      </c>
      <c r="D893" s="3" t="str">
        <f t="shared" si="264"/>
        <v/>
      </c>
      <c r="E893" s="3" t="str">
        <f t="shared" si="265"/>
        <v/>
      </c>
      <c r="F893" s="3" t="str">
        <f t="shared" si="266"/>
        <v/>
      </c>
      <c r="G893" s="3" t="str">
        <f t="shared" si="267"/>
        <v/>
      </c>
      <c r="H893" s="3" t="str">
        <f t="shared" si="268"/>
        <v/>
      </c>
      <c r="I893" s="3" t="str">
        <f t="shared" si="269"/>
        <v/>
      </c>
      <c r="J893" s="2" t="str">
        <f t="shared" si="270"/>
        <v/>
      </c>
      <c r="K893" s="2" t="str">
        <f>IF(W893="","",LOOKUP('Extraction edi'!J893,Paramètrage!$A$6:$A$179,Paramètrage!$B$6:$B$179))</f>
        <v/>
      </c>
      <c r="L893" s="2" t="str">
        <f>IF(W893="","",LOOKUP('Extraction edi'!J893,Paramètrage!$A$6:$A$179,Paramètrage!$C$6:$C$179))</f>
        <v/>
      </c>
      <c r="M893" s="2" t="str">
        <f>IF(W893="","",LOOKUP('Extraction edi'!J893,Paramètrage!$A$6:$A$179,Paramètrage!$D$6:$D$179))</f>
        <v/>
      </c>
      <c r="N893" s="3" t="str">
        <f>IF(W893="","",LOOKUP('Extraction edi'!J893,Paramètrage!$A$6:$A$179,Paramètrage!$E$6:$E$179))</f>
        <v/>
      </c>
      <c r="O893" s="3" t="str">
        <f t="shared" si="271"/>
        <v/>
      </c>
      <c r="P893" s="3" t="str">
        <f t="shared" si="272"/>
        <v/>
      </c>
      <c r="Q893" s="3" t="str">
        <f t="shared" si="260"/>
        <v/>
      </c>
      <c r="R893" s="3" t="str">
        <f t="shared" si="273"/>
        <v/>
      </c>
      <c r="S893" s="3" t="str">
        <f t="shared" si="274"/>
        <v/>
      </c>
      <c r="T893" s="4" t="str">
        <f t="shared" si="275"/>
        <v/>
      </c>
      <c r="U893" s="5" t="str">
        <f t="shared" si="276"/>
        <v/>
      </c>
      <c r="V893" s="7" t="str">
        <f>IF(W893="","",IF(LOOKUP(W893,'Extration 3E date commande'!$A$6:$A$10000)=W893,LOOKUP(W893,'Extration 3E date commande'!$A$6:$A$10000,'Extration 3E date commande'!$C$6:$C$10000),"PAS DE DATE"))</f>
        <v/>
      </c>
    </row>
    <row r="894" spans="1:22" x14ac:dyDescent="0.25">
      <c r="A894" s="3" t="str">
        <f t="shared" si="261"/>
        <v/>
      </c>
      <c r="B894" s="3" t="str">
        <f t="shared" si="262"/>
        <v/>
      </c>
      <c r="C894" s="3" t="str">
        <f t="shared" si="263"/>
        <v/>
      </c>
      <c r="D894" s="3" t="str">
        <f t="shared" si="264"/>
        <v/>
      </c>
      <c r="E894" s="3" t="str">
        <f t="shared" si="265"/>
        <v/>
      </c>
      <c r="F894" s="3" t="str">
        <f t="shared" si="266"/>
        <v/>
      </c>
      <c r="G894" s="3" t="str">
        <f t="shared" si="267"/>
        <v/>
      </c>
      <c r="H894" s="3" t="str">
        <f t="shared" si="268"/>
        <v/>
      </c>
      <c r="I894" s="3" t="str">
        <f t="shared" si="269"/>
        <v/>
      </c>
      <c r="J894" s="2" t="str">
        <f t="shared" si="270"/>
        <v/>
      </c>
      <c r="K894" s="2" t="str">
        <f>IF(W894="","",LOOKUP('Extraction edi'!J894,Paramètrage!$A$6:$A$179,Paramètrage!$B$6:$B$179))</f>
        <v/>
      </c>
      <c r="L894" s="2" t="str">
        <f>IF(W894="","",LOOKUP('Extraction edi'!J894,Paramètrage!$A$6:$A$179,Paramètrage!$C$6:$C$179))</f>
        <v/>
      </c>
      <c r="M894" s="2" t="str">
        <f>IF(W894="","",LOOKUP('Extraction edi'!J894,Paramètrage!$A$6:$A$179,Paramètrage!$D$6:$D$179))</f>
        <v/>
      </c>
      <c r="N894" s="3" t="str">
        <f>IF(W894="","",LOOKUP('Extraction edi'!J894,Paramètrage!$A$6:$A$179,Paramètrage!$E$6:$E$179))</f>
        <v/>
      </c>
      <c r="O894" s="3" t="str">
        <f t="shared" si="271"/>
        <v/>
      </c>
      <c r="P894" s="3" t="str">
        <f t="shared" si="272"/>
        <v/>
      </c>
      <c r="Q894" s="3" t="str">
        <f t="shared" si="260"/>
        <v/>
      </c>
      <c r="R894" s="3" t="str">
        <f t="shared" si="273"/>
        <v/>
      </c>
      <c r="S894" s="3" t="str">
        <f t="shared" si="274"/>
        <v/>
      </c>
      <c r="T894" s="4" t="str">
        <f t="shared" si="275"/>
        <v/>
      </c>
      <c r="U894" s="5" t="str">
        <f t="shared" si="276"/>
        <v/>
      </c>
      <c r="V894" s="7" t="str">
        <f>IF(W894="","",IF(LOOKUP(W894,'Extration 3E date commande'!$A$6:$A$10000)=W894,LOOKUP(W894,'Extration 3E date commande'!$A$6:$A$10000,'Extration 3E date commande'!$C$6:$C$10000),"PAS DE DATE"))</f>
        <v/>
      </c>
    </row>
    <row r="895" spans="1:22" x14ac:dyDescent="0.25">
      <c r="A895" s="3" t="str">
        <f t="shared" si="261"/>
        <v/>
      </c>
      <c r="B895" s="3" t="str">
        <f t="shared" si="262"/>
        <v/>
      </c>
      <c r="C895" s="3" t="str">
        <f t="shared" si="263"/>
        <v/>
      </c>
      <c r="D895" s="3" t="str">
        <f t="shared" si="264"/>
        <v/>
      </c>
      <c r="E895" s="3" t="str">
        <f t="shared" si="265"/>
        <v/>
      </c>
      <c r="F895" s="3" t="str">
        <f t="shared" si="266"/>
        <v/>
      </c>
      <c r="G895" s="3" t="str">
        <f t="shared" si="267"/>
        <v/>
      </c>
      <c r="H895" s="3" t="str">
        <f t="shared" si="268"/>
        <v/>
      </c>
      <c r="I895" s="3" t="str">
        <f t="shared" si="269"/>
        <v/>
      </c>
      <c r="J895" s="2" t="str">
        <f t="shared" si="270"/>
        <v/>
      </c>
      <c r="K895" s="2" t="str">
        <f>IF(W895="","",LOOKUP('Extraction edi'!J895,Paramètrage!$A$6:$A$179,Paramètrage!$B$6:$B$179))</f>
        <v/>
      </c>
      <c r="L895" s="2" t="str">
        <f>IF(W895="","",LOOKUP('Extraction edi'!J895,Paramètrage!$A$6:$A$179,Paramètrage!$C$6:$C$179))</f>
        <v/>
      </c>
      <c r="M895" s="2" t="str">
        <f>IF(W895="","",LOOKUP('Extraction edi'!J895,Paramètrage!$A$6:$A$179,Paramètrage!$D$6:$D$179))</f>
        <v/>
      </c>
      <c r="N895" s="3" t="str">
        <f>IF(W895="","",LOOKUP('Extraction edi'!J895,Paramètrage!$A$6:$A$179,Paramètrage!$E$6:$E$179))</f>
        <v/>
      </c>
      <c r="O895" s="3" t="str">
        <f t="shared" si="271"/>
        <v/>
      </c>
      <c r="P895" s="3" t="str">
        <f t="shared" si="272"/>
        <v/>
      </c>
      <c r="Q895" s="3" t="str">
        <f t="shared" si="260"/>
        <v/>
      </c>
      <c r="R895" s="3" t="str">
        <f t="shared" si="273"/>
        <v/>
      </c>
      <c r="S895" s="3" t="str">
        <f t="shared" si="274"/>
        <v/>
      </c>
      <c r="T895" s="4" t="str">
        <f t="shared" si="275"/>
        <v/>
      </c>
      <c r="U895" s="5" t="str">
        <f t="shared" si="276"/>
        <v/>
      </c>
      <c r="V895" s="7" t="str">
        <f>IF(W895="","",IF(LOOKUP(W895,'Extration 3E date commande'!$A$6:$A$10000)=W895,LOOKUP(W895,'Extration 3E date commande'!$A$6:$A$10000,'Extration 3E date commande'!$C$6:$C$10000),"PAS DE DATE"))</f>
        <v/>
      </c>
    </row>
    <row r="896" spans="1:22" x14ac:dyDescent="0.25">
      <c r="A896" s="3" t="str">
        <f t="shared" si="261"/>
        <v/>
      </c>
      <c r="B896" s="3" t="str">
        <f t="shared" si="262"/>
        <v/>
      </c>
      <c r="C896" s="3" t="str">
        <f t="shared" si="263"/>
        <v/>
      </c>
      <c r="D896" s="3" t="str">
        <f t="shared" si="264"/>
        <v/>
      </c>
      <c r="E896" s="3" t="str">
        <f t="shared" si="265"/>
        <v/>
      </c>
      <c r="F896" s="3" t="str">
        <f t="shared" si="266"/>
        <v/>
      </c>
      <c r="G896" s="3" t="str">
        <f t="shared" si="267"/>
        <v/>
      </c>
      <c r="H896" s="3" t="str">
        <f t="shared" si="268"/>
        <v/>
      </c>
      <c r="I896" s="3" t="str">
        <f t="shared" si="269"/>
        <v/>
      </c>
      <c r="J896" s="2" t="str">
        <f t="shared" si="270"/>
        <v/>
      </c>
      <c r="K896" s="2" t="str">
        <f>IF(W896="","",LOOKUP('Extraction edi'!J896,Paramètrage!$A$6:$A$179,Paramètrage!$B$6:$B$179))</f>
        <v/>
      </c>
      <c r="L896" s="2" t="str">
        <f>IF(W896="","",LOOKUP('Extraction edi'!J896,Paramètrage!$A$6:$A$179,Paramètrage!$C$6:$C$179))</f>
        <v/>
      </c>
      <c r="M896" s="2" t="str">
        <f>IF(W896="","",LOOKUP('Extraction edi'!J896,Paramètrage!$A$6:$A$179,Paramètrage!$D$6:$D$179))</f>
        <v/>
      </c>
      <c r="N896" s="3" t="str">
        <f>IF(W896="","",LOOKUP('Extraction edi'!J896,Paramètrage!$A$6:$A$179,Paramètrage!$E$6:$E$179))</f>
        <v/>
      </c>
      <c r="O896" s="3" t="str">
        <f t="shared" si="271"/>
        <v/>
      </c>
      <c r="P896" s="3" t="str">
        <f t="shared" si="272"/>
        <v/>
      </c>
      <c r="Q896" s="3" t="str">
        <f t="shared" si="260"/>
        <v/>
      </c>
      <c r="R896" s="3" t="str">
        <f t="shared" si="273"/>
        <v/>
      </c>
      <c r="S896" s="3" t="str">
        <f t="shared" si="274"/>
        <v/>
      </c>
      <c r="T896" s="4" t="str">
        <f t="shared" si="275"/>
        <v/>
      </c>
      <c r="U896" s="5" t="str">
        <f t="shared" si="276"/>
        <v/>
      </c>
      <c r="V896" s="7" t="str">
        <f>IF(W896="","",IF(LOOKUP(W896,'Extration 3E date commande'!$A$6:$A$10000)=W896,LOOKUP(W896,'Extration 3E date commande'!$A$6:$A$10000,'Extration 3E date commande'!$C$6:$C$10000),"PAS DE DATE"))</f>
        <v/>
      </c>
    </row>
    <row r="897" spans="1:22" x14ac:dyDescent="0.25">
      <c r="A897" s="3" t="str">
        <f t="shared" si="261"/>
        <v/>
      </c>
      <c r="B897" s="3" t="str">
        <f t="shared" si="262"/>
        <v/>
      </c>
      <c r="C897" s="3" t="str">
        <f t="shared" si="263"/>
        <v/>
      </c>
      <c r="D897" s="3" t="str">
        <f t="shared" si="264"/>
        <v/>
      </c>
      <c r="E897" s="3" t="str">
        <f t="shared" si="265"/>
        <v/>
      </c>
      <c r="F897" s="3" t="str">
        <f t="shared" si="266"/>
        <v/>
      </c>
      <c r="G897" s="3" t="str">
        <f t="shared" si="267"/>
        <v/>
      </c>
      <c r="H897" s="3" t="str">
        <f t="shared" si="268"/>
        <v/>
      </c>
      <c r="I897" s="3" t="str">
        <f t="shared" si="269"/>
        <v/>
      </c>
      <c r="J897" s="2" t="str">
        <f t="shared" si="270"/>
        <v/>
      </c>
      <c r="K897" s="2" t="str">
        <f>IF(W897="","",LOOKUP('Extraction edi'!J897,Paramètrage!$A$6:$A$179,Paramètrage!$B$6:$B$179))</f>
        <v/>
      </c>
      <c r="L897" s="2" t="str">
        <f>IF(W897="","",LOOKUP('Extraction edi'!J897,Paramètrage!$A$6:$A$179,Paramètrage!$C$6:$C$179))</f>
        <v/>
      </c>
      <c r="M897" s="2" t="str">
        <f>IF(W897="","",LOOKUP('Extraction edi'!J897,Paramètrage!$A$6:$A$179,Paramètrage!$D$6:$D$179))</f>
        <v/>
      </c>
      <c r="N897" s="3" t="str">
        <f>IF(W897="","",LOOKUP('Extraction edi'!J897,Paramètrage!$A$6:$A$179,Paramètrage!$E$6:$E$179))</f>
        <v/>
      </c>
      <c r="O897" s="3" t="str">
        <f t="shared" si="271"/>
        <v/>
      </c>
      <c r="P897" s="3" t="str">
        <f t="shared" si="272"/>
        <v/>
      </c>
      <c r="Q897" s="3" t="str">
        <f t="shared" si="260"/>
        <v/>
      </c>
      <c r="R897" s="3" t="str">
        <f t="shared" si="273"/>
        <v/>
      </c>
      <c r="S897" s="3" t="str">
        <f t="shared" si="274"/>
        <v/>
      </c>
      <c r="T897" s="4" t="str">
        <f t="shared" si="275"/>
        <v/>
      </c>
      <c r="U897" s="5" t="str">
        <f t="shared" si="276"/>
        <v/>
      </c>
      <c r="V897" s="7" t="str">
        <f>IF(W897="","",IF(LOOKUP(W897,'Extration 3E date commande'!$A$6:$A$10000)=W897,LOOKUP(W897,'Extration 3E date commande'!$A$6:$A$10000,'Extration 3E date commande'!$C$6:$C$10000),"PAS DE DATE"))</f>
        <v/>
      </c>
    </row>
    <row r="898" spans="1:22" x14ac:dyDescent="0.25">
      <c r="A898" s="3" t="str">
        <f t="shared" si="261"/>
        <v/>
      </c>
      <c r="B898" s="3" t="str">
        <f t="shared" si="262"/>
        <v/>
      </c>
      <c r="C898" s="3" t="str">
        <f t="shared" si="263"/>
        <v/>
      </c>
      <c r="D898" s="3" t="str">
        <f t="shared" si="264"/>
        <v/>
      </c>
      <c r="E898" s="3" t="str">
        <f t="shared" si="265"/>
        <v/>
      </c>
      <c r="F898" s="3" t="str">
        <f t="shared" si="266"/>
        <v/>
      </c>
      <c r="G898" s="3" t="str">
        <f t="shared" si="267"/>
        <v/>
      </c>
      <c r="H898" s="3" t="str">
        <f t="shared" si="268"/>
        <v/>
      </c>
      <c r="I898" s="3" t="str">
        <f t="shared" si="269"/>
        <v/>
      </c>
      <c r="J898" s="2" t="str">
        <f t="shared" si="270"/>
        <v/>
      </c>
      <c r="K898" s="2" t="str">
        <f>IF(W898="","",LOOKUP('Extraction edi'!J898,Paramètrage!$A$6:$A$179,Paramètrage!$B$6:$B$179))</f>
        <v/>
      </c>
      <c r="L898" s="2" t="str">
        <f>IF(W898="","",LOOKUP('Extraction edi'!J898,Paramètrage!$A$6:$A$179,Paramètrage!$C$6:$C$179))</f>
        <v/>
      </c>
      <c r="M898" s="2" t="str">
        <f>IF(W898="","",LOOKUP('Extraction edi'!J898,Paramètrage!$A$6:$A$179,Paramètrage!$D$6:$D$179))</f>
        <v/>
      </c>
      <c r="N898" s="3" t="str">
        <f>IF(W898="","",LOOKUP('Extraction edi'!J898,Paramètrage!$A$6:$A$179,Paramètrage!$E$6:$E$179))</f>
        <v/>
      </c>
      <c r="O898" s="3" t="str">
        <f t="shared" si="271"/>
        <v/>
      </c>
      <c r="P898" s="3" t="str">
        <f t="shared" si="272"/>
        <v/>
      </c>
      <c r="Q898" s="3" t="str">
        <f t="shared" si="260"/>
        <v/>
      </c>
      <c r="R898" s="3" t="str">
        <f t="shared" si="273"/>
        <v/>
      </c>
      <c r="S898" s="3" t="str">
        <f t="shared" si="274"/>
        <v/>
      </c>
      <c r="T898" s="4" t="str">
        <f t="shared" si="275"/>
        <v/>
      </c>
      <c r="U898" s="5" t="str">
        <f t="shared" si="276"/>
        <v/>
      </c>
      <c r="V898" s="7" t="str">
        <f>IF(W898="","",IF(LOOKUP(W898,'Extration 3E date commande'!$A$6:$A$10000)=W898,LOOKUP(W898,'Extration 3E date commande'!$A$6:$A$10000,'Extration 3E date commande'!$C$6:$C$10000),"PAS DE DATE"))</f>
        <v/>
      </c>
    </row>
    <row r="899" spans="1:22" x14ac:dyDescent="0.25">
      <c r="A899" s="3" t="str">
        <f t="shared" si="261"/>
        <v/>
      </c>
      <c r="B899" s="3" t="str">
        <f t="shared" si="262"/>
        <v/>
      </c>
      <c r="C899" s="3" t="str">
        <f t="shared" si="263"/>
        <v/>
      </c>
      <c r="D899" s="3" t="str">
        <f t="shared" si="264"/>
        <v/>
      </c>
      <c r="E899" s="3" t="str">
        <f t="shared" si="265"/>
        <v/>
      </c>
      <c r="F899" s="3" t="str">
        <f t="shared" si="266"/>
        <v/>
      </c>
      <c r="G899" s="3" t="str">
        <f t="shared" si="267"/>
        <v/>
      </c>
      <c r="H899" s="3" t="str">
        <f t="shared" si="268"/>
        <v/>
      </c>
      <c r="I899" s="3" t="str">
        <f t="shared" si="269"/>
        <v/>
      </c>
      <c r="J899" s="2" t="str">
        <f t="shared" si="270"/>
        <v/>
      </c>
      <c r="K899" s="2" t="str">
        <f>IF(W899="","",LOOKUP('Extraction edi'!J899,Paramètrage!$A$6:$A$179,Paramètrage!$B$6:$B$179))</f>
        <v/>
      </c>
      <c r="L899" s="2" t="str">
        <f>IF(W899="","",LOOKUP('Extraction edi'!J899,Paramètrage!$A$6:$A$179,Paramètrage!$C$6:$C$179))</f>
        <v/>
      </c>
      <c r="M899" s="2" t="str">
        <f>IF(W899="","",LOOKUP('Extraction edi'!J899,Paramètrage!$A$6:$A$179,Paramètrage!$D$6:$D$179))</f>
        <v/>
      </c>
      <c r="N899" s="3" t="str">
        <f>IF(W899="","",LOOKUP('Extraction edi'!J899,Paramètrage!$A$6:$A$179,Paramètrage!$E$6:$E$179))</f>
        <v/>
      </c>
      <c r="O899" s="3" t="str">
        <f t="shared" si="271"/>
        <v/>
      </c>
      <c r="P899" s="3" t="str">
        <f t="shared" si="272"/>
        <v/>
      </c>
      <c r="Q899" s="3" t="str">
        <f t="shared" si="260"/>
        <v/>
      </c>
      <c r="R899" s="3" t="str">
        <f t="shared" si="273"/>
        <v/>
      </c>
      <c r="S899" s="3" t="str">
        <f t="shared" si="274"/>
        <v/>
      </c>
      <c r="T899" s="4" t="str">
        <f t="shared" si="275"/>
        <v/>
      </c>
      <c r="U899" s="5" t="str">
        <f t="shared" si="276"/>
        <v/>
      </c>
      <c r="V899" s="7" t="str">
        <f>IF(W899="","",IF(LOOKUP(W899,'Extration 3E date commande'!$A$6:$A$10000)=W899,LOOKUP(W899,'Extration 3E date commande'!$A$6:$A$10000,'Extration 3E date commande'!$C$6:$C$10000),"PAS DE DATE"))</f>
        <v/>
      </c>
    </row>
    <row r="900" spans="1:22" x14ac:dyDescent="0.25">
      <c r="A900" s="3" t="str">
        <f t="shared" si="261"/>
        <v/>
      </c>
      <c r="B900" s="3" t="str">
        <f t="shared" si="262"/>
        <v/>
      </c>
      <c r="C900" s="3" t="str">
        <f t="shared" si="263"/>
        <v/>
      </c>
      <c r="D900" s="3" t="str">
        <f t="shared" si="264"/>
        <v/>
      </c>
      <c r="E900" s="3" t="str">
        <f t="shared" si="265"/>
        <v/>
      </c>
      <c r="F900" s="3" t="str">
        <f t="shared" si="266"/>
        <v/>
      </c>
      <c r="G900" s="3" t="str">
        <f t="shared" si="267"/>
        <v/>
      </c>
      <c r="H900" s="3" t="str">
        <f t="shared" si="268"/>
        <v/>
      </c>
      <c r="I900" s="3" t="str">
        <f t="shared" si="269"/>
        <v/>
      </c>
      <c r="J900" s="2" t="str">
        <f t="shared" si="270"/>
        <v/>
      </c>
      <c r="K900" s="2" t="str">
        <f>IF(W900="","",LOOKUP('Extraction edi'!J900,Paramètrage!$A$6:$A$179,Paramètrage!$B$6:$B$179))</f>
        <v/>
      </c>
      <c r="L900" s="2" t="str">
        <f>IF(W900="","",LOOKUP('Extraction edi'!J900,Paramètrage!$A$6:$A$179,Paramètrage!$C$6:$C$179))</f>
        <v/>
      </c>
      <c r="M900" s="2" t="str">
        <f>IF(W900="","",LOOKUP('Extraction edi'!J900,Paramètrage!$A$6:$A$179,Paramètrage!$D$6:$D$179))</f>
        <v/>
      </c>
      <c r="N900" s="3" t="str">
        <f>IF(W900="","",LOOKUP('Extraction edi'!J900,Paramètrage!$A$6:$A$179,Paramètrage!$E$6:$E$179))</f>
        <v/>
      </c>
      <c r="O900" s="3" t="str">
        <f t="shared" si="271"/>
        <v/>
      </c>
      <c r="P900" s="3" t="str">
        <f t="shared" si="272"/>
        <v/>
      </c>
      <c r="Q900" s="3" t="str">
        <f t="shared" si="260"/>
        <v/>
      </c>
      <c r="R900" s="3" t="str">
        <f t="shared" si="273"/>
        <v/>
      </c>
      <c r="S900" s="3" t="str">
        <f t="shared" si="274"/>
        <v/>
      </c>
      <c r="T900" s="4" t="str">
        <f t="shared" si="275"/>
        <v/>
      </c>
      <c r="U900" s="5" t="str">
        <f t="shared" si="276"/>
        <v/>
      </c>
      <c r="V900" s="7" t="str">
        <f>IF(W900="","",IF(LOOKUP(W900,'Extration 3E date commande'!$A$6:$A$10000)=W900,LOOKUP(W900,'Extration 3E date commande'!$A$6:$A$10000,'Extration 3E date commande'!$C$6:$C$10000),"PAS DE DATE"))</f>
        <v/>
      </c>
    </row>
    <row r="901" spans="1:22" x14ac:dyDescent="0.25">
      <c r="A901" s="3" t="str">
        <f t="shared" si="261"/>
        <v/>
      </c>
      <c r="B901" s="3" t="str">
        <f t="shared" si="262"/>
        <v/>
      </c>
      <c r="C901" s="3" t="str">
        <f t="shared" si="263"/>
        <v/>
      </c>
      <c r="D901" s="3" t="str">
        <f t="shared" si="264"/>
        <v/>
      </c>
      <c r="E901" s="3" t="str">
        <f t="shared" si="265"/>
        <v/>
      </c>
      <c r="F901" s="3" t="str">
        <f t="shared" si="266"/>
        <v/>
      </c>
      <c r="G901" s="3" t="str">
        <f t="shared" si="267"/>
        <v/>
      </c>
      <c r="H901" s="3" t="str">
        <f t="shared" si="268"/>
        <v/>
      </c>
      <c r="I901" s="3" t="str">
        <f t="shared" si="269"/>
        <v/>
      </c>
      <c r="J901" s="2" t="str">
        <f t="shared" si="270"/>
        <v/>
      </c>
      <c r="K901" s="2" t="str">
        <f>IF(W901="","",LOOKUP('Extraction edi'!J901,Paramètrage!$A$6:$A$179,Paramètrage!$B$6:$B$179))</f>
        <v/>
      </c>
      <c r="L901" s="2" t="str">
        <f>IF(W901="","",LOOKUP('Extraction edi'!J901,Paramètrage!$A$6:$A$179,Paramètrage!$C$6:$C$179))</f>
        <v/>
      </c>
      <c r="M901" s="2" t="str">
        <f>IF(W901="","",LOOKUP('Extraction edi'!J901,Paramètrage!$A$6:$A$179,Paramètrage!$D$6:$D$179))</f>
        <v/>
      </c>
      <c r="N901" s="3" t="str">
        <f>IF(W901="","",LOOKUP('Extraction edi'!J901,Paramètrage!$A$6:$A$179,Paramètrage!$E$6:$E$179))</f>
        <v/>
      </c>
      <c r="O901" s="3" t="str">
        <f t="shared" si="271"/>
        <v/>
      </c>
      <c r="P901" s="3" t="str">
        <f t="shared" si="272"/>
        <v/>
      </c>
      <c r="Q901" s="3" t="str">
        <f t="shared" si="260"/>
        <v/>
      </c>
      <c r="R901" s="3" t="str">
        <f t="shared" si="273"/>
        <v/>
      </c>
      <c r="S901" s="3" t="str">
        <f t="shared" si="274"/>
        <v/>
      </c>
      <c r="T901" s="4" t="str">
        <f t="shared" si="275"/>
        <v/>
      </c>
      <c r="U901" s="5" t="str">
        <f t="shared" si="276"/>
        <v/>
      </c>
      <c r="V901" s="7" t="str">
        <f>IF(W901="","",IF(LOOKUP(W901,'Extration 3E date commande'!$A$6:$A$10000)=W901,LOOKUP(W901,'Extration 3E date commande'!$A$6:$A$10000,'Extration 3E date commande'!$C$6:$C$10000),"PAS DE DATE"))</f>
        <v/>
      </c>
    </row>
    <row r="902" spans="1:22" x14ac:dyDescent="0.25">
      <c r="A902" s="3" t="str">
        <f t="shared" si="261"/>
        <v/>
      </c>
      <c r="B902" s="3" t="str">
        <f t="shared" si="262"/>
        <v/>
      </c>
      <c r="C902" s="3" t="str">
        <f t="shared" si="263"/>
        <v/>
      </c>
      <c r="D902" s="3" t="str">
        <f t="shared" si="264"/>
        <v/>
      </c>
      <c r="E902" s="3" t="str">
        <f t="shared" si="265"/>
        <v/>
      </c>
      <c r="F902" s="3" t="str">
        <f t="shared" si="266"/>
        <v/>
      </c>
      <c r="G902" s="3" t="str">
        <f t="shared" si="267"/>
        <v/>
      </c>
      <c r="H902" s="3" t="str">
        <f t="shared" si="268"/>
        <v/>
      </c>
      <c r="I902" s="3" t="str">
        <f t="shared" si="269"/>
        <v/>
      </c>
      <c r="J902" s="2" t="str">
        <f t="shared" si="270"/>
        <v/>
      </c>
      <c r="K902" s="2" t="str">
        <f>IF(W902="","",LOOKUP('Extraction edi'!J902,Paramètrage!$A$6:$A$179,Paramètrage!$B$6:$B$179))</f>
        <v/>
      </c>
      <c r="L902" s="2" t="str">
        <f>IF(W902="","",LOOKUP('Extraction edi'!J902,Paramètrage!$A$6:$A$179,Paramètrage!$C$6:$C$179))</f>
        <v/>
      </c>
      <c r="M902" s="2" t="str">
        <f>IF(W902="","",LOOKUP('Extraction edi'!J902,Paramètrage!$A$6:$A$179,Paramètrage!$D$6:$D$179))</f>
        <v/>
      </c>
      <c r="N902" s="3" t="str">
        <f>IF(W902="","",LOOKUP('Extraction edi'!J902,Paramètrage!$A$6:$A$179,Paramètrage!$E$6:$E$179))</f>
        <v/>
      </c>
      <c r="O902" s="3" t="str">
        <f t="shared" si="271"/>
        <v/>
      </c>
      <c r="P902" s="3" t="str">
        <f t="shared" si="272"/>
        <v/>
      </c>
      <c r="Q902" s="3" t="str">
        <f t="shared" si="260"/>
        <v/>
      </c>
      <c r="R902" s="3" t="str">
        <f t="shared" si="273"/>
        <v/>
      </c>
      <c r="S902" s="3" t="str">
        <f t="shared" si="274"/>
        <v/>
      </c>
      <c r="T902" s="4" t="str">
        <f t="shared" si="275"/>
        <v/>
      </c>
      <c r="U902" s="5" t="str">
        <f t="shared" si="276"/>
        <v/>
      </c>
      <c r="V902" s="7" t="str">
        <f>IF(W902="","",IF(LOOKUP(W902,'Extration 3E date commande'!$A$6:$A$10000)=W902,LOOKUP(W902,'Extration 3E date commande'!$A$6:$A$10000,'Extration 3E date commande'!$C$6:$C$10000),"PAS DE DATE"))</f>
        <v/>
      </c>
    </row>
    <row r="903" spans="1:22" x14ac:dyDescent="0.25">
      <c r="A903" s="3" t="str">
        <f t="shared" si="261"/>
        <v/>
      </c>
      <c r="B903" s="3" t="str">
        <f t="shared" si="262"/>
        <v/>
      </c>
      <c r="C903" s="3" t="str">
        <f t="shared" si="263"/>
        <v/>
      </c>
      <c r="D903" s="3" t="str">
        <f t="shared" si="264"/>
        <v/>
      </c>
      <c r="E903" s="3" t="str">
        <f t="shared" si="265"/>
        <v/>
      </c>
      <c r="F903" s="3" t="str">
        <f t="shared" si="266"/>
        <v/>
      </c>
      <c r="G903" s="3" t="str">
        <f t="shared" si="267"/>
        <v/>
      </c>
      <c r="H903" s="3" t="str">
        <f t="shared" si="268"/>
        <v/>
      </c>
      <c r="I903" s="3" t="str">
        <f t="shared" si="269"/>
        <v/>
      </c>
      <c r="J903" s="2" t="str">
        <f t="shared" si="270"/>
        <v/>
      </c>
      <c r="K903" s="2" t="str">
        <f>IF(W903="","",LOOKUP('Extraction edi'!J903,Paramètrage!$A$6:$A$179,Paramètrage!$B$6:$B$179))</f>
        <v/>
      </c>
      <c r="L903" s="2" t="str">
        <f>IF(W903="","",LOOKUP('Extraction edi'!J903,Paramètrage!$A$6:$A$179,Paramètrage!$C$6:$C$179))</f>
        <v/>
      </c>
      <c r="M903" s="2" t="str">
        <f>IF(W903="","",LOOKUP('Extraction edi'!J903,Paramètrage!$A$6:$A$179,Paramètrage!$D$6:$D$179))</f>
        <v/>
      </c>
      <c r="N903" s="3" t="str">
        <f>IF(W903="","",LOOKUP('Extraction edi'!J903,Paramètrage!$A$6:$A$179,Paramètrage!$E$6:$E$179))</f>
        <v/>
      </c>
      <c r="O903" s="3" t="str">
        <f t="shared" si="271"/>
        <v/>
      </c>
      <c r="P903" s="3" t="str">
        <f t="shared" si="272"/>
        <v/>
      </c>
      <c r="Q903" s="3" t="str">
        <f t="shared" si="260"/>
        <v/>
      </c>
      <c r="R903" s="3" t="str">
        <f t="shared" si="273"/>
        <v/>
      </c>
      <c r="S903" s="3" t="str">
        <f t="shared" si="274"/>
        <v/>
      </c>
      <c r="T903" s="4" t="str">
        <f t="shared" si="275"/>
        <v/>
      </c>
      <c r="U903" s="5" t="str">
        <f t="shared" si="276"/>
        <v/>
      </c>
      <c r="V903" s="7" t="str">
        <f>IF(W903="","",IF(LOOKUP(W903,'Extration 3E date commande'!$A$6:$A$10000)=W903,LOOKUP(W903,'Extration 3E date commande'!$A$6:$A$10000,'Extration 3E date commande'!$C$6:$C$10000),"PAS DE DATE"))</f>
        <v/>
      </c>
    </row>
    <row r="904" spans="1:22" x14ac:dyDescent="0.25">
      <c r="A904" s="3" t="str">
        <f t="shared" si="261"/>
        <v/>
      </c>
      <c r="B904" s="3" t="str">
        <f t="shared" si="262"/>
        <v/>
      </c>
      <c r="C904" s="3" t="str">
        <f t="shared" si="263"/>
        <v/>
      </c>
      <c r="D904" s="3" t="str">
        <f t="shared" si="264"/>
        <v/>
      </c>
      <c r="E904" s="3" t="str">
        <f t="shared" si="265"/>
        <v/>
      </c>
      <c r="F904" s="3" t="str">
        <f t="shared" si="266"/>
        <v/>
      </c>
      <c r="G904" s="3" t="str">
        <f t="shared" si="267"/>
        <v/>
      </c>
      <c r="H904" s="3" t="str">
        <f t="shared" si="268"/>
        <v/>
      </c>
      <c r="I904" s="3" t="str">
        <f t="shared" si="269"/>
        <v/>
      </c>
      <c r="J904" s="2" t="str">
        <f t="shared" si="270"/>
        <v/>
      </c>
      <c r="K904" s="2" t="str">
        <f>IF(W904="","",LOOKUP('Extraction edi'!J904,Paramètrage!$A$6:$A$179,Paramètrage!$B$6:$B$179))</f>
        <v/>
      </c>
      <c r="L904" s="2" t="str">
        <f>IF(W904="","",LOOKUP('Extraction edi'!J904,Paramètrage!$A$6:$A$179,Paramètrage!$C$6:$C$179))</f>
        <v/>
      </c>
      <c r="M904" s="2" t="str">
        <f>IF(W904="","",LOOKUP('Extraction edi'!J904,Paramètrage!$A$6:$A$179,Paramètrage!$D$6:$D$179))</f>
        <v/>
      </c>
      <c r="N904" s="3" t="str">
        <f>IF(W904="","",LOOKUP('Extraction edi'!J904,Paramètrage!$A$6:$A$179,Paramètrage!$E$6:$E$179))</f>
        <v/>
      </c>
      <c r="O904" s="3" t="str">
        <f t="shared" si="271"/>
        <v/>
      </c>
      <c r="P904" s="3" t="str">
        <f t="shared" si="272"/>
        <v/>
      </c>
      <c r="Q904" s="3" t="str">
        <f t="shared" si="260"/>
        <v/>
      </c>
      <c r="R904" s="3" t="str">
        <f t="shared" si="273"/>
        <v/>
      </c>
      <c r="S904" s="3" t="str">
        <f t="shared" si="274"/>
        <v/>
      </c>
      <c r="T904" s="4" t="str">
        <f t="shared" si="275"/>
        <v/>
      </c>
      <c r="U904" s="5" t="str">
        <f t="shared" si="276"/>
        <v/>
      </c>
      <c r="V904" s="7" t="str">
        <f>IF(W904="","",IF(LOOKUP(W904,'Extration 3E date commande'!$A$6:$A$10000)=W904,LOOKUP(W904,'Extration 3E date commande'!$A$6:$A$10000,'Extration 3E date commande'!$C$6:$C$10000),"PAS DE DATE"))</f>
        <v/>
      </c>
    </row>
    <row r="905" spans="1:22" x14ac:dyDescent="0.25">
      <c r="A905" s="3" t="str">
        <f t="shared" si="261"/>
        <v/>
      </c>
      <c r="B905" s="3" t="str">
        <f t="shared" si="262"/>
        <v/>
      </c>
      <c r="C905" s="3" t="str">
        <f t="shared" si="263"/>
        <v/>
      </c>
      <c r="D905" s="3" t="str">
        <f t="shared" si="264"/>
        <v/>
      </c>
      <c r="E905" s="3" t="str">
        <f t="shared" si="265"/>
        <v/>
      </c>
      <c r="F905" s="3" t="str">
        <f t="shared" si="266"/>
        <v/>
      </c>
      <c r="G905" s="3" t="str">
        <f t="shared" si="267"/>
        <v/>
      </c>
      <c r="H905" s="3" t="str">
        <f t="shared" si="268"/>
        <v/>
      </c>
      <c r="I905" s="3" t="str">
        <f t="shared" si="269"/>
        <v/>
      </c>
      <c r="J905" s="2" t="str">
        <f t="shared" si="270"/>
        <v/>
      </c>
      <c r="K905" s="2" t="str">
        <f>IF(W905="","",LOOKUP('Extraction edi'!J905,Paramètrage!$A$6:$A$179,Paramètrage!$B$6:$B$179))</f>
        <v/>
      </c>
      <c r="L905" s="2" t="str">
        <f>IF(W905="","",LOOKUP('Extraction edi'!J905,Paramètrage!$A$6:$A$179,Paramètrage!$C$6:$C$179))</f>
        <v/>
      </c>
      <c r="M905" s="2" t="str">
        <f>IF(W905="","",LOOKUP('Extraction edi'!J905,Paramètrage!$A$6:$A$179,Paramètrage!$D$6:$D$179))</f>
        <v/>
      </c>
      <c r="N905" s="3" t="str">
        <f>IF(W905="","",LOOKUP('Extraction edi'!J905,Paramètrage!$A$6:$A$179,Paramètrage!$E$6:$E$179))</f>
        <v/>
      </c>
      <c r="O905" s="3" t="str">
        <f t="shared" si="271"/>
        <v/>
      </c>
      <c r="P905" s="3" t="str">
        <f t="shared" si="272"/>
        <v/>
      </c>
      <c r="Q905" s="3" t="str">
        <f t="shared" si="260"/>
        <v/>
      </c>
      <c r="R905" s="3" t="str">
        <f t="shared" si="273"/>
        <v/>
      </c>
      <c r="S905" s="3" t="str">
        <f t="shared" si="274"/>
        <v/>
      </c>
      <c r="T905" s="4" t="str">
        <f t="shared" si="275"/>
        <v/>
      </c>
      <c r="U905" s="5" t="str">
        <f t="shared" si="276"/>
        <v/>
      </c>
      <c r="V905" s="7" t="str">
        <f>IF(W905="","",IF(LOOKUP(W905,'Extration 3E date commande'!$A$6:$A$10000)=W905,LOOKUP(W905,'Extration 3E date commande'!$A$6:$A$10000,'Extration 3E date commande'!$C$6:$C$10000),"PAS DE DATE"))</f>
        <v/>
      </c>
    </row>
    <row r="906" spans="1:22" x14ac:dyDescent="0.25">
      <c r="A906" s="3" t="str">
        <f t="shared" si="261"/>
        <v/>
      </c>
      <c r="B906" s="3" t="str">
        <f t="shared" si="262"/>
        <v/>
      </c>
      <c r="C906" s="3" t="str">
        <f t="shared" si="263"/>
        <v/>
      </c>
      <c r="D906" s="3" t="str">
        <f t="shared" si="264"/>
        <v/>
      </c>
      <c r="E906" s="3" t="str">
        <f t="shared" si="265"/>
        <v/>
      </c>
      <c r="F906" s="3" t="str">
        <f t="shared" si="266"/>
        <v/>
      </c>
      <c r="G906" s="3" t="str">
        <f t="shared" si="267"/>
        <v/>
      </c>
      <c r="H906" s="3" t="str">
        <f t="shared" si="268"/>
        <v/>
      </c>
      <c r="I906" s="3" t="str">
        <f t="shared" si="269"/>
        <v/>
      </c>
      <c r="J906" s="2" t="str">
        <f t="shared" si="270"/>
        <v/>
      </c>
      <c r="K906" s="2" t="str">
        <f>IF(W906="","",LOOKUP('Extraction edi'!J906,Paramètrage!$A$6:$A$179,Paramètrage!$B$6:$B$179))</f>
        <v/>
      </c>
      <c r="L906" s="2" t="str">
        <f>IF(W906="","",LOOKUP('Extraction edi'!J906,Paramètrage!$A$6:$A$179,Paramètrage!$C$6:$C$179))</f>
        <v/>
      </c>
      <c r="M906" s="2" t="str">
        <f>IF(W906="","",LOOKUP('Extraction edi'!J906,Paramètrage!$A$6:$A$179,Paramètrage!$D$6:$D$179))</f>
        <v/>
      </c>
      <c r="N906" s="3" t="str">
        <f>IF(W906="","",LOOKUP('Extraction edi'!J906,Paramètrage!$A$6:$A$179,Paramètrage!$E$6:$E$179))</f>
        <v/>
      </c>
      <c r="O906" s="3" t="str">
        <f t="shared" si="271"/>
        <v/>
      </c>
      <c r="P906" s="3" t="str">
        <f t="shared" si="272"/>
        <v/>
      </c>
      <c r="Q906" s="3" t="str">
        <f t="shared" si="260"/>
        <v/>
      </c>
      <c r="R906" s="3" t="str">
        <f t="shared" si="273"/>
        <v/>
      </c>
      <c r="S906" s="3" t="str">
        <f t="shared" si="274"/>
        <v/>
      </c>
      <c r="T906" s="4" t="str">
        <f t="shared" si="275"/>
        <v/>
      </c>
      <c r="U906" s="5" t="str">
        <f t="shared" si="276"/>
        <v/>
      </c>
      <c r="V906" s="7" t="str">
        <f>IF(W906="","",IF(LOOKUP(W906,'Extration 3E date commande'!$A$6:$A$10000)=W906,LOOKUP(W906,'Extration 3E date commande'!$A$6:$A$10000,'Extration 3E date commande'!$C$6:$C$10000),"PAS DE DATE"))</f>
        <v/>
      </c>
    </row>
    <row r="907" spans="1:22" x14ac:dyDescent="0.25">
      <c r="A907" s="3" t="str">
        <f t="shared" si="261"/>
        <v/>
      </c>
      <c r="B907" s="3" t="str">
        <f t="shared" si="262"/>
        <v/>
      </c>
      <c r="C907" s="3" t="str">
        <f t="shared" si="263"/>
        <v/>
      </c>
      <c r="D907" s="3" t="str">
        <f t="shared" si="264"/>
        <v/>
      </c>
      <c r="E907" s="3" t="str">
        <f t="shared" si="265"/>
        <v/>
      </c>
      <c r="F907" s="3" t="str">
        <f t="shared" si="266"/>
        <v/>
      </c>
      <c r="G907" s="3" t="str">
        <f t="shared" si="267"/>
        <v/>
      </c>
      <c r="H907" s="3" t="str">
        <f t="shared" si="268"/>
        <v/>
      </c>
      <c r="I907" s="3" t="str">
        <f t="shared" si="269"/>
        <v/>
      </c>
      <c r="J907" s="2" t="str">
        <f t="shared" si="270"/>
        <v/>
      </c>
      <c r="K907" s="2" t="str">
        <f>IF(W907="","",LOOKUP('Extraction edi'!J907,Paramètrage!$A$6:$A$179,Paramètrage!$B$6:$B$179))</f>
        <v/>
      </c>
      <c r="L907" s="2" t="str">
        <f>IF(W907="","",LOOKUP('Extraction edi'!J907,Paramètrage!$A$6:$A$179,Paramètrage!$C$6:$C$179))</f>
        <v/>
      </c>
      <c r="M907" s="2" t="str">
        <f>IF(W907="","",LOOKUP('Extraction edi'!J907,Paramètrage!$A$6:$A$179,Paramètrage!$D$6:$D$179))</f>
        <v/>
      </c>
      <c r="N907" s="3" t="str">
        <f>IF(W907="","",LOOKUP('Extraction edi'!J907,Paramètrage!$A$6:$A$179,Paramètrage!$E$6:$E$179))</f>
        <v/>
      </c>
      <c r="O907" s="3" t="str">
        <f t="shared" si="271"/>
        <v/>
      </c>
      <c r="P907" s="3" t="str">
        <f t="shared" si="272"/>
        <v/>
      </c>
      <c r="Q907" s="3" t="str">
        <f t="shared" si="260"/>
        <v/>
      </c>
      <c r="R907" s="3" t="str">
        <f t="shared" si="273"/>
        <v/>
      </c>
      <c r="S907" s="3" t="str">
        <f t="shared" si="274"/>
        <v/>
      </c>
      <c r="T907" s="4" t="str">
        <f t="shared" si="275"/>
        <v/>
      </c>
      <c r="U907" s="5" t="str">
        <f t="shared" si="276"/>
        <v/>
      </c>
      <c r="V907" s="7" t="str">
        <f>IF(W907="","",IF(LOOKUP(W907,'Extration 3E date commande'!$A$6:$A$10000)=W907,LOOKUP(W907,'Extration 3E date commande'!$A$6:$A$10000,'Extration 3E date commande'!$C$6:$C$10000),"PAS DE DATE"))</f>
        <v/>
      </c>
    </row>
    <row r="908" spans="1:22" x14ac:dyDescent="0.25">
      <c r="A908" s="3" t="str">
        <f t="shared" si="261"/>
        <v/>
      </c>
      <c r="B908" s="3" t="str">
        <f t="shared" si="262"/>
        <v/>
      </c>
      <c r="C908" s="3" t="str">
        <f t="shared" si="263"/>
        <v/>
      </c>
      <c r="D908" s="3" t="str">
        <f t="shared" si="264"/>
        <v/>
      </c>
      <c r="E908" s="3" t="str">
        <f t="shared" si="265"/>
        <v/>
      </c>
      <c r="F908" s="3" t="str">
        <f t="shared" si="266"/>
        <v/>
      </c>
      <c r="G908" s="3" t="str">
        <f t="shared" si="267"/>
        <v/>
      </c>
      <c r="H908" s="3" t="str">
        <f t="shared" si="268"/>
        <v/>
      </c>
      <c r="I908" s="3" t="str">
        <f t="shared" si="269"/>
        <v/>
      </c>
      <c r="J908" s="2" t="str">
        <f t="shared" si="270"/>
        <v/>
      </c>
      <c r="K908" s="2" t="str">
        <f>IF(W908="","",LOOKUP('Extraction edi'!J908,Paramètrage!$A$6:$A$179,Paramètrage!$B$6:$B$179))</f>
        <v/>
      </c>
      <c r="L908" s="2" t="str">
        <f>IF(W908="","",LOOKUP('Extraction edi'!J908,Paramètrage!$A$6:$A$179,Paramètrage!$C$6:$C$179))</f>
        <v/>
      </c>
      <c r="M908" s="2" t="str">
        <f>IF(W908="","",LOOKUP('Extraction edi'!J908,Paramètrage!$A$6:$A$179,Paramètrage!$D$6:$D$179))</f>
        <v/>
      </c>
      <c r="N908" s="3" t="str">
        <f>IF(W908="","",LOOKUP('Extraction edi'!J908,Paramètrage!$A$6:$A$179,Paramètrage!$E$6:$E$179))</f>
        <v/>
      </c>
      <c r="O908" s="3" t="str">
        <f t="shared" si="271"/>
        <v/>
      </c>
      <c r="P908" s="3" t="str">
        <f t="shared" si="272"/>
        <v/>
      </c>
      <c r="Q908" s="3" t="str">
        <f t="shared" si="260"/>
        <v/>
      </c>
      <c r="R908" s="3" t="str">
        <f t="shared" si="273"/>
        <v/>
      </c>
      <c r="S908" s="3" t="str">
        <f t="shared" si="274"/>
        <v/>
      </c>
      <c r="T908" s="4" t="str">
        <f t="shared" si="275"/>
        <v/>
      </c>
      <c r="U908" s="5" t="str">
        <f t="shared" si="276"/>
        <v/>
      </c>
      <c r="V908" s="7" t="str">
        <f>IF(W908="","",IF(LOOKUP(W908,'Extration 3E date commande'!$A$6:$A$10000)=W908,LOOKUP(W908,'Extration 3E date commande'!$A$6:$A$10000,'Extration 3E date commande'!$C$6:$C$10000),"PAS DE DATE"))</f>
        <v/>
      </c>
    </row>
    <row r="909" spans="1:22" x14ac:dyDescent="0.25">
      <c r="A909" s="3" t="str">
        <f t="shared" si="261"/>
        <v/>
      </c>
      <c r="B909" s="3" t="str">
        <f t="shared" si="262"/>
        <v/>
      </c>
      <c r="C909" s="3" t="str">
        <f t="shared" si="263"/>
        <v/>
      </c>
      <c r="D909" s="3" t="str">
        <f t="shared" si="264"/>
        <v/>
      </c>
      <c r="E909" s="3" t="str">
        <f t="shared" si="265"/>
        <v/>
      </c>
      <c r="F909" s="3" t="str">
        <f t="shared" si="266"/>
        <v/>
      </c>
      <c r="G909" s="3" t="str">
        <f t="shared" si="267"/>
        <v/>
      </c>
      <c r="H909" s="3" t="str">
        <f t="shared" si="268"/>
        <v/>
      </c>
      <c r="I909" s="3" t="str">
        <f t="shared" si="269"/>
        <v/>
      </c>
      <c r="J909" s="2" t="str">
        <f t="shared" si="270"/>
        <v/>
      </c>
      <c r="K909" s="2" t="str">
        <f>IF(W909="","",LOOKUP('Extraction edi'!J909,Paramètrage!$A$6:$A$179,Paramètrage!$B$6:$B$179))</f>
        <v/>
      </c>
      <c r="L909" s="2" t="str">
        <f>IF(W909="","",LOOKUP('Extraction edi'!J909,Paramètrage!$A$6:$A$179,Paramètrage!$C$6:$C$179))</f>
        <v/>
      </c>
      <c r="M909" s="2" t="str">
        <f>IF(W909="","",LOOKUP('Extraction edi'!J909,Paramètrage!$A$6:$A$179,Paramètrage!$D$6:$D$179))</f>
        <v/>
      </c>
      <c r="N909" s="3" t="str">
        <f>IF(W909="","",LOOKUP('Extraction edi'!J909,Paramètrage!$A$6:$A$179,Paramètrage!$E$6:$E$179))</f>
        <v/>
      </c>
      <c r="O909" s="3" t="str">
        <f t="shared" si="271"/>
        <v/>
      </c>
      <c r="P909" s="3" t="str">
        <f t="shared" si="272"/>
        <v/>
      </c>
      <c r="Q909" s="3" t="str">
        <f t="shared" si="260"/>
        <v/>
      </c>
      <c r="R909" s="3" t="str">
        <f t="shared" si="273"/>
        <v/>
      </c>
      <c r="S909" s="3" t="str">
        <f t="shared" si="274"/>
        <v/>
      </c>
      <c r="T909" s="4" t="str">
        <f t="shared" si="275"/>
        <v/>
      </c>
      <c r="U909" s="5" t="str">
        <f t="shared" si="276"/>
        <v/>
      </c>
      <c r="V909" s="7" t="str">
        <f>IF(W909="","",IF(LOOKUP(W909,'Extration 3E date commande'!$A$6:$A$10000)=W909,LOOKUP(W909,'Extration 3E date commande'!$A$6:$A$10000,'Extration 3E date commande'!$C$6:$C$10000),"PAS DE DATE"))</f>
        <v/>
      </c>
    </row>
    <row r="910" spans="1:22" x14ac:dyDescent="0.25">
      <c r="A910" s="3" t="str">
        <f t="shared" si="261"/>
        <v/>
      </c>
      <c r="B910" s="3" t="str">
        <f t="shared" si="262"/>
        <v/>
      </c>
      <c r="C910" s="3" t="str">
        <f t="shared" si="263"/>
        <v/>
      </c>
      <c r="D910" s="3" t="str">
        <f t="shared" si="264"/>
        <v/>
      </c>
      <c r="E910" s="3" t="str">
        <f t="shared" si="265"/>
        <v/>
      </c>
      <c r="F910" s="3" t="str">
        <f t="shared" si="266"/>
        <v/>
      </c>
      <c r="G910" s="3" t="str">
        <f t="shared" si="267"/>
        <v/>
      </c>
      <c r="H910" s="3" t="str">
        <f t="shared" si="268"/>
        <v/>
      </c>
      <c r="I910" s="3" t="str">
        <f t="shared" si="269"/>
        <v/>
      </c>
      <c r="J910" s="2" t="str">
        <f t="shared" si="270"/>
        <v/>
      </c>
      <c r="K910" s="2" t="str">
        <f>IF(W910="","",LOOKUP('Extraction edi'!J910,Paramètrage!$A$6:$A$179,Paramètrage!$B$6:$B$179))</f>
        <v/>
      </c>
      <c r="L910" s="2" t="str">
        <f>IF(W910="","",LOOKUP('Extraction edi'!J910,Paramètrage!$A$6:$A$179,Paramètrage!$C$6:$C$179))</f>
        <v/>
      </c>
      <c r="M910" s="2" t="str">
        <f>IF(W910="","",LOOKUP('Extraction edi'!J910,Paramètrage!$A$6:$A$179,Paramètrage!$D$6:$D$179))</f>
        <v/>
      </c>
      <c r="N910" s="3" t="str">
        <f>IF(W910="","",LOOKUP('Extraction edi'!J910,Paramètrage!$A$6:$A$179,Paramètrage!$E$6:$E$179))</f>
        <v/>
      </c>
      <c r="O910" s="3" t="str">
        <f t="shared" si="271"/>
        <v/>
      </c>
      <c r="P910" s="3" t="str">
        <f t="shared" si="272"/>
        <v/>
      </c>
      <c r="Q910" s="3" t="str">
        <f t="shared" si="260"/>
        <v/>
      </c>
      <c r="R910" s="3" t="str">
        <f t="shared" si="273"/>
        <v/>
      </c>
      <c r="S910" s="3" t="str">
        <f t="shared" si="274"/>
        <v/>
      </c>
      <c r="T910" s="4" t="str">
        <f t="shared" si="275"/>
        <v/>
      </c>
      <c r="U910" s="5" t="str">
        <f t="shared" si="276"/>
        <v/>
      </c>
      <c r="V910" s="7" t="str">
        <f>IF(W910="","",IF(LOOKUP(W910,'Extration 3E date commande'!$A$6:$A$10000)=W910,LOOKUP(W910,'Extration 3E date commande'!$A$6:$A$10000,'Extration 3E date commande'!$C$6:$C$10000),"PAS DE DATE"))</f>
        <v/>
      </c>
    </row>
    <row r="911" spans="1:22" x14ac:dyDescent="0.25">
      <c r="A911" s="3" t="str">
        <f t="shared" si="261"/>
        <v/>
      </c>
      <c r="B911" s="3" t="str">
        <f t="shared" si="262"/>
        <v/>
      </c>
      <c r="C911" s="3" t="str">
        <f t="shared" si="263"/>
        <v/>
      </c>
      <c r="D911" s="3" t="str">
        <f t="shared" si="264"/>
        <v/>
      </c>
      <c r="E911" s="3" t="str">
        <f t="shared" si="265"/>
        <v/>
      </c>
      <c r="F911" s="3" t="str">
        <f t="shared" si="266"/>
        <v/>
      </c>
      <c r="G911" s="3" t="str">
        <f t="shared" si="267"/>
        <v/>
      </c>
      <c r="H911" s="3" t="str">
        <f t="shared" si="268"/>
        <v/>
      </c>
      <c r="I911" s="3" t="str">
        <f t="shared" si="269"/>
        <v/>
      </c>
      <c r="J911" s="2" t="str">
        <f t="shared" si="270"/>
        <v/>
      </c>
      <c r="K911" s="2" t="str">
        <f>IF(W911="","",LOOKUP('Extraction edi'!J911,Paramètrage!$A$6:$A$179,Paramètrage!$B$6:$B$179))</f>
        <v/>
      </c>
      <c r="L911" s="2" t="str">
        <f>IF(W911="","",LOOKUP('Extraction edi'!J911,Paramètrage!$A$6:$A$179,Paramètrage!$C$6:$C$179))</f>
        <v/>
      </c>
      <c r="M911" s="2" t="str">
        <f>IF(W911="","",LOOKUP('Extraction edi'!J911,Paramètrage!$A$6:$A$179,Paramètrage!$D$6:$D$179))</f>
        <v/>
      </c>
      <c r="N911" s="3" t="str">
        <f>IF(W911="","",LOOKUP('Extraction edi'!J911,Paramètrage!$A$6:$A$179,Paramètrage!$E$6:$E$179))</f>
        <v/>
      </c>
      <c r="O911" s="3" t="str">
        <f t="shared" si="271"/>
        <v/>
      </c>
      <c r="P911" s="3" t="str">
        <f t="shared" si="272"/>
        <v/>
      </c>
      <c r="Q911" s="3" t="str">
        <f t="shared" ref="Q911:Q974" si="277">IF(ISERROR(SEARCH("laq",J911))=FALSE,"laquage RAL :",IF(ISERROR(SEARCH("lq",J911))=FALSE,"laquage RAL :",IF(ISERROR(SEARCH("ANO",J910))=FALSE,"laquage RAL :",IF(ISERROR(SEARCH("IVOI",J911)),"","laquage RAL :"))))</f>
        <v/>
      </c>
      <c r="R911" s="3" t="str">
        <f t="shared" si="273"/>
        <v/>
      </c>
      <c r="S911" s="3" t="str">
        <f t="shared" si="274"/>
        <v/>
      </c>
      <c r="T911" s="4" t="str">
        <f t="shared" si="275"/>
        <v/>
      </c>
      <c r="U911" s="5" t="str">
        <f t="shared" si="276"/>
        <v/>
      </c>
      <c r="V911" s="7" t="str">
        <f>IF(W911="","",IF(LOOKUP(W911,'Extration 3E date commande'!$A$6:$A$10000)=W911,LOOKUP(W911,'Extration 3E date commande'!$A$6:$A$10000,'Extration 3E date commande'!$C$6:$C$10000),"PAS DE DATE"))</f>
        <v/>
      </c>
    </row>
    <row r="912" spans="1:22" x14ac:dyDescent="0.25">
      <c r="A912" s="3" t="str">
        <f t="shared" si="261"/>
        <v/>
      </c>
      <c r="B912" s="3" t="str">
        <f t="shared" si="262"/>
        <v/>
      </c>
      <c r="C912" s="3" t="str">
        <f t="shared" si="263"/>
        <v/>
      </c>
      <c r="D912" s="3" t="str">
        <f t="shared" si="264"/>
        <v/>
      </c>
      <c r="E912" s="3" t="str">
        <f t="shared" si="265"/>
        <v/>
      </c>
      <c r="F912" s="3" t="str">
        <f t="shared" si="266"/>
        <v/>
      </c>
      <c r="G912" s="3" t="str">
        <f t="shared" si="267"/>
        <v/>
      </c>
      <c r="H912" s="3" t="str">
        <f t="shared" si="268"/>
        <v/>
      </c>
      <c r="I912" s="3" t="str">
        <f t="shared" si="269"/>
        <v/>
      </c>
      <c r="J912" s="2" t="str">
        <f t="shared" si="270"/>
        <v/>
      </c>
      <c r="K912" s="2" t="str">
        <f>IF(W912="","",LOOKUP('Extraction edi'!J912,Paramètrage!$A$6:$A$179,Paramètrage!$B$6:$B$179))</f>
        <v/>
      </c>
      <c r="L912" s="2" t="str">
        <f>IF(W912="","",LOOKUP('Extraction edi'!J912,Paramètrage!$A$6:$A$179,Paramètrage!$C$6:$C$179))</f>
        <v/>
      </c>
      <c r="M912" s="2" t="str">
        <f>IF(W912="","",LOOKUP('Extraction edi'!J912,Paramètrage!$A$6:$A$179,Paramètrage!$D$6:$D$179))</f>
        <v/>
      </c>
      <c r="N912" s="3" t="str">
        <f>IF(W912="","",LOOKUP('Extraction edi'!J912,Paramètrage!$A$6:$A$179,Paramètrage!$E$6:$E$179))</f>
        <v/>
      </c>
      <c r="O912" s="3" t="str">
        <f t="shared" si="271"/>
        <v/>
      </c>
      <c r="P912" s="3" t="str">
        <f t="shared" si="272"/>
        <v/>
      </c>
      <c r="Q912" s="3" t="str">
        <f t="shared" si="277"/>
        <v/>
      </c>
      <c r="R912" s="3" t="str">
        <f t="shared" si="273"/>
        <v/>
      </c>
      <c r="S912" s="3" t="str">
        <f t="shared" si="274"/>
        <v/>
      </c>
      <c r="T912" s="4" t="str">
        <f t="shared" si="275"/>
        <v/>
      </c>
      <c r="U912" s="5" t="str">
        <f t="shared" si="276"/>
        <v/>
      </c>
      <c r="V912" s="7" t="str">
        <f>IF(W912="","",IF(LOOKUP(W912,'Extration 3E date commande'!$A$6:$A$10000)=W912,LOOKUP(W912,'Extration 3E date commande'!$A$6:$A$10000,'Extration 3E date commande'!$C$6:$C$10000),"PAS DE DATE"))</f>
        <v/>
      </c>
    </row>
    <row r="913" spans="1:22" x14ac:dyDescent="0.25">
      <c r="A913" s="3" t="str">
        <f t="shared" si="261"/>
        <v/>
      </c>
      <c r="B913" s="3" t="str">
        <f t="shared" si="262"/>
        <v/>
      </c>
      <c r="C913" s="3" t="str">
        <f t="shared" si="263"/>
        <v/>
      </c>
      <c r="D913" s="3" t="str">
        <f t="shared" si="264"/>
        <v/>
      </c>
      <c r="E913" s="3" t="str">
        <f t="shared" si="265"/>
        <v/>
      </c>
      <c r="F913" s="3" t="str">
        <f t="shared" si="266"/>
        <v/>
      </c>
      <c r="G913" s="3" t="str">
        <f t="shared" si="267"/>
        <v/>
      </c>
      <c r="H913" s="3" t="str">
        <f t="shared" si="268"/>
        <v/>
      </c>
      <c r="I913" s="3" t="str">
        <f t="shared" si="269"/>
        <v/>
      </c>
      <c r="J913" s="2" t="str">
        <f t="shared" si="270"/>
        <v/>
      </c>
      <c r="K913" s="2" t="str">
        <f>IF(W913="","",LOOKUP('Extraction edi'!J913,Paramètrage!$A$6:$A$179,Paramètrage!$B$6:$B$179))</f>
        <v/>
      </c>
      <c r="L913" s="2" t="str">
        <f>IF(W913="","",LOOKUP('Extraction edi'!J913,Paramètrage!$A$6:$A$179,Paramètrage!$C$6:$C$179))</f>
        <v/>
      </c>
      <c r="M913" s="2" t="str">
        <f>IF(W913="","",LOOKUP('Extraction edi'!J913,Paramètrage!$A$6:$A$179,Paramètrage!$D$6:$D$179))</f>
        <v/>
      </c>
      <c r="N913" s="3" t="str">
        <f>IF(W913="","",LOOKUP('Extraction edi'!J913,Paramètrage!$A$6:$A$179,Paramètrage!$E$6:$E$179))</f>
        <v/>
      </c>
      <c r="O913" s="3" t="str">
        <f t="shared" si="271"/>
        <v/>
      </c>
      <c r="P913" s="3" t="str">
        <f t="shared" si="272"/>
        <v/>
      </c>
      <c r="Q913" s="3" t="str">
        <f t="shared" si="277"/>
        <v/>
      </c>
      <c r="R913" s="3" t="str">
        <f t="shared" si="273"/>
        <v/>
      </c>
      <c r="S913" s="3" t="str">
        <f t="shared" si="274"/>
        <v/>
      </c>
      <c r="T913" s="4" t="str">
        <f t="shared" si="275"/>
        <v/>
      </c>
      <c r="U913" s="5" t="str">
        <f t="shared" si="276"/>
        <v/>
      </c>
      <c r="V913" s="7" t="str">
        <f>IF(W913="","",IF(LOOKUP(W913,'Extration 3E date commande'!$A$6:$A$10000)=W913,LOOKUP(W913,'Extration 3E date commande'!$A$6:$A$10000,'Extration 3E date commande'!$C$6:$C$10000),"PAS DE DATE"))</f>
        <v/>
      </c>
    </row>
    <row r="914" spans="1:22" x14ac:dyDescent="0.25">
      <c r="A914" s="3" t="str">
        <f t="shared" si="261"/>
        <v/>
      </c>
      <c r="B914" s="3" t="str">
        <f t="shared" si="262"/>
        <v/>
      </c>
      <c r="C914" s="3" t="str">
        <f t="shared" si="263"/>
        <v/>
      </c>
      <c r="D914" s="3" t="str">
        <f t="shared" si="264"/>
        <v/>
      </c>
      <c r="E914" s="3" t="str">
        <f t="shared" si="265"/>
        <v/>
      </c>
      <c r="F914" s="3" t="str">
        <f t="shared" si="266"/>
        <v/>
      </c>
      <c r="G914" s="3" t="str">
        <f t="shared" si="267"/>
        <v/>
      </c>
      <c r="H914" s="3" t="str">
        <f t="shared" si="268"/>
        <v/>
      </c>
      <c r="I914" s="3" t="str">
        <f t="shared" si="269"/>
        <v/>
      </c>
      <c r="J914" s="2" t="str">
        <f t="shared" si="270"/>
        <v/>
      </c>
      <c r="K914" s="2" t="str">
        <f>IF(W914="","",LOOKUP('Extraction edi'!J914,Paramètrage!$A$6:$A$179,Paramètrage!$B$6:$B$179))</f>
        <v/>
      </c>
      <c r="L914" s="2" t="str">
        <f>IF(W914="","",LOOKUP('Extraction edi'!J914,Paramètrage!$A$6:$A$179,Paramètrage!$C$6:$C$179))</f>
        <v/>
      </c>
      <c r="M914" s="2" t="str">
        <f>IF(W914="","",LOOKUP('Extraction edi'!J914,Paramètrage!$A$6:$A$179,Paramètrage!$D$6:$D$179))</f>
        <v/>
      </c>
      <c r="N914" s="3" t="str">
        <f>IF(W914="","",LOOKUP('Extraction edi'!J914,Paramètrage!$A$6:$A$179,Paramètrage!$E$6:$E$179))</f>
        <v/>
      </c>
      <c r="O914" s="3" t="str">
        <f t="shared" si="271"/>
        <v/>
      </c>
      <c r="P914" s="3" t="str">
        <f t="shared" si="272"/>
        <v/>
      </c>
      <c r="Q914" s="3" t="str">
        <f t="shared" si="277"/>
        <v/>
      </c>
      <c r="R914" s="3" t="str">
        <f t="shared" si="273"/>
        <v/>
      </c>
      <c r="S914" s="3" t="str">
        <f t="shared" si="274"/>
        <v/>
      </c>
      <c r="T914" s="4" t="str">
        <f t="shared" si="275"/>
        <v/>
      </c>
      <c r="U914" s="5" t="str">
        <f t="shared" si="276"/>
        <v/>
      </c>
      <c r="V914" s="7" t="str">
        <f>IF(W914="","",IF(LOOKUP(W914,'Extration 3E date commande'!$A$6:$A$10000)=W914,LOOKUP(W914,'Extration 3E date commande'!$A$6:$A$10000,'Extration 3E date commande'!$C$6:$C$10000),"PAS DE DATE"))</f>
        <v/>
      </c>
    </row>
    <row r="915" spans="1:22" x14ac:dyDescent="0.25">
      <c r="A915" s="3" t="str">
        <f t="shared" si="261"/>
        <v/>
      </c>
      <c r="B915" s="3" t="str">
        <f t="shared" si="262"/>
        <v/>
      </c>
      <c r="C915" s="3" t="str">
        <f t="shared" si="263"/>
        <v/>
      </c>
      <c r="D915" s="3" t="str">
        <f t="shared" si="264"/>
        <v/>
      </c>
      <c r="E915" s="3" t="str">
        <f t="shared" si="265"/>
        <v/>
      </c>
      <c r="F915" s="3" t="str">
        <f t="shared" si="266"/>
        <v/>
      </c>
      <c r="G915" s="3" t="str">
        <f t="shared" si="267"/>
        <v/>
      </c>
      <c r="H915" s="3" t="str">
        <f t="shared" si="268"/>
        <v/>
      </c>
      <c r="I915" s="3" t="str">
        <f t="shared" si="269"/>
        <v/>
      </c>
      <c r="J915" s="2" t="str">
        <f t="shared" si="270"/>
        <v/>
      </c>
      <c r="K915" s="2" t="str">
        <f>IF(W915="","",LOOKUP('Extraction edi'!J915,Paramètrage!$A$6:$A$179,Paramètrage!$B$6:$B$179))</f>
        <v/>
      </c>
      <c r="L915" s="2" t="str">
        <f>IF(W915="","",LOOKUP('Extraction edi'!J915,Paramètrage!$A$6:$A$179,Paramètrage!$C$6:$C$179))</f>
        <v/>
      </c>
      <c r="M915" s="2" t="str">
        <f>IF(W915="","",LOOKUP('Extraction edi'!J915,Paramètrage!$A$6:$A$179,Paramètrage!$D$6:$D$179))</f>
        <v/>
      </c>
      <c r="N915" s="3" t="str">
        <f>IF(W915="","",LOOKUP('Extraction edi'!J915,Paramètrage!$A$6:$A$179,Paramètrage!$E$6:$E$179))</f>
        <v/>
      </c>
      <c r="O915" s="3" t="str">
        <f t="shared" si="271"/>
        <v/>
      </c>
      <c r="P915" s="3" t="str">
        <f t="shared" si="272"/>
        <v/>
      </c>
      <c r="Q915" s="3" t="str">
        <f t="shared" si="277"/>
        <v/>
      </c>
      <c r="R915" s="3" t="str">
        <f t="shared" si="273"/>
        <v/>
      </c>
      <c r="S915" s="3" t="str">
        <f t="shared" si="274"/>
        <v/>
      </c>
      <c r="T915" s="4" t="str">
        <f t="shared" si="275"/>
        <v/>
      </c>
      <c r="U915" s="5" t="str">
        <f t="shared" si="276"/>
        <v/>
      </c>
      <c r="V915" s="7" t="str">
        <f>IF(W915="","",IF(LOOKUP(W915,'Extration 3E date commande'!$A$6:$A$10000)=W915,LOOKUP(W915,'Extration 3E date commande'!$A$6:$A$10000,'Extration 3E date commande'!$C$6:$C$10000),"PAS DE DATE"))</f>
        <v/>
      </c>
    </row>
    <row r="916" spans="1:22" x14ac:dyDescent="0.25">
      <c r="A916" s="3" t="str">
        <f t="shared" si="261"/>
        <v/>
      </c>
      <c r="B916" s="3" t="str">
        <f t="shared" si="262"/>
        <v/>
      </c>
      <c r="C916" s="3" t="str">
        <f t="shared" si="263"/>
        <v/>
      </c>
      <c r="D916" s="3" t="str">
        <f t="shared" si="264"/>
        <v/>
      </c>
      <c r="E916" s="3" t="str">
        <f t="shared" si="265"/>
        <v/>
      </c>
      <c r="F916" s="3" t="str">
        <f t="shared" si="266"/>
        <v/>
      </c>
      <c r="G916" s="3" t="str">
        <f t="shared" si="267"/>
        <v/>
      </c>
      <c r="H916" s="3" t="str">
        <f t="shared" si="268"/>
        <v/>
      </c>
      <c r="I916" s="3" t="str">
        <f t="shared" si="269"/>
        <v/>
      </c>
      <c r="J916" s="2" t="str">
        <f t="shared" si="270"/>
        <v/>
      </c>
      <c r="K916" s="2" t="str">
        <f>IF(W916="","",LOOKUP('Extraction edi'!J916,Paramètrage!$A$6:$A$179,Paramètrage!$B$6:$B$179))</f>
        <v/>
      </c>
      <c r="L916" s="2" t="str">
        <f>IF(W916="","",LOOKUP('Extraction edi'!J916,Paramètrage!$A$6:$A$179,Paramètrage!$C$6:$C$179))</f>
        <v/>
      </c>
      <c r="M916" s="2" t="str">
        <f>IF(W916="","",LOOKUP('Extraction edi'!J916,Paramètrage!$A$6:$A$179,Paramètrage!$D$6:$D$179))</f>
        <v/>
      </c>
      <c r="N916" s="3" t="str">
        <f>IF(W916="","",LOOKUP('Extraction edi'!J916,Paramètrage!$A$6:$A$179,Paramètrage!$E$6:$E$179))</f>
        <v/>
      </c>
      <c r="O916" s="3" t="str">
        <f t="shared" si="271"/>
        <v/>
      </c>
      <c r="P916" s="3" t="str">
        <f t="shared" si="272"/>
        <v/>
      </c>
      <c r="Q916" s="3" t="str">
        <f t="shared" si="277"/>
        <v/>
      </c>
      <c r="R916" s="3" t="str">
        <f t="shared" si="273"/>
        <v/>
      </c>
      <c r="S916" s="3" t="str">
        <f t="shared" si="274"/>
        <v/>
      </c>
      <c r="T916" s="4" t="str">
        <f t="shared" si="275"/>
        <v/>
      </c>
      <c r="U916" s="5" t="str">
        <f t="shared" si="276"/>
        <v/>
      </c>
      <c r="V916" s="7" t="str">
        <f>IF(W916="","",IF(LOOKUP(W916,'Extration 3E date commande'!$A$6:$A$10000)=W916,LOOKUP(W916,'Extration 3E date commande'!$A$6:$A$10000,'Extration 3E date commande'!$C$6:$C$10000),"PAS DE DATE"))</f>
        <v/>
      </c>
    </row>
    <row r="917" spans="1:22" x14ac:dyDescent="0.25">
      <c r="A917" s="3" t="str">
        <f t="shared" si="261"/>
        <v/>
      </c>
      <c r="B917" s="3" t="str">
        <f t="shared" si="262"/>
        <v/>
      </c>
      <c r="C917" s="3" t="str">
        <f t="shared" si="263"/>
        <v/>
      </c>
      <c r="D917" s="3" t="str">
        <f t="shared" si="264"/>
        <v/>
      </c>
      <c r="E917" s="3" t="str">
        <f t="shared" si="265"/>
        <v/>
      </c>
      <c r="F917" s="3" t="str">
        <f t="shared" si="266"/>
        <v/>
      </c>
      <c r="G917" s="3" t="str">
        <f t="shared" si="267"/>
        <v/>
      </c>
      <c r="H917" s="3" t="str">
        <f t="shared" si="268"/>
        <v/>
      </c>
      <c r="I917" s="3" t="str">
        <f t="shared" si="269"/>
        <v/>
      </c>
      <c r="J917" s="2" t="str">
        <f t="shared" si="270"/>
        <v/>
      </c>
      <c r="K917" s="2" t="str">
        <f>IF(W917="","",LOOKUP('Extraction edi'!J917,Paramètrage!$A$6:$A$179,Paramètrage!$B$6:$B$179))</f>
        <v/>
      </c>
      <c r="L917" s="2" t="str">
        <f>IF(W917="","",LOOKUP('Extraction edi'!J917,Paramètrage!$A$6:$A$179,Paramètrage!$C$6:$C$179))</f>
        <v/>
      </c>
      <c r="M917" s="2" t="str">
        <f>IF(W917="","",LOOKUP('Extraction edi'!J917,Paramètrage!$A$6:$A$179,Paramètrage!$D$6:$D$179))</f>
        <v/>
      </c>
      <c r="N917" s="3" t="str">
        <f>IF(W917="","",LOOKUP('Extraction edi'!J917,Paramètrage!$A$6:$A$179,Paramètrage!$E$6:$E$179))</f>
        <v/>
      </c>
      <c r="O917" s="3" t="str">
        <f t="shared" si="271"/>
        <v/>
      </c>
      <c r="P917" s="3" t="str">
        <f t="shared" si="272"/>
        <v/>
      </c>
      <c r="Q917" s="3" t="str">
        <f t="shared" si="277"/>
        <v/>
      </c>
      <c r="R917" s="3" t="str">
        <f t="shared" si="273"/>
        <v/>
      </c>
      <c r="S917" s="3" t="str">
        <f t="shared" si="274"/>
        <v/>
      </c>
      <c r="T917" s="4" t="str">
        <f t="shared" si="275"/>
        <v/>
      </c>
      <c r="U917" s="5" t="str">
        <f t="shared" si="276"/>
        <v/>
      </c>
      <c r="V917" s="7" t="str">
        <f>IF(W917="","",IF(LOOKUP(W917,'Extration 3E date commande'!$A$6:$A$10000)=W917,LOOKUP(W917,'Extration 3E date commande'!$A$6:$A$10000,'Extration 3E date commande'!$C$6:$C$10000),"PAS DE DATE"))</f>
        <v/>
      </c>
    </row>
    <row r="918" spans="1:22" x14ac:dyDescent="0.25">
      <c r="A918" s="3" t="str">
        <f t="shared" ref="A918:A981" si="278">IF(W918="","",LEFT(W918,7))</f>
        <v/>
      </c>
      <c r="B918" s="3" t="str">
        <f t="shared" ref="B918:B981" si="279">IF(W918="","",RIGHT(W918,3))</f>
        <v/>
      </c>
      <c r="C918" s="3" t="str">
        <f t="shared" ref="C918:C981" si="280">IF(ISERROR(SEARCH("ELI",B918))=FALSE,"RELIQUAT",IF(ISERROR(SEARCH("N",B918))=FALSE,"NEGOCE",IF(ISERROR(SEARCH("S",B918))=FALSE,"SAV",IF(ISERROR(SEARCH("J",B918)),"","SAV"))))</f>
        <v/>
      </c>
      <c r="D918" s="3" t="str">
        <f t="shared" ref="D918:D981" si="281">IF(ISERROR(SEARCH("P",B918)),"","PE")</f>
        <v/>
      </c>
      <c r="E918" s="3" t="str">
        <f t="shared" ref="E918:E981" si="282">IF(ISERROR(SEARCH("U",B918))=FALSE,"ALU",IF(ISERROR(SEARCH("Y",B918)),"","ALU"))</f>
        <v/>
      </c>
      <c r="F918" s="3" t="str">
        <f t="shared" ref="F918:F981" si="283">IF(ISERROR(SEARCH("H",B918))=FALSE,"TEXTURAL",IF(ISERROR(SEARCH("Z",B918)),"","TEXTURAL"))</f>
        <v/>
      </c>
      <c r="G918" s="3" t="str">
        <f t="shared" ref="G918:G981" si="284">IF(B918="","",IF(C918="SAV","ZONE NEGOCE / RELIQUAT / SAV",IF(C918="NEGOCE","ZONE NEGOCE / RELIQUAT / SAV",IF(C918="RELIQUAT","ZONE NEGOCE / RELIQUAT / SAV",IF(E918="ALU","LIGNE VITRAGE ALU",IF(D918="PE","LIGNE VITRAGE PE",IF(F918="TEXTURAL","LIGNE VITRAGE TEXTURAL","LIGNE VITRAGE STANDARD")))))))</f>
        <v/>
      </c>
      <c r="H918" s="3" t="str">
        <f t="shared" ref="H918:H981" si="285">IF(W918="","",X918)</f>
        <v/>
      </c>
      <c r="I918" s="3" t="str">
        <f t="shared" ref="I918:I981" si="286">IF(W918="","",Z918)</f>
        <v/>
      </c>
      <c r="J918" s="2" t="str">
        <f t="shared" ref="J918:J981" si="287">IF(W918="","",IF(AND(T918=FALSE,T917=FALSE,T916=FALSE,T915=FALSE,T914=FALSE),AA913,IF(AND(T918=FALSE,T917=FALSE,T916=FALSE,T915=FALSE),AA914,IF(AND(T918=FALSE,T917=FALSE,T916=FALSE),AA915,IF(AND(T918=FALSE,T917=FALSE),AA916,IF(T918=FALSE,AA917,AA918))))))</f>
        <v/>
      </c>
      <c r="K918" s="2" t="str">
        <f>IF(W918="","",LOOKUP('Extraction edi'!J918,Paramètrage!$A$6:$A$179,Paramètrage!$B$6:$B$179))</f>
        <v/>
      </c>
      <c r="L918" s="2" t="str">
        <f>IF(W918="","",LOOKUP('Extraction edi'!J918,Paramètrage!$A$6:$A$179,Paramètrage!$C$6:$C$179))</f>
        <v/>
      </c>
      <c r="M918" s="2" t="str">
        <f>IF(W918="","",LOOKUP('Extraction edi'!J918,Paramètrage!$A$6:$A$179,Paramètrage!$D$6:$D$179))</f>
        <v/>
      </c>
      <c r="N918" s="3" t="str">
        <f>IF(W918="","",LOOKUP('Extraction edi'!J918,Paramètrage!$A$6:$A$179,Paramètrage!$E$6:$E$179))</f>
        <v/>
      </c>
      <c r="O918" s="3" t="str">
        <f t="shared" ref="O918:O981" si="288">IF(W918="","",IF(LEFT(AA918,4)="soub",AB918,IF(LEFT(AA918,3)="cim",AB918,AA918)))</f>
        <v/>
      </c>
      <c r="P918" s="3" t="str">
        <f t="shared" ref="P918:P981" si="289">IF(LEFT(U918,1)="N",SUBSTITUTE(AB918,"*",""),IF(LEFT(U918,1)="S",SUBSTITUTE(AB918,"*",""),IF(LEFT(U918,1)="G",SUBSTITUTE(AB918,"*",""),IF(LEN(U918)=11,SUBSTITUTE(AB918,"*",""),U918))))</f>
        <v/>
      </c>
      <c r="Q918" s="3" t="str">
        <f t="shared" si="277"/>
        <v/>
      </c>
      <c r="R918" s="3" t="str">
        <f t="shared" ref="R918:R981" si="290">IF(W918="","",IF(RIGHT(L918,7)="RAL9001",L918,IF(LEFT(AE918,1)="N",AE918,IF(LEFT(AE918,1)="S",AE918,IF(LEFT(AE918,1)="G",AE918,"")))))</f>
        <v/>
      </c>
      <c r="S918" s="3" t="str">
        <f t="shared" ref="S918:S981" si="291">IF(W918="","",IF(RIGHT(M918,7)="RAL9001",M918,IF(LEFT(AC918,1)="N",AC918,IF(LEFT(AC918,1)="S",AC918,IF(LEFT(AC918,1)="G",AC918,IF(LEFT(AD918,1)="N",AD918,IF(LEFT(AD918,1)="S",AD918,IF(LEFT(AD918,1)="G",AD918,""))))))))</f>
        <v/>
      </c>
      <c r="T918" s="4" t="str">
        <f t="shared" ref="T918:T981" si="292">IF(W918="","",IF(LEFT(AA918,4)&lt;&gt;"soub",IF(LEFT(AA918,3)&lt;&gt;"cim"=FALSE,AA918),AA918))</f>
        <v/>
      </c>
      <c r="U918" s="5" t="str">
        <f t="shared" ref="U918:U981" si="293">SUBSTITUTE(AC918,"*","")</f>
        <v/>
      </c>
      <c r="V918" s="7" t="str">
        <f>IF(W918="","",IF(LOOKUP(W918,'Extration 3E date commande'!$A$6:$A$10000)=W918,LOOKUP(W918,'Extration 3E date commande'!$A$6:$A$10000,'Extration 3E date commande'!$C$6:$C$10000),"PAS DE DATE"))</f>
        <v/>
      </c>
    </row>
    <row r="919" spans="1:22" x14ac:dyDescent="0.25">
      <c r="A919" s="3" t="str">
        <f t="shared" si="278"/>
        <v/>
      </c>
      <c r="B919" s="3" t="str">
        <f t="shared" si="279"/>
        <v/>
      </c>
      <c r="C919" s="3" t="str">
        <f t="shared" si="280"/>
        <v/>
      </c>
      <c r="D919" s="3" t="str">
        <f t="shared" si="281"/>
        <v/>
      </c>
      <c r="E919" s="3" t="str">
        <f t="shared" si="282"/>
        <v/>
      </c>
      <c r="F919" s="3" t="str">
        <f t="shared" si="283"/>
        <v/>
      </c>
      <c r="G919" s="3" t="str">
        <f t="shared" si="284"/>
        <v/>
      </c>
      <c r="H919" s="3" t="str">
        <f t="shared" si="285"/>
        <v/>
      </c>
      <c r="I919" s="3" t="str">
        <f t="shared" si="286"/>
        <v/>
      </c>
      <c r="J919" s="2" t="str">
        <f t="shared" si="287"/>
        <v/>
      </c>
      <c r="K919" s="2" t="str">
        <f>IF(W919="","",LOOKUP('Extraction edi'!J919,Paramètrage!$A$6:$A$179,Paramètrage!$B$6:$B$179))</f>
        <v/>
      </c>
      <c r="L919" s="2" t="str">
        <f>IF(W919="","",LOOKUP('Extraction edi'!J919,Paramètrage!$A$6:$A$179,Paramètrage!$C$6:$C$179))</f>
        <v/>
      </c>
      <c r="M919" s="2" t="str">
        <f>IF(W919="","",LOOKUP('Extraction edi'!J919,Paramètrage!$A$6:$A$179,Paramètrage!$D$6:$D$179))</f>
        <v/>
      </c>
      <c r="N919" s="3" t="str">
        <f>IF(W919="","",LOOKUP('Extraction edi'!J919,Paramètrage!$A$6:$A$179,Paramètrage!$E$6:$E$179))</f>
        <v/>
      </c>
      <c r="O919" s="3" t="str">
        <f t="shared" si="288"/>
        <v/>
      </c>
      <c r="P919" s="3" t="str">
        <f t="shared" si="289"/>
        <v/>
      </c>
      <c r="Q919" s="3" t="str">
        <f t="shared" si="277"/>
        <v/>
      </c>
      <c r="R919" s="3" t="str">
        <f t="shared" si="290"/>
        <v/>
      </c>
      <c r="S919" s="3" t="str">
        <f t="shared" si="291"/>
        <v/>
      </c>
      <c r="T919" s="4" t="str">
        <f t="shared" si="292"/>
        <v/>
      </c>
      <c r="U919" s="5" t="str">
        <f t="shared" si="293"/>
        <v/>
      </c>
      <c r="V919" s="7" t="str">
        <f>IF(W919="","",IF(LOOKUP(W919,'Extration 3E date commande'!$A$6:$A$10000)=W919,LOOKUP(W919,'Extration 3E date commande'!$A$6:$A$10000,'Extration 3E date commande'!$C$6:$C$10000),"PAS DE DATE"))</f>
        <v/>
      </c>
    </row>
    <row r="920" spans="1:22" x14ac:dyDescent="0.25">
      <c r="A920" s="3" t="str">
        <f t="shared" si="278"/>
        <v/>
      </c>
      <c r="B920" s="3" t="str">
        <f t="shared" si="279"/>
        <v/>
      </c>
      <c r="C920" s="3" t="str">
        <f t="shared" si="280"/>
        <v/>
      </c>
      <c r="D920" s="3" t="str">
        <f t="shared" si="281"/>
        <v/>
      </c>
      <c r="E920" s="3" t="str">
        <f t="shared" si="282"/>
        <v/>
      </c>
      <c r="F920" s="3" t="str">
        <f t="shared" si="283"/>
        <v/>
      </c>
      <c r="G920" s="3" t="str">
        <f t="shared" si="284"/>
        <v/>
      </c>
      <c r="H920" s="3" t="str">
        <f t="shared" si="285"/>
        <v/>
      </c>
      <c r="I920" s="3" t="str">
        <f t="shared" si="286"/>
        <v/>
      </c>
      <c r="J920" s="2" t="str">
        <f t="shared" si="287"/>
        <v/>
      </c>
      <c r="K920" s="2" t="str">
        <f>IF(W920="","",LOOKUP('Extraction edi'!J920,Paramètrage!$A$6:$A$179,Paramètrage!$B$6:$B$179))</f>
        <v/>
      </c>
      <c r="L920" s="2" t="str">
        <f>IF(W920="","",LOOKUP('Extraction edi'!J920,Paramètrage!$A$6:$A$179,Paramètrage!$C$6:$C$179))</f>
        <v/>
      </c>
      <c r="M920" s="2" t="str">
        <f>IF(W920="","",LOOKUP('Extraction edi'!J920,Paramètrage!$A$6:$A$179,Paramètrage!$D$6:$D$179))</f>
        <v/>
      </c>
      <c r="N920" s="3" t="str">
        <f>IF(W920="","",LOOKUP('Extraction edi'!J920,Paramètrage!$A$6:$A$179,Paramètrage!$E$6:$E$179))</f>
        <v/>
      </c>
      <c r="O920" s="3" t="str">
        <f t="shared" si="288"/>
        <v/>
      </c>
      <c r="P920" s="3" t="str">
        <f t="shared" si="289"/>
        <v/>
      </c>
      <c r="Q920" s="3" t="str">
        <f t="shared" si="277"/>
        <v/>
      </c>
      <c r="R920" s="3" t="str">
        <f t="shared" si="290"/>
        <v/>
      </c>
      <c r="S920" s="3" t="str">
        <f t="shared" si="291"/>
        <v/>
      </c>
      <c r="T920" s="4" t="str">
        <f t="shared" si="292"/>
        <v/>
      </c>
      <c r="U920" s="5" t="str">
        <f t="shared" si="293"/>
        <v/>
      </c>
      <c r="V920" s="7" t="str">
        <f>IF(W920="","",IF(LOOKUP(W920,'Extration 3E date commande'!$A$6:$A$10000)=W920,LOOKUP(W920,'Extration 3E date commande'!$A$6:$A$10000,'Extration 3E date commande'!$C$6:$C$10000),"PAS DE DATE"))</f>
        <v/>
      </c>
    </row>
    <row r="921" spans="1:22" x14ac:dyDescent="0.25">
      <c r="A921" s="3" t="str">
        <f t="shared" si="278"/>
        <v/>
      </c>
      <c r="B921" s="3" t="str">
        <f t="shared" si="279"/>
        <v/>
      </c>
      <c r="C921" s="3" t="str">
        <f t="shared" si="280"/>
        <v/>
      </c>
      <c r="D921" s="3" t="str">
        <f t="shared" si="281"/>
        <v/>
      </c>
      <c r="E921" s="3" t="str">
        <f t="shared" si="282"/>
        <v/>
      </c>
      <c r="F921" s="3" t="str">
        <f t="shared" si="283"/>
        <v/>
      </c>
      <c r="G921" s="3" t="str">
        <f t="shared" si="284"/>
        <v/>
      </c>
      <c r="H921" s="3" t="str">
        <f t="shared" si="285"/>
        <v/>
      </c>
      <c r="I921" s="3" t="str">
        <f t="shared" si="286"/>
        <v/>
      </c>
      <c r="J921" s="2" t="str">
        <f t="shared" si="287"/>
        <v/>
      </c>
      <c r="K921" s="2" t="str">
        <f>IF(W921="","",LOOKUP('Extraction edi'!J921,Paramètrage!$A$6:$A$179,Paramètrage!$B$6:$B$179))</f>
        <v/>
      </c>
      <c r="L921" s="2" t="str">
        <f>IF(W921="","",LOOKUP('Extraction edi'!J921,Paramètrage!$A$6:$A$179,Paramètrage!$C$6:$C$179))</f>
        <v/>
      </c>
      <c r="M921" s="2" t="str">
        <f>IF(W921="","",LOOKUP('Extraction edi'!J921,Paramètrage!$A$6:$A$179,Paramètrage!$D$6:$D$179))</f>
        <v/>
      </c>
      <c r="N921" s="3" t="str">
        <f>IF(W921="","",LOOKUP('Extraction edi'!J921,Paramètrage!$A$6:$A$179,Paramètrage!$E$6:$E$179))</f>
        <v/>
      </c>
      <c r="O921" s="3" t="str">
        <f t="shared" si="288"/>
        <v/>
      </c>
      <c r="P921" s="3" t="str">
        <f t="shared" si="289"/>
        <v/>
      </c>
      <c r="Q921" s="3" t="str">
        <f t="shared" si="277"/>
        <v/>
      </c>
      <c r="R921" s="3" t="str">
        <f t="shared" si="290"/>
        <v/>
      </c>
      <c r="S921" s="3" t="str">
        <f t="shared" si="291"/>
        <v/>
      </c>
      <c r="T921" s="4" t="str">
        <f t="shared" si="292"/>
        <v/>
      </c>
      <c r="U921" s="5" t="str">
        <f t="shared" si="293"/>
        <v/>
      </c>
      <c r="V921" s="7" t="str">
        <f>IF(W921="","",IF(LOOKUP(W921,'Extration 3E date commande'!$A$6:$A$10000)=W921,LOOKUP(W921,'Extration 3E date commande'!$A$6:$A$10000,'Extration 3E date commande'!$C$6:$C$10000),"PAS DE DATE"))</f>
        <v/>
      </c>
    </row>
    <row r="922" spans="1:22" x14ac:dyDescent="0.25">
      <c r="A922" s="3" t="str">
        <f t="shared" si="278"/>
        <v/>
      </c>
      <c r="B922" s="3" t="str">
        <f t="shared" si="279"/>
        <v/>
      </c>
      <c r="C922" s="3" t="str">
        <f t="shared" si="280"/>
        <v/>
      </c>
      <c r="D922" s="3" t="str">
        <f t="shared" si="281"/>
        <v/>
      </c>
      <c r="E922" s="3" t="str">
        <f t="shared" si="282"/>
        <v/>
      </c>
      <c r="F922" s="3" t="str">
        <f t="shared" si="283"/>
        <v/>
      </c>
      <c r="G922" s="3" t="str">
        <f t="shared" si="284"/>
        <v/>
      </c>
      <c r="H922" s="3" t="str">
        <f t="shared" si="285"/>
        <v/>
      </c>
      <c r="I922" s="3" t="str">
        <f t="shared" si="286"/>
        <v/>
      </c>
      <c r="J922" s="2" t="str">
        <f t="shared" si="287"/>
        <v/>
      </c>
      <c r="K922" s="2" t="str">
        <f>IF(W922="","",LOOKUP('Extraction edi'!J922,Paramètrage!$A$6:$A$179,Paramètrage!$B$6:$B$179))</f>
        <v/>
      </c>
      <c r="L922" s="2" t="str">
        <f>IF(W922="","",LOOKUP('Extraction edi'!J922,Paramètrage!$A$6:$A$179,Paramètrage!$C$6:$C$179))</f>
        <v/>
      </c>
      <c r="M922" s="2" t="str">
        <f>IF(W922="","",LOOKUP('Extraction edi'!J922,Paramètrage!$A$6:$A$179,Paramètrage!$D$6:$D$179))</f>
        <v/>
      </c>
      <c r="N922" s="3" t="str">
        <f>IF(W922="","",LOOKUP('Extraction edi'!J922,Paramètrage!$A$6:$A$179,Paramètrage!$E$6:$E$179))</f>
        <v/>
      </c>
      <c r="O922" s="3" t="str">
        <f t="shared" si="288"/>
        <v/>
      </c>
      <c r="P922" s="3" t="str">
        <f t="shared" si="289"/>
        <v/>
      </c>
      <c r="Q922" s="3" t="str">
        <f t="shared" si="277"/>
        <v/>
      </c>
      <c r="R922" s="3" t="str">
        <f t="shared" si="290"/>
        <v/>
      </c>
      <c r="S922" s="3" t="str">
        <f t="shared" si="291"/>
        <v/>
      </c>
      <c r="T922" s="4" t="str">
        <f t="shared" si="292"/>
        <v/>
      </c>
      <c r="U922" s="5" t="str">
        <f t="shared" si="293"/>
        <v/>
      </c>
      <c r="V922" s="7" t="str">
        <f>IF(W922="","",IF(LOOKUP(W922,'Extration 3E date commande'!$A$6:$A$10000)=W922,LOOKUP(W922,'Extration 3E date commande'!$A$6:$A$10000,'Extration 3E date commande'!$C$6:$C$10000),"PAS DE DATE"))</f>
        <v/>
      </c>
    </row>
    <row r="923" spans="1:22" x14ac:dyDescent="0.25">
      <c r="A923" s="3" t="str">
        <f t="shared" si="278"/>
        <v/>
      </c>
      <c r="B923" s="3" t="str">
        <f t="shared" si="279"/>
        <v/>
      </c>
      <c r="C923" s="3" t="str">
        <f t="shared" si="280"/>
        <v/>
      </c>
      <c r="D923" s="3" t="str">
        <f t="shared" si="281"/>
        <v/>
      </c>
      <c r="E923" s="3" t="str">
        <f t="shared" si="282"/>
        <v/>
      </c>
      <c r="F923" s="3" t="str">
        <f t="shared" si="283"/>
        <v/>
      </c>
      <c r="G923" s="3" t="str">
        <f t="shared" si="284"/>
        <v/>
      </c>
      <c r="H923" s="3" t="str">
        <f t="shared" si="285"/>
        <v/>
      </c>
      <c r="I923" s="3" t="str">
        <f t="shared" si="286"/>
        <v/>
      </c>
      <c r="J923" s="2" t="str">
        <f t="shared" si="287"/>
        <v/>
      </c>
      <c r="K923" s="2" t="str">
        <f>IF(W923="","",LOOKUP('Extraction edi'!J923,Paramètrage!$A$6:$A$179,Paramètrage!$B$6:$B$179))</f>
        <v/>
      </c>
      <c r="L923" s="2" t="str">
        <f>IF(W923="","",LOOKUP('Extraction edi'!J923,Paramètrage!$A$6:$A$179,Paramètrage!$C$6:$C$179))</f>
        <v/>
      </c>
      <c r="M923" s="2" t="str">
        <f>IF(W923="","",LOOKUP('Extraction edi'!J923,Paramètrage!$A$6:$A$179,Paramètrage!$D$6:$D$179))</f>
        <v/>
      </c>
      <c r="N923" s="3" t="str">
        <f>IF(W923="","",LOOKUP('Extraction edi'!J923,Paramètrage!$A$6:$A$179,Paramètrage!$E$6:$E$179))</f>
        <v/>
      </c>
      <c r="O923" s="3" t="str">
        <f t="shared" si="288"/>
        <v/>
      </c>
      <c r="P923" s="3" t="str">
        <f t="shared" si="289"/>
        <v/>
      </c>
      <c r="Q923" s="3" t="str">
        <f t="shared" si="277"/>
        <v/>
      </c>
      <c r="R923" s="3" t="str">
        <f t="shared" si="290"/>
        <v/>
      </c>
      <c r="S923" s="3" t="str">
        <f t="shared" si="291"/>
        <v/>
      </c>
      <c r="T923" s="4" t="str">
        <f t="shared" si="292"/>
        <v/>
      </c>
      <c r="U923" s="5" t="str">
        <f t="shared" si="293"/>
        <v/>
      </c>
      <c r="V923" s="7" t="str">
        <f>IF(W923="","",IF(LOOKUP(W923,'Extration 3E date commande'!$A$6:$A$10000)=W923,LOOKUP(W923,'Extration 3E date commande'!$A$6:$A$10000,'Extration 3E date commande'!$C$6:$C$10000),"PAS DE DATE"))</f>
        <v/>
      </c>
    </row>
    <row r="924" spans="1:22" x14ac:dyDescent="0.25">
      <c r="A924" s="3" t="str">
        <f t="shared" si="278"/>
        <v/>
      </c>
      <c r="B924" s="3" t="str">
        <f t="shared" si="279"/>
        <v/>
      </c>
      <c r="C924" s="3" t="str">
        <f t="shared" si="280"/>
        <v/>
      </c>
      <c r="D924" s="3" t="str">
        <f t="shared" si="281"/>
        <v/>
      </c>
      <c r="E924" s="3" t="str">
        <f t="shared" si="282"/>
        <v/>
      </c>
      <c r="F924" s="3" t="str">
        <f t="shared" si="283"/>
        <v/>
      </c>
      <c r="G924" s="3" t="str">
        <f t="shared" si="284"/>
        <v/>
      </c>
      <c r="H924" s="3" t="str">
        <f t="shared" si="285"/>
        <v/>
      </c>
      <c r="I924" s="3" t="str">
        <f t="shared" si="286"/>
        <v/>
      </c>
      <c r="J924" s="2" t="str">
        <f t="shared" si="287"/>
        <v/>
      </c>
      <c r="K924" s="2" t="str">
        <f>IF(W924="","",LOOKUP('Extraction edi'!J924,Paramètrage!$A$6:$A$179,Paramètrage!$B$6:$B$179))</f>
        <v/>
      </c>
      <c r="L924" s="2" t="str">
        <f>IF(W924="","",LOOKUP('Extraction edi'!J924,Paramètrage!$A$6:$A$179,Paramètrage!$C$6:$C$179))</f>
        <v/>
      </c>
      <c r="M924" s="2" t="str">
        <f>IF(W924="","",LOOKUP('Extraction edi'!J924,Paramètrage!$A$6:$A$179,Paramètrage!$D$6:$D$179))</f>
        <v/>
      </c>
      <c r="N924" s="3" t="str">
        <f>IF(W924="","",LOOKUP('Extraction edi'!J924,Paramètrage!$A$6:$A$179,Paramètrage!$E$6:$E$179))</f>
        <v/>
      </c>
      <c r="O924" s="3" t="str">
        <f t="shared" si="288"/>
        <v/>
      </c>
      <c r="P924" s="3" t="str">
        <f t="shared" si="289"/>
        <v/>
      </c>
      <c r="Q924" s="3" t="str">
        <f t="shared" si="277"/>
        <v/>
      </c>
      <c r="R924" s="3" t="str">
        <f t="shared" si="290"/>
        <v/>
      </c>
      <c r="S924" s="3" t="str">
        <f t="shared" si="291"/>
        <v/>
      </c>
      <c r="T924" s="4" t="str">
        <f t="shared" si="292"/>
        <v/>
      </c>
      <c r="U924" s="5" t="str">
        <f t="shared" si="293"/>
        <v/>
      </c>
      <c r="V924" s="7" t="str">
        <f>IF(W924="","",IF(LOOKUP(W924,'Extration 3E date commande'!$A$6:$A$10000)=W924,LOOKUP(W924,'Extration 3E date commande'!$A$6:$A$10000,'Extration 3E date commande'!$C$6:$C$10000),"PAS DE DATE"))</f>
        <v/>
      </c>
    </row>
    <row r="925" spans="1:22" x14ac:dyDescent="0.25">
      <c r="A925" s="3" t="str">
        <f t="shared" si="278"/>
        <v/>
      </c>
      <c r="B925" s="3" t="str">
        <f t="shared" si="279"/>
        <v/>
      </c>
      <c r="C925" s="3" t="str">
        <f t="shared" si="280"/>
        <v/>
      </c>
      <c r="D925" s="3" t="str">
        <f t="shared" si="281"/>
        <v/>
      </c>
      <c r="E925" s="3" t="str">
        <f t="shared" si="282"/>
        <v/>
      </c>
      <c r="F925" s="3" t="str">
        <f t="shared" si="283"/>
        <v/>
      </c>
      <c r="G925" s="3" t="str">
        <f t="shared" si="284"/>
        <v/>
      </c>
      <c r="H925" s="3" t="str">
        <f t="shared" si="285"/>
        <v/>
      </c>
      <c r="I925" s="3" t="str">
        <f t="shared" si="286"/>
        <v/>
      </c>
      <c r="J925" s="2" t="str">
        <f t="shared" si="287"/>
        <v/>
      </c>
      <c r="K925" s="2" t="str">
        <f>IF(W925="","",LOOKUP('Extraction edi'!J925,Paramètrage!$A$6:$A$179,Paramètrage!$B$6:$B$179))</f>
        <v/>
      </c>
      <c r="L925" s="2" t="str">
        <f>IF(W925="","",LOOKUP('Extraction edi'!J925,Paramètrage!$A$6:$A$179,Paramètrage!$C$6:$C$179))</f>
        <v/>
      </c>
      <c r="M925" s="2" t="str">
        <f>IF(W925="","",LOOKUP('Extraction edi'!J925,Paramètrage!$A$6:$A$179,Paramètrage!$D$6:$D$179))</f>
        <v/>
      </c>
      <c r="N925" s="3" t="str">
        <f>IF(W925="","",LOOKUP('Extraction edi'!J925,Paramètrage!$A$6:$A$179,Paramètrage!$E$6:$E$179))</f>
        <v/>
      </c>
      <c r="O925" s="3" t="str">
        <f t="shared" si="288"/>
        <v/>
      </c>
      <c r="P925" s="3" t="str">
        <f t="shared" si="289"/>
        <v/>
      </c>
      <c r="Q925" s="3" t="str">
        <f t="shared" si="277"/>
        <v/>
      </c>
      <c r="R925" s="3" t="str">
        <f t="shared" si="290"/>
        <v/>
      </c>
      <c r="S925" s="3" t="str">
        <f t="shared" si="291"/>
        <v/>
      </c>
      <c r="T925" s="4" t="str">
        <f t="shared" si="292"/>
        <v/>
      </c>
      <c r="U925" s="5" t="str">
        <f t="shared" si="293"/>
        <v/>
      </c>
      <c r="V925" s="7" t="str">
        <f>IF(W925="","",IF(LOOKUP(W925,'Extration 3E date commande'!$A$6:$A$10000)=W925,LOOKUP(W925,'Extration 3E date commande'!$A$6:$A$10000,'Extration 3E date commande'!$C$6:$C$10000),"PAS DE DATE"))</f>
        <v/>
      </c>
    </row>
    <row r="926" spans="1:22" x14ac:dyDescent="0.25">
      <c r="A926" s="3" t="str">
        <f t="shared" si="278"/>
        <v/>
      </c>
      <c r="B926" s="3" t="str">
        <f t="shared" si="279"/>
        <v/>
      </c>
      <c r="C926" s="3" t="str">
        <f t="shared" si="280"/>
        <v/>
      </c>
      <c r="D926" s="3" t="str">
        <f t="shared" si="281"/>
        <v/>
      </c>
      <c r="E926" s="3" t="str">
        <f t="shared" si="282"/>
        <v/>
      </c>
      <c r="F926" s="3" t="str">
        <f t="shared" si="283"/>
        <v/>
      </c>
      <c r="G926" s="3" t="str">
        <f t="shared" si="284"/>
        <v/>
      </c>
      <c r="H926" s="3" t="str">
        <f t="shared" si="285"/>
        <v/>
      </c>
      <c r="I926" s="3" t="str">
        <f t="shared" si="286"/>
        <v/>
      </c>
      <c r="J926" s="2" t="str">
        <f t="shared" si="287"/>
        <v/>
      </c>
      <c r="K926" s="2" t="str">
        <f>IF(W926="","",LOOKUP('Extraction edi'!J926,Paramètrage!$A$6:$A$179,Paramètrage!$B$6:$B$179))</f>
        <v/>
      </c>
      <c r="L926" s="2" t="str">
        <f>IF(W926="","",LOOKUP('Extraction edi'!J926,Paramètrage!$A$6:$A$179,Paramètrage!$C$6:$C$179))</f>
        <v/>
      </c>
      <c r="M926" s="2" t="str">
        <f>IF(W926="","",LOOKUP('Extraction edi'!J926,Paramètrage!$A$6:$A$179,Paramètrage!$D$6:$D$179))</f>
        <v/>
      </c>
      <c r="N926" s="3" t="str">
        <f>IF(W926="","",LOOKUP('Extraction edi'!J926,Paramètrage!$A$6:$A$179,Paramètrage!$E$6:$E$179))</f>
        <v/>
      </c>
      <c r="O926" s="3" t="str">
        <f t="shared" si="288"/>
        <v/>
      </c>
      <c r="P926" s="3" t="str">
        <f t="shared" si="289"/>
        <v/>
      </c>
      <c r="Q926" s="3" t="str">
        <f t="shared" si="277"/>
        <v/>
      </c>
      <c r="R926" s="3" t="str">
        <f t="shared" si="290"/>
        <v/>
      </c>
      <c r="S926" s="3" t="str">
        <f t="shared" si="291"/>
        <v/>
      </c>
      <c r="T926" s="4" t="str">
        <f t="shared" si="292"/>
        <v/>
      </c>
      <c r="U926" s="5" t="str">
        <f t="shared" si="293"/>
        <v/>
      </c>
      <c r="V926" s="7" t="str">
        <f>IF(W926="","",IF(LOOKUP(W926,'Extration 3E date commande'!$A$6:$A$10000)=W926,LOOKUP(W926,'Extration 3E date commande'!$A$6:$A$10000,'Extration 3E date commande'!$C$6:$C$10000),"PAS DE DATE"))</f>
        <v/>
      </c>
    </row>
    <row r="927" spans="1:22" x14ac:dyDescent="0.25">
      <c r="A927" s="3" t="str">
        <f t="shared" si="278"/>
        <v/>
      </c>
      <c r="B927" s="3" t="str">
        <f t="shared" si="279"/>
        <v/>
      </c>
      <c r="C927" s="3" t="str">
        <f t="shared" si="280"/>
        <v/>
      </c>
      <c r="D927" s="3" t="str">
        <f t="shared" si="281"/>
        <v/>
      </c>
      <c r="E927" s="3" t="str">
        <f t="shared" si="282"/>
        <v/>
      </c>
      <c r="F927" s="3" t="str">
        <f t="shared" si="283"/>
        <v/>
      </c>
      <c r="G927" s="3" t="str">
        <f t="shared" si="284"/>
        <v/>
      </c>
      <c r="H927" s="3" t="str">
        <f t="shared" si="285"/>
        <v/>
      </c>
      <c r="I927" s="3" t="str">
        <f t="shared" si="286"/>
        <v/>
      </c>
      <c r="J927" s="2" t="str">
        <f t="shared" si="287"/>
        <v/>
      </c>
      <c r="K927" s="2" t="str">
        <f>IF(W927="","",LOOKUP('Extraction edi'!J927,Paramètrage!$A$6:$A$179,Paramètrage!$B$6:$B$179))</f>
        <v/>
      </c>
      <c r="L927" s="2" t="str">
        <f>IF(W927="","",LOOKUP('Extraction edi'!J927,Paramètrage!$A$6:$A$179,Paramètrage!$C$6:$C$179))</f>
        <v/>
      </c>
      <c r="M927" s="2" t="str">
        <f>IF(W927="","",LOOKUP('Extraction edi'!J927,Paramètrage!$A$6:$A$179,Paramètrage!$D$6:$D$179))</f>
        <v/>
      </c>
      <c r="N927" s="3" t="str">
        <f>IF(W927="","",LOOKUP('Extraction edi'!J927,Paramètrage!$A$6:$A$179,Paramètrage!$E$6:$E$179))</f>
        <v/>
      </c>
      <c r="O927" s="3" t="str">
        <f t="shared" si="288"/>
        <v/>
      </c>
      <c r="P927" s="3" t="str">
        <f t="shared" si="289"/>
        <v/>
      </c>
      <c r="Q927" s="3" t="str">
        <f t="shared" si="277"/>
        <v/>
      </c>
      <c r="R927" s="3" t="str">
        <f t="shared" si="290"/>
        <v/>
      </c>
      <c r="S927" s="3" t="str">
        <f t="shared" si="291"/>
        <v/>
      </c>
      <c r="T927" s="4" t="str">
        <f t="shared" si="292"/>
        <v/>
      </c>
      <c r="U927" s="5" t="str">
        <f t="shared" si="293"/>
        <v/>
      </c>
      <c r="V927" s="7" t="str">
        <f>IF(W927="","",IF(LOOKUP(W927,'Extration 3E date commande'!$A$6:$A$10000)=W927,LOOKUP(W927,'Extration 3E date commande'!$A$6:$A$10000,'Extration 3E date commande'!$C$6:$C$10000),"PAS DE DATE"))</f>
        <v/>
      </c>
    </row>
    <row r="928" spans="1:22" x14ac:dyDescent="0.25">
      <c r="A928" s="3" t="str">
        <f t="shared" si="278"/>
        <v/>
      </c>
      <c r="B928" s="3" t="str">
        <f t="shared" si="279"/>
        <v/>
      </c>
      <c r="C928" s="3" t="str">
        <f t="shared" si="280"/>
        <v/>
      </c>
      <c r="D928" s="3" t="str">
        <f t="shared" si="281"/>
        <v/>
      </c>
      <c r="E928" s="3" t="str">
        <f t="shared" si="282"/>
        <v/>
      </c>
      <c r="F928" s="3" t="str">
        <f t="shared" si="283"/>
        <v/>
      </c>
      <c r="G928" s="3" t="str">
        <f t="shared" si="284"/>
        <v/>
      </c>
      <c r="H928" s="3" t="str">
        <f t="shared" si="285"/>
        <v/>
      </c>
      <c r="I928" s="3" t="str">
        <f t="shared" si="286"/>
        <v/>
      </c>
      <c r="J928" s="2" t="str">
        <f t="shared" si="287"/>
        <v/>
      </c>
      <c r="K928" s="2" t="str">
        <f>IF(W928="","",LOOKUP('Extraction edi'!J928,Paramètrage!$A$6:$A$179,Paramètrage!$B$6:$B$179))</f>
        <v/>
      </c>
      <c r="L928" s="2" t="str">
        <f>IF(W928="","",LOOKUP('Extraction edi'!J928,Paramètrage!$A$6:$A$179,Paramètrage!$C$6:$C$179))</f>
        <v/>
      </c>
      <c r="M928" s="2" t="str">
        <f>IF(W928="","",LOOKUP('Extraction edi'!J928,Paramètrage!$A$6:$A$179,Paramètrage!$D$6:$D$179))</f>
        <v/>
      </c>
      <c r="N928" s="3" t="str">
        <f>IF(W928="","",LOOKUP('Extraction edi'!J928,Paramètrage!$A$6:$A$179,Paramètrage!$E$6:$E$179))</f>
        <v/>
      </c>
      <c r="O928" s="3" t="str">
        <f t="shared" si="288"/>
        <v/>
      </c>
      <c r="P928" s="3" t="str">
        <f t="shared" si="289"/>
        <v/>
      </c>
      <c r="Q928" s="3" t="str">
        <f t="shared" si="277"/>
        <v/>
      </c>
      <c r="R928" s="3" t="str">
        <f t="shared" si="290"/>
        <v/>
      </c>
      <c r="S928" s="3" t="str">
        <f t="shared" si="291"/>
        <v/>
      </c>
      <c r="T928" s="4" t="str">
        <f t="shared" si="292"/>
        <v/>
      </c>
      <c r="U928" s="5" t="str">
        <f t="shared" si="293"/>
        <v/>
      </c>
      <c r="V928" s="7" t="str">
        <f>IF(W928="","",IF(LOOKUP(W928,'Extration 3E date commande'!$A$6:$A$10000)=W928,LOOKUP(W928,'Extration 3E date commande'!$A$6:$A$10000,'Extration 3E date commande'!$C$6:$C$10000),"PAS DE DATE"))</f>
        <v/>
      </c>
    </row>
    <row r="929" spans="1:22" x14ac:dyDescent="0.25">
      <c r="A929" s="3" t="str">
        <f t="shared" si="278"/>
        <v/>
      </c>
      <c r="B929" s="3" t="str">
        <f t="shared" si="279"/>
        <v/>
      </c>
      <c r="C929" s="3" t="str">
        <f t="shared" si="280"/>
        <v/>
      </c>
      <c r="D929" s="3" t="str">
        <f t="shared" si="281"/>
        <v/>
      </c>
      <c r="E929" s="3" t="str">
        <f t="shared" si="282"/>
        <v/>
      </c>
      <c r="F929" s="3" t="str">
        <f t="shared" si="283"/>
        <v/>
      </c>
      <c r="G929" s="3" t="str">
        <f t="shared" si="284"/>
        <v/>
      </c>
      <c r="H929" s="3" t="str">
        <f t="shared" si="285"/>
        <v/>
      </c>
      <c r="I929" s="3" t="str">
        <f t="shared" si="286"/>
        <v/>
      </c>
      <c r="J929" s="2" t="str">
        <f t="shared" si="287"/>
        <v/>
      </c>
      <c r="K929" s="2" t="str">
        <f>IF(W929="","",LOOKUP('Extraction edi'!J929,Paramètrage!$A$6:$A$179,Paramètrage!$B$6:$B$179))</f>
        <v/>
      </c>
      <c r="L929" s="2" t="str">
        <f>IF(W929="","",LOOKUP('Extraction edi'!J929,Paramètrage!$A$6:$A$179,Paramètrage!$C$6:$C$179))</f>
        <v/>
      </c>
      <c r="M929" s="2" t="str">
        <f>IF(W929="","",LOOKUP('Extraction edi'!J929,Paramètrage!$A$6:$A$179,Paramètrage!$D$6:$D$179))</f>
        <v/>
      </c>
      <c r="N929" s="3" t="str">
        <f>IF(W929="","",LOOKUP('Extraction edi'!J929,Paramètrage!$A$6:$A$179,Paramètrage!$E$6:$E$179))</f>
        <v/>
      </c>
      <c r="O929" s="3" t="str">
        <f t="shared" si="288"/>
        <v/>
      </c>
      <c r="P929" s="3" t="str">
        <f t="shared" si="289"/>
        <v/>
      </c>
      <c r="Q929" s="3" t="str">
        <f t="shared" si="277"/>
        <v/>
      </c>
      <c r="R929" s="3" t="str">
        <f t="shared" si="290"/>
        <v/>
      </c>
      <c r="S929" s="3" t="str">
        <f t="shared" si="291"/>
        <v/>
      </c>
      <c r="T929" s="4" t="str">
        <f t="shared" si="292"/>
        <v/>
      </c>
      <c r="U929" s="5" t="str">
        <f t="shared" si="293"/>
        <v/>
      </c>
      <c r="V929" s="7" t="str">
        <f>IF(W929="","",IF(LOOKUP(W929,'Extration 3E date commande'!$A$6:$A$10000)=W929,LOOKUP(W929,'Extration 3E date commande'!$A$6:$A$10000,'Extration 3E date commande'!$C$6:$C$10000),"PAS DE DATE"))</f>
        <v/>
      </c>
    </row>
    <row r="930" spans="1:22" x14ac:dyDescent="0.25">
      <c r="A930" s="3" t="str">
        <f t="shared" si="278"/>
        <v/>
      </c>
      <c r="B930" s="3" t="str">
        <f t="shared" si="279"/>
        <v/>
      </c>
      <c r="C930" s="3" t="str">
        <f t="shared" si="280"/>
        <v/>
      </c>
      <c r="D930" s="3" t="str">
        <f t="shared" si="281"/>
        <v/>
      </c>
      <c r="E930" s="3" t="str">
        <f t="shared" si="282"/>
        <v/>
      </c>
      <c r="F930" s="3" t="str">
        <f t="shared" si="283"/>
        <v/>
      </c>
      <c r="G930" s="3" t="str">
        <f t="shared" si="284"/>
        <v/>
      </c>
      <c r="H930" s="3" t="str">
        <f t="shared" si="285"/>
        <v/>
      </c>
      <c r="I930" s="3" t="str">
        <f t="shared" si="286"/>
        <v/>
      </c>
      <c r="J930" s="2" t="str">
        <f t="shared" si="287"/>
        <v/>
      </c>
      <c r="K930" s="2" t="str">
        <f>IF(W930="","",LOOKUP('Extraction edi'!J930,Paramètrage!$A$6:$A$179,Paramètrage!$B$6:$B$179))</f>
        <v/>
      </c>
      <c r="L930" s="2" t="str">
        <f>IF(W930="","",LOOKUP('Extraction edi'!J930,Paramètrage!$A$6:$A$179,Paramètrage!$C$6:$C$179))</f>
        <v/>
      </c>
      <c r="M930" s="2" t="str">
        <f>IF(W930="","",LOOKUP('Extraction edi'!J930,Paramètrage!$A$6:$A$179,Paramètrage!$D$6:$D$179))</f>
        <v/>
      </c>
      <c r="N930" s="3" t="str">
        <f>IF(W930="","",LOOKUP('Extraction edi'!J930,Paramètrage!$A$6:$A$179,Paramètrage!$E$6:$E$179))</f>
        <v/>
      </c>
      <c r="O930" s="3" t="str">
        <f t="shared" si="288"/>
        <v/>
      </c>
      <c r="P930" s="3" t="str">
        <f t="shared" si="289"/>
        <v/>
      </c>
      <c r="Q930" s="3" t="str">
        <f t="shared" si="277"/>
        <v/>
      </c>
      <c r="R930" s="3" t="str">
        <f t="shared" si="290"/>
        <v/>
      </c>
      <c r="S930" s="3" t="str">
        <f t="shared" si="291"/>
        <v/>
      </c>
      <c r="T930" s="4" t="str">
        <f t="shared" si="292"/>
        <v/>
      </c>
      <c r="U930" s="5" t="str">
        <f t="shared" si="293"/>
        <v/>
      </c>
      <c r="V930" s="7" t="str">
        <f>IF(W930="","",IF(LOOKUP(W930,'Extration 3E date commande'!$A$6:$A$10000)=W930,LOOKUP(W930,'Extration 3E date commande'!$A$6:$A$10000,'Extration 3E date commande'!$C$6:$C$10000),"PAS DE DATE"))</f>
        <v/>
      </c>
    </row>
    <row r="931" spans="1:22" x14ac:dyDescent="0.25">
      <c r="A931" s="3" t="str">
        <f t="shared" si="278"/>
        <v/>
      </c>
      <c r="B931" s="3" t="str">
        <f t="shared" si="279"/>
        <v/>
      </c>
      <c r="C931" s="3" t="str">
        <f t="shared" si="280"/>
        <v/>
      </c>
      <c r="D931" s="3" t="str">
        <f t="shared" si="281"/>
        <v/>
      </c>
      <c r="E931" s="3" t="str">
        <f t="shared" si="282"/>
        <v/>
      </c>
      <c r="F931" s="3" t="str">
        <f t="shared" si="283"/>
        <v/>
      </c>
      <c r="G931" s="3" t="str">
        <f t="shared" si="284"/>
        <v/>
      </c>
      <c r="H931" s="3" t="str">
        <f t="shared" si="285"/>
        <v/>
      </c>
      <c r="I931" s="3" t="str">
        <f t="shared" si="286"/>
        <v/>
      </c>
      <c r="J931" s="2" t="str">
        <f t="shared" si="287"/>
        <v/>
      </c>
      <c r="K931" s="2" t="str">
        <f>IF(W931="","",LOOKUP('Extraction edi'!J931,Paramètrage!$A$6:$A$179,Paramètrage!$B$6:$B$179))</f>
        <v/>
      </c>
      <c r="L931" s="2" t="str">
        <f>IF(W931="","",LOOKUP('Extraction edi'!J931,Paramètrage!$A$6:$A$179,Paramètrage!$C$6:$C$179))</f>
        <v/>
      </c>
      <c r="M931" s="2" t="str">
        <f>IF(W931="","",LOOKUP('Extraction edi'!J931,Paramètrage!$A$6:$A$179,Paramètrage!$D$6:$D$179))</f>
        <v/>
      </c>
      <c r="N931" s="3" t="str">
        <f>IF(W931="","",LOOKUP('Extraction edi'!J931,Paramètrage!$A$6:$A$179,Paramètrage!$E$6:$E$179))</f>
        <v/>
      </c>
      <c r="O931" s="3" t="str">
        <f t="shared" si="288"/>
        <v/>
      </c>
      <c r="P931" s="3" t="str">
        <f t="shared" si="289"/>
        <v/>
      </c>
      <c r="Q931" s="3" t="str">
        <f t="shared" si="277"/>
        <v/>
      </c>
      <c r="R931" s="3" t="str">
        <f t="shared" si="290"/>
        <v/>
      </c>
      <c r="S931" s="3" t="str">
        <f t="shared" si="291"/>
        <v/>
      </c>
      <c r="T931" s="4" t="str">
        <f t="shared" si="292"/>
        <v/>
      </c>
      <c r="U931" s="5" t="str">
        <f t="shared" si="293"/>
        <v/>
      </c>
      <c r="V931" s="7" t="str">
        <f>IF(W931="","",IF(LOOKUP(W931,'Extration 3E date commande'!$A$6:$A$10000)=W931,LOOKUP(W931,'Extration 3E date commande'!$A$6:$A$10000,'Extration 3E date commande'!$C$6:$C$10000),"PAS DE DATE"))</f>
        <v/>
      </c>
    </row>
    <row r="932" spans="1:22" x14ac:dyDescent="0.25">
      <c r="A932" s="3" t="str">
        <f t="shared" si="278"/>
        <v/>
      </c>
      <c r="B932" s="3" t="str">
        <f t="shared" si="279"/>
        <v/>
      </c>
      <c r="C932" s="3" t="str">
        <f t="shared" si="280"/>
        <v/>
      </c>
      <c r="D932" s="3" t="str">
        <f t="shared" si="281"/>
        <v/>
      </c>
      <c r="E932" s="3" t="str">
        <f t="shared" si="282"/>
        <v/>
      </c>
      <c r="F932" s="3" t="str">
        <f t="shared" si="283"/>
        <v/>
      </c>
      <c r="G932" s="3" t="str">
        <f t="shared" si="284"/>
        <v/>
      </c>
      <c r="H932" s="3" t="str">
        <f t="shared" si="285"/>
        <v/>
      </c>
      <c r="I932" s="3" t="str">
        <f t="shared" si="286"/>
        <v/>
      </c>
      <c r="J932" s="2" t="str">
        <f t="shared" si="287"/>
        <v/>
      </c>
      <c r="K932" s="2" t="str">
        <f>IF(W932="","",LOOKUP('Extraction edi'!J932,Paramètrage!$A$6:$A$179,Paramètrage!$B$6:$B$179))</f>
        <v/>
      </c>
      <c r="L932" s="2" t="str">
        <f>IF(W932="","",LOOKUP('Extraction edi'!J932,Paramètrage!$A$6:$A$179,Paramètrage!$C$6:$C$179))</f>
        <v/>
      </c>
      <c r="M932" s="2" t="str">
        <f>IF(W932="","",LOOKUP('Extraction edi'!J932,Paramètrage!$A$6:$A$179,Paramètrage!$D$6:$D$179))</f>
        <v/>
      </c>
      <c r="N932" s="3" t="str">
        <f>IF(W932="","",LOOKUP('Extraction edi'!J932,Paramètrage!$A$6:$A$179,Paramètrage!$E$6:$E$179))</f>
        <v/>
      </c>
      <c r="O932" s="3" t="str">
        <f t="shared" si="288"/>
        <v/>
      </c>
      <c r="P932" s="3" t="str">
        <f t="shared" si="289"/>
        <v/>
      </c>
      <c r="Q932" s="3" t="str">
        <f t="shared" si="277"/>
        <v/>
      </c>
      <c r="R932" s="3" t="str">
        <f t="shared" si="290"/>
        <v/>
      </c>
      <c r="S932" s="3" t="str">
        <f t="shared" si="291"/>
        <v/>
      </c>
      <c r="T932" s="4" t="str">
        <f t="shared" si="292"/>
        <v/>
      </c>
      <c r="U932" s="5" t="str">
        <f t="shared" si="293"/>
        <v/>
      </c>
      <c r="V932" s="7" t="str">
        <f>IF(W932="","",IF(LOOKUP(W932,'Extration 3E date commande'!$A$6:$A$10000)=W932,LOOKUP(W932,'Extration 3E date commande'!$A$6:$A$10000,'Extration 3E date commande'!$C$6:$C$10000),"PAS DE DATE"))</f>
        <v/>
      </c>
    </row>
    <row r="933" spans="1:22" x14ac:dyDescent="0.25">
      <c r="A933" s="3" t="str">
        <f t="shared" si="278"/>
        <v/>
      </c>
      <c r="B933" s="3" t="str">
        <f t="shared" si="279"/>
        <v/>
      </c>
      <c r="C933" s="3" t="str">
        <f t="shared" si="280"/>
        <v/>
      </c>
      <c r="D933" s="3" t="str">
        <f t="shared" si="281"/>
        <v/>
      </c>
      <c r="E933" s="3" t="str">
        <f t="shared" si="282"/>
        <v/>
      </c>
      <c r="F933" s="3" t="str">
        <f t="shared" si="283"/>
        <v/>
      </c>
      <c r="G933" s="3" t="str">
        <f t="shared" si="284"/>
        <v/>
      </c>
      <c r="H933" s="3" t="str">
        <f t="shared" si="285"/>
        <v/>
      </c>
      <c r="I933" s="3" t="str">
        <f t="shared" si="286"/>
        <v/>
      </c>
      <c r="J933" s="2" t="str">
        <f t="shared" si="287"/>
        <v/>
      </c>
      <c r="K933" s="2" t="str">
        <f>IF(W933="","",LOOKUP('Extraction edi'!J933,Paramètrage!$A$6:$A$179,Paramètrage!$B$6:$B$179))</f>
        <v/>
      </c>
      <c r="L933" s="2" t="str">
        <f>IF(W933="","",LOOKUP('Extraction edi'!J933,Paramètrage!$A$6:$A$179,Paramètrage!$C$6:$C$179))</f>
        <v/>
      </c>
      <c r="M933" s="2" t="str">
        <f>IF(W933="","",LOOKUP('Extraction edi'!J933,Paramètrage!$A$6:$A$179,Paramètrage!$D$6:$D$179))</f>
        <v/>
      </c>
      <c r="N933" s="3" t="str">
        <f>IF(W933="","",LOOKUP('Extraction edi'!J933,Paramètrage!$A$6:$A$179,Paramètrage!$E$6:$E$179))</f>
        <v/>
      </c>
      <c r="O933" s="3" t="str">
        <f t="shared" si="288"/>
        <v/>
      </c>
      <c r="P933" s="3" t="str">
        <f t="shared" si="289"/>
        <v/>
      </c>
      <c r="Q933" s="3" t="str">
        <f t="shared" si="277"/>
        <v/>
      </c>
      <c r="R933" s="3" t="str">
        <f t="shared" si="290"/>
        <v/>
      </c>
      <c r="S933" s="3" t="str">
        <f t="shared" si="291"/>
        <v/>
      </c>
      <c r="T933" s="4" t="str">
        <f t="shared" si="292"/>
        <v/>
      </c>
      <c r="U933" s="5" t="str">
        <f t="shared" si="293"/>
        <v/>
      </c>
      <c r="V933" s="7" t="str">
        <f>IF(W933="","",IF(LOOKUP(W933,'Extration 3E date commande'!$A$6:$A$10000)=W933,LOOKUP(W933,'Extration 3E date commande'!$A$6:$A$10000,'Extration 3E date commande'!$C$6:$C$10000),"PAS DE DATE"))</f>
        <v/>
      </c>
    </row>
    <row r="934" spans="1:22" x14ac:dyDescent="0.25">
      <c r="A934" s="3" t="str">
        <f t="shared" si="278"/>
        <v/>
      </c>
      <c r="B934" s="3" t="str">
        <f t="shared" si="279"/>
        <v/>
      </c>
      <c r="C934" s="3" t="str">
        <f t="shared" si="280"/>
        <v/>
      </c>
      <c r="D934" s="3" t="str">
        <f t="shared" si="281"/>
        <v/>
      </c>
      <c r="E934" s="3" t="str">
        <f t="shared" si="282"/>
        <v/>
      </c>
      <c r="F934" s="3" t="str">
        <f t="shared" si="283"/>
        <v/>
      </c>
      <c r="G934" s="3" t="str">
        <f t="shared" si="284"/>
        <v/>
      </c>
      <c r="H934" s="3" t="str">
        <f t="shared" si="285"/>
        <v/>
      </c>
      <c r="I934" s="3" t="str">
        <f t="shared" si="286"/>
        <v/>
      </c>
      <c r="J934" s="2" t="str">
        <f t="shared" si="287"/>
        <v/>
      </c>
      <c r="K934" s="2" t="str">
        <f>IF(W934="","",LOOKUP('Extraction edi'!J934,Paramètrage!$A$6:$A$179,Paramètrage!$B$6:$B$179))</f>
        <v/>
      </c>
      <c r="L934" s="2" t="str">
        <f>IF(W934="","",LOOKUP('Extraction edi'!J934,Paramètrage!$A$6:$A$179,Paramètrage!$C$6:$C$179))</f>
        <v/>
      </c>
      <c r="M934" s="2" t="str">
        <f>IF(W934="","",LOOKUP('Extraction edi'!J934,Paramètrage!$A$6:$A$179,Paramètrage!$D$6:$D$179))</f>
        <v/>
      </c>
      <c r="N934" s="3" t="str">
        <f>IF(W934="","",LOOKUP('Extraction edi'!J934,Paramètrage!$A$6:$A$179,Paramètrage!$E$6:$E$179))</f>
        <v/>
      </c>
      <c r="O934" s="3" t="str">
        <f t="shared" si="288"/>
        <v/>
      </c>
      <c r="P934" s="3" t="str">
        <f t="shared" si="289"/>
        <v/>
      </c>
      <c r="Q934" s="3" t="str">
        <f t="shared" si="277"/>
        <v/>
      </c>
      <c r="R934" s="3" t="str">
        <f t="shared" si="290"/>
        <v/>
      </c>
      <c r="S934" s="3" t="str">
        <f t="shared" si="291"/>
        <v/>
      </c>
      <c r="T934" s="4" t="str">
        <f t="shared" si="292"/>
        <v/>
      </c>
      <c r="U934" s="5" t="str">
        <f t="shared" si="293"/>
        <v/>
      </c>
      <c r="V934" s="7" t="str">
        <f>IF(W934="","",IF(LOOKUP(W934,'Extration 3E date commande'!$A$6:$A$10000)=W934,LOOKUP(W934,'Extration 3E date commande'!$A$6:$A$10000,'Extration 3E date commande'!$C$6:$C$10000),"PAS DE DATE"))</f>
        <v/>
      </c>
    </row>
    <row r="935" spans="1:22" x14ac:dyDescent="0.25">
      <c r="A935" s="3" t="str">
        <f t="shared" si="278"/>
        <v/>
      </c>
      <c r="B935" s="3" t="str">
        <f t="shared" si="279"/>
        <v/>
      </c>
      <c r="C935" s="3" t="str">
        <f t="shared" si="280"/>
        <v/>
      </c>
      <c r="D935" s="3" t="str">
        <f t="shared" si="281"/>
        <v/>
      </c>
      <c r="E935" s="3" t="str">
        <f t="shared" si="282"/>
        <v/>
      </c>
      <c r="F935" s="3" t="str">
        <f t="shared" si="283"/>
        <v/>
      </c>
      <c r="G935" s="3" t="str">
        <f t="shared" si="284"/>
        <v/>
      </c>
      <c r="H935" s="3" t="str">
        <f t="shared" si="285"/>
        <v/>
      </c>
      <c r="I935" s="3" t="str">
        <f t="shared" si="286"/>
        <v/>
      </c>
      <c r="J935" s="2" t="str">
        <f t="shared" si="287"/>
        <v/>
      </c>
      <c r="K935" s="2" t="str">
        <f>IF(W935="","",LOOKUP('Extraction edi'!J935,Paramètrage!$A$6:$A$179,Paramètrage!$B$6:$B$179))</f>
        <v/>
      </c>
      <c r="L935" s="2" t="str">
        <f>IF(W935="","",LOOKUP('Extraction edi'!J935,Paramètrage!$A$6:$A$179,Paramètrage!$C$6:$C$179))</f>
        <v/>
      </c>
      <c r="M935" s="2" t="str">
        <f>IF(W935="","",LOOKUP('Extraction edi'!J935,Paramètrage!$A$6:$A$179,Paramètrage!$D$6:$D$179))</f>
        <v/>
      </c>
      <c r="N935" s="3" t="str">
        <f>IF(W935="","",LOOKUP('Extraction edi'!J935,Paramètrage!$A$6:$A$179,Paramètrage!$E$6:$E$179))</f>
        <v/>
      </c>
      <c r="O935" s="3" t="str">
        <f t="shared" si="288"/>
        <v/>
      </c>
      <c r="P935" s="3" t="str">
        <f t="shared" si="289"/>
        <v/>
      </c>
      <c r="Q935" s="3" t="str">
        <f t="shared" si="277"/>
        <v/>
      </c>
      <c r="R935" s="3" t="str">
        <f t="shared" si="290"/>
        <v/>
      </c>
      <c r="S935" s="3" t="str">
        <f t="shared" si="291"/>
        <v/>
      </c>
      <c r="T935" s="4" t="str">
        <f t="shared" si="292"/>
        <v/>
      </c>
      <c r="U935" s="5" t="str">
        <f t="shared" si="293"/>
        <v/>
      </c>
      <c r="V935" s="7" t="str">
        <f>IF(W935="","",IF(LOOKUP(W935,'Extration 3E date commande'!$A$6:$A$10000)=W935,LOOKUP(W935,'Extration 3E date commande'!$A$6:$A$10000,'Extration 3E date commande'!$C$6:$C$10000),"PAS DE DATE"))</f>
        <v/>
      </c>
    </row>
    <row r="936" spans="1:22" x14ac:dyDescent="0.25">
      <c r="A936" s="3" t="str">
        <f t="shared" si="278"/>
        <v/>
      </c>
      <c r="B936" s="3" t="str">
        <f t="shared" si="279"/>
        <v/>
      </c>
      <c r="C936" s="3" t="str">
        <f t="shared" si="280"/>
        <v/>
      </c>
      <c r="D936" s="3" t="str">
        <f t="shared" si="281"/>
        <v/>
      </c>
      <c r="E936" s="3" t="str">
        <f t="shared" si="282"/>
        <v/>
      </c>
      <c r="F936" s="3" t="str">
        <f t="shared" si="283"/>
        <v/>
      </c>
      <c r="G936" s="3" t="str">
        <f t="shared" si="284"/>
        <v/>
      </c>
      <c r="H936" s="3" t="str">
        <f t="shared" si="285"/>
        <v/>
      </c>
      <c r="I936" s="3" t="str">
        <f t="shared" si="286"/>
        <v/>
      </c>
      <c r="J936" s="2" t="str">
        <f t="shared" si="287"/>
        <v/>
      </c>
      <c r="K936" s="2" t="str">
        <f>IF(W936="","",LOOKUP('Extraction edi'!J936,Paramètrage!$A$6:$A$179,Paramètrage!$B$6:$B$179))</f>
        <v/>
      </c>
      <c r="L936" s="2" t="str">
        <f>IF(W936="","",LOOKUP('Extraction edi'!J936,Paramètrage!$A$6:$A$179,Paramètrage!$C$6:$C$179))</f>
        <v/>
      </c>
      <c r="M936" s="2" t="str">
        <f>IF(W936="","",LOOKUP('Extraction edi'!J936,Paramètrage!$A$6:$A$179,Paramètrage!$D$6:$D$179))</f>
        <v/>
      </c>
      <c r="N936" s="3" t="str">
        <f>IF(W936="","",LOOKUP('Extraction edi'!J936,Paramètrage!$A$6:$A$179,Paramètrage!$E$6:$E$179))</f>
        <v/>
      </c>
      <c r="O936" s="3" t="str">
        <f t="shared" si="288"/>
        <v/>
      </c>
      <c r="P936" s="3" t="str">
        <f t="shared" si="289"/>
        <v/>
      </c>
      <c r="Q936" s="3" t="str">
        <f t="shared" si="277"/>
        <v/>
      </c>
      <c r="R936" s="3" t="str">
        <f t="shared" si="290"/>
        <v/>
      </c>
      <c r="S936" s="3" t="str">
        <f t="shared" si="291"/>
        <v/>
      </c>
      <c r="T936" s="4" t="str">
        <f t="shared" si="292"/>
        <v/>
      </c>
      <c r="U936" s="5" t="str">
        <f t="shared" si="293"/>
        <v/>
      </c>
      <c r="V936" s="7" t="str">
        <f>IF(W936="","",IF(LOOKUP(W936,'Extration 3E date commande'!$A$6:$A$10000)=W936,LOOKUP(W936,'Extration 3E date commande'!$A$6:$A$10000,'Extration 3E date commande'!$C$6:$C$10000),"PAS DE DATE"))</f>
        <v/>
      </c>
    </row>
    <row r="937" spans="1:22" x14ac:dyDescent="0.25">
      <c r="A937" s="3" t="str">
        <f t="shared" si="278"/>
        <v/>
      </c>
      <c r="B937" s="3" t="str">
        <f t="shared" si="279"/>
        <v/>
      </c>
      <c r="C937" s="3" t="str">
        <f t="shared" si="280"/>
        <v/>
      </c>
      <c r="D937" s="3" t="str">
        <f t="shared" si="281"/>
        <v/>
      </c>
      <c r="E937" s="3" t="str">
        <f t="shared" si="282"/>
        <v/>
      </c>
      <c r="F937" s="3" t="str">
        <f t="shared" si="283"/>
        <v/>
      </c>
      <c r="G937" s="3" t="str">
        <f t="shared" si="284"/>
        <v/>
      </c>
      <c r="H937" s="3" t="str">
        <f t="shared" si="285"/>
        <v/>
      </c>
      <c r="I937" s="3" t="str">
        <f t="shared" si="286"/>
        <v/>
      </c>
      <c r="J937" s="2" t="str">
        <f t="shared" si="287"/>
        <v/>
      </c>
      <c r="K937" s="2" t="str">
        <f>IF(W937="","",LOOKUP('Extraction edi'!J937,Paramètrage!$A$6:$A$179,Paramètrage!$B$6:$B$179))</f>
        <v/>
      </c>
      <c r="L937" s="2" t="str">
        <f>IF(W937="","",LOOKUP('Extraction edi'!J937,Paramètrage!$A$6:$A$179,Paramètrage!$C$6:$C$179))</f>
        <v/>
      </c>
      <c r="M937" s="2" t="str">
        <f>IF(W937="","",LOOKUP('Extraction edi'!J937,Paramètrage!$A$6:$A$179,Paramètrage!$D$6:$D$179))</f>
        <v/>
      </c>
      <c r="N937" s="3" t="str">
        <f>IF(W937="","",LOOKUP('Extraction edi'!J937,Paramètrage!$A$6:$A$179,Paramètrage!$E$6:$E$179))</f>
        <v/>
      </c>
      <c r="O937" s="3" t="str">
        <f t="shared" si="288"/>
        <v/>
      </c>
      <c r="P937" s="3" t="str">
        <f t="shared" si="289"/>
        <v/>
      </c>
      <c r="Q937" s="3" t="str">
        <f t="shared" si="277"/>
        <v/>
      </c>
      <c r="R937" s="3" t="str">
        <f t="shared" si="290"/>
        <v/>
      </c>
      <c r="S937" s="3" t="str">
        <f t="shared" si="291"/>
        <v/>
      </c>
      <c r="T937" s="4" t="str">
        <f t="shared" si="292"/>
        <v/>
      </c>
      <c r="U937" s="5" t="str">
        <f t="shared" si="293"/>
        <v/>
      </c>
      <c r="V937" s="7" t="str">
        <f>IF(W937="","",IF(LOOKUP(W937,'Extration 3E date commande'!$A$6:$A$10000)=W937,LOOKUP(W937,'Extration 3E date commande'!$A$6:$A$10000,'Extration 3E date commande'!$C$6:$C$10000),"PAS DE DATE"))</f>
        <v/>
      </c>
    </row>
    <row r="938" spans="1:22" x14ac:dyDescent="0.25">
      <c r="A938" s="3" t="str">
        <f t="shared" si="278"/>
        <v/>
      </c>
      <c r="B938" s="3" t="str">
        <f t="shared" si="279"/>
        <v/>
      </c>
      <c r="C938" s="3" t="str">
        <f t="shared" si="280"/>
        <v/>
      </c>
      <c r="D938" s="3" t="str">
        <f t="shared" si="281"/>
        <v/>
      </c>
      <c r="E938" s="3" t="str">
        <f t="shared" si="282"/>
        <v/>
      </c>
      <c r="F938" s="3" t="str">
        <f t="shared" si="283"/>
        <v/>
      </c>
      <c r="G938" s="3" t="str">
        <f t="shared" si="284"/>
        <v/>
      </c>
      <c r="H938" s="3" t="str">
        <f t="shared" si="285"/>
        <v/>
      </c>
      <c r="I938" s="3" t="str">
        <f t="shared" si="286"/>
        <v/>
      </c>
      <c r="J938" s="2" t="str">
        <f t="shared" si="287"/>
        <v/>
      </c>
      <c r="K938" s="2" t="str">
        <f>IF(W938="","",LOOKUP('Extraction edi'!J938,Paramètrage!$A$6:$A$179,Paramètrage!$B$6:$B$179))</f>
        <v/>
      </c>
      <c r="L938" s="2" t="str">
        <f>IF(W938="","",LOOKUP('Extraction edi'!J938,Paramètrage!$A$6:$A$179,Paramètrage!$C$6:$C$179))</f>
        <v/>
      </c>
      <c r="M938" s="2" t="str">
        <f>IF(W938="","",LOOKUP('Extraction edi'!J938,Paramètrage!$A$6:$A$179,Paramètrage!$D$6:$D$179))</f>
        <v/>
      </c>
      <c r="N938" s="3" t="str">
        <f>IF(W938="","",LOOKUP('Extraction edi'!J938,Paramètrage!$A$6:$A$179,Paramètrage!$E$6:$E$179))</f>
        <v/>
      </c>
      <c r="O938" s="3" t="str">
        <f t="shared" si="288"/>
        <v/>
      </c>
      <c r="P938" s="3" t="str">
        <f t="shared" si="289"/>
        <v/>
      </c>
      <c r="Q938" s="3" t="str">
        <f t="shared" si="277"/>
        <v/>
      </c>
      <c r="R938" s="3" t="str">
        <f t="shared" si="290"/>
        <v/>
      </c>
      <c r="S938" s="3" t="str">
        <f t="shared" si="291"/>
        <v/>
      </c>
      <c r="T938" s="4" t="str">
        <f t="shared" si="292"/>
        <v/>
      </c>
      <c r="U938" s="5" t="str">
        <f t="shared" si="293"/>
        <v/>
      </c>
      <c r="V938" s="7" t="str">
        <f>IF(W938="","",IF(LOOKUP(W938,'Extration 3E date commande'!$A$6:$A$10000)=W938,LOOKUP(W938,'Extration 3E date commande'!$A$6:$A$10000,'Extration 3E date commande'!$C$6:$C$10000),"PAS DE DATE"))</f>
        <v/>
      </c>
    </row>
    <row r="939" spans="1:22" x14ac:dyDescent="0.25">
      <c r="A939" s="3" t="str">
        <f t="shared" si="278"/>
        <v/>
      </c>
      <c r="B939" s="3" t="str">
        <f t="shared" si="279"/>
        <v/>
      </c>
      <c r="C939" s="3" t="str">
        <f t="shared" si="280"/>
        <v/>
      </c>
      <c r="D939" s="3" t="str">
        <f t="shared" si="281"/>
        <v/>
      </c>
      <c r="E939" s="3" t="str">
        <f t="shared" si="282"/>
        <v/>
      </c>
      <c r="F939" s="3" t="str">
        <f t="shared" si="283"/>
        <v/>
      </c>
      <c r="G939" s="3" t="str">
        <f t="shared" si="284"/>
        <v/>
      </c>
      <c r="H939" s="3" t="str">
        <f t="shared" si="285"/>
        <v/>
      </c>
      <c r="I939" s="3" t="str">
        <f t="shared" si="286"/>
        <v/>
      </c>
      <c r="J939" s="2" t="str">
        <f t="shared" si="287"/>
        <v/>
      </c>
      <c r="K939" s="2" t="str">
        <f>IF(W939="","",LOOKUP('Extraction edi'!J939,Paramètrage!$A$6:$A$179,Paramètrage!$B$6:$B$179))</f>
        <v/>
      </c>
      <c r="L939" s="2" t="str">
        <f>IF(W939="","",LOOKUP('Extraction edi'!J939,Paramètrage!$A$6:$A$179,Paramètrage!$C$6:$C$179))</f>
        <v/>
      </c>
      <c r="M939" s="2" t="str">
        <f>IF(W939="","",LOOKUP('Extraction edi'!J939,Paramètrage!$A$6:$A$179,Paramètrage!$D$6:$D$179))</f>
        <v/>
      </c>
      <c r="N939" s="3" t="str">
        <f>IF(W939="","",LOOKUP('Extraction edi'!J939,Paramètrage!$A$6:$A$179,Paramètrage!$E$6:$E$179))</f>
        <v/>
      </c>
      <c r="O939" s="3" t="str">
        <f t="shared" si="288"/>
        <v/>
      </c>
      <c r="P939" s="3" t="str">
        <f t="shared" si="289"/>
        <v/>
      </c>
      <c r="Q939" s="3" t="str">
        <f t="shared" si="277"/>
        <v/>
      </c>
      <c r="R939" s="3" t="str">
        <f t="shared" si="290"/>
        <v/>
      </c>
      <c r="S939" s="3" t="str">
        <f t="shared" si="291"/>
        <v/>
      </c>
      <c r="T939" s="4" t="str">
        <f t="shared" si="292"/>
        <v/>
      </c>
      <c r="U939" s="5" t="str">
        <f t="shared" si="293"/>
        <v/>
      </c>
      <c r="V939" s="7" t="str">
        <f>IF(W939="","",IF(LOOKUP(W939,'Extration 3E date commande'!$A$6:$A$10000)=W939,LOOKUP(W939,'Extration 3E date commande'!$A$6:$A$10000,'Extration 3E date commande'!$C$6:$C$10000),"PAS DE DATE"))</f>
        <v/>
      </c>
    </row>
    <row r="940" spans="1:22" x14ac:dyDescent="0.25">
      <c r="A940" s="3" t="str">
        <f t="shared" si="278"/>
        <v/>
      </c>
      <c r="B940" s="3" t="str">
        <f t="shared" si="279"/>
        <v/>
      </c>
      <c r="C940" s="3" t="str">
        <f t="shared" si="280"/>
        <v/>
      </c>
      <c r="D940" s="3" t="str">
        <f t="shared" si="281"/>
        <v/>
      </c>
      <c r="E940" s="3" t="str">
        <f t="shared" si="282"/>
        <v/>
      </c>
      <c r="F940" s="3" t="str">
        <f t="shared" si="283"/>
        <v/>
      </c>
      <c r="G940" s="3" t="str">
        <f t="shared" si="284"/>
        <v/>
      </c>
      <c r="H940" s="3" t="str">
        <f t="shared" si="285"/>
        <v/>
      </c>
      <c r="I940" s="3" t="str">
        <f t="shared" si="286"/>
        <v/>
      </c>
      <c r="J940" s="2" t="str">
        <f t="shared" si="287"/>
        <v/>
      </c>
      <c r="K940" s="2" t="str">
        <f>IF(W940="","",LOOKUP('Extraction edi'!J940,Paramètrage!$A$6:$A$179,Paramètrage!$B$6:$B$179))</f>
        <v/>
      </c>
      <c r="L940" s="2" t="str">
        <f>IF(W940="","",LOOKUP('Extraction edi'!J940,Paramètrage!$A$6:$A$179,Paramètrage!$C$6:$C$179))</f>
        <v/>
      </c>
      <c r="M940" s="2" t="str">
        <f>IF(W940="","",LOOKUP('Extraction edi'!J940,Paramètrage!$A$6:$A$179,Paramètrage!$D$6:$D$179))</f>
        <v/>
      </c>
      <c r="N940" s="3" t="str">
        <f>IF(W940="","",LOOKUP('Extraction edi'!J940,Paramètrage!$A$6:$A$179,Paramètrage!$E$6:$E$179))</f>
        <v/>
      </c>
      <c r="O940" s="3" t="str">
        <f t="shared" si="288"/>
        <v/>
      </c>
      <c r="P940" s="3" t="str">
        <f t="shared" si="289"/>
        <v/>
      </c>
      <c r="Q940" s="3" t="str">
        <f t="shared" si="277"/>
        <v/>
      </c>
      <c r="R940" s="3" t="str">
        <f t="shared" si="290"/>
        <v/>
      </c>
      <c r="S940" s="3" t="str">
        <f t="shared" si="291"/>
        <v/>
      </c>
      <c r="T940" s="4" t="str">
        <f t="shared" si="292"/>
        <v/>
      </c>
      <c r="U940" s="5" t="str">
        <f t="shared" si="293"/>
        <v/>
      </c>
      <c r="V940" s="7" t="str">
        <f>IF(W940="","",IF(LOOKUP(W940,'Extration 3E date commande'!$A$6:$A$10000)=W940,LOOKUP(W940,'Extration 3E date commande'!$A$6:$A$10000,'Extration 3E date commande'!$C$6:$C$10000),"PAS DE DATE"))</f>
        <v/>
      </c>
    </row>
    <row r="941" spans="1:22" x14ac:dyDescent="0.25">
      <c r="A941" s="3" t="str">
        <f t="shared" si="278"/>
        <v/>
      </c>
      <c r="B941" s="3" t="str">
        <f t="shared" si="279"/>
        <v/>
      </c>
      <c r="C941" s="3" t="str">
        <f t="shared" si="280"/>
        <v/>
      </c>
      <c r="D941" s="3" t="str">
        <f t="shared" si="281"/>
        <v/>
      </c>
      <c r="E941" s="3" t="str">
        <f t="shared" si="282"/>
        <v/>
      </c>
      <c r="F941" s="3" t="str">
        <f t="shared" si="283"/>
        <v/>
      </c>
      <c r="G941" s="3" t="str">
        <f t="shared" si="284"/>
        <v/>
      </c>
      <c r="H941" s="3" t="str">
        <f t="shared" si="285"/>
        <v/>
      </c>
      <c r="I941" s="3" t="str">
        <f t="shared" si="286"/>
        <v/>
      </c>
      <c r="J941" s="2" t="str">
        <f t="shared" si="287"/>
        <v/>
      </c>
      <c r="K941" s="2" t="str">
        <f>IF(W941="","",LOOKUP('Extraction edi'!J941,Paramètrage!$A$6:$A$179,Paramètrage!$B$6:$B$179))</f>
        <v/>
      </c>
      <c r="L941" s="2" t="str">
        <f>IF(W941="","",LOOKUP('Extraction edi'!J941,Paramètrage!$A$6:$A$179,Paramètrage!$C$6:$C$179))</f>
        <v/>
      </c>
      <c r="M941" s="2" t="str">
        <f>IF(W941="","",LOOKUP('Extraction edi'!J941,Paramètrage!$A$6:$A$179,Paramètrage!$D$6:$D$179))</f>
        <v/>
      </c>
      <c r="N941" s="3" t="str">
        <f>IF(W941="","",LOOKUP('Extraction edi'!J941,Paramètrage!$A$6:$A$179,Paramètrage!$E$6:$E$179))</f>
        <v/>
      </c>
      <c r="O941" s="3" t="str">
        <f t="shared" si="288"/>
        <v/>
      </c>
      <c r="P941" s="3" t="str">
        <f t="shared" si="289"/>
        <v/>
      </c>
      <c r="Q941" s="3" t="str">
        <f t="shared" si="277"/>
        <v/>
      </c>
      <c r="R941" s="3" t="str">
        <f t="shared" si="290"/>
        <v/>
      </c>
      <c r="S941" s="3" t="str">
        <f t="shared" si="291"/>
        <v/>
      </c>
      <c r="T941" s="4" t="str">
        <f t="shared" si="292"/>
        <v/>
      </c>
      <c r="U941" s="5" t="str">
        <f t="shared" si="293"/>
        <v/>
      </c>
      <c r="V941" s="7" t="str">
        <f>IF(W941="","",IF(LOOKUP(W941,'Extration 3E date commande'!$A$6:$A$10000)=W941,LOOKUP(W941,'Extration 3E date commande'!$A$6:$A$10000,'Extration 3E date commande'!$C$6:$C$10000),"PAS DE DATE"))</f>
        <v/>
      </c>
    </row>
    <row r="942" spans="1:22" x14ac:dyDescent="0.25">
      <c r="A942" s="3" t="str">
        <f t="shared" si="278"/>
        <v/>
      </c>
      <c r="B942" s="3" t="str">
        <f t="shared" si="279"/>
        <v/>
      </c>
      <c r="C942" s="3" t="str">
        <f t="shared" si="280"/>
        <v/>
      </c>
      <c r="D942" s="3" t="str">
        <f t="shared" si="281"/>
        <v/>
      </c>
      <c r="E942" s="3" t="str">
        <f t="shared" si="282"/>
        <v/>
      </c>
      <c r="F942" s="3" t="str">
        <f t="shared" si="283"/>
        <v/>
      </c>
      <c r="G942" s="3" t="str">
        <f t="shared" si="284"/>
        <v/>
      </c>
      <c r="H942" s="3" t="str">
        <f t="shared" si="285"/>
        <v/>
      </c>
      <c r="I942" s="3" t="str">
        <f t="shared" si="286"/>
        <v/>
      </c>
      <c r="J942" s="2" t="str">
        <f t="shared" si="287"/>
        <v/>
      </c>
      <c r="K942" s="2" t="str">
        <f>IF(W942="","",LOOKUP('Extraction edi'!J942,Paramètrage!$A$6:$A$179,Paramètrage!$B$6:$B$179))</f>
        <v/>
      </c>
      <c r="L942" s="2" t="str">
        <f>IF(W942="","",LOOKUP('Extraction edi'!J942,Paramètrage!$A$6:$A$179,Paramètrage!$C$6:$C$179))</f>
        <v/>
      </c>
      <c r="M942" s="2" t="str">
        <f>IF(W942="","",LOOKUP('Extraction edi'!J942,Paramètrage!$A$6:$A$179,Paramètrage!$D$6:$D$179))</f>
        <v/>
      </c>
      <c r="N942" s="3" t="str">
        <f>IF(W942="","",LOOKUP('Extraction edi'!J942,Paramètrage!$A$6:$A$179,Paramètrage!$E$6:$E$179))</f>
        <v/>
      </c>
      <c r="O942" s="3" t="str">
        <f t="shared" si="288"/>
        <v/>
      </c>
      <c r="P942" s="3" t="str">
        <f t="shared" si="289"/>
        <v/>
      </c>
      <c r="Q942" s="3" t="str">
        <f t="shared" si="277"/>
        <v/>
      </c>
      <c r="R942" s="3" t="str">
        <f t="shared" si="290"/>
        <v/>
      </c>
      <c r="S942" s="3" t="str">
        <f t="shared" si="291"/>
        <v/>
      </c>
      <c r="T942" s="4" t="str">
        <f t="shared" si="292"/>
        <v/>
      </c>
      <c r="U942" s="5" t="str">
        <f t="shared" si="293"/>
        <v/>
      </c>
      <c r="V942" s="7" t="str">
        <f>IF(W942="","",IF(LOOKUP(W942,'Extration 3E date commande'!$A$6:$A$10000)=W942,LOOKUP(W942,'Extration 3E date commande'!$A$6:$A$10000,'Extration 3E date commande'!$C$6:$C$10000),"PAS DE DATE"))</f>
        <v/>
      </c>
    </row>
    <row r="943" spans="1:22" x14ac:dyDescent="0.25">
      <c r="A943" s="3" t="str">
        <f t="shared" si="278"/>
        <v/>
      </c>
      <c r="B943" s="3" t="str">
        <f t="shared" si="279"/>
        <v/>
      </c>
      <c r="C943" s="3" t="str">
        <f t="shared" si="280"/>
        <v/>
      </c>
      <c r="D943" s="3" t="str">
        <f t="shared" si="281"/>
        <v/>
      </c>
      <c r="E943" s="3" t="str">
        <f t="shared" si="282"/>
        <v/>
      </c>
      <c r="F943" s="3" t="str">
        <f t="shared" si="283"/>
        <v/>
      </c>
      <c r="G943" s="3" t="str">
        <f t="shared" si="284"/>
        <v/>
      </c>
      <c r="H943" s="3" t="str">
        <f t="shared" si="285"/>
        <v/>
      </c>
      <c r="I943" s="3" t="str">
        <f t="shared" si="286"/>
        <v/>
      </c>
      <c r="J943" s="2" t="str">
        <f t="shared" si="287"/>
        <v/>
      </c>
      <c r="K943" s="2" t="str">
        <f>IF(W943="","",LOOKUP('Extraction edi'!J943,Paramètrage!$A$6:$A$179,Paramètrage!$B$6:$B$179))</f>
        <v/>
      </c>
      <c r="L943" s="2" t="str">
        <f>IF(W943="","",LOOKUP('Extraction edi'!J943,Paramètrage!$A$6:$A$179,Paramètrage!$C$6:$C$179))</f>
        <v/>
      </c>
      <c r="M943" s="2" t="str">
        <f>IF(W943="","",LOOKUP('Extraction edi'!J943,Paramètrage!$A$6:$A$179,Paramètrage!$D$6:$D$179))</f>
        <v/>
      </c>
      <c r="N943" s="3" t="str">
        <f>IF(W943="","",LOOKUP('Extraction edi'!J943,Paramètrage!$A$6:$A$179,Paramètrage!$E$6:$E$179))</f>
        <v/>
      </c>
      <c r="O943" s="3" t="str">
        <f t="shared" si="288"/>
        <v/>
      </c>
      <c r="P943" s="3" t="str">
        <f t="shared" si="289"/>
        <v/>
      </c>
      <c r="Q943" s="3" t="str">
        <f t="shared" si="277"/>
        <v/>
      </c>
      <c r="R943" s="3" t="str">
        <f t="shared" si="290"/>
        <v/>
      </c>
      <c r="S943" s="3" t="str">
        <f t="shared" si="291"/>
        <v/>
      </c>
      <c r="T943" s="4" t="str">
        <f t="shared" si="292"/>
        <v/>
      </c>
      <c r="U943" s="5" t="str">
        <f t="shared" si="293"/>
        <v/>
      </c>
      <c r="V943" s="7" t="str">
        <f>IF(W943="","",IF(LOOKUP(W943,'Extration 3E date commande'!$A$6:$A$10000)=W943,LOOKUP(W943,'Extration 3E date commande'!$A$6:$A$10000,'Extration 3E date commande'!$C$6:$C$10000),"PAS DE DATE"))</f>
        <v/>
      </c>
    </row>
    <row r="944" spans="1:22" x14ac:dyDescent="0.25">
      <c r="A944" s="3" t="str">
        <f t="shared" si="278"/>
        <v/>
      </c>
      <c r="B944" s="3" t="str">
        <f t="shared" si="279"/>
        <v/>
      </c>
      <c r="C944" s="3" t="str">
        <f t="shared" si="280"/>
        <v/>
      </c>
      <c r="D944" s="3" t="str">
        <f t="shared" si="281"/>
        <v/>
      </c>
      <c r="E944" s="3" t="str">
        <f t="shared" si="282"/>
        <v/>
      </c>
      <c r="F944" s="3" t="str">
        <f t="shared" si="283"/>
        <v/>
      </c>
      <c r="G944" s="3" t="str">
        <f t="shared" si="284"/>
        <v/>
      </c>
      <c r="H944" s="3" t="str">
        <f t="shared" si="285"/>
        <v/>
      </c>
      <c r="I944" s="3" t="str">
        <f t="shared" si="286"/>
        <v/>
      </c>
      <c r="J944" s="2" t="str">
        <f t="shared" si="287"/>
        <v/>
      </c>
      <c r="K944" s="2" t="str">
        <f>IF(W944="","",LOOKUP('Extraction edi'!J944,Paramètrage!$A$6:$A$179,Paramètrage!$B$6:$B$179))</f>
        <v/>
      </c>
      <c r="L944" s="2" t="str">
        <f>IF(W944="","",LOOKUP('Extraction edi'!J944,Paramètrage!$A$6:$A$179,Paramètrage!$C$6:$C$179))</f>
        <v/>
      </c>
      <c r="M944" s="2" t="str">
        <f>IF(W944="","",LOOKUP('Extraction edi'!J944,Paramètrage!$A$6:$A$179,Paramètrage!$D$6:$D$179))</f>
        <v/>
      </c>
      <c r="N944" s="3" t="str">
        <f>IF(W944="","",LOOKUP('Extraction edi'!J944,Paramètrage!$A$6:$A$179,Paramètrage!$E$6:$E$179))</f>
        <v/>
      </c>
      <c r="O944" s="3" t="str">
        <f t="shared" si="288"/>
        <v/>
      </c>
      <c r="P944" s="3" t="str">
        <f t="shared" si="289"/>
        <v/>
      </c>
      <c r="Q944" s="3" t="str">
        <f t="shared" si="277"/>
        <v/>
      </c>
      <c r="R944" s="3" t="str">
        <f t="shared" si="290"/>
        <v/>
      </c>
      <c r="S944" s="3" t="str">
        <f t="shared" si="291"/>
        <v/>
      </c>
      <c r="T944" s="4" t="str">
        <f t="shared" si="292"/>
        <v/>
      </c>
      <c r="U944" s="5" t="str">
        <f t="shared" si="293"/>
        <v/>
      </c>
      <c r="V944" s="7" t="str">
        <f>IF(W944="","",IF(LOOKUP(W944,'Extration 3E date commande'!$A$6:$A$10000)=W944,LOOKUP(W944,'Extration 3E date commande'!$A$6:$A$10000,'Extration 3E date commande'!$C$6:$C$10000),"PAS DE DATE"))</f>
        <v/>
      </c>
    </row>
    <row r="945" spans="1:22" x14ac:dyDescent="0.25">
      <c r="A945" s="3" t="str">
        <f t="shared" si="278"/>
        <v/>
      </c>
      <c r="B945" s="3" t="str">
        <f t="shared" si="279"/>
        <v/>
      </c>
      <c r="C945" s="3" t="str">
        <f t="shared" si="280"/>
        <v/>
      </c>
      <c r="D945" s="3" t="str">
        <f t="shared" si="281"/>
        <v/>
      </c>
      <c r="E945" s="3" t="str">
        <f t="shared" si="282"/>
        <v/>
      </c>
      <c r="F945" s="3" t="str">
        <f t="shared" si="283"/>
        <v/>
      </c>
      <c r="G945" s="3" t="str">
        <f t="shared" si="284"/>
        <v/>
      </c>
      <c r="H945" s="3" t="str">
        <f t="shared" si="285"/>
        <v/>
      </c>
      <c r="I945" s="3" t="str">
        <f t="shared" si="286"/>
        <v/>
      </c>
      <c r="J945" s="2" t="str">
        <f t="shared" si="287"/>
        <v/>
      </c>
      <c r="K945" s="2" t="str">
        <f>IF(W945="","",LOOKUP('Extraction edi'!J945,Paramètrage!$A$6:$A$179,Paramètrage!$B$6:$B$179))</f>
        <v/>
      </c>
      <c r="L945" s="2" t="str">
        <f>IF(W945="","",LOOKUP('Extraction edi'!J945,Paramètrage!$A$6:$A$179,Paramètrage!$C$6:$C$179))</f>
        <v/>
      </c>
      <c r="M945" s="2" t="str">
        <f>IF(W945="","",LOOKUP('Extraction edi'!J945,Paramètrage!$A$6:$A$179,Paramètrage!$D$6:$D$179))</f>
        <v/>
      </c>
      <c r="N945" s="3" t="str">
        <f>IF(W945="","",LOOKUP('Extraction edi'!J945,Paramètrage!$A$6:$A$179,Paramètrage!$E$6:$E$179))</f>
        <v/>
      </c>
      <c r="O945" s="3" t="str">
        <f t="shared" si="288"/>
        <v/>
      </c>
      <c r="P945" s="3" t="str">
        <f t="shared" si="289"/>
        <v/>
      </c>
      <c r="Q945" s="3" t="str">
        <f t="shared" si="277"/>
        <v/>
      </c>
      <c r="R945" s="3" t="str">
        <f t="shared" si="290"/>
        <v/>
      </c>
      <c r="S945" s="3" t="str">
        <f t="shared" si="291"/>
        <v/>
      </c>
      <c r="T945" s="4" t="str">
        <f t="shared" si="292"/>
        <v/>
      </c>
      <c r="U945" s="5" t="str">
        <f t="shared" si="293"/>
        <v/>
      </c>
      <c r="V945" s="7" t="str">
        <f>IF(W945="","",IF(LOOKUP(W945,'Extration 3E date commande'!$A$6:$A$10000)=W945,LOOKUP(W945,'Extration 3E date commande'!$A$6:$A$10000,'Extration 3E date commande'!$C$6:$C$10000),"PAS DE DATE"))</f>
        <v/>
      </c>
    </row>
    <row r="946" spans="1:22" x14ac:dyDescent="0.25">
      <c r="A946" s="3" t="str">
        <f t="shared" si="278"/>
        <v/>
      </c>
      <c r="B946" s="3" t="str">
        <f t="shared" si="279"/>
        <v/>
      </c>
      <c r="C946" s="3" t="str">
        <f t="shared" si="280"/>
        <v/>
      </c>
      <c r="D946" s="3" t="str">
        <f t="shared" si="281"/>
        <v/>
      </c>
      <c r="E946" s="3" t="str">
        <f t="shared" si="282"/>
        <v/>
      </c>
      <c r="F946" s="3" t="str">
        <f t="shared" si="283"/>
        <v/>
      </c>
      <c r="G946" s="3" t="str">
        <f t="shared" si="284"/>
        <v/>
      </c>
      <c r="H946" s="3" t="str">
        <f t="shared" si="285"/>
        <v/>
      </c>
      <c r="I946" s="3" t="str">
        <f t="shared" si="286"/>
        <v/>
      </c>
      <c r="J946" s="2" t="str">
        <f t="shared" si="287"/>
        <v/>
      </c>
      <c r="K946" s="2" t="str">
        <f>IF(W946="","",LOOKUP('Extraction edi'!J946,Paramètrage!$A$6:$A$179,Paramètrage!$B$6:$B$179))</f>
        <v/>
      </c>
      <c r="L946" s="2" t="str">
        <f>IF(W946="","",LOOKUP('Extraction edi'!J946,Paramètrage!$A$6:$A$179,Paramètrage!$C$6:$C$179))</f>
        <v/>
      </c>
      <c r="M946" s="2" t="str">
        <f>IF(W946="","",LOOKUP('Extraction edi'!J946,Paramètrage!$A$6:$A$179,Paramètrage!$D$6:$D$179))</f>
        <v/>
      </c>
      <c r="N946" s="3" t="str">
        <f>IF(W946="","",LOOKUP('Extraction edi'!J946,Paramètrage!$A$6:$A$179,Paramètrage!$E$6:$E$179))</f>
        <v/>
      </c>
      <c r="O946" s="3" t="str">
        <f t="shared" si="288"/>
        <v/>
      </c>
      <c r="P946" s="3" t="str">
        <f t="shared" si="289"/>
        <v/>
      </c>
      <c r="Q946" s="3" t="str">
        <f t="shared" si="277"/>
        <v/>
      </c>
      <c r="R946" s="3" t="str">
        <f t="shared" si="290"/>
        <v/>
      </c>
      <c r="S946" s="3" t="str">
        <f t="shared" si="291"/>
        <v/>
      </c>
      <c r="T946" s="4" t="str">
        <f t="shared" si="292"/>
        <v/>
      </c>
      <c r="U946" s="5" t="str">
        <f t="shared" si="293"/>
        <v/>
      </c>
      <c r="V946" s="7" t="str">
        <f>IF(W946="","",IF(LOOKUP(W946,'Extration 3E date commande'!$A$6:$A$10000)=W946,LOOKUP(W946,'Extration 3E date commande'!$A$6:$A$10000,'Extration 3E date commande'!$C$6:$C$10000),"PAS DE DATE"))</f>
        <v/>
      </c>
    </row>
    <row r="947" spans="1:22" x14ac:dyDescent="0.25">
      <c r="A947" s="3" t="str">
        <f t="shared" si="278"/>
        <v/>
      </c>
      <c r="B947" s="3" t="str">
        <f t="shared" si="279"/>
        <v/>
      </c>
      <c r="C947" s="3" t="str">
        <f t="shared" si="280"/>
        <v/>
      </c>
      <c r="D947" s="3" t="str">
        <f t="shared" si="281"/>
        <v/>
      </c>
      <c r="E947" s="3" t="str">
        <f t="shared" si="282"/>
        <v/>
      </c>
      <c r="F947" s="3" t="str">
        <f t="shared" si="283"/>
        <v/>
      </c>
      <c r="G947" s="3" t="str">
        <f t="shared" si="284"/>
        <v/>
      </c>
      <c r="H947" s="3" t="str">
        <f t="shared" si="285"/>
        <v/>
      </c>
      <c r="I947" s="3" t="str">
        <f t="shared" si="286"/>
        <v/>
      </c>
      <c r="J947" s="2" t="str">
        <f t="shared" si="287"/>
        <v/>
      </c>
      <c r="K947" s="2" t="str">
        <f>IF(W947="","",LOOKUP('Extraction edi'!J947,Paramètrage!$A$6:$A$179,Paramètrage!$B$6:$B$179))</f>
        <v/>
      </c>
      <c r="L947" s="2" t="str">
        <f>IF(W947="","",LOOKUP('Extraction edi'!J947,Paramètrage!$A$6:$A$179,Paramètrage!$C$6:$C$179))</f>
        <v/>
      </c>
      <c r="M947" s="2" t="str">
        <f>IF(W947="","",LOOKUP('Extraction edi'!J947,Paramètrage!$A$6:$A$179,Paramètrage!$D$6:$D$179))</f>
        <v/>
      </c>
      <c r="N947" s="3" t="str">
        <f>IF(W947="","",LOOKUP('Extraction edi'!J947,Paramètrage!$A$6:$A$179,Paramètrage!$E$6:$E$179))</f>
        <v/>
      </c>
      <c r="O947" s="3" t="str">
        <f t="shared" si="288"/>
        <v/>
      </c>
      <c r="P947" s="3" t="str">
        <f t="shared" si="289"/>
        <v/>
      </c>
      <c r="Q947" s="3" t="str">
        <f t="shared" si="277"/>
        <v/>
      </c>
      <c r="R947" s="3" t="str">
        <f t="shared" si="290"/>
        <v/>
      </c>
      <c r="S947" s="3" t="str">
        <f t="shared" si="291"/>
        <v/>
      </c>
      <c r="T947" s="4" t="str">
        <f t="shared" si="292"/>
        <v/>
      </c>
      <c r="U947" s="5" t="str">
        <f t="shared" si="293"/>
        <v/>
      </c>
      <c r="V947" s="7" t="str">
        <f>IF(W947="","",IF(LOOKUP(W947,'Extration 3E date commande'!$A$6:$A$10000)=W947,LOOKUP(W947,'Extration 3E date commande'!$A$6:$A$10000,'Extration 3E date commande'!$C$6:$C$10000),"PAS DE DATE"))</f>
        <v/>
      </c>
    </row>
    <row r="948" spans="1:22" x14ac:dyDescent="0.25">
      <c r="A948" s="3" t="str">
        <f t="shared" si="278"/>
        <v/>
      </c>
      <c r="B948" s="3" t="str">
        <f t="shared" si="279"/>
        <v/>
      </c>
      <c r="C948" s="3" t="str">
        <f t="shared" si="280"/>
        <v/>
      </c>
      <c r="D948" s="3" t="str">
        <f t="shared" si="281"/>
        <v/>
      </c>
      <c r="E948" s="3" t="str">
        <f t="shared" si="282"/>
        <v/>
      </c>
      <c r="F948" s="3" t="str">
        <f t="shared" si="283"/>
        <v/>
      </c>
      <c r="G948" s="3" t="str">
        <f t="shared" si="284"/>
        <v/>
      </c>
      <c r="H948" s="3" t="str">
        <f t="shared" si="285"/>
        <v/>
      </c>
      <c r="I948" s="3" t="str">
        <f t="shared" si="286"/>
        <v/>
      </c>
      <c r="J948" s="2" t="str">
        <f t="shared" si="287"/>
        <v/>
      </c>
      <c r="K948" s="2" t="str">
        <f>IF(W948="","",LOOKUP('Extraction edi'!J948,Paramètrage!$A$6:$A$179,Paramètrage!$B$6:$B$179))</f>
        <v/>
      </c>
      <c r="L948" s="2" t="str">
        <f>IF(W948="","",LOOKUP('Extraction edi'!J948,Paramètrage!$A$6:$A$179,Paramètrage!$C$6:$C$179))</f>
        <v/>
      </c>
      <c r="M948" s="2" t="str">
        <f>IF(W948="","",LOOKUP('Extraction edi'!J948,Paramètrage!$A$6:$A$179,Paramètrage!$D$6:$D$179))</f>
        <v/>
      </c>
      <c r="N948" s="3" t="str">
        <f>IF(W948="","",LOOKUP('Extraction edi'!J948,Paramètrage!$A$6:$A$179,Paramètrage!$E$6:$E$179))</f>
        <v/>
      </c>
      <c r="O948" s="3" t="str">
        <f t="shared" si="288"/>
        <v/>
      </c>
      <c r="P948" s="3" t="str">
        <f t="shared" si="289"/>
        <v/>
      </c>
      <c r="Q948" s="3" t="str">
        <f t="shared" si="277"/>
        <v/>
      </c>
      <c r="R948" s="3" t="str">
        <f t="shared" si="290"/>
        <v/>
      </c>
      <c r="S948" s="3" t="str">
        <f t="shared" si="291"/>
        <v/>
      </c>
      <c r="T948" s="4" t="str">
        <f t="shared" si="292"/>
        <v/>
      </c>
      <c r="U948" s="5" t="str">
        <f t="shared" si="293"/>
        <v/>
      </c>
      <c r="V948" s="7" t="str">
        <f>IF(W948="","",IF(LOOKUP(W948,'Extration 3E date commande'!$A$6:$A$10000)=W948,LOOKUP(W948,'Extration 3E date commande'!$A$6:$A$10000,'Extration 3E date commande'!$C$6:$C$10000),"PAS DE DATE"))</f>
        <v/>
      </c>
    </row>
    <row r="949" spans="1:22" x14ac:dyDescent="0.25">
      <c r="A949" s="3" t="str">
        <f t="shared" si="278"/>
        <v/>
      </c>
      <c r="B949" s="3" t="str">
        <f t="shared" si="279"/>
        <v/>
      </c>
      <c r="C949" s="3" t="str">
        <f t="shared" si="280"/>
        <v/>
      </c>
      <c r="D949" s="3" t="str">
        <f t="shared" si="281"/>
        <v/>
      </c>
      <c r="E949" s="3" t="str">
        <f t="shared" si="282"/>
        <v/>
      </c>
      <c r="F949" s="3" t="str">
        <f t="shared" si="283"/>
        <v/>
      </c>
      <c r="G949" s="3" t="str">
        <f t="shared" si="284"/>
        <v/>
      </c>
      <c r="H949" s="3" t="str">
        <f t="shared" si="285"/>
        <v/>
      </c>
      <c r="I949" s="3" t="str">
        <f t="shared" si="286"/>
        <v/>
      </c>
      <c r="J949" s="2" t="str">
        <f t="shared" si="287"/>
        <v/>
      </c>
      <c r="K949" s="2" t="str">
        <f>IF(W949="","",LOOKUP('Extraction edi'!J949,Paramètrage!$A$6:$A$179,Paramètrage!$B$6:$B$179))</f>
        <v/>
      </c>
      <c r="L949" s="2" t="str">
        <f>IF(W949="","",LOOKUP('Extraction edi'!J949,Paramètrage!$A$6:$A$179,Paramètrage!$C$6:$C$179))</f>
        <v/>
      </c>
      <c r="M949" s="2" t="str">
        <f>IF(W949="","",LOOKUP('Extraction edi'!J949,Paramètrage!$A$6:$A$179,Paramètrage!$D$6:$D$179))</f>
        <v/>
      </c>
      <c r="N949" s="3" t="str">
        <f>IF(W949="","",LOOKUP('Extraction edi'!J949,Paramètrage!$A$6:$A$179,Paramètrage!$E$6:$E$179))</f>
        <v/>
      </c>
      <c r="O949" s="3" t="str">
        <f t="shared" si="288"/>
        <v/>
      </c>
      <c r="P949" s="3" t="str">
        <f t="shared" si="289"/>
        <v/>
      </c>
      <c r="Q949" s="3" t="str">
        <f t="shared" si="277"/>
        <v/>
      </c>
      <c r="R949" s="3" t="str">
        <f t="shared" si="290"/>
        <v/>
      </c>
      <c r="S949" s="3" t="str">
        <f t="shared" si="291"/>
        <v/>
      </c>
      <c r="T949" s="4" t="str">
        <f t="shared" si="292"/>
        <v/>
      </c>
      <c r="U949" s="5" t="str">
        <f t="shared" si="293"/>
        <v/>
      </c>
      <c r="V949" s="7" t="str">
        <f>IF(W949="","",IF(LOOKUP(W949,'Extration 3E date commande'!$A$6:$A$10000)=W949,LOOKUP(W949,'Extration 3E date commande'!$A$6:$A$10000,'Extration 3E date commande'!$C$6:$C$10000),"PAS DE DATE"))</f>
        <v/>
      </c>
    </row>
    <row r="950" spans="1:22" x14ac:dyDescent="0.25">
      <c r="A950" s="3" t="str">
        <f t="shared" si="278"/>
        <v/>
      </c>
      <c r="B950" s="3" t="str">
        <f t="shared" si="279"/>
        <v/>
      </c>
      <c r="C950" s="3" t="str">
        <f t="shared" si="280"/>
        <v/>
      </c>
      <c r="D950" s="3" t="str">
        <f t="shared" si="281"/>
        <v/>
      </c>
      <c r="E950" s="3" t="str">
        <f t="shared" si="282"/>
        <v/>
      </c>
      <c r="F950" s="3" t="str">
        <f t="shared" si="283"/>
        <v/>
      </c>
      <c r="G950" s="3" t="str">
        <f t="shared" si="284"/>
        <v/>
      </c>
      <c r="H950" s="3" t="str">
        <f t="shared" si="285"/>
        <v/>
      </c>
      <c r="I950" s="3" t="str">
        <f t="shared" si="286"/>
        <v/>
      </c>
      <c r="J950" s="2" t="str">
        <f t="shared" si="287"/>
        <v/>
      </c>
      <c r="K950" s="2" t="str">
        <f>IF(W950="","",LOOKUP('Extraction edi'!J950,Paramètrage!$A$6:$A$179,Paramètrage!$B$6:$B$179))</f>
        <v/>
      </c>
      <c r="L950" s="2" t="str">
        <f>IF(W950="","",LOOKUP('Extraction edi'!J950,Paramètrage!$A$6:$A$179,Paramètrage!$C$6:$C$179))</f>
        <v/>
      </c>
      <c r="M950" s="2" t="str">
        <f>IF(W950="","",LOOKUP('Extraction edi'!J950,Paramètrage!$A$6:$A$179,Paramètrage!$D$6:$D$179))</f>
        <v/>
      </c>
      <c r="N950" s="3" t="str">
        <f>IF(W950="","",LOOKUP('Extraction edi'!J950,Paramètrage!$A$6:$A$179,Paramètrage!$E$6:$E$179))</f>
        <v/>
      </c>
      <c r="O950" s="3" t="str">
        <f t="shared" si="288"/>
        <v/>
      </c>
      <c r="P950" s="3" t="str">
        <f t="shared" si="289"/>
        <v/>
      </c>
      <c r="Q950" s="3" t="str">
        <f t="shared" si="277"/>
        <v/>
      </c>
      <c r="R950" s="3" t="str">
        <f t="shared" si="290"/>
        <v/>
      </c>
      <c r="S950" s="3" t="str">
        <f t="shared" si="291"/>
        <v/>
      </c>
      <c r="T950" s="4" t="str">
        <f t="shared" si="292"/>
        <v/>
      </c>
      <c r="U950" s="5" t="str">
        <f t="shared" si="293"/>
        <v/>
      </c>
      <c r="V950" s="7" t="str">
        <f>IF(W950="","",IF(LOOKUP(W950,'Extration 3E date commande'!$A$6:$A$10000)=W950,LOOKUP(W950,'Extration 3E date commande'!$A$6:$A$10000,'Extration 3E date commande'!$C$6:$C$10000),"PAS DE DATE"))</f>
        <v/>
      </c>
    </row>
    <row r="951" spans="1:22" x14ac:dyDescent="0.25">
      <c r="A951" s="3" t="str">
        <f t="shared" si="278"/>
        <v/>
      </c>
      <c r="B951" s="3" t="str">
        <f t="shared" si="279"/>
        <v/>
      </c>
      <c r="C951" s="3" t="str">
        <f t="shared" si="280"/>
        <v/>
      </c>
      <c r="D951" s="3" t="str">
        <f t="shared" si="281"/>
        <v/>
      </c>
      <c r="E951" s="3" t="str">
        <f t="shared" si="282"/>
        <v/>
      </c>
      <c r="F951" s="3" t="str">
        <f t="shared" si="283"/>
        <v/>
      </c>
      <c r="G951" s="3" t="str">
        <f t="shared" si="284"/>
        <v/>
      </c>
      <c r="H951" s="3" t="str">
        <f t="shared" si="285"/>
        <v/>
      </c>
      <c r="I951" s="3" t="str">
        <f t="shared" si="286"/>
        <v/>
      </c>
      <c r="J951" s="2" t="str">
        <f t="shared" si="287"/>
        <v/>
      </c>
      <c r="K951" s="2" t="str">
        <f>IF(W951="","",LOOKUP('Extraction edi'!J951,Paramètrage!$A$6:$A$179,Paramètrage!$B$6:$B$179))</f>
        <v/>
      </c>
      <c r="L951" s="2" t="str">
        <f>IF(W951="","",LOOKUP('Extraction edi'!J951,Paramètrage!$A$6:$A$179,Paramètrage!$C$6:$C$179))</f>
        <v/>
      </c>
      <c r="M951" s="2" t="str">
        <f>IF(W951="","",LOOKUP('Extraction edi'!J951,Paramètrage!$A$6:$A$179,Paramètrage!$D$6:$D$179))</f>
        <v/>
      </c>
      <c r="N951" s="3" t="str">
        <f>IF(W951="","",LOOKUP('Extraction edi'!J951,Paramètrage!$A$6:$A$179,Paramètrage!$E$6:$E$179))</f>
        <v/>
      </c>
      <c r="O951" s="3" t="str">
        <f t="shared" si="288"/>
        <v/>
      </c>
      <c r="P951" s="3" t="str">
        <f t="shared" si="289"/>
        <v/>
      </c>
      <c r="Q951" s="3" t="str">
        <f t="shared" si="277"/>
        <v/>
      </c>
      <c r="R951" s="3" t="str">
        <f t="shared" si="290"/>
        <v/>
      </c>
      <c r="S951" s="3" t="str">
        <f t="shared" si="291"/>
        <v/>
      </c>
      <c r="T951" s="4" t="str">
        <f t="shared" si="292"/>
        <v/>
      </c>
      <c r="U951" s="5" t="str">
        <f t="shared" si="293"/>
        <v/>
      </c>
      <c r="V951" s="7" t="str">
        <f>IF(W951="","",IF(LOOKUP(W951,'Extration 3E date commande'!$A$6:$A$10000)=W951,LOOKUP(W951,'Extration 3E date commande'!$A$6:$A$10000,'Extration 3E date commande'!$C$6:$C$10000),"PAS DE DATE"))</f>
        <v/>
      </c>
    </row>
    <row r="952" spans="1:22" x14ac:dyDescent="0.25">
      <c r="A952" s="3" t="str">
        <f t="shared" si="278"/>
        <v/>
      </c>
      <c r="B952" s="3" t="str">
        <f t="shared" si="279"/>
        <v/>
      </c>
      <c r="C952" s="3" t="str">
        <f t="shared" si="280"/>
        <v/>
      </c>
      <c r="D952" s="3" t="str">
        <f t="shared" si="281"/>
        <v/>
      </c>
      <c r="E952" s="3" t="str">
        <f t="shared" si="282"/>
        <v/>
      </c>
      <c r="F952" s="3" t="str">
        <f t="shared" si="283"/>
        <v/>
      </c>
      <c r="G952" s="3" t="str">
        <f t="shared" si="284"/>
        <v/>
      </c>
      <c r="H952" s="3" t="str">
        <f t="shared" si="285"/>
        <v/>
      </c>
      <c r="I952" s="3" t="str">
        <f t="shared" si="286"/>
        <v/>
      </c>
      <c r="J952" s="2" t="str">
        <f t="shared" si="287"/>
        <v/>
      </c>
      <c r="K952" s="2" t="str">
        <f>IF(W952="","",LOOKUP('Extraction edi'!J952,Paramètrage!$A$6:$A$179,Paramètrage!$B$6:$B$179))</f>
        <v/>
      </c>
      <c r="L952" s="2" t="str">
        <f>IF(W952="","",LOOKUP('Extraction edi'!J952,Paramètrage!$A$6:$A$179,Paramètrage!$C$6:$C$179))</f>
        <v/>
      </c>
      <c r="M952" s="2" t="str">
        <f>IF(W952="","",LOOKUP('Extraction edi'!J952,Paramètrage!$A$6:$A$179,Paramètrage!$D$6:$D$179))</f>
        <v/>
      </c>
      <c r="N952" s="3" t="str">
        <f>IF(W952="","",LOOKUP('Extraction edi'!J952,Paramètrage!$A$6:$A$179,Paramètrage!$E$6:$E$179))</f>
        <v/>
      </c>
      <c r="O952" s="3" t="str">
        <f t="shared" si="288"/>
        <v/>
      </c>
      <c r="P952" s="3" t="str">
        <f t="shared" si="289"/>
        <v/>
      </c>
      <c r="Q952" s="3" t="str">
        <f t="shared" si="277"/>
        <v/>
      </c>
      <c r="R952" s="3" t="str">
        <f t="shared" si="290"/>
        <v/>
      </c>
      <c r="S952" s="3" t="str">
        <f t="shared" si="291"/>
        <v/>
      </c>
      <c r="T952" s="4" t="str">
        <f t="shared" si="292"/>
        <v/>
      </c>
      <c r="U952" s="5" t="str">
        <f t="shared" si="293"/>
        <v/>
      </c>
      <c r="V952" s="7" t="str">
        <f>IF(W952="","",IF(LOOKUP(W952,'Extration 3E date commande'!$A$6:$A$10000)=W952,LOOKUP(W952,'Extration 3E date commande'!$A$6:$A$10000,'Extration 3E date commande'!$C$6:$C$10000),"PAS DE DATE"))</f>
        <v/>
      </c>
    </row>
    <row r="953" spans="1:22" x14ac:dyDescent="0.25">
      <c r="A953" s="3" t="str">
        <f t="shared" si="278"/>
        <v/>
      </c>
      <c r="B953" s="3" t="str">
        <f t="shared" si="279"/>
        <v/>
      </c>
      <c r="C953" s="3" t="str">
        <f t="shared" si="280"/>
        <v/>
      </c>
      <c r="D953" s="3" t="str">
        <f t="shared" si="281"/>
        <v/>
      </c>
      <c r="E953" s="3" t="str">
        <f t="shared" si="282"/>
        <v/>
      </c>
      <c r="F953" s="3" t="str">
        <f t="shared" si="283"/>
        <v/>
      </c>
      <c r="G953" s="3" t="str">
        <f t="shared" si="284"/>
        <v/>
      </c>
      <c r="H953" s="3" t="str">
        <f t="shared" si="285"/>
        <v/>
      </c>
      <c r="I953" s="3" t="str">
        <f t="shared" si="286"/>
        <v/>
      </c>
      <c r="J953" s="2" t="str">
        <f t="shared" si="287"/>
        <v/>
      </c>
      <c r="K953" s="2" t="str">
        <f>IF(W953="","",LOOKUP('Extraction edi'!J953,Paramètrage!$A$6:$A$179,Paramètrage!$B$6:$B$179))</f>
        <v/>
      </c>
      <c r="L953" s="2" t="str">
        <f>IF(W953="","",LOOKUP('Extraction edi'!J953,Paramètrage!$A$6:$A$179,Paramètrage!$C$6:$C$179))</f>
        <v/>
      </c>
      <c r="M953" s="2" t="str">
        <f>IF(W953="","",LOOKUP('Extraction edi'!J953,Paramètrage!$A$6:$A$179,Paramètrage!$D$6:$D$179))</f>
        <v/>
      </c>
      <c r="N953" s="3" t="str">
        <f>IF(W953="","",LOOKUP('Extraction edi'!J953,Paramètrage!$A$6:$A$179,Paramètrage!$E$6:$E$179))</f>
        <v/>
      </c>
      <c r="O953" s="3" t="str">
        <f t="shared" si="288"/>
        <v/>
      </c>
      <c r="P953" s="3" t="str">
        <f t="shared" si="289"/>
        <v/>
      </c>
      <c r="Q953" s="3" t="str">
        <f t="shared" si="277"/>
        <v/>
      </c>
      <c r="R953" s="3" t="str">
        <f t="shared" si="290"/>
        <v/>
      </c>
      <c r="S953" s="3" t="str">
        <f t="shared" si="291"/>
        <v/>
      </c>
      <c r="T953" s="4" t="str">
        <f t="shared" si="292"/>
        <v/>
      </c>
      <c r="U953" s="5" t="str">
        <f t="shared" si="293"/>
        <v/>
      </c>
      <c r="V953" s="7" t="str">
        <f>IF(W953="","",IF(LOOKUP(W953,'Extration 3E date commande'!$A$6:$A$10000)=W953,LOOKUP(W953,'Extration 3E date commande'!$A$6:$A$10000,'Extration 3E date commande'!$C$6:$C$10000),"PAS DE DATE"))</f>
        <v/>
      </c>
    </row>
    <row r="954" spans="1:22" x14ac:dyDescent="0.25">
      <c r="A954" s="3" t="str">
        <f t="shared" si="278"/>
        <v/>
      </c>
      <c r="B954" s="3" t="str">
        <f t="shared" si="279"/>
        <v/>
      </c>
      <c r="C954" s="3" t="str">
        <f t="shared" si="280"/>
        <v/>
      </c>
      <c r="D954" s="3" t="str">
        <f t="shared" si="281"/>
        <v/>
      </c>
      <c r="E954" s="3" t="str">
        <f t="shared" si="282"/>
        <v/>
      </c>
      <c r="F954" s="3" t="str">
        <f t="shared" si="283"/>
        <v/>
      </c>
      <c r="G954" s="3" t="str">
        <f t="shared" si="284"/>
        <v/>
      </c>
      <c r="H954" s="3" t="str">
        <f t="shared" si="285"/>
        <v/>
      </c>
      <c r="I954" s="3" t="str">
        <f t="shared" si="286"/>
        <v/>
      </c>
      <c r="J954" s="2" t="str">
        <f t="shared" si="287"/>
        <v/>
      </c>
      <c r="K954" s="2" t="str">
        <f>IF(W954="","",LOOKUP('Extraction edi'!J954,Paramètrage!$A$6:$A$179,Paramètrage!$B$6:$B$179))</f>
        <v/>
      </c>
      <c r="L954" s="2" t="str">
        <f>IF(W954="","",LOOKUP('Extraction edi'!J954,Paramètrage!$A$6:$A$179,Paramètrage!$C$6:$C$179))</f>
        <v/>
      </c>
      <c r="M954" s="2" t="str">
        <f>IF(W954="","",LOOKUP('Extraction edi'!J954,Paramètrage!$A$6:$A$179,Paramètrage!$D$6:$D$179))</f>
        <v/>
      </c>
      <c r="N954" s="3" t="str">
        <f>IF(W954="","",LOOKUP('Extraction edi'!J954,Paramètrage!$A$6:$A$179,Paramètrage!$E$6:$E$179))</f>
        <v/>
      </c>
      <c r="O954" s="3" t="str">
        <f t="shared" si="288"/>
        <v/>
      </c>
      <c r="P954" s="3" t="str">
        <f t="shared" si="289"/>
        <v/>
      </c>
      <c r="Q954" s="3" t="str">
        <f t="shared" si="277"/>
        <v/>
      </c>
      <c r="R954" s="3" t="str">
        <f t="shared" si="290"/>
        <v/>
      </c>
      <c r="S954" s="3" t="str">
        <f t="shared" si="291"/>
        <v/>
      </c>
      <c r="T954" s="4" t="str">
        <f t="shared" si="292"/>
        <v/>
      </c>
      <c r="U954" s="5" t="str">
        <f t="shared" si="293"/>
        <v/>
      </c>
      <c r="V954" s="7" t="str">
        <f>IF(W954="","",IF(LOOKUP(W954,'Extration 3E date commande'!$A$6:$A$10000)=W954,LOOKUP(W954,'Extration 3E date commande'!$A$6:$A$10000,'Extration 3E date commande'!$C$6:$C$10000),"PAS DE DATE"))</f>
        <v/>
      </c>
    </row>
    <row r="955" spans="1:22" x14ac:dyDescent="0.25">
      <c r="A955" s="3" t="str">
        <f t="shared" si="278"/>
        <v/>
      </c>
      <c r="B955" s="3" t="str">
        <f t="shared" si="279"/>
        <v/>
      </c>
      <c r="C955" s="3" t="str">
        <f t="shared" si="280"/>
        <v/>
      </c>
      <c r="D955" s="3" t="str">
        <f t="shared" si="281"/>
        <v/>
      </c>
      <c r="E955" s="3" t="str">
        <f t="shared" si="282"/>
        <v/>
      </c>
      <c r="F955" s="3" t="str">
        <f t="shared" si="283"/>
        <v/>
      </c>
      <c r="G955" s="3" t="str">
        <f t="shared" si="284"/>
        <v/>
      </c>
      <c r="H955" s="3" t="str">
        <f t="shared" si="285"/>
        <v/>
      </c>
      <c r="I955" s="3" t="str">
        <f t="shared" si="286"/>
        <v/>
      </c>
      <c r="J955" s="2" t="str">
        <f t="shared" si="287"/>
        <v/>
      </c>
      <c r="K955" s="2" t="str">
        <f>IF(W955="","",LOOKUP('Extraction edi'!J955,Paramètrage!$A$6:$A$179,Paramètrage!$B$6:$B$179))</f>
        <v/>
      </c>
      <c r="L955" s="2" t="str">
        <f>IF(W955="","",LOOKUP('Extraction edi'!J955,Paramètrage!$A$6:$A$179,Paramètrage!$C$6:$C$179))</f>
        <v/>
      </c>
      <c r="M955" s="2" t="str">
        <f>IF(W955="","",LOOKUP('Extraction edi'!J955,Paramètrage!$A$6:$A$179,Paramètrage!$D$6:$D$179))</f>
        <v/>
      </c>
      <c r="N955" s="3" t="str">
        <f>IF(W955="","",LOOKUP('Extraction edi'!J955,Paramètrage!$A$6:$A$179,Paramètrage!$E$6:$E$179))</f>
        <v/>
      </c>
      <c r="O955" s="3" t="str">
        <f t="shared" si="288"/>
        <v/>
      </c>
      <c r="P955" s="3" t="str">
        <f t="shared" si="289"/>
        <v/>
      </c>
      <c r="Q955" s="3" t="str">
        <f t="shared" si="277"/>
        <v/>
      </c>
      <c r="R955" s="3" t="str">
        <f t="shared" si="290"/>
        <v/>
      </c>
      <c r="S955" s="3" t="str">
        <f t="shared" si="291"/>
        <v/>
      </c>
      <c r="T955" s="4" t="str">
        <f t="shared" si="292"/>
        <v/>
      </c>
      <c r="U955" s="5" t="str">
        <f t="shared" si="293"/>
        <v/>
      </c>
      <c r="V955" s="7" t="str">
        <f>IF(W955="","",IF(LOOKUP(W955,'Extration 3E date commande'!$A$6:$A$10000)=W955,LOOKUP(W955,'Extration 3E date commande'!$A$6:$A$10000,'Extration 3E date commande'!$C$6:$C$10000),"PAS DE DATE"))</f>
        <v/>
      </c>
    </row>
    <row r="956" spans="1:22" x14ac:dyDescent="0.25">
      <c r="A956" s="3" t="str">
        <f t="shared" si="278"/>
        <v/>
      </c>
      <c r="B956" s="3" t="str">
        <f t="shared" si="279"/>
        <v/>
      </c>
      <c r="C956" s="3" t="str">
        <f t="shared" si="280"/>
        <v/>
      </c>
      <c r="D956" s="3" t="str">
        <f t="shared" si="281"/>
        <v/>
      </c>
      <c r="E956" s="3" t="str">
        <f t="shared" si="282"/>
        <v/>
      </c>
      <c r="F956" s="3" t="str">
        <f t="shared" si="283"/>
        <v/>
      </c>
      <c r="G956" s="3" t="str">
        <f t="shared" si="284"/>
        <v/>
      </c>
      <c r="H956" s="3" t="str">
        <f t="shared" si="285"/>
        <v/>
      </c>
      <c r="I956" s="3" t="str">
        <f t="shared" si="286"/>
        <v/>
      </c>
      <c r="J956" s="2" t="str">
        <f t="shared" si="287"/>
        <v/>
      </c>
      <c r="K956" s="2" t="str">
        <f>IF(W956="","",LOOKUP('Extraction edi'!J956,Paramètrage!$A$6:$A$179,Paramètrage!$B$6:$B$179))</f>
        <v/>
      </c>
      <c r="L956" s="2" t="str">
        <f>IF(W956="","",LOOKUP('Extraction edi'!J956,Paramètrage!$A$6:$A$179,Paramètrage!$C$6:$C$179))</f>
        <v/>
      </c>
      <c r="M956" s="2" t="str">
        <f>IF(W956="","",LOOKUP('Extraction edi'!J956,Paramètrage!$A$6:$A$179,Paramètrage!$D$6:$D$179))</f>
        <v/>
      </c>
      <c r="N956" s="3" t="str">
        <f>IF(W956="","",LOOKUP('Extraction edi'!J956,Paramètrage!$A$6:$A$179,Paramètrage!$E$6:$E$179))</f>
        <v/>
      </c>
      <c r="O956" s="3" t="str">
        <f t="shared" si="288"/>
        <v/>
      </c>
      <c r="P956" s="3" t="str">
        <f t="shared" si="289"/>
        <v/>
      </c>
      <c r="Q956" s="3" t="str">
        <f t="shared" si="277"/>
        <v/>
      </c>
      <c r="R956" s="3" t="str">
        <f t="shared" si="290"/>
        <v/>
      </c>
      <c r="S956" s="3" t="str">
        <f t="shared" si="291"/>
        <v/>
      </c>
      <c r="T956" s="4" t="str">
        <f t="shared" si="292"/>
        <v/>
      </c>
      <c r="U956" s="5" t="str">
        <f t="shared" si="293"/>
        <v/>
      </c>
      <c r="V956" s="7" t="str">
        <f>IF(W956="","",IF(LOOKUP(W956,'Extration 3E date commande'!$A$6:$A$10000)=W956,LOOKUP(W956,'Extration 3E date commande'!$A$6:$A$10000,'Extration 3E date commande'!$C$6:$C$10000),"PAS DE DATE"))</f>
        <v/>
      </c>
    </row>
    <row r="957" spans="1:22" x14ac:dyDescent="0.25">
      <c r="A957" s="3" t="str">
        <f t="shared" si="278"/>
        <v/>
      </c>
      <c r="B957" s="3" t="str">
        <f t="shared" si="279"/>
        <v/>
      </c>
      <c r="C957" s="3" t="str">
        <f t="shared" si="280"/>
        <v/>
      </c>
      <c r="D957" s="3" t="str">
        <f t="shared" si="281"/>
        <v/>
      </c>
      <c r="E957" s="3" t="str">
        <f t="shared" si="282"/>
        <v/>
      </c>
      <c r="F957" s="3" t="str">
        <f t="shared" si="283"/>
        <v/>
      </c>
      <c r="G957" s="3" t="str">
        <f t="shared" si="284"/>
        <v/>
      </c>
      <c r="H957" s="3" t="str">
        <f t="shared" si="285"/>
        <v/>
      </c>
      <c r="I957" s="3" t="str">
        <f t="shared" si="286"/>
        <v/>
      </c>
      <c r="J957" s="2" t="str">
        <f t="shared" si="287"/>
        <v/>
      </c>
      <c r="K957" s="2" t="str">
        <f>IF(W957="","",LOOKUP('Extraction edi'!J957,Paramètrage!$A$6:$A$179,Paramètrage!$B$6:$B$179))</f>
        <v/>
      </c>
      <c r="L957" s="2" t="str">
        <f>IF(W957="","",LOOKUP('Extraction edi'!J957,Paramètrage!$A$6:$A$179,Paramètrage!$C$6:$C$179))</f>
        <v/>
      </c>
      <c r="M957" s="2" t="str">
        <f>IF(W957="","",LOOKUP('Extraction edi'!J957,Paramètrage!$A$6:$A$179,Paramètrage!$D$6:$D$179))</f>
        <v/>
      </c>
      <c r="N957" s="3" t="str">
        <f>IF(W957="","",LOOKUP('Extraction edi'!J957,Paramètrage!$A$6:$A$179,Paramètrage!$E$6:$E$179))</f>
        <v/>
      </c>
      <c r="O957" s="3" t="str">
        <f t="shared" si="288"/>
        <v/>
      </c>
      <c r="P957" s="3" t="str">
        <f t="shared" si="289"/>
        <v/>
      </c>
      <c r="Q957" s="3" t="str">
        <f t="shared" si="277"/>
        <v/>
      </c>
      <c r="R957" s="3" t="str">
        <f t="shared" si="290"/>
        <v/>
      </c>
      <c r="S957" s="3" t="str">
        <f t="shared" si="291"/>
        <v/>
      </c>
      <c r="T957" s="4" t="str">
        <f t="shared" si="292"/>
        <v/>
      </c>
      <c r="U957" s="5" t="str">
        <f t="shared" si="293"/>
        <v/>
      </c>
      <c r="V957" s="7" t="str">
        <f>IF(W957="","",IF(LOOKUP(W957,'Extration 3E date commande'!$A$6:$A$10000)=W957,LOOKUP(W957,'Extration 3E date commande'!$A$6:$A$10000,'Extration 3E date commande'!$C$6:$C$10000),"PAS DE DATE"))</f>
        <v/>
      </c>
    </row>
    <row r="958" spans="1:22" x14ac:dyDescent="0.25">
      <c r="A958" s="3" t="str">
        <f t="shared" si="278"/>
        <v/>
      </c>
      <c r="B958" s="3" t="str">
        <f t="shared" si="279"/>
        <v/>
      </c>
      <c r="C958" s="3" t="str">
        <f t="shared" si="280"/>
        <v/>
      </c>
      <c r="D958" s="3" t="str">
        <f t="shared" si="281"/>
        <v/>
      </c>
      <c r="E958" s="3" t="str">
        <f t="shared" si="282"/>
        <v/>
      </c>
      <c r="F958" s="3" t="str">
        <f t="shared" si="283"/>
        <v/>
      </c>
      <c r="G958" s="3" t="str">
        <f t="shared" si="284"/>
        <v/>
      </c>
      <c r="H958" s="3" t="str">
        <f t="shared" si="285"/>
        <v/>
      </c>
      <c r="I958" s="3" t="str">
        <f t="shared" si="286"/>
        <v/>
      </c>
      <c r="J958" s="2" t="str">
        <f t="shared" si="287"/>
        <v/>
      </c>
      <c r="K958" s="2" t="str">
        <f>IF(W958="","",LOOKUP('Extraction edi'!J958,Paramètrage!$A$6:$A$179,Paramètrage!$B$6:$B$179))</f>
        <v/>
      </c>
      <c r="L958" s="2" t="str">
        <f>IF(W958="","",LOOKUP('Extraction edi'!J958,Paramètrage!$A$6:$A$179,Paramètrage!$C$6:$C$179))</f>
        <v/>
      </c>
      <c r="M958" s="2" t="str">
        <f>IF(W958="","",LOOKUP('Extraction edi'!J958,Paramètrage!$A$6:$A$179,Paramètrage!$D$6:$D$179))</f>
        <v/>
      </c>
      <c r="N958" s="3" t="str">
        <f>IF(W958="","",LOOKUP('Extraction edi'!J958,Paramètrage!$A$6:$A$179,Paramètrage!$E$6:$E$179))</f>
        <v/>
      </c>
      <c r="O958" s="3" t="str">
        <f t="shared" si="288"/>
        <v/>
      </c>
      <c r="P958" s="3" t="str">
        <f t="shared" si="289"/>
        <v/>
      </c>
      <c r="Q958" s="3" t="str">
        <f t="shared" si="277"/>
        <v/>
      </c>
      <c r="R958" s="3" t="str">
        <f t="shared" si="290"/>
        <v/>
      </c>
      <c r="S958" s="3" t="str">
        <f t="shared" si="291"/>
        <v/>
      </c>
      <c r="T958" s="4" t="str">
        <f t="shared" si="292"/>
        <v/>
      </c>
      <c r="U958" s="5" t="str">
        <f t="shared" si="293"/>
        <v/>
      </c>
      <c r="V958" s="7" t="str">
        <f>IF(W958="","",IF(LOOKUP(W958,'Extration 3E date commande'!$A$6:$A$10000)=W958,LOOKUP(W958,'Extration 3E date commande'!$A$6:$A$10000,'Extration 3E date commande'!$C$6:$C$10000),"PAS DE DATE"))</f>
        <v/>
      </c>
    </row>
    <row r="959" spans="1:22" x14ac:dyDescent="0.25">
      <c r="A959" s="3" t="str">
        <f t="shared" si="278"/>
        <v/>
      </c>
      <c r="B959" s="3" t="str">
        <f t="shared" si="279"/>
        <v/>
      </c>
      <c r="C959" s="3" t="str">
        <f t="shared" si="280"/>
        <v/>
      </c>
      <c r="D959" s="3" t="str">
        <f t="shared" si="281"/>
        <v/>
      </c>
      <c r="E959" s="3" t="str">
        <f t="shared" si="282"/>
        <v/>
      </c>
      <c r="F959" s="3" t="str">
        <f t="shared" si="283"/>
        <v/>
      </c>
      <c r="G959" s="3" t="str">
        <f t="shared" si="284"/>
        <v/>
      </c>
      <c r="H959" s="3" t="str">
        <f t="shared" si="285"/>
        <v/>
      </c>
      <c r="I959" s="3" t="str">
        <f t="shared" si="286"/>
        <v/>
      </c>
      <c r="J959" s="2" t="str">
        <f t="shared" si="287"/>
        <v/>
      </c>
      <c r="K959" s="2" t="str">
        <f>IF(W959="","",LOOKUP('Extraction edi'!J959,Paramètrage!$A$6:$A$179,Paramètrage!$B$6:$B$179))</f>
        <v/>
      </c>
      <c r="L959" s="2" t="str">
        <f>IF(W959="","",LOOKUP('Extraction edi'!J959,Paramètrage!$A$6:$A$179,Paramètrage!$C$6:$C$179))</f>
        <v/>
      </c>
      <c r="M959" s="2" t="str">
        <f>IF(W959="","",LOOKUP('Extraction edi'!J959,Paramètrage!$A$6:$A$179,Paramètrage!$D$6:$D$179))</f>
        <v/>
      </c>
      <c r="N959" s="3" t="str">
        <f>IF(W959="","",LOOKUP('Extraction edi'!J959,Paramètrage!$A$6:$A$179,Paramètrage!$E$6:$E$179))</f>
        <v/>
      </c>
      <c r="O959" s="3" t="str">
        <f t="shared" si="288"/>
        <v/>
      </c>
      <c r="P959" s="3" t="str">
        <f t="shared" si="289"/>
        <v/>
      </c>
      <c r="Q959" s="3" t="str">
        <f t="shared" si="277"/>
        <v/>
      </c>
      <c r="R959" s="3" t="str">
        <f t="shared" si="290"/>
        <v/>
      </c>
      <c r="S959" s="3" t="str">
        <f t="shared" si="291"/>
        <v/>
      </c>
      <c r="T959" s="4" t="str">
        <f t="shared" si="292"/>
        <v/>
      </c>
      <c r="U959" s="5" t="str">
        <f t="shared" si="293"/>
        <v/>
      </c>
      <c r="V959" s="7" t="str">
        <f>IF(W959="","",IF(LOOKUP(W959,'Extration 3E date commande'!$A$6:$A$10000)=W959,LOOKUP(W959,'Extration 3E date commande'!$A$6:$A$10000,'Extration 3E date commande'!$C$6:$C$10000),"PAS DE DATE"))</f>
        <v/>
      </c>
    </row>
    <row r="960" spans="1:22" x14ac:dyDescent="0.25">
      <c r="A960" s="3" t="str">
        <f t="shared" si="278"/>
        <v/>
      </c>
      <c r="B960" s="3" t="str">
        <f t="shared" si="279"/>
        <v/>
      </c>
      <c r="C960" s="3" t="str">
        <f t="shared" si="280"/>
        <v/>
      </c>
      <c r="D960" s="3" t="str">
        <f t="shared" si="281"/>
        <v/>
      </c>
      <c r="E960" s="3" t="str">
        <f t="shared" si="282"/>
        <v/>
      </c>
      <c r="F960" s="3" t="str">
        <f t="shared" si="283"/>
        <v/>
      </c>
      <c r="G960" s="3" t="str">
        <f t="shared" si="284"/>
        <v/>
      </c>
      <c r="H960" s="3" t="str">
        <f t="shared" si="285"/>
        <v/>
      </c>
      <c r="I960" s="3" t="str">
        <f t="shared" si="286"/>
        <v/>
      </c>
      <c r="J960" s="2" t="str">
        <f t="shared" si="287"/>
        <v/>
      </c>
      <c r="K960" s="2" t="str">
        <f>IF(W960="","",LOOKUP('Extraction edi'!J960,Paramètrage!$A$6:$A$179,Paramètrage!$B$6:$B$179))</f>
        <v/>
      </c>
      <c r="L960" s="2" t="str">
        <f>IF(W960="","",LOOKUP('Extraction edi'!J960,Paramètrage!$A$6:$A$179,Paramètrage!$C$6:$C$179))</f>
        <v/>
      </c>
      <c r="M960" s="2" t="str">
        <f>IF(W960="","",LOOKUP('Extraction edi'!J960,Paramètrage!$A$6:$A$179,Paramètrage!$D$6:$D$179))</f>
        <v/>
      </c>
      <c r="N960" s="3" t="str">
        <f>IF(W960="","",LOOKUP('Extraction edi'!J960,Paramètrage!$A$6:$A$179,Paramètrage!$E$6:$E$179))</f>
        <v/>
      </c>
      <c r="O960" s="3" t="str">
        <f t="shared" si="288"/>
        <v/>
      </c>
      <c r="P960" s="3" t="str">
        <f t="shared" si="289"/>
        <v/>
      </c>
      <c r="Q960" s="3" t="str">
        <f t="shared" si="277"/>
        <v/>
      </c>
      <c r="R960" s="3" t="str">
        <f t="shared" si="290"/>
        <v/>
      </c>
      <c r="S960" s="3" t="str">
        <f t="shared" si="291"/>
        <v/>
      </c>
      <c r="T960" s="4" t="str">
        <f t="shared" si="292"/>
        <v/>
      </c>
      <c r="U960" s="5" t="str">
        <f t="shared" si="293"/>
        <v/>
      </c>
      <c r="V960" s="7" t="str">
        <f>IF(W960="","",IF(LOOKUP(W960,'Extration 3E date commande'!$A$6:$A$10000)=W960,LOOKUP(W960,'Extration 3E date commande'!$A$6:$A$10000,'Extration 3E date commande'!$C$6:$C$10000),"PAS DE DATE"))</f>
        <v/>
      </c>
    </row>
    <row r="961" spans="1:22" x14ac:dyDescent="0.25">
      <c r="A961" s="3" t="str">
        <f t="shared" si="278"/>
        <v/>
      </c>
      <c r="B961" s="3" t="str">
        <f t="shared" si="279"/>
        <v/>
      </c>
      <c r="C961" s="3" t="str">
        <f t="shared" si="280"/>
        <v/>
      </c>
      <c r="D961" s="3" t="str">
        <f t="shared" si="281"/>
        <v/>
      </c>
      <c r="E961" s="3" t="str">
        <f t="shared" si="282"/>
        <v/>
      </c>
      <c r="F961" s="3" t="str">
        <f t="shared" si="283"/>
        <v/>
      </c>
      <c r="G961" s="3" t="str">
        <f t="shared" si="284"/>
        <v/>
      </c>
      <c r="H961" s="3" t="str">
        <f t="shared" si="285"/>
        <v/>
      </c>
      <c r="I961" s="3" t="str">
        <f t="shared" si="286"/>
        <v/>
      </c>
      <c r="J961" s="2" t="str">
        <f t="shared" si="287"/>
        <v/>
      </c>
      <c r="K961" s="2" t="str">
        <f>IF(W961="","",LOOKUP('Extraction edi'!J961,Paramètrage!$A$6:$A$179,Paramètrage!$B$6:$B$179))</f>
        <v/>
      </c>
      <c r="L961" s="2" t="str">
        <f>IF(W961="","",LOOKUP('Extraction edi'!J961,Paramètrage!$A$6:$A$179,Paramètrage!$C$6:$C$179))</f>
        <v/>
      </c>
      <c r="M961" s="2" t="str">
        <f>IF(W961="","",LOOKUP('Extraction edi'!J961,Paramètrage!$A$6:$A$179,Paramètrage!$D$6:$D$179))</f>
        <v/>
      </c>
      <c r="N961" s="3" t="str">
        <f>IF(W961="","",LOOKUP('Extraction edi'!J961,Paramètrage!$A$6:$A$179,Paramètrage!$E$6:$E$179))</f>
        <v/>
      </c>
      <c r="O961" s="3" t="str">
        <f t="shared" si="288"/>
        <v/>
      </c>
      <c r="P961" s="3" t="str">
        <f t="shared" si="289"/>
        <v/>
      </c>
      <c r="Q961" s="3" t="str">
        <f t="shared" si="277"/>
        <v/>
      </c>
      <c r="R961" s="3" t="str">
        <f t="shared" si="290"/>
        <v/>
      </c>
      <c r="S961" s="3" t="str">
        <f t="shared" si="291"/>
        <v/>
      </c>
      <c r="T961" s="4" t="str">
        <f t="shared" si="292"/>
        <v/>
      </c>
      <c r="U961" s="5" t="str">
        <f t="shared" si="293"/>
        <v/>
      </c>
      <c r="V961" s="7" t="str">
        <f>IF(W961="","",IF(LOOKUP(W961,'Extration 3E date commande'!$A$6:$A$10000)=W961,LOOKUP(W961,'Extration 3E date commande'!$A$6:$A$10000,'Extration 3E date commande'!$C$6:$C$10000),"PAS DE DATE"))</f>
        <v/>
      </c>
    </row>
    <row r="962" spans="1:22" x14ac:dyDescent="0.25">
      <c r="A962" s="3" t="str">
        <f t="shared" si="278"/>
        <v/>
      </c>
      <c r="B962" s="3" t="str">
        <f t="shared" si="279"/>
        <v/>
      </c>
      <c r="C962" s="3" t="str">
        <f t="shared" si="280"/>
        <v/>
      </c>
      <c r="D962" s="3" t="str">
        <f t="shared" si="281"/>
        <v/>
      </c>
      <c r="E962" s="3" t="str">
        <f t="shared" si="282"/>
        <v/>
      </c>
      <c r="F962" s="3" t="str">
        <f t="shared" si="283"/>
        <v/>
      </c>
      <c r="G962" s="3" t="str">
        <f t="shared" si="284"/>
        <v/>
      </c>
      <c r="H962" s="3" t="str">
        <f t="shared" si="285"/>
        <v/>
      </c>
      <c r="I962" s="3" t="str">
        <f t="shared" si="286"/>
        <v/>
      </c>
      <c r="J962" s="2" t="str">
        <f t="shared" si="287"/>
        <v/>
      </c>
      <c r="K962" s="2" t="str">
        <f>IF(W962="","",LOOKUP('Extraction edi'!J962,Paramètrage!$A$6:$A$179,Paramètrage!$B$6:$B$179))</f>
        <v/>
      </c>
      <c r="L962" s="2" t="str">
        <f>IF(W962="","",LOOKUP('Extraction edi'!J962,Paramètrage!$A$6:$A$179,Paramètrage!$C$6:$C$179))</f>
        <v/>
      </c>
      <c r="M962" s="2" t="str">
        <f>IF(W962="","",LOOKUP('Extraction edi'!J962,Paramètrage!$A$6:$A$179,Paramètrage!$D$6:$D$179))</f>
        <v/>
      </c>
      <c r="N962" s="3" t="str">
        <f>IF(W962="","",LOOKUP('Extraction edi'!J962,Paramètrage!$A$6:$A$179,Paramètrage!$E$6:$E$179))</f>
        <v/>
      </c>
      <c r="O962" s="3" t="str">
        <f t="shared" si="288"/>
        <v/>
      </c>
      <c r="P962" s="3" t="str">
        <f t="shared" si="289"/>
        <v/>
      </c>
      <c r="Q962" s="3" t="str">
        <f t="shared" si="277"/>
        <v/>
      </c>
      <c r="R962" s="3" t="str">
        <f t="shared" si="290"/>
        <v/>
      </c>
      <c r="S962" s="3" t="str">
        <f t="shared" si="291"/>
        <v/>
      </c>
      <c r="T962" s="4" t="str">
        <f t="shared" si="292"/>
        <v/>
      </c>
      <c r="U962" s="5" t="str">
        <f t="shared" si="293"/>
        <v/>
      </c>
      <c r="V962" s="7" t="str">
        <f>IF(W962="","",IF(LOOKUP(W962,'Extration 3E date commande'!$A$6:$A$10000)=W962,LOOKUP(W962,'Extration 3E date commande'!$A$6:$A$10000,'Extration 3E date commande'!$C$6:$C$10000),"PAS DE DATE"))</f>
        <v/>
      </c>
    </row>
    <row r="963" spans="1:22" x14ac:dyDescent="0.25">
      <c r="A963" s="3" t="str">
        <f t="shared" si="278"/>
        <v/>
      </c>
      <c r="B963" s="3" t="str">
        <f t="shared" si="279"/>
        <v/>
      </c>
      <c r="C963" s="3" t="str">
        <f t="shared" si="280"/>
        <v/>
      </c>
      <c r="D963" s="3" t="str">
        <f t="shared" si="281"/>
        <v/>
      </c>
      <c r="E963" s="3" t="str">
        <f t="shared" si="282"/>
        <v/>
      </c>
      <c r="F963" s="3" t="str">
        <f t="shared" si="283"/>
        <v/>
      </c>
      <c r="G963" s="3" t="str">
        <f t="shared" si="284"/>
        <v/>
      </c>
      <c r="H963" s="3" t="str">
        <f t="shared" si="285"/>
        <v/>
      </c>
      <c r="I963" s="3" t="str">
        <f t="shared" si="286"/>
        <v/>
      </c>
      <c r="J963" s="2" t="str">
        <f t="shared" si="287"/>
        <v/>
      </c>
      <c r="K963" s="2" t="str">
        <f>IF(W963="","",LOOKUP('Extraction edi'!J963,Paramètrage!$A$6:$A$179,Paramètrage!$B$6:$B$179))</f>
        <v/>
      </c>
      <c r="L963" s="2" t="str">
        <f>IF(W963="","",LOOKUP('Extraction edi'!J963,Paramètrage!$A$6:$A$179,Paramètrage!$C$6:$C$179))</f>
        <v/>
      </c>
      <c r="M963" s="2" t="str">
        <f>IF(W963="","",LOOKUP('Extraction edi'!J963,Paramètrage!$A$6:$A$179,Paramètrage!$D$6:$D$179))</f>
        <v/>
      </c>
      <c r="N963" s="3" t="str">
        <f>IF(W963="","",LOOKUP('Extraction edi'!J963,Paramètrage!$A$6:$A$179,Paramètrage!$E$6:$E$179))</f>
        <v/>
      </c>
      <c r="O963" s="3" t="str">
        <f t="shared" si="288"/>
        <v/>
      </c>
      <c r="P963" s="3" t="str">
        <f t="shared" si="289"/>
        <v/>
      </c>
      <c r="Q963" s="3" t="str">
        <f t="shared" si="277"/>
        <v/>
      </c>
      <c r="R963" s="3" t="str">
        <f t="shared" si="290"/>
        <v/>
      </c>
      <c r="S963" s="3" t="str">
        <f t="shared" si="291"/>
        <v/>
      </c>
      <c r="T963" s="4" t="str">
        <f t="shared" si="292"/>
        <v/>
      </c>
      <c r="U963" s="5" t="str">
        <f t="shared" si="293"/>
        <v/>
      </c>
      <c r="V963" s="7" t="str">
        <f>IF(W963="","",IF(LOOKUP(W963,'Extration 3E date commande'!$A$6:$A$10000)=W963,LOOKUP(W963,'Extration 3E date commande'!$A$6:$A$10000,'Extration 3E date commande'!$C$6:$C$10000),"PAS DE DATE"))</f>
        <v/>
      </c>
    </row>
    <row r="964" spans="1:22" x14ac:dyDescent="0.25">
      <c r="A964" s="3" t="str">
        <f t="shared" si="278"/>
        <v/>
      </c>
      <c r="B964" s="3" t="str">
        <f t="shared" si="279"/>
        <v/>
      </c>
      <c r="C964" s="3" t="str">
        <f t="shared" si="280"/>
        <v/>
      </c>
      <c r="D964" s="3" t="str">
        <f t="shared" si="281"/>
        <v/>
      </c>
      <c r="E964" s="3" t="str">
        <f t="shared" si="282"/>
        <v/>
      </c>
      <c r="F964" s="3" t="str">
        <f t="shared" si="283"/>
        <v/>
      </c>
      <c r="G964" s="3" t="str">
        <f t="shared" si="284"/>
        <v/>
      </c>
      <c r="H964" s="3" t="str">
        <f t="shared" si="285"/>
        <v/>
      </c>
      <c r="I964" s="3" t="str">
        <f t="shared" si="286"/>
        <v/>
      </c>
      <c r="J964" s="2" t="str">
        <f t="shared" si="287"/>
        <v/>
      </c>
      <c r="K964" s="2" t="str">
        <f>IF(W964="","",LOOKUP('Extraction edi'!J964,Paramètrage!$A$6:$A$179,Paramètrage!$B$6:$B$179))</f>
        <v/>
      </c>
      <c r="L964" s="2" t="str">
        <f>IF(W964="","",LOOKUP('Extraction edi'!J964,Paramètrage!$A$6:$A$179,Paramètrage!$C$6:$C$179))</f>
        <v/>
      </c>
      <c r="M964" s="2" t="str">
        <f>IF(W964="","",LOOKUP('Extraction edi'!J964,Paramètrage!$A$6:$A$179,Paramètrage!$D$6:$D$179))</f>
        <v/>
      </c>
      <c r="N964" s="3" t="str">
        <f>IF(W964="","",LOOKUP('Extraction edi'!J964,Paramètrage!$A$6:$A$179,Paramètrage!$E$6:$E$179))</f>
        <v/>
      </c>
      <c r="O964" s="3" t="str">
        <f t="shared" si="288"/>
        <v/>
      </c>
      <c r="P964" s="3" t="str">
        <f t="shared" si="289"/>
        <v/>
      </c>
      <c r="Q964" s="3" t="str">
        <f t="shared" si="277"/>
        <v/>
      </c>
      <c r="R964" s="3" t="str">
        <f t="shared" si="290"/>
        <v/>
      </c>
      <c r="S964" s="3" t="str">
        <f t="shared" si="291"/>
        <v/>
      </c>
      <c r="T964" s="4" t="str">
        <f t="shared" si="292"/>
        <v/>
      </c>
      <c r="U964" s="5" t="str">
        <f t="shared" si="293"/>
        <v/>
      </c>
      <c r="V964" s="7" t="str">
        <f>IF(W964="","",IF(LOOKUP(W964,'Extration 3E date commande'!$A$6:$A$10000)=W964,LOOKUP(W964,'Extration 3E date commande'!$A$6:$A$10000,'Extration 3E date commande'!$C$6:$C$10000),"PAS DE DATE"))</f>
        <v/>
      </c>
    </row>
    <row r="965" spans="1:22" x14ac:dyDescent="0.25">
      <c r="A965" s="3" t="str">
        <f t="shared" si="278"/>
        <v/>
      </c>
      <c r="B965" s="3" t="str">
        <f t="shared" si="279"/>
        <v/>
      </c>
      <c r="C965" s="3" t="str">
        <f t="shared" si="280"/>
        <v/>
      </c>
      <c r="D965" s="3" t="str">
        <f t="shared" si="281"/>
        <v/>
      </c>
      <c r="E965" s="3" t="str">
        <f t="shared" si="282"/>
        <v/>
      </c>
      <c r="F965" s="3" t="str">
        <f t="shared" si="283"/>
        <v/>
      </c>
      <c r="G965" s="3" t="str">
        <f t="shared" si="284"/>
        <v/>
      </c>
      <c r="H965" s="3" t="str">
        <f t="shared" si="285"/>
        <v/>
      </c>
      <c r="I965" s="3" t="str">
        <f t="shared" si="286"/>
        <v/>
      </c>
      <c r="J965" s="2" t="str">
        <f t="shared" si="287"/>
        <v/>
      </c>
      <c r="K965" s="2" t="str">
        <f>IF(W965="","",LOOKUP('Extraction edi'!J965,Paramètrage!$A$6:$A$179,Paramètrage!$B$6:$B$179))</f>
        <v/>
      </c>
      <c r="L965" s="2" t="str">
        <f>IF(W965="","",LOOKUP('Extraction edi'!J965,Paramètrage!$A$6:$A$179,Paramètrage!$C$6:$C$179))</f>
        <v/>
      </c>
      <c r="M965" s="2" t="str">
        <f>IF(W965="","",LOOKUP('Extraction edi'!J965,Paramètrage!$A$6:$A$179,Paramètrage!$D$6:$D$179))</f>
        <v/>
      </c>
      <c r="N965" s="3" t="str">
        <f>IF(W965="","",LOOKUP('Extraction edi'!J965,Paramètrage!$A$6:$A$179,Paramètrage!$E$6:$E$179))</f>
        <v/>
      </c>
      <c r="O965" s="3" t="str">
        <f t="shared" si="288"/>
        <v/>
      </c>
      <c r="P965" s="3" t="str">
        <f t="shared" si="289"/>
        <v/>
      </c>
      <c r="Q965" s="3" t="str">
        <f t="shared" si="277"/>
        <v/>
      </c>
      <c r="R965" s="3" t="str">
        <f t="shared" si="290"/>
        <v/>
      </c>
      <c r="S965" s="3" t="str">
        <f t="shared" si="291"/>
        <v/>
      </c>
      <c r="T965" s="4" t="str">
        <f t="shared" si="292"/>
        <v/>
      </c>
      <c r="U965" s="5" t="str">
        <f t="shared" si="293"/>
        <v/>
      </c>
      <c r="V965" s="7" t="str">
        <f>IF(W965="","",IF(LOOKUP(W965,'Extration 3E date commande'!$A$6:$A$10000)=W965,LOOKUP(W965,'Extration 3E date commande'!$A$6:$A$10000,'Extration 3E date commande'!$C$6:$C$10000),"PAS DE DATE"))</f>
        <v/>
      </c>
    </row>
    <row r="966" spans="1:22" x14ac:dyDescent="0.25">
      <c r="A966" s="3" t="str">
        <f t="shared" si="278"/>
        <v/>
      </c>
      <c r="B966" s="3" t="str">
        <f t="shared" si="279"/>
        <v/>
      </c>
      <c r="C966" s="3" t="str">
        <f t="shared" si="280"/>
        <v/>
      </c>
      <c r="D966" s="3" t="str">
        <f t="shared" si="281"/>
        <v/>
      </c>
      <c r="E966" s="3" t="str">
        <f t="shared" si="282"/>
        <v/>
      </c>
      <c r="F966" s="3" t="str">
        <f t="shared" si="283"/>
        <v/>
      </c>
      <c r="G966" s="3" t="str">
        <f t="shared" si="284"/>
        <v/>
      </c>
      <c r="H966" s="3" t="str">
        <f t="shared" si="285"/>
        <v/>
      </c>
      <c r="I966" s="3" t="str">
        <f t="shared" si="286"/>
        <v/>
      </c>
      <c r="J966" s="2" t="str">
        <f t="shared" si="287"/>
        <v/>
      </c>
      <c r="K966" s="2" t="str">
        <f>IF(W966="","",LOOKUP('Extraction edi'!J966,Paramètrage!$A$6:$A$179,Paramètrage!$B$6:$B$179))</f>
        <v/>
      </c>
      <c r="L966" s="2" t="str">
        <f>IF(W966="","",LOOKUP('Extraction edi'!J966,Paramètrage!$A$6:$A$179,Paramètrage!$C$6:$C$179))</f>
        <v/>
      </c>
      <c r="M966" s="2" t="str">
        <f>IF(W966="","",LOOKUP('Extraction edi'!J966,Paramètrage!$A$6:$A$179,Paramètrage!$D$6:$D$179))</f>
        <v/>
      </c>
      <c r="N966" s="3" t="str">
        <f>IF(W966="","",LOOKUP('Extraction edi'!J966,Paramètrage!$A$6:$A$179,Paramètrage!$E$6:$E$179))</f>
        <v/>
      </c>
      <c r="O966" s="3" t="str">
        <f t="shared" si="288"/>
        <v/>
      </c>
      <c r="P966" s="3" t="str">
        <f t="shared" si="289"/>
        <v/>
      </c>
      <c r="Q966" s="3" t="str">
        <f t="shared" si="277"/>
        <v/>
      </c>
      <c r="R966" s="3" t="str">
        <f t="shared" si="290"/>
        <v/>
      </c>
      <c r="S966" s="3" t="str">
        <f t="shared" si="291"/>
        <v/>
      </c>
      <c r="T966" s="4" t="str">
        <f t="shared" si="292"/>
        <v/>
      </c>
      <c r="U966" s="5" t="str">
        <f t="shared" si="293"/>
        <v/>
      </c>
      <c r="V966" s="7" t="str">
        <f>IF(W966="","",IF(LOOKUP(W966,'Extration 3E date commande'!$A$6:$A$10000)=W966,LOOKUP(W966,'Extration 3E date commande'!$A$6:$A$10000,'Extration 3E date commande'!$C$6:$C$10000),"PAS DE DATE"))</f>
        <v/>
      </c>
    </row>
    <row r="967" spans="1:22" x14ac:dyDescent="0.25">
      <c r="A967" s="3" t="str">
        <f t="shared" si="278"/>
        <v/>
      </c>
      <c r="B967" s="3" t="str">
        <f t="shared" si="279"/>
        <v/>
      </c>
      <c r="C967" s="3" t="str">
        <f t="shared" si="280"/>
        <v/>
      </c>
      <c r="D967" s="3" t="str">
        <f t="shared" si="281"/>
        <v/>
      </c>
      <c r="E967" s="3" t="str">
        <f t="shared" si="282"/>
        <v/>
      </c>
      <c r="F967" s="3" t="str">
        <f t="shared" si="283"/>
        <v/>
      </c>
      <c r="G967" s="3" t="str">
        <f t="shared" si="284"/>
        <v/>
      </c>
      <c r="H967" s="3" t="str">
        <f t="shared" si="285"/>
        <v/>
      </c>
      <c r="I967" s="3" t="str">
        <f t="shared" si="286"/>
        <v/>
      </c>
      <c r="J967" s="2" t="str">
        <f t="shared" si="287"/>
        <v/>
      </c>
      <c r="K967" s="2" t="str">
        <f>IF(W967="","",LOOKUP('Extraction edi'!J967,Paramètrage!$A$6:$A$179,Paramètrage!$B$6:$B$179))</f>
        <v/>
      </c>
      <c r="L967" s="2" t="str">
        <f>IF(W967="","",LOOKUP('Extraction edi'!J967,Paramètrage!$A$6:$A$179,Paramètrage!$C$6:$C$179))</f>
        <v/>
      </c>
      <c r="M967" s="2" t="str">
        <f>IF(W967="","",LOOKUP('Extraction edi'!J967,Paramètrage!$A$6:$A$179,Paramètrage!$D$6:$D$179))</f>
        <v/>
      </c>
      <c r="N967" s="3" t="str">
        <f>IF(W967="","",LOOKUP('Extraction edi'!J967,Paramètrage!$A$6:$A$179,Paramètrage!$E$6:$E$179))</f>
        <v/>
      </c>
      <c r="O967" s="3" t="str">
        <f t="shared" si="288"/>
        <v/>
      </c>
      <c r="P967" s="3" t="str">
        <f t="shared" si="289"/>
        <v/>
      </c>
      <c r="Q967" s="3" t="str">
        <f t="shared" si="277"/>
        <v/>
      </c>
      <c r="R967" s="3" t="str">
        <f t="shared" si="290"/>
        <v/>
      </c>
      <c r="S967" s="3" t="str">
        <f t="shared" si="291"/>
        <v/>
      </c>
      <c r="T967" s="4" t="str">
        <f t="shared" si="292"/>
        <v/>
      </c>
      <c r="U967" s="5" t="str">
        <f t="shared" si="293"/>
        <v/>
      </c>
      <c r="V967" s="7" t="str">
        <f>IF(W967="","",IF(LOOKUP(W967,'Extration 3E date commande'!$A$6:$A$10000)=W967,LOOKUP(W967,'Extration 3E date commande'!$A$6:$A$10000,'Extration 3E date commande'!$C$6:$C$10000),"PAS DE DATE"))</f>
        <v/>
      </c>
    </row>
    <row r="968" spans="1:22" x14ac:dyDescent="0.25">
      <c r="A968" s="3" t="str">
        <f t="shared" si="278"/>
        <v/>
      </c>
      <c r="B968" s="3" t="str">
        <f t="shared" si="279"/>
        <v/>
      </c>
      <c r="C968" s="3" t="str">
        <f t="shared" si="280"/>
        <v/>
      </c>
      <c r="D968" s="3" t="str">
        <f t="shared" si="281"/>
        <v/>
      </c>
      <c r="E968" s="3" t="str">
        <f t="shared" si="282"/>
        <v/>
      </c>
      <c r="F968" s="3" t="str">
        <f t="shared" si="283"/>
        <v/>
      </c>
      <c r="G968" s="3" t="str">
        <f t="shared" si="284"/>
        <v/>
      </c>
      <c r="H968" s="3" t="str">
        <f t="shared" si="285"/>
        <v/>
      </c>
      <c r="I968" s="3" t="str">
        <f t="shared" si="286"/>
        <v/>
      </c>
      <c r="J968" s="2" t="str">
        <f t="shared" si="287"/>
        <v/>
      </c>
      <c r="K968" s="2" t="str">
        <f>IF(W968="","",LOOKUP('Extraction edi'!J968,Paramètrage!$A$6:$A$179,Paramètrage!$B$6:$B$179))</f>
        <v/>
      </c>
      <c r="L968" s="2" t="str">
        <f>IF(W968="","",LOOKUP('Extraction edi'!J968,Paramètrage!$A$6:$A$179,Paramètrage!$C$6:$C$179))</f>
        <v/>
      </c>
      <c r="M968" s="2" t="str">
        <f>IF(W968="","",LOOKUP('Extraction edi'!J968,Paramètrage!$A$6:$A$179,Paramètrage!$D$6:$D$179))</f>
        <v/>
      </c>
      <c r="N968" s="3" t="str">
        <f>IF(W968="","",LOOKUP('Extraction edi'!J968,Paramètrage!$A$6:$A$179,Paramètrage!$E$6:$E$179))</f>
        <v/>
      </c>
      <c r="O968" s="3" t="str">
        <f t="shared" si="288"/>
        <v/>
      </c>
      <c r="P968" s="3" t="str">
        <f t="shared" si="289"/>
        <v/>
      </c>
      <c r="Q968" s="3" t="str">
        <f t="shared" si="277"/>
        <v/>
      </c>
      <c r="R968" s="3" t="str">
        <f t="shared" si="290"/>
        <v/>
      </c>
      <c r="S968" s="3" t="str">
        <f t="shared" si="291"/>
        <v/>
      </c>
      <c r="T968" s="4" t="str">
        <f t="shared" si="292"/>
        <v/>
      </c>
      <c r="U968" s="5" t="str">
        <f t="shared" si="293"/>
        <v/>
      </c>
      <c r="V968" s="7" t="str">
        <f>IF(W968="","",IF(LOOKUP(W968,'Extration 3E date commande'!$A$6:$A$10000)=W968,LOOKUP(W968,'Extration 3E date commande'!$A$6:$A$10000,'Extration 3E date commande'!$C$6:$C$10000),"PAS DE DATE"))</f>
        <v/>
      </c>
    </row>
    <row r="969" spans="1:22" x14ac:dyDescent="0.25">
      <c r="A969" s="3" t="str">
        <f t="shared" si="278"/>
        <v/>
      </c>
      <c r="B969" s="3" t="str">
        <f t="shared" si="279"/>
        <v/>
      </c>
      <c r="C969" s="3" t="str">
        <f t="shared" si="280"/>
        <v/>
      </c>
      <c r="D969" s="3" t="str">
        <f t="shared" si="281"/>
        <v/>
      </c>
      <c r="E969" s="3" t="str">
        <f t="shared" si="282"/>
        <v/>
      </c>
      <c r="F969" s="3" t="str">
        <f t="shared" si="283"/>
        <v/>
      </c>
      <c r="G969" s="3" t="str">
        <f t="shared" si="284"/>
        <v/>
      </c>
      <c r="H969" s="3" t="str">
        <f t="shared" si="285"/>
        <v/>
      </c>
      <c r="I969" s="3" t="str">
        <f t="shared" si="286"/>
        <v/>
      </c>
      <c r="J969" s="2" t="str">
        <f t="shared" si="287"/>
        <v/>
      </c>
      <c r="K969" s="2" t="str">
        <f>IF(W969="","",LOOKUP('Extraction edi'!J969,Paramètrage!$A$6:$A$179,Paramètrage!$B$6:$B$179))</f>
        <v/>
      </c>
      <c r="L969" s="2" t="str">
        <f>IF(W969="","",LOOKUP('Extraction edi'!J969,Paramètrage!$A$6:$A$179,Paramètrage!$C$6:$C$179))</f>
        <v/>
      </c>
      <c r="M969" s="2" t="str">
        <f>IF(W969="","",LOOKUP('Extraction edi'!J969,Paramètrage!$A$6:$A$179,Paramètrage!$D$6:$D$179))</f>
        <v/>
      </c>
      <c r="N969" s="3" t="str">
        <f>IF(W969="","",LOOKUP('Extraction edi'!J969,Paramètrage!$A$6:$A$179,Paramètrage!$E$6:$E$179))</f>
        <v/>
      </c>
      <c r="O969" s="3" t="str">
        <f t="shared" si="288"/>
        <v/>
      </c>
      <c r="P969" s="3" t="str">
        <f t="shared" si="289"/>
        <v/>
      </c>
      <c r="Q969" s="3" t="str">
        <f t="shared" si="277"/>
        <v/>
      </c>
      <c r="R969" s="3" t="str">
        <f t="shared" si="290"/>
        <v/>
      </c>
      <c r="S969" s="3" t="str">
        <f t="shared" si="291"/>
        <v/>
      </c>
      <c r="T969" s="4" t="str">
        <f t="shared" si="292"/>
        <v/>
      </c>
      <c r="U969" s="5" t="str">
        <f t="shared" si="293"/>
        <v/>
      </c>
      <c r="V969" s="7" t="str">
        <f>IF(W969="","",IF(LOOKUP(W969,'Extration 3E date commande'!$A$6:$A$10000)=W969,LOOKUP(W969,'Extration 3E date commande'!$A$6:$A$10000,'Extration 3E date commande'!$C$6:$C$10000),"PAS DE DATE"))</f>
        <v/>
      </c>
    </row>
    <row r="970" spans="1:22" x14ac:dyDescent="0.25">
      <c r="A970" s="3" t="str">
        <f t="shared" si="278"/>
        <v/>
      </c>
      <c r="B970" s="3" t="str">
        <f t="shared" si="279"/>
        <v/>
      </c>
      <c r="C970" s="3" t="str">
        <f t="shared" si="280"/>
        <v/>
      </c>
      <c r="D970" s="3" t="str">
        <f t="shared" si="281"/>
        <v/>
      </c>
      <c r="E970" s="3" t="str">
        <f t="shared" si="282"/>
        <v/>
      </c>
      <c r="F970" s="3" t="str">
        <f t="shared" si="283"/>
        <v/>
      </c>
      <c r="G970" s="3" t="str">
        <f t="shared" si="284"/>
        <v/>
      </c>
      <c r="H970" s="3" t="str">
        <f t="shared" si="285"/>
        <v/>
      </c>
      <c r="I970" s="3" t="str">
        <f t="shared" si="286"/>
        <v/>
      </c>
      <c r="J970" s="2" t="str">
        <f t="shared" si="287"/>
        <v/>
      </c>
      <c r="K970" s="2" t="str">
        <f>IF(W970="","",LOOKUP('Extraction edi'!J970,Paramètrage!$A$6:$A$179,Paramètrage!$B$6:$B$179))</f>
        <v/>
      </c>
      <c r="L970" s="2" t="str">
        <f>IF(W970="","",LOOKUP('Extraction edi'!J970,Paramètrage!$A$6:$A$179,Paramètrage!$C$6:$C$179))</f>
        <v/>
      </c>
      <c r="M970" s="2" t="str">
        <f>IF(W970="","",LOOKUP('Extraction edi'!J970,Paramètrage!$A$6:$A$179,Paramètrage!$D$6:$D$179))</f>
        <v/>
      </c>
      <c r="N970" s="3" t="str">
        <f>IF(W970="","",LOOKUP('Extraction edi'!J970,Paramètrage!$A$6:$A$179,Paramètrage!$E$6:$E$179))</f>
        <v/>
      </c>
      <c r="O970" s="3" t="str">
        <f t="shared" si="288"/>
        <v/>
      </c>
      <c r="P970" s="3" t="str">
        <f t="shared" si="289"/>
        <v/>
      </c>
      <c r="Q970" s="3" t="str">
        <f t="shared" si="277"/>
        <v/>
      </c>
      <c r="R970" s="3" t="str">
        <f t="shared" si="290"/>
        <v/>
      </c>
      <c r="S970" s="3" t="str">
        <f t="shared" si="291"/>
        <v/>
      </c>
      <c r="T970" s="4" t="str">
        <f t="shared" si="292"/>
        <v/>
      </c>
      <c r="U970" s="5" t="str">
        <f t="shared" si="293"/>
        <v/>
      </c>
      <c r="V970" s="7" t="str">
        <f>IF(W970="","",IF(LOOKUP(W970,'Extration 3E date commande'!$A$6:$A$10000)=W970,LOOKUP(W970,'Extration 3E date commande'!$A$6:$A$10000,'Extration 3E date commande'!$C$6:$C$10000),"PAS DE DATE"))</f>
        <v/>
      </c>
    </row>
    <row r="971" spans="1:22" x14ac:dyDescent="0.25">
      <c r="A971" s="3" t="str">
        <f t="shared" si="278"/>
        <v/>
      </c>
      <c r="B971" s="3" t="str">
        <f t="shared" si="279"/>
        <v/>
      </c>
      <c r="C971" s="3" t="str">
        <f t="shared" si="280"/>
        <v/>
      </c>
      <c r="D971" s="3" t="str">
        <f t="shared" si="281"/>
        <v/>
      </c>
      <c r="E971" s="3" t="str">
        <f t="shared" si="282"/>
        <v/>
      </c>
      <c r="F971" s="3" t="str">
        <f t="shared" si="283"/>
        <v/>
      </c>
      <c r="G971" s="3" t="str">
        <f t="shared" si="284"/>
        <v/>
      </c>
      <c r="H971" s="3" t="str">
        <f t="shared" si="285"/>
        <v/>
      </c>
      <c r="I971" s="3" t="str">
        <f t="shared" si="286"/>
        <v/>
      </c>
      <c r="J971" s="2" t="str">
        <f t="shared" si="287"/>
        <v/>
      </c>
      <c r="K971" s="2" t="str">
        <f>IF(W971="","",LOOKUP('Extraction edi'!J971,Paramètrage!$A$6:$A$179,Paramètrage!$B$6:$B$179))</f>
        <v/>
      </c>
      <c r="L971" s="2" t="str">
        <f>IF(W971="","",LOOKUP('Extraction edi'!J971,Paramètrage!$A$6:$A$179,Paramètrage!$C$6:$C$179))</f>
        <v/>
      </c>
      <c r="M971" s="2" t="str">
        <f>IF(W971="","",LOOKUP('Extraction edi'!J971,Paramètrage!$A$6:$A$179,Paramètrage!$D$6:$D$179))</f>
        <v/>
      </c>
      <c r="N971" s="3" t="str">
        <f>IF(W971="","",LOOKUP('Extraction edi'!J971,Paramètrage!$A$6:$A$179,Paramètrage!$E$6:$E$179))</f>
        <v/>
      </c>
      <c r="O971" s="3" t="str">
        <f t="shared" si="288"/>
        <v/>
      </c>
      <c r="P971" s="3" t="str">
        <f t="shared" si="289"/>
        <v/>
      </c>
      <c r="Q971" s="3" t="str">
        <f t="shared" si="277"/>
        <v/>
      </c>
      <c r="R971" s="3" t="str">
        <f t="shared" si="290"/>
        <v/>
      </c>
      <c r="S971" s="3" t="str">
        <f t="shared" si="291"/>
        <v/>
      </c>
      <c r="T971" s="4" t="str">
        <f t="shared" si="292"/>
        <v/>
      </c>
      <c r="U971" s="5" t="str">
        <f t="shared" si="293"/>
        <v/>
      </c>
      <c r="V971" s="7" t="str">
        <f>IF(W971="","",IF(LOOKUP(W971,'Extration 3E date commande'!$A$6:$A$10000)=W971,LOOKUP(W971,'Extration 3E date commande'!$A$6:$A$10000,'Extration 3E date commande'!$C$6:$C$10000),"PAS DE DATE"))</f>
        <v/>
      </c>
    </row>
    <row r="972" spans="1:22" x14ac:dyDescent="0.25">
      <c r="A972" s="3" t="str">
        <f t="shared" si="278"/>
        <v/>
      </c>
      <c r="B972" s="3" t="str">
        <f t="shared" si="279"/>
        <v/>
      </c>
      <c r="C972" s="3" t="str">
        <f t="shared" si="280"/>
        <v/>
      </c>
      <c r="D972" s="3" t="str">
        <f t="shared" si="281"/>
        <v/>
      </c>
      <c r="E972" s="3" t="str">
        <f t="shared" si="282"/>
        <v/>
      </c>
      <c r="F972" s="3" t="str">
        <f t="shared" si="283"/>
        <v/>
      </c>
      <c r="G972" s="3" t="str">
        <f t="shared" si="284"/>
        <v/>
      </c>
      <c r="H972" s="3" t="str">
        <f t="shared" si="285"/>
        <v/>
      </c>
      <c r="I972" s="3" t="str">
        <f t="shared" si="286"/>
        <v/>
      </c>
      <c r="J972" s="2" t="str">
        <f t="shared" si="287"/>
        <v/>
      </c>
      <c r="K972" s="2" t="str">
        <f>IF(W972="","",LOOKUP('Extraction edi'!J972,Paramètrage!$A$6:$A$179,Paramètrage!$B$6:$B$179))</f>
        <v/>
      </c>
      <c r="L972" s="2" t="str">
        <f>IF(W972="","",LOOKUP('Extraction edi'!J972,Paramètrage!$A$6:$A$179,Paramètrage!$C$6:$C$179))</f>
        <v/>
      </c>
      <c r="M972" s="2" t="str">
        <f>IF(W972="","",LOOKUP('Extraction edi'!J972,Paramètrage!$A$6:$A$179,Paramètrage!$D$6:$D$179))</f>
        <v/>
      </c>
      <c r="N972" s="3" t="str">
        <f>IF(W972="","",LOOKUP('Extraction edi'!J972,Paramètrage!$A$6:$A$179,Paramètrage!$E$6:$E$179))</f>
        <v/>
      </c>
      <c r="O972" s="3" t="str">
        <f t="shared" si="288"/>
        <v/>
      </c>
      <c r="P972" s="3" t="str">
        <f t="shared" si="289"/>
        <v/>
      </c>
      <c r="Q972" s="3" t="str">
        <f t="shared" si="277"/>
        <v/>
      </c>
      <c r="R972" s="3" t="str">
        <f t="shared" si="290"/>
        <v/>
      </c>
      <c r="S972" s="3" t="str">
        <f t="shared" si="291"/>
        <v/>
      </c>
      <c r="T972" s="4" t="str">
        <f t="shared" si="292"/>
        <v/>
      </c>
      <c r="U972" s="5" t="str">
        <f t="shared" si="293"/>
        <v/>
      </c>
      <c r="V972" s="7" t="str">
        <f>IF(W972="","",IF(LOOKUP(W972,'Extration 3E date commande'!$A$6:$A$10000)=W972,LOOKUP(W972,'Extration 3E date commande'!$A$6:$A$10000,'Extration 3E date commande'!$C$6:$C$10000),"PAS DE DATE"))</f>
        <v/>
      </c>
    </row>
    <row r="973" spans="1:22" x14ac:dyDescent="0.25">
      <c r="A973" s="3" t="str">
        <f t="shared" si="278"/>
        <v/>
      </c>
      <c r="B973" s="3" t="str">
        <f t="shared" si="279"/>
        <v/>
      </c>
      <c r="C973" s="3" t="str">
        <f t="shared" si="280"/>
        <v/>
      </c>
      <c r="D973" s="3" t="str">
        <f t="shared" si="281"/>
        <v/>
      </c>
      <c r="E973" s="3" t="str">
        <f t="shared" si="282"/>
        <v/>
      </c>
      <c r="F973" s="3" t="str">
        <f t="shared" si="283"/>
        <v/>
      </c>
      <c r="G973" s="3" t="str">
        <f t="shared" si="284"/>
        <v/>
      </c>
      <c r="H973" s="3" t="str">
        <f t="shared" si="285"/>
        <v/>
      </c>
      <c r="I973" s="3" t="str">
        <f t="shared" si="286"/>
        <v/>
      </c>
      <c r="J973" s="2" t="str">
        <f t="shared" si="287"/>
        <v/>
      </c>
      <c r="K973" s="2" t="str">
        <f>IF(W973="","",LOOKUP('Extraction edi'!J973,Paramètrage!$A$6:$A$179,Paramètrage!$B$6:$B$179))</f>
        <v/>
      </c>
      <c r="L973" s="2" t="str">
        <f>IF(W973="","",LOOKUP('Extraction edi'!J973,Paramètrage!$A$6:$A$179,Paramètrage!$C$6:$C$179))</f>
        <v/>
      </c>
      <c r="M973" s="2" t="str">
        <f>IF(W973="","",LOOKUP('Extraction edi'!J973,Paramètrage!$A$6:$A$179,Paramètrage!$D$6:$D$179))</f>
        <v/>
      </c>
      <c r="N973" s="3" t="str">
        <f>IF(W973="","",LOOKUP('Extraction edi'!J973,Paramètrage!$A$6:$A$179,Paramètrage!$E$6:$E$179))</f>
        <v/>
      </c>
      <c r="O973" s="3" t="str">
        <f t="shared" si="288"/>
        <v/>
      </c>
      <c r="P973" s="3" t="str">
        <f t="shared" si="289"/>
        <v/>
      </c>
      <c r="Q973" s="3" t="str">
        <f t="shared" si="277"/>
        <v/>
      </c>
      <c r="R973" s="3" t="str">
        <f t="shared" si="290"/>
        <v/>
      </c>
      <c r="S973" s="3" t="str">
        <f t="shared" si="291"/>
        <v/>
      </c>
      <c r="T973" s="4" t="str">
        <f t="shared" si="292"/>
        <v/>
      </c>
      <c r="U973" s="5" t="str">
        <f t="shared" si="293"/>
        <v/>
      </c>
      <c r="V973" s="7" t="str">
        <f>IF(W973="","",IF(LOOKUP(W973,'Extration 3E date commande'!$A$6:$A$10000)=W973,LOOKUP(W973,'Extration 3E date commande'!$A$6:$A$10000,'Extration 3E date commande'!$C$6:$C$10000),"PAS DE DATE"))</f>
        <v/>
      </c>
    </row>
    <row r="974" spans="1:22" x14ac:dyDescent="0.25">
      <c r="A974" s="3" t="str">
        <f t="shared" si="278"/>
        <v/>
      </c>
      <c r="B974" s="3" t="str">
        <f t="shared" si="279"/>
        <v/>
      </c>
      <c r="C974" s="3" t="str">
        <f t="shared" si="280"/>
        <v/>
      </c>
      <c r="D974" s="3" t="str">
        <f t="shared" si="281"/>
        <v/>
      </c>
      <c r="E974" s="3" t="str">
        <f t="shared" si="282"/>
        <v/>
      </c>
      <c r="F974" s="3" t="str">
        <f t="shared" si="283"/>
        <v/>
      </c>
      <c r="G974" s="3" t="str">
        <f t="shared" si="284"/>
        <v/>
      </c>
      <c r="H974" s="3" t="str">
        <f t="shared" si="285"/>
        <v/>
      </c>
      <c r="I974" s="3" t="str">
        <f t="shared" si="286"/>
        <v/>
      </c>
      <c r="J974" s="2" t="str">
        <f t="shared" si="287"/>
        <v/>
      </c>
      <c r="K974" s="2" t="str">
        <f>IF(W974="","",LOOKUP('Extraction edi'!J974,Paramètrage!$A$6:$A$179,Paramètrage!$B$6:$B$179))</f>
        <v/>
      </c>
      <c r="L974" s="2" t="str">
        <f>IF(W974="","",LOOKUP('Extraction edi'!J974,Paramètrage!$A$6:$A$179,Paramètrage!$C$6:$C$179))</f>
        <v/>
      </c>
      <c r="M974" s="2" t="str">
        <f>IF(W974="","",LOOKUP('Extraction edi'!J974,Paramètrage!$A$6:$A$179,Paramètrage!$D$6:$D$179))</f>
        <v/>
      </c>
      <c r="N974" s="3" t="str">
        <f>IF(W974="","",LOOKUP('Extraction edi'!J974,Paramètrage!$A$6:$A$179,Paramètrage!$E$6:$E$179))</f>
        <v/>
      </c>
      <c r="O974" s="3" t="str">
        <f t="shared" si="288"/>
        <v/>
      </c>
      <c r="P974" s="3" t="str">
        <f t="shared" si="289"/>
        <v/>
      </c>
      <c r="Q974" s="3" t="str">
        <f t="shared" si="277"/>
        <v/>
      </c>
      <c r="R974" s="3" t="str">
        <f t="shared" si="290"/>
        <v/>
      </c>
      <c r="S974" s="3" t="str">
        <f t="shared" si="291"/>
        <v/>
      </c>
      <c r="T974" s="4" t="str">
        <f t="shared" si="292"/>
        <v/>
      </c>
      <c r="U974" s="5" t="str">
        <f t="shared" si="293"/>
        <v/>
      </c>
      <c r="V974" s="7" t="str">
        <f>IF(W974="","",IF(LOOKUP(W974,'Extration 3E date commande'!$A$6:$A$10000)=W974,LOOKUP(W974,'Extration 3E date commande'!$A$6:$A$10000,'Extration 3E date commande'!$C$6:$C$10000),"PAS DE DATE"))</f>
        <v/>
      </c>
    </row>
    <row r="975" spans="1:22" x14ac:dyDescent="0.25">
      <c r="A975" s="3" t="str">
        <f t="shared" si="278"/>
        <v/>
      </c>
      <c r="B975" s="3" t="str">
        <f t="shared" si="279"/>
        <v/>
      </c>
      <c r="C975" s="3" t="str">
        <f t="shared" si="280"/>
        <v/>
      </c>
      <c r="D975" s="3" t="str">
        <f t="shared" si="281"/>
        <v/>
      </c>
      <c r="E975" s="3" t="str">
        <f t="shared" si="282"/>
        <v/>
      </c>
      <c r="F975" s="3" t="str">
        <f t="shared" si="283"/>
        <v/>
      </c>
      <c r="G975" s="3" t="str">
        <f t="shared" si="284"/>
        <v/>
      </c>
      <c r="H975" s="3" t="str">
        <f t="shared" si="285"/>
        <v/>
      </c>
      <c r="I975" s="3" t="str">
        <f t="shared" si="286"/>
        <v/>
      </c>
      <c r="J975" s="2" t="str">
        <f t="shared" si="287"/>
        <v/>
      </c>
      <c r="K975" s="2" t="str">
        <f>IF(W975="","",LOOKUP('Extraction edi'!J975,Paramètrage!$A$6:$A$179,Paramètrage!$B$6:$B$179))</f>
        <v/>
      </c>
      <c r="L975" s="2" t="str">
        <f>IF(W975="","",LOOKUP('Extraction edi'!J975,Paramètrage!$A$6:$A$179,Paramètrage!$C$6:$C$179))</f>
        <v/>
      </c>
      <c r="M975" s="2" t="str">
        <f>IF(W975="","",LOOKUP('Extraction edi'!J975,Paramètrage!$A$6:$A$179,Paramètrage!$D$6:$D$179))</f>
        <v/>
      </c>
      <c r="N975" s="3" t="str">
        <f>IF(W975="","",LOOKUP('Extraction edi'!J975,Paramètrage!$A$6:$A$179,Paramètrage!$E$6:$E$179))</f>
        <v/>
      </c>
      <c r="O975" s="3" t="str">
        <f t="shared" si="288"/>
        <v/>
      </c>
      <c r="P975" s="3" t="str">
        <f t="shared" si="289"/>
        <v/>
      </c>
      <c r="Q975" s="3" t="str">
        <f t="shared" ref="Q975:Q999" si="294">IF(ISERROR(SEARCH("laq",J975))=FALSE,"laquage RAL :",IF(ISERROR(SEARCH("lq",J975))=FALSE,"laquage RAL :",IF(ISERROR(SEARCH("ANO",J974))=FALSE,"laquage RAL :",IF(ISERROR(SEARCH("IVOI",J975)),"","laquage RAL :"))))</f>
        <v/>
      </c>
      <c r="R975" s="3" t="str">
        <f t="shared" si="290"/>
        <v/>
      </c>
      <c r="S975" s="3" t="str">
        <f t="shared" si="291"/>
        <v/>
      </c>
      <c r="T975" s="4" t="str">
        <f t="shared" si="292"/>
        <v/>
      </c>
      <c r="U975" s="5" t="str">
        <f t="shared" si="293"/>
        <v/>
      </c>
      <c r="V975" s="7" t="str">
        <f>IF(W975="","",IF(LOOKUP(W975,'Extration 3E date commande'!$A$6:$A$10000)=W975,LOOKUP(W975,'Extration 3E date commande'!$A$6:$A$10000,'Extration 3E date commande'!$C$6:$C$10000),"PAS DE DATE"))</f>
        <v/>
      </c>
    </row>
    <row r="976" spans="1:22" x14ac:dyDescent="0.25">
      <c r="A976" s="3" t="str">
        <f t="shared" si="278"/>
        <v/>
      </c>
      <c r="B976" s="3" t="str">
        <f t="shared" si="279"/>
        <v/>
      </c>
      <c r="C976" s="3" t="str">
        <f t="shared" si="280"/>
        <v/>
      </c>
      <c r="D976" s="3" t="str">
        <f t="shared" si="281"/>
        <v/>
      </c>
      <c r="E976" s="3" t="str">
        <f t="shared" si="282"/>
        <v/>
      </c>
      <c r="F976" s="3" t="str">
        <f t="shared" si="283"/>
        <v/>
      </c>
      <c r="G976" s="3" t="str">
        <f t="shared" si="284"/>
        <v/>
      </c>
      <c r="H976" s="3" t="str">
        <f t="shared" si="285"/>
        <v/>
      </c>
      <c r="I976" s="3" t="str">
        <f t="shared" si="286"/>
        <v/>
      </c>
      <c r="J976" s="2" t="str">
        <f t="shared" si="287"/>
        <v/>
      </c>
      <c r="K976" s="2" t="str">
        <f>IF(W976="","",LOOKUP('Extraction edi'!J976,Paramètrage!$A$6:$A$179,Paramètrage!$B$6:$B$179))</f>
        <v/>
      </c>
      <c r="L976" s="2" t="str">
        <f>IF(W976="","",LOOKUP('Extraction edi'!J976,Paramètrage!$A$6:$A$179,Paramètrage!$C$6:$C$179))</f>
        <v/>
      </c>
      <c r="M976" s="2" t="str">
        <f>IF(W976="","",LOOKUP('Extraction edi'!J976,Paramètrage!$A$6:$A$179,Paramètrage!$D$6:$D$179))</f>
        <v/>
      </c>
      <c r="N976" s="3" t="str">
        <f>IF(W976="","",LOOKUP('Extraction edi'!J976,Paramètrage!$A$6:$A$179,Paramètrage!$E$6:$E$179))</f>
        <v/>
      </c>
      <c r="O976" s="3" t="str">
        <f t="shared" si="288"/>
        <v/>
      </c>
      <c r="P976" s="3" t="str">
        <f t="shared" si="289"/>
        <v/>
      </c>
      <c r="Q976" s="3" t="str">
        <f t="shared" si="294"/>
        <v/>
      </c>
      <c r="R976" s="3" t="str">
        <f t="shared" si="290"/>
        <v/>
      </c>
      <c r="S976" s="3" t="str">
        <f t="shared" si="291"/>
        <v/>
      </c>
      <c r="T976" s="4" t="str">
        <f t="shared" si="292"/>
        <v/>
      </c>
      <c r="U976" s="5" t="str">
        <f t="shared" si="293"/>
        <v/>
      </c>
      <c r="V976" s="7" t="str">
        <f>IF(W976="","",IF(LOOKUP(W976,'Extration 3E date commande'!$A$6:$A$10000)=W976,LOOKUP(W976,'Extration 3E date commande'!$A$6:$A$10000,'Extration 3E date commande'!$C$6:$C$10000),"PAS DE DATE"))</f>
        <v/>
      </c>
    </row>
    <row r="977" spans="1:22" x14ac:dyDescent="0.25">
      <c r="A977" s="3" t="str">
        <f t="shared" si="278"/>
        <v/>
      </c>
      <c r="B977" s="3" t="str">
        <f t="shared" si="279"/>
        <v/>
      </c>
      <c r="C977" s="3" t="str">
        <f t="shared" si="280"/>
        <v/>
      </c>
      <c r="D977" s="3" t="str">
        <f t="shared" si="281"/>
        <v/>
      </c>
      <c r="E977" s="3" t="str">
        <f t="shared" si="282"/>
        <v/>
      </c>
      <c r="F977" s="3" t="str">
        <f t="shared" si="283"/>
        <v/>
      </c>
      <c r="G977" s="3" t="str">
        <f t="shared" si="284"/>
        <v/>
      </c>
      <c r="H977" s="3" t="str">
        <f t="shared" si="285"/>
        <v/>
      </c>
      <c r="I977" s="3" t="str">
        <f t="shared" si="286"/>
        <v/>
      </c>
      <c r="J977" s="2" t="str">
        <f t="shared" si="287"/>
        <v/>
      </c>
      <c r="K977" s="2" t="str">
        <f>IF(W977="","",LOOKUP('Extraction edi'!J977,Paramètrage!$A$6:$A$179,Paramètrage!$B$6:$B$179))</f>
        <v/>
      </c>
      <c r="L977" s="2" t="str">
        <f>IF(W977="","",LOOKUP('Extraction edi'!J977,Paramètrage!$A$6:$A$179,Paramètrage!$C$6:$C$179))</f>
        <v/>
      </c>
      <c r="M977" s="2" t="str">
        <f>IF(W977="","",LOOKUP('Extraction edi'!J977,Paramètrage!$A$6:$A$179,Paramètrage!$D$6:$D$179))</f>
        <v/>
      </c>
      <c r="N977" s="3" t="str">
        <f>IF(W977="","",LOOKUP('Extraction edi'!J977,Paramètrage!$A$6:$A$179,Paramètrage!$E$6:$E$179))</f>
        <v/>
      </c>
      <c r="O977" s="3" t="str">
        <f t="shared" si="288"/>
        <v/>
      </c>
      <c r="P977" s="3" t="str">
        <f t="shared" si="289"/>
        <v/>
      </c>
      <c r="Q977" s="3" t="str">
        <f t="shared" si="294"/>
        <v/>
      </c>
      <c r="R977" s="3" t="str">
        <f t="shared" si="290"/>
        <v/>
      </c>
      <c r="S977" s="3" t="str">
        <f t="shared" si="291"/>
        <v/>
      </c>
      <c r="T977" s="4" t="str">
        <f t="shared" si="292"/>
        <v/>
      </c>
      <c r="U977" s="5" t="str">
        <f t="shared" si="293"/>
        <v/>
      </c>
      <c r="V977" s="7" t="str">
        <f>IF(W977="","",IF(LOOKUP(W977,'Extration 3E date commande'!$A$6:$A$10000)=W977,LOOKUP(W977,'Extration 3E date commande'!$A$6:$A$10000,'Extration 3E date commande'!$C$6:$C$10000),"PAS DE DATE"))</f>
        <v/>
      </c>
    </row>
    <row r="978" spans="1:22" x14ac:dyDescent="0.25">
      <c r="A978" s="3" t="str">
        <f t="shared" si="278"/>
        <v/>
      </c>
      <c r="B978" s="3" t="str">
        <f t="shared" si="279"/>
        <v/>
      </c>
      <c r="C978" s="3" t="str">
        <f t="shared" si="280"/>
        <v/>
      </c>
      <c r="D978" s="3" t="str">
        <f t="shared" si="281"/>
        <v/>
      </c>
      <c r="E978" s="3" t="str">
        <f t="shared" si="282"/>
        <v/>
      </c>
      <c r="F978" s="3" t="str">
        <f t="shared" si="283"/>
        <v/>
      </c>
      <c r="G978" s="3" t="str">
        <f t="shared" si="284"/>
        <v/>
      </c>
      <c r="H978" s="3" t="str">
        <f t="shared" si="285"/>
        <v/>
      </c>
      <c r="I978" s="3" t="str">
        <f t="shared" si="286"/>
        <v/>
      </c>
      <c r="J978" s="2" t="str">
        <f t="shared" si="287"/>
        <v/>
      </c>
      <c r="K978" s="2" t="str">
        <f>IF(W978="","",LOOKUP('Extraction edi'!J978,Paramètrage!$A$6:$A$179,Paramètrage!$B$6:$B$179))</f>
        <v/>
      </c>
      <c r="L978" s="2" t="str">
        <f>IF(W978="","",LOOKUP('Extraction edi'!J978,Paramètrage!$A$6:$A$179,Paramètrage!$C$6:$C$179))</f>
        <v/>
      </c>
      <c r="M978" s="2" t="str">
        <f>IF(W978="","",LOOKUP('Extraction edi'!J978,Paramètrage!$A$6:$A$179,Paramètrage!$D$6:$D$179))</f>
        <v/>
      </c>
      <c r="N978" s="3" t="str">
        <f>IF(W978="","",LOOKUP('Extraction edi'!J978,Paramètrage!$A$6:$A$179,Paramètrage!$E$6:$E$179))</f>
        <v/>
      </c>
      <c r="O978" s="3" t="str">
        <f t="shared" si="288"/>
        <v/>
      </c>
      <c r="P978" s="3" t="str">
        <f t="shared" si="289"/>
        <v/>
      </c>
      <c r="Q978" s="3" t="str">
        <f t="shared" si="294"/>
        <v/>
      </c>
      <c r="R978" s="3" t="str">
        <f t="shared" si="290"/>
        <v/>
      </c>
      <c r="S978" s="3" t="str">
        <f t="shared" si="291"/>
        <v/>
      </c>
      <c r="T978" s="4" t="str">
        <f t="shared" si="292"/>
        <v/>
      </c>
      <c r="U978" s="5" t="str">
        <f t="shared" si="293"/>
        <v/>
      </c>
      <c r="V978" s="7" t="str">
        <f>IF(W978="","",IF(LOOKUP(W978,'Extration 3E date commande'!$A$6:$A$10000)=W978,LOOKUP(W978,'Extration 3E date commande'!$A$6:$A$10000,'Extration 3E date commande'!$C$6:$C$10000),"PAS DE DATE"))</f>
        <v/>
      </c>
    </row>
    <row r="979" spans="1:22" x14ac:dyDescent="0.25">
      <c r="A979" s="3" t="str">
        <f t="shared" si="278"/>
        <v/>
      </c>
      <c r="B979" s="3" t="str">
        <f t="shared" si="279"/>
        <v/>
      </c>
      <c r="C979" s="3" t="str">
        <f t="shared" si="280"/>
        <v/>
      </c>
      <c r="D979" s="3" t="str">
        <f t="shared" si="281"/>
        <v/>
      </c>
      <c r="E979" s="3" t="str">
        <f t="shared" si="282"/>
        <v/>
      </c>
      <c r="F979" s="3" t="str">
        <f t="shared" si="283"/>
        <v/>
      </c>
      <c r="G979" s="3" t="str">
        <f t="shared" si="284"/>
        <v/>
      </c>
      <c r="H979" s="3" t="str">
        <f t="shared" si="285"/>
        <v/>
      </c>
      <c r="I979" s="3" t="str">
        <f t="shared" si="286"/>
        <v/>
      </c>
      <c r="J979" s="2" t="str">
        <f t="shared" si="287"/>
        <v/>
      </c>
      <c r="K979" s="2" t="str">
        <f>IF(W979="","",LOOKUP('Extraction edi'!J979,Paramètrage!$A$6:$A$179,Paramètrage!$B$6:$B$179))</f>
        <v/>
      </c>
      <c r="L979" s="2" t="str">
        <f>IF(W979="","",LOOKUP('Extraction edi'!J979,Paramètrage!$A$6:$A$179,Paramètrage!$C$6:$C$179))</f>
        <v/>
      </c>
      <c r="M979" s="2" t="str">
        <f>IF(W979="","",LOOKUP('Extraction edi'!J979,Paramètrage!$A$6:$A$179,Paramètrage!$D$6:$D$179))</f>
        <v/>
      </c>
      <c r="N979" s="3" t="str">
        <f>IF(W979="","",LOOKUP('Extraction edi'!J979,Paramètrage!$A$6:$A$179,Paramètrage!$E$6:$E$179))</f>
        <v/>
      </c>
      <c r="O979" s="3" t="str">
        <f t="shared" si="288"/>
        <v/>
      </c>
      <c r="P979" s="3" t="str">
        <f t="shared" si="289"/>
        <v/>
      </c>
      <c r="Q979" s="3" t="str">
        <f t="shared" si="294"/>
        <v/>
      </c>
      <c r="R979" s="3" t="str">
        <f t="shared" si="290"/>
        <v/>
      </c>
      <c r="S979" s="3" t="str">
        <f t="shared" si="291"/>
        <v/>
      </c>
      <c r="T979" s="4" t="str">
        <f t="shared" si="292"/>
        <v/>
      </c>
      <c r="U979" s="5" t="str">
        <f t="shared" si="293"/>
        <v/>
      </c>
      <c r="V979" s="7" t="str">
        <f>IF(W979="","",IF(LOOKUP(W979,'Extration 3E date commande'!$A$6:$A$10000)=W979,LOOKUP(W979,'Extration 3E date commande'!$A$6:$A$10000,'Extration 3E date commande'!$C$6:$C$10000),"PAS DE DATE"))</f>
        <v/>
      </c>
    </row>
    <row r="980" spans="1:22" x14ac:dyDescent="0.25">
      <c r="A980" s="3" t="str">
        <f t="shared" si="278"/>
        <v/>
      </c>
      <c r="B980" s="3" t="str">
        <f t="shared" si="279"/>
        <v/>
      </c>
      <c r="C980" s="3" t="str">
        <f t="shared" si="280"/>
        <v/>
      </c>
      <c r="D980" s="3" t="str">
        <f t="shared" si="281"/>
        <v/>
      </c>
      <c r="E980" s="3" t="str">
        <f t="shared" si="282"/>
        <v/>
      </c>
      <c r="F980" s="3" t="str">
        <f t="shared" si="283"/>
        <v/>
      </c>
      <c r="G980" s="3" t="str">
        <f t="shared" si="284"/>
        <v/>
      </c>
      <c r="H980" s="3" t="str">
        <f t="shared" si="285"/>
        <v/>
      </c>
      <c r="I980" s="3" t="str">
        <f t="shared" si="286"/>
        <v/>
      </c>
      <c r="J980" s="2" t="str">
        <f t="shared" si="287"/>
        <v/>
      </c>
      <c r="K980" s="2" t="str">
        <f>IF(W980="","",LOOKUP('Extraction edi'!J980,Paramètrage!$A$6:$A$179,Paramètrage!$B$6:$B$179))</f>
        <v/>
      </c>
      <c r="L980" s="2" t="str">
        <f>IF(W980="","",LOOKUP('Extraction edi'!J980,Paramètrage!$A$6:$A$179,Paramètrage!$C$6:$C$179))</f>
        <v/>
      </c>
      <c r="M980" s="2" t="str">
        <f>IF(W980="","",LOOKUP('Extraction edi'!J980,Paramètrage!$A$6:$A$179,Paramètrage!$D$6:$D$179))</f>
        <v/>
      </c>
      <c r="N980" s="3" t="str">
        <f>IF(W980="","",LOOKUP('Extraction edi'!J980,Paramètrage!$A$6:$A$179,Paramètrage!$E$6:$E$179))</f>
        <v/>
      </c>
      <c r="O980" s="3" t="str">
        <f t="shared" si="288"/>
        <v/>
      </c>
      <c r="P980" s="3" t="str">
        <f t="shared" si="289"/>
        <v/>
      </c>
      <c r="Q980" s="3" t="str">
        <f t="shared" si="294"/>
        <v/>
      </c>
      <c r="R980" s="3" t="str">
        <f t="shared" si="290"/>
        <v/>
      </c>
      <c r="S980" s="3" t="str">
        <f t="shared" si="291"/>
        <v/>
      </c>
      <c r="T980" s="4" t="str">
        <f t="shared" si="292"/>
        <v/>
      </c>
      <c r="U980" s="5" t="str">
        <f t="shared" si="293"/>
        <v/>
      </c>
      <c r="V980" s="7" t="str">
        <f>IF(W980="","",IF(LOOKUP(W980,'Extration 3E date commande'!$A$6:$A$10000)=W980,LOOKUP(W980,'Extration 3E date commande'!$A$6:$A$10000,'Extration 3E date commande'!$C$6:$C$10000),"PAS DE DATE"))</f>
        <v/>
      </c>
    </row>
    <row r="981" spans="1:22" x14ac:dyDescent="0.25">
      <c r="A981" s="3" t="str">
        <f t="shared" si="278"/>
        <v/>
      </c>
      <c r="B981" s="3" t="str">
        <f t="shared" si="279"/>
        <v/>
      </c>
      <c r="C981" s="3" t="str">
        <f t="shared" si="280"/>
        <v/>
      </c>
      <c r="D981" s="3" t="str">
        <f t="shared" si="281"/>
        <v/>
      </c>
      <c r="E981" s="3" t="str">
        <f t="shared" si="282"/>
        <v/>
      </c>
      <c r="F981" s="3" t="str">
        <f t="shared" si="283"/>
        <v/>
      </c>
      <c r="G981" s="3" t="str">
        <f t="shared" si="284"/>
        <v/>
      </c>
      <c r="H981" s="3" t="str">
        <f t="shared" si="285"/>
        <v/>
      </c>
      <c r="I981" s="3" t="str">
        <f t="shared" si="286"/>
        <v/>
      </c>
      <c r="J981" s="2" t="str">
        <f t="shared" si="287"/>
        <v/>
      </c>
      <c r="K981" s="2" t="str">
        <f>IF(W981="","",LOOKUP('Extraction edi'!J981,Paramètrage!$A$6:$A$179,Paramètrage!$B$6:$B$179))</f>
        <v/>
      </c>
      <c r="L981" s="2" t="str">
        <f>IF(W981="","",LOOKUP('Extraction edi'!J981,Paramètrage!$A$6:$A$179,Paramètrage!$C$6:$C$179))</f>
        <v/>
      </c>
      <c r="M981" s="2" t="str">
        <f>IF(W981="","",LOOKUP('Extraction edi'!J981,Paramètrage!$A$6:$A$179,Paramètrage!$D$6:$D$179))</f>
        <v/>
      </c>
      <c r="N981" s="3" t="str">
        <f>IF(W981="","",LOOKUP('Extraction edi'!J981,Paramètrage!$A$6:$A$179,Paramètrage!$E$6:$E$179))</f>
        <v/>
      </c>
      <c r="O981" s="3" t="str">
        <f t="shared" si="288"/>
        <v/>
      </c>
      <c r="P981" s="3" t="str">
        <f t="shared" si="289"/>
        <v/>
      </c>
      <c r="Q981" s="3" t="str">
        <f t="shared" si="294"/>
        <v/>
      </c>
      <c r="R981" s="3" t="str">
        <f t="shared" si="290"/>
        <v/>
      </c>
      <c r="S981" s="3" t="str">
        <f t="shared" si="291"/>
        <v/>
      </c>
      <c r="T981" s="4" t="str">
        <f t="shared" si="292"/>
        <v/>
      </c>
      <c r="U981" s="5" t="str">
        <f t="shared" si="293"/>
        <v/>
      </c>
      <c r="V981" s="7" t="str">
        <f>IF(W981="","",IF(LOOKUP(W981,'Extration 3E date commande'!$A$6:$A$10000)=W981,LOOKUP(W981,'Extration 3E date commande'!$A$6:$A$10000,'Extration 3E date commande'!$C$6:$C$10000),"PAS DE DATE"))</f>
        <v/>
      </c>
    </row>
    <row r="982" spans="1:22" x14ac:dyDescent="0.25">
      <c r="A982" s="3" t="str">
        <f t="shared" ref="A982:A999" si="295">IF(W982="","",LEFT(W982,7))</f>
        <v/>
      </c>
      <c r="B982" s="3" t="str">
        <f t="shared" ref="B982:B999" si="296">IF(W982="","",RIGHT(W982,3))</f>
        <v/>
      </c>
      <c r="C982" s="3" t="str">
        <f t="shared" ref="C982:C999" si="297">IF(ISERROR(SEARCH("ELI",B982))=FALSE,"RELIQUAT",IF(ISERROR(SEARCH("N",B982))=FALSE,"NEGOCE",IF(ISERROR(SEARCH("S",B982))=FALSE,"SAV",IF(ISERROR(SEARCH("J",B982)),"","SAV"))))</f>
        <v/>
      </c>
      <c r="D982" s="3" t="str">
        <f t="shared" ref="D982:D999" si="298">IF(ISERROR(SEARCH("P",B982)),"","PE")</f>
        <v/>
      </c>
      <c r="E982" s="3" t="str">
        <f t="shared" ref="E982:E999" si="299">IF(ISERROR(SEARCH("U",B982))=FALSE,"ALU",IF(ISERROR(SEARCH("Y",B982)),"","ALU"))</f>
        <v/>
      </c>
      <c r="F982" s="3" t="str">
        <f t="shared" ref="F982:F999" si="300">IF(ISERROR(SEARCH("H",B982))=FALSE,"TEXTURAL",IF(ISERROR(SEARCH("Z",B982)),"","TEXTURAL"))</f>
        <v/>
      </c>
      <c r="G982" s="3" t="str">
        <f t="shared" ref="G982:G999" si="301">IF(B982="","",IF(C982="SAV","ZONE NEGOCE / RELIQUAT / SAV",IF(C982="NEGOCE","ZONE NEGOCE / RELIQUAT / SAV",IF(C982="RELIQUAT","ZONE NEGOCE / RELIQUAT / SAV",IF(E982="ALU","LIGNE VITRAGE ALU",IF(D982="PE","LIGNE VITRAGE PE",IF(F982="TEXTURAL","LIGNE VITRAGE TEXTURAL","LIGNE VITRAGE STANDARD")))))))</f>
        <v/>
      </c>
      <c r="H982" s="3" t="str">
        <f t="shared" ref="H982:H999" si="302">IF(W982="","",X982)</f>
        <v/>
      </c>
      <c r="I982" s="3" t="str">
        <f t="shared" ref="I982:I999" si="303">IF(W982="","",Z982)</f>
        <v/>
      </c>
      <c r="J982" s="2" t="str">
        <f t="shared" ref="J982:J999" si="304">IF(W982="","",IF(AND(T982=FALSE,T981=FALSE,T980=FALSE,T979=FALSE,T978=FALSE),AA977,IF(AND(T982=FALSE,T981=FALSE,T980=FALSE,T979=FALSE),AA978,IF(AND(T982=FALSE,T981=FALSE,T980=FALSE),AA979,IF(AND(T982=FALSE,T981=FALSE),AA980,IF(T982=FALSE,AA981,AA982))))))</f>
        <v/>
      </c>
      <c r="K982" s="2" t="str">
        <f>IF(W982="","",LOOKUP('Extraction edi'!J982,Paramètrage!$A$6:$A$179,Paramètrage!$B$6:$B$179))</f>
        <v/>
      </c>
      <c r="L982" s="2" t="str">
        <f>IF(W982="","",LOOKUP('Extraction edi'!J982,Paramètrage!$A$6:$A$179,Paramètrage!$C$6:$C$179))</f>
        <v/>
      </c>
      <c r="M982" s="2" t="str">
        <f>IF(W982="","",LOOKUP('Extraction edi'!J982,Paramètrage!$A$6:$A$179,Paramètrage!$D$6:$D$179))</f>
        <v/>
      </c>
      <c r="N982" s="3" t="str">
        <f>IF(W982="","",LOOKUP('Extraction edi'!J982,Paramètrage!$A$6:$A$179,Paramètrage!$E$6:$E$179))</f>
        <v/>
      </c>
      <c r="O982" s="3" t="str">
        <f t="shared" ref="O982:O999" si="305">IF(W982="","",IF(LEFT(AA982,4)="soub",AB982,IF(LEFT(AA982,3)="cim",AB982,AA982)))</f>
        <v/>
      </c>
      <c r="P982" s="3" t="str">
        <f t="shared" ref="P982:P999" si="306">IF(LEFT(U982,1)="N",SUBSTITUTE(AB982,"*",""),IF(LEFT(U982,1)="S",SUBSTITUTE(AB982,"*",""),IF(LEFT(U982,1)="G",SUBSTITUTE(AB982,"*",""),IF(LEN(U982)=11,SUBSTITUTE(AB982,"*",""),U982))))</f>
        <v/>
      </c>
      <c r="Q982" s="3" t="str">
        <f t="shared" si="294"/>
        <v/>
      </c>
      <c r="R982" s="3" t="str">
        <f t="shared" ref="R982:R999" si="307">IF(W982="","",IF(RIGHT(L982,7)="RAL9001",L982,IF(LEFT(AE982,1)="N",AE982,IF(LEFT(AE982,1)="S",AE982,IF(LEFT(AE982,1)="G",AE982,"")))))</f>
        <v/>
      </c>
      <c r="S982" s="3" t="str">
        <f t="shared" ref="S982:S999" si="308">IF(W982="","",IF(RIGHT(M982,7)="RAL9001",M982,IF(LEFT(AC982,1)="N",AC982,IF(LEFT(AC982,1)="S",AC982,IF(LEFT(AC982,1)="G",AC982,IF(LEFT(AD982,1)="N",AD982,IF(LEFT(AD982,1)="S",AD982,IF(LEFT(AD982,1)="G",AD982,""))))))))</f>
        <v/>
      </c>
      <c r="T982" s="4" t="str">
        <f t="shared" ref="T982:T999" si="309">IF(W982="","",IF(LEFT(AA982,4)&lt;&gt;"soub",IF(LEFT(AA982,3)&lt;&gt;"cim"=FALSE,AA982),AA982))</f>
        <v/>
      </c>
      <c r="U982" s="5" t="str">
        <f t="shared" ref="U982:U999" si="310">SUBSTITUTE(AC982,"*","")</f>
        <v/>
      </c>
      <c r="V982" s="7" t="str">
        <f>IF(W982="","",IF(LOOKUP(W982,'Extration 3E date commande'!$A$6:$A$10000)=W982,LOOKUP(W982,'Extration 3E date commande'!$A$6:$A$10000,'Extration 3E date commande'!$C$6:$C$10000),"PAS DE DATE"))</f>
        <v/>
      </c>
    </row>
    <row r="983" spans="1:22" x14ac:dyDescent="0.25">
      <c r="A983" s="3" t="str">
        <f t="shared" si="295"/>
        <v/>
      </c>
      <c r="B983" s="3" t="str">
        <f t="shared" si="296"/>
        <v/>
      </c>
      <c r="C983" s="3" t="str">
        <f t="shared" si="297"/>
        <v/>
      </c>
      <c r="D983" s="3" t="str">
        <f t="shared" si="298"/>
        <v/>
      </c>
      <c r="E983" s="3" t="str">
        <f t="shared" si="299"/>
        <v/>
      </c>
      <c r="F983" s="3" t="str">
        <f t="shared" si="300"/>
        <v/>
      </c>
      <c r="G983" s="3" t="str">
        <f t="shared" si="301"/>
        <v/>
      </c>
      <c r="H983" s="3" t="str">
        <f t="shared" si="302"/>
        <v/>
      </c>
      <c r="I983" s="3" t="str">
        <f t="shared" si="303"/>
        <v/>
      </c>
      <c r="J983" s="2" t="str">
        <f t="shared" si="304"/>
        <v/>
      </c>
      <c r="K983" s="2" t="str">
        <f>IF(W983="","",LOOKUP('Extraction edi'!J983,Paramètrage!$A$6:$A$179,Paramètrage!$B$6:$B$179))</f>
        <v/>
      </c>
      <c r="L983" s="2" t="str">
        <f>IF(W983="","",LOOKUP('Extraction edi'!J983,Paramètrage!$A$6:$A$179,Paramètrage!$C$6:$C$179))</f>
        <v/>
      </c>
      <c r="M983" s="2" t="str">
        <f>IF(W983="","",LOOKUP('Extraction edi'!J983,Paramètrage!$A$6:$A$179,Paramètrage!$D$6:$D$179))</f>
        <v/>
      </c>
      <c r="N983" s="3" t="str">
        <f>IF(W983="","",LOOKUP('Extraction edi'!J983,Paramètrage!$A$6:$A$179,Paramètrage!$E$6:$E$179))</f>
        <v/>
      </c>
      <c r="O983" s="3" t="str">
        <f t="shared" si="305"/>
        <v/>
      </c>
      <c r="P983" s="3" t="str">
        <f t="shared" si="306"/>
        <v/>
      </c>
      <c r="Q983" s="3" t="str">
        <f t="shared" si="294"/>
        <v/>
      </c>
      <c r="R983" s="3" t="str">
        <f t="shared" si="307"/>
        <v/>
      </c>
      <c r="S983" s="3" t="str">
        <f t="shared" si="308"/>
        <v/>
      </c>
      <c r="T983" s="4" t="str">
        <f t="shared" si="309"/>
        <v/>
      </c>
      <c r="U983" s="5" t="str">
        <f t="shared" si="310"/>
        <v/>
      </c>
      <c r="V983" s="7" t="str">
        <f>IF(W983="","",IF(LOOKUP(W983,'Extration 3E date commande'!$A$6:$A$10000)=W983,LOOKUP(W983,'Extration 3E date commande'!$A$6:$A$10000,'Extration 3E date commande'!$C$6:$C$10000),"PAS DE DATE"))</f>
        <v/>
      </c>
    </row>
    <row r="984" spans="1:22" x14ac:dyDescent="0.25">
      <c r="A984" s="3" t="str">
        <f t="shared" si="295"/>
        <v/>
      </c>
      <c r="B984" s="3" t="str">
        <f t="shared" si="296"/>
        <v/>
      </c>
      <c r="C984" s="3" t="str">
        <f t="shared" si="297"/>
        <v/>
      </c>
      <c r="D984" s="3" t="str">
        <f t="shared" si="298"/>
        <v/>
      </c>
      <c r="E984" s="3" t="str">
        <f t="shared" si="299"/>
        <v/>
      </c>
      <c r="F984" s="3" t="str">
        <f t="shared" si="300"/>
        <v/>
      </c>
      <c r="G984" s="3" t="str">
        <f t="shared" si="301"/>
        <v/>
      </c>
      <c r="H984" s="3" t="str">
        <f t="shared" si="302"/>
        <v/>
      </c>
      <c r="I984" s="3" t="str">
        <f t="shared" si="303"/>
        <v/>
      </c>
      <c r="J984" s="2" t="str">
        <f t="shared" si="304"/>
        <v/>
      </c>
      <c r="K984" s="2" t="str">
        <f>IF(W984="","",LOOKUP('Extraction edi'!J984,Paramètrage!$A$6:$A$179,Paramètrage!$B$6:$B$179))</f>
        <v/>
      </c>
      <c r="L984" s="2" t="str">
        <f>IF(W984="","",LOOKUP('Extraction edi'!J984,Paramètrage!$A$6:$A$179,Paramètrage!$C$6:$C$179))</f>
        <v/>
      </c>
      <c r="M984" s="2" t="str">
        <f>IF(W984="","",LOOKUP('Extraction edi'!J984,Paramètrage!$A$6:$A$179,Paramètrage!$D$6:$D$179))</f>
        <v/>
      </c>
      <c r="N984" s="3" t="str">
        <f>IF(W984="","",LOOKUP('Extraction edi'!J984,Paramètrage!$A$6:$A$179,Paramètrage!$E$6:$E$179))</f>
        <v/>
      </c>
      <c r="O984" s="3" t="str">
        <f t="shared" si="305"/>
        <v/>
      </c>
      <c r="P984" s="3" t="str">
        <f t="shared" si="306"/>
        <v/>
      </c>
      <c r="Q984" s="3" t="str">
        <f t="shared" si="294"/>
        <v/>
      </c>
      <c r="R984" s="3" t="str">
        <f t="shared" si="307"/>
        <v/>
      </c>
      <c r="S984" s="3" t="str">
        <f t="shared" si="308"/>
        <v/>
      </c>
      <c r="T984" s="4" t="str">
        <f t="shared" si="309"/>
        <v/>
      </c>
      <c r="U984" s="5" t="str">
        <f t="shared" si="310"/>
        <v/>
      </c>
      <c r="V984" s="7" t="str">
        <f>IF(W984="","",IF(LOOKUP(W984,'Extration 3E date commande'!$A$6:$A$10000)=W984,LOOKUP(W984,'Extration 3E date commande'!$A$6:$A$10000,'Extration 3E date commande'!$C$6:$C$10000),"PAS DE DATE"))</f>
        <v/>
      </c>
    </row>
    <row r="985" spans="1:22" x14ac:dyDescent="0.25">
      <c r="A985" s="3" t="str">
        <f t="shared" si="295"/>
        <v/>
      </c>
      <c r="B985" s="3" t="str">
        <f t="shared" si="296"/>
        <v/>
      </c>
      <c r="C985" s="3" t="str">
        <f t="shared" si="297"/>
        <v/>
      </c>
      <c r="D985" s="3" t="str">
        <f t="shared" si="298"/>
        <v/>
      </c>
      <c r="E985" s="3" t="str">
        <f t="shared" si="299"/>
        <v/>
      </c>
      <c r="F985" s="3" t="str">
        <f t="shared" si="300"/>
        <v/>
      </c>
      <c r="G985" s="3" t="str">
        <f t="shared" si="301"/>
        <v/>
      </c>
      <c r="H985" s="3" t="str">
        <f t="shared" si="302"/>
        <v/>
      </c>
      <c r="I985" s="3" t="str">
        <f t="shared" si="303"/>
        <v/>
      </c>
      <c r="J985" s="2" t="str">
        <f t="shared" si="304"/>
        <v/>
      </c>
      <c r="K985" s="2" t="str">
        <f>IF(W985="","",LOOKUP('Extraction edi'!J985,Paramètrage!$A$6:$A$179,Paramètrage!$B$6:$B$179))</f>
        <v/>
      </c>
      <c r="L985" s="2" t="str">
        <f>IF(W985="","",LOOKUP('Extraction edi'!J985,Paramètrage!$A$6:$A$179,Paramètrage!$C$6:$C$179))</f>
        <v/>
      </c>
      <c r="M985" s="2" t="str">
        <f>IF(W985="","",LOOKUP('Extraction edi'!J985,Paramètrage!$A$6:$A$179,Paramètrage!$D$6:$D$179))</f>
        <v/>
      </c>
      <c r="N985" s="3" t="str">
        <f>IF(W985="","",LOOKUP('Extraction edi'!J985,Paramètrage!$A$6:$A$179,Paramètrage!$E$6:$E$179))</f>
        <v/>
      </c>
      <c r="O985" s="3" t="str">
        <f t="shared" si="305"/>
        <v/>
      </c>
      <c r="P985" s="3" t="str">
        <f t="shared" si="306"/>
        <v/>
      </c>
      <c r="Q985" s="3" t="str">
        <f t="shared" si="294"/>
        <v/>
      </c>
      <c r="R985" s="3" t="str">
        <f t="shared" si="307"/>
        <v/>
      </c>
      <c r="S985" s="3" t="str">
        <f t="shared" si="308"/>
        <v/>
      </c>
      <c r="T985" s="4" t="str">
        <f t="shared" si="309"/>
        <v/>
      </c>
      <c r="U985" s="5" t="str">
        <f t="shared" si="310"/>
        <v/>
      </c>
      <c r="V985" s="7" t="str">
        <f>IF(W985="","",IF(LOOKUP(W985,'Extration 3E date commande'!$A$6:$A$10000)=W985,LOOKUP(W985,'Extration 3E date commande'!$A$6:$A$10000,'Extration 3E date commande'!$C$6:$C$10000),"PAS DE DATE"))</f>
        <v/>
      </c>
    </row>
    <row r="986" spans="1:22" x14ac:dyDescent="0.25">
      <c r="A986" s="3" t="str">
        <f t="shared" si="295"/>
        <v/>
      </c>
      <c r="B986" s="3" t="str">
        <f t="shared" si="296"/>
        <v/>
      </c>
      <c r="C986" s="3" t="str">
        <f t="shared" si="297"/>
        <v/>
      </c>
      <c r="D986" s="3" t="str">
        <f t="shared" si="298"/>
        <v/>
      </c>
      <c r="E986" s="3" t="str">
        <f t="shared" si="299"/>
        <v/>
      </c>
      <c r="F986" s="3" t="str">
        <f t="shared" si="300"/>
        <v/>
      </c>
      <c r="G986" s="3" t="str">
        <f t="shared" si="301"/>
        <v/>
      </c>
      <c r="H986" s="3" t="str">
        <f t="shared" si="302"/>
        <v/>
      </c>
      <c r="I986" s="3" t="str">
        <f t="shared" si="303"/>
        <v/>
      </c>
      <c r="J986" s="2" t="str">
        <f t="shared" si="304"/>
        <v/>
      </c>
      <c r="K986" s="2" t="str">
        <f>IF(W986="","",LOOKUP('Extraction edi'!J986,Paramètrage!$A$6:$A$179,Paramètrage!$B$6:$B$179))</f>
        <v/>
      </c>
      <c r="L986" s="2" t="str">
        <f>IF(W986="","",LOOKUP('Extraction edi'!J986,Paramètrage!$A$6:$A$179,Paramètrage!$C$6:$C$179))</f>
        <v/>
      </c>
      <c r="M986" s="2" t="str">
        <f>IF(W986="","",LOOKUP('Extraction edi'!J986,Paramètrage!$A$6:$A$179,Paramètrage!$D$6:$D$179))</f>
        <v/>
      </c>
      <c r="N986" s="3" t="str">
        <f>IF(W986="","",LOOKUP('Extraction edi'!J986,Paramètrage!$A$6:$A$179,Paramètrage!$E$6:$E$179))</f>
        <v/>
      </c>
      <c r="O986" s="3" t="str">
        <f t="shared" si="305"/>
        <v/>
      </c>
      <c r="P986" s="3" t="str">
        <f t="shared" si="306"/>
        <v/>
      </c>
      <c r="Q986" s="3" t="str">
        <f t="shared" si="294"/>
        <v/>
      </c>
      <c r="R986" s="3" t="str">
        <f t="shared" si="307"/>
        <v/>
      </c>
      <c r="S986" s="3" t="str">
        <f t="shared" si="308"/>
        <v/>
      </c>
      <c r="T986" s="4" t="str">
        <f t="shared" si="309"/>
        <v/>
      </c>
      <c r="U986" s="5" t="str">
        <f t="shared" si="310"/>
        <v/>
      </c>
      <c r="V986" s="7" t="str">
        <f>IF(W986="","",IF(LOOKUP(W986,'Extration 3E date commande'!$A$6:$A$10000)=W986,LOOKUP(W986,'Extration 3E date commande'!$A$6:$A$10000,'Extration 3E date commande'!$C$6:$C$10000),"PAS DE DATE"))</f>
        <v/>
      </c>
    </row>
    <row r="987" spans="1:22" x14ac:dyDescent="0.25">
      <c r="A987" s="3" t="str">
        <f t="shared" si="295"/>
        <v/>
      </c>
      <c r="B987" s="3" t="str">
        <f t="shared" si="296"/>
        <v/>
      </c>
      <c r="C987" s="3" t="str">
        <f t="shared" si="297"/>
        <v/>
      </c>
      <c r="D987" s="3" t="str">
        <f t="shared" si="298"/>
        <v/>
      </c>
      <c r="E987" s="3" t="str">
        <f t="shared" si="299"/>
        <v/>
      </c>
      <c r="F987" s="3" t="str">
        <f t="shared" si="300"/>
        <v/>
      </c>
      <c r="G987" s="3" t="str">
        <f t="shared" si="301"/>
        <v/>
      </c>
      <c r="H987" s="3" t="str">
        <f t="shared" si="302"/>
        <v/>
      </c>
      <c r="I987" s="3" t="str">
        <f t="shared" si="303"/>
        <v/>
      </c>
      <c r="J987" s="2" t="str">
        <f t="shared" si="304"/>
        <v/>
      </c>
      <c r="K987" s="2" t="str">
        <f>IF(W987="","",LOOKUP('Extraction edi'!J987,Paramètrage!$A$6:$A$179,Paramètrage!$B$6:$B$179))</f>
        <v/>
      </c>
      <c r="L987" s="2" t="str">
        <f>IF(W987="","",LOOKUP('Extraction edi'!J987,Paramètrage!$A$6:$A$179,Paramètrage!$C$6:$C$179))</f>
        <v/>
      </c>
      <c r="M987" s="2" t="str">
        <f>IF(W987="","",LOOKUP('Extraction edi'!J987,Paramètrage!$A$6:$A$179,Paramètrage!$D$6:$D$179))</f>
        <v/>
      </c>
      <c r="N987" s="3" t="str">
        <f>IF(W987="","",LOOKUP('Extraction edi'!J987,Paramètrage!$A$6:$A$179,Paramètrage!$E$6:$E$179))</f>
        <v/>
      </c>
      <c r="O987" s="3" t="str">
        <f t="shared" si="305"/>
        <v/>
      </c>
      <c r="P987" s="3" t="str">
        <f t="shared" si="306"/>
        <v/>
      </c>
      <c r="Q987" s="3" t="str">
        <f t="shared" si="294"/>
        <v/>
      </c>
      <c r="R987" s="3" t="str">
        <f t="shared" si="307"/>
        <v/>
      </c>
      <c r="S987" s="3" t="str">
        <f t="shared" si="308"/>
        <v/>
      </c>
      <c r="T987" s="4" t="str">
        <f t="shared" si="309"/>
        <v/>
      </c>
      <c r="U987" s="5" t="str">
        <f t="shared" si="310"/>
        <v/>
      </c>
      <c r="V987" s="7" t="str">
        <f>IF(W987="","",IF(LOOKUP(W987,'Extration 3E date commande'!$A$6:$A$10000)=W987,LOOKUP(W987,'Extration 3E date commande'!$A$6:$A$10000,'Extration 3E date commande'!$C$6:$C$10000),"PAS DE DATE"))</f>
        <v/>
      </c>
    </row>
    <row r="988" spans="1:22" x14ac:dyDescent="0.25">
      <c r="A988" s="3" t="str">
        <f t="shared" si="295"/>
        <v/>
      </c>
      <c r="B988" s="3" t="str">
        <f t="shared" si="296"/>
        <v/>
      </c>
      <c r="C988" s="3" t="str">
        <f t="shared" si="297"/>
        <v/>
      </c>
      <c r="D988" s="3" t="str">
        <f t="shared" si="298"/>
        <v/>
      </c>
      <c r="E988" s="3" t="str">
        <f t="shared" si="299"/>
        <v/>
      </c>
      <c r="F988" s="3" t="str">
        <f t="shared" si="300"/>
        <v/>
      </c>
      <c r="G988" s="3" t="str">
        <f t="shared" si="301"/>
        <v/>
      </c>
      <c r="H988" s="3" t="str">
        <f t="shared" si="302"/>
        <v/>
      </c>
      <c r="I988" s="3" t="str">
        <f t="shared" si="303"/>
        <v/>
      </c>
      <c r="J988" s="2" t="str">
        <f t="shared" si="304"/>
        <v/>
      </c>
      <c r="K988" s="2" t="str">
        <f>IF(W988="","",LOOKUP('Extraction edi'!J988,Paramètrage!$A$6:$A$179,Paramètrage!$B$6:$B$179))</f>
        <v/>
      </c>
      <c r="L988" s="2" t="str">
        <f>IF(W988="","",LOOKUP('Extraction edi'!J988,Paramètrage!$A$6:$A$179,Paramètrage!$C$6:$C$179))</f>
        <v/>
      </c>
      <c r="M988" s="2" t="str">
        <f>IF(W988="","",LOOKUP('Extraction edi'!J988,Paramètrage!$A$6:$A$179,Paramètrage!$D$6:$D$179))</f>
        <v/>
      </c>
      <c r="N988" s="3" t="str">
        <f>IF(W988="","",LOOKUP('Extraction edi'!J988,Paramètrage!$A$6:$A$179,Paramètrage!$E$6:$E$179))</f>
        <v/>
      </c>
      <c r="O988" s="3" t="str">
        <f t="shared" si="305"/>
        <v/>
      </c>
      <c r="P988" s="3" t="str">
        <f t="shared" si="306"/>
        <v/>
      </c>
      <c r="Q988" s="3" t="str">
        <f t="shared" si="294"/>
        <v/>
      </c>
      <c r="R988" s="3" t="str">
        <f t="shared" si="307"/>
        <v/>
      </c>
      <c r="S988" s="3" t="str">
        <f t="shared" si="308"/>
        <v/>
      </c>
      <c r="T988" s="4" t="str">
        <f t="shared" si="309"/>
        <v/>
      </c>
      <c r="U988" s="5" t="str">
        <f t="shared" si="310"/>
        <v/>
      </c>
      <c r="V988" s="7" t="str">
        <f>IF(W988="","",IF(LOOKUP(W988,'Extration 3E date commande'!$A$6:$A$10000)=W988,LOOKUP(W988,'Extration 3E date commande'!$A$6:$A$10000,'Extration 3E date commande'!$C$6:$C$10000),"PAS DE DATE"))</f>
        <v/>
      </c>
    </row>
    <row r="989" spans="1:22" x14ac:dyDescent="0.25">
      <c r="A989" s="3" t="str">
        <f t="shared" si="295"/>
        <v/>
      </c>
      <c r="B989" s="3" t="str">
        <f t="shared" si="296"/>
        <v/>
      </c>
      <c r="C989" s="3" t="str">
        <f t="shared" si="297"/>
        <v/>
      </c>
      <c r="D989" s="3" t="str">
        <f t="shared" si="298"/>
        <v/>
      </c>
      <c r="E989" s="3" t="str">
        <f t="shared" si="299"/>
        <v/>
      </c>
      <c r="F989" s="3" t="str">
        <f t="shared" si="300"/>
        <v/>
      </c>
      <c r="G989" s="3" t="str">
        <f t="shared" si="301"/>
        <v/>
      </c>
      <c r="H989" s="3" t="str">
        <f t="shared" si="302"/>
        <v/>
      </c>
      <c r="I989" s="3" t="str">
        <f t="shared" si="303"/>
        <v/>
      </c>
      <c r="J989" s="2" t="str">
        <f t="shared" si="304"/>
        <v/>
      </c>
      <c r="K989" s="2" t="str">
        <f>IF(W989="","",LOOKUP('Extraction edi'!J989,Paramètrage!$A$6:$A$179,Paramètrage!$B$6:$B$179))</f>
        <v/>
      </c>
      <c r="L989" s="2" t="str">
        <f>IF(W989="","",LOOKUP('Extraction edi'!J989,Paramètrage!$A$6:$A$179,Paramètrage!$C$6:$C$179))</f>
        <v/>
      </c>
      <c r="M989" s="2" t="str">
        <f>IF(W989="","",LOOKUP('Extraction edi'!J989,Paramètrage!$A$6:$A$179,Paramètrage!$D$6:$D$179))</f>
        <v/>
      </c>
      <c r="N989" s="3" t="str">
        <f>IF(W989="","",LOOKUP('Extraction edi'!J989,Paramètrage!$A$6:$A$179,Paramètrage!$E$6:$E$179))</f>
        <v/>
      </c>
      <c r="O989" s="3" t="str">
        <f t="shared" si="305"/>
        <v/>
      </c>
      <c r="P989" s="3" t="str">
        <f t="shared" si="306"/>
        <v/>
      </c>
      <c r="Q989" s="3" t="str">
        <f t="shared" si="294"/>
        <v/>
      </c>
      <c r="R989" s="3" t="str">
        <f t="shared" si="307"/>
        <v/>
      </c>
      <c r="S989" s="3" t="str">
        <f t="shared" si="308"/>
        <v/>
      </c>
      <c r="T989" s="4" t="str">
        <f t="shared" si="309"/>
        <v/>
      </c>
      <c r="U989" s="5" t="str">
        <f t="shared" si="310"/>
        <v/>
      </c>
      <c r="V989" s="7" t="str">
        <f>IF(W989="","",IF(LOOKUP(W989,'Extration 3E date commande'!$A$6:$A$10000)=W989,LOOKUP(W989,'Extration 3E date commande'!$A$6:$A$10000,'Extration 3E date commande'!$C$6:$C$10000),"PAS DE DATE"))</f>
        <v/>
      </c>
    </row>
    <row r="990" spans="1:22" x14ac:dyDescent="0.25">
      <c r="A990" s="3" t="str">
        <f t="shared" si="295"/>
        <v/>
      </c>
      <c r="B990" s="3" t="str">
        <f t="shared" si="296"/>
        <v/>
      </c>
      <c r="C990" s="3" t="str">
        <f t="shared" si="297"/>
        <v/>
      </c>
      <c r="D990" s="3" t="str">
        <f t="shared" si="298"/>
        <v/>
      </c>
      <c r="E990" s="3" t="str">
        <f t="shared" si="299"/>
        <v/>
      </c>
      <c r="F990" s="3" t="str">
        <f t="shared" si="300"/>
        <v/>
      </c>
      <c r="G990" s="3" t="str">
        <f t="shared" si="301"/>
        <v/>
      </c>
      <c r="H990" s="3" t="str">
        <f t="shared" si="302"/>
        <v/>
      </c>
      <c r="I990" s="3" t="str">
        <f t="shared" si="303"/>
        <v/>
      </c>
      <c r="J990" s="2" t="str">
        <f t="shared" si="304"/>
        <v/>
      </c>
      <c r="K990" s="2" t="str">
        <f>IF(W990="","",LOOKUP('Extraction edi'!J990,Paramètrage!$A$6:$A$179,Paramètrage!$B$6:$B$179))</f>
        <v/>
      </c>
      <c r="L990" s="2" t="str">
        <f>IF(W990="","",LOOKUP('Extraction edi'!J990,Paramètrage!$A$6:$A$179,Paramètrage!$C$6:$C$179))</f>
        <v/>
      </c>
      <c r="M990" s="2" t="str">
        <f>IF(W990="","",LOOKUP('Extraction edi'!J990,Paramètrage!$A$6:$A$179,Paramètrage!$D$6:$D$179))</f>
        <v/>
      </c>
      <c r="N990" s="3" t="str">
        <f>IF(W990="","",LOOKUP('Extraction edi'!J990,Paramètrage!$A$6:$A$179,Paramètrage!$E$6:$E$179))</f>
        <v/>
      </c>
      <c r="O990" s="3" t="str">
        <f t="shared" si="305"/>
        <v/>
      </c>
      <c r="P990" s="3" t="str">
        <f t="shared" si="306"/>
        <v/>
      </c>
      <c r="Q990" s="3" t="str">
        <f t="shared" si="294"/>
        <v/>
      </c>
      <c r="R990" s="3" t="str">
        <f t="shared" si="307"/>
        <v/>
      </c>
      <c r="S990" s="3" t="str">
        <f t="shared" si="308"/>
        <v/>
      </c>
      <c r="T990" s="4" t="str">
        <f t="shared" si="309"/>
        <v/>
      </c>
      <c r="U990" s="5" t="str">
        <f t="shared" si="310"/>
        <v/>
      </c>
      <c r="V990" s="7" t="str">
        <f>IF(W990="","",IF(LOOKUP(W990,'Extration 3E date commande'!$A$6:$A$10000)=W990,LOOKUP(W990,'Extration 3E date commande'!$A$6:$A$10000,'Extration 3E date commande'!$C$6:$C$10000),"PAS DE DATE"))</f>
        <v/>
      </c>
    </row>
    <row r="991" spans="1:22" x14ac:dyDescent="0.25">
      <c r="A991" s="3" t="str">
        <f t="shared" si="295"/>
        <v/>
      </c>
      <c r="B991" s="3" t="str">
        <f t="shared" si="296"/>
        <v/>
      </c>
      <c r="C991" s="3" t="str">
        <f t="shared" si="297"/>
        <v/>
      </c>
      <c r="D991" s="3" t="str">
        <f t="shared" si="298"/>
        <v/>
      </c>
      <c r="E991" s="3" t="str">
        <f t="shared" si="299"/>
        <v/>
      </c>
      <c r="F991" s="3" t="str">
        <f t="shared" si="300"/>
        <v/>
      </c>
      <c r="G991" s="3" t="str">
        <f t="shared" si="301"/>
        <v/>
      </c>
      <c r="H991" s="3" t="str">
        <f t="shared" si="302"/>
        <v/>
      </c>
      <c r="I991" s="3" t="str">
        <f t="shared" si="303"/>
        <v/>
      </c>
      <c r="J991" s="2" t="str">
        <f t="shared" si="304"/>
        <v/>
      </c>
      <c r="K991" s="2" t="str">
        <f>IF(W991="","",LOOKUP('Extraction edi'!J991,Paramètrage!$A$6:$A$179,Paramètrage!$B$6:$B$179))</f>
        <v/>
      </c>
      <c r="L991" s="2" t="str">
        <f>IF(W991="","",LOOKUP('Extraction edi'!J991,Paramètrage!$A$6:$A$179,Paramètrage!$C$6:$C$179))</f>
        <v/>
      </c>
      <c r="M991" s="2" t="str">
        <f>IF(W991="","",LOOKUP('Extraction edi'!J991,Paramètrage!$A$6:$A$179,Paramètrage!$D$6:$D$179))</f>
        <v/>
      </c>
      <c r="N991" s="3" t="str">
        <f>IF(W991="","",LOOKUP('Extraction edi'!J991,Paramètrage!$A$6:$A$179,Paramètrage!$E$6:$E$179))</f>
        <v/>
      </c>
      <c r="O991" s="3" t="str">
        <f t="shared" si="305"/>
        <v/>
      </c>
      <c r="P991" s="3" t="str">
        <f t="shared" si="306"/>
        <v/>
      </c>
      <c r="Q991" s="3" t="str">
        <f t="shared" si="294"/>
        <v/>
      </c>
      <c r="R991" s="3" t="str">
        <f t="shared" si="307"/>
        <v/>
      </c>
      <c r="S991" s="3" t="str">
        <f t="shared" si="308"/>
        <v/>
      </c>
      <c r="T991" s="4" t="str">
        <f t="shared" si="309"/>
        <v/>
      </c>
      <c r="U991" s="5" t="str">
        <f t="shared" si="310"/>
        <v/>
      </c>
      <c r="V991" s="7" t="str">
        <f>IF(W991="","",IF(LOOKUP(W991,'Extration 3E date commande'!$A$6:$A$10000)=W991,LOOKUP(W991,'Extration 3E date commande'!$A$6:$A$10000,'Extration 3E date commande'!$C$6:$C$10000),"PAS DE DATE"))</f>
        <v/>
      </c>
    </row>
    <row r="992" spans="1:22" x14ac:dyDescent="0.25">
      <c r="A992" s="3" t="str">
        <f t="shared" si="295"/>
        <v/>
      </c>
      <c r="B992" s="3" t="str">
        <f t="shared" si="296"/>
        <v/>
      </c>
      <c r="C992" s="3" t="str">
        <f t="shared" si="297"/>
        <v/>
      </c>
      <c r="D992" s="3" t="str">
        <f t="shared" si="298"/>
        <v/>
      </c>
      <c r="E992" s="3" t="str">
        <f t="shared" si="299"/>
        <v/>
      </c>
      <c r="F992" s="3" t="str">
        <f t="shared" si="300"/>
        <v/>
      </c>
      <c r="G992" s="3" t="str">
        <f t="shared" si="301"/>
        <v/>
      </c>
      <c r="H992" s="3" t="str">
        <f t="shared" si="302"/>
        <v/>
      </c>
      <c r="I992" s="3" t="str">
        <f t="shared" si="303"/>
        <v/>
      </c>
      <c r="J992" s="2" t="str">
        <f t="shared" si="304"/>
        <v/>
      </c>
      <c r="K992" s="2" t="str">
        <f>IF(W992="","",LOOKUP('Extraction edi'!J992,Paramètrage!$A$6:$A$179,Paramètrage!$B$6:$B$179))</f>
        <v/>
      </c>
      <c r="L992" s="2" t="str">
        <f>IF(W992="","",LOOKUP('Extraction edi'!J992,Paramètrage!$A$6:$A$179,Paramètrage!$C$6:$C$179))</f>
        <v/>
      </c>
      <c r="M992" s="2" t="str">
        <f>IF(W992="","",LOOKUP('Extraction edi'!J992,Paramètrage!$A$6:$A$179,Paramètrage!$D$6:$D$179))</f>
        <v/>
      </c>
      <c r="N992" s="3" t="str">
        <f>IF(W992="","",LOOKUP('Extraction edi'!J992,Paramètrage!$A$6:$A$179,Paramètrage!$E$6:$E$179))</f>
        <v/>
      </c>
      <c r="O992" s="3" t="str">
        <f t="shared" si="305"/>
        <v/>
      </c>
      <c r="P992" s="3" t="str">
        <f t="shared" si="306"/>
        <v/>
      </c>
      <c r="Q992" s="3" t="str">
        <f t="shared" si="294"/>
        <v/>
      </c>
      <c r="R992" s="3" t="str">
        <f t="shared" si="307"/>
        <v/>
      </c>
      <c r="S992" s="3" t="str">
        <f t="shared" si="308"/>
        <v/>
      </c>
      <c r="T992" s="4" t="str">
        <f t="shared" si="309"/>
        <v/>
      </c>
      <c r="U992" s="5" t="str">
        <f t="shared" si="310"/>
        <v/>
      </c>
      <c r="V992" s="7" t="str">
        <f>IF(W992="","",IF(LOOKUP(W992,'Extration 3E date commande'!$A$6:$A$10000)=W992,LOOKUP(W992,'Extration 3E date commande'!$A$6:$A$10000,'Extration 3E date commande'!$C$6:$C$10000),"PAS DE DATE"))</f>
        <v/>
      </c>
    </row>
    <row r="993" spans="1:22" x14ac:dyDescent="0.25">
      <c r="A993" s="3" t="str">
        <f t="shared" si="295"/>
        <v/>
      </c>
      <c r="B993" s="3" t="str">
        <f t="shared" si="296"/>
        <v/>
      </c>
      <c r="C993" s="3" t="str">
        <f t="shared" si="297"/>
        <v/>
      </c>
      <c r="D993" s="3" t="str">
        <f t="shared" si="298"/>
        <v/>
      </c>
      <c r="E993" s="3" t="str">
        <f t="shared" si="299"/>
        <v/>
      </c>
      <c r="F993" s="3" t="str">
        <f t="shared" si="300"/>
        <v/>
      </c>
      <c r="G993" s="3" t="str">
        <f t="shared" si="301"/>
        <v/>
      </c>
      <c r="H993" s="3" t="str">
        <f t="shared" si="302"/>
        <v/>
      </c>
      <c r="I993" s="3" t="str">
        <f t="shared" si="303"/>
        <v/>
      </c>
      <c r="J993" s="2" t="str">
        <f t="shared" si="304"/>
        <v/>
      </c>
      <c r="K993" s="2" t="str">
        <f>IF(W993="","",LOOKUP('Extraction edi'!J993,Paramètrage!$A$6:$A$179,Paramètrage!$B$6:$B$179))</f>
        <v/>
      </c>
      <c r="L993" s="2" t="str">
        <f>IF(W993="","",LOOKUP('Extraction edi'!J993,Paramètrage!$A$6:$A$179,Paramètrage!$C$6:$C$179))</f>
        <v/>
      </c>
      <c r="M993" s="2" t="str">
        <f>IF(W993="","",LOOKUP('Extraction edi'!J993,Paramètrage!$A$6:$A$179,Paramètrage!$D$6:$D$179))</f>
        <v/>
      </c>
      <c r="N993" s="3" t="str">
        <f>IF(W993="","",LOOKUP('Extraction edi'!J993,Paramètrage!$A$6:$A$179,Paramètrage!$E$6:$E$179))</f>
        <v/>
      </c>
      <c r="O993" s="3" t="str">
        <f t="shared" si="305"/>
        <v/>
      </c>
      <c r="P993" s="3" t="str">
        <f t="shared" si="306"/>
        <v/>
      </c>
      <c r="Q993" s="3" t="str">
        <f t="shared" si="294"/>
        <v/>
      </c>
      <c r="R993" s="3" t="str">
        <f t="shared" si="307"/>
        <v/>
      </c>
      <c r="S993" s="3" t="str">
        <f t="shared" si="308"/>
        <v/>
      </c>
      <c r="T993" s="4" t="str">
        <f t="shared" si="309"/>
        <v/>
      </c>
      <c r="U993" s="5" t="str">
        <f t="shared" si="310"/>
        <v/>
      </c>
      <c r="V993" s="7" t="str">
        <f>IF(W993="","",IF(LOOKUP(W993,'Extration 3E date commande'!$A$6:$A$10000)=W993,LOOKUP(W993,'Extration 3E date commande'!$A$6:$A$10000,'Extration 3E date commande'!$C$6:$C$10000),"PAS DE DATE"))</f>
        <v/>
      </c>
    </row>
    <row r="994" spans="1:22" x14ac:dyDescent="0.25">
      <c r="A994" s="3" t="str">
        <f t="shared" si="295"/>
        <v/>
      </c>
      <c r="B994" s="3" t="str">
        <f t="shared" si="296"/>
        <v/>
      </c>
      <c r="C994" s="3" t="str">
        <f t="shared" si="297"/>
        <v/>
      </c>
      <c r="D994" s="3" t="str">
        <f t="shared" si="298"/>
        <v/>
      </c>
      <c r="E994" s="3" t="str">
        <f t="shared" si="299"/>
        <v/>
      </c>
      <c r="F994" s="3" t="str">
        <f t="shared" si="300"/>
        <v/>
      </c>
      <c r="G994" s="3" t="str">
        <f t="shared" si="301"/>
        <v/>
      </c>
      <c r="H994" s="3" t="str">
        <f t="shared" si="302"/>
        <v/>
      </c>
      <c r="I994" s="3" t="str">
        <f t="shared" si="303"/>
        <v/>
      </c>
      <c r="J994" s="2" t="str">
        <f t="shared" si="304"/>
        <v/>
      </c>
      <c r="K994" s="2" t="str">
        <f>IF(W994="","",LOOKUP('Extraction edi'!J994,Paramètrage!$A$6:$A$179,Paramètrage!$B$6:$B$179))</f>
        <v/>
      </c>
      <c r="L994" s="2" t="str">
        <f>IF(W994="","",LOOKUP('Extraction edi'!J994,Paramètrage!$A$6:$A$179,Paramètrage!$C$6:$C$179))</f>
        <v/>
      </c>
      <c r="M994" s="2" t="str">
        <f>IF(W994="","",LOOKUP('Extraction edi'!J994,Paramètrage!$A$6:$A$179,Paramètrage!$D$6:$D$179))</f>
        <v/>
      </c>
      <c r="N994" s="3" t="str">
        <f>IF(W994="","",LOOKUP('Extraction edi'!J994,Paramètrage!$A$6:$A$179,Paramètrage!$E$6:$E$179))</f>
        <v/>
      </c>
      <c r="O994" s="3" t="str">
        <f t="shared" si="305"/>
        <v/>
      </c>
      <c r="P994" s="3" t="str">
        <f t="shared" si="306"/>
        <v/>
      </c>
      <c r="Q994" s="3" t="str">
        <f t="shared" si="294"/>
        <v/>
      </c>
      <c r="R994" s="3" t="str">
        <f t="shared" si="307"/>
        <v/>
      </c>
      <c r="S994" s="3" t="str">
        <f t="shared" si="308"/>
        <v/>
      </c>
      <c r="T994" s="4" t="str">
        <f t="shared" si="309"/>
        <v/>
      </c>
      <c r="U994" s="5" t="str">
        <f t="shared" si="310"/>
        <v/>
      </c>
      <c r="V994" s="7" t="str">
        <f>IF(W994="","",IF(LOOKUP(W994,'Extration 3E date commande'!$A$6:$A$10000)=W994,LOOKUP(W994,'Extration 3E date commande'!$A$6:$A$10000,'Extration 3E date commande'!$C$6:$C$10000),"PAS DE DATE"))</f>
        <v/>
      </c>
    </row>
    <row r="995" spans="1:22" x14ac:dyDescent="0.25">
      <c r="A995" s="3" t="str">
        <f t="shared" si="295"/>
        <v/>
      </c>
      <c r="B995" s="3" t="str">
        <f t="shared" si="296"/>
        <v/>
      </c>
      <c r="C995" s="3" t="str">
        <f t="shared" si="297"/>
        <v/>
      </c>
      <c r="D995" s="3" t="str">
        <f t="shared" si="298"/>
        <v/>
      </c>
      <c r="E995" s="3" t="str">
        <f t="shared" si="299"/>
        <v/>
      </c>
      <c r="F995" s="3" t="str">
        <f t="shared" si="300"/>
        <v/>
      </c>
      <c r="G995" s="3" t="str">
        <f t="shared" si="301"/>
        <v/>
      </c>
      <c r="H995" s="3" t="str">
        <f t="shared" si="302"/>
        <v/>
      </c>
      <c r="I995" s="3" t="str">
        <f t="shared" si="303"/>
        <v/>
      </c>
      <c r="J995" s="2" t="str">
        <f t="shared" si="304"/>
        <v/>
      </c>
      <c r="K995" s="2" t="str">
        <f>IF(W995="","",LOOKUP('Extraction edi'!J995,Paramètrage!$A$6:$A$179,Paramètrage!$B$6:$B$179))</f>
        <v/>
      </c>
      <c r="L995" s="2" t="str">
        <f>IF(W995="","",LOOKUP('Extraction edi'!J995,Paramètrage!$A$6:$A$179,Paramètrage!$C$6:$C$179))</f>
        <v/>
      </c>
      <c r="M995" s="2" t="str">
        <f>IF(W995="","",LOOKUP('Extraction edi'!J995,Paramètrage!$A$6:$A$179,Paramètrage!$D$6:$D$179))</f>
        <v/>
      </c>
      <c r="N995" s="3" t="str">
        <f>IF(W995="","",LOOKUP('Extraction edi'!J995,Paramètrage!$A$6:$A$179,Paramètrage!$E$6:$E$179))</f>
        <v/>
      </c>
      <c r="O995" s="3" t="str">
        <f t="shared" si="305"/>
        <v/>
      </c>
      <c r="P995" s="3" t="str">
        <f t="shared" si="306"/>
        <v/>
      </c>
      <c r="Q995" s="3" t="str">
        <f t="shared" si="294"/>
        <v/>
      </c>
      <c r="R995" s="3" t="str">
        <f t="shared" si="307"/>
        <v/>
      </c>
      <c r="S995" s="3" t="str">
        <f t="shared" si="308"/>
        <v/>
      </c>
      <c r="T995" s="4" t="str">
        <f t="shared" si="309"/>
        <v/>
      </c>
      <c r="U995" s="5" t="str">
        <f t="shared" si="310"/>
        <v/>
      </c>
      <c r="V995" s="7" t="str">
        <f>IF(W995="","",IF(LOOKUP(W995,'Extration 3E date commande'!$A$6:$A$10000)=W995,LOOKUP(W995,'Extration 3E date commande'!$A$6:$A$10000,'Extration 3E date commande'!$C$6:$C$10000),"PAS DE DATE"))</f>
        <v/>
      </c>
    </row>
    <row r="996" spans="1:22" x14ac:dyDescent="0.25">
      <c r="A996" s="3" t="str">
        <f t="shared" si="295"/>
        <v/>
      </c>
      <c r="B996" s="3" t="str">
        <f t="shared" si="296"/>
        <v/>
      </c>
      <c r="C996" s="3" t="str">
        <f t="shared" si="297"/>
        <v/>
      </c>
      <c r="D996" s="3" t="str">
        <f t="shared" si="298"/>
        <v/>
      </c>
      <c r="E996" s="3" t="str">
        <f t="shared" si="299"/>
        <v/>
      </c>
      <c r="F996" s="3" t="str">
        <f t="shared" si="300"/>
        <v/>
      </c>
      <c r="G996" s="3" t="str">
        <f t="shared" si="301"/>
        <v/>
      </c>
      <c r="H996" s="3" t="str">
        <f t="shared" si="302"/>
        <v/>
      </c>
      <c r="I996" s="3" t="str">
        <f t="shared" si="303"/>
        <v/>
      </c>
      <c r="J996" s="2" t="str">
        <f t="shared" si="304"/>
        <v/>
      </c>
      <c r="K996" s="2" t="str">
        <f>IF(W996="","",LOOKUP('Extraction edi'!J996,Paramètrage!$A$6:$A$179,Paramètrage!$B$6:$B$179))</f>
        <v/>
      </c>
      <c r="L996" s="2" t="str">
        <f>IF(W996="","",LOOKUP('Extraction edi'!J996,Paramètrage!$A$6:$A$179,Paramètrage!$C$6:$C$179))</f>
        <v/>
      </c>
      <c r="M996" s="2" t="str">
        <f>IF(W996="","",LOOKUP('Extraction edi'!J996,Paramètrage!$A$6:$A$179,Paramètrage!$D$6:$D$179))</f>
        <v/>
      </c>
      <c r="N996" s="3" t="str">
        <f>IF(W996="","",LOOKUP('Extraction edi'!J996,Paramètrage!$A$6:$A$179,Paramètrage!$E$6:$E$179))</f>
        <v/>
      </c>
      <c r="O996" s="3" t="str">
        <f t="shared" si="305"/>
        <v/>
      </c>
      <c r="P996" s="3" t="str">
        <f t="shared" si="306"/>
        <v/>
      </c>
      <c r="Q996" s="3" t="str">
        <f t="shared" si="294"/>
        <v/>
      </c>
      <c r="R996" s="3" t="str">
        <f t="shared" si="307"/>
        <v/>
      </c>
      <c r="S996" s="3" t="str">
        <f t="shared" si="308"/>
        <v/>
      </c>
      <c r="T996" s="4" t="str">
        <f t="shared" si="309"/>
        <v/>
      </c>
      <c r="U996" s="5" t="str">
        <f t="shared" si="310"/>
        <v/>
      </c>
      <c r="V996" s="7" t="str">
        <f>IF(W996="","",IF(LOOKUP(W996,'Extration 3E date commande'!$A$6:$A$10000)=W996,LOOKUP(W996,'Extration 3E date commande'!$A$6:$A$10000,'Extration 3E date commande'!$C$6:$C$10000),"PAS DE DATE"))</f>
        <v/>
      </c>
    </row>
    <row r="997" spans="1:22" x14ac:dyDescent="0.25">
      <c r="A997" s="3" t="str">
        <f t="shared" si="295"/>
        <v/>
      </c>
      <c r="B997" s="3" t="str">
        <f t="shared" si="296"/>
        <v/>
      </c>
      <c r="C997" s="3" t="str">
        <f t="shared" si="297"/>
        <v/>
      </c>
      <c r="D997" s="3" t="str">
        <f t="shared" si="298"/>
        <v/>
      </c>
      <c r="E997" s="3" t="str">
        <f t="shared" si="299"/>
        <v/>
      </c>
      <c r="F997" s="3" t="str">
        <f t="shared" si="300"/>
        <v/>
      </c>
      <c r="G997" s="3" t="str">
        <f t="shared" si="301"/>
        <v/>
      </c>
      <c r="H997" s="3" t="str">
        <f t="shared" si="302"/>
        <v/>
      </c>
      <c r="I997" s="3" t="str">
        <f t="shared" si="303"/>
        <v/>
      </c>
      <c r="J997" s="2" t="str">
        <f t="shared" si="304"/>
        <v/>
      </c>
      <c r="K997" s="2" t="str">
        <f>IF(W997="","",LOOKUP('Extraction edi'!J997,Paramètrage!$A$6:$A$179,Paramètrage!$B$6:$B$179))</f>
        <v/>
      </c>
      <c r="L997" s="2" t="str">
        <f>IF(W997="","",LOOKUP('Extraction edi'!J997,Paramètrage!$A$6:$A$179,Paramètrage!$C$6:$C$179))</f>
        <v/>
      </c>
      <c r="M997" s="2" t="str">
        <f>IF(W997="","",LOOKUP('Extraction edi'!J997,Paramètrage!$A$6:$A$179,Paramètrage!$D$6:$D$179))</f>
        <v/>
      </c>
      <c r="N997" s="3" t="str">
        <f>IF(W997="","",LOOKUP('Extraction edi'!J997,Paramètrage!$A$6:$A$179,Paramètrage!$E$6:$E$179))</f>
        <v/>
      </c>
      <c r="O997" s="3" t="str">
        <f t="shared" si="305"/>
        <v/>
      </c>
      <c r="P997" s="3" t="str">
        <f t="shared" si="306"/>
        <v/>
      </c>
      <c r="Q997" s="3" t="str">
        <f t="shared" si="294"/>
        <v/>
      </c>
      <c r="R997" s="3" t="str">
        <f t="shared" si="307"/>
        <v/>
      </c>
      <c r="S997" s="3" t="str">
        <f t="shared" si="308"/>
        <v/>
      </c>
      <c r="T997" s="4" t="str">
        <f t="shared" si="309"/>
        <v/>
      </c>
      <c r="U997" s="5" t="str">
        <f t="shared" si="310"/>
        <v/>
      </c>
      <c r="V997" s="7" t="str">
        <f>IF(W997="","",IF(LOOKUP(W997,'Extration 3E date commande'!$A$6:$A$10000)=W997,LOOKUP(W997,'Extration 3E date commande'!$A$6:$A$10000,'Extration 3E date commande'!$C$6:$C$10000),"PAS DE DATE"))</f>
        <v/>
      </c>
    </row>
    <row r="998" spans="1:22" x14ac:dyDescent="0.25">
      <c r="A998" s="3" t="str">
        <f t="shared" si="295"/>
        <v/>
      </c>
      <c r="B998" s="3" t="str">
        <f t="shared" si="296"/>
        <v/>
      </c>
      <c r="C998" s="3" t="str">
        <f t="shared" si="297"/>
        <v/>
      </c>
      <c r="D998" s="3" t="str">
        <f t="shared" si="298"/>
        <v/>
      </c>
      <c r="E998" s="3" t="str">
        <f t="shared" si="299"/>
        <v/>
      </c>
      <c r="F998" s="3" t="str">
        <f t="shared" si="300"/>
        <v/>
      </c>
      <c r="G998" s="3" t="str">
        <f t="shared" si="301"/>
        <v/>
      </c>
      <c r="H998" s="3" t="str">
        <f t="shared" si="302"/>
        <v/>
      </c>
      <c r="I998" s="3" t="str">
        <f t="shared" si="303"/>
        <v/>
      </c>
      <c r="J998" s="2" t="str">
        <f t="shared" si="304"/>
        <v/>
      </c>
      <c r="K998" s="2" t="str">
        <f>IF(W998="","",LOOKUP('Extraction edi'!J998,Paramètrage!$A$6:$A$179,Paramètrage!$B$6:$B$179))</f>
        <v/>
      </c>
      <c r="L998" s="2" t="str">
        <f>IF(W998="","",LOOKUP('Extraction edi'!J998,Paramètrage!$A$6:$A$179,Paramètrage!$C$6:$C$179))</f>
        <v/>
      </c>
      <c r="M998" s="2" t="str">
        <f>IF(W998="","",LOOKUP('Extraction edi'!J998,Paramètrage!$A$6:$A$179,Paramètrage!$D$6:$D$179))</f>
        <v/>
      </c>
      <c r="N998" s="3" t="str">
        <f>IF(W998="","",LOOKUP('Extraction edi'!J998,Paramètrage!$A$6:$A$179,Paramètrage!$E$6:$E$179))</f>
        <v/>
      </c>
      <c r="O998" s="3" t="str">
        <f t="shared" si="305"/>
        <v/>
      </c>
      <c r="P998" s="3" t="str">
        <f t="shared" si="306"/>
        <v/>
      </c>
      <c r="Q998" s="3" t="str">
        <f t="shared" si="294"/>
        <v/>
      </c>
      <c r="R998" s="3" t="str">
        <f t="shared" si="307"/>
        <v/>
      </c>
      <c r="S998" s="3" t="str">
        <f t="shared" si="308"/>
        <v/>
      </c>
      <c r="T998" s="4" t="str">
        <f t="shared" si="309"/>
        <v/>
      </c>
      <c r="U998" s="5" t="str">
        <f t="shared" si="310"/>
        <v/>
      </c>
      <c r="V998" s="7" t="str">
        <f>IF(W998="","",IF(LOOKUP(W998,'Extration 3E date commande'!$A$6:$A$10000)=W998,LOOKUP(W998,'Extration 3E date commande'!$A$6:$A$10000,'Extration 3E date commande'!$C$6:$C$10000),"PAS DE DATE"))</f>
        <v/>
      </c>
    </row>
    <row r="999" spans="1:22" x14ac:dyDescent="0.25">
      <c r="A999" s="3" t="str">
        <f t="shared" si="295"/>
        <v/>
      </c>
      <c r="B999" s="3" t="str">
        <f t="shared" si="296"/>
        <v/>
      </c>
      <c r="C999" s="3" t="str">
        <f t="shared" si="297"/>
        <v/>
      </c>
      <c r="D999" s="3" t="str">
        <f t="shared" si="298"/>
        <v/>
      </c>
      <c r="E999" s="3" t="str">
        <f t="shared" si="299"/>
        <v/>
      </c>
      <c r="F999" s="3" t="str">
        <f t="shared" si="300"/>
        <v/>
      </c>
      <c r="G999" s="3" t="str">
        <f t="shared" si="301"/>
        <v/>
      </c>
      <c r="H999" s="3" t="str">
        <f t="shared" si="302"/>
        <v/>
      </c>
      <c r="I999" s="3" t="str">
        <f t="shared" si="303"/>
        <v/>
      </c>
      <c r="J999" s="2" t="str">
        <f t="shared" si="304"/>
        <v/>
      </c>
      <c r="K999" s="2" t="str">
        <f>IF(W999="","",LOOKUP('Extraction edi'!J999,Paramètrage!$A$6:$A$179,Paramètrage!$B$6:$B$179))</f>
        <v/>
      </c>
      <c r="L999" s="2" t="str">
        <f>IF(W999="","",LOOKUP('Extraction edi'!J999,Paramètrage!$A$6:$A$179,Paramètrage!$C$6:$C$179))</f>
        <v/>
      </c>
      <c r="M999" s="2" t="str">
        <f>IF(W999="","",LOOKUP('Extraction edi'!J999,Paramètrage!$A$6:$A$179,Paramètrage!$D$6:$D$179))</f>
        <v/>
      </c>
      <c r="N999" s="3" t="str">
        <f>IF(W999="","",LOOKUP('Extraction edi'!J999,Paramètrage!$A$6:$A$179,Paramètrage!$E$6:$E$179))</f>
        <v/>
      </c>
      <c r="O999" s="3" t="str">
        <f t="shared" si="305"/>
        <v/>
      </c>
      <c r="P999" s="3" t="str">
        <f t="shared" si="306"/>
        <v/>
      </c>
      <c r="Q999" s="3" t="str">
        <f t="shared" si="294"/>
        <v/>
      </c>
      <c r="R999" s="3" t="str">
        <f t="shared" si="307"/>
        <v/>
      </c>
      <c r="S999" s="3" t="str">
        <f t="shared" si="308"/>
        <v/>
      </c>
      <c r="T999" s="4" t="str">
        <f t="shared" si="309"/>
        <v/>
      </c>
      <c r="U999" s="5" t="str">
        <f t="shared" si="310"/>
        <v/>
      </c>
      <c r="V999" s="7" t="str">
        <f>IF(W999="","",IF(LOOKUP(W999,'Extration 3E date commande'!$A$6:$A$10000)=W999,LOOKUP(W999,'Extration 3E date commande'!$A$6:$A$10000,'Extration 3E date commande'!$C$6:$C$10000),"PAS DE DATE"))</f>
        <v/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P993"/>
  <sheetViews>
    <sheetView zoomScale="85" zoomScaleNormal="85" workbookViewId="0">
      <selection activeCell="Q19" sqref="Q19"/>
    </sheetView>
  </sheetViews>
  <sheetFormatPr baseColWidth="10" defaultRowHeight="15" x14ac:dyDescent="0.25"/>
  <cols>
    <col min="1" max="1" width="33.140625" style="1" bestFit="1" customWidth="1"/>
    <col min="2" max="2" width="10.85546875" bestFit="1" customWidth="1"/>
    <col min="3" max="3" width="9.7109375" bestFit="1" customWidth="1"/>
    <col min="4" max="4" width="8.28515625" bestFit="1" customWidth="1"/>
    <col min="5" max="5" width="8.85546875" bestFit="1" customWidth="1"/>
    <col min="6" max="6" width="19.42578125" bestFit="1" customWidth="1"/>
    <col min="7" max="8" width="38.5703125" bestFit="1" customWidth="1"/>
    <col min="9" max="9" width="9.42578125" style="1" bestFit="1" customWidth="1"/>
    <col min="10" max="10" width="7.5703125" style="1" bestFit="1" customWidth="1"/>
    <col min="11" max="11" width="8.140625" style="1" bestFit="1" customWidth="1"/>
    <col min="12" max="12" width="8.28515625" style="1" bestFit="1" customWidth="1"/>
    <col min="13" max="13" width="12.5703125" style="1" bestFit="1" customWidth="1"/>
    <col min="14" max="14" width="13" style="1" bestFit="1" customWidth="1"/>
    <col min="15" max="15" width="16.42578125" style="1" bestFit="1" customWidth="1"/>
    <col min="16" max="16" width="9.5703125" style="1" bestFit="1" customWidth="1"/>
  </cols>
  <sheetData>
    <row r="1" spans="1:15" ht="23.25" customHeight="1" x14ac:dyDescent="0.25">
      <c r="A1" s="27" t="s">
        <v>217</v>
      </c>
      <c r="B1" s="21">
        <f ca="1">TODAY()</f>
        <v>45939</v>
      </c>
      <c r="C1" s="28"/>
      <c r="D1" s="28"/>
      <c r="E1" s="21"/>
    </row>
    <row r="2" spans="1:15" ht="30" x14ac:dyDescent="0.25">
      <c r="A2" s="13" t="s">
        <v>199</v>
      </c>
      <c r="B2" s="13" t="s">
        <v>7</v>
      </c>
      <c r="C2" s="14" t="s">
        <v>10</v>
      </c>
      <c r="D2" s="13" t="s">
        <v>8</v>
      </c>
      <c r="E2" s="13" t="s">
        <v>9</v>
      </c>
      <c r="F2" s="13" t="s">
        <v>12</v>
      </c>
      <c r="G2" s="14" t="s">
        <v>101</v>
      </c>
      <c r="H2" s="14" t="s">
        <v>102</v>
      </c>
      <c r="I2" s="13" t="s">
        <v>104</v>
      </c>
      <c r="J2" s="13" t="s">
        <v>107</v>
      </c>
      <c r="K2" s="13" t="s">
        <v>106</v>
      </c>
      <c r="L2" s="13" t="s">
        <v>111</v>
      </c>
      <c r="M2" s="13" t="s">
        <v>112</v>
      </c>
      <c r="N2" s="13" t="s">
        <v>113</v>
      </c>
      <c r="O2" s="12" t="s">
        <v>411</v>
      </c>
    </row>
    <row r="3" spans="1:15" x14ac:dyDescent="0.25">
      <c r="A3" s="1" t="str">
        <f>IF(B3="","",CONCATENATE(B3,".",C3,"/Pos ",D3,"/",'Extraction edi'!G6))</f>
        <v>2510410.U04/Pos 1/ALU</v>
      </c>
      <c r="B3" s="1" t="str">
        <f>IF('Extraction edi'!A6="","",'Extraction edi'!A6)</f>
        <v>2510410</v>
      </c>
      <c r="C3" s="1" t="str">
        <f>IF('Extraction edi'!B6="","",'Extraction edi'!B6)</f>
        <v>U04</v>
      </c>
      <c r="D3" s="1">
        <f>IF('Extraction edi'!H6="","",'Extraction edi'!H6)</f>
        <v>1</v>
      </c>
      <c r="E3" s="1">
        <f>IF('Extraction edi'!I6="","",'Extraction edi'!I6)</f>
        <v>1</v>
      </c>
      <c r="F3" t="str">
        <f>IF('Extraction edi'!K6="","",'Extraction edi'!K6)</f>
        <v>Type 5 / modèle 450</v>
      </c>
      <c r="G3" t="str">
        <f>IF('Extraction edi'!L6="","",'Extraction edi'!L6)</f>
        <v>ALU blanc</v>
      </c>
      <c r="H3" t="str">
        <f>IF('Extraction edi'!M6="","",'Extraction edi'!M6)</f>
        <v>ALU blanc</v>
      </c>
      <c r="I3" s="1">
        <f>IF('Extraction edi'!N6="","",'Extraction edi'!N6)</f>
        <v>28</v>
      </c>
      <c r="J3" s="1">
        <f>IF('Extraction edi'!O6="","",'Extraction edi'!O6)</f>
        <v>422</v>
      </c>
      <c r="K3" s="1" t="str">
        <f>IF('Extraction edi'!P6="","",'Extraction edi'!P6)</f>
        <v xml:space="preserve">  731</v>
      </c>
      <c r="L3" s="1" t="str">
        <f>IF('Extraction edi'!Q6="laquage RAL :","OUI","")</f>
        <v/>
      </c>
      <c r="M3" s="1" t="str">
        <f>IF('Extraction edi'!R6&lt;&gt;"",'Extraction edi'!R6,IF(G3="ALU blanc","S9016",""))</f>
        <v>S9016</v>
      </c>
      <c r="N3" s="1" t="str">
        <f>IF('Extraction edi'!S6&lt;&gt;"",'Extraction edi'!S6,IF(G3="ALU blanc","S9016",""))</f>
        <v>S9016</v>
      </c>
      <c r="O3" s="11">
        <v>45915</v>
      </c>
    </row>
    <row r="4" spans="1:15" x14ac:dyDescent="0.25">
      <c r="A4" s="1" t="str">
        <f>IF(B4="","",CONCATENATE(B4,".",C4,"/Pos ",D4,"/",'Extraction edi'!G7))</f>
        <v>2510410.U04/Pos 1/ALU</v>
      </c>
      <c r="B4" s="1" t="str">
        <f>IF('Extraction edi'!A7="","",'Extraction edi'!A7)</f>
        <v>2510410</v>
      </c>
      <c r="C4" s="1" t="str">
        <f>IF('Extraction edi'!B7="","",'Extraction edi'!B7)</f>
        <v>U04</v>
      </c>
      <c r="D4" s="1">
        <f>IF('Extraction edi'!H7="","",'Extraction edi'!H7)</f>
        <v>1</v>
      </c>
      <c r="E4" s="1">
        <f>IF('Extraction edi'!I7="","",'Extraction edi'!I7)</f>
        <v>1</v>
      </c>
      <c r="F4" t="str">
        <f>IF('Extraction edi'!K7="","",'Extraction edi'!K7)</f>
        <v>Type 5 / modèle 450</v>
      </c>
      <c r="G4" t="str">
        <f>IF('Extraction edi'!L7="","",'Extraction edi'!L7)</f>
        <v>ALU blanc</v>
      </c>
      <c r="H4" t="str">
        <f>IF('Extraction edi'!M7="","",'Extraction edi'!M7)</f>
        <v>ALU blanc</v>
      </c>
      <c r="I4" s="1">
        <f>IF('Extraction edi'!N7="","",'Extraction edi'!N7)</f>
        <v>28</v>
      </c>
      <c r="J4" s="1">
        <f>IF('Extraction edi'!O7="","",'Extraction edi'!O7)</f>
        <v>422</v>
      </c>
      <c r="K4" s="1" t="str">
        <f>IF('Extraction edi'!P7="","",'Extraction edi'!P7)</f>
        <v xml:space="preserve">  731</v>
      </c>
      <c r="L4" s="1" t="str">
        <f>IF('Extraction edi'!Q7="laquage RAL :","OUI","")</f>
        <v/>
      </c>
      <c r="M4" s="1" t="str">
        <f>IF('Extraction edi'!R7&lt;&gt;"",'Extraction edi'!R7,IF(G4="ALU blanc","S9016",""))</f>
        <v>S9016</v>
      </c>
      <c r="N4" s="1" t="str">
        <f>IF('Extraction edi'!S7&lt;&gt;"",'Extraction edi'!S7,IF(G4="ALU blanc","S9016",""))</f>
        <v>S9016</v>
      </c>
      <c r="O4" s="11">
        <v>45915</v>
      </c>
    </row>
    <row r="5" spans="1:15" x14ac:dyDescent="0.25">
      <c r="A5" s="1" t="str">
        <f>IF(B5="","",CONCATENATE(B5,".",C5,"/Pos ",D5,"/",'Extraction edi'!G8))</f>
        <v>2510410.U04/Pos 1/ALU</v>
      </c>
      <c r="B5" s="1" t="str">
        <f>IF('Extraction edi'!A8="","",'Extraction edi'!A8)</f>
        <v>2510410</v>
      </c>
      <c r="C5" s="1" t="str">
        <f>IF('Extraction edi'!B8="","",'Extraction edi'!B8)</f>
        <v>U04</v>
      </c>
      <c r="D5" s="1">
        <f>IF('Extraction edi'!H8="","",'Extraction edi'!H8)</f>
        <v>1</v>
      </c>
      <c r="E5" s="1">
        <f>IF('Extraction edi'!I8="","",'Extraction edi'!I8)</f>
        <v>1</v>
      </c>
      <c r="F5" t="str">
        <f>IF('Extraction edi'!K8="","",'Extraction edi'!K8)</f>
        <v>Type 5 / modèle 450</v>
      </c>
      <c r="G5" t="str">
        <f>IF('Extraction edi'!L8="","",'Extraction edi'!L8)</f>
        <v>ALU blanc</v>
      </c>
      <c r="H5" t="str">
        <f>IF('Extraction edi'!M8="","",'Extraction edi'!M8)</f>
        <v>ALU blanc</v>
      </c>
      <c r="I5" s="1">
        <f>IF('Extraction edi'!N8="","",'Extraction edi'!N8)</f>
        <v>28</v>
      </c>
      <c r="J5" s="1">
        <f>IF('Extraction edi'!O8="","",'Extraction edi'!O8)</f>
        <v>776</v>
      </c>
      <c r="K5" s="1" t="str">
        <f>IF('Extraction edi'!P8="","",'Extraction edi'!P8)</f>
        <v xml:space="preserve">  687</v>
      </c>
      <c r="L5" s="1" t="str">
        <f>IF('Extraction edi'!Q8="laquage RAL :","OUI","")</f>
        <v/>
      </c>
      <c r="M5" s="1" t="str">
        <f>IF('Extraction edi'!R8&lt;&gt;"",'Extraction edi'!R8,IF(G5="ALU blanc","S9016",""))</f>
        <v>S9016</v>
      </c>
      <c r="N5" s="1" t="str">
        <f>IF('Extraction edi'!S8&lt;&gt;"",'Extraction edi'!S8,IF(G5="ALU blanc","S9016",""))</f>
        <v>S9016</v>
      </c>
      <c r="O5" s="11">
        <v>45915</v>
      </c>
    </row>
    <row r="6" spans="1:15" x14ac:dyDescent="0.25">
      <c r="A6" s="1" t="str">
        <f>IF(B6="","",CONCATENATE(B6,".",C6,"/Pos ",D6,"/",'Extraction edi'!G9))</f>
        <v>2510410.U04/Pos 3/ALU</v>
      </c>
      <c r="B6" s="1" t="str">
        <f>IF('Extraction edi'!A9="","",'Extraction edi'!A9)</f>
        <v>2510410</v>
      </c>
      <c r="C6" s="1" t="str">
        <f>IF('Extraction edi'!B9="","",'Extraction edi'!B9)</f>
        <v>U04</v>
      </c>
      <c r="D6" s="1">
        <f>IF('Extraction edi'!H9="","",'Extraction edi'!H9)</f>
        <v>3</v>
      </c>
      <c r="E6" s="1">
        <f>IF('Extraction edi'!I9="","",'Extraction edi'!I9)</f>
        <v>1</v>
      </c>
      <c r="F6" t="str">
        <f>IF('Extraction edi'!K9="","",'Extraction edi'!K9)</f>
        <v>Type 5 / modèle 450</v>
      </c>
      <c r="G6" t="str">
        <f>IF('Extraction edi'!L9="","",'Extraction edi'!L9)</f>
        <v>ALU blanc</v>
      </c>
      <c r="H6" t="str">
        <f>IF('Extraction edi'!M9="","",'Extraction edi'!M9)</f>
        <v>ALU blanc</v>
      </c>
      <c r="I6" s="1">
        <f>IF('Extraction edi'!N9="","",'Extraction edi'!N9)</f>
        <v>28</v>
      </c>
      <c r="J6" s="1">
        <f>IF('Extraction edi'!O9="","",'Extraction edi'!O9)</f>
        <v>886</v>
      </c>
      <c r="K6" s="1" t="str">
        <f>IF('Extraction edi'!P9="","",'Extraction edi'!P9)</f>
        <v xml:space="preserve">  501</v>
      </c>
      <c r="L6" s="1" t="str">
        <f>IF('Extraction edi'!Q9="laquage RAL :","OUI","")</f>
        <v/>
      </c>
      <c r="M6" s="1" t="str">
        <f>IF('Extraction edi'!R9&lt;&gt;"",'Extraction edi'!R9,IF(G6="ALU blanc","S9016",""))</f>
        <v>S9016</v>
      </c>
      <c r="N6" s="1" t="str">
        <f>IF('Extraction edi'!S9&lt;&gt;"",'Extraction edi'!S9,IF(G6="ALU blanc","S9016",""))</f>
        <v>S9016</v>
      </c>
      <c r="O6" s="11">
        <v>45915</v>
      </c>
    </row>
    <row r="7" spans="1:15" x14ac:dyDescent="0.25">
      <c r="A7" s="1" t="str">
        <f>IF(B7="","",CONCATENATE(B7,".",C7,"/Pos ",D7,"/",'Extraction edi'!G10))</f>
        <v>2510419.U04/Pos 1/ALU</v>
      </c>
      <c r="B7" s="1" t="str">
        <f>IF('Extraction edi'!A10="","",'Extraction edi'!A10)</f>
        <v>2510419</v>
      </c>
      <c r="C7" s="1" t="str">
        <f>IF('Extraction edi'!B10="","",'Extraction edi'!B10)</f>
        <v>U04</v>
      </c>
      <c r="D7" s="1">
        <f>IF('Extraction edi'!H10="","",'Extraction edi'!H10)</f>
        <v>1</v>
      </c>
      <c r="E7" s="1">
        <f>IF('Extraction edi'!I10="","",'Extraction edi'!I10)</f>
        <v>1</v>
      </c>
      <c r="F7" t="str">
        <f>IF('Extraction edi'!K10="","",'Extraction edi'!K10)</f>
        <v>Type 5 / modèle 450</v>
      </c>
      <c r="G7" t="str">
        <f>IF('Extraction edi'!L10="","",'Extraction edi'!L10)</f>
        <v>ALU blanc</v>
      </c>
      <c r="H7" t="str">
        <f>IF('Extraction edi'!M10="","",'Extraction edi'!M10)</f>
        <v>ALU blanc</v>
      </c>
      <c r="I7" s="1">
        <f>IF('Extraction edi'!N10="","",'Extraction edi'!N10)</f>
        <v>28</v>
      </c>
      <c r="J7" s="1">
        <f>IF('Extraction edi'!O10="","",'Extraction edi'!O10)</f>
        <v>726</v>
      </c>
      <c r="K7" s="1" t="str">
        <f>IF('Extraction edi'!P10="","",'Extraction edi'!P10)</f>
        <v xml:space="preserve">  1903</v>
      </c>
      <c r="L7" s="1" t="str">
        <f>IF('Extraction edi'!Q10="laquage RAL :","OUI","")</f>
        <v/>
      </c>
      <c r="M7" s="1" t="str">
        <f>IF('Extraction edi'!R10&lt;&gt;"",'Extraction edi'!R10,IF(G7="ALU blanc","S9016",""))</f>
        <v>S9016</v>
      </c>
      <c r="N7" s="1" t="str">
        <f>IF('Extraction edi'!S10&lt;&gt;"",'Extraction edi'!S10,IF(G7="ALU blanc","S9016",""))</f>
        <v>S9016</v>
      </c>
      <c r="O7" s="11">
        <v>45916</v>
      </c>
    </row>
    <row r="8" spans="1:15" x14ac:dyDescent="0.25">
      <c r="A8" s="1" t="str">
        <f>IF(B8="","",CONCATENATE(B8,".",C8,"/Pos ",D8,"/",'Extraction edi'!G11))</f>
        <v>2511361.Z00/Pos 2/STD</v>
      </c>
      <c r="B8" s="1" t="str">
        <f>IF('Extraction edi'!A11="","",'Extraction edi'!A11)</f>
        <v>2511361</v>
      </c>
      <c r="C8" s="1" t="str">
        <f>IF('Extraction edi'!B11="","",'Extraction edi'!B11)</f>
        <v>Z00</v>
      </c>
      <c r="D8" s="1">
        <f>IF('Extraction edi'!H11="","",'Extraction edi'!H11)</f>
        <v>2</v>
      </c>
      <c r="E8" s="1">
        <f>IF('Extraction edi'!I11="","",'Extraction edi'!I11)</f>
        <v>2</v>
      </c>
      <c r="F8" t="str">
        <f>IF('Extraction edi'!K11="","",'Extraction edi'!K11)</f>
        <v>Type 1 / modèle 451</v>
      </c>
      <c r="G8" t="str">
        <f>IF('Extraction edi'!L11="","",'Extraction edi'!L11)</f>
        <v>Plaxé tuner oak / F4703001</v>
      </c>
      <c r="H8" t="str">
        <f>IF('Extraction edi'!M11="","",'Extraction edi'!M11)</f>
        <v>ALU blanc</v>
      </c>
      <c r="I8" s="1">
        <f>IF('Extraction edi'!N11="","",'Extraction edi'!N11)</f>
        <v>28</v>
      </c>
      <c r="J8" s="1">
        <f>IF('Extraction edi'!O11="","",'Extraction edi'!O11)</f>
        <v>506</v>
      </c>
      <c r="K8" s="1" t="str">
        <f>IF('Extraction edi'!P11="","",'Extraction edi'!P11)</f>
        <v xml:space="preserve">  410</v>
      </c>
      <c r="L8" s="1" t="str">
        <f>IF('Extraction edi'!Q11="laquage RAL :","OUI","")</f>
        <v>OUI</v>
      </c>
      <c r="M8" s="1" t="str">
        <f>IF('Extraction edi'!R11&lt;&gt;"",'Extraction edi'!R11,IF(G8="ALU blanc","S9016",""))</f>
        <v/>
      </c>
      <c r="N8" s="1" t="str">
        <f>IF('Extraction edi'!S11&lt;&gt;"",'Extraction edi'!S11,IF(G8="ALU blanc","S9016",""))</f>
        <v/>
      </c>
      <c r="O8" s="11">
        <v>45917</v>
      </c>
    </row>
    <row r="9" spans="1:15" x14ac:dyDescent="0.25">
      <c r="A9" s="1" t="str">
        <f>IF(B9="","",CONCATENATE(B9,".",C9,"/Pos ",D9,"/",'Extraction edi'!G12))</f>
        <v>2511361.Z00/Pos 2/STD</v>
      </c>
      <c r="B9" s="1" t="str">
        <f>IF('Extraction edi'!A12="","",'Extraction edi'!A12)</f>
        <v>2511361</v>
      </c>
      <c r="C9" s="1" t="str">
        <f>IF('Extraction edi'!B12="","",'Extraction edi'!B12)</f>
        <v>Z00</v>
      </c>
      <c r="D9" s="1">
        <f>IF('Extraction edi'!H12="","",'Extraction edi'!H12)</f>
        <v>2</v>
      </c>
      <c r="E9" s="1">
        <f>IF('Extraction edi'!I12="","",'Extraction edi'!I12)</f>
        <v>2</v>
      </c>
      <c r="F9" t="str">
        <f>IF('Extraction edi'!K12="","",'Extraction edi'!K12)</f>
        <v>Type 1 / modèle 451</v>
      </c>
      <c r="G9" t="str">
        <f>IF('Extraction edi'!L12="","",'Extraction edi'!L12)</f>
        <v>Plaxé tuner oak / F4703001</v>
      </c>
      <c r="H9" t="str">
        <f>IF('Extraction edi'!M12="","",'Extraction edi'!M12)</f>
        <v>ALU blanc</v>
      </c>
      <c r="I9" s="1">
        <f>IF('Extraction edi'!N12="","",'Extraction edi'!N12)</f>
        <v>28</v>
      </c>
      <c r="J9" s="1">
        <f>IF('Extraction edi'!O12="","",'Extraction edi'!O12)</f>
        <v>506</v>
      </c>
      <c r="K9" s="1" t="str">
        <f>IF('Extraction edi'!P12="","",'Extraction edi'!P12)</f>
        <v xml:space="preserve">  410</v>
      </c>
      <c r="L9" s="1" t="str">
        <f>IF('Extraction edi'!Q12="laquage RAL :","OUI","")</f>
        <v>OUI</v>
      </c>
      <c r="M9" s="1" t="str">
        <f>IF('Extraction edi'!R12&lt;&gt;"",'Extraction edi'!R12,IF(G9="ALU blanc","S9016",""))</f>
        <v/>
      </c>
      <c r="N9" s="1" t="str">
        <f>IF('Extraction edi'!S12&lt;&gt;"",'Extraction edi'!S12,IF(G9="ALU blanc","S9016",""))</f>
        <v/>
      </c>
      <c r="O9" s="11">
        <v>45918</v>
      </c>
    </row>
    <row r="10" spans="1:15" x14ac:dyDescent="0.25">
      <c r="A10" s="1" t="str">
        <f>IF(B10="","",CONCATENATE(B10,".",C10,"/Pos ",D10,"/",'Extraction edi'!G13))</f>
        <v>2511843.HO0/Pos 1/TEX</v>
      </c>
      <c r="B10" s="1" t="str">
        <f>IF('Extraction edi'!A13="","",'Extraction edi'!A13)</f>
        <v>2511843</v>
      </c>
      <c r="C10" s="1" t="str">
        <f>IF('Extraction edi'!B13="","",'Extraction edi'!B13)</f>
        <v>HO0</v>
      </c>
      <c r="D10" s="1">
        <f>IF('Extraction edi'!H13="","",'Extraction edi'!H13)</f>
        <v>1</v>
      </c>
      <c r="E10" s="1">
        <f>IF('Extraction edi'!I13="","",'Extraction edi'!I13)</f>
        <v>1</v>
      </c>
      <c r="F10" t="str">
        <f>IF('Extraction edi'!K13="","",'Extraction edi'!K13)</f>
        <v>Type 1 A / modèle 451</v>
      </c>
      <c r="G10" t="str">
        <f>IF('Extraction edi'!L13="","",'Extraction edi'!L13)</f>
        <v>ALU blanc</v>
      </c>
      <c r="H10" t="str">
        <f>IF('Extraction edi'!M13="","",'Extraction edi'!M13)</f>
        <v>ALU blanc</v>
      </c>
      <c r="I10" s="1">
        <f>IF('Extraction edi'!N13="","",'Extraction edi'!N13)</f>
        <v>28</v>
      </c>
      <c r="J10" s="1">
        <f>IF('Extraction edi'!O13="","",'Extraction edi'!O13)</f>
        <v>911</v>
      </c>
      <c r="K10" s="1" t="str">
        <f>IF('Extraction edi'!P13="","",'Extraction edi'!P13)</f>
        <v xml:space="preserve">  376</v>
      </c>
      <c r="L10" s="1" t="str">
        <f>IF('Extraction edi'!Q13="laquage RAL :","OUI","")</f>
        <v>OUI</v>
      </c>
      <c r="M10" s="1" t="str">
        <f>IF('Extraction edi'!R13&lt;&gt;"",'Extraction edi'!R13,IF(G10="ALU blanc","S9016",""))</f>
        <v>S9016</v>
      </c>
      <c r="N10" s="1" t="str">
        <f>IF('Extraction edi'!S13&lt;&gt;"",'Extraction edi'!S13,IF(G10="ALU blanc","S9016",""))</f>
        <v>S9016</v>
      </c>
      <c r="O10" s="11">
        <v>45919</v>
      </c>
    </row>
    <row r="11" spans="1:15" x14ac:dyDescent="0.25">
      <c r="A11" s="1" t="str">
        <f>IF(B11="","",CONCATENATE(B11,".",C11,"/Pos ",D11,"/",'Extraction edi'!G14))</f>
        <v>2511843.HO0/Pos 2/TEX</v>
      </c>
      <c r="B11" s="1" t="str">
        <f>IF('Extraction edi'!A14="","",'Extraction edi'!A14)</f>
        <v>2511843</v>
      </c>
      <c r="C11" s="1" t="str">
        <f>IF('Extraction edi'!B14="","",'Extraction edi'!B14)</f>
        <v>HO0</v>
      </c>
      <c r="D11" s="1">
        <f>IF('Extraction edi'!H14="","",'Extraction edi'!H14)</f>
        <v>2</v>
      </c>
      <c r="E11" s="1">
        <f>IF('Extraction edi'!I14="","",'Extraction edi'!I14)</f>
        <v>1</v>
      </c>
      <c r="F11" t="str">
        <f>IF('Extraction edi'!K14="","",'Extraction edi'!K14)</f>
        <v>Type 1 A / modèle 451</v>
      </c>
      <c r="G11" t="str">
        <f>IF('Extraction edi'!L14="","",'Extraction edi'!L14)</f>
        <v>ALU blanc</v>
      </c>
      <c r="H11" t="str">
        <f>IF('Extraction edi'!M14="","",'Extraction edi'!M14)</f>
        <v>ALU blanc</v>
      </c>
      <c r="I11" s="1">
        <f>IF('Extraction edi'!N14="","",'Extraction edi'!N14)</f>
        <v>28</v>
      </c>
      <c r="J11" s="1">
        <f>IF('Extraction edi'!O14="","",'Extraction edi'!O14)</f>
        <v>911</v>
      </c>
      <c r="K11" s="1" t="str">
        <f>IF('Extraction edi'!P14="","",'Extraction edi'!P14)</f>
        <v xml:space="preserve">  336</v>
      </c>
      <c r="L11" s="1" t="str">
        <f>IF('Extraction edi'!Q14="laquage RAL :","OUI","")</f>
        <v>OUI</v>
      </c>
      <c r="M11" s="1" t="str">
        <f>IF('Extraction edi'!R14&lt;&gt;"",'Extraction edi'!R14,IF(G11="ALU blanc","S9016",""))</f>
        <v>S9016</v>
      </c>
      <c r="N11" s="1" t="str">
        <f>IF('Extraction edi'!S14&lt;&gt;"",'Extraction edi'!S14,IF(G11="ALU blanc","S9016",""))</f>
        <v>S9016</v>
      </c>
      <c r="O11" s="11">
        <v>45920</v>
      </c>
    </row>
    <row r="12" spans="1:15" x14ac:dyDescent="0.25">
      <c r="A12" s="1" t="str">
        <f>IF(B12="","",CONCATENATE(B12,".",C12,"/Pos ",D12,"/",'Extraction edi'!G15))</f>
        <v>2511847.Z01/Pos 1/STD</v>
      </c>
      <c r="B12" s="1" t="str">
        <f>IF('Extraction edi'!A15="","",'Extraction edi'!A15)</f>
        <v>2511847</v>
      </c>
      <c r="C12" s="1" t="str">
        <f>IF('Extraction edi'!B15="","",'Extraction edi'!B15)</f>
        <v>Z01</v>
      </c>
      <c r="D12" s="1">
        <f>IF('Extraction edi'!H15="","",'Extraction edi'!H15)</f>
        <v>1</v>
      </c>
      <c r="E12" s="1">
        <f>IF('Extraction edi'!I15="","",'Extraction edi'!I15)</f>
        <v>1</v>
      </c>
      <c r="F12" t="str">
        <f>IF('Extraction edi'!K15="","",'Extraction edi'!K15)</f>
        <v>Type 1 A / modèle 451</v>
      </c>
      <c r="G12" t="str">
        <f>IF('Extraction edi'!L15="","",'Extraction edi'!L15)</f>
        <v>Plaxé chêne irlandais / 3211 005-148</v>
      </c>
      <c r="H12" t="str">
        <f>IF('Extraction edi'!M15="","",'Extraction edi'!M15)</f>
        <v>ALU blanc</v>
      </c>
      <c r="I12" s="1">
        <f>IF('Extraction edi'!N15="","",'Extraction edi'!N15)</f>
        <v>28</v>
      </c>
      <c r="J12" s="1">
        <f>IF('Extraction edi'!O15="","",'Extraction edi'!O15)</f>
        <v>1164</v>
      </c>
      <c r="K12" s="1" t="str">
        <f>IF('Extraction edi'!P15="","",'Extraction edi'!P15)</f>
        <v xml:space="preserve">  237</v>
      </c>
      <c r="L12" s="1" t="str">
        <f>IF('Extraction edi'!Q15="laquage RAL :","OUI","")</f>
        <v>OUI</v>
      </c>
      <c r="M12" s="1" t="str">
        <f>IF('Extraction edi'!R15&lt;&gt;"",'Extraction edi'!R15,IF(G12="ALU blanc","S9016",""))</f>
        <v/>
      </c>
      <c r="N12" s="1" t="str">
        <f>IF('Extraction edi'!S15&lt;&gt;"",'Extraction edi'!S15,IF(G12="ALU blanc","S9016",""))</f>
        <v>S3009</v>
      </c>
      <c r="O12" s="11">
        <v>45921</v>
      </c>
    </row>
    <row r="13" spans="1:15" x14ac:dyDescent="0.25">
      <c r="A13" s="1" t="str">
        <f>IF(B13="","",CONCATENATE(B13,".",C13,"/Pos ",D13,"/",'Extraction edi'!G16))</f>
        <v>2511847.Z01/Pos 1/STD</v>
      </c>
      <c r="B13" s="1" t="str">
        <f>IF('Extraction edi'!A16="","",'Extraction edi'!A16)</f>
        <v>2511847</v>
      </c>
      <c r="C13" s="1" t="str">
        <f>IF('Extraction edi'!B16="","",'Extraction edi'!B16)</f>
        <v>Z01</v>
      </c>
      <c r="D13" s="1">
        <f>IF('Extraction edi'!H16="","",'Extraction edi'!H16)</f>
        <v>1</v>
      </c>
      <c r="E13" s="1">
        <f>IF('Extraction edi'!I16="","",'Extraction edi'!I16)</f>
        <v>1</v>
      </c>
      <c r="F13" t="str">
        <f>IF('Extraction edi'!K16="","",'Extraction edi'!K16)</f>
        <v>Type 1 A / modèle 451</v>
      </c>
      <c r="G13" t="str">
        <f>IF('Extraction edi'!L16="","",'Extraction edi'!L16)</f>
        <v>Plaxé chêne irlandais / 3211 005-148</v>
      </c>
      <c r="H13" t="str">
        <f>IF('Extraction edi'!M16="","",'Extraction edi'!M16)</f>
        <v>ALU blanc</v>
      </c>
      <c r="I13" s="1">
        <f>IF('Extraction edi'!N16="","",'Extraction edi'!N16)</f>
        <v>28</v>
      </c>
      <c r="J13" s="1">
        <f>IF('Extraction edi'!O16="","",'Extraction edi'!O16)</f>
        <v>1164</v>
      </c>
      <c r="K13" s="1" t="str">
        <f>IF('Extraction edi'!P16="","",'Extraction edi'!P16)</f>
        <v xml:space="preserve">  237</v>
      </c>
      <c r="L13" s="1" t="str">
        <f>IF('Extraction edi'!Q16="laquage RAL :","OUI","")</f>
        <v>OUI</v>
      </c>
      <c r="M13" s="1" t="str">
        <f>IF('Extraction edi'!R16&lt;&gt;"",'Extraction edi'!R16,IF(G13="ALU blanc","S9016",""))</f>
        <v/>
      </c>
      <c r="N13" s="1" t="str">
        <f>IF('Extraction edi'!S16&lt;&gt;"",'Extraction edi'!S16,IF(G13="ALU blanc","S9016",""))</f>
        <v>S3009</v>
      </c>
      <c r="O13" s="11">
        <v>45922</v>
      </c>
    </row>
    <row r="14" spans="1:15" x14ac:dyDescent="0.25">
      <c r="A14" s="1" t="str">
        <f>IF(B14="","",CONCATENATE(B14,".",C14,"/Pos ",D14,"/",'Extraction edi'!G17))</f>
        <v>2508656.HP2/Pos 1/PE</v>
      </c>
      <c r="B14" s="1" t="str">
        <f>IF('Extraction edi'!A17="","",'Extraction edi'!A17)</f>
        <v>2508656</v>
      </c>
      <c r="C14" s="1" t="str">
        <f>IF('Extraction edi'!B17="","",'Extraction edi'!B17)</f>
        <v>HP2</v>
      </c>
      <c r="D14" s="1">
        <f>IF('Extraction edi'!H17="","",'Extraction edi'!H17)</f>
        <v>1</v>
      </c>
      <c r="E14" s="1">
        <f>IF('Extraction edi'!I17="","",'Extraction edi'!I17)</f>
        <v>1</v>
      </c>
      <c r="F14" t="str">
        <f>IF('Extraction edi'!K17="","",'Extraction edi'!K17)</f>
        <v>Type 1 A / modèle 451</v>
      </c>
      <c r="G14" t="str">
        <f>IF('Extraction edi'!L17="","",'Extraction edi'!L17)</f>
        <v>ALU blanc</v>
      </c>
      <c r="H14" t="str">
        <f>IF('Extraction edi'!M17="","",'Extraction edi'!M17)</f>
        <v>ALU blanc</v>
      </c>
      <c r="I14" s="1">
        <f>IF('Extraction edi'!N17="","",'Extraction edi'!N17)</f>
        <v>28</v>
      </c>
      <c r="J14" s="1">
        <f>IF('Extraction edi'!O17="","",'Extraction edi'!O17)</f>
        <v>768</v>
      </c>
      <c r="K14" s="1" t="str">
        <f>IF('Extraction edi'!P17="","",'Extraction edi'!P17)</f>
        <v xml:space="preserve">  886</v>
      </c>
      <c r="L14" s="1" t="str">
        <f>IF('Extraction edi'!Q17="laquage RAL :","OUI","")</f>
        <v>OUI</v>
      </c>
      <c r="M14" s="1" t="str">
        <f>IF('Extraction edi'!R17&lt;&gt;"",'Extraction edi'!R17,IF(G14="ALU blanc","S9016",""))</f>
        <v>G9005</v>
      </c>
      <c r="N14" s="1" t="str">
        <f>IF('Extraction edi'!S17&lt;&gt;"",'Extraction edi'!S17,IF(G14="ALU blanc","S9016",""))</f>
        <v>G9005</v>
      </c>
      <c r="O14" s="11">
        <v>45923</v>
      </c>
    </row>
    <row r="15" spans="1:15" x14ac:dyDescent="0.25">
      <c r="A15" s="1" t="str">
        <f>IF(B15="","",CONCATENATE(B15,".",C15,"/Pos ",D15,"/",'Extraction edi'!G18))</f>
        <v>2510413.XP0/Pos 1/PE</v>
      </c>
      <c r="B15" s="1" t="str">
        <f>IF('Extraction edi'!A18="","",'Extraction edi'!A18)</f>
        <v>2510413</v>
      </c>
      <c r="C15" s="1" t="str">
        <f>IF('Extraction edi'!B18="","",'Extraction edi'!B18)</f>
        <v>XP0</v>
      </c>
      <c r="D15" s="1">
        <f>IF('Extraction edi'!H18="","",'Extraction edi'!H18)</f>
        <v>1</v>
      </c>
      <c r="E15" s="1">
        <f>IF('Extraction edi'!I18="","",'Extraction edi'!I18)</f>
        <v>1</v>
      </c>
      <c r="F15" t="str">
        <f>IF('Extraction edi'!K18="","",'Extraction edi'!K18)</f>
        <v>Type 5 / modèle 450</v>
      </c>
      <c r="G15" t="str">
        <f>IF('Extraction edi'!L18="","",'Extraction edi'!L18)</f>
        <v>Plaxé gris anthracite mat lisse/F4366003</v>
      </c>
      <c r="H15" t="str">
        <f>IF('Extraction edi'!M18="","",'Extraction edi'!M18)</f>
        <v>Plaxé gris anthracite mat lisse/F4366003</v>
      </c>
      <c r="I15" s="1">
        <f>IF('Extraction edi'!N18="","",'Extraction edi'!N18)</f>
        <v>28</v>
      </c>
      <c r="J15" s="1">
        <f>IF('Extraction edi'!O18="","",'Extraction edi'!O18)</f>
        <v>789</v>
      </c>
      <c r="K15" s="1" t="str">
        <f>IF('Extraction edi'!P18="","",'Extraction edi'!P18)</f>
        <v xml:space="preserve">  1960</v>
      </c>
      <c r="L15" s="1" t="str">
        <f>IF('Extraction edi'!Q18="laquage RAL :","OUI","")</f>
        <v/>
      </c>
      <c r="M15" s="1" t="str">
        <f>IF('Extraction edi'!R18&lt;&gt;"",'Extraction edi'!R18,IF(G15="ALU blanc","S9016",""))</f>
        <v/>
      </c>
      <c r="N15" s="1" t="str">
        <f>IF('Extraction edi'!S18&lt;&gt;"",'Extraction edi'!S18,IF(G15="ALU blanc","S9016",""))</f>
        <v/>
      </c>
      <c r="O15" s="11">
        <v>45924</v>
      </c>
    </row>
    <row r="16" spans="1:15" x14ac:dyDescent="0.25">
      <c r="A16" s="1" t="str">
        <f>IF(B16="","",CONCATENATE(B16,".",C16,"/Pos ",D16,"/",'Extraction edi'!G19))</f>
        <v>2510416.XP0/Pos 1/PE</v>
      </c>
      <c r="B16" s="1" t="str">
        <f>IF('Extraction edi'!A19="","",'Extraction edi'!A19)</f>
        <v>2510416</v>
      </c>
      <c r="C16" s="1" t="str">
        <f>IF('Extraction edi'!B19="","",'Extraction edi'!B19)</f>
        <v>XP0</v>
      </c>
      <c r="D16" s="1">
        <f>IF('Extraction edi'!H19="","",'Extraction edi'!H19)</f>
        <v>1</v>
      </c>
      <c r="E16" s="1">
        <f>IF('Extraction edi'!I19="","",'Extraction edi'!I19)</f>
        <v>1</v>
      </c>
      <c r="F16" t="str">
        <f>IF('Extraction edi'!K19="","",'Extraction edi'!K19)</f>
        <v>Type 5 / modèle 450</v>
      </c>
      <c r="G16" t="str">
        <f>IF('Extraction edi'!L19="","",'Extraction edi'!L19)</f>
        <v>Plaxé gris anthracite mat lisse/F4366003</v>
      </c>
      <c r="H16" t="str">
        <f>IF('Extraction edi'!M19="","",'Extraction edi'!M19)</f>
        <v>Plaxé gris anthracite mat lisse/F4366003</v>
      </c>
      <c r="I16" s="1">
        <f>IF('Extraction edi'!N19="","",'Extraction edi'!N19)</f>
        <v>28</v>
      </c>
      <c r="J16" s="1">
        <f>IF('Extraction edi'!O19="","",'Extraction edi'!O19)</f>
        <v>789</v>
      </c>
      <c r="K16" s="1" t="str">
        <f>IF('Extraction edi'!P19="","",'Extraction edi'!P19)</f>
        <v xml:space="preserve">  1960</v>
      </c>
      <c r="L16" s="1" t="str">
        <f>IF('Extraction edi'!Q19="laquage RAL :","OUI","")</f>
        <v/>
      </c>
      <c r="M16" s="1" t="str">
        <f>IF('Extraction edi'!R19&lt;&gt;"",'Extraction edi'!R19,IF(G16="ALU blanc","S9016",""))</f>
        <v/>
      </c>
      <c r="N16" s="1" t="str">
        <f>IF('Extraction edi'!S19&lt;&gt;"",'Extraction edi'!S19,IF(G16="ALU blanc","S9016",""))</f>
        <v/>
      </c>
      <c r="O16" s="11">
        <v>45925</v>
      </c>
    </row>
    <row r="17" spans="1:16" x14ac:dyDescent="0.25">
      <c r="A17" s="1" t="str">
        <f>IF(B17="","",CONCATENATE(B17,".",C17,"/Pos ",D17,"/",'Extraction edi'!G20))</f>
        <v>2510419.XP0/Pos 1/PE</v>
      </c>
      <c r="B17" s="1" t="str">
        <f>IF('Extraction edi'!A20="","",'Extraction edi'!A20)</f>
        <v>2510419</v>
      </c>
      <c r="C17" s="1" t="str">
        <f>IF('Extraction edi'!B20="","",'Extraction edi'!B20)</f>
        <v>XP0</v>
      </c>
      <c r="D17" s="1">
        <f>IF('Extraction edi'!H20="","",'Extraction edi'!H20)</f>
        <v>1</v>
      </c>
      <c r="E17" s="1">
        <f>IF('Extraction edi'!I20="","",'Extraction edi'!I20)</f>
        <v>1</v>
      </c>
      <c r="F17" t="str">
        <f>IF('Extraction edi'!K20="","",'Extraction edi'!K20)</f>
        <v>Type 5 / modèle 450</v>
      </c>
      <c r="G17" t="str">
        <f>IF('Extraction edi'!L20="","",'Extraction edi'!L20)</f>
        <v>Plaxé gris anthracite mat lisse/F4366003</v>
      </c>
      <c r="H17" t="str">
        <f>IF('Extraction edi'!M20="","",'Extraction edi'!M20)</f>
        <v>Plaxé gris anthracite mat lisse/F4366003</v>
      </c>
      <c r="I17" s="1">
        <f>IF('Extraction edi'!N20="","",'Extraction edi'!N20)</f>
        <v>28</v>
      </c>
      <c r="J17" s="1">
        <f>IF('Extraction edi'!O20="","",'Extraction edi'!O20)</f>
        <v>789</v>
      </c>
      <c r="K17" s="1" t="str">
        <f>IF('Extraction edi'!P20="","",'Extraction edi'!P20)</f>
        <v xml:space="preserve">  1960</v>
      </c>
      <c r="L17" s="1" t="str">
        <f>IF('Extraction edi'!Q20="laquage RAL :","OUI","")</f>
        <v/>
      </c>
      <c r="M17" s="1" t="str">
        <f>IF('Extraction edi'!R20&lt;&gt;"",'Extraction edi'!R20,IF(G17="ALU blanc","S9016",""))</f>
        <v/>
      </c>
      <c r="N17" s="1" t="str">
        <f>IF('Extraction edi'!S20&lt;&gt;"",'Extraction edi'!S20,IF(G17="ALU blanc","S9016",""))</f>
        <v/>
      </c>
      <c r="O17" s="11">
        <v>45926</v>
      </c>
    </row>
    <row r="18" spans="1:16" x14ac:dyDescent="0.25">
      <c r="A18" s="1" t="str">
        <f>IF(B18="","",CONCATENATE(B18,".",C18,"/Pos ",D18,"/",'Extraction edi'!G21))</f>
        <v>2510489.HP0/Pos 1/PE</v>
      </c>
      <c r="B18" s="1" t="str">
        <f>IF('Extraction edi'!A21="","",'Extraction edi'!A21)</f>
        <v>2510489</v>
      </c>
      <c r="C18" s="1" t="str">
        <f>IF('Extraction edi'!B21="","",'Extraction edi'!B21)</f>
        <v>HP0</v>
      </c>
      <c r="D18" s="1">
        <f>IF('Extraction edi'!H21="","",'Extraction edi'!H21)</f>
        <v>1</v>
      </c>
      <c r="E18" s="1">
        <f>IF('Extraction edi'!I21="","",'Extraction edi'!I21)</f>
        <v>1</v>
      </c>
      <c r="F18" t="str">
        <f>IF('Extraction edi'!K21="","",'Extraction edi'!K21)</f>
        <v>Type 1 A / modèle 451</v>
      </c>
      <c r="G18" t="str">
        <f>IF('Extraction edi'!L21="","",'Extraction edi'!L21)</f>
        <v>ALU blanc</v>
      </c>
      <c r="H18" t="str">
        <f>IF('Extraction edi'!M21="","",'Extraction edi'!M21)</f>
        <v>ALU blanc</v>
      </c>
      <c r="I18" s="1">
        <f>IF('Extraction edi'!N21="","",'Extraction edi'!N21)</f>
        <v>28</v>
      </c>
      <c r="J18" s="1">
        <f>IF('Extraction edi'!O21="","",'Extraction edi'!O21)</f>
        <v>713</v>
      </c>
      <c r="K18" s="1" t="str">
        <f>IF('Extraction edi'!P21="","",'Extraction edi'!P21)</f>
        <v xml:space="preserve">  766</v>
      </c>
      <c r="L18" s="1" t="str">
        <f>IF('Extraction edi'!Q21="laquage RAL :","OUI","")</f>
        <v>OUI</v>
      </c>
      <c r="M18" s="1" t="str">
        <f>IF('Extraction edi'!R21&lt;&gt;"",'Extraction edi'!R21,IF(G18="ALU blanc","S9016",""))</f>
        <v>S9016</v>
      </c>
      <c r="N18" s="1" t="str">
        <f>IF('Extraction edi'!S21&lt;&gt;"",'Extraction edi'!S21,IF(G18="ALU blanc","S9016",""))</f>
        <v>S9016</v>
      </c>
      <c r="O18" s="11">
        <v>45927</v>
      </c>
    </row>
    <row r="19" spans="1:16" x14ac:dyDescent="0.25">
      <c r="A19" s="1" t="str">
        <f>IF(B19="","",CONCATENATE(B19,".",C19,"/Pos ",D19,"/",'Extraction edi'!G22))</f>
        <v>2510912.XP0/Pos 1/PE</v>
      </c>
      <c r="B19" s="1" t="str">
        <f>IF('Extraction edi'!A22="","",'Extraction edi'!A22)</f>
        <v>2510912</v>
      </c>
      <c r="C19" s="1" t="str">
        <f>IF('Extraction edi'!B22="","",'Extraction edi'!B22)</f>
        <v>XP0</v>
      </c>
      <c r="D19" s="1">
        <f>IF('Extraction edi'!H22="","",'Extraction edi'!H22)</f>
        <v>1</v>
      </c>
      <c r="E19" s="1">
        <f>IF('Extraction edi'!I22="","",'Extraction edi'!I22)</f>
        <v>1</v>
      </c>
      <c r="F19" t="str">
        <f>IF('Extraction edi'!K22="","",'Extraction edi'!K22)</f>
        <v>Type 5 / modèle 450</v>
      </c>
      <c r="G19" t="str">
        <f>IF('Extraction edi'!L22="","",'Extraction edi'!L22)</f>
        <v>PVC blanc</v>
      </c>
      <c r="H19" t="str">
        <f>IF('Extraction edi'!M22="","",'Extraction edi'!M22)</f>
        <v>Plaxé gris anthracite mat lisse/F4366003</v>
      </c>
      <c r="I19" s="1">
        <f>IF('Extraction edi'!N22="","",'Extraction edi'!N22)</f>
        <v>28</v>
      </c>
      <c r="J19" s="1">
        <f>IF('Extraction edi'!O22="","",'Extraction edi'!O22)</f>
        <v>629</v>
      </c>
      <c r="K19" s="1" t="str">
        <f>IF('Extraction edi'!P22="","",'Extraction edi'!P22)</f>
        <v xml:space="preserve">  860</v>
      </c>
      <c r="L19" s="1" t="str">
        <f>IF('Extraction edi'!Q22="laquage RAL :","OUI","")</f>
        <v/>
      </c>
      <c r="M19" s="1" t="str">
        <f>IF('Extraction edi'!R22&lt;&gt;"",'Extraction edi'!R22,IF(G19="ALU blanc","S9016",""))</f>
        <v/>
      </c>
      <c r="N19" s="1" t="str">
        <f>IF('Extraction edi'!S22&lt;&gt;"",'Extraction edi'!S22,IF(G19="ALU blanc","S9016",""))</f>
        <v/>
      </c>
      <c r="O19" s="11">
        <v>45928</v>
      </c>
    </row>
    <row r="20" spans="1:16" x14ac:dyDescent="0.25">
      <c r="A20" s="1" t="str">
        <f>IF(B20="","",CONCATENATE(B20,".",C20,"/Pos ",D20,"/",'Extraction edi'!G23))</f>
        <v>2511217.XP0/Pos 1/PE</v>
      </c>
      <c r="B20" s="1" t="str">
        <f>IF('Extraction edi'!A23="","",'Extraction edi'!A23)</f>
        <v>2511217</v>
      </c>
      <c r="C20" s="1" t="str">
        <f>IF('Extraction edi'!B23="","",'Extraction edi'!B23)</f>
        <v>XP0</v>
      </c>
      <c r="D20" s="1">
        <f>IF('Extraction edi'!H23="","",'Extraction edi'!H23)</f>
        <v>1</v>
      </c>
      <c r="E20" s="1">
        <f>IF('Extraction edi'!I23="","",'Extraction edi'!I23)</f>
        <v>1</v>
      </c>
      <c r="F20" t="str">
        <f>IF('Extraction edi'!K23="","",'Extraction edi'!K23)</f>
        <v>Type 1 / modèle 451</v>
      </c>
      <c r="G20" t="str">
        <f>IF('Extraction edi'!L23="","",'Extraction edi'!L23)</f>
        <v>PVC blanc</v>
      </c>
      <c r="H20" t="str">
        <f>IF('Extraction edi'!M23="","",'Extraction edi'!M23)</f>
        <v>Plaxé gris anthracite mat lisse/F4366003</v>
      </c>
      <c r="I20" s="1">
        <f>IF('Extraction edi'!N23="","",'Extraction edi'!N23)</f>
        <v>28</v>
      </c>
      <c r="J20" s="1">
        <f>IF('Extraction edi'!O23="","",'Extraction edi'!O23)</f>
        <v>590</v>
      </c>
      <c r="K20" s="1" t="str">
        <f>IF('Extraction edi'!P23="","",'Extraction edi'!P23)</f>
        <v xml:space="preserve">  860</v>
      </c>
      <c r="L20" s="1" t="str">
        <f>IF('Extraction edi'!Q23="laquage RAL :","OUI","")</f>
        <v/>
      </c>
      <c r="M20" s="1" t="str">
        <f>IF('Extraction edi'!R23&lt;&gt;"",'Extraction edi'!R23,IF(G20="ALU blanc","S9016",""))</f>
        <v/>
      </c>
      <c r="N20" s="1" t="str">
        <f>IF('Extraction edi'!S23&lt;&gt;"",'Extraction edi'!S23,IF(G20="ALU blanc","S9016",""))</f>
        <v/>
      </c>
      <c r="O20" s="11">
        <v>45929</v>
      </c>
      <c r="P20" s="1">
        <f t="shared" ref="P20:P61" si="0">WEEKDAY(O20,2)</f>
        <v>1</v>
      </c>
    </row>
    <row r="21" spans="1:16" x14ac:dyDescent="0.25">
      <c r="A21" s="1" t="str">
        <f>IF(B21="","",CONCATENATE(B21,".",C21,"/Pos ",D21,"/",'Extraction edi'!G24))</f>
        <v>2511271.HP0/Pos 1/PE</v>
      </c>
      <c r="B21" s="1" t="str">
        <f>IF('Extraction edi'!A24="","",'Extraction edi'!A24)</f>
        <v>2511271</v>
      </c>
      <c r="C21" s="1" t="str">
        <f>IF('Extraction edi'!B24="","",'Extraction edi'!B24)</f>
        <v>HP0</v>
      </c>
      <c r="D21" s="1">
        <f>IF('Extraction edi'!H24="","",'Extraction edi'!H24)</f>
        <v>1</v>
      </c>
      <c r="E21" s="1">
        <f>IF('Extraction edi'!I24="","",'Extraction edi'!I24)</f>
        <v>1</v>
      </c>
      <c r="F21" t="str">
        <f>IF('Extraction edi'!K24="","",'Extraction edi'!K24)</f>
        <v>Type 2 / modèle 871</v>
      </c>
      <c r="G21" t="str">
        <f>IF('Extraction edi'!L24="","",'Extraction edi'!L24)</f>
        <v>ALU blanc</v>
      </c>
      <c r="H21" t="str">
        <f>IF('Extraction edi'!M24="","",'Extraction edi'!M24)</f>
        <v>ALU blanc</v>
      </c>
      <c r="I21" s="1">
        <f>IF('Extraction edi'!N24="","",'Extraction edi'!N24)</f>
        <v>28</v>
      </c>
      <c r="J21" s="1">
        <f>IF('Extraction edi'!O24="","",'Extraction edi'!O24)</f>
        <v>621</v>
      </c>
      <c r="K21" s="1" t="str">
        <f>IF('Extraction edi'!P24="","",'Extraction edi'!P24)</f>
        <v xml:space="preserve">  230</v>
      </c>
      <c r="L21" s="1" t="str">
        <f>IF('Extraction edi'!Q24="laquage RAL :","OUI","")</f>
        <v>OUI</v>
      </c>
      <c r="M21" s="1" t="str">
        <f>IF('Extraction edi'!R24&lt;&gt;"",'Extraction edi'!R24,IF(G21="ALU blanc","S9016",""))</f>
        <v>S9016</v>
      </c>
      <c r="N21" s="1" t="str">
        <f>IF('Extraction edi'!S24&lt;&gt;"",'Extraction edi'!S24,IF(G21="ALU blanc","S9016",""))</f>
        <v>S9016</v>
      </c>
      <c r="O21" s="11">
        <v>45930</v>
      </c>
      <c r="P21" s="1">
        <f t="shared" si="0"/>
        <v>2</v>
      </c>
    </row>
    <row r="22" spans="1:16" x14ac:dyDescent="0.25">
      <c r="A22" s="1" t="str">
        <f>IF(B22="","",CONCATENATE(B22,".",C22,"/Pos ",D22,"/",'Extraction edi'!G25))</f>
        <v>2511271.HP0/Pos 1/PE</v>
      </c>
      <c r="B22" s="1" t="str">
        <f>IF('Extraction edi'!A25="","",'Extraction edi'!A25)</f>
        <v>2511271</v>
      </c>
      <c r="C22" s="1" t="str">
        <f>IF('Extraction edi'!B25="","",'Extraction edi'!B25)</f>
        <v>HP0</v>
      </c>
      <c r="D22" s="1">
        <f>IF('Extraction edi'!H25="","",'Extraction edi'!H25)</f>
        <v>1</v>
      </c>
      <c r="E22" s="1">
        <f>IF('Extraction edi'!I25="","",'Extraction edi'!I25)</f>
        <v>1</v>
      </c>
      <c r="F22" t="str">
        <f>IF('Extraction edi'!K25="","",'Extraction edi'!K25)</f>
        <v>Type 1 A / modèle 451</v>
      </c>
      <c r="G22" t="str">
        <f>IF('Extraction edi'!L25="","",'Extraction edi'!L25)</f>
        <v>ALU blanc</v>
      </c>
      <c r="H22" t="str">
        <f>IF('Extraction edi'!M25="","",'Extraction edi'!M25)</f>
        <v>ALU blanc</v>
      </c>
      <c r="I22" s="1">
        <f>IF('Extraction edi'!N25="","",'Extraction edi'!N25)</f>
        <v>28</v>
      </c>
      <c r="J22" s="1">
        <f>IF('Extraction edi'!O25="","",'Extraction edi'!O25)</f>
        <v>621</v>
      </c>
      <c r="K22" s="1" t="str">
        <f>IF('Extraction edi'!P25="","",'Extraction edi'!P25)</f>
        <v xml:space="preserve">  586</v>
      </c>
      <c r="L22" s="1" t="str">
        <f>IF('Extraction edi'!Q25="laquage RAL :","OUI","")</f>
        <v>OUI</v>
      </c>
      <c r="M22" s="1" t="str">
        <f>IF('Extraction edi'!R25&lt;&gt;"",'Extraction edi'!R25,IF(G22="ALU blanc","S9016",""))</f>
        <v>S9016</v>
      </c>
      <c r="N22" s="1" t="str">
        <f>IF('Extraction edi'!S25&lt;&gt;"",'Extraction edi'!S25,IF(G22="ALU blanc","S9016",""))</f>
        <v>S9016</v>
      </c>
      <c r="O22" s="11">
        <v>45931</v>
      </c>
      <c r="P22" s="1">
        <f t="shared" si="0"/>
        <v>3</v>
      </c>
    </row>
    <row r="23" spans="1:16" x14ac:dyDescent="0.25">
      <c r="A23" s="1" t="str">
        <f>IF(B23="","",CONCATENATE(B23,".",C23,"/Pos ",D23,"/",'Extraction edi'!G26))</f>
        <v>2511284.HP0/Pos 1/PE</v>
      </c>
      <c r="B23" s="1" t="str">
        <f>IF('Extraction edi'!A26="","",'Extraction edi'!A26)</f>
        <v>2511284</v>
      </c>
      <c r="C23" s="1" t="str">
        <f>IF('Extraction edi'!B26="","",'Extraction edi'!B26)</f>
        <v>HP0</v>
      </c>
      <c r="D23" s="1">
        <f>IF('Extraction edi'!H26="","",'Extraction edi'!H26)</f>
        <v>1</v>
      </c>
      <c r="E23" s="1">
        <f>IF('Extraction edi'!I26="","",'Extraction edi'!I26)</f>
        <v>1</v>
      </c>
      <c r="F23" t="str">
        <f>IF('Extraction edi'!K26="","",'Extraction edi'!K26)</f>
        <v>Type 1 A / modèle 451</v>
      </c>
      <c r="G23" t="str">
        <f>IF('Extraction edi'!L26="","",'Extraction edi'!L26)</f>
        <v>ALU blanc</v>
      </c>
      <c r="H23" t="str">
        <f>IF('Extraction edi'!M26="","",'Extraction edi'!M26)</f>
        <v>ALU blanc</v>
      </c>
      <c r="I23" s="1">
        <f>IF('Extraction edi'!N26="","",'Extraction edi'!N26)</f>
        <v>28</v>
      </c>
      <c r="J23" s="1">
        <f>IF('Extraction edi'!O26="","",'Extraction edi'!O26)</f>
        <v>589</v>
      </c>
      <c r="K23" s="1" t="str">
        <f>IF('Extraction edi'!P26="","",'Extraction edi'!P26)</f>
        <v xml:space="preserve">  607</v>
      </c>
      <c r="L23" s="1" t="str">
        <f>IF('Extraction edi'!Q26="laquage RAL :","OUI","")</f>
        <v>OUI</v>
      </c>
      <c r="M23" s="1" t="str">
        <f>IF('Extraction edi'!R26&lt;&gt;"",'Extraction edi'!R26,IF(G23="ALU blanc","S9016",""))</f>
        <v>S9016</v>
      </c>
      <c r="N23" s="1" t="str">
        <f>IF('Extraction edi'!S26&lt;&gt;"",'Extraction edi'!S26,IF(G23="ALU blanc","S9016",""))</f>
        <v>S9016</v>
      </c>
      <c r="O23" s="11">
        <v>45932</v>
      </c>
      <c r="P23" s="1">
        <f t="shared" si="0"/>
        <v>4</v>
      </c>
    </row>
    <row r="24" spans="1:16" x14ac:dyDescent="0.25">
      <c r="A24" s="1" t="str">
        <f>IF(B24="","",CONCATENATE(B24,".",C24,"/Pos ",D24,"/",'Extraction edi'!G27))</f>
        <v>2511284.HP0/Pos 1/PE</v>
      </c>
      <c r="B24" s="1" t="str">
        <f>IF('Extraction edi'!A27="","",'Extraction edi'!A27)</f>
        <v>2511284</v>
      </c>
      <c r="C24" s="1" t="str">
        <f>IF('Extraction edi'!B27="","",'Extraction edi'!B27)</f>
        <v>HP0</v>
      </c>
      <c r="D24" s="1">
        <f>IF('Extraction edi'!H27="","",'Extraction edi'!H27)</f>
        <v>1</v>
      </c>
      <c r="E24" s="1">
        <f>IF('Extraction edi'!I27="","",'Extraction edi'!I27)</f>
        <v>1</v>
      </c>
      <c r="F24" t="str">
        <f>IF('Extraction edi'!K27="","",'Extraction edi'!K27)</f>
        <v>Type 1 A / modèle 451</v>
      </c>
      <c r="G24" t="str">
        <f>IF('Extraction edi'!L27="","",'Extraction edi'!L27)</f>
        <v>ALU blanc</v>
      </c>
      <c r="H24" t="str">
        <f>IF('Extraction edi'!M27="","",'Extraction edi'!M27)</f>
        <v>ALU blanc</v>
      </c>
      <c r="I24" s="1">
        <f>IF('Extraction edi'!N27="","",'Extraction edi'!N27)</f>
        <v>28</v>
      </c>
      <c r="J24" s="1">
        <f>IF('Extraction edi'!O27="","",'Extraction edi'!O27)</f>
        <v>589</v>
      </c>
      <c r="K24" s="1" t="str">
        <f>IF('Extraction edi'!P27="","",'Extraction edi'!P27)</f>
        <v xml:space="preserve">  230</v>
      </c>
      <c r="L24" s="1" t="str">
        <f>IF('Extraction edi'!Q27="laquage RAL :","OUI","")</f>
        <v>OUI</v>
      </c>
      <c r="M24" s="1" t="str">
        <f>IF('Extraction edi'!R27&lt;&gt;"",'Extraction edi'!R27,IF(G24="ALU blanc","S9016",""))</f>
        <v>S9016</v>
      </c>
      <c r="N24" s="1" t="str">
        <f>IF('Extraction edi'!S27&lt;&gt;"",'Extraction edi'!S27,IF(G24="ALU blanc","S9016",""))</f>
        <v>S9016</v>
      </c>
      <c r="O24" s="11">
        <v>45933</v>
      </c>
      <c r="P24" s="1">
        <f t="shared" si="0"/>
        <v>5</v>
      </c>
    </row>
    <row r="25" spans="1:16" x14ac:dyDescent="0.25">
      <c r="A25" s="1" t="str">
        <f>IF(B25="","",CONCATENATE(B25,".",C25,"/Pos ",D25,"/",'Extraction edi'!G28))</f>
        <v>2511528.XP0/Pos 1/PE</v>
      </c>
      <c r="B25" s="1" t="str">
        <f>IF('Extraction edi'!A28="","",'Extraction edi'!A28)</f>
        <v>2511528</v>
      </c>
      <c r="C25" s="1" t="str">
        <f>IF('Extraction edi'!B28="","",'Extraction edi'!B28)</f>
        <v>XP0</v>
      </c>
      <c r="D25" s="1">
        <f>IF('Extraction edi'!H28="","",'Extraction edi'!H28)</f>
        <v>1</v>
      </c>
      <c r="E25" s="1">
        <f>IF('Extraction edi'!I28="","",'Extraction edi'!I28)</f>
        <v>1</v>
      </c>
      <c r="F25" t="str">
        <f>IF('Extraction edi'!K28="","",'Extraction edi'!K28)</f>
        <v>Type 1 / modèle 451</v>
      </c>
      <c r="G25" t="str">
        <f>IF('Extraction edi'!L28="","",'Extraction edi'!L28)</f>
        <v>PVC blanc</v>
      </c>
      <c r="H25" t="str">
        <f>IF('Extraction edi'!M28="","",'Extraction edi'!M28)</f>
        <v>Plaxé gris anthracite mat lisse/F4366003</v>
      </c>
      <c r="I25" s="1">
        <f>IF('Extraction edi'!N28="","",'Extraction edi'!N28)</f>
        <v>28</v>
      </c>
      <c r="J25" s="1">
        <f>IF('Extraction edi'!O28="","",'Extraction edi'!O28)</f>
        <v>348</v>
      </c>
      <c r="K25" s="1" t="str">
        <f>IF('Extraction edi'!P28="","",'Extraction edi'!P28)</f>
        <v xml:space="preserve">  881</v>
      </c>
      <c r="L25" s="1" t="str">
        <f>IF('Extraction edi'!Q28="laquage RAL :","OUI","")</f>
        <v/>
      </c>
      <c r="M25" s="1" t="str">
        <f>IF('Extraction edi'!R28&lt;&gt;"",'Extraction edi'!R28,IF(G25="ALU blanc","S9016",""))</f>
        <v/>
      </c>
      <c r="N25" s="1" t="str">
        <f>IF('Extraction edi'!S28&lt;&gt;"",'Extraction edi'!S28,IF(G25="ALU blanc","S9016",""))</f>
        <v/>
      </c>
      <c r="O25" s="11">
        <v>45934</v>
      </c>
      <c r="P25" s="1">
        <f t="shared" si="0"/>
        <v>6</v>
      </c>
    </row>
    <row r="26" spans="1:16" x14ac:dyDescent="0.25">
      <c r="A26" s="1" t="str">
        <f>IF(B26="","",CONCATENATE(B26,".",C26,"/Pos ",D26,"/",'Extraction edi'!G29))</f>
        <v>2511528.XP0/Pos 1/PE</v>
      </c>
      <c r="B26" s="1" t="str">
        <f>IF('Extraction edi'!A29="","",'Extraction edi'!A29)</f>
        <v>2511528</v>
      </c>
      <c r="C26" s="1" t="str">
        <f>IF('Extraction edi'!B29="","",'Extraction edi'!B29)</f>
        <v>XP0</v>
      </c>
      <c r="D26" s="1">
        <f>IF('Extraction edi'!H29="","",'Extraction edi'!H29)</f>
        <v>1</v>
      </c>
      <c r="E26" s="1">
        <f>IF('Extraction edi'!I29="","",'Extraction edi'!I29)</f>
        <v>1</v>
      </c>
      <c r="F26" t="str">
        <f>IF('Extraction edi'!K29="","",'Extraction edi'!K29)</f>
        <v>Type 1 / modèle 451</v>
      </c>
      <c r="G26" t="str">
        <f>IF('Extraction edi'!L29="","",'Extraction edi'!L29)</f>
        <v>PVC blanc</v>
      </c>
      <c r="H26" t="str">
        <f>IF('Extraction edi'!M29="","",'Extraction edi'!M29)</f>
        <v>Plaxé gris anthracite mat lisse/F4366003</v>
      </c>
      <c r="I26" s="1">
        <f>IF('Extraction edi'!N29="","",'Extraction edi'!N29)</f>
        <v>28</v>
      </c>
      <c r="J26" s="1">
        <f>IF('Extraction edi'!O29="","",'Extraction edi'!O29)</f>
        <v>348</v>
      </c>
      <c r="K26" s="1" t="str">
        <f>IF('Extraction edi'!P29="","",'Extraction edi'!P29)</f>
        <v xml:space="preserve">  881</v>
      </c>
      <c r="L26" s="1" t="str">
        <f>IF('Extraction edi'!Q29="laquage RAL :","OUI","")</f>
        <v/>
      </c>
      <c r="M26" s="1" t="str">
        <f>IF('Extraction edi'!R29&lt;&gt;"",'Extraction edi'!R29,IF(G26="ALU blanc","S9016",""))</f>
        <v/>
      </c>
      <c r="N26" s="1" t="str">
        <f>IF('Extraction edi'!S29&lt;&gt;"",'Extraction edi'!S29,IF(G26="ALU blanc","S9016",""))</f>
        <v/>
      </c>
      <c r="O26" s="11">
        <v>45935</v>
      </c>
      <c r="P26" s="1">
        <f t="shared" si="0"/>
        <v>7</v>
      </c>
    </row>
    <row r="27" spans="1:16" x14ac:dyDescent="0.25">
      <c r="A27" s="1" t="str">
        <f>IF(B27="","",CONCATENATE(B27,".",C27,"/Pos ",D27,"/",'Extraction edi'!G30))</f>
        <v>2511688.HP0/Pos 1/PE</v>
      </c>
      <c r="B27" s="1" t="str">
        <f>IF('Extraction edi'!A30="","",'Extraction edi'!A30)</f>
        <v>2511688</v>
      </c>
      <c r="C27" s="1" t="str">
        <f>IF('Extraction edi'!B30="","",'Extraction edi'!B30)</f>
        <v>HP0</v>
      </c>
      <c r="D27" s="1">
        <f>IF('Extraction edi'!H30="","",'Extraction edi'!H30)</f>
        <v>1</v>
      </c>
      <c r="E27" s="1">
        <f>IF('Extraction edi'!I30="","",'Extraction edi'!I30)</f>
        <v>1</v>
      </c>
      <c r="F27" t="str">
        <f>IF('Extraction edi'!K30="","",'Extraction edi'!K30)</f>
        <v>Type 1 / modèle 451</v>
      </c>
      <c r="G27" t="str">
        <f>IF('Extraction edi'!L30="","",'Extraction edi'!L30)</f>
        <v>PVC blanc</v>
      </c>
      <c r="H27" t="str">
        <f>IF('Extraction edi'!M30="","",'Extraction edi'!M30)</f>
        <v>PVC blanc</v>
      </c>
      <c r="I27" s="1">
        <f>IF('Extraction edi'!N30="","",'Extraction edi'!N30)</f>
        <v>28</v>
      </c>
      <c r="J27" s="1">
        <f>IF('Extraction edi'!O30="","",'Extraction edi'!O30)</f>
        <v>713</v>
      </c>
      <c r="K27" s="1" t="str">
        <f>IF('Extraction edi'!P30="","",'Extraction edi'!P30)</f>
        <v xml:space="preserve">  786</v>
      </c>
      <c r="L27" s="1" t="str">
        <f>IF('Extraction edi'!Q30="laquage RAL :","OUI","")</f>
        <v/>
      </c>
      <c r="M27" s="1" t="str">
        <f>IF('Extraction edi'!R30&lt;&gt;"",'Extraction edi'!R30,IF(G27="ALU blanc","S9016",""))</f>
        <v/>
      </c>
      <c r="N27" s="1" t="str">
        <f>IF('Extraction edi'!S30&lt;&gt;"",'Extraction edi'!S30,IF(G27="ALU blanc","S9016",""))</f>
        <v/>
      </c>
      <c r="O27" s="11">
        <v>45936</v>
      </c>
      <c r="P27" s="1">
        <f t="shared" si="0"/>
        <v>1</v>
      </c>
    </row>
    <row r="28" spans="1:16" x14ac:dyDescent="0.25">
      <c r="A28" s="1" t="str">
        <f>IF(B28="","",CONCATENATE(B28,".",C28,"/Pos ",D28,"/",'Extraction edi'!G31))</f>
        <v>2511775.HP2/Pos 1/PE</v>
      </c>
      <c r="B28" s="1" t="str">
        <f>IF('Extraction edi'!A31="","",'Extraction edi'!A31)</f>
        <v>2511775</v>
      </c>
      <c r="C28" s="1" t="str">
        <f>IF('Extraction edi'!B31="","",'Extraction edi'!B31)</f>
        <v>HP2</v>
      </c>
      <c r="D28" s="1">
        <f>IF('Extraction edi'!H31="","",'Extraction edi'!H31)</f>
        <v>1</v>
      </c>
      <c r="E28" s="1">
        <f>IF('Extraction edi'!I31="","",'Extraction edi'!I31)</f>
        <v>1</v>
      </c>
      <c r="F28" t="str">
        <f>IF('Extraction edi'!K31="","",'Extraction edi'!K31)</f>
        <v>Type 1 A / modèle 451</v>
      </c>
      <c r="G28" t="str">
        <f>IF('Extraction edi'!L31="","",'Extraction edi'!L31)</f>
        <v>ALU blanc</v>
      </c>
      <c r="H28" t="str">
        <f>IF('Extraction edi'!M31="","",'Extraction edi'!M31)</f>
        <v>ALU blanc</v>
      </c>
      <c r="I28" s="1">
        <f>IF('Extraction edi'!N31="","",'Extraction edi'!N31)</f>
        <v>28</v>
      </c>
      <c r="J28" s="1">
        <f>IF('Extraction edi'!O31="","",'Extraction edi'!O31)</f>
        <v>707</v>
      </c>
      <c r="K28" s="1" t="str">
        <f>IF('Extraction edi'!P31="","",'Extraction edi'!P31)</f>
        <v xml:space="preserve">  586</v>
      </c>
      <c r="L28" s="1" t="str">
        <f>IF('Extraction edi'!Q31="laquage RAL :","OUI","")</f>
        <v>OUI</v>
      </c>
      <c r="M28" s="1" t="str">
        <f>IF('Extraction edi'!R31&lt;&gt;"",'Extraction edi'!R31,IF(G28="ALU blanc","S9016",""))</f>
        <v>G7016</v>
      </c>
      <c r="N28" s="1" t="str">
        <f>IF('Extraction edi'!S31&lt;&gt;"",'Extraction edi'!S31,IF(G28="ALU blanc","S9016",""))</f>
        <v>G7016</v>
      </c>
      <c r="O28" s="11">
        <v>45937</v>
      </c>
      <c r="P28" s="1">
        <f t="shared" si="0"/>
        <v>2</v>
      </c>
    </row>
    <row r="29" spans="1:16" x14ac:dyDescent="0.25">
      <c r="A29" s="1" t="str">
        <f>IF(B29="","",CONCATENATE(B29,".",C29,"/Pos ",D29,"/",'Extraction edi'!G32))</f>
        <v>2511775.HP2/Pos 1/PE</v>
      </c>
      <c r="B29" s="1" t="str">
        <f>IF('Extraction edi'!A32="","",'Extraction edi'!A32)</f>
        <v>2511775</v>
      </c>
      <c r="C29" s="1" t="str">
        <f>IF('Extraction edi'!B32="","",'Extraction edi'!B32)</f>
        <v>HP2</v>
      </c>
      <c r="D29" s="1">
        <f>IF('Extraction edi'!H32="","",'Extraction edi'!H32)</f>
        <v>1</v>
      </c>
      <c r="E29" s="1">
        <f>IF('Extraction edi'!I32="","",'Extraction edi'!I32)</f>
        <v>1</v>
      </c>
      <c r="F29" t="str">
        <f>IF('Extraction edi'!K32="","",'Extraction edi'!K32)</f>
        <v>Type 1 A / modèle 451</v>
      </c>
      <c r="G29" t="str">
        <f>IF('Extraction edi'!L32="","",'Extraction edi'!L32)</f>
        <v>ALU blanc</v>
      </c>
      <c r="H29" t="str">
        <f>IF('Extraction edi'!M32="","",'Extraction edi'!M32)</f>
        <v>ALU blanc</v>
      </c>
      <c r="I29" s="1">
        <f>IF('Extraction edi'!N32="","",'Extraction edi'!N32)</f>
        <v>28</v>
      </c>
      <c r="J29" s="1">
        <f>IF('Extraction edi'!O32="","",'Extraction edi'!O32)</f>
        <v>707</v>
      </c>
      <c r="K29" s="1" t="str">
        <f>IF('Extraction edi'!P32="","",'Extraction edi'!P32)</f>
        <v xml:space="preserve">  230</v>
      </c>
      <c r="L29" s="1" t="str">
        <f>IF('Extraction edi'!Q32="laquage RAL :","OUI","")</f>
        <v>OUI</v>
      </c>
      <c r="M29" s="1" t="str">
        <f>IF('Extraction edi'!R32&lt;&gt;"",'Extraction edi'!R32,IF(G29="ALU blanc","S9016",""))</f>
        <v>S9016</v>
      </c>
      <c r="N29" s="1" t="str">
        <f>IF('Extraction edi'!S32&lt;&gt;"",'Extraction edi'!S32,IF(G29="ALU blanc","S9016",""))</f>
        <v>G7016</v>
      </c>
      <c r="O29" s="11">
        <v>45938</v>
      </c>
      <c r="P29" s="1">
        <f t="shared" si="0"/>
        <v>3</v>
      </c>
    </row>
    <row r="30" spans="1:16" x14ac:dyDescent="0.25">
      <c r="A30" s="1" t="str">
        <f>IF(B30="","",CONCATENATE(B30,".",C30,"/Pos ",D30,"/",'Extraction edi'!G33))</f>
        <v>2511813.HP0/Pos 1/PE</v>
      </c>
      <c r="B30" s="1" t="str">
        <f>IF('Extraction edi'!A33="","",'Extraction edi'!A33)</f>
        <v>2511813</v>
      </c>
      <c r="C30" s="1" t="str">
        <f>IF('Extraction edi'!B33="","",'Extraction edi'!B33)</f>
        <v>HP0</v>
      </c>
      <c r="D30" s="1">
        <f>IF('Extraction edi'!H33="","",'Extraction edi'!H33)</f>
        <v>1</v>
      </c>
      <c r="E30" s="1">
        <f>IF('Extraction edi'!I33="","",'Extraction edi'!I33)</f>
        <v>1</v>
      </c>
      <c r="F30" t="str">
        <f>IF('Extraction edi'!K33="","",'Extraction edi'!K33)</f>
        <v>Type 1 A / modèle 451</v>
      </c>
      <c r="G30" t="str">
        <f>IF('Extraction edi'!L33="","",'Extraction edi'!L33)</f>
        <v>ALU blanc</v>
      </c>
      <c r="H30" t="str">
        <f>IF('Extraction edi'!M33="","",'Extraction edi'!M33)</f>
        <v>ALU blanc</v>
      </c>
      <c r="I30" s="1">
        <f>IF('Extraction edi'!N33="","",'Extraction edi'!N33)</f>
        <v>28</v>
      </c>
      <c r="J30" s="1">
        <f>IF('Extraction edi'!O33="","",'Extraction edi'!O33)</f>
        <v>597</v>
      </c>
      <c r="K30" s="1" t="str">
        <f>IF('Extraction edi'!P33="","",'Extraction edi'!P33)</f>
        <v xml:space="preserve">  886</v>
      </c>
      <c r="L30" s="1" t="str">
        <f>IF('Extraction edi'!Q33="laquage RAL :","OUI","")</f>
        <v>OUI</v>
      </c>
      <c r="M30" s="1" t="str">
        <f>IF('Extraction edi'!R33&lt;&gt;"",'Extraction edi'!R33,IF(G30="ALU blanc","S9016",""))</f>
        <v>S9016</v>
      </c>
      <c r="N30" s="1" t="str">
        <f>IF('Extraction edi'!S33&lt;&gt;"",'Extraction edi'!S33,IF(G30="ALU blanc","S9016",""))</f>
        <v>S9016</v>
      </c>
      <c r="O30" s="11">
        <v>45939</v>
      </c>
      <c r="P30" s="1">
        <f t="shared" si="0"/>
        <v>4</v>
      </c>
    </row>
    <row r="31" spans="1:16" x14ac:dyDescent="0.25">
      <c r="A31" s="1" t="str">
        <f>IF(B31="","",CONCATENATE(B31,".",C31,"/Pos ",D31,"/",'Extraction edi'!G34))</f>
        <v>2511824.0P0/Pos 1/PE</v>
      </c>
      <c r="B31" s="1" t="str">
        <f>IF('Extraction edi'!A34="","",'Extraction edi'!A34)</f>
        <v>2511824</v>
      </c>
      <c r="C31" s="1" t="str">
        <f>IF('Extraction edi'!B34="","",'Extraction edi'!B34)</f>
        <v>0P0</v>
      </c>
      <c r="D31" s="1">
        <f>IF('Extraction edi'!H34="","",'Extraction edi'!H34)</f>
        <v>1</v>
      </c>
      <c r="E31" s="1">
        <f>IF('Extraction edi'!I34="","",'Extraction edi'!I34)</f>
        <v>1</v>
      </c>
      <c r="F31" t="str">
        <f>IF('Extraction edi'!K34="","",'Extraction edi'!K34)</f>
        <v>Type 1 / modèle 451</v>
      </c>
      <c r="G31" t="str">
        <f>IF('Extraction edi'!L34="","",'Extraction edi'!L34)</f>
        <v>PVC blanc</v>
      </c>
      <c r="H31" t="str">
        <f>IF('Extraction edi'!M34="","",'Extraction edi'!M34)</f>
        <v>PVC blanc</v>
      </c>
      <c r="I31" s="1">
        <f>IF('Extraction edi'!N34="","",'Extraction edi'!N34)</f>
        <v>28</v>
      </c>
      <c r="J31" s="1">
        <f>IF('Extraction edi'!O34="","",'Extraction edi'!O34)</f>
        <v>795</v>
      </c>
      <c r="K31" s="1" t="str">
        <f>IF('Extraction edi'!P34="","",'Extraction edi'!P34)</f>
        <v xml:space="preserve">  220</v>
      </c>
      <c r="L31" s="1" t="str">
        <f>IF('Extraction edi'!Q34="laquage RAL :","OUI","")</f>
        <v/>
      </c>
      <c r="M31" s="1" t="str">
        <f>IF('Extraction edi'!R34&lt;&gt;"",'Extraction edi'!R34,IF(G31="ALU blanc","S9016",""))</f>
        <v/>
      </c>
      <c r="N31" s="1" t="str">
        <f>IF('Extraction edi'!S34&lt;&gt;"",'Extraction edi'!S34,IF(G31="ALU blanc","S9016",""))</f>
        <v/>
      </c>
      <c r="O31" s="11">
        <v>45940</v>
      </c>
      <c r="P31" s="1">
        <f t="shared" si="0"/>
        <v>5</v>
      </c>
    </row>
    <row r="32" spans="1:16" x14ac:dyDescent="0.25">
      <c r="A32" s="1" t="str">
        <f>IF(B32="","",CONCATENATE(B32,".",C32,"/Pos ",D32,"/",'Extraction edi'!G35))</f>
        <v>2511824.0P0/Pos 1/PE</v>
      </c>
      <c r="B32" s="1" t="str">
        <f>IF('Extraction edi'!A35="","",'Extraction edi'!A35)</f>
        <v>2511824</v>
      </c>
      <c r="C32" s="1" t="str">
        <f>IF('Extraction edi'!B35="","",'Extraction edi'!B35)</f>
        <v>0P0</v>
      </c>
      <c r="D32" s="1">
        <f>IF('Extraction edi'!H35="","",'Extraction edi'!H35)</f>
        <v>1</v>
      </c>
      <c r="E32" s="1">
        <f>IF('Extraction edi'!I35="","",'Extraction edi'!I35)</f>
        <v>1</v>
      </c>
      <c r="F32" t="str">
        <f>IF('Extraction edi'!K35="","",'Extraction edi'!K35)</f>
        <v>Type 1 / modèle 451</v>
      </c>
      <c r="G32" t="str">
        <f>IF('Extraction edi'!L35="","",'Extraction edi'!L35)</f>
        <v>PVC blanc</v>
      </c>
      <c r="H32" t="str">
        <f>IF('Extraction edi'!M35="","",'Extraction edi'!M35)</f>
        <v>PVC blanc</v>
      </c>
      <c r="I32" s="1">
        <f>IF('Extraction edi'!N35="","",'Extraction edi'!N35)</f>
        <v>28</v>
      </c>
      <c r="J32" s="1">
        <f>IF('Extraction edi'!O35="","",'Extraction edi'!O35)</f>
        <v>368</v>
      </c>
      <c r="K32" s="1" t="str">
        <f>IF('Extraction edi'!P35="","",'Extraction edi'!P35)</f>
        <v xml:space="preserve">  602</v>
      </c>
      <c r="L32" s="1" t="str">
        <f>IF('Extraction edi'!Q35="laquage RAL :","OUI","")</f>
        <v/>
      </c>
      <c r="M32" s="1" t="str">
        <f>IF('Extraction edi'!R35&lt;&gt;"",'Extraction edi'!R35,IF(G32="ALU blanc","S9016",""))</f>
        <v/>
      </c>
      <c r="N32" s="1" t="str">
        <f>IF('Extraction edi'!S35&lt;&gt;"",'Extraction edi'!S35,IF(G32="ALU blanc","S9016",""))</f>
        <v/>
      </c>
      <c r="O32" s="11">
        <v>45941</v>
      </c>
      <c r="P32" s="1">
        <f t="shared" si="0"/>
        <v>6</v>
      </c>
    </row>
    <row r="33" spans="1:16" x14ac:dyDescent="0.25">
      <c r="A33" s="1" t="str">
        <f>IF(B33="","",CONCATENATE(B33,".",C33,"/Pos ",D33,"/",'Extraction edi'!G36))</f>
        <v>2511824.0P0/Pos 1/PE</v>
      </c>
      <c r="B33" s="1" t="str">
        <f>IF('Extraction edi'!A36="","",'Extraction edi'!A36)</f>
        <v>2511824</v>
      </c>
      <c r="C33" s="1" t="str">
        <f>IF('Extraction edi'!B36="","",'Extraction edi'!B36)</f>
        <v>0P0</v>
      </c>
      <c r="D33" s="1">
        <f>IF('Extraction edi'!H36="","",'Extraction edi'!H36)</f>
        <v>1</v>
      </c>
      <c r="E33" s="1">
        <f>IF('Extraction edi'!I36="","",'Extraction edi'!I36)</f>
        <v>1</v>
      </c>
      <c r="F33" t="str">
        <f>IF('Extraction edi'!K36="","",'Extraction edi'!K36)</f>
        <v>Type 1 / modèle 451</v>
      </c>
      <c r="G33" t="str">
        <f>IF('Extraction edi'!L36="","",'Extraction edi'!L36)</f>
        <v>PVC blanc</v>
      </c>
      <c r="H33" t="str">
        <f>IF('Extraction edi'!M36="","",'Extraction edi'!M36)</f>
        <v>PVC blanc</v>
      </c>
      <c r="I33" s="1">
        <f>IF('Extraction edi'!N36="","",'Extraction edi'!N36)</f>
        <v>28</v>
      </c>
      <c r="J33" s="1">
        <f>IF('Extraction edi'!O36="","",'Extraction edi'!O36)</f>
        <v>368</v>
      </c>
      <c r="K33" s="1" t="str">
        <f>IF('Extraction edi'!P36="","",'Extraction edi'!P36)</f>
        <v xml:space="preserve">  602</v>
      </c>
      <c r="L33" s="1" t="str">
        <f>IF('Extraction edi'!Q36="laquage RAL :","OUI","")</f>
        <v/>
      </c>
      <c r="M33" s="1" t="str">
        <f>IF('Extraction edi'!R36&lt;&gt;"",'Extraction edi'!R36,IF(G33="ALU blanc","S9016",""))</f>
        <v/>
      </c>
      <c r="N33" s="1" t="str">
        <f>IF('Extraction edi'!S36&lt;&gt;"",'Extraction edi'!S36,IF(G33="ALU blanc","S9016",""))</f>
        <v/>
      </c>
      <c r="O33" s="11">
        <v>45942</v>
      </c>
      <c r="P33" s="1">
        <f t="shared" si="0"/>
        <v>7</v>
      </c>
    </row>
    <row r="34" spans="1:16" x14ac:dyDescent="0.25">
      <c r="A34" s="1" t="str">
        <f>IF(B34="","",CONCATENATE(B34,".",C34,"/Pos ",D34,"/",'Extraction edi'!G37))</f>
        <v>2511859.HP0/Pos 1/PE</v>
      </c>
      <c r="B34" s="1" t="str">
        <f>IF('Extraction edi'!A37="","",'Extraction edi'!A37)</f>
        <v>2511859</v>
      </c>
      <c r="C34" s="1" t="str">
        <f>IF('Extraction edi'!B37="","",'Extraction edi'!B37)</f>
        <v>HP0</v>
      </c>
      <c r="D34" s="1">
        <f>IF('Extraction edi'!H37="","",'Extraction edi'!H37)</f>
        <v>1</v>
      </c>
      <c r="E34" s="1">
        <f>IF('Extraction edi'!I37="","",'Extraction edi'!I37)</f>
        <v>1</v>
      </c>
      <c r="F34" t="str">
        <f>IF('Extraction edi'!K37="","",'Extraction edi'!K37)</f>
        <v>Type 1 A / modèle 451</v>
      </c>
      <c r="G34" t="str">
        <f>IF('Extraction edi'!L37="","",'Extraction edi'!L37)</f>
        <v>ALU blanc</v>
      </c>
      <c r="H34" t="str">
        <f>IF('Extraction edi'!M37="","",'Extraction edi'!M37)</f>
        <v>ALU blanc</v>
      </c>
      <c r="I34" s="1">
        <f>IF('Extraction edi'!N37="","",'Extraction edi'!N37)</f>
        <v>28</v>
      </c>
      <c r="J34" s="1">
        <f>IF('Extraction edi'!O37="","",'Extraction edi'!O37)</f>
        <v>649</v>
      </c>
      <c r="K34" s="1" t="str">
        <f>IF('Extraction edi'!P37="","",'Extraction edi'!P37)</f>
        <v xml:space="preserve">  586</v>
      </c>
      <c r="L34" s="1" t="str">
        <f>IF('Extraction edi'!Q37="laquage RAL :","OUI","")</f>
        <v>OUI</v>
      </c>
      <c r="M34" s="1" t="str">
        <f>IF('Extraction edi'!R37&lt;&gt;"",'Extraction edi'!R37,IF(G34="ALU blanc","S9016",""))</f>
        <v>S9016</v>
      </c>
      <c r="N34" s="1" t="str">
        <f>IF('Extraction edi'!S37&lt;&gt;"",'Extraction edi'!S37,IF(G34="ALU blanc","S9016",""))</f>
        <v>S9016</v>
      </c>
      <c r="O34" s="11">
        <v>45943</v>
      </c>
      <c r="P34" s="1">
        <f t="shared" si="0"/>
        <v>1</v>
      </c>
    </row>
    <row r="35" spans="1:16" x14ac:dyDescent="0.25">
      <c r="A35" s="1" t="str">
        <f>IF(B35="","",CONCATENATE(B35,".",C35,"/Pos ",D35,"/",'Extraction edi'!G38))</f>
        <v>2511859.HP0/Pos 1/PE</v>
      </c>
      <c r="B35" s="1" t="str">
        <f>IF('Extraction edi'!A38="","",'Extraction edi'!A38)</f>
        <v>2511859</v>
      </c>
      <c r="C35" s="1" t="str">
        <f>IF('Extraction edi'!B38="","",'Extraction edi'!B38)</f>
        <v>HP0</v>
      </c>
      <c r="D35" s="1">
        <f>IF('Extraction edi'!H38="","",'Extraction edi'!H38)</f>
        <v>1</v>
      </c>
      <c r="E35" s="1">
        <f>IF('Extraction edi'!I38="","",'Extraction edi'!I38)</f>
        <v>1</v>
      </c>
      <c r="F35" t="str">
        <f>IF('Extraction edi'!K38="","",'Extraction edi'!K38)</f>
        <v>Type 1 A / modèle 451</v>
      </c>
      <c r="G35" t="str">
        <f>IF('Extraction edi'!L38="","",'Extraction edi'!L38)</f>
        <v>ALU blanc</v>
      </c>
      <c r="H35" t="str">
        <f>IF('Extraction edi'!M38="","",'Extraction edi'!M38)</f>
        <v>ALU blanc</v>
      </c>
      <c r="I35" s="1">
        <f>IF('Extraction edi'!N38="","",'Extraction edi'!N38)</f>
        <v>28</v>
      </c>
      <c r="J35" s="1">
        <f>IF('Extraction edi'!O38="","",'Extraction edi'!O38)</f>
        <v>649</v>
      </c>
      <c r="K35" s="1" t="str">
        <f>IF('Extraction edi'!P38="","",'Extraction edi'!P38)</f>
        <v xml:space="preserve">  230</v>
      </c>
      <c r="L35" s="1" t="str">
        <f>IF('Extraction edi'!Q38="laquage RAL :","OUI","")</f>
        <v>OUI</v>
      </c>
      <c r="M35" s="1" t="str">
        <f>IF('Extraction edi'!R38&lt;&gt;"",'Extraction edi'!R38,IF(G35="ALU blanc","S9016",""))</f>
        <v>S9016</v>
      </c>
      <c r="N35" s="1" t="str">
        <f>IF('Extraction edi'!S38&lt;&gt;"",'Extraction edi'!S38,IF(G35="ALU blanc","S9016",""))</f>
        <v>S9016</v>
      </c>
      <c r="O35" s="11">
        <v>45944</v>
      </c>
      <c r="P35" s="1">
        <f t="shared" si="0"/>
        <v>2</v>
      </c>
    </row>
    <row r="36" spans="1:16" x14ac:dyDescent="0.25">
      <c r="A36" s="1" t="str">
        <f>IF(B36="","",CONCATENATE(B36,".",C36,"/Pos ",D36,"/",'Extraction edi'!G39))</f>
        <v>2511931.HP0/Pos 1/PE</v>
      </c>
      <c r="B36" s="1" t="str">
        <f>IF('Extraction edi'!A39="","",'Extraction edi'!A39)</f>
        <v>2511931</v>
      </c>
      <c r="C36" s="1" t="str">
        <f>IF('Extraction edi'!B39="","",'Extraction edi'!B39)</f>
        <v>HP0</v>
      </c>
      <c r="D36" s="1">
        <f>IF('Extraction edi'!H39="","",'Extraction edi'!H39)</f>
        <v>1</v>
      </c>
      <c r="E36" s="1">
        <f>IF('Extraction edi'!I39="","",'Extraction edi'!I39)</f>
        <v>1</v>
      </c>
      <c r="F36" t="str">
        <f>IF('Extraction edi'!K39="","",'Extraction edi'!K39)</f>
        <v>Type 1 A / modèle 451</v>
      </c>
      <c r="G36" t="str">
        <f>IF('Extraction edi'!L39="","",'Extraction edi'!L39)</f>
        <v>ALU blanc</v>
      </c>
      <c r="H36" t="str">
        <f>IF('Extraction edi'!M39="","",'Extraction edi'!M39)</f>
        <v>ALU blanc</v>
      </c>
      <c r="I36" s="1">
        <f>IF('Extraction edi'!N39="","",'Extraction edi'!N39)</f>
        <v>28</v>
      </c>
      <c r="J36" s="1">
        <f>IF('Extraction edi'!O39="","",'Extraction edi'!O39)</f>
        <v>719</v>
      </c>
      <c r="K36" s="1" t="str">
        <f>IF('Extraction edi'!P39="","",'Extraction edi'!P39)</f>
        <v xml:space="preserve">  865</v>
      </c>
      <c r="L36" s="1" t="str">
        <f>IF('Extraction edi'!Q39="laquage RAL :","OUI","")</f>
        <v>OUI</v>
      </c>
      <c r="M36" s="1" t="str">
        <f>IF('Extraction edi'!R39&lt;&gt;"",'Extraction edi'!R39,IF(G36="ALU blanc","S9016",""))</f>
        <v>S9016</v>
      </c>
      <c r="N36" s="1" t="str">
        <f>IF('Extraction edi'!S39&lt;&gt;"",'Extraction edi'!S39,IF(G36="ALU blanc","S9016",""))</f>
        <v>S9016</v>
      </c>
      <c r="O36" s="11">
        <v>45945</v>
      </c>
      <c r="P36" s="1">
        <f t="shared" si="0"/>
        <v>3</v>
      </c>
    </row>
    <row r="37" spans="1:16" x14ac:dyDescent="0.25">
      <c r="A37" s="1" t="str">
        <f>IF(B37="","",CONCATENATE(B37,".",C37,"/Pos ",D37,"/",'Extraction edi'!G40))</f>
        <v>2511942.XP0/Pos 1/PE</v>
      </c>
      <c r="B37" s="1" t="str">
        <f>IF('Extraction edi'!A40="","",'Extraction edi'!A40)</f>
        <v>2511942</v>
      </c>
      <c r="C37" s="1" t="str">
        <f>IF('Extraction edi'!B40="","",'Extraction edi'!B40)</f>
        <v>XP0</v>
      </c>
      <c r="D37" s="1">
        <f>IF('Extraction edi'!H40="","",'Extraction edi'!H40)</f>
        <v>1</v>
      </c>
      <c r="E37" s="1">
        <f>IF('Extraction edi'!I40="","",'Extraction edi'!I40)</f>
        <v>1</v>
      </c>
      <c r="F37" t="str">
        <f>IF('Extraction edi'!K40="","",'Extraction edi'!K40)</f>
        <v>Type 1 / modèle 451</v>
      </c>
      <c r="G37" t="str">
        <f>IF('Extraction edi'!L40="","",'Extraction edi'!L40)</f>
        <v>Plaxé tuner oak / F4703001</v>
      </c>
      <c r="H37" t="str">
        <f>IF('Extraction edi'!M40="","",'Extraction edi'!M40)</f>
        <v>Plaxé tuner oak / F4703001</v>
      </c>
      <c r="I37" s="1">
        <f>IF('Extraction edi'!N40="","",'Extraction edi'!N40)</f>
        <v>28</v>
      </c>
      <c r="J37" s="1">
        <f>IF('Extraction edi'!O40="","",'Extraction edi'!O40)</f>
        <v>635</v>
      </c>
      <c r="K37" s="1" t="str">
        <f>IF('Extraction edi'!P40="","",'Extraction edi'!P40)</f>
        <v xml:space="preserve">  881</v>
      </c>
      <c r="L37" s="1" t="str">
        <f>IF('Extraction edi'!Q40="laquage RAL :","OUI","")</f>
        <v/>
      </c>
      <c r="M37" s="1" t="str">
        <f>IF('Extraction edi'!R40&lt;&gt;"",'Extraction edi'!R40,IF(G37="ALU blanc","S9016",""))</f>
        <v/>
      </c>
      <c r="N37" s="1" t="str">
        <f>IF('Extraction edi'!S40&lt;&gt;"",'Extraction edi'!S40,IF(G37="ALU blanc","S9016",""))</f>
        <v/>
      </c>
      <c r="O37" s="11">
        <v>45946</v>
      </c>
      <c r="P37" s="1">
        <f t="shared" si="0"/>
        <v>4</v>
      </c>
    </row>
    <row r="38" spans="1:16" x14ac:dyDescent="0.25">
      <c r="A38" s="1" t="str">
        <f>IF(B38="","",CONCATENATE(B38,".",C38,"/Pos ",D38,"/",'Extraction edi'!G41))</f>
        <v>2511942.XP0/Pos 3/PE</v>
      </c>
      <c r="B38" s="1" t="str">
        <f>IF('Extraction edi'!A41="","",'Extraction edi'!A41)</f>
        <v>2511942</v>
      </c>
      <c r="C38" s="1" t="str">
        <f>IF('Extraction edi'!B41="","",'Extraction edi'!B41)</f>
        <v>XP0</v>
      </c>
      <c r="D38" s="1">
        <f>IF('Extraction edi'!H41="","",'Extraction edi'!H41)</f>
        <v>3</v>
      </c>
      <c r="E38" s="1">
        <f>IF('Extraction edi'!I41="","",'Extraction edi'!I41)</f>
        <v>1</v>
      </c>
      <c r="F38" t="str">
        <f>IF('Extraction edi'!K41="","",'Extraction edi'!K41)</f>
        <v>Type 1 / modèle 451</v>
      </c>
      <c r="G38" t="str">
        <f>IF('Extraction edi'!L41="","",'Extraction edi'!L41)</f>
        <v>Plaxé tuner oak / F4703001</v>
      </c>
      <c r="H38" t="str">
        <f>IF('Extraction edi'!M41="","",'Extraction edi'!M41)</f>
        <v>Plaxé tuner oak / F4703001</v>
      </c>
      <c r="I38" s="1">
        <f>IF('Extraction edi'!N41="","",'Extraction edi'!N41)</f>
        <v>28</v>
      </c>
      <c r="J38" s="1">
        <f>IF('Extraction edi'!O41="","",'Extraction edi'!O41)</f>
        <v>735</v>
      </c>
      <c r="K38" s="1" t="str">
        <f>IF('Extraction edi'!P41="","",'Extraction edi'!P41)</f>
        <v xml:space="preserve">  602</v>
      </c>
      <c r="L38" s="1" t="str">
        <f>IF('Extraction edi'!Q41="laquage RAL :","OUI","")</f>
        <v/>
      </c>
      <c r="M38" s="1" t="str">
        <f>IF('Extraction edi'!R41&lt;&gt;"",'Extraction edi'!R41,IF(G38="ALU blanc","S9016",""))</f>
        <v/>
      </c>
      <c r="N38" s="1" t="str">
        <f>IF('Extraction edi'!S41&lt;&gt;"",'Extraction edi'!S41,IF(G38="ALU blanc","S9016",""))</f>
        <v/>
      </c>
      <c r="O38" s="11">
        <v>45947</v>
      </c>
      <c r="P38" s="1">
        <f t="shared" si="0"/>
        <v>5</v>
      </c>
    </row>
    <row r="39" spans="1:16" x14ac:dyDescent="0.25">
      <c r="A39" s="1" t="str">
        <f>IF(B39="","",CONCATENATE(B39,".",C39,"/Pos ",D39,"/",'Extraction edi'!G42))</f>
        <v>2511942.XP0/Pos 3/PE</v>
      </c>
      <c r="B39" s="1" t="str">
        <f>IF('Extraction edi'!A42="","",'Extraction edi'!A42)</f>
        <v>2511942</v>
      </c>
      <c r="C39" s="1" t="str">
        <f>IF('Extraction edi'!B42="","",'Extraction edi'!B42)</f>
        <v>XP0</v>
      </c>
      <c r="D39" s="1">
        <f>IF('Extraction edi'!H42="","",'Extraction edi'!H42)</f>
        <v>3</v>
      </c>
      <c r="E39" s="1">
        <f>IF('Extraction edi'!I42="","",'Extraction edi'!I42)</f>
        <v>1</v>
      </c>
      <c r="F39" t="str">
        <f>IF('Extraction edi'!K42="","",'Extraction edi'!K42)</f>
        <v>Type 1 / modèle 451</v>
      </c>
      <c r="G39" t="str">
        <f>IF('Extraction edi'!L42="","",'Extraction edi'!L42)</f>
        <v>Plaxé tuner oak / F4703001</v>
      </c>
      <c r="H39" t="str">
        <f>IF('Extraction edi'!M42="","",'Extraction edi'!M42)</f>
        <v>Plaxé tuner oak / F4703001</v>
      </c>
      <c r="I39" s="1">
        <f>IF('Extraction edi'!N42="","",'Extraction edi'!N42)</f>
        <v>28</v>
      </c>
      <c r="J39" s="1">
        <f>IF('Extraction edi'!O42="","",'Extraction edi'!O42)</f>
        <v>735</v>
      </c>
      <c r="K39" s="1" t="str">
        <f>IF('Extraction edi'!P42="","",'Extraction edi'!P42)</f>
        <v xml:space="preserve">  220</v>
      </c>
      <c r="L39" s="1" t="str">
        <f>IF('Extraction edi'!Q42="laquage RAL :","OUI","")</f>
        <v/>
      </c>
      <c r="M39" s="1" t="str">
        <f>IF('Extraction edi'!R42&lt;&gt;"",'Extraction edi'!R42,IF(G39="ALU blanc","S9016",""))</f>
        <v/>
      </c>
      <c r="N39" s="1" t="str">
        <f>IF('Extraction edi'!S42&lt;&gt;"",'Extraction edi'!S42,IF(G39="ALU blanc","S9016",""))</f>
        <v/>
      </c>
      <c r="O39" s="11">
        <v>45948</v>
      </c>
      <c r="P39" s="1">
        <f t="shared" si="0"/>
        <v>6</v>
      </c>
    </row>
    <row r="40" spans="1:16" x14ac:dyDescent="0.25">
      <c r="A40" s="1" t="str">
        <f>IF(B40="","",CONCATENATE(B40,".",C40,"/Pos ",D40,"/",'Extraction edi'!G43))</f>
        <v>2511969.XP0/Pos 1/PE</v>
      </c>
      <c r="B40" s="1" t="str">
        <f>IF('Extraction edi'!A43="","",'Extraction edi'!A43)</f>
        <v>2511969</v>
      </c>
      <c r="C40" s="1" t="str">
        <f>IF('Extraction edi'!B43="","",'Extraction edi'!B43)</f>
        <v>XP0</v>
      </c>
      <c r="D40" s="1">
        <f>IF('Extraction edi'!H43="","",'Extraction edi'!H43)</f>
        <v>1</v>
      </c>
      <c r="E40" s="1">
        <f>IF('Extraction edi'!I43="","",'Extraction edi'!I43)</f>
        <v>1</v>
      </c>
      <c r="F40" t="str">
        <f>IF('Extraction edi'!K43="","",'Extraction edi'!K43)</f>
        <v>Type 1 A / modèle 451</v>
      </c>
      <c r="G40" t="str">
        <f>IF('Extraction edi'!L43="","",'Extraction edi'!L43)</f>
        <v>ALU blanc</v>
      </c>
      <c r="H40" t="str">
        <f>IF('Extraction edi'!M43="","",'Extraction edi'!M43)</f>
        <v>ALU blanc</v>
      </c>
      <c r="I40" s="1">
        <f>IF('Extraction edi'!N43="","",'Extraction edi'!N43)</f>
        <v>28</v>
      </c>
      <c r="J40" s="1">
        <f>IF('Extraction edi'!O43="","",'Extraction edi'!O43)</f>
        <v>666</v>
      </c>
      <c r="K40" s="1" t="str">
        <f>IF('Extraction edi'!P43="","",'Extraction edi'!P43)</f>
        <v xml:space="preserve">  619</v>
      </c>
      <c r="L40" s="1" t="str">
        <f>IF('Extraction edi'!Q43="laquage RAL :","OUI","")</f>
        <v>OUI</v>
      </c>
      <c r="M40" s="1" t="str">
        <f>IF('Extraction edi'!R43&lt;&gt;"",'Extraction edi'!R43,IF(G40="ALU blanc","S9016",""))</f>
        <v>G7016</v>
      </c>
      <c r="N40" s="1" t="str">
        <f>IF('Extraction edi'!S43&lt;&gt;"",'Extraction edi'!S43,IF(G40="ALU blanc","S9016",""))</f>
        <v>G7016</v>
      </c>
      <c r="O40" s="11">
        <v>45949</v>
      </c>
      <c r="P40" s="1">
        <f t="shared" si="0"/>
        <v>7</v>
      </c>
    </row>
    <row r="41" spans="1:16" x14ac:dyDescent="0.25">
      <c r="A41" s="1" t="str">
        <f>IF(B41="","",CONCATENATE(B41,".",C41,"/Pos ",D41,"/",'Extraction edi'!G44))</f>
        <v>2511969.XP0/Pos 1/PE</v>
      </c>
      <c r="B41" s="1" t="str">
        <f>IF('Extraction edi'!A44="","",'Extraction edi'!A44)</f>
        <v>2511969</v>
      </c>
      <c r="C41" s="1" t="str">
        <f>IF('Extraction edi'!B44="","",'Extraction edi'!B44)</f>
        <v>XP0</v>
      </c>
      <c r="D41" s="1">
        <f>IF('Extraction edi'!H44="","",'Extraction edi'!H44)</f>
        <v>1</v>
      </c>
      <c r="E41" s="1">
        <f>IF('Extraction edi'!I44="","",'Extraction edi'!I44)</f>
        <v>1</v>
      </c>
      <c r="F41" t="str">
        <f>IF('Extraction edi'!K44="","",'Extraction edi'!K44)</f>
        <v>Type 1 A / modèle 451</v>
      </c>
      <c r="G41" t="str">
        <f>IF('Extraction edi'!L44="","",'Extraction edi'!L44)</f>
        <v>ALU blanc</v>
      </c>
      <c r="H41" t="str">
        <f>IF('Extraction edi'!M44="","",'Extraction edi'!M44)</f>
        <v>ALU blanc</v>
      </c>
      <c r="I41" s="1">
        <f>IF('Extraction edi'!N44="","",'Extraction edi'!N44)</f>
        <v>28</v>
      </c>
      <c r="J41" s="1">
        <f>IF('Extraction edi'!O44="","",'Extraction edi'!O44)</f>
        <v>666</v>
      </c>
      <c r="K41" s="1" t="str">
        <f>IF('Extraction edi'!P44="","",'Extraction edi'!P44)</f>
        <v xml:space="preserve">  619</v>
      </c>
      <c r="L41" s="1" t="str">
        <f>IF('Extraction edi'!Q44="laquage RAL :","OUI","")</f>
        <v>OUI</v>
      </c>
      <c r="M41" s="1" t="str">
        <f>IF('Extraction edi'!R44&lt;&gt;"",'Extraction edi'!R44,IF(G41="ALU blanc","S9016",""))</f>
        <v>S9016</v>
      </c>
      <c r="N41" s="1" t="str">
        <f>IF('Extraction edi'!S44&lt;&gt;"",'Extraction edi'!S44,IF(G41="ALU blanc","S9016",""))</f>
        <v>G7016</v>
      </c>
      <c r="O41" s="11">
        <v>45950</v>
      </c>
      <c r="P41" s="1">
        <f t="shared" si="0"/>
        <v>1</v>
      </c>
    </row>
    <row r="42" spans="1:16" x14ac:dyDescent="0.25">
      <c r="A42" s="1" t="str">
        <f>IF(B42="","",CONCATENATE(B42,".",C42,"/Pos ",D42,"/",'Extraction edi'!G45))</f>
        <v>2511969.XP0/Pos 1/PE</v>
      </c>
      <c r="B42" s="1" t="str">
        <f>IF('Extraction edi'!A45="","",'Extraction edi'!A45)</f>
        <v>2511969</v>
      </c>
      <c r="C42" s="1" t="str">
        <f>IF('Extraction edi'!B45="","",'Extraction edi'!B45)</f>
        <v>XP0</v>
      </c>
      <c r="D42" s="1">
        <f>IF('Extraction edi'!H45="","",'Extraction edi'!H45)</f>
        <v>1</v>
      </c>
      <c r="E42" s="1">
        <f>IF('Extraction edi'!I45="","",'Extraction edi'!I45)</f>
        <v>1</v>
      </c>
      <c r="F42" t="str">
        <f>IF('Extraction edi'!K45="","",'Extraction edi'!K45)</f>
        <v>Type 1 A / modèle 451</v>
      </c>
      <c r="G42" t="str">
        <f>IF('Extraction edi'!L45="","",'Extraction edi'!L45)</f>
        <v>ALU blanc</v>
      </c>
      <c r="H42" t="str">
        <f>IF('Extraction edi'!M45="","",'Extraction edi'!M45)</f>
        <v>ALU blanc</v>
      </c>
      <c r="I42" s="1">
        <f>IF('Extraction edi'!N45="","",'Extraction edi'!N45)</f>
        <v>28</v>
      </c>
      <c r="J42" s="1">
        <f>IF('Extraction edi'!O45="","",'Extraction edi'!O45)</f>
        <v>666</v>
      </c>
      <c r="K42" s="1" t="str">
        <f>IF('Extraction edi'!P45="","",'Extraction edi'!P45)</f>
        <v xml:space="preserve">  619</v>
      </c>
      <c r="L42" s="1" t="str">
        <f>IF('Extraction edi'!Q45="laquage RAL :","OUI","")</f>
        <v>OUI</v>
      </c>
      <c r="M42" s="1" t="str">
        <f>IF('Extraction edi'!R45&lt;&gt;"",'Extraction edi'!R45,IF(G42="ALU blanc","S9016",""))</f>
        <v>S9016</v>
      </c>
      <c r="N42" s="1" t="str">
        <f>IF('Extraction edi'!S45&lt;&gt;"",'Extraction edi'!S45,IF(G42="ALU blanc","S9016",""))</f>
        <v>G7016</v>
      </c>
      <c r="O42" s="11">
        <v>45951</v>
      </c>
      <c r="P42" s="1">
        <f t="shared" si="0"/>
        <v>2</v>
      </c>
    </row>
    <row r="43" spans="1:16" x14ac:dyDescent="0.25">
      <c r="A43" s="1" t="str">
        <f>IF(B43="","",CONCATENATE(B43,".",C43,"/Pos ",D43,"/",'Extraction edi'!G46))</f>
        <v>2512008.0P0/Pos 1/PE</v>
      </c>
      <c r="B43" s="1" t="str">
        <f>IF('Extraction edi'!A46="","",'Extraction edi'!A46)</f>
        <v>2512008</v>
      </c>
      <c r="C43" s="1" t="str">
        <f>IF('Extraction edi'!B46="","",'Extraction edi'!B46)</f>
        <v>0P0</v>
      </c>
      <c r="D43" s="1">
        <f>IF('Extraction edi'!H46="","",'Extraction edi'!H46)</f>
        <v>1</v>
      </c>
      <c r="E43" s="1">
        <f>IF('Extraction edi'!I46="","",'Extraction edi'!I46)</f>
        <v>1</v>
      </c>
      <c r="F43" t="str">
        <f>IF('Extraction edi'!K46="","",'Extraction edi'!K46)</f>
        <v>Type 3 / modèle 872</v>
      </c>
      <c r="G43" t="str">
        <f>IF('Extraction edi'!L46="","",'Extraction edi'!L46)</f>
        <v>PVC blanc</v>
      </c>
      <c r="H43" t="str">
        <f>IF('Extraction edi'!M46="","",'Extraction edi'!M46)</f>
        <v>PVC blanc</v>
      </c>
      <c r="I43" s="1">
        <f>IF('Extraction edi'!N46="","",'Extraction edi'!N46)</f>
        <v>28</v>
      </c>
      <c r="J43" s="1">
        <f>IF('Extraction edi'!O46="","",'Extraction edi'!O46)</f>
        <v>725</v>
      </c>
      <c r="K43" s="1" t="str">
        <f>IF('Extraction edi'!P46="","",'Extraction edi'!P46)</f>
        <v xml:space="preserve">  220</v>
      </c>
      <c r="L43" s="1" t="str">
        <f>IF('Extraction edi'!Q46="laquage RAL :","OUI","")</f>
        <v/>
      </c>
      <c r="M43" s="1" t="str">
        <f>IF('Extraction edi'!R46&lt;&gt;"",'Extraction edi'!R46,IF(G43="ALU blanc","S9016",""))</f>
        <v/>
      </c>
      <c r="N43" s="1" t="str">
        <f>IF('Extraction edi'!S46&lt;&gt;"",'Extraction edi'!S46,IF(G43="ALU blanc","S9016",""))</f>
        <v/>
      </c>
      <c r="O43" s="11">
        <v>45952</v>
      </c>
      <c r="P43" s="1">
        <f t="shared" si="0"/>
        <v>3</v>
      </c>
    </row>
    <row r="44" spans="1:16" x14ac:dyDescent="0.25">
      <c r="A44" s="1" t="str">
        <f>IF(B44="","",CONCATENATE(B44,".",C44,"/Pos ",D44,"/",'Extraction edi'!G47))</f>
        <v>2512008.0P0/Pos 1/PE</v>
      </c>
      <c r="B44" s="1" t="str">
        <f>IF('Extraction edi'!A47="","",'Extraction edi'!A47)</f>
        <v>2512008</v>
      </c>
      <c r="C44" s="1" t="str">
        <f>IF('Extraction edi'!B47="","",'Extraction edi'!B47)</f>
        <v>0P0</v>
      </c>
      <c r="D44" s="1">
        <f>IF('Extraction edi'!H47="","",'Extraction edi'!H47)</f>
        <v>1</v>
      </c>
      <c r="E44" s="1">
        <f>IF('Extraction edi'!I47="","",'Extraction edi'!I47)</f>
        <v>1</v>
      </c>
      <c r="F44" t="str">
        <f>IF('Extraction edi'!K47="","",'Extraction edi'!K47)</f>
        <v>Type 1 / modèle 451</v>
      </c>
      <c r="G44" t="str">
        <f>IF('Extraction edi'!L47="","",'Extraction edi'!L47)</f>
        <v>PVC blanc</v>
      </c>
      <c r="H44" t="str">
        <f>IF('Extraction edi'!M47="","",'Extraction edi'!M47)</f>
        <v>PVC blanc</v>
      </c>
      <c r="I44" s="1">
        <f>IF('Extraction edi'!N47="","",'Extraction edi'!N47)</f>
        <v>28</v>
      </c>
      <c r="J44" s="1">
        <f>IF('Extraction edi'!O47="","",'Extraction edi'!O47)</f>
        <v>725</v>
      </c>
      <c r="K44" s="1" t="str">
        <f>IF('Extraction edi'!P47="","",'Extraction edi'!P47)</f>
        <v xml:space="preserve">  602</v>
      </c>
      <c r="L44" s="1" t="str">
        <f>IF('Extraction edi'!Q47="laquage RAL :","OUI","")</f>
        <v/>
      </c>
      <c r="M44" s="1" t="str">
        <f>IF('Extraction edi'!R47&lt;&gt;"",'Extraction edi'!R47,IF(G44="ALU blanc","S9016",""))</f>
        <v/>
      </c>
      <c r="N44" s="1" t="str">
        <f>IF('Extraction edi'!S47&lt;&gt;"",'Extraction edi'!S47,IF(G44="ALU blanc","S9016",""))</f>
        <v/>
      </c>
      <c r="O44" s="11">
        <v>45953</v>
      </c>
      <c r="P44" s="1">
        <f t="shared" si="0"/>
        <v>4</v>
      </c>
    </row>
    <row r="45" spans="1:16" x14ac:dyDescent="0.25">
      <c r="A45" s="1" t="str">
        <f>IF(B45="","",CONCATENATE(B45,".",C45,"/Pos ",D45,"/",'Extraction edi'!G48))</f>
        <v>2512009.HPL/Pos 1/PE</v>
      </c>
      <c r="B45" s="1" t="str">
        <f>IF('Extraction edi'!A48="","",'Extraction edi'!A48)</f>
        <v>2512009</v>
      </c>
      <c r="C45" s="1" t="str">
        <f>IF('Extraction edi'!B48="","",'Extraction edi'!B48)</f>
        <v>HPL</v>
      </c>
      <c r="D45" s="1">
        <f>IF('Extraction edi'!H48="","",'Extraction edi'!H48)</f>
        <v>1</v>
      </c>
      <c r="E45" s="1">
        <f>IF('Extraction edi'!I48="","",'Extraction edi'!I48)</f>
        <v>1</v>
      </c>
      <c r="F45" t="str">
        <f>IF('Extraction edi'!K48="","",'Extraction edi'!K48)</f>
        <v>Type 1 A / modèle 451</v>
      </c>
      <c r="G45" t="str">
        <f>IF('Extraction edi'!L48="","",'Extraction edi'!L48)</f>
        <v>ALU blanc</v>
      </c>
      <c r="H45" t="str">
        <f>IF('Extraction edi'!M48="","",'Extraction edi'!M48)</f>
        <v>ALU blanc</v>
      </c>
      <c r="I45" s="1">
        <f>IF('Extraction edi'!N48="","",'Extraction edi'!N48)</f>
        <v>28</v>
      </c>
      <c r="J45" s="1">
        <f>IF('Extraction edi'!O48="","",'Extraction edi'!O48)</f>
        <v>693</v>
      </c>
      <c r="K45" s="1" t="str">
        <f>IF('Extraction edi'!P48="","",'Extraction edi'!P48)</f>
        <v xml:space="preserve">  607</v>
      </c>
      <c r="L45" s="1" t="str">
        <f>IF('Extraction edi'!Q48="laquage RAL :","OUI","")</f>
        <v>OUI</v>
      </c>
      <c r="M45" s="1" t="str">
        <f>IF('Extraction edi'!R48&lt;&gt;"",'Extraction edi'!R48,IF(G45="ALU blanc","S9016",""))</f>
        <v>S9016</v>
      </c>
      <c r="N45" s="1" t="str">
        <f>IF('Extraction edi'!S48&lt;&gt;"",'Extraction edi'!S48,IF(G45="ALU blanc","S9016",""))</f>
        <v>S9016</v>
      </c>
      <c r="O45" s="11">
        <v>45954</v>
      </c>
      <c r="P45" s="1">
        <f t="shared" si="0"/>
        <v>5</v>
      </c>
    </row>
    <row r="46" spans="1:16" x14ac:dyDescent="0.25">
      <c r="A46" s="1" t="str">
        <f>IF(B46="","",CONCATENATE(B46,".",C46,"/Pos ",D46,"/",'Extraction edi'!G49))</f>
        <v>2512009.HPL/Pos 1/PE</v>
      </c>
      <c r="B46" s="1" t="str">
        <f>IF('Extraction edi'!A49="","",'Extraction edi'!A49)</f>
        <v>2512009</v>
      </c>
      <c r="C46" s="1" t="str">
        <f>IF('Extraction edi'!B49="","",'Extraction edi'!B49)</f>
        <v>HPL</v>
      </c>
      <c r="D46" s="1">
        <f>IF('Extraction edi'!H49="","",'Extraction edi'!H49)</f>
        <v>1</v>
      </c>
      <c r="E46" s="1">
        <f>IF('Extraction edi'!I49="","",'Extraction edi'!I49)</f>
        <v>1</v>
      </c>
      <c r="F46" t="str">
        <f>IF('Extraction edi'!K49="","",'Extraction edi'!K49)</f>
        <v>Type 1 A / modèle 451</v>
      </c>
      <c r="G46" t="str">
        <f>IF('Extraction edi'!L49="","",'Extraction edi'!L49)</f>
        <v>ALU blanc</v>
      </c>
      <c r="H46" t="str">
        <f>IF('Extraction edi'!M49="","",'Extraction edi'!M49)</f>
        <v>ALU blanc</v>
      </c>
      <c r="I46" s="1">
        <f>IF('Extraction edi'!N49="","",'Extraction edi'!N49)</f>
        <v>28</v>
      </c>
      <c r="J46" s="1">
        <f>IF('Extraction edi'!O49="","",'Extraction edi'!O49)</f>
        <v>693</v>
      </c>
      <c r="K46" s="1" t="str">
        <f>IF('Extraction edi'!P49="","",'Extraction edi'!P49)</f>
        <v xml:space="preserve">  230</v>
      </c>
      <c r="L46" s="1" t="str">
        <f>IF('Extraction edi'!Q49="laquage RAL :","OUI","")</f>
        <v>OUI</v>
      </c>
      <c r="M46" s="1" t="str">
        <f>IF('Extraction edi'!R49&lt;&gt;"",'Extraction edi'!R49,IF(G46="ALU blanc","S9016",""))</f>
        <v>S9016</v>
      </c>
      <c r="N46" s="1" t="str">
        <f>IF('Extraction edi'!S49&lt;&gt;"",'Extraction edi'!S49,IF(G46="ALU blanc","S9016",""))</f>
        <v>S9016</v>
      </c>
      <c r="O46" s="11">
        <v>45955</v>
      </c>
      <c r="P46" s="1">
        <f t="shared" si="0"/>
        <v>6</v>
      </c>
    </row>
    <row r="47" spans="1:16" x14ac:dyDescent="0.25">
      <c r="A47" s="1" t="str">
        <f>IF(B47="","",CONCATENATE(B47,".",C47,"/Pos ",D47,"/",'Extraction edi'!G50))</f>
        <v>2512095.HP0/Pos 1/PE</v>
      </c>
      <c r="B47" s="1" t="str">
        <f>IF('Extraction edi'!A50="","",'Extraction edi'!A50)</f>
        <v>2512095</v>
      </c>
      <c r="C47" s="1" t="str">
        <f>IF('Extraction edi'!B50="","",'Extraction edi'!B50)</f>
        <v>HP0</v>
      </c>
      <c r="D47" s="1">
        <f>IF('Extraction edi'!H50="","",'Extraction edi'!H50)</f>
        <v>1</v>
      </c>
      <c r="E47" s="1">
        <f>IF('Extraction edi'!I50="","",'Extraction edi'!I50)</f>
        <v>1</v>
      </c>
      <c r="F47" t="str">
        <f>IF('Extraction edi'!K50="","",'Extraction edi'!K50)</f>
        <v>Type 1 A / modèle 451</v>
      </c>
      <c r="G47" t="str">
        <f>IF('Extraction edi'!L50="","",'Extraction edi'!L50)</f>
        <v>ALU blanc</v>
      </c>
      <c r="H47" t="str">
        <f>IF('Extraction edi'!M50="","",'Extraction edi'!M50)</f>
        <v>ALU blanc</v>
      </c>
      <c r="I47" s="1">
        <f>IF('Extraction edi'!N50="","",'Extraction edi'!N50)</f>
        <v>28</v>
      </c>
      <c r="J47" s="1">
        <f>IF('Extraction edi'!O50="","",'Extraction edi'!O50)</f>
        <v>590</v>
      </c>
      <c r="K47" s="1" t="str">
        <f>IF('Extraction edi'!P50="","",'Extraction edi'!P50)</f>
        <v xml:space="preserve">  230</v>
      </c>
      <c r="L47" s="1" t="str">
        <f>IF('Extraction edi'!Q50="laquage RAL :","OUI","")</f>
        <v>OUI</v>
      </c>
      <c r="M47" s="1" t="str">
        <f>IF('Extraction edi'!R50&lt;&gt;"",'Extraction edi'!R50,IF(G47="ALU blanc","S9016",""))</f>
        <v>S9016</v>
      </c>
      <c r="N47" s="1" t="str">
        <f>IF('Extraction edi'!S50&lt;&gt;"",'Extraction edi'!S50,IF(G47="ALU blanc","S9016",""))</f>
        <v>S9016</v>
      </c>
      <c r="O47" s="11">
        <v>45956</v>
      </c>
      <c r="P47" s="1">
        <f t="shared" si="0"/>
        <v>7</v>
      </c>
    </row>
    <row r="48" spans="1:16" x14ac:dyDescent="0.25">
      <c r="A48" s="1" t="str">
        <f>IF(B48="","",CONCATENATE(B48,".",C48,"/Pos ",D48,"/",'Extraction edi'!G51))</f>
        <v>2512095.HP0/Pos 1/PE</v>
      </c>
      <c r="B48" s="1" t="str">
        <f>IF('Extraction edi'!A51="","",'Extraction edi'!A51)</f>
        <v>2512095</v>
      </c>
      <c r="C48" s="1" t="str">
        <f>IF('Extraction edi'!B51="","",'Extraction edi'!B51)</f>
        <v>HP0</v>
      </c>
      <c r="D48" s="1">
        <f>IF('Extraction edi'!H51="","",'Extraction edi'!H51)</f>
        <v>1</v>
      </c>
      <c r="E48" s="1">
        <f>IF('Extraction edi'!I51="","",'Extraction edi'!I51)</f>
        <v>1</v>
      </c>
      <c r="F48" t="str">
        <f>IF('Extraction edi'!K51="","",'Extraction edi'!K51)</f>
        <v>Type 1 A / modèle 451</v>
      </c>
      <c r="G48" t="str">
        <f>IF('Extraction edi'!L51="","",'Extraction edi'!L51)</f>
        <v>ALU blanc</v>
      </c>
      <c r="H48" t="str">
        <f>IF('Extraction edi'!M51="","",'Extraction edi'!M51)</f>
        <v>ALU blanc</v>
      </c>
      <c r="I48" s="1">
        <f>IF('Extraction edi'!N51="","",'Extraction edi'!N51)</f>
        <v>28</v>
      </c>
      <c r="J48" s="1">
        <f>IF('Extraction edi'!O51="","",'Extraction edi'!O51)</f>
        <v>590</v>
      </c>
      <c r="K48" s="1" t="str">
        <f>IF('Extraction edi'!P51="","",'Extraction edi'!P51)</f>
        <v xml:space="preserve">  586</v>
      </c>
      <c r="L48" s="1" t="str">
        <f>IF('Extraction edi'!Q51="laquage RAL :","OUI","")</f>
        <v>OUI</v>
      </c>
      <c r="M48" s="1" t="str">
        <f>IF('Extraction edi'!R51&lt;&gt;"",'Extraction edi'!R51,IF(G48="ALU blanc","S9016",""))</f>
        <v>S9016</v>
      </c>
      <c r="N48" s="1" t="str">
        <f>IF('Extraction edi'!S51&lt;&gt;"",'Extraction edi'!S51,IF(G48="ALU blanc","S9016",""))</f>
        <v>S9016</v>
      </c>
      <c r="O48" s="11">
        <v>45957</v>
      </c>
      <c r="P48" s="1">
        <f t="shared" si="0"/>
        <v>1</v>
      </c>
    </row>
    <row r="49" spans="1:16" x14ac:dyDescent="0.25">
      <c r="A49" s="1" t="str">
        <f>IF(B49="","",CONCATENATE(B49,".",C49,"/Pos ",D49,"/",'Extraction edi'!G52))</f>
        <v>2511495.000/Pos 1/STD</v>
      </c>
      <c r="B49" s="1" t="str">
        <f>IF('Extraction edi'!A52="","",'Extraction edi'!A52)</f>
        <v>2511495</v>
      </c>
      <c r="C49" s="1" t="str">
        <f>IF('Extraction edi'!B52="","",'Extraction edi'!B52)</f>
        <v>000</v>
      </c>
      <c r="D49" s="1">
        <f>IF('Extraction edi'!H52="","",'Extraction edi'!H52)</f>
        <v>1</v>
      </c>
      <c r="E49" s="1">
        <f>IF('Extraction edi'!I52="","",'Extraction edi'!I52)</f>
        <v>1</v>
      </c>
      <c r="F49" t="str">
        <f>IF('Extraction edi'!K52="","",'Extraction edi'!K52)</f>
        <v>Type 1 / modèle 451</v>
      </c>
      <c r="G49" t="str">
        <f>IF('Extraction edi'!L52="","",'Extraction edi'!L52)</f>
        <v>PVC blanc</v>
      </c>
      <c r="H49" t="str">
        <f>IF('Extraction edi'!M52="","",'Extraction edi'!M52)</f>
        <v>PVC blanc</v>
      </c>
      <c r="I49" s="1">
        <f>IF('Extraction edi'!N52="","",'Extraction edi'!N52)</f>
        <v>28</v>
      </c>
      <c r="J49" s="1">
        <f>IF('Extraction edi'!O52="","",'Extraction edi'!O52)</f>
        <v>545</v>
      </c>
      <c r="K49" s="1" t="str">
        <f>IF('Extraction edi'!P52="","",'Extraction edi'!P52)</f>
        <v xml:space="preserve">  355</v>
      </c>
      <c r="L49" s="1" t="str">
        <f>IF('Extraction edi'!Q52="laquage RAL :","OUI","")</f>
        <v/>
      </c>
      <c r="M49" s="1" t="str">
        <f>IF('Extraction edi'!R52&lt;&gt;"",'Extraction edi'!R52,IF(G49="ALU blanc","S9016",""))</f>
        <v/>
      </c>
      <c r="N49" s="1" t="str">
        <f>IF('Extraction edi'!S52&lt;&gt;"",'Extraction edi'!S52,IF(G49="ALU blanc","S9016",""))</f>
        <v/>
      </c>
      <c r="O49" s="11">
        <v>45958</v>
      </c>
      <c r="P49" s="1">
        <f t="shared" si="0"/>
        <v>2</v>
      </c>
    </row>
    <row r="50" spans="1:16" x14ac:dyDescent="0.25">
      <c r="A50" s="1" t="str">
        <f>IF(B50="","",CONCATENATE(B50,".",C50,"/Pos ",D50,"/",'Extraction edi'!G53))</f>
        <v>2511495.000/Pos 1/STD</v>
      </c>
      <c r="B50" s="1" t="str">
        <f>IF('Extraction edi'!A53="","",'Extraction edi'!A53)</f>
        <v>2511495</v>
      </c>
      <c r="C50" s="1" t="str">
        <f>IF('Extraction edi'!B53="","",'Extraction edi'!B53)</f>
        <v>000</v>
      </c>
      <c r="D50" s="1">
        <f>IF('Extraction edi'!H53="","",'Extraction edi'!H53)</f>
        <v>1</v>
      </c>
      <c r="E50" s="1">
        <f>IF('Extraction edi'!I53="","",'Extraction edi'!I53)</f>
        <v>1</v>
      </c>
      <c r="F50" t="str">
        <f>IF('Extraction edi'!K53="","",'Extraction edi'!K53)</f>
        <v>Type 1 / modèle 451</v>
      </c>
      <c r="G50" t="str">
        <f>IF('Extraction edi'!L53="","",'Extraction edi'!L53)</f>
        <v>PVC blanc</v>
      </c>
      <c r="H50" t="str">
        <f>IF('Extraction edi'!M53="","",'Extraction edi'!M53)</f>
        <v>PVC blanc</v>
      </c>
      <c r="I50" s="1">
        <f>IF('Extraction edi'!N53="","",'Extraction edi'!N53)</f>
        <v>28</v>
      </c>
      <c r="J50" s="1">
        <f>IF('Extraction edi'!O53="","",'Extraction edi'!O53)</f>
        <v>545</v>
      </c>
      <c r="K50" s="1" t="str">
        <f>IF('Extraction edi'!P53="","",'Extraction edi'!P53)</f>
        <v xml:space="preserve">  355</v>
      </c>
      <c r="L50" s="1" t="str">
        <f>IF('Extraction edi'!Q53="laquage RAL :","OUI","")</f>
        <v/>
      </c>
      <c r="M50" s="1" t="str">
        <f>IF('Extraction edi'!R53&lt;&gt;"",'Extraction edi'!R53,IF(G50="ALU blanc","S9016",""))</f>
        <v/>
      </c>
      <c r="N50" s="1" t="str">
        <f>IF('Extraction edi'!S53&lt;&gt;"",'Extraction edi'!S53,IF(G50="ALU blanc","S9016",""))</f>
        <v/>
      </c>
      <c r="O50" s="11">
        <v>45959</v>
      </c>
      <c r="P50" s="1">
        <f t="shared" si="0"/>
        <v>3</v>
      </c>
    </row>
    <row r="51" spans="1:16" x14ac:dyDescent="0.25">
      <c r="A51" s="1" t="str">
        <f>IF(B51="","",CONCATENATE(B51,".",C51,"/Pos ",D51,"/",'Extraction edi'!G54))</f>
        <v>2511558.X00/Pos 1/TEX</v>
      </c>
      <c r="B51" s="1" t="str">
        <f>IF('Extraction edi'!A54="","",'Extraction edi'!A54)</f>
        <v>2511558</v>
      </c>
      <c r="C51" s="1" t="str">
        <f>IF('Extraction edi'!B54="","",'Extraction edi'!B54)</f>
        <v>X00</v>
      </c>
      <c r="D51" s="1">
        <f>IF('Extraction edi'!H54="","",'Extraction edi'!H54)</f>
        <v>1</v>
      </c>
      <c r="E51" s="1">
        <f>IF('Extraction edi'!I54="","",'Extraction edi'!I54)</f>
        <v>1</v>
      </c>
      <c r="F51" t="str">
        <f>IF('Extraction edi'!K54="","",'Extraction edi'!K54)</f>
        <v>Type 5 / modèle 450</v>
      </c>
      <c r="G51" t="str">
        <f>IF('Extraction edi'!L54="","",'Extraction edi'!L54)</f>
        <v>PVC blanc</v>
      </c>
      <c r="H51" t="str">
        <f>IF('Extraction edi'!M54="","",'Extraction edi'!M54)</f>
        <v>Plaxé gris anthracite mat lisse/F4366003</v>
      </c>
      <c r="I51" s="1">
        <f>IF('Extraction edi'!N54="","",'Extraction edi'!N54)</f>
        <v>28</v>
      </c>
      <c r="J51" s="1">
        <f>IF('Extraction edi'!O54="","",'Extraction edi'!O54)</f>
        <v>825</v>
      </c>
      <c r="K51" s="1" t="str">
        <f>IF('Extraction edi'!P54="","",'Extraction edi'!P54)</f>
        <v xml:space="preserve">  1868</v>
      </c>
      <c r="L51" s="1" t="str">
        <f>IF('Extraction edi'!Q54="laquage RAL :","OUI","")</f>
        <v/>
      </c>
      <c r="M51" s="1" t="str">
        <f>IF('Extraction edi'!R54&lt;&gt;"",'Extraction edi'!R54,IF(G51="ALU blanc","S9016",""))</f>
        <v/>
      </c>
      <c r="N51" s="1" t="str">
        <f>IF('Extraction edi'!S54&lt;&gt;"",'Extraction edi'!S54,IF(G51="ALU blanc","S9016",""))</f>
        <v/>
      </c>
      <c r="O51" s="11">
        <v>45960</v>
      </c>
      <c r="P51" s="1">
        <f t="shared" si="0"/>
        <v>4</v>
      </c>
    </row>
    <row r="52" spans="1:16" x14ac:dyDescent="0.25">
      <c r="A52" s="1" t="str">
        <f>IF(B52="","",CONCATENATE(B52,".",C52,"/Pos ",D52,"/",'Extraction edi'!G55))</f>
        <v>2511789.X04/Pos 1/TEX</v>
      </c>
      <c r="B52" s="1" t="str">
        <f>IF('Extraction edi'!A55="","",'Extraction edi'!A55)</f>
        <v>2511789</v>
      </c>
      <c r="C52" s="1" t="str">
        <f>IF('Extraction edi'!B55="","",'Extraction edi'!B55)</f>
        <v>X04</v>
      </c>
      <c r="D52" s="1">
        <f>IF('Extraction edi'!H55="","",'Extraction edi'!H55)</f>
        <v>1</v>
      </c>
      <c r="E52" s="1">
        <f>IF('Extraction edi'!I55="","",'Extraction edi'!I55)</f>
        <v>1</v>
      </c>
      <c r="F52" t="str">
        <f>IF('Extraction edi'!K55="","",'Extraction edi'!K55)</f>
        <v>Type 1 / modèle 451</v>
      </c>
      <c r="G52" t="str">
        <f>IF('Extraction edi'!L55="","",'Extraction edi'!L55)</f>
        <v>Plaxé gris anthracite mat lisse/F4366003</v>
      </c>
      <c r="H52" t="str">
        <f>IF('Extraction edi'!M55="","",'Extraction edi'!M55)</f>
        <v>PVC blanc</v>
      </c>
      <c r="I52" s="1">
        <f>IF('Extraction edi'!N55="","",'Extraction edi'!N55)</f>
        <v>28</v>
      </c>
      <c r="J52" s="1">
        <f>IF('Extraction edi'!O55="","",'Extraction edi'!O55)</f>
        <v>753</v>
      </c>
      <c r="K52" s="1" t="str">
        <f>IF('Extraction edi'!P55="","",'Extraction edi'!P55)</f>
        <v xml:space="preserve">  761</v>
      </c>
      <c r="L52" s="1" t="str">
        <f>IF('Extraction edi'!Q55="laquage RAL :","OUI","")</f>
        <v/>
      </c>
      <c r="M52" s="1" t="str">
        <f>IF('Extraction edi'!R55&lt;&gt;"",'Extraction edi'!R55,IF(G52="ALU blanc","S9016",""))</f>
        <v/>
      </c>
      <c r="N52" s="1" t="str">
        <f>IF('Extraction edi'!S55&lt;&gt;"",'Extraction edi'!S55,IF(G52="ALU blanc","S9016",""))</f>
        <v/>
      </c>
      <c r="O52" s="11">
        <v>45961</v>
      </c>
      <c r="P52" s="1">
        <f t="shared" si="0"/>
        <v>5</v>
      </c>
    </row>
    <row r="53" spans="1:16" x14ac:dyDescent="0.25">
      <c r="A53" s="1" t="str">
        <f>IF(B53="","",CONCATENATE(B53,".",C53,"/Pos ",D53,"/",'Extraction edi'!G56))</f>
        <v>2511789.X04/Pos 2/TEX</v>
      </c>
      <c r="B53" s="1" t="str">
        <f>IF('Extraction edi'!A56="","",'Extraction edi'!A56)</f>
        <v>2511789</v>
      </c>
      <c r="C53" s="1" t="str">
        <f>IF('Extraction edi'!B56="","",'Extraction edi'!B56)</f>
        <v>X04</v>
      </c>
      <c r="D53" s="1">
        <f>IF('Extraction edi'!H56="","",'Extraction edi'!H56)</f>
        <v>2</v>
      </c>
      <c r="E53" s="1">
        <f>IF('Extraction edi'!I56="","",'Extraction edi'!I56)</f>
        <v>1</v>
      </c>
      <c r="F53" t="str">
        <f>IF('Extraction edi'!K56="","",'Extraction edi'!K56)</f>
        <v>Type 1 / modèle 451</v>
      </c>
      <c r="G53" t="str">
        <f>IF('Extraction edi'!L56="","",'Extraction edi'!L56)</f>
        <v>Plaxé gris anthracite mat lisse/F4366003</v>
      </c>
      <c r="H53" t="str">
        <f>IF('Extraction edi'!M56="","",'Extraction edi'!M56)</f>
        <v>PVC blanc</v>
      </c>
      <c r="I53" s="1">
        <f>IF('Extraction edi'!N56="","",'Extraction edi'!N56)</f>
        <v>28</v>
      </c>
      <c r="J53" s="1">
        <f>IF('Extraction edi'!O56="","",'Extraction edi'!O56)</f>
        <v>718</v>
      </c>
      <c r="K53" s="1" t="str">
        <f>IF('Extraction edi'!P56="","",'Extraction edi'!P56)</f>
        <v xml:space="preserve">  661</v>
      </c>
      <c r="L53" s="1" t="str">
        <f>IF('Extraction edi'!Q56="laquage RAL :","OUI","")</f>
        <v/>
      </c>
      <c r="M53" s="1" t="str">
        <f>IF('Extraction edi'!R56&lt;&gt;"",'Extraction edi'!R56,IF(G53="ALU blanc","S9016",""))</f>
        <v/>
      </c>
      <c r="N53" s="1" t="str">
        <f>IF('Extraction edi'!S56&lt;&gt;"",'Extraction edi'!S56,IF(G53="ALU blanc","S9016",""))</f>
        <v/>
      </c>
      <c r="O53" s="11">
        <v>45962</v>
      </c>
      <c r="P53" s="1">
        <f t="shared" si="0"/>
        <v>6</v>
      </c>
    </row>
    <row r="54" spans="1:16" x14ac:dyDescent="0.25">
      <c r="A54" s="1" t="str">
        <f>IF(B54="","",CONCATENATE(B54,".",C54,"/Pos ",D54,"/",'Extraction edi'!G57))</f>
        <v>2511824.000/Pos 3/STD</v>
      </c>
      <c r="B54" s="1" t="str">
        <f>IF('Extraction edi'!A57="","",'Extraction edi'!A57)</f>
        <v>2511824</v>
      </c>
      <c r="C54" s="1" t="str">
        <f>IF('Extraction edi'!B57="","",'Extraction edi'!B57)</f>
        <v>000</v>
      </c>
      <c r="D54" s="1">
        <f>IF('Extraction edi'!H57="","",'Extraction edi'!H57)</f>
        <v>3</v>
      </c>
      <c r="E54" s="1">
        <f>IF('Extraction edi'!I57="","",'Extraction edi'!I57)</f>
        <v>1</v>
      </c>
      <c r="F54" t="str">
        <f>IF('Extraction edi'!K57="","",'Extraction edi'!K57)</f>
        <v>Type 1 / modèle 451</v>
      </c>
      <c r="G54" t="str">
        <f>IF('Extraction edi'!L57="","",'Extraction edi'!L57)</f>
        <v>PVC blanc</v>
      </c>
      <c r="H54" t="str">
        <f>IF('Extraction edi'!M57="","",'Extraction edi'!M57)</f>
        <v>PVC blanc</v>
      </c>
      <c r="I54" s="1">
        <f>IF('Extraction edi'!N57="","",'Extraction edi'!N57)</f>
        <v>28</v>
      </c>
      <c r="J54" s="1">
        <f>IF('Extraction edi'!O57="","",'Extraction edi'!O57)</f>
        <v>532</v>
      </c>
      <c r="K54" s="1" t="str">
        <f>IF('Extraction edi'!P57="","",'Extraction edi'!P57)</f>
        <v xml:space="preserve">  294</v>
      </c>
      <c r="L54" s="1" t="str">
        <f>IF('Extraction edi'!Q57="laquage RAL :","OUI","")</f>
        <v/>
      </c>
      <c r="M54" s="1" t="str">
        <f>IF('Extraction edi'!R57&lt;&gt;"",'Extraction edi'!R57,IF(G54="ALU blanc","S9016",""))</f>
        <v/>
      </c>
      <c r="N54" s="1" t="str">
        <f>IF('Extraction edi'!S57&lt;&gt;"",'Extraction edi'!S57,IF(G54="ALU blanc","S9016",""))</f>
        <v/>
      </c>
      <c r="O54" s="11">
        <v>45963</v>
      </c>
      <c r="P54" s="1">
        <f t="shared" si="0"/>
        <v>7</v>
      </c>
    </row>
    <row r="55" spans="1:16" x14ac:dyDescent="0.25">
      <c r="A55" s="1" t="str">
        <f>IF(B55="","",CONCATENATE(B55,".",C55,"/Pos ",D55,"/",'Extraction edi'!G58))</f>
        <v>2511824.000/Pos 3/STD</v>
      </c>
      <c r="B55" s="1" t="str">
        <f>IF('Extraction edi'!A58="","",'Extraction edi'!A58)</f>
        <v>2511824</v>
      </c>
      <c r="C55" s="1" t="str">
        <f>IF('Extraction edi'!B58="","",'Extraction edi'!B58)</f>
        <v>000</v>
      </c>
      <c r="D55" s="1">
        <f>IF('Extraction edi'!H58="","",'Extraction edi'!H58)</f>
        <v>3</v>
      </c>
      <c r="E55" s="1">
        <f>IF('Extraction edi'!I58="","",'Extraction edi'!I58)</f>
        <v>1</v>
      </c>
      <c r="F55" t="str">
        <f>IF('Extraction edi'!K58="","",'Extraction edi'!K58)</f>
        <v>Type 1 / modèle 451</v>
      </c>
      <c r="G55" t="str">
        <f>IF('Extraction edi'!L58="","",'Extraction edi'!L58)</f>
        <v>PVC blanc</v>
      </c>
      <c r="H55" t="str">
        <f>IF('Extraction edi'!M58="","",'Extraction edi'!M58)</f>
        <v>PVC blanc</v>
      </c>
      <c r="I55" s="1">
        <f>IF('Extraction edi'!N58="","",'Extraction edi'!N58)</f>
        <v>28</v>
      </c>
      <c r="J55" s="1">
        <f>IF('Extraction edi'!O58="","",'Extraction edi'!O58)</f>
        <v>532</v>
      </c>
      <c r="K55" s="1" t="str">
        <f>IF('Extraction edi'!P58="","",'Extraction edi'!P58)</f>
        <v xml:space="preserve">  294</v>
      </c>
      <c r="L55" s="1" t="str">
        <f>IF('Extraction edi'!Q58="laquage RAL :","OUI","")</f>
        <v/>
      </c>
      <c r="M55" s="1" t="str">
        <f>IF('Extraction edi'!R58&lt;&gt;"",'Extraction edi'!R58,IF(G55="ALU blanc","S9016",""))</f>
        <v/>
      </c>
      <c r="N55" s="1" t="str">
        <f>IF('Extraction edi'!S58&lt;&gt;"",'Extraction edi'!S58,IF(G55="ALU blanc","S9016",""))</f>
        <v/>
      </c>
      <c r="O55" s="11">
        <v>45964</v>
      </c>
      <c r="P55" s="1">
        <f t="shared" si="0"/>
        <v>1</v>
      </c>
    </row>
    <row r="56" spans="1:16" x14ac:dyDescent="0.25">
      <c r="A56" s="1" t="str">
        <f>IF(B56="","",CONCATENATE(B56,".",C56,"/Pos ",D56,"/",'Extraction edi'!G59))</f>
        <v>2511824.000/Pos 4/STD</v>
      </c>
      <c r="B56" s="1" t="str">
        <f>IF('Extraction edi'!A59="","",'Extraction edi'!A59)</f>
        <v>2511824</v>
      </c>
      <c r="C56" s="1" t="str">
        <f>IF('Extraction edi'!B59="","",'Extraction edi'!B59)</f>
        <v>000</v>
      </c>
      <c r="D56" s="1">
        <f>IF('Extraction edi'!H59="","",'Extraction edi'!H59)</f>
        <v>4</v>
      </c>
      <c r="E56" s="1">
        <f>IF('Extraction edi'!I59="","",'Extraction edi'!I59)</f>
        <v>1</v>
      </c>
      <c r="F56" t="str">
        <f>IF('Extraction edi'!K59="","",'Extraction edi'!K59)</f>
        <v>Type 1 / modèle 451</v>
      </c>
      <c r="G56" t="str">
        <f>IF('Extraction edi'!L59="","",'Extraction edi'!L59)</f>
        <v>PVC blanc</v>
      </c>
      <c r="H56" t="str">
        <f>IF('Extraction edi'!M59="","",'Extraction edi'!M59)</f>
        <v>PVC blanc</v>
      </c>
      <c r="I56" s="1">
        <f>IF('Extraction edi'!N59="","",'Extraction edi'!N59)</f>
        <v>28</v>
      </c>
      <c r="J56" s="1">
        <f>IF('Extraction edi'!O59="","",'Extraction edi'!O59)</f>
        <v>520</v>
      </c>
      <c r="K56" s="1" t="str">
        <f>IF('Extraction edi'!P59="","",'Extraction edi'!P59)</f>
        <v xml:space="preserve">  294</v>
      </c>
      <c r="L56" s="1" t="str">
        <f>IF('Extraction edi'!Q59="laquage RAL :","OUI","")</f>
        <v/>
      </c>
      <c r="M56" s="1" t="str">
        <f>IF('Extraction edi'!R59&lt;&gt;"",'Extraction edi'!R59,IF(G56="ALU blanc","S9016",""))</f>
        <v/>
      </c>
      <c r="N56" s="1" t="str">
        <f>IF('Extraction edi'!S59&lt;&gt;"",'Extraction edi'!S59,IF(G56="ALU blanc","S9016",""))</f>
        <v/>
      </c>
      <c r="O56" s="11">
        <v>45965</v>
      </c>
      <c r="P56" s="1">
        <f t="shared" si="0"/>
        <v>2</v>
      </c>
    </row>
    <row r="57" spans="1:16" x14ac:dyDescent="0.25">
      <c r="A57" s="1" t="str">
        <f>IF(B57="","",CONCATENATE(B57,".",C57,"/Pos ",D57,"/",'Extraction edi'!G60))</f>
        <v>2511824.000/Pos 4/STD</v>
      </c>
      <c r="B57" s="1" t="str">
        <f>IF('Extraction edi'!A60="","",'Extraction edi'!A60)</f>
        <v>2511824</v>
      </c>
      <c r="C57" s="1" t="str">
        <f>IF('Extraction edi'!B60="","",'Extraction edi'!B60)</f>
        <v>000</v>
      </c>
      <c r="D57" s="1">
        <f>IF('Extraction edi'!H60="","",'Extraction edi'!H60)</f>
        <v>4</v>
      </c>
      <c r="E57" s="1">
        <f>IF('Extraction edi'!I60="","",'Extraction edi'!I60)</f>
        <v>1</v>
      </c>
      <c r="F57" t="str">
        <f>IF('Extraction edi'!K60="","",'Extraction edi'!K60)</f>
        <v>Type 1 / modèle 451</v>
      </c>
      <c r="G57" t="str">
        <f>IF('Extraction edi'!L60="","",'Extraction edi'!L60)</f>
        <v>PVC blanc</v>
      </c>
      <c r="H57" t="str">
        <f>IF('Extraction edi'!M60="","",'Extraction edi'!M60)</f>
        <v>PVC blanc</v>
      </c>
      <c r="I57" s="1">
        <f>IF('Extraction edi'!N60="","",'Extraction edi'!N60)</f>
        <v>28</v>
      </c>
      <c r="J57" s="1">
        <f>IF('Extraction edi'!O60="","",'Extraction edi'!O60)</f>
        <v>520</v>
      </c>
      <c r="K57" s="1" t="str">
        <f>IF('Extraction edi'!P60="","",'Extraction edi'!P60)</f>
        <v xml:space="preserve">  294</v>
      </c>
      <c r="L57" s="1" t="str">
        <f>IF('Extraction edi'!Q60="laquage RAL :","OUI","")</f>
        <v/>
      </c>
      <c r="M57" s="1" t="str">
        <f>IF('Extraction edi'!R60&lt;&gt;"",'Extraction edi'!R60,IF(G57="ALU blanc","S9016",""))</f>
        <v/>
      </c>
      <c r="N57" s="1" t="str">
        <f>IF('Extraction edi'!S60&lt;&gt;"",'Extraction edi'!S60,IF(G57="ALU blanc","S9016",""))</f>
        <v/>
      </c>
      <c r="O57" s="11">
        <v>45966</v>
      </c>
      <c r="P57" s="1">
        <f t="shared" si="0"/>
        <v>3</v>
      </c>
    </row>
    <row r="58" spans="1:16" x14ac:dyDescent="0.25">
      <c r="A58" s="1" t="str">
        <f>IF(B58="","",CONCATENATE(B58,".",C58,"/Pos ",D58,"/",'Extraction edi'!G61))</f>
        <v>2511824.000/Pos 5/STD</v>
      </c>
      <c r="B58" s="1" t="str">
        <f>IF('Extraction edi'!A61="","",'Extraction edi'!A61)</f>
        <v>2511824</v>
      </c>
      <c r="C58" s="1" t="str">
        <f>IF('Extraction edi'!B61="","",'Extraction edi'!B61)</f>
        <v>000</v>
      </c>
      <c r="D58" s="1">
        <f>IF('Extraction edi'!H61="","",'Extraction edi'!H61)</f>
        <v>5</v>
      </c>
      <c r="E58" s="1">
        <f>IF('Extraction edi'!I61="","",'Extraction edi'!I61)</f>
        <v>1</v>
      </c>
      <c r="F58" t="str">
        <f>IF('Extraction edi'!K61="","",'Extraction edi'!K61)</f>
        <v>Type 1 / modèle 451</v>
      </c>
      <c r="G58" t="str">
        <f>IF('Extraction edi'!L61="","",'Extraction edi'!L61)</f>
        <v>PVC blanc</v>
      </c>
      <c r="H58" t="str">
        <f>IF('Extraction edi'!M61="","",'Extraction edi'!M61)</f>
        <v>PVC blanc</v>
      </c>
      <c r="I58" s="1">
        <f>IF('Extraction edi'!N61="","",'Extraction edi'!N61)</f>
        <v>28</v>
      </c>
      <c r="J58" s="1">
        <f>IF('Extraction edi'!O61="","",'Extraction edi'!O61)</f>
        <v>669</v>
      </c>
      <c r="K58" s="1" t="str">
        <f>IF('Extraction edi'!P61="","",'Extraction edi'!P61)</f>
        <v xml:space="preserve">  781</v>
      </c>
      <c r="L58" s="1" t="str">
        <f>IF('Extraction edi'!Q61="laquage RAL :","OUI","")</f>
        <v/>
      </c>
      <c r="M58" s="1" t="str">
        <f>IF('Extraction edi'!R61&lt;&gt;"",'Extraction edi'!R61,IF(G58="ALU blanc","S9016",""))</f>
        <v/>
      </c>
      <c r="N58" s="1" t="str">
        <f>IF('Extraction edi'!S61&lt;&gt;"",'Extraction edi'!S61,IF(G58="ALU blanc","S9016",""))</f>
        <v/>
      </c>
      <c r="O58" s="11">
        <v>45967</v>
      </c>
      <c r="P58" s="1">
        <f t="shared" si="0"/>
        <v>4</v>
      </c>
    </row>
    <row r="59" spans="1:16" x14ac:dyDescent="0.25">
      <c r="A59" s="1" t="str">
        <f>IF(B59="","",CONCATENATE(B59,".",C59,"/Pos ",D59,"/",'Extraction edi'!G62))</f>
        <v>2511824.000/Pos 8/STD</v>
      </c>
      <c r="B59" s="1" t="str">
        <f>IF('Extraction edi'!A62="","",'Extraction edi'!A62)</f>
        <v>2511824</v>
      </c>
      <c r="C59" s="1" t="str">
        <f>IF('Extraction edi'!B62="","",'Extraction edi'!B62)</f>
        <v>000</v>
      </c>
      <c r="D59" s="1">
        <f>IF('Extraction edi'!H62="","",'Extraction edi'!H62)</f>
        <v>8</v>
      </c>
      <c r="E59" s="1">
        <f>IF('Extraction edi'!I62="","",'Extraction edi'!I62)</f>
        <v>1</v>
      </c>
      <c r="F59" t="str">
        <f>IF('Extraction edi'!K62="","",'Extraction edi'!K62)</f>
        <v>Type 1 / modèle 451</v>
      </c>
      <c r="G59" t="str">
        <f>IF('Extraction edi'!L62="","",'Extraction edi'!L62)</f>
        <v>PVC blanc</v>
      </c>
      <c r="H59" t="str">
        <f>IF('Extraction edi'!M62="","",'Extraction edi'!M62)</f>
        <v>PVC blanc</v>
      </c>
      <c r="I59" s="1">
        <f>IF('Extraction edi'!N62="","",'Extraction edi'!N62)</f>
        <v>28</v>
      </c>
      <c r="J59" s="1">
        <f>IF('Extraction edi'!O62="","",'Extraction edi'!O62)</f>
        <v>600</v>
      </c>
      <c r="K59" s="1" t="str">
        <f>IF('Extraction edi'!P62="","",'Extraction edi'!P62)</f>
        <v xml:space="preserve">  681</v>
      </c>
      <c r="L59" s="1" t="str">
        <f>IF('Extraction edi'!Q62="laquage RAL :","OUI","")</f>
        <v/>
      </c>
      <c r="M59" s="1" t="str">
        <f>IF('Extraction edi'!R62&lt;&gt;"",'Extraction edi'!R62,IF(G59="ALU blanc","S9016",""))</f>
        <v/>
      </c>
      <c r="N59" s="1" t="str">
        <f>IF('Extraction edi'!S62&lt;&gt;"",'Extraction edi'!S62,IF(G59="ALU blanc","S9016",""))</f>
        <v/>
      </c>
      <c r="O59" s="11">
        <v>45968</v>
      </c>
      <c r="P59" s="1">
        <f t="shared" si="0"/>
        <v>5</v>
      </c>
    </row>
    <row r="60" spans="1:16" x14ac:dyDescent="0.25">
      <c r="A60" s="1" t="str">
        <f>IF(B60="","",CONCATENATE(B60,".",C60,"/Pos ",D60,"/",'Extraction edi'!G63))</f>
        <v>2511856.X00/Pos 1/TEX</v>
      </c>
      <c r="B60" s="1" t="str">
        <f>IF('Extraction edi'!A63="","",'Extraction edi'!A63)</f>
        <v>2511856</v>
      </c>
      <c r="C60" s="1" t="str">
        <f>IF('Extraction edi'!B63="","",'Extraction edi'!B63)</f>
        <v>X00</v>
      </c>
      <c r="D60" s="1">
        <f>IF('Extraction edi'!H63="","",'Extraction edi'!H63)</f>
        <v>1</v>
      </c>
      <c r="E60" s="1">
        <f>IF('Extraction edi'!I63="","",'Extraction edi'!I63)</f>
        <v>1</v>
      </c>
      <c r="F60" t="str">
        <f>IF('Extraction edi'!K63="","",'Extraction edi'!K63)</f>
        <v>Type 1 / modèle 451</v>
      </c>
      <c r="G60" t="str">
        <f>IF('Extraction edi'!L63="","",'Extraction edi'!L63)</f>
        <v>PVC blanc</v>
      </c>
      <c r="H60" t="str">
        <f>IF('Extraction edi'!M63="","",'Extraction edi'!M63)</f>
        <v>Plaxé acajou / 9.2065 321 - 116700</v>
      </c>
      <c r="I60" s="1">
        <f>IF('Extraction edi'!N63="","",'Extraction edi'!N63)</f>
        <v>28</v>
      </c>
      <c r="J60" s="1">
        <f>IF('Extraction edi'!O63="","",'Extraction edi'!O63)</f>
        <v>559</v>
      </c>
      <c r="K60" s="1" t="str">
        <f>IF('Extraction edi'!P63="","",'Extraction edi'!P63)</f>
        <v xml:space="preserve">  681</v>
      </c>
      <c r="L60" s="1" t="str">
        <f>IF('Extraction edi'!Q63="laquage RAL :","OUI","")</f>
        <v/>
      </c>
      <c r="M60" s="1" t="str">
        <f>IF('Extraction edi'!R63&lt;&gt;"",'Extraction edi'!R63,IF(G60="ALU blanc","S9016",""))</f>
        <v/>
      </c>
      <c r="N60" s="1" t="str">
        <f>IF('Extraction edi'!S63&lt;&gt;"",'Extraction edi'!S63,IF(G60="ALU blanc","S9016",""))</f>
        <v/>
      </c>
      <c r="O60" s="11">
        <v>45969</v>
      </c>
      <c r="P60" s="1">
        <f t="shared" si="0"/>
        <v>6</v>
      </c>
    </row>
    <row r="61" spans="1:16" x14ac:dyDescent="0.25">
      <c r="A61" s="1" t="str">
        <f>IF(B61="","",CONCATENATE(B61,".",C61,"/Pos ",D61,"/",'Extraction edi'!G64))</f>
        <v>2511856.X00/Pos 2/TEX</v>
      </c>
      <c r="B61" s="1" t="str">
        <f>IF('Extraction edi'!A64="","",'Extraction edi'!A64)</f>
        <v>2511856</v>
      </c>
      <c r="C61" s="1" t="str">
        <f>IF('Extraction edi'!B64="","",'Extraction edi'!B64)</f>
        <v>X00</v>
      </c>
      <c r="D61" s="1">
        <f>IF('Extraction edi'!H64="","",'Extraction edi'!H64)</f>
        <v>2</v>
      </c>
      <c r="E61" s="1">
        <f>IF('Extraction edi'!I64="","",'Extraction edi'!I64)</f>
        <v>1</v>
      </c>
      <c r="F61" t="str">
        <f>IF('Extraction edi'!K64="","",'Extraction edi'!K64)</f>
        <v>Type 1 / modèle 451</v>
      </c>
      <c r="G61" t="str">
        <f>IF('Extraction edi'!L64="","",'Extraction edi'!L64)</f>
        <v>PVC blanc</v>
      </c>
      <c r="H61" t="str">
        <f>IF('Extraction edi'!M64="","",'Extraction edi'!M64)</f>
        <v>Plaxé acajou / 9.2065 321 - 116700</v>
      </c>
      <c r="I61" s="1">
        <f>IF('Extraction edi'!N64="","",'Extraction edi'!N64)</f>
        <v>28</v>
      </c>
      <c r="J61" s="1">
        <f>IF('Extraction edi'!O64="","",'Extraction edi'!O64)</f>
        <v>559</v>
      </c>
      <c r="K61" s="1" t="str">
        <f>IF('Extraction edi'!P64="","",'Extraction edi'!P64)</f>
        <v xml:space="preserve">  281</v>
      </c>
      <c r="L61" s="1" t="str">
        <f>IF('Extraction edi'!Q64="laquage RAL :","OUI","")</f>
        <v/>
      </c>
      <c r="M61" s="1" t="str">
        <f>IF('Extraction edi'!R64&lt;&gt;"",'Extraction edi'!R64,IF(G61="ALU blanc","S9016",""))</f>
        <v/>
      </c>
      <c r="N61" s="1" t="str">
        <f>IF('Extraction edi'!S64&lt;&gt;"",'Extraction edi'!S64,IF(G61="ALU blanc","S9016",""))</f>
        <v/>
      </c>
      <c r="O61" s="11">
        <v>45970</v>
      </c>
      <c r="P61" s="1">
        <f t="shared" si="0"/>
        <v>7</v>
      </c>
    </row>
    <row r="62" spans="1:16" x14ac:dyDescent="0.25">
      <c r="A62" s="1" t="str">
        <f>IF(B62="","",CONCATENATE(B62,".",C62,"/Pos ",D62,"/",'Extraction edi'!G65))</f>
        <v>2511870.000/Pos 2/STD</v>
      </c>
      <c r="B62" s="1" t="str">
        <f>IF('Extraction edi'!A65="","",'Extraction edi'!A65)</f>
        <v>2511870</v>
      </c>
      <c r="C62" s="1" t="str">
        <f>IF('Extraction edi'!B65="","",'Extraction edi'!B65)</f>
        <v>000</v>
      </c>
      <c r="D62" s="1">
        <f>IF('Extraction edi'!H65="","",'Extraction edi'!H65)</f>
        <v>2</v>
      </c>
      <c r="E62" s="1">
        <f>IF('Extraction edi'!I65="","",'Extraction edi'!I65)</f>
        <v>1</v>
      </c>
      <c r="F62" t="str">
        <f>IF('Extraction edi'!K65="","",'Extraction edi'!K65)</f>
        <v>Type 1 / modèle 451</v>
      </c>
      <c r="G62" t="str">
        <f>IF('Extraction edi'!L65="","",'Extraction edi'!L65)</f>
        <v>PVC blanc</v>
      </c>
      <c r="H62" t="str">
        <f>IF('Extraction edi'!M65="","",'Extraction edi'!M65)</f>
        <v>PVC blanc</v>
      </c>
      <c r="I62" s="1">
        <f>IF('Extraction edi'!N65="","",'Extraction edi'!N65)</f>
        <v>28</v>
      </c>
      <c r="J62" s="1">
        <f>IF('Extraction edi'!O65="","",'Extraction edi'!O65)</f>
        <v>620</v>
      </c>
      <c r="K62" s="1" t="str">
        <f>IF('Extraction edi'!P65="","",'Extraction edi'!P65)</f>
        <v xml:space="preserve">  1481</v>
      </c>
      <c r="L62" s="1" t="str">
        <f>IF('Extraction edi'!Q65="laquage RAL :","OUI","")</f>
        <v/>
      </c>
      <c r="M62" s="1" t="str">
        <f>IF('Extraction edi'!R65&lt;&gt;"",'Extraction edi'!R65,IF(G62="ALU blanc","S9016",""))</f>
        <v/>
      </c>
      <c r="N62" s="1" t="str">
        <f>IF('Extraction edi'!S65&lt;&gt;"",'Extraction edi'!S65,IF(G62="ALU blanc","S9016",""))</f>
        <v/>
      </c>
      <c r="O62" s="11">
        <v>45971</v>
      </c>
      <c r="P62" s="1">
        <f t="shared" ref="P62:P125" si="1">WEEKDAY(O62,2)</f>
        <v>1</v>
      </c>
    </row>
    <row r="63" spans="1:16" x14ac:dyDescent="0.25">
      <c r="A63" s="1" t="str">
        <f>IF(B63="","",CONCATENATE(B63,".",C63,"/Pos ",D63,"/",'Extraction edi'!G66))</f>
        <v>2511888.004/Pos 1/STD</v>
      </c>
      <c r="B63" s="1" t="str">
        <f>IF('Extraction edi'!A66="","",'Extraction edi'!A66)</f>
        <v>2511888</v>
      </c>
      <c r="C63" s="1" t="str">
        <f>IF('Extraction edi'!B66="","",'Extraction edi'!B66)</f>
        <v>004</v>
      </c>
      <c r="D63" s="1">
        <f>IF('Extraction edi'!H66="","",'Extraction edi'!H66)</f>
        <v>1</v>
      </c>
      <c r="E63" s="1">
        <f>IF('Extraction edi'!I66="","",'Extraction edi'!I66)</f>
        <v>1</v>
      </c>
      <c r="F63" t="str">
        <f>IF('Extraction edi'!K66="","",'Extraction edi'!K66)</f>
        <v>Type 1 / modèle 451</v>
      </c>
      <c r="G63" t="str">
        <f>IF('Extraction edi'!L66="","",'Extraction edi'!L66)</f>
        <v>PVC blanc</v>
      </c>
      <c r="H63" t="str">
        <f>IF('Extraction edi'!M66="","",'Extraction edi'!M66)</f>
        <v>PVC blanc</v>
      </c>
      <c r="I63" s="1">
        <f>IF('Extraction edi'!N66="","",'Extraction edi'!N66)</f>
        <v>28</v>
      </c>
      <c r="J63" s="1">
        <f>IF('Extraction edi'!O66="","",'Extraction edi'!O66)</f>
        <v>454</v>
      </c>
      <c r="K63" s="1" t="str">
        <f>IF('Extraction edi'!P66="","",'Extraction edi'!P66)</f>
        <v xml:space="preserve">  411</v>
      </c>
      <c r="L63" s="1" t="str">
        <f>IF('Extraction edi'!Q66="laquage RAL :","OUI","")</f>
        <v/>
      </c>
      <c r="M63" s="1" t="str">
        <f>IF('Extraction edi'!R66&lt;&gt;"",'Extraction edi'!R66,IF(G63="ALU blanc","S9016",""))</f>
        <v/>
      </c>
      <c r="N63" s="1" t="str">
        <f>IF('Extraction edi'!S66&lt;&gt;"",'Extraction edi'!S66,IF(G63="ALU blanc","S9016",""))</f>
        <v/>
      </c>
      <c r="O63" s="11">
        <v>45972</v>
      </c>
      <c r="P63" s="1">
        <f t="shared" si="1"/>
        <v>2</v>
      </c>
    </row>
    <row r="64" spans="1:16" x14ac:dyDescent="0.25">
      <c r="A64" s="1" t="str">
        <f>IF(B64="","",CONCATENATE(B64,".",C64,"/Pos ",D64,"/",'Extraction edi'!G67))</f>
        <v>2511888.004/Pos 1/STD</v>
      </c>
      <c r="B64" s="1" t="str">
        <f>IF('Extraction edi'!A67="","",'Extraction edi'!A67)</f>
        <v>2511888</v>
      </c>
      <c r="C64" s="1" t="str">
        <f>IF('Extraction edi'!B67="","",'Extraction edi'!B67)</f>
        <v>004</v>
      </c>
      <c r="D64" s="1">
        <f>IF('Extraction edi'!H67="","",'Extraction edi'!H67)</f>
        <v>1</v>
      </c>
      <c r="E64" s="1">
        <f>IF('Extraction edi'!I67="","",'Extraction edi'!I67)</f>
        <v>1</v>
      </c>
      <c r="F64" t="str">
        <f>IF('Extraction edi'!K67="","",'Extraction edi'!K67)</f>
        <v>Type 1 / modèle 451</v>
      </c>
      <c r="G64" t="str">
        <f>IF('Extraction edi'!L67="","",'Extraction edi'!L67)</f>
        <v>PVC blanc</v>
      </c>
      <c r="H64" t="str">
        <f>IF('Extraction edi'!M67="","",'Extraction edi'!M67)</f>
        <v>PVC blanc</v>
      </c>
      <c r="I64" s="1">
        <f>IF('Extraction edi'!N67="","",'Extraction edi'!N67)</f>
        <v>28</v>
      </c>
      <c r="J64" s="1">
        <f>IF('Extraction edi'!O67="","",'Extraction edi'!O67)</f>
        <v>454</v>
      </c>
      <c r="K64" s="1" t="str">
        <f>IF('Extraction edi'!P67="","",'Extraction edi'!P67)</f>
        <v xml:space="preserve">  411</v>
      </c>
      <c r="L64" s="1" t="str">
        <f>IF('Extraction edi'!Q67="laquage RAL :","OUI","")</f>
        <v/>
      </c>
      <c r="M64" s="1" t="str">
        <f>IF('Extraction edi'!R67&lt;&gt;"",'Extraction edi'!R67,IF(G64="ALU blanc","S9016",""))</f>
        <v/>
      </c>
      <c r="N64" s="1" t="str">
        <f>IF('Extraction edi'!S67&lt;&gt;"",'Extraction edi'!S67,IF(G64="ALU blanc","S9016",""))</f>
        <v/>
      </c>
      <c r="O64" s="11">
        <v>45973</v>
      </c>
      <c r="P64" s="1">
        <f t="shared" si="1"/>
        <v>3</v>
      </c>
    </row>
    <row r="65" spans="1:16" x14ac:dyDescent="0.25">
      <c r="A65" s="1" t="str">
        <f>IF(B65="","",CONCATENATE(B65,".",C65,"/Pos ",D65,"/",'Extraction edi'!G68))</f>
        <v>2511888.004/Pos 2/STD</v>
      </c>
      <c r="B65" s="1" t="str">
        <f>IF('Extraction edi'!A68="","",'Extraction edi'!A68)</f>
        <v>2511888</v>
      </c>
      <c r="C65" s="1" t="str">
        <f>IF('Extraction edi'!B68="","",'Extraction edi'!B68)</f>
        <v>004</v>
      </c>
      <c r="D65" s="1">
        <f>IF('Extraction edi'!H68="","",'Extraction edi'!H68)</f>
        <v>2</v>
      </c>
      <c r="E65" s="1">
        <f>IF('Extraction edi'!I68="","",'Extraction edi'!I68)</f>
        <v>1</v>
      </c>
      <c r="F65" t="str">
        <f>IF('Extraction edi'!K68="","",'Extraction edi'!K68)</f>
        <v>Type 1 / modèle 451</v>
      </c>
      <c r="G65" t="str">
        <f>IF('Extraction edi'!L68="","",'Extraction edi'!L68)</f>
        <v>PVC blanc</v>
      </c>
      <c r="H65" t="str">
        <f>IF('Extraction edi'!M68="","",'Extraction edi'!M68)</f>
        <v>PVC blanc</v>
      </c>
      <c r="I65" s="1">
        <f>IF('Extraction edi'!N68="","",'Extraction edi'!N68)</f>
        <v>28</v>
      </c>
      <c r="J65" s="1">
        <f>IF('Extraction edi'!O68="","",'Extraction edi'!O68)</f>
        <v>452</v>
      </c>
      <c r="K65" s="1" t="str">
        <f>IF('Extraction edi'!P68="","",'Extraction edi'!P68)</f>
        <v xml:space="preserve">  411</v>
      </c>
      <c r="L65" s="1" t="str">
        <f>IF('Extraction edi'!Q68="laquage RAL :","OUI","")</f>
        <v/>
      </c>
      <c r="M65" s="1" t="str">
        <f>IF('Extraction edi'!R68&lt;&gt;"",'Extraction edi'!R68,IF(G65="ALU blanc","S9016",""))</f>
        <v/>
      </c>
      <c r="N65" s="1" t="str">
        <f>IF('Extraction edi'!S68&lt;&gt;"",'Extraction edi'!S68,IF(G65="ALU blanc","S9016",""))</f>
        <v/>
      </c>
      <c r="O65" s="11">
        <v>45974</v>
      </c>
      <c r="P65" s="1">
        <f t="shared" si="1"/>
        <v>4</v>
      </c>
    </row>
    <row r="66" spans="1:16" x14ac:dyDescent="0.25">
      <c r="A66" s="1" t="str">
        <f>IF(B66="","",CONCATENATE(B66,".",C66,"/Pos ",D66,"/",'Extraction edi'!G69))</f>
        <v>2511888.004/Pos 2/STD</v>
      </c>
      <c r="B66" s="1" t="str">
        <f>IF('Extraction edi'!A69="","",'Extraction edi'!A69)</f>
        <v>2511888</v>
      </c>
      <c r="C66" s="1" t="str">
        <f>IF('Extraction edi'!B69="","",'Extraction edi'!B69)</f>
        <v>004</v>
      </c>
      <c r="D66" s="1">
        <f>IF('Extraction edi'!H69="","",'Extraction edi'!H69)</f>
        <v>2</v>
      </c>
      <c r="E66" s="1">
        <f>IF('Extraction edi'!I69="","",'Extraction edi'!I69)</f>
        <v>1</v>
      </c>
      <c r="F66" t="str">
        <f>IF('Extraction edi'!K69="","",'Extraction edi'!K69)</f>
        <v>Type 1 / modèle 451</v>
      </c>
      <c r="G66" t="str">
        <f>IF('Extraction edi'!L69="","",'Extraction edi'!L69)</f>
        <v>PVC blanc</v>
      </c>
      <c r="H66" t="str">
        <f>IF('Extraction edi'!M69="","",'Extraction edi'!M69)</f>
        <v>PVC blanc</v>
      </c>
      <c r="I66" s="1">
        <f>IF('Extraction edi'!N69="","",'Extraction edi'!N69)</f>
        <v>28</v>
      </c>
      <c r="J66" s="1">
        <f>IF('Extraction edi'!O69="","",'Extraction edi'!O69)</f>
        <v>452</v>
      </c>
      <c r="K66" s="1" t="str">
        <f>IF('Extraction edi'!P69="","",'Extraction edi'!P69)</f>
        <v xml:space="preserve">  411</v>
      </c>
      <c r="L66" s="1" t="str">
        <f>IF('Extraction edi'!Q69="laquage RAL :","OUI","")</f>
        <v/>
      </c>
      <c r="M66" s="1" t="str">
        <f>IF('Extraction edi'!R69&lt;&gt;"",'Extraction edi'!R69,IF(G66="ALU blanc","S9016",""))</f>
        <v/>
      </c>
      <c r="N66" s="1" t="str">
        <f>IF('Extraction edi'!S69&lt;&gt;"",'Extraction edi'!S69,IF(G66="ALU blanc","S9016",""))</f>
        <v/>
      </c>
      <c r="O66" s="11">
        <v>45975</v>
      </c>
      <c r="P66" s="1">
        <f t="shared" si="1"/>
        <v>5</v>
      </c>
    </row>
    <row r="67" spans="1:16" x14ac:dyDescent="0.25">
      <c r="A67" s="1" t="str">
        <f>IF(B67="","",CONCATENATE(B67,".",C67,"/Pos ",D67,"/",'Extraction edi'!G70))</f>
        <v>2511888.004/Pos 3/STD</v>
      </c>
      <c r="B67" s="1" t="str">
        <f>IF('Extraction edi'!A70="","",'Extraction edi'!A70)</f>
        <v>2511888</v>
      </c>
      <c r="C67" s="1" t="str">
        <f>IF('Extraction edi'!B70="","",'Extraction edi'!B70)</f>
        <v>004</v>
      </c>
      <c r="D67" s="1">
        <f>IF('Extraction edi'!H70="","",'Extraction edi'!H70)</f>
        <v>3</v>
      </c>
      <c r="E67" s="1">
        <f>IF('Extraction edi'!I70="","",'Extraction edi'!I70)</f>
        <v>1</v>
      </c>
      <c r="F67" t="str">
        <f>IF('Extraction edi'!K70="","",'Extraction edi'!K70)</f>
        <v>Type 1 / modèle 451</v>
      </c>
      <c r="G67" t="str">
        <f>IF('Extraction edi'!L70="","",'Extraction edi'!L70)</f>
        <v>PVC blanc</v>
      </c>
      <c r="H67" t="str">
        <f>IF('Extraction edi'!M70="","",'Extraction edi'!M70)</f>
        <v>PVC blanc</v>
      </c>
      <c r="I67" s="1">
        <f>IF('Extraction edi'!N70="","",'Extraction edi'!N70)</f>
        <v>28</v>
      </c>
      <c r="J67" s="1">
        <f>IF('Extraction edi'!O70="","",'Extraction edi'!O70)</f>
        <v>667</v>
      </c>
      <c r="K67" s="1" t="str">
        <f>IF('Extraction edi'!P70="","",'Extraction edi'!P70)</f>
        <v xml:space="preserve">  411</v>
      </c>
      <c r="L67" s="1" t="str">
        <f>IF('Extraction edi'!Q70="laquage RAL :","OUI","")</f>
        <v/>
      </c>
      <c r="M67" s="1" t="str">
        <f>IF('Extraction edi'!R70&lt;&gt;"",'Extraction edi'!R70,IF(G67="ALU blanc","S9016",""))</f>
        <v/>
      </c>
      <c r="N67" s="1" t="str">
        <f>IF('Extraction edi'!S70&lt;&gt;"",'Extraction edi'!S70,IF(G67="ALU blanc","S9016",""))</f>
        <v/>
      </c>
      <c r="O67" s="11">
        <v>45976</v>
      </c>
      <c r="P67" s="1">
        <f t="shared" si="1"/>
        <v>6</v>
      </c>
    </row>
    <row r="68" spans="1:16" x14ac:dyDescent="0.25">
      <c r="A68" s="1" t="str">
        <f>IF(B68="","",CONCATENATE(B68,".",C68,"/Pos ",D68,"/",'Extraction edi'!G71))</f>
        <v>2511888.004/Pos 3/STD</v>
      </c>
      <c r="B68" s="1" t="str">
        <f>IF('Extraction edi'!A71="","",'Extraction edi'!A71)</f>
        <v>2511888</v>
      </c>
      <c r="C68" s="1" t="str">
        <f>IF('Extraction edi'!B71="","",'Extraction edi'!B71)</f>
        <v>004</v>
      </c>
      <c r="D68" s="1">
        <f>IF('Extraction edi'!H71="","",'Extraction edi'!H71)</f>
        <v>3</v>
      </c>
      <c r="E68" s="1">
        <f>IF('Extraction edi'!I71="","",'Extraction edi'!I71)</f>
        <v>1</v>
      </c>
      <c r="F68" t="str">
        <f>IF('Extraction edi'!K71="","",'Extraction edi'!K71)</f>
        <v>Type 1 / modèle 451</v>
      </c>
      <c r="G68" t="str">
        <f>IF('Extraction edi'!L71="","",'Extraction edi'!L71)</f>
        <v>PVC blanc</v>
      </c>
      <c r="H68" t="str">
        <f>IF('Extraction edi'!M71="","",'Extraction edi'!M71)</f>
        <v>PVC blanc</v>
      </c>
      <c r="I68" s="1">
        <f>IF('Extraction edi'!N71="","",'Extraction edi'!N71)</f>
        <v>28</v>
      </c>
      <c r="J68" s="1">
        <f>IF('Extraction edi'!O71="","",'Extraction edi'!O71)</f>
        <v>667</v>
      </c>
      <c r="K68" s="1" t="str">
        <f>IF('Extraction edi'!P71="","",'Extraction edi'!P71)</f>
        <v xml:space="preserve">  411</v>
      </c>
      <c r="L68" s="1" t="str">
        <f>IF('Extraction edi'!Q71="laquage RAL :","OUI","")</f>
        <v/>
      </c>
      <c r="M68" s="1" t="str">
        <f>IF('Extraction edi'!R71&lt;&gt;"",'Extraction edi'!R71,IF(G68="ALU blanc","S9016",""))</f>
        <v/>
      </c>
      <c r="N68" s="1" t="str">
        <f>IF('Extraction edi'!S71&lt;&gt;"",'Extraction edi'!S71,IF(G68="ALU blanc","S9016",""))</f>
        <v/>
      </c>
      <c r="O68" s="11">
        <v>45977</v>
      </c>
      <c r="P68" s="1">
        <f t="shared" si="1"/>
        <v>7</v>
      </c>
    </row>
    <row r="69" spans="1:16" x14ac:dyDescent="0.25">
      <c r="A69" s="1" t="str">
        <f>IF(B69="","",CONCATENATE(B69,".",C69,"/Pos ",D69,"/",'Extraction edi'!G72))</f>
        <v>2511888.004/Pos 4/STD</v>
      </c>
      <c r="B69" s="1" t="str">
        <f>IF('Extraction edi'!A72="","",'Extraction edi'!A72)</f>
        <v>2511888</v>
      </c>
      <c r="C69" s="1" t="str">
        <f>IF('Extraction edi'!B72="","",'Extraction edi'!B72)</f>
        <v>004</v>
      </c>
      <c r="D69" s="1">
        <f>IF('Extraction edi'!H72="","",'Extraction edi'!H72)</f>
        <v>4</v>
      </c>
      <c r="E69" s="1">
        <f>IF('Extraction edi'!I72="","",'Extraction edi'!I72)</f>
        <v>1</v>
      </c>
      <c r="F69" t="e">
        <f>IF('Extraction edi'!K72="","",'Extraction edi'!K72)</f>
        <v>#N/A</v>
      </c>
      <c r="G69" t="e">
        <f>IF('Extraction edi'!L72="","",'Extraction edi'!L72)</f>
        <v>#N/A</v>
      </c>
      <c r="H69" t="e">
        <f>IF('Extraction edi'!M72="","",'Extraction edi'!M72)</f>
        <v>#N/A</v>
      </c>
      <c r="I69" s="1" t="e">
        <f>IF('Extraction edi'!N72="","",'Extraction edi'!N72)</f>
        <v>#N/A</v>
      </c>
      <c r="J69" s="1">
        <f>IF('Extraction edi'!O72="","",'Extraction edi'!O72)</f>
        <v>452</v>
      </c>
      <c r="K69" s="1" t="str">
        <f>IF('Extraction edi'!P72="","",'Extraction edi'!P72)</f>
        <v xml:space="preserve">  411</v>
      </c>
      <c r="L69" s="1" t="str">
        <f>IF('Extraction edi'!Q72="laquage RAL :","OUI","")</f>
        <v/>
      </c>
      <c r="M69" s="1" t="e">
        <f>IF('Extraction edi'!R72&lt;&gt;"",'Extraction edi'!R72,IF(G69="ALU blanc","S9016",""))</f>
        <v>#N/A</v>
      </c>
      <c r="N69" s="1" t="e">
        <f>IF('Extraction edi'!S72&lt;&gt;"",'Extraction edi'!S72,IF(G69="ALU blanc","S9016",""))</f>
        <v>#N/A</v>
      </c>
      <c r="O69" s="11">
        <v>45978</v>
      </c>
      <c r="P69" s="1">
        <f t="shared" si="1"/>
        <v>1</v>
      </c>
    </row>
    <row r="70" spans="1:16" x14ac:dyDescent="0.25">
      <c r="A70" s="1" t="str">
        <f>IF(B70="","",CONCATENATE(B70,".",C70,"/Pos ",D70,"/",'Extraction edi'!G73))</f>
        <v>2511888.004/Pos 4/STD</v>
      </c>
      <c r="B70" s="1" t="str">
        <f>IF('Extraction edi'!A73="","",'Extraction edi'!A73)</f>
        <v>2511888</v>
      </c>
      <c r="C70" s="1" t="str">
        <f>IF('Extraction edi'!B73="","",'Extraction edi'!B73)</f>
        <v>004</v>
      </c>
      <c r="D70" s="1">
        <f>IF('Extraction edi'!H73="","",'Extraction edi'!H73)</f>
        <v>4</v>
      </c>
      <c r="E70" s="1">
        <f>IF('Extraction edi'!I73="","",'Extraction edi'!I73)</f>
        <v>1</v>
      </c>
      <c r="F70" t="e">
        <f>IF('Extraction edi'!K73="","",'Extraction edi'!K73)</f>
        <v>#N/A</v>
      </c>
      <c r="G70" t="e">
        <f>IF('Extraction edi'!L73="","",'Extraction edi'!L73)</f>
        <v>#N/A</v>
      </c>
      <c r="H70" t="e">
        <f>IF('Extraction edi'!M73="","",'Extraction edi'!M73)</f>
        <v>#N/A</v>
      </c>
      <c r="I70" s="1" t="e">
        <f>IF('Extraction edi'!N73="","",'Extraction edi'!N73)</f>
        <v>#N/A</v>
      </c>
      <c r="J70" s="1">
        <f>IF('Extraction edi'!O73="","",'Extraction edi'!O73)</f>
        <v>452</v>
      </c>
      <c r="K70" s="1" t="str">
        <f>IF('Extraction edi'!P73="","",'Extraction edi'!P73)</f>
        <v xml:space="preserve">  411</v>
      </c>
      <c r="L70" s="1" t="str">
        <f>IF('Extraction edi'!Q73="laquage RAL :","OUI","")</f>
        <v/>
      </c>
      <c r="M70" s="1" t="e">
        <f>IF('Extraction edi'!R73&lt;&gt;"",'Extraction edi'!R73,IF(G70="ALU blanc","S9016",""))</f>
        <v>#N/A</v>
      </c>
      <c r="N70" s="1" t="e">
        <f>IF('Extraction edi'!S73&lt;&gt;"",'Extraction edi'!S73,IF(G70="ALU blanc","S9016",""))</f>
        <v>#N/A</v>
      </c>
      <c r="O70" s="11">
        <v>45979</v>
      </c>
      <c r="P70" s="1">
        <f t="shared" si="1"/>
        <v>2</v>
      </c>
    </row>
    <row r="71" spans="1:16" x14ac:dyDescent="0.25">
      <c r="A71" s="1" t="str">
        <f>IF(B71="","",CONCATENATE(B71,".",C71,"/Pos ",D71,"/",'Extraction edi'!G74))</f>
        <v>2511888.004/Pos 5/STD</v>
      </c>
      <c r="B71" s="1" t="str">
        <f>IF('Extraction edi'!A74="","",'Extraction edi'!A74)</f>
        <v>2511888</v>
      </c>
      <c r="C71" s="1" t="str">
        <f>IF('Extraction edi'!B74="","",'Extraction edi'!B74)</f>
        <v>004</v>
      </c>
      <c r="D71" s="1">
        <f>IF('Extraction edi'!H74="","",'Extraction edi'!H74)</f>
        <v>5</v>
      </c>
      <c r="E71" s="1">
        <f>IF('Extraction edi'!I74="","",'Extraction edi'!I74)</f>
        <v>1</v>
      </c>
      <c r="F71" t="e">
        <f>IF('Extraction edi'!K74="","",'Extraction edi'!K74)</f>
        <v>#N/A</v>
      </c>
      <c r="G71" t="e">
        <f>IF('Extraction edi'!L74="","",'Extraction edi'!L74)</f>
        <v>#N/A</v>
      </c>
      <c r="H71" t="e">
        <f>IF('Extraction edi'!M74="","",'Extraction edi'!M74)</f>
        <v>#N/A</v>
      </c>
      <c r="I71" s="1" t="e">
        <f>IF('Extraction edi'!N74="","",'Extraction edi'!N74)</f>
        <v>#N/A</v>
      </c>
      <c r="J71" s="1">
        <f>IF('Extraction edi'!O74="","",'Extraction edi'!O74)</f>
        <v>464</v>
      </c>
      <c r="K71" s="1" t="str">
        <f>IF('Extraction edi'!P74="","",'Extraction edi'!P74)</f>
        <v xml:space="preserve">  411</v>
      </c>
      <c r="L71" s="1" t="str">
        <f>IF('Extraction edi'!Q74="laquage RAL :","OUI","")</f>
        <v/>
      </c>
      <c r="M71" s="1" t="e">
        <f>IF('Extraction edi'!R74&lt;&gt;"",'Extraction edi'!R74,IF(G71="ALU blanc","S9016",""))</f>
        <v>#N/A</v>
      </c>
      <c r="N71" s="1" t="e">
        <f>IF('Extraction edi'!S74&lt;&gt;"",'Extraction edi'!S74,IF(G71="ALU blanc","S9016",""))</f>
        <v>#N/A</v>
      </c>
      <c r="O71" s="11">
        <v>45980</v>
      </c>
      <c r="P71" s="1">
        <f t="shared" si="1"/>
        <v>3</v>
      </c>
    </row>
    <row r="72" spans="1:16" x14ac:dyDescent="0.25">
      <c r="A72" s="1" t="str">
        <f>IF(B72="","",CONCATENATE(B72,".",C72,"/Pos ",D72,"/",'Extraction edi'!G75))</f>
        <v>2511888.004/Pos 5/STD</v>
      </c>
      <c r="B72" s="1" t="str">
        <f>IF('Extraction edi'!A75="","",'Extraction edi'!A75)</f>
        <v>2511888</v>
      </c>
      <c r="C72" s="1" t="str">
        <f>IF('Extraction edi'!B75="","",'Extraction edi'!B75)</f>
        <v>004</v>
      </c>
      <c r="D72" s="1">
        <f>IF('Extraction edi'!H75="","",'Extraction edi'!H75)</f>
        <v>5</v>
      </c>
      <c r="E72" s="1">
        <f>IF('Extraction edi'!I75="","",'Extraction edi'!I75)</f>
        <v>1</v>
      </c>
      <c r="F72" t="e">
        <f>IF('Extraction edi'!K75="","",'Extraction edi'!K75)</f>
        <v>#N/A</v>
      </c>
      <c r="G72" t="e">
        <f>IF('Extraction edi'!L75="","",'Extraction edi'!L75)</f>
        <v>#N/A</v>
      </c>
      <c r="H72" t="e">
        <f>IF('Extraction edi'!M75="","",'Extraction edi'!M75)</f>
        <v>#N/A</v>
      </c>
      <c r="I72" s="1" t="e">
        <f>IF('Extraction edi'!N75="","",'Extraction edi'!N75)</f>
        <v>#N/A</v>
      </c>
      <c r="J72" s="1">
        <f>IF('Extraction edi'!O75="","",'Extraction edi'!O75)</f>
        <v>464</v>
      </c>
      <c r="K72" s="1" t="str">
        <f>IF('Extraction edi'!P75="","",'Extraction edi'!P75)</f>
        <v xml:space="preserve">  411</v>
      </c>
      <c r="L72" s="1" t="str">
        <f>IF('Extraction edi'!Q75="laquage RAL :","OUI","")</f>
        <v/>
      </c>
      <c r="M72" s="1" t="e">
        <f>IF('Extraction edi'!R75&lt;&gt;"",'Extraction edi'!R75,IF(G72="ALU blanc","S9016",""))</f>
        <v>#N/A</v>
      </c>
      <c r="N72" s="1" t="e">
        <f>IF('Extraction edi'!S75&lt;&gt;"",'Extraction edi'!S75,IF(G72="ALU blanc","S9016",""))</f>
        <v>#N/A</v>
      </c>
      <c r="O72" s="11">
        <v>45981</v>
      </c>
      <c r="P72" s="1">
        <f t="shared" si="1"/>
        <v>4</v>
      </c>
    </row>
    <row r="73" spans="1:16" x14ac:dyDescent="0.25">
      <c r="A73" s="1" t="str">
        <f>IF(B73="","",CONCATENATE(B73,".",C73,"/Pos ",D73,"/",'Extraction edi'!G76))</f>
        <v>2511935.X04/Pos 4/TEX</v>
      </c>
      <c r="B73" s="1" t="str">
        <f>IF('Extraction edi'!A76="","",'Extraction edi'!A76)</f>
        <v>2511935</v>
      </c>
      <c r="C73" s="1" t="str">
        <f>IF('Extraction edi'!B76="","",'Extraction edi'!B76)</f>
        <v>X04</v>
      </c>
      <c r="D73" s="1">
        <f>IF('Extraction edi'!H76="","",'Extraction edi'!H76)</f>
        <v>4</v>
      </c>
      <c r="E73" s="1">
        <f>IF('Extraction edi'!I76="","",'Extraction edi'!I76)</f>
        <v>1</v>
      </c>
      <c r="F73" t="str">
        <f>IF('Extraction edi'!K76="","",'Extraction edi'!K76)</f>
        <v>Type 5 / modèle 450</v>
      </c>
      <c r="G73" t="str">
        <f>IF('Extraction edi'!L76="","",'Extraction edi'!L76)</f>
        <v>ALU blanc</v>
      </c>
      <c r="H73" t="str">
        <f>IF('Extraction edi'!M76="","",'Extraction edi'!M76)</f>
        <v>ALU blanc</v>
      </c>
      <c r="I73" s="1">
        <f>IF('Extraction edi'!N76="","",'Extraction edi'!N76)</f>
        <v>24</v>
      </c>
      <c r="J73" s="1">
        <f>IF('Extraction edi'!O76="","",'Extraction edi'!O76)</f>
        <v>729</v>
      </c>
      <c r="K73" s="1" t="str">
        <f>IF('Extraction edi'!P76="","",'Extraction edi'!P76)</f>
        <v xml:space="preserve">  2330</v>
      </c>
      <c r="L73" s="1" t="str">
        <f>IF('Extraction edi'!Q76="laquage RAL :","OUI","")</f>
        <v/>
      </c>
      <c r="M73" s="1" t="str">
        <f>IF('Extraction edi'!R76&lt;&gt;"",'Extraction edi'!R76,IF(G73="ALU blanc","S9016",""))</f>
        <v>S9016</v>
      </c>
      <c r="N73" s="1" t="str">
        <f>IF('Extraction edi'!S76&lt;&gt;"",'Extraction edi'!S76,IF(G73="ALU blanc","S9016",""))</f>
        <v>S9016</v>
      </c>
      <c r="O73" s="11">
        <v>45982</v>
      </c>
      <c r="P73" s="1">
        <f t="shared" si="1"/>
        <v>5</v>
      </c>
    </row>
    <row r="74" spans="1:16" x14ac:dyDescent="0.25">
      <c r="A74" s="1" t="str">
        <f>IF(B74="","",CONCATENATE(B74,".",C74,"/Pos ",D74,"/",'Extraction edi'!G77))</f>
        <v>2511935.X04/Pos 4/TEX</v>
      </c>
      <c r="B74" s="1" t="str">
        <f>IF('Extraction edi'!A77="","",'Extraction edi'!A77)</f>
        <v>2511935</v>
      </c>
      <c r="C74" s="1" t="str">
        <f>IF('Extraction edi'!B77="","",'Extraction edi'!B77)</f>
        <v>X04</v>
      </c>
      <c r="D74" s="1">
        <f>IF('Extraction edi'!H77="","",'Extraction edi'!H77)</f>
        <v>4</v>
      </c>
      <c r="E74" s="1">
        <f>IF('Extraction edi'!I77="","",'Extraction edi'!I77)</f>
        <v>1</v>
      </c>
      <c r="F74" t="str">
        <f>IF('Extraction edi'!K77="","",'Extraction edi'!K77)</f>
        <v>Type 5 / modèle 450</v>
      </c>
      <c r="G74" t="str">
        <f>IF('Extraction edi'!L77="","",'Extraction edi'!L77)</f>
        <v>ALU blanc</v>
      </c>
      <c r="H74" t="str">
        <f>IF('Extraction edi'!M77="","",'Extraction edi'!M77)</f>
        <v>ALU blanc</v>
      </c>
      <c r="I74" s="1">
        <f>IF('Extraction edi'!N77="","",'Extraction edi'!N77)</f>
        <v>24</v>
      </c>
      <c r="J74" s="1">
        <f>IF('Extraction edi'!O77="","",'Extraction edi'!O77)</f>
        <v>359</v>
      </c>
      <c r="K74" s="1" t="str">
        <f>IF('Extraction edi'!P77="","",'Extraction edi'!P77)</f>
        <v xml:space="preserve">  2330</v>
      </c>
      <c r="L74" s="1" t="str">
        <f>IF('Extraction edi'!Q77="laquage RAL :","OUI","")</f>
        <v/>
      </c>
      <c r="M74" s="1" t="str">
        <f>IF('Extraction edi'!R77&lt;&gt;"",'Extraction edi'!R77,IF(G74="ALU blanc","S9016",""))</f>
        <v>S9016</v>
      </c>
      <c r="N74" s="1" t="str">
        <f>IF('Extraction edi'!S77&lt;&gt;"",'Extraction edi'!S77,IF(G74="ALU blanc","S9016",""))</f>
        <v>S9016</v>
      </c>
      <c r="O74" s="11">
        <v>45983</v>
      </c>
      <c r="P74" s="1">
        <f t="shared" si="1"/>
        <v>6</v>
      </c>
    </row>
    <row r="75" spans="1:16" x14ac:dyDescent="0.25">
      <c r="A75" s="1" t="str">
        <f>IF(B75="","",CONCATENATE(B75,".",C75,"/Pos ",D75,"/",'Extraction edi'!G78))</f>
        <v>2511935.X04/Pos 5/TEX</v>
      </c>
      <c r="B75" s="1" t="str">
        <f>IF('Extraction edi'!A78="","",'Extraction edi'!A78)</f>
        <v>2511935</v>
      </c>
      <c r="C75" s="1" t="str">
        <f>IF('Extraction edi'!B78="","",'Extraction edi'!B78)</f>
        <v>X04</v>
      </c>
      <c r="D75" s="1">
        <f>IF('Extraction edi'!H78="","",'Extraction edi'!H78)</f>
        <v>5</v>
      </c>
      <c r="E75" s="1">
        <f>IF('Extraction edi'!I78="","",'Extraction edi'!I78)</f>
        <v>1</v>
      </c>
      <c r="F75" t="str">
        <f>IF('Extraction edi'!K78="","",'Extraction edi'!K78)</f>
        <v>Type 5 / modèle 450</v>
      </c>
      <c r="G75" t="str">
        <f>IF('Extraction edi'!L78="","",'Extraction edi'!L78)</f>
        <v>ALU blanc</v>
      </c>
      <c r="H75" t="str">
        <f>IF('Extraction edi'!M78="","",'Extraction edi'!M78)</f>
        <v>ALU blanc</v>
      </c>
      <c r="I75" s="1">
        <f>IF('Extraction edi'!N78="","",'Extraction edi'!N78)</f>
        <v>24</v>
      </c>
      <c r="J75" s="1">
        <f>IF('Extraction edi'!O78="","",'Extraction edi'!O78)</f>
        <v>729</v>
      </c>
      <c r="K75" s="1" t="str">
        <f>IF('Extraction edi'!P78="","",'Extraction edi'!P78)</f>
        <v xml:space="preserve">  2325</v>
      </c>
      <c r="L75" s="1" t="str">
        <f>IF('Extraction edi'!Q78="laquage RAL :","OUI","")</f>
        <v/>
      </c>
      <c r="M75" s="1" t="str">
        <f>IF('Extraction edi'!R78&lt;&gt;"",'Extraction edi'!R78,IF(G75="ALU blanc","S9016",""))</f>
        <v>S9016</v>
      </c>
      <c r="N75" s="1" t="str">
        <f>IF('Extraction edi'!S78&lt;&gt;"",'Extraction edi'!S78,IF(G75="ALU blanc","S9016",""))</f>
        <v>S9016</v>
      </c>
      <c r="O75" s="11">
        <v>45984</v>
      </c>
      <c r="P75" s="1">
        <f t="shared" si="1"/>
        <v>7</v>
      </c>
    </row>
    <row r="76" spans="1:16" x14ac:dyDescent="0.25">
      <c r="A76" s="1" t="str">
        <f>IF(B76="","",CONCATENATE(B76,".",C76,"/Pos ",D76,"/",'Extraction edi'!G79))</f>
        <v>2511935.X04/Pos 5/TEX</v>
      </c>
      <c r="B76" s="1" t="str">
        <f>IF('Extraction edi'!A79="","",'Extraction edi'!A79)</f>
        <v>2511935</v>
      </c>
      <c r="C76" s="1" t="str">
        <f>IF('Extraction edi'!B79="","",'Extraction edi'!B79)</f>
        <v>X04</v>
      </c>
      <c r="D76" s="1">
        <f>IF('Extraction edi'!H79="","",'Extraction edi'!H79)</f>
        <v>5</v>
      </c>
      <c r="E76" s="1">
        <f>IF('Extraction edi'!I79="","",'Extraction edi'!I79)</f>
        <v>1</v>
      </c>
      <c r="F76" t="str">
        <f>IF('Extraction edi'!K79="","",'Extraction edi'!K79)</f>
        <v>Type 5 / modèle 450</v>
      </c>
      <c r="G76" t="str">
        <f>IF('Extraction edi'!L79="","",'Extraction edi'!L79)</f>
        <v>ALU blanc</v>
      </c>
      <c r="H76" t="str">
        <f>IF('Extraction edi'!M79="","",'Extraction edi'!M79)</f>
        <v>ALU blanc</v>
      </c>
      <c r="I76" s="1">
        <f>IF('Extraction edi'!N79="","",'Extraction edi'!N79)</f>
        <v>24</v>
      </c>
      <c r="J76" s="1">
        <f>IF('Extraction edi'!O79="","",'Extraction edi'!O79)</f>
        <v>244</v>
      </c>
      <c r="K76" s="1" t="str">
        <f>IF('Extraction edi'!P79="","",'Extraction edi'!P79)</f>
        <v xml:space="preserve">  2325</v>
      </c>
      <c r="L76" s="1" t="str">
        <f>IF('Extraction edi'!Q79="laquage RAL :","OUI","")</f>
        <v/>
      </c>
      <c r="M76" s="1" t="str">
        <f>IF('Extraction edi'!R79&lt;&gt;"",'Extraction edi'!R79,IF(G76="ALU blanc","S9016",""))</f>
        <v>S9016</v>
      </c>
      <c r="N76" s="1" t="str">
        <f>IF('Extraction edi'!S79&lt;&gt;"",'Extraction edi'!S79,IF(G76="ALU blanc","S9016",""))</f>
        <v>S9016</v>
      </c>
      <c r="O76" s="11">
        <v>45985</v>
      </c>
      <c r="P76" s="1">
        <f t="shared" si="1"/>
        <v>1</v>
      </c>
    </row>
    <row r="77" spans="1:16" x14ac:dyDescent="0.25">
      <c r="A77" s="1" t="str">
        <f>IF(B77="","",CONCATENATE(B77,".",C77,"/Pos ",D77,"/",'Extraction edi'!G80))</f>
        <v>2511935.X04/Pos 6/TEX</v>
      </c>
      <c r="B77" s="1" t="str">
        <f>IF('Extraction edi'!A80="","",'Extraction edi'!A80)</f>
        <v>2511935</v>
      </c>
      <c r="C77" s="1" t="str">
        <f>IF('Extraction edi'!B80="","",'Extraction edi'!B80)</f>
        <v>X04</v>
      </c>
      <c r="D77" s="1">
        <f>IF('Extraction edi'!H80="","",'Extraction edi'!H80)</f>
        <v>6</v>
      </c>
      <c r="E77" s="1">
        <f>IF('Extraction edi'!I80="","",'Extraction edi'!I80)</f>
        <v>1</v>
      </c>
      <c r="F77" t="str">
        <f>IF('Extraction edi'!K80="","",'Extraction edi'!K80)</f>
        <v>Type 5 / modèle 450</v>
      </c>
      <c r="G77" t="str">
        <f>IF('Extraction edi'!L80="","",'Extraction edi'!L80)</f>
        <v>ALU blanc</v>
      </c>
      <c r="H77" t="str">
        <f>IF('Extraction edi'!M80="","",'Extraction edi'!M80)</f>
        <v>ALU blanc</v>
      </c>
      <c r="I77" s="1">
        <f>IF('Extraction edi'!N80="","",'Extraction edi'!N80)</f>
        <v>24</v>
      </c>
      <c r="J77" s="1">
        <f>IF('Extraction edi'!O80="","",'Extraction edi'!O80)</f>
        <v>213</v>
      </c>
      <c r="K77" s="1" t="str">
        <f>IF('Extraction edi'!P80="","",'Extraction edi'!P80)</f>
        <v xml:space="preserve">  2045</v>
      </c>
      <c r="L77" s="1" t="str">
        <f>IF('Extraction edi'!Q80="laquage RAL :","OUI","")</f>
        <v/>
      </c>
      <c r="M77" s="1" t="str">
        <f>IF('Extraction edi'!R80&lt;&gt;"",'Extraction edi'!R80,IF(G77="ALU blanc","S9016",""))</f>
        <v>S9016</v>
      </c>
      <c r="N77" s="1" t="str">
        <f>IF('Extraction edi'!S80&lt;&gt;"",'Extraction edi'!S80,IF(G77="ALU blanc","S9016",""))</f>
        <v>S9016</v>
      </c>
      <c r="O77" s="11">
        <v>45986</v>
      </c>
      <c r="P77" s="1">
        <f t="shared" si="1"/>
        <v>2</v>
      </c>
    </row>
    <row r="78" spans="1:16" x14ac:dyDescent="0.25">
      <c r="A78" s="1" t="str">
        <f>IF(B78="","",CONCATENATE(B78,".",C78,"/Pos ",D78,"/",'Extraction edi'!G81))</f>
        <v>2511935.X04/Pos 6/TEX</v>
      </c>
      <c r="B78" s="1" t="str">
        <f>IF('Extraction edi'!A81="","",'Extraction edi'!A81)</f>
        <v>2511935</v>
      </c>
      <c r="C78" s="1" t="str">
        <f>IF('Extraction edi'!B81="","",'Extraction edi'!B81)</f>
        <v>X04</v>
      </c>
      <c r="D78" s="1">
        <f>IF('Extraction edi'!H81="","",'Extraction edi'!H81)</f>
        <v>6</v>
      </c>
      <c r="E78" s="1">
        <f>IF('Extraction edi'!I81="","",'Extraction edi'!I81)</f>
        <v>1</v>
      </c>
      <c r="F78" t="str">
        <f>IF('Extraction edi'!K81="","",'Extraction edi'!K81)</f>
        <v>Type 5 / modèle 450</v>
      </c>
      <c r="G78" t="str">
        <f>IF('Extraction edi'!L81="","",'Extraction edi'!L81)</f>
        <v>ALU blanc</v>
      </c>
      <c r="H78" t="str">
        <f>IF('Extraction edi'!M81="","",'Extraction edi'!M81)</f>
        <v>ALU blanc</v>
      </c>
      <c r="I78" s="1">
        <f>IF('Extraction edi'!N81="","",'Extraction edi'!N81)</f>
        <v>24</v>
      </c>
      <c r="J78" s="1">
        <f>IF('Extraction edi'!O81="","",'Extraction edi'!O81)</f>
        <v>670</v>
      </c>
      <c r="K78" s="1" t="str">
        <f>IF('Extraction edi'!P81="","",'Extraction edi'!P81)</f>
        <v xml:space="preserve">  2045</v>
      </c>
      <c r="L78" s="1" t="str">
        <f>IF('Extraction edi'!Q81="laquage RAL :","OUI","")</f>
        <v/>
      </c>
      <c r="M78" s="1" t="str">
        <f>IF('Extraction edi'!R81&lt;&gt;"",'Extraction edi'!R81,IF(G78="ALU blanc","S9016",""))</f>
        <v>S9016</v>
      </c>
      <c r="N78" s="1" t="str">
        <f>IF('Extraction edi'!S81&lt;&gt;"",'Extraction edi'!S81,IF(G78="ALU blanc","S9016",""))</f>
        <v>S9016</v>
      </c>
      <c r="O78" s="11">
        <v>45987</v>
      </c>
      <c r="P78" s="1">
        <f t="shared" si="1"/>
        <v>3</v>
      </c>
    </row>
    <row r="79" spans="1:16" x14ac:dyDescent="0.25">
      <c r="A79" s="1" t="str">
        <f>IF(B79="","",CONCATENATE(B79,".",C79,"/Pos ",D79,"/",'Extraction edi'!G82))</f>
        <v>2511935.X04/Pos 8/TEX</v>
      </c>
      <c r="B79" s="1" t="str">
        <f>IF('Extraction edi'!A82="","",'Extraction edi'!A82)</f>
        <v>2511935</v>
      </c>
      <c r="C79" s="1" t="str">
        <f>IF('Extraction edi'!B82="","",'Extraction edi'!B82)</f>
        <v>X04</v>
      </c>
      <c r="D79" s="1">
        <f>IF('Extraction edi'!H82="","",'Extraction edi'!H82)</f>
        <v>8</v>
      </c>
      <c r="E79" s="1">
        <f>IF('Extraction edi'!I82="","",'Extraction edi'!I82)</f>
        <v>1</v>
      </c>
      <c r="F79" t="e">
        <f>IF('Extraction edi'!K82="","",'Extraction edi'!K82)</f>
        <v>#N/A</v>
      </c>
      <c r="G79" t="e">
        <f>IF('Extraction edi'!L82="","",'Extraction edi'!L82)</f>
        <v>#N/A</v>
      </c>
      <c r="H79" t="e">
        <f>IF('Extraction edi'!M82="","",'Extraction edi'!M82)</f>
        <v>#N/A</v>
      </c>
      <c r="I79" s="1" t="e">
        <f>IF('Extraction edi'!N82="","",'Extraction edi'!N82)</f>
        <v>#N/A</v>
      </c>
      <c r="J79" s="1">
        <f>IF('Extraction edi'!O82="","",'Extraction edi'!O82)</f>
        <v>767</v>
      </c>
      <c r="K79" s="1" t="str">
        <f>IF('Extraction edi'!P82="","",'Extraction edi'!P82)</f>
        <v xml:space="preserve">  2195</v>
      </c>
      <c r="L79" s="1" t="str">
        <f>IF('Extraction edi'!Q82="laquage RAL :","OUI","")</f>
        <v/>
      </c>
      <c r="M79" s="1" t="e">
        <f>IF('Extraction edi'!R82&lt;&gt;"",'Extraction edi'!R82,IF(G79="ALU blanc","S9016",""))</f>
        <v>#N/A</v>
      </c>
      <c r="N79" s="1" t="e">
        <f>IF('Extraction edi'!S82&lt;&gt;"",'Extraction edi'!S82,IF(G79="ALU blanc","S9016",""))</f>
        <v>#N/A</v>
      </c>
      <c r="O79" s="11">
        <v>45988</v>
      </c>
      <c r="P79" s="1">
        <f t="shared" si="1"/>
        <v>4</v>
      </c>
    </row>
    <row r="80" spans="1:16" x14ac:dyDescent="0.25">
      <c r="A80" s="1" t="str">
        <f>IF(B80="","",CONCATENATE(B80,".",C80,"/Pos ",D80,"/",'Extraction edi'!G83))</f>
        <v>2511940.X00/Pos 1/TEX</v>
      </c>
      <c r="B80" s="1" t="str">
        <f>IF('Extraction edi'!A83="","",'Extraction edi'!A83)</f>
        <v>2511940</v>
      </c>
      <c r="C80" s="1" t="str">
        <f>IF('Extraction edi'!B83="","",'Extraction edi'!B83)</f>
        <v>X00</v>
      </c>
      <c r="D80" s="1">
        <f>IF('Extraction edi'!H83="","",'Extraction edi'!H83)</f>
        <v>1</v>
      </c>
      <c r="E80" s="1">
        <f>IF('Extraction edi'!I83="","",'Extraction edi'!I83)</f>
        <v>1</v>
      </c>
      <c r="F80" t="str">
        <f>IF('Extraction edi'!K83="","",'Extraction edi'!K83)</f>
        <v>Type 1 / modèle 451</v>
      </c>
      <c r="G80" t="str">
        <f>IF('Extraction edi'!L83="","",'Extraction edi'!L83)</f>
        <v>Plaxé chêne doré / 2178 001-167</v>
      </c>
      <c r="H80" t="str">
        <f>IF('Extraction edi'!M83="","",'Extraction edi'!M83)</f>
        <v>PVC blanc</v>
      </c>
      <c r="I80" s="1">
        <f>IF('Extraction edi'!N83="","",'Extraction edi'!N83)</f>
        <v>28</v>
      </c>
      <c r="J80" s="1">
        <f>IF('Extraction edi'!O83="","",'Extraction edi'!O83)</f>
        <v>784</v>
      </c>
      <c r="K80" s="1" t="str">
        <f>IF('Extraction edi'!P83="","",'Extraction edi'!P83)</f>
        <v xml:space="preserve">  181</v>
      </c>
      <c r="L80" s="1" t="str">
        <f>IF('Extraction edi'!Q83="laquage RAL :","OUI","")</f>
        <v/>
      </c>
      <c r="M80" s="1" t="str">
        <f>IF('Extraction edi'!R83&lt;&gt;"",'Extraction edi'!R83,IF(G80="ALU blanc","S9016",""))</f>
        <v/>
      </c>
      <c r="N80" s="1" t="str">
        <f>IF('Extraction edi'!S83&lt;&gt;"",'Extraction edi'!S83,IF(G80="ALU blanc","S9016",""))</f>
        <v/>
      </c>
      <c r="O80" s="11">
        <v>45989</v>
      </c>
      <c r="P80" s="1">
        <f t="shared" si="1"/>
        <v>5</v>
      </c>
    </row>
    <row r="81" spans="1:16" x14ac:dyDescent="0.25">
      <c r="A81" s="1" t="str">
        <f>IF(B81="","",CONCATENATE(B81,".",C81,"/Pos ",D81,"/",'Extraction edi'!G84))</f>
        <v>2511940.X00/Pos 1/TEX</v>
      </c>
      <c r="B81" s="1" t="str">
        <f>IF('Extraction edi'!A84="","",'Extraction edi'!A84)</f>
        <v>2511940</v>
      </c>
      <c r="C81" s="1" t="str">
        <f>IF('Extraction edi'!B84="","",'Extraction edi'!B84)</f>
        <v>X00</v>
      </c>
      <c r="D81" s="1">
        <f>IF('Extraction edi'!H84="","",'Extraction edi'!H84)</f>
        <v>1</v>
      </c>
      <c r="E81" s="1">
        <f>IF('Extraction edi'!I84="","",'Extraction edi'!I84)</f>
        <v>1</v>
      </c>
      <c r="F81" t="str">
        <f>IF('Extraction edi'!K84="","",'Extraction edi'!K84)</f>
        <v>Type 1 / modèle 451</v>
      </c>
      <c r="G81" t="str">
        <f>IF('Extraction edi'!L84="","",'Extraction edi'!L84)</f>
        <v>Plaxé chêne doré / 2178 001-167</v>
      </c>
      <c r="H81" t="str">
        <f>IF('Extraction edi'!M84="","",'Extraction edi'!M84)</f>
        <v>PVC blanc</v>
      </c>
      <c r="I81" s="1">
        <f>IF('Extraction edi'!N84="","",'Extraction edi'!N84)</f>
        <v>28</v>
      </c>
      <c r="J81" s="1">
        <f>IF('Extraction edi'!O84="","",'Extraction edi'!O84)</f>
        <v>1362</v>
      </c>
      <c r="K81" s="1" t="str">
        <f>IF('Extraction edi'!P84="","",'Extraction edi'!P84)</f>
        <v xml:space="preserve">  250</v>
      </c>
      <c r="L81" s="1" t="str">
        <f>IF('Extraction edi'!Q84="laquage RAL :","OUI","")</f>
        <v/>
      </c>
      <c r="M81" s="1" t="str">
        <f>IF('Extraction edi'!R84&lt;&gt;"",'Extraction edi'!R84,IF(G81="ALU blanc","S9016",""))</f>
        <v/>
      </c>
      <c r="N81" s="1" t="str">
        <f>IF('Extraction edi'!S84&lt;&gt;"",'Extraction edi'!S84,IF(G81="ALU blanc","S9016",""))</f>
        <v/>
      </c>
      <c r="O81" s="11">
        <v>45990</v>
      </c>
      <c r="P81" s="1">
        <f t="shared" si="1"/>
        <v>6</v>
      </c>
    </row>
    <row r="82" spans="1:16" x14ac:dyDescent="0.25">
      <c r="A82" s="1" t="str">
        <f>IF(B82="","",CONCATENATE(B82,".",C82,"/Pos ",D82,"/",'Extraction edi'!G85))</f>
        <v>2511942.X00/Pos 3/TEX</v>
      </c>
      <c r="B82" s="1" t="str">
        <f>IF('Extraction edi'!A85="","",'Extraction edi'!A85)</f>
        <v>2511942</v>
      </c>
      <c r="C82" s="1" t="str">
        <f>IF('Extraction edi'!B85="","",'Extraction edi'!B85)</f>
        <v>X00</v>
      </c>
      <c r="D82" s="1">
        <f>IF('Extraction edi'!H85="","",'Extraction edi'!H85)</f>
        <v>3</v>
      </c>
      <c r="E82" s="1">
        <f>IF('Extraction edi'!I85="","",'Extraction edi'!I85)</f>
        <v>1</v>
      </c>
      <c r="F82" t="str">
        <f>IF('Extraction edi'!K85="","",'Extraction edi'!K85)</f>
        <v>Type 1 / modèle 451</v>
      </c>
      <c r="G82" t="str">
        <f>IF('Extraction edi'!L85="","",'Extraction edi'!L85)</f>
        <v>Plaxé tuner oak / F4703001</v>
      </c>
      <c r="H82" t="str">
        <f>IF('Extraction edi'!M85="","",'Extraction edi'!M85)</f>
        <v>Plaxé tuner oak / F4703001</v>
      </c>
      <c r="I82" s="1">
        <f>IF('Extraction edi'!N85="","",'Extraction edi'!N85)</f>
        <v>28</v>
      </c>
      <c r="J82" s="1">
        <f>IF('Extraction edi'!O85="","",'Extraction edi'!O85)</f>
        <v>716</v>
      </c>
      <c r="K82" s="1" t="str">
        <f>IF('Extraction edi'!P85="","",'Extraction edi'!P85)</f>
        <v xml:space="preserve">  281</v>
      </c>
      <c r="L82" s="1" t="str">
        <f>IF('Extraction edi'!Q85="laquage RAL :","OUI","")</f>
        <v/>
      </c>
      <c r="M82" s="1" t="str">
        <f>IF('Extraction edi'!R85&lt;&gt;"",'Extraction edi'!R85,IF(G82="ALU blanc","S9016",""))</f>
        <v/>
      </c>
      <c r="N82" s="1" t="str">
        <f>IF('Extraction edi'!S85&lt;&gt;"",'Extraction edi'!S85,IF(G82="ALU blanc","S9016",""))</f>
        <v/>
      </c>
      <c r="O82" s="11">
        <v>45991</v>
      </c>
      <c r="P82" s="1">
        <f t="shared" si="1"/>
        <v>7</v>
      </c>
    </row>
    <row r="83" spans="1:16" x14ac:dyDescent="0.25">
      <c r="A83" s="1" t="str">
        <f>IF(B83="","",CONCATENATE(B83,".",C83,"/Pos ",D83,"/",'Extraction edi'!G86))</f>
        <v>2511942.X00/Pos 3/TEX</v>
      </c>
      <c r="B83" s="1" t="str">
        <f>IF('Extraction edi'!A86="","",'Extraction edi'!A86)</f>
        <v>2511942</v>
      </c>
      <c r="C83" s="1" t="str">
        <f>IF('Extraction edi'!B86="","",'Extraction edi'!B86)</f>
        <v>X00</v>
      </c>
      <c r="D83" s="1">
        <f>IF('Extraction edi'!H86="","",'Extraction edi'!H86)</f>
        <v>3</v>
      </c>
      <c r="E83" s="1">
        <f>IF('Extraction edi'!I86="","",'Extraction edi'!I86)</f>
        <v>1</v>
      </c>
      <c r="F83" t="str">
        <f>IF('Extraction edi'!K86="","",'Extraction edi'!K86)</f>
        <v>Type 1 / modèle 451</v>
      </c>
      <c r="G83" t="str">
        <f>IF('Extraction edi'!L86="","",'Extraction edi'!L86)</f>
        <v>Plaxé tuner oak / F4703001</v>
      </c>
      <c r="H83" t="str">
        <f>IF('Extraction edi'!M86="","",'Extraction edi'!M86)</f>
        <v>Plaxé tuner oak / F4703001</v>
      </c>
      <c r="I83" s="1">
        <f>IF('Extraction edi'!N86="","",'Extraction edi'!N86)</f>
        <v>28</v>
      </c>
      <c r="J83" s="1">
        <f>IF('Extraction edi'!O86="","",'Extraction edi'!O86)</f>
        <v>373</v>
      </c>
      <c r="K83" s="1" t="str">
        <f>IF('Extraction edi'!P86="","",'Extraction edi'!P86)</f>
        <v xml:space="preserve">  281</v>
      </c>
      <c r="L83" s="1" t="str">
        <f>IF('Extraction edi'!Q86="laquage RAL :","OUI","")</f>
        <v/>
      </c>
      <c r="M83" s="1" t="str">
        <f>IF('Extraction edi'!R86&lt;&gt;"",'Extraction edi'!R86,IF(G83="ALU blanc","S9016",""))</f>
        <v/>
      </c>
      <c r="N83" s="1" t="str">
        <f>IF('Extraction edi'!S86&lt;&gt;"",'Extraction edi'!S86,IF(G83="ALU blanc","S9016",""))</f>
        <v/>
      </c>
      <c r="O83" s="11">
        <v>45992</v>
      </c>
      <c r="P83" s="1">
        <f t="shared" si="1"/>
        <v>1</v>
      </c>
    </row>
    <row r="84" spans="1:16" x14ac:dyDescent="0.25">
      <c r="A84" s="1" t="str">
        <f>IF(B84="","",CONCATENATE(B84,".",C84,"/Pos ",D84,"/",'Extraction edi'!G87))</f>
        <v>2511977.000/Pos 1/STD</v>
      </c>
      <c r="B84" s="1" t="str">
        <f>IF('Extraction edi'!A87="","",'Extraction edi'!A87)</f>
        <v>2511977</v>
      </c>
      <c r="C84" s="1" t="str">
        <f>IF('Extraction edi'!B87="","",'Extraction edi'!B87)</f>
        <v>000</v>
      </c>
      <c r="D84" s="1">
        <f>IF('Extraction edi'!H87="","",'Extraction edi'!H87)</f>
        <v>1</v>
      </c>
      <c r="E84" s="1">
        <f>IF('Extraction edi'!I87="","",'Extraction edi'!I87)</f>
        <v>1</v>
      </c>
      <c r="F84" t="str">
        <f>IF('Extraction edi'!K87="","",'Extraction edi'!K87)</f>
        <v>Type 1 / modèle 451</v>
      </c>
      <c r="G84" t="str">
        <f>IF('Extraction edi'!L87="","",'Extraction edi'!L87)</f>
        <v>PVC blanc</v>
      </c>
      <c r="H84" t="str">
        <f>IF('Extraction edi'!M87="","",'Extraction edi'!M87)</f>
        <v>PVC blanc</v>
      </c>
      <c r="I84" s="1">
        <f>IF('Extraction edi'!N87="","",'Extraction edi'!N87)</f>
        <v>28</v>
      </c>
      <c r="J84" s="1">
        <f>IF('Extraction edi'!O87="","",'Extraction edi'!O87)</f>
        <v>424</v>
      </c>
      <c r="K84" s="1" t="str">
        <f>IF('Extraction edi'!P87="","",'Extraction edi'!P87)</f>
        <v xml:space="preserve">  270</v>
      </c>
      <c r="L84" s="1" t="str">
        <f>IF('Extraction edi'!Q87="laquage RAL :","OUI","")</f>
        <v/>
      </c>
      <c r="M84" s="1" t="str">
        <f>IF('Extraction edi'!R87&lt;&gt;"",'Extraction edi'!R87,IF(G84="ALU blanc","S9016",""))</f>
        <v/>
      </c>
      <c r="N84" s="1" t="str">
        <f>IF('Extraction edi'!S87&lt;&gt;"",'Extraction edi'!S87,IF(G84="ALU blanc","S9016",""))</f>
        <v/>
      </c>
      <c r="O84" s="11">
        <v>45993</v>
      </c>
      <c r="P84" s="1">
        <f t="shared" si="1"/>
        <v>2</v>
      </c>
    </row>
    <row r="85" spans="1:16" x14ac:dyDescent="0.25">
      <c r="A85" s="1" t="str">
        <f>IF(B85="","",CONCATENATE(B85,".",C85,"/Pos ",D85,"/",'Extraction edi'!G88))</f>
        <v>2511977.000/Pos 1/STD</v>
      </c>
      <c r="B85" s="1" t="str">
        <f>IF('Extraction edi'!A88="","",'Extraction edi'!A88)</f>
        <v>2511977</v>
      </c>
      <c r="C85" s="1" t="str">
        <f>IF('Extraction edi'!B88="","",'Extraction edi'!B88)</f>
        <v>000</v>
      </c>
      <c r="D85" s="1">
        <f>IF('Extraction edi'!H88="","",'Extraction edi'!H88)</f>
        <v>1</v>
      </c>
      <c r="E85" s="1">
        <f>IF('Extraction edi'!I88="","",'Extraction edi'!I88)</f>
        <v>1</v>
      </c>
      <c r="F85" t="str">
        <f>IF('Extraction edi'!K88="","",'Extraction edi'!K88)</f>
        <v>Type 1 / modèle 451</v>
      </c>
      <c r="G85" t="str">
        <f>IF('Extraction edi'!L88="","",'Extraction edi'!L88)</f>
        <v>PVC blanc</v>
      </c>
      <c r="H85" t="str">
        <f>IF('Extraction edi'!M88="","",'Extraction edi'!M88)</f>
        <v>PVC blanc</v>
      </c>
      <c r="I85" s="1">
        <f>IF('Extraction edi'!N88="","",'Extraction edi'!N88)</f>
        <v>28</v>
      </c>
      <c r="J85" s="1">
        <f>IF('Extraction edi'!O88="","",'Extraction edi'!O88)</f>
        <v>424</v>
      </c>
      <c r="K85" s="1" t="str">
        <f>IF('Extraction edi'!P88="","",'Extraction edi'!P88)</f>
        <v xml:space="preserve">  270</v>
      </c>
      <c r="L85" s="1" t="str">
        <f>IF('Extraction edi'!Q88="laquage RAL :","OUI","")</f>
        <v/>
      </c>
      <c r="M85" s="1" t="str">
        <f>IF('Extraction edi'!R88&lt;&gt;"",'Extraction edi'!R88,IF(G85="ALU blanc","S9016",""))</f>
        <v/>
      </c>
      <c r="N85" s="1" t="str">
        <f>IF('Extraction edi'!S88&lt;&gt;"",'Extraction edi'!S88,IF(G85="ALU blanc","S9016",""))</f>
        <v/>
      </c>
      <c r="O85" s="11">
        <v>45994</v>
      </c>
      <c r="P85" s="1">
        <f t="shared" si="1"/>
        <v>3</v>
      </c>
    </row>
    <row r="86" spans="1:16" x14ac:dyDescent="0.25">
      <c r="A86" s="1" t="str">
        <f>IF(B86="","",CONCATENATE(B86,".",C86,"/Pos ",D86,"/",'Extraction edi'!G89))</f>
        <v>2512019.004/Pos 5/STD</v>
      </c>
      <c r="B86" s="1" t="str">
        <f>IF('Extraction edi'!A89="","",'Extraction edi'!A89)</f>
        <v>2512019</v>
      </c>
      <c r="C86" s="1" t="str">
        <f>IF('Extraction edi'!B89="","",'Extraction edi'!B89)</f>
        <v>004</v>
      </c>
      <c r="D86" s="1">
        <f>IF('Extraction edi'!H89="","",'Extraction edi'!H89)</f>
        <v>5</v>
      </c>
      <c r="E86" s="1">
        <f>IF('Extraction edi'!I89="","",'Extraction edi'!I89)</f>
        <v>1</v>
      </c>
      <c r="F86" t="str">
        <f>IF('Extraction edi'!K89="","",'Extraction edi'!K89)</f>
        <v>Type 1 / modèle 451</v>
      </c>
      <c r="G86" t="str">
        <f>IF('Extraction edi'!L89="","",'Extraction edi'!L89)</f>
        <v>PVC blanc</v>
      </c>
      <c r="H86" t="str">
        <f>IF('Extraction edi'!M89="","",'Extraction edi'!M89)</f>
        <v>PVC blanc</v>
      </c>
      <c r="I86" s="1">
        <f>IF('Extraction edi'!N89="","",'Extraction edi'!N89)</f>
        <v>28</v>
      </c>
      <c r="J86" s="1">
        <f>IF('Extraction edi'!O89="","",'Extraction edi'!O89)</f>
        <v>504</v>
      </c>
      <c r="K86" s="1" t="str">
        <f>IF('Extraction edi'!P89="","",'Extraction edi'!P89)</f>
        <v xml:space="preserve">  611</v>
      </c>
      <c r="L86" s="1" t="str">
        <f>IF('Extraction edi'!Q89="laquage RAL :","OUI","")</f>
        <v/>
      </c>
      <c r="M86" s="1" t="str">
        <f>IF('Extraction edi'!R89&lt;&gt;"",'Extraction edi'!R89,IF(G86="ALU blanc","S9016",""))</f>
        <v/>
      </c>
      <c r="N86" s="1" t="str">
        <f>IF('Extraction edi'!S89&lt;&gt;"",'Extraction edi'!S89,IF(G86="ALU blanc","S9016",""))</f>
        <v/>
      </c>
      <c r="O86" s="11">
        <v>45995</v>
      </c>
      <c r="P86" s="1">
        <f t="shared" si="1"/>
        <v>4</v>
      </c>
    </row>
    <row r="87" spans="1:16" x14ac:dyDescent="0.25">
      <c r="A87" s="1" t="str">
        <f>IF(B87="","",CONCATENATE(B87,".",C87,"/Pos ",D87,"/",'Extraction edi'!G90))</f>
        <v>2512019.004/Pos 5/STD</v>
      </c>
      <c r="B87" s="1" t="str">
        <f>IF('Extraction edi'!A90="","",'Extraction edi'!A90)</f>
        <v>2512019</v>
      </c>
      <c r="C87" s="1" t="str">
        <f>IF('Extraction edi'!B90="","",'Extraction edi'!B90)</f>
        <v>004</v>
      </c>
      <c r="D87" s="1">
        <f>IF('Extraction edi'!H90="","",'Extraction edi'!H90)</f>
        <v>5</v>
      </c>
      <c r="E87" s="1">
        <f>IF('Extraction edi'!I90="","",'Extraction edi'!I90)</f>
        <v>1</v>
      </c>
      <c r="F87" t="str">
        <f>IF('Extraction edi'!K90="","",'Extraction edi'!K90)</f>
        <v>Type 1 / modèle 451</v>
      </c>
      <c r="G87" t="str">
        <f>IF('Extraction edi'!L90="","",'Extraction edi'!L90)</f>
        <v>PVC blanc</v>
      </c>
      <c r="H87" t="str">
        <f>IF('Extraction edi'!M90="","",'Extraction edi'!M90)</f>
        <v>PVC blanc</v>
      </c>
      <c r="I87" s="1">
        <f>IF('Extraction edi'!N90="","",'Extraction edi'!N90)</f>
        <v>28</v>
      </c>
      <c r="J87" s="1">
        <f>IF('Extraction edi'!O90="","",'Extraction edi'!O90)</f>
        <v>504</v>
      </c>
      <c r="K87" s="1" t="str">
        <f>IF('Extraction edi'!P90="","",'Extraction edi'!P90)</f>
        <v xml:space="preserve">  611</v>
      </c>
      <c r="L87" s="1" t="str">
        <f>IF('Extraction edi'!Q90="laquage RAL :","OUI","")</f>
        <v/>
      </c>
      <c r="M87" s="1" t="str">
        <f>IF('Extraction edi'!R90&lt;&gt;"",'Extraction edi'!R90,IF(G87="ALU blanc","S9016",""))</f>
        <v/>
      </c>
      <c r="N87" s="1" t="str">
        <f>IF('Extraction edi'!S90&lt;&gt;"",'Extraction edi'!S90,IF(G87="ALU blanc","S9016",""))</f>
        <v/>
      </c>
      <c r="O87" s="11">
        <v>45996</v>
      </c>
      <c r="P87" s="1">
        <f t="shared" si="1"/>
        <v>5</v>
      </c>
    </row>
    <row r="88" spans="1:16" x14ac:dyDescent="0.25">
      <c r="A88" s="1" t="str">
        <f>IF(B88="","",CONCATENATE(B88,".",C88,"/Pos ",D88,"/",'Extraction edi'!G91))</f>
        <v/>
      </c>
      <c r="B88" s="1" t="str">
        <f>IF('Extraction edi'!A91="","",'Extraction edi'!A91)</f>
        <v/>
      </c>
      <c r="C88" s="1" t="str">
        <f>IF('Extraction edi'!B91="","",'Extraction edi'!B91)</f>
        <v/>
      </c>
      <c r="D88" s="1" t="str">
        <f>IF('Extraction edi'!H91="","",'Extraction edi'!H91)</f>
        <v/>
      </c>
      <c r="E88" s="1" t="str">
        <f>IF('Extraction edi'!I91="","",'Extraction edi'!I91)</f>
        <v/>
      </c>
      <c r="F88" t="str">
        <f>IF('Extraction edi'!K91="","",'Extraction edi'!K91)</f>
        <v/>
      </c>
      <c r="G88" t="str">
        <f>IF('Extraction edi'!L91="","",'Extraction edi'!L91)</f>
        <v/>
      </c>
      <c r="H88" t="str">
        <f>IF('Extraction edi'!M91="","",'Extraction edi'!M91)</f>
        <v/>
      </c>
      <c r="I88" s="1" t="str">
        <f>IF('Extraction edi'!N91="","",'Extraction edi'!N91)</f>
        <v/>
      </c>
      <c r="J88" s="1" t="str">
        <f>IF('Extraction edi'!O91="","",'Extraction edi'!O91)</f>
        <v/>
      </c>
      <c r="K88" s="1" t="str">
        <f>IF('Extraction edi'!P91="","",'Extraction edi'!P91)</f>
        <v/>
      </c>
      <c r="L88" s="1" t="str">
        <f>IF('Extraction edi'!Q91="laquage RAL :","OUI","")</f>
        <v/>
      </c>
      <c r="M88" s="1" t="str">
        <f>IF('Extraction edi'!R91&lt;&gt;"",'Extraction edi'!R91,IF(G88="ALU blanc","S9016",""))</f>
        <v/>
      </c>
      <c r="N88" s="1" t="str">
        <f>IF('Extraction edi'!S91&lt;&gt;"",'Extraction edi'!S91,IF(G88="ALU blanc","S9016",""))</f>
        <v/>
      </c>
      <c r="O88" s="11">
        <v>45997</v>
      </c>
      <c r="P88" s="1">
        <f t="shared" si="1"/>
        <v>6</v>
      </c>
    </row>
    <row r="89" spans="1:16" x14ac:dyDescent="0.25">
      <c r="A89" s="1" t="str">
        <f>IF(B89="","",CONCATENATE(B89,".",C89,"/Pos ",D89,"/",'Extraction edi'!G92))</f>
        <v/>
      </c>
      <c r="B89" s="1" t="str">
        <f>IF('Extraction edi'!A92="","",'Extraction edi'!A92)</f>
        <v/>
      </c>
      <c r="C89" s="1" t="str">
        <f>IF('Extraction edi'!B92="","",'Extraction edi'!B92)</f>
        <v/>
      </c>
      <c r="D89" s="1" t="str">
        <f>IF('Extraction edi'!H92="","",'Extraction edi'!H92)</f>
        <v/>
      </c>
      <c r="E89" s="1" t="str">
        <f>IF('Extraction edi'!I92="","",'Extraction edi'!I92)</f>
        <v/>
      </c>
      <c r="F89" t="str">
        <f>IF('Extraction edi'!K92="","",'Extraction edi'!K92)</f>
        <v/>
      </c>
      <c r="G89" t="str">
        <f>IF('Extraction edi'!L92="","",'Extraction edi'!L92)</f>
        <v/>
      </c>
      <c r="H89" t="str">
        <f>IF('Extraction edi'!M92="","",'Extraction edi'!M92)</f>
        <v/>
      </c>
      <c r="I89" s="1" t="str">
        <f>IF('Extraction edi'!N92="","",'Extraction edi'!N92)</f>
        <v/>
      </c>
      <c r="J89" s="1" t="str">
        <f>IF('Extraction edi'!O92="","",'Extraction edi'!O92)</f>
        <v/>
      </c>
      <c r="K89" s="1" t="str">
        <f>IF('Extraction edi'!P92="","",'Extraction edi'!P92)</f>
        <v/>
      </c>
      <c r="L89" s="1" t="str">
        <f>IF('Extraction edi'!Q92="laquage RAL :","OUI","")</f>
        <v/>
      </c>
      <c r="M89" s="1" t="str">
        <f>IF('Extraction edi'!R92&lt;&gt;"",'Extraction edi'!R92,IF(G89="ALU blanc","S9016",""))</f>
        <v/>
      </c>
      <c r="N89" s="1" t="str">
        <f>IF('Extraction edi'!S92&lt;&gt;"",'Extraction edi'!S92,IF(G89="ALU blanc","S9016",""))</f>
        <v/>
      </c>
      <c r="O89" s="11">
        <v>45998</v>
      </c>
      <c r="P89" s="1">
        <f t="shared" si="1"/>
        <v>7</v>
      </c>
    </row>
    <row r="90" spans="1:16" x14ac:dyDescent="0.25">
      <c r="A90" s="1" t="str">
        <f>IF(B90="","",CONCATENATE(B90,".",C90,"/Pos ",D90,"/",'Extraction edi'!G93))</f>
        <v/>
      </c>
      <c r="B90" s="1" t="str">
        <f>IF('Extraction edi'!A93="","",'Extraction edi'!A93)</f>
        <v/>
      </c>
      <c r="C90" s="1" t="str">
        <f>IF('Extraction edi'!B93="","",'Extraction edi'!B93)</f>
        <v/>
      </c>
      <c r="D90" s="1" t="str">
        <f>IF('Extraction edi'!H93="","",'Extraction edi'!H93)</f>
        <v/>
      </c>
      <c r="E90" s="1" t="str">
        <f>IF('Extraction edi'!I93="","",'Extraction edi'!I93)</f>
        <v/>
      </c>
      <c r="F90" t="str">
        <f>IF('Extraction edi'!K93="","",'Extraction edi'!K93)</f>
        <v/>
      </c>
      <c r="G90" t="str">
        <f>IF('Extraction edi'!L93="","",'Extraction edi'!L93)</f>
        <v/>
      </c>
      <c r="H90" t="str">
        <f>IF('Extraction edi'!M93="","",'Extraction edi'!M93)</f>
        <v/>
      </c>
      <c r="I90" s="1" t="str">
        <f>IF('Extraction edi'!N93="","",'Extraction edi'!N93)</f>
        <v/>
      </c>
      <c r="J90" s="1" t="str">
        <f>IF('Extraction edi'!O93="","",'Extraction edi'!O93)</f>
        <v/>
      </c>
      <c r="K90" s="1" t="str">
        <f>IF('Extraction edi'!P93="","",'Extraction edi'!P93)</f>
        <v/>
      </c>
      <c r="L90" s="1" t="str">
        <f>IF('Extraction edi'!Q93="laquage RAL :","OUI","")</f>
        <v/>
      </c>
      <c r="M90" s="1" t="str">
        <f>IF('Extraction edi'!R93&lt;&gt;"",'Extraction edi'!R93,IF(G90="ALU blanc","S9016",""))</f>
        <v/>
      </c>
      <c r="N90" s="1" t="str">
        <f>IF('Extraction edi'!S93&lt;&gt;"",'Extraction edi'!S93,IF(G90="ALU blanc","S9016",""))</f>
        <v/>
      </c>
      <c r="O90" s="11">
        <v>45999</v>
      </c>
      <c r="P90" s="1">
        <f t="shared" si="1"/>
        <v>1</v>
      </c>
    </row>
    <row r="91" spans="1:16" x14ac:dyDescent="0.25">
      <c r="A91" s="1" t="str">
        <f>IF(B91="","",CONCATENATE(B91,".",C91,"/Pos ",D91,"/",'Extraction edi'!G94))</f>
        <v/>
      </c>
      <c r="B91" s="1" t="str">
        <f>IF('Extraction edi'!A94="","",'Extraction edi'!A94)</f>
        <v/>
      </c>
      <c r="C91" s="1" t="str">
        <f>IF('Extraction edi'!B94="","",'Extraction edi'!B94)</f>
        <v/>
      </c>
      <c r="D91" s="1" t="str">
        <f>IF('Extraction edi'!H94="","",'Extraction edi'!H94)</f>
        <v/>
      </c>
      <c r="E91" s="1" t="str">
        <f>IF('Extraction edi'!I94="","",'Extraction edi'!I94)</f>
        <v/>
      </c>
      <c r="F91" t="str">
        <f>IF('Extraction edi'!K94="","",'Extraction edi'!K94)</f>
        <v/>
      </c>
      <c r="G91" t="str">
        <f>IF('Extraction edi'!L94="","",'Extraction edi'!L94)</f>
        <v/>
      </c>
      <c r="H91" t="str">
        <f>IF('Extraction edi'!M94="","",'Extraction edi'!M94)</f>
        <v/>
      </c>
      <c r="I91" s="1" t="str">
        <f>IF('Extraction edi'!N94="","",'Extraction edi'!N94)</f>
        <v/>
      </c>
      <c r="J91" s="1" t="str">
        <f>IF('Extraction edi'!O94="","",'Extraction edi'!O94)</f>
        <v/>
      </c>
      <c r="K91" s="1" t="str">
        <f>IF('Extraction edi'!P94="","",'Extraction edi'!P94)</f>
        <v/>
      </c>
      <c r="L91" s="1" t="str">
        <f>IF('Extraction edi'!Q94="laquage RAL :","OUI","")</f>
        <v/>
      </c>
      <c r="M91" s="1" t="str">
        <f>IF('Extraction edi'!R94&lt;&gt;"",'Extraction edi'!R94,IF(G91="ALU blanc","S9016",""))</f>
        <v/>
      </c>
      <c r="N91" s="1" t="str">
        <f>IF('Extraction edi'!S94&lt;&gt;"",'Extraction edi'!S94,IF(G91="ALU blanc","S9016",""))</f>
        <v/>
      </c>
      <c r="O91" s="11">
        <v>46000</v>
      </c>
      <c r="P91" s="1">
        <f t="shared" si="1"/>
        <v>2</v>
      </c>
    </row>
    <row r="92" spans="1:16" x14ac:dyDescent="0.25">
      <c r="A92" s="1" t="str">
        <f>IF(B92="","",CONCATENATE(B92,".",C92,"/Pos ",D92,"/",'Extraction edi'!G95))</f>
        <v/>
      </c>
      <c r="B92" s="1" t="str">
        <f>IF('Extraction edi'!A95="","",'Extraction edi'!A95)</f>
        <v/>
      </c>
      <c r="C92" s="1" t="str">
        <f>IF('Extraction edi'!B95="","",'Extraction edi'!B95)</f>
        <v/>
      </c>
      <c r="D92" s="1" t="str">
        <f>IF('Extraction edi'!H95="","",'Extraction edi'!H95)</f>
        <v/>
      </c>
      <c r="E92" s="1" t="str">
        <f>IF('Extraction edi'!I95="","",'Extraction edi'!I95)</f>
        <v/>
      </c>
      <c r="F92" t="str">
        <f>IF('Extraction edi'!K95="","",'Extraction edi'!K95)</f>
        <v/>
      </c>
      <c r="G92" t="str">
        <f>IF('Extraction edi'!L95="","",'Extraction edi'!L95)</f>
        <v/>
      </c>
      <c r="H92" t="str">
        <f>IF('Extraction edi'!M95="","",'Extraction edi'!M95)</f>
        <v/>
      </c>
      <c r="I92" s="1" t="str">
        <f>IF('Extraction edi'!N95="","",'Extraction edi'!N95)</f>
        <v/>
      </c>
      <c r="J92" s="1" t="str">
        <f>IF('Extraction edi'!O95="","",'Extraction edi'!O95)</f>
        <v/>
      </c>
      <c r="K92" s="1" t="str">
        <f>IF('Extraction edi'!P95="","",'Extraction edi'!P95)</f>
        <v/>
      </c>
      <c r="L92" s="1" t="str">
        <f>IF('Extraction edi'!Q95="laquage RAL :","OUI","")</f>
        <v/>
      </c>
      <c r="M92" s="1" t="str">
        <f>IF('Extraction edi'!R95&lt;&gt;"",'Extraction edi'!R95,IF(G92="ALU blanc","S9016",""))</f>
        <v/>
      </c>
      <c r="N92" s="1" t="str">
        <f>IF('Extraction edi'!S95&lt;&gt;"",'Extraction edi'!S95,IF(G92="ALU blanc","S9016",""))</f>
        <v/>
      </c>
      <c r="O92" s="11">
        <v>46001</v>
      </c>
      <c r="P92" s="1">
        <f t="shared" si="1"/>
        <v>3</v>
      </c>
    </row>
    <row r="93" spans="1:16" x14ac:dyDescent="0.25">
      <c r="A93" s="1" t="str">
        <f>IF(B93="","",CONCATENATE(B93,".",C93,"/Pos ",D93,"/",'Extraction edi'!G96))</f>
        <v/>
      </c>
      <c r="B93" s="1" t="str">
        <f>IF('Extraction edi'!A96="","",'Extraction edi'!A96)</f>
        <v/>
      </c>
      <c r="C93" s="1" t="str">
        <f>IF('Extraction edi'!B96="","",'Extraction edi'!B96)</f>
        <v/>
      </c>
      <c r="D93" s="1" t="str">
        <f>IF('Extraction edi'!H96="","",'Extraction edi'!H96)</f>
        <v/>
      </c>
      <c r="E93" s="1" t="str">
        <f>IF('Extraction edi'!I96="","",'Extraction edi'!I96)</f>
        <v/>
      </c>
      <c r="F93" t="str">
        <f>IF('Extraction edi'!K96="","",'Extraction edi'!K96)</f>
        <v/>
      </c>
      <c r="G93" t="str">
        <f>IF('Extraction edi'!L96="","",'Extraction edi'!L96)</f>
        <v/>
      </c>
      <c r="H93" t="str">
        <f>IF('Extraction edi'!M96="","",'Extraction edi'!M96)</f>
        <v/>
      </c>
      <c r="I93" s="1" t="str">
        <f>IF('Extraction edi'!N96="","",'Extraction edi'!N96)</f>
        <v/>
      </c>
      <c r="J93" s="1" t="str">
        <f>IF('Extraction edi'!O96="","",'Extraction edi'!O96)</f>
        <v/>
      </c>
      <c r="K93" s="1" t="str">
        <f>IF('Extraction edi'!P96="","",'Extraction edi'!P96)</f>
        <v/>
      </c>
      <c r="L93" s="1" t="str">
        <f>IF('Extraction edi'!Q96="laquage RAL :","OUI","")</f>
        <v/>
      </c>
      <c r="M93" s="1" t="str">
        <f>IF('Extraction edi'!R96&lt;&gt;"",'Extraction edi'!R96,IF(G93="ALU blanc","S9016",""))</f>
        <v/>
      </c>
      <c r="N93" s="1" t="str">
        <f>IF('Extraction edi'!S96&lt;&gt;"",'Extraction edi'!S96,IF(G93="ALU blanc","S9016",""))</f>
        <v/>
      </c>
      <c r="O93" s="11">
        <v>46002</v>
      </c>
      <c r="P93" s="1">
        <f t="shared" si="1"/>
        <v>4</v>
      </c>
    </row>
    <row r="94" spans="1:16" x14ac:dyDescent="0.25">
      <c r="A94" s="1" t="str">
        <f>IF(B94="","",CONCATENATE(B94,".",C94,"/Pos ",D94,"/",'Extraction edi'!G97))</f>
        <v/>
      </c>
      <c r="B94" s="1" t="str">
        <f>IF('Extraction edi'!A97="","",'Extraction edi'!A97)</f>
        <v/>
      </c>
      <c r="C94" s="1" t="str">
        <f>IF('Extraction edi'!B97="","",'Extraction edi'!B97)</f>
        <v/>
      </c>
      <c r="D94" s="1" t="str">
        <f>IF('Extraction edi'!H97="","",'Extraction edi'!H97)</f>
        <v/>
      </c>
      <c r="E94" s="1" t="str">
        <f>IF('Extraction edi'!I97="","",'Extraction edi'!I97)</f>
        <v/>
      </c>
      <c r="F94" t="str">
        <f>IF('Extraction edi'!K97="","",'Extraction edi'!K97)</f>
        <v/>
      </c>
      <c r="G94" t="str">
        <f>IF('Extraction edi'!L97="","",'Extraction edi'!L97)</f>
        <v/>
      </c>
      <c r="H94" t="str">
        <f>IF('Extraction edi'!M97="","",'Extraction edi'!M97)</f>
        <v/>
      </c>
      <c r="I94" s="1" t="str">
        <f>IF('Extraction edi'!N97="","",'Extraction edi'!N97)</f>
        <v/>
      </c>
      <c r="J94" s="1" t="str">
        <f>IF('Extraction edi'!O97="","",'Extraction edi'!O97)</f>
        <v/>
      </c>
      <c r="K94" s="1" t="str">
        <f>IF('Extraction edi'!P97="","",'Extraction edi'!P97)</f>
        <v/>
      </c>
      <c r="L94" s="1" t="str">
        <f>IF('Extraction edi'!Q97="laquage RAL :","OUI","")</f>
        <v/>
      </c>
      <c r="M94" s="1" t="str">
        <f>IF('Extraction edi'!R97&lt;&gt;"",'Extraction edi'!R97,IF(G94="ALU blanc","S9016",""))</f>
        <v/>
      </c>
      <c r="N94" s="1" t="str">
        <f>IF('Extraction edi'!S97&lt;&gt;"",'Extraction edi'!S97,IF(G94="ALU blanc","S9016",""))</f>
        <v/>
      </c>
      <c r="O94" s="11">
        <v>46003</v>
      </c>
      <c r="P94" s="1">
        <f t="shared" si="1"/>
        <v>5</v>
      </c>
    </row>
    <row r="95" spans="1:16" x14ac:dyDescent="0.25">
      <c r="A95" s="1" t="str">
        <f>IF(B95="","",CONCATENATE(B95,".",C95,"/Pos ",D95,"/",'Extraction edi'!G98))</f>
        <v/>
      </c>
      <c r="B95" s="1" t="str">
        <f>IF('Extraction edi'!A98="","",'Extraction edi'!A98)</f>
        <v/>
      </c>
      <c r="C95" s="1" t="str">
        <f>IF('Extraction edi'!B98="","",'Extraction edi'!B98)</f>
        <v/>
      </c>
      <c r="D95" s="1" t="str">
        <f>IF('Extraction edi'!H98="","",'Extraction edi'!H98)</f>
        <v/>
      </c>
      <c r="E95" s="1" t="str">
        <f>IF('Extraction edi'!I98="","",'Extraction edi'!I98)</f>
        <v/>
      </c>
      <c r="F95" t="str">
        <f>IF('Extraction edi'!K98="","",'Extraction edi'!K98)</f>
        <v/>
      </c>
      <c r="G95" t="str">
        <f>IF('Extraction edi'!L98="","",'Extraction edi'!L98)</f>
        <v/>
      </c>
      <c r="H95" t="str">
        <f>IF('Extraction edi'!M98="","",'Extraction edi'!M98)</f>
        <v/>
      </c>
      <c r="I95" s="1" t="str">
        <f>IF('Extraction edi'!N98="","",'Extraction edi'!N98)</f>
        <v/>
      </c>
      <c r="J95" s="1" t="str">
        <f>IF('Extraction edi'!O98="","",'Extraction edi'!O98)</f>
        <v/>
      </c>
      <c r="K95" s="1" t="str">
        <f>IF('Extraction edi'!P98="","",'Extraction edi'!P98)</f>
        <v/>
      </c>
      <c r="L95" s="1" t="str">
        <f>IF('Extraction edi'!Q98="laquage RAL :","OUI","")</f>
        <v/>
      </c>
      <c r="M95" s="1" t="str">
        <f>IF('Extraction edi'!R98&lt;&gt;"",'Extraction edi'!R98,IF(G95="ALU blanc","S9016",""))</f>
        <v/>
      </c>
      <c r="N95" s="1" t="str">
        <f>IF('Extraction edi'!S98&lt;&gt;"",'Extraction edi'!S98,IF(G95="ALU blanc","S9016",""))</f>
        <v/>
      </c>
      <c r="O95" s="11">
        <v>46004</v>
      </c>
      <c r="P95" s="1">
        <f t="shared" si="1"/>
        <v>6</v>
      </c>
    </row>
    <row r="96" spans="1:16" x14ac:dyDescent="0.25">
      <c r="A96" s="1" t="str">
        <f>IF(B96="","",CONCATENATE(B96,".",C96,"/Pos ",D96,"/",'Extraction edi'!G99))</f>
        <v/>
      </c>
      <c r="B96" s="1" t="str">
        <f>IF('Extraction edi'!A99="","",'Extraction edi'!A99)</f>
        <v/>
      </c>
      <c r="C96" s="1" t="str">
        <f>IF('Extraction edi'!B99="","",'Extraction edi'!B99)</f>
        <v/>
      </c>
      <c r="D96" s="1" t="str">
        <f>IF('Extraction edi'!H99="","",'Extraction edi'!H99)</f>
        <v/>
      </c>
      <c r="E96" s="1" t="str">
        <f>IF('Extraction edi'!I99="","",'Extraction edi'!I99)</f>
        <v/>
      </c>
      <c r="F96" t="str">
        <f>IF('Extraction edi'!K99="","",'Extraction edi'!K99)</f>
        <v/>
      </c>
      <c r="G96" t="str">
        <f>IF('Extraction edi'!L99="","",'Extraction edi'!L99)</f>
        <v/>
      </c>
      <c r="H96" t="str">
        <f>IF('Extraction edi'!M99="","",'Extraction edi'!M99)</f>
        <v/>
      </c>
      <c r="I96" s="1" t="str">
        <f>IF('Extraction edi'!N99="","",'Extraction edi'!N99)</f>
        <v/>
      </c>
      <c r="J96" s="1" t="str">
        <f>IF('Extraction edi'!O99="","",'Extraction edi'!O99)</f>
        <v/>
      </c>
      <c r="K96" s="1" t="str">
        <f>IF('Extraction edi'!P99="","",'Extraction edi'!P99)</f>
        <v/>
      </c>
      <c r="L96" s="1" t="str">
        <f>IF('Extraction edi'!Q99="laquage RAL :","OUI","")</f>
        <v/>
      </c>
      <c r="M96" s="1" t="str">
        <f>IF('Extraction edi'!R99&lt;&gt;"",'Extraction edi'!R99,IF(G96="ALU blanc","S9016",""))</f>
        <v/>
      </c>
      <c r="N96" s="1" t="str">
        <f>IF('Extraction edi'!S99&lt;&gt;"",'Extraction edi'!S99,IF(G96="ALU blanc","S9016",""))</f>
        <v/>
      </c>
      <c r="O96" s="11">
        <v>46005</v>
      </c>
      <c r="P96" s="1">
        <f t="shared" si="1"/>
        <v>7</v>
      </c>
    </row>
    <row r="97" spans="1:16" x14ac:dyDescent="0.25">
      <c r="A97" s="1" t="str">
        <f>IF(B97="","",CONCATENATE(B97,".",C97,"/Pos ",D97,"/",'Extraction edi'!G100))</f>
        <v/>
      </c>
      <c r="B97" s="1" t="str">
        <f>IF('Extraction edi'!A100="","",'Extraction edi'!A100)</f>
        <v/>
      </c>
      <c r="C97" s="1" t="str">
        <f>IF('Extraction edi'!B100="","",'Extraction edi'!B100)</f>
        <v/>
      </c>
      <c r="D97" s="1" t="str">
        <f>IF('Extraction edi'!H100="","",'Extraction edi'!H100)</f>
        <v/>
      </c>
      <c r="E97" s="1" t="str">
        <f>IF('Extraction edi'!I100="","",'Extraction edi'!I100)</f>
        <v/>
      </c>
      <c r="F97" t="str">
        <f>IF('Extraction edi'!K100="","",'Extraction edi'!K100)</f>
        <v/>
      </c>
      <c r="G97" t="str">
        <f>IF('Extraction edi'!L100="","",'Extraction edi'!L100)</f>
        <v/>
      </c>
      <c r="H97" t="str">
        <f>IF('Extraction edi'!M100="","",'Extraction edi'!M100)</f>
        <v/>
      </c>
      <c r="I97" s="1" t="str">
        <f>IF('Extraction edi'!N100="","",'Extraction edi'!N100)</f>
        <v/>
      </c>
      <c r="J97" s="1" t="str">
        <f>IF('Extraction edi'!O100="","",'Extraction edi'!O100)</f>
        <v/>
      </c>
      <c r="K97" s="1" t="str">
        <f>IF('Extraction edi'!P100="","",'Extraction edi'!P100)</f>
        <v/>
      </c>
      <c r="L97" s="1" t="str">
        <f>IF('Extraction edi'!Q100="laquage RAL :","OUI","")</f>
        <v/>
      </c>
      <c r="M97" s="1" t="str">
        <f>IF('Extraction edi'!R100&lt;&gt;"",'Extraction edi'!R100,IF(G97="ALU blanc","S9016",""))</f>
        <v/>
      </c>
      <c r="N97" s="1" t="str">
        <f>IF('Extraction edi'!S100&lt;&gt;"",'Extraction edi'!S100,IF(G97="ALU blanc","S9016",""))</f>
        <v/>
      </c>
      <c r="O97" s="11">
        <v>46006</v>
      </c>
      <c r="P97" s="1">
        <f t="shared" si="1"/>
        <v>1</v>
      </c>
    </row>
    <row r="98" spans="1:16" x14ac:dyDescent="0.25">
      <c r="A98" s="1" t="str">
        <f>IF(B98="","",CONCATENATE(B98,".",C98,"/Pos ",D98,"/",'Extraction edi'!G101))</f>
        <v/>
      </c>
      <c r="B98" s="1" t="str">
        <f>IF('Extraction edi'!A101="","",'Extraction edi'!A101)</f>
        <v/>
      </c>
      <c r="C98" s="1" t="str">
        <f>IF('Extraction edi'!B101="","",'Extraction edi'!B101)</f>
        <v/>
      </c>
      <c r="D98" s="1" t="str">
        <f>IF('Extraction edi'!H101="","",'Extraction edi'!H101)</f>
        <v/>
      </c>
      <c r="E98" s="1" t="str">
        <f>IF('Extraction edi'!I101="","",'Extraction edi'!I101)</f>
        <v/>
      </c>
      <c r="F98" t="str">
        <f>IF('Extraction edi'!K101="","",'Extraction edi'!K101)</f>
        <v/>
      </c>
      <c r="G98" t="str">
        <f>IF('Extraction edi'!L101="","",'Extraction edi'!L101)</f>
        <v/>
      </c>
      <c r="H98" t="str">
        <f>IF('Extraction edi'!M101="","",'Extraction edi'!M101)</f>
        <v/>
      </c>
      <c r="I98" s="1" t="str">
        <f>IF('Extraction edi'!N101="","",'Extraction edi'!N101)</f>
        <v/>
      </c>
      <c r="J98" s="1" t="str">
        <f>IF('Extraction edi'!O101="","",'Extraction edi'!O101)</f>
        <v/>
      </c>
      <c r="K98" s="1" t="str">
        <f>IF('Extraction edi'!P101="","",'Extraction edi'!P101)</f>
        <v/>
      </c>
      <c r="L98" s="1" t="str">
        <f>IF('Extraction edi'!Q101="laquage RAL :","OUI","")</f>
        <v/>
      </c>
      <c r="M98" s="1" t="str">
        <f>IF('Extraction edi'!R101&lt;&gt;"",'Extraction edi'!R101,IF(G98="ALU blanc","S9016",""))</f>
        <v/>
      </c>
      <c r="N98" s="1" t="str">
        <f>IF('Extraction edi'!S101&lt;&gt;"",'Extraction edi'!S101,IF(G98="ALU blanc","S9016",""))</f>
        <v/>
      </c>
      <c r="O98" s="11">
        <v>46007</v>
      </c>
      <c r="P98" s="1">
        <f t="shared" si="1"/>
        <v>2</v>
      </c>
    </row>
    <row r="99" spans="1:16" x14ac:dyDescent="0.25">
      <c r="A99" s="1" t="str">
        <f>IF(B99="","",CONCATENATE(B99,".",C99,"/Pos ",D99,"/",'Extraction edi'!G102))</f>
        <v/>
      </c>
      <c r="B99" s="1" t="str">
        <f>IF('Extraction edi'!A102="","",'Extraction edi'!A102)</f>
        <v/>
      </c>
      <c r="C99" s="1" t="str">
        <f>IF('Extraction edi'!B102="","",'Extraction edi'!B102)</f>
        <v/>
      </c>
      <c r="D99" s="1" t="str">
        <f>IF('Extraction edi'!H102="","",'Extraction edi'!H102)</f>
        <v/>
      </c>
      <c r="E99" s="1" t="str">
        <f>IF('Extraction edi'!I102="","",'Extraction edi'!I102)</f>
        <v/>
      </c>
      <c r="F99" t="str">
        <f>IF('Extraction edi'!K102="","",'Extraction edi'!K102)</f>
        <v/>
      </c>
      <c r="G99" t="str">
        <f>IF('Extraction edi'!L102="","",'Extraction edi'!L102)</f>
        <v/>
      </c>
      <c r="H99" t="str">
        <f>IF('Extraction edi'!M102="","",'Extraction edi'!M102)</f>
        <v/>
      </c>
      <c r="I99" s="1" t="str">
        <f>IF('Extraction edi'!N102="","",'Extraction edi'!N102)</f>
        <v/>
      </c>
      <c r="J99" s="1" t="str">
        <f>IF('Extraction edi'!O102="","",'Extraction edi'!O102)</f>
        <v/>
      </c>
      <c r="K99" s="1" t="str">
        <f>IF('Extraction edi'!P102="","",'Extraction edi'!P102)</f>
        <v/>
      </c>
      <c r="L99" s="1" t="str">
        <f>IF('Extraction edi'!Q102="laquage RAL :","OUI","")</f>
        <v/>
      </c>
      <c r="M99" s="1" t="str">
        <f>IF('Extraction edi'!R102&lt;&gt;"",'Extraction edi'!R102,IF(G99="ALU blanc","S9016",""))</f>
        <v/>
      </c>
      <c r="N99" s="1" t="str">
        <f>IF('Extraction edi'!S102&lt;&gt;"",'Extraction edi'!S102,IF(G99="ALU blanc","S9016",""))</f>
        <v/>
      </c>
      <c r="O99" s="11">
        <v>46008</v>
      </c>
      <c r="P99" s="1">
        <f t="shared" si="1"/>
        <v>3</v>
      </c>
    </row>
    <row r="100" spans="1:16" x14ac:dyDescent="0.25">
      <c r="A100" s="1" t="str">
        <f>IF(B100="","",CONCATENATE(B100,".",C100,"/Pos ",D100,"/",'Extraction edi'!G103))</f>
        <v/>
      </c>
      <c r="B100" s="1" t="str">
        <f>IF('Extraction edi'!A103="","",'Extraction edi'!A103)</f>
        <v/>
      </c>
      <c r="C100" s="1" t="str">
        <f>IF('Extraction edi'!B103="","",'Extraction edi'!B103)</f>
        <v/>
      </c>
      <c r="D100" s="1" t="str">
        <f>IF('Extraction edi'!H103="","",'Extraction edi'!H103)</f>
        <v/>
      </c>
      <c r="E100" s="1" t="str">
        <f>IF('Extraction edi'!I103="","",'Extraction edi'!I103)</f>
        <v/>
      </c>
      <c r="F100" t="str">
        <f>IF('Extraction edi'!K103="","",'Extraction edi'!K103)</f>
        <v/>
      </c>
      <c r="G100" t="str">
        <f>IF('Extraction edi'!L103="","",'Extraction edi'!L103)</f>
        <v/>
      </c>
      <c r="H100" t="str">
        <f>IF('Extraction edi'!M103="","",'Extraction edi'!M103)</f>
        <v/>
      </c>
      <c r="I100" s="1" t="str">
        <f>IF('Extraction edi'!N103="","",'Extraction edi'!N103)</f>
        <v/>
      </c>
      <c r="J100" s="1" t="str">
        <f>IF('Extraction edi'!O103="","",'Extraction edi'!O103)</f>
        <v/>
      </c>
      <c r="K100" s="1" t="str">
        <f>IF('Extraction edi'!P103="","",'Extraction edi'!P103)</f>
        <v/>
      </c>
      <c r="L100" s="1" t="str">
        <f>IF('Extraction edi'!Q103="laquage RAL :","OUI","")</f>
        <v/>
      </c>
      <c r="M100" s="1" t="str">
        <f>IF('Extraction edi'!R103&lt;&gt;"",'Extraction edi'!R103,IF(G100="ALU blanc","S9016",""))</f>
        <v/>
      </c>
      <c r="N100" s="1" t="str">
        <f>IF('Extraction edi'!S103&lt;&gt;"",'Extraction edi'!S103,IF(G100="ALU blanc","S9016",""))</f>
        <v/>
      </c>
      <c r="O100" s="11">
        <v>46009</v>
      </c>
      <c r="P100" s="1">
        <f t="shared" si="1"/>
        <v>4</v>
      </c>
    </row>
    <row r="101" spans="1:16" x14ac:dyDescent="0.25">
      <c r="A101" s="1" t="str">
        <f>IF(B101="","",CONCATENATE(B101,".",C101,"/Pos ",D101,"/",'Extraction edi'!G104))</f>
        <v/>
      </c>
      <c r="B101" s="1" t="str">
        <f>IF('Extraction edi'!A104="","",'Extraction edi'!A104)</f>
        <v/>
      </c>
      <c r="C101" s="1" t="str">
        <f>IF('Extraction edi'!B104="","",'Extraction edi'!B104)</f>
        <v/>
      </c>
      <c r="D101" s="1" t="str">
        <f>IF('Extraction edi'!H104="","",'Extraction edi'!H104)</f>
        <v/>
      </c>
      <c r="E101" s="1" t="str">
        <f>IF('Extraction edi'!I104="","",'Extraction edi'!I104)</f>
        <v/>
      </c>
      <c r="F101" t="str">
        <f>IF('Extraction edi'!K104="","",'Extraction edi'!K104)</f>
        <v/>
      </c>
      <c r="G101" t="str">
        <f>IF('Extraction edi'!L104="","",'Extraction edi'!L104)</f>
        <v/>
      </c>
      <c r="H101" t="str">
        <f>IF('Extraction edi'!M104="","",'Extraction edi'!M104)</f>
        <v/>
      </c>
      <c r="I101" s="1" t="str">
        <f>IF('Extraction edi'!N104="","",'Extraction edi'!N104)</f>
        <v/>
      </c>
      <c r="J101" s="1" t="str">
        <f>IF('Extraction edi'!O104="","",'Extraction edi'!O104)</f>
        <v/>
      </c>
      <c r="K101" s="1" t="str">
        <f>IF('Extraction edi'!P104="","",'Extraction edi'!P104)</f>
        <v/>
      </c>
      <c r="L101" s="1" t="str">
        <f>IF('Extraction edi'!Q104="laquage RAL :","OUI","")</f>
        <v/>
      </c>
      <c r="M101" s="1" t="str">
        <f>IF('Extraction edi'!R104&lt;&gt;"",'Extraction edi'!R104,IF(G101="ALU blanc","S9016",""))</f>
        <v/>
      </c>
      <c r="N101" s="1" t="str">
        <f>IF('Extraction edi'!S104&lt;&gt;"",'Extraction edi'!S104,IF(G101="ALU blanc","S9016",""))</f>
        <v/>
      </c>
      <c r="O101" s="11">
        <v>46010</v>
      </c>
      <c r="P101" s="1">
        <f t="shared" si="1"/>
        <v>5</v>
      </c>
    </row>
    <row r="102" spans="1:16" x14ac:dyDescent="0.25">
      <c r="A102" s="1" t="str">
        <f>IF(B102="","",CONCATENATE(B102,".",C102,"/Pos ",D102,"/",'Extraction edi'!G105))</f>
        <v/>
      </c>
      <c r="B102" s="1" t="str">
        <f>IF('Extraction edi'!A105="","",'Extraction edi'!A105)</f>
        <v/>
      </c>
      <c r="C102" s="1" t="str">
        <f>IF('Extraction edi'!B105="","",'Extraction edi'!B105)</f>
        <v/>
      </c>
      <c r="D102" s="1" t="str">
        <f>IF('Extraction edi'!H105="","",'Extraction edi'!H105)</f>
        <v/>
      </c>
      <c r="E102" s="1" t="str">
        <f>IF('Extraction edi'!I105="","",'Extraction edi'!I105)</f>
        <v/>
      </c>
      <c r="F102" t="str">
        <f>IF('Extraction edi'!K105="","",'Extraction edi'!K105)</f>
        <v/>
      </c>
      <c r="G102" t="str">
        <f>IF('Extraction edi'!L105="","",'Extraction edi'!L105)</f>
        <v/>
      </c>
      <c r="H102" t="str">
        <f>IF('Extraction edi'!M105="","",'Extraction edi'!M105)</f>
        <v/>
      </c>
      <c r="I102" s="1" t="str">
        <f>IF('Extraction edi'!N105="","",'Extraction edi'!N105)</f>
        <v/>
      </c>
      <c r="J102" s="1" t="str">
        <f>IF('Extraction edi'!O105="","",'Extraction edi'!O105)</f>
        <v/>
      </c>
      <c r="K102" s="1" t="str">
        <f>IF('Extraction edi'!P105="","",'Extraction edi'!P105)</f>
        <v/>
      </c>
      <c r="L102" s="1" t="str">
        <f>IF('Extraction edi'!Q105="laquage RAL :","OUI","")</f>
        <v/>
      </c>
      <c r="M102" s="1" t="str">
        <f>IF('Extraction edi'!R105&lt;&gt;"",'Extraction edi'!R105,IF(G102="ALU blanc","S9016",""))</f>
        <v/>
      </c>
      <c r="N102" s="1" t="str">
        <f>IF('Extraction edi'!S105&lt;&gt;"",'Extraction edi'!S105,IF(G102="ALU blanc","S9016",""))</f>
        <v/>
      </c>
      <c r="O102" s="11">
        <v>46011</v>
      </c>
      <c r="P102" s="1">
        <f t="shared" si="1"/>
        <v>6</v>
      </c>
    </row>
    <row r="103" spans="1:16" x14ac:dyDescent="0.25">
      <c r="A103" s="1" t="str">
        <f>IF(B103="","",CONCATENATE(B103,".",C103,"/Pos ",D103,"/",'Extraction edi'!G106))</f>
        <v/>
      </c>
      <c r="B103" s="1" t="str">
        <f>IF('Extraction edi'!A106="","",'Extraction edi'!A106)</f>
        <v/>
      </c>
      <c r="C103" s="1" t="str">
        <f>IF('Extraction edi'!B106="","",'Extraction edi'!B106)</f>
        <v/>
      </c>
      <c r="D103" s="1" t="str">
        <f>IF('Extraction edi'!H106="","",'Extraction edi'!H106)</f>
        <v/>
      </c>
      <c r="E103" s="1" t="str">
        <f>IF('Extraction edi'!I106="","",'Extraction edi'!I106)</f>
        <v/>
      </c>
      <c r="F103" t="str">
        <f>IF('Extraction edi'!K106="","",'Extraction edi'!K106)</f>
        <v/>
      </c>
      <c r="G103" t="str">
        <f>IF('Extraction edi'!L106="","",'Extraction edi'!L106)</f>
        <v/>
      </c>
      <c r="H103" t="str">
        <f>IF('Extraction edi'!M106="","",'Extraction edi'!M106)</f>
        <v/>
      </c>
      <c r="I103" s="1" t="str">
        <f>IF('Extraction edi'!N106="","",'Extraction edi'!N106)</f>
        <v/>
      </c>
      <c r="J103" s="1" t="str">
        <f>IF('Extraction edi'!O106="","",'Extraction edi'!O106)</f>
        <v/>
      </c>
      <c r="K103" s="1" t="str">
        <f>IF('Extraction edi'!P106="","",'Extraction edi'!P106)</f>
        <v/>
      </c>
      <c r="L103" s="1" t="str">
        <f>IF('Extraction edi'!Q106="laquage RAL :","OUI","")</f>
        <v/>
      </c>
      <c r="M103" s="1" t="str">
        <f>IF('Extraction edi'!R106&lt;&gt;"",'Extraction edi'!R106,IF(G103="ALU blanc","S9016",""))</f>
        <v/>
      </c>
      <c r="N103" s="1" t="str">
        <f>IF('Extraction edi'!S106&lt;&gt;"",'Extraction edi'!S106,IF(G103="ALU blanc","S9016",""))</f>
        <v/>
      </c>
      <c r="O103" s="11">
        <v>46012</v>
      </c>
      <c r="P103" s="1">
        <f t="shared" si="1"/>
        <v>7</v>
      </c>
    </row>
    <row r="104" spans="1:16" x14ac:dyDescent="0.25">
      <c r="A104" s="1" t="str">
        <f>IF(B104="","",CONCATENATE(B104,".",C104,"/Pos ",D104,"/",'Extraction edi'!G107))</f>
        <v/>
      </c>
      <c r="B104" s="1" t="str">
        <f>IF('Extraction edi'!A107="","",'Extraction edi'!A107)</f>
        <v/>
      </c>
      <c r="C104" s="1" t="str">
        <f>IF('Extraction edi'!B107="","",'Extraction edi'!B107)</f>
        <v/>
      </c>
      <c r="D104" s="1" t="str">
        <f>IF('Extraction edi'!H107="","",'Extraction edi'!H107)</f>
        <v/>
      </c>
      <c r="E104" s="1" t="str">
        <f>IF('Extraction edi'!I107="","",'Extraction edi'!I107)</f>
        <v/>
      </c>
      <c r="F104" t="str">
        <f>IF('Extraction edi'!K107="","",'Extraction edi'!K107)</f>
        <v/>
      </c>
      <c r="G104" t="str">
        <f>IF('Extraction edi'!L107="","",'Extraction edi'!L107)</f>
        <v/>
      </c>
      <c r="H104" t="str">
        <f>IF('Extraction edi'!M107="","",'Extraction edi'!M107)</f>
        <v/>
      </c>
      <c r="I104" s="1" t="str">
        <f>IF('Extraction edi'!N107="","",'Extraction edi'!N107)</f>
        <v/>
      </c>
      <c r="J104" s="1" t="str">
        <f>IF('Extraction edi'!O107="","",'Extraction edi'!O107)</f>
        <v/>
      </c>
      <c r="K104" s="1" t="str">
        <f>IF('Extraction edi'!P107="","",'Extraction edi'!P107)</f>
        <v/>
      </c>
      <c r="L104" s="1" t="str">
        <f>IF('Extraction edi'!Q107="laquage RAL :","OUI","")</f>
        <v/>
      </c>
      <c r="M104" s="1" t="str">
        <f>IF('Extraction edi'!R107&lt;&gt;"",'Extraction edi'!R107,IF(G104="ALU blanc","S9016",""))</f>
        <v/>
      </c>
      <c r="N104" s="1" t="str">
        <f>IF('Extraction edi'!S107&lt;&gt;"",'Extraction edi'!S107,IF(G104="ALU blanc","S9016",""))</f>
        <v/>
      </c>
      <c r="O104" s="11">
        <v>46013</v>
      </c>
      <c r="P104" s="1">
        <f t="shared" si="1"/>
        <v>1</v>
      </c>
    </row>
    <row r="105" spans="1:16" x14ac:dyDescent="0.25">
      <c r="A105" s="1" t="str">
        <f>IF(B105="","",CONCATENATE(B105,".",C105,"/Pos ",D105,"/",'Extraction edi'!G108))</f>
        <v/>
      </c>
      <c r="B105" s="1" t="str">
        <f>IF('Extraction edi'!A108="","",'Extraction edi'!A108)</f>
        <v/>
      </c>
      <c r="C105" s="1" t="str">
        <f>IF('Extraction edi'!B108="","",'Extraction edi'!B108)</f>
        <v/>
      </c>
      <c r="D105" s="1" t="str">
        <f>IF('Extraction edi'!H108="","",'Extraction edi'!H108)</f>
        <v/>
      </c>
      <c r="E105" s="1" t="str">
        <f>IF('Extraction edi'!I108="","",'Extraction edi'!I108)</f>
        <v/>
      </c>
      <c r="F105" t="str">
        <f>IF('Extraction edi'!K108="","",'Extraction edi'!K108)</f>
        <v/>
      </c>
      <c r="G105" t="str">
        <f>IF('Extraction edi'!L108="","",'Extraction edi'!L108)</f>
        <v/>
      </c>
      <c r="H105" t="str">
        <f>IF('Extraction edi'!M108="","",'Extraction edi'!M108)</f>
        <v/>
      </c>
      <c r="I105" s="1" t="str">
        <f>IF('Extraction edi'!N108="","",'Extraction edi'!N108)</f>
        <v/>
      </c>
      <c r="J105" s="1" t="str">
        <f>IF('Extraction edi'!O108="","",'Extraction edi'!O108)</f>
        <v/>
      </c>
      <c r="K105" s="1" t="str">
        <f>IF('Extraction edi'!P108="","",'Extraction edi'!P108)</f>
        <v/>
      </c>
      <c r="L105" s="1" t="str">
        <f>IF('Extraction edi'!Q108="laquage RAL :","OUI","")</f>
        <v/>
      </c>
      <c r="M105" s="1" t="str">
        <f>IF('Extraction edi'!R108&lt;&gt;"",'Extraction edi'!R108,IF(G105="ALU blanc","S9016",""))</f>
        <v/>
      </c>
      <c r="N105" s="1" t="str">
        <f>IF('Extraction edi'!S108&lt;&gt;"",'Extraction edi'!S108,IF(G105="ALU blanc","S9016",""))</f>
        <v/>
      </c>
      <c r="O105" s="11">
        <v>46014</v>
      </c>
      <c r="P105" s="1">
        <f t="shared" si="1"/>
        <v>2</v>
      </c>
    </row>
    <row r="106" spans="1:16" x14ac:dyDescent="0.25">
      <c r="A106" s="1" t="str">
        <f>IF(B106="","",CONCATENATE(B106,".",C106,"/Pos ",D106,"/",'Extraction edi'!G109))</f>
        <v/>
      </c>
      <c r="B106" s="1" t="str">
        <f>IF('Extraction edi'!A109="","",'Extraction edi'!A109)</f>
        <v/>
      </c>
      <c r="C106" s="1" t="str">
        <f>IF('Extraction edi'!B109="","",'Extraction edi'!B109)</f>
        <v/>
      </c>
      <c r="D106" s="1" t="str">
        <f>IF('Extraction edi'!H109="","",'Extraction edi'!H109)</f>
        <v/>
      </c>
      <c r="E106" s="1" t="str">
        <f>IF('Extraction edi'!I109="","",'Extraction edi'!I109)</f>
        <v/>
      </c>
      <c r="F106" t="str">
        <f>IF('Extraction edi'!K109="","",'Extraction edi'!K109)</f>
        <v/>
      </c>
      <c r="G106" t="str">
        <f>IF('Extraction edi'!L109="","",'Extraction edi'!L109)</f>
        <v/>
      </c>
      <c r="H106" t="str">
        <f>IF('Extraction edi'!M109="","",'Extraction edi'!M109)</f>
        <v/>
      </c>
      <c r="I106" s="1" t="str">
        <f>IF('Extraction edi'!N109="","",'Extraction edi'!N109)</f>
        <v/>
      </c>
      <c r="J106" s="1" t="str">
        <f>IF('Extraction edi'!O109="","",'Extraction edi'!O109)</f>
        <v/>
      </c>
      <c r="K106" s="1" t="str">
        <f>IF('Extraction edi'!P109="","",'Extraction edi'!P109)</f>
        <v/>
      </c>
      <c r="L106" s="1" t="str">
        <f>IF('Extraction edi'!Q109="laquage RAL :","OUI","")</f>
        <v/>
      </c>
      <c r="M106" s="1" t="str">
        <f>IF('Extraction edi'!R109&lt;&gt;"",'Extraction edi'!R109,IF(G106="ALU blanc","S9016",""))</f>
        <v/>
      </c>
      <c r="N106" s="1" t="str">
        <f>IF('Extraction edi'!S109&lt;&gt;"",'Extraction edi'!S109,IF(G106="ALU blanc","S9016",""))</f>
        <v/>
      </c>
      <c r="O106" s="11">
        <v>46015</v>
      </c>
      <c r="P106" s="1">
        <f t="shared" si="1"/>
        <v>3</v>
      </c>
    </row>
    <row r="107" spans="1:16" x14ac:dyDescent="0.25">
      <c r="A107" s="1" t="str">
        <f>IF(B107="","",CONCATENATE(B107,".",C107,"/Pos ",D107,"/",'Extraction edi'!G110))</f>
        <v/>
      </c>
      <c r="B107" s="1" t="str">
        <f>IF('Extraction edi'!A110="","",'Extraction edi'!A110)</f>
        <v/>
      </c>
      <c r="C107" s="1" t="str">
        <f>IF('Extraction edi'!B110="","",'Extraction edi'!B110)</f>
        <v/>
      </c>
      <c r="D107" s="1" t="str">
        <f>IF('Extraction edi'!H110="","",'Extraction edi'!H110)</f>
        <v/>
      </c>
      <c r="E107" s="1" t="str">
        <f>IF('Extraction edi'!I110="","",'Extraction edi'!I110)</f>
        <v/>
      </c>
      <c r="F107" t="str">
        <f>IF('Extraction edi'!K110="","",'Extraction edi'!K110)</f>
        <v/>
      </c>
      <c r="G107" t="str">
        <f>IF('Extraction edi'!L110="","",'Extraction edi'!L110)</f>
        <v/>
      </c>
      <c r="H107" t="str">
        <f>IF('Extraction edi'!M110="","",'Extraction edi'!M110)</f>
        <v/>
      </c>
      <c r="I107" s="1" t="str">
        <f>IF('Extraction edi'!N110="","",'Extraction edi'!N110)</f>
        <v/>
      </c>
      <c r="J107" s="1" t="str">
        <f>IF('Extraction edi'!O110="","",'Extraction edi'!O110)</f>
        <v/>
      </c>
      <c r="K107" s="1" t="str">
        <f>IF('Extraction edi'!P110="","",'Extraction edi'!P110)</f>
        <v/>
      </c>
      <c r="L107" s="1" t="str">
        <f>IF('Extraction edi'!Q110="laquage RAL :","OUI","")</f>
        <v/>
      </c>
      <c r="M107" s="1" t="str">
        <f>IF('Extraction edi'!R110&lt;&gt;"",'Extraction edi'!R110,IF(G107="ALU blanc","S9016",""))</f>
        <v/>
      </c>
      <c r="N107" s="1" t="str">
        <f>IF('Extraction edi'!S110&lt;&gt;"",'Extraction edi'!S110,IF(G107="ALU blanc","S9016",""))</f>
        <v/>
      </c>
      <c r="O107" s="11">
        <v>46016</v>
      </c>
      <c r="P107" s="1">
        <f t="shared" si="1"/>
        <v>4</v>
      </c>
    </row>
    <row r="108" spans="1:16" x14ac:dyDescent="0.25">
      <c r="A108" s="1" t="str">
        <f>IF(B108="","",CONCATENATE(B108,".",C108,"/Pos ",D108,"/",'Extraction edi'!G111))</f>
        <v/>
      </c>
      <c r="B108" s="1" t="str">
        <f>IF('Extraction edi'!A111="","",'Extraction edi'!A111)</f>
        <v/>
      </c>
      <c r="C108" s="1" t="str">
        <f>IF('Extraction edi'!B111="","",'Extraction edi'!B111)</f>
        <v/>
      </c>
      <c r="D108" s="1" t="str">
        <f>IF('Extraction edi'!H111="","",'Extraction edi'!H111)</f>
        <v/>
      </c>
      <c r="E108" s="1" t="str">
        <f>IF('Extraction edi'!I111="","",'Extraction edi'!I111)</f>
        <v/>
      </c>
      <c r="F108" t="str">
        <f>IF('Extraction edi'!K111="","",'Extraction edi'!K111)</f>
        <v/>
      </c>
      <c r="G108" t="str">
        <f>IF('Extraction edi'!L111="","",'Extraction edi'!L111)</f>
        <v/>
      </c>
      <c r="H108" t="str">
        <f>IF('Extraction edi'!M111="","",'Extraction edi'!M111)</f>
        <v/>
      </c>
      <c r="I108" s="1" t="str">
        <f>IF('Extraction edi'!N111="","",'Extraction edi'!N111)</f>
        <v/>
      </c>
      <c r="J108" s="1" t="str">
        <f>IF('Extraction edi'!O111="","",'Extraction edi'!O111)</f>
        <v/>
      </c>
      <c r="K108" s="1" t="str">
        <f>IF('Extraction edi'!P111="","",'Extraction edi'!P111)</f>
        <v/>
      </c>
      <c r="L108" s="1" t="str">
        <f>IF('Extraction edi'!Q111="laquage RAL :","OUI","")</f>
        <v/>
      </c>
      <c r="M108" s="1" t="str">
        <f>IF('Extraction edi'!R111&lt;&gt;"",'Extraction edi'!R111,IF(G108="ALU blanc","S9016",""))</f>
        <v/>
      </c>
      <c r="N108" s="1" t="str">
        <f>IF('Extraction edi'!S111&lt;&gt;"",'Extraction edi'!S111,IF(G108="ALU blanc","S9016",""))</f>
        <v/>
      </c>
      <c r="O108" s="11">
        <v>46017</v>
      </c>
      <c r="P108" s="1">
        <f t="shared" si="1"/>
        <v>5</v>
      </c>
    </row>
    <row r="109" spans="1:16" x14ac:dyDescent="0.25">
      <c r="A109" s="1" t="str">
        <f>IF(B109="","",CONCATENATE(B109,".",C109,"/Pos ",D109,"/",'Extraction edi'!G112))</f>
        <v/>
      </c>
      <c r="B109" s="1" t="str">
        <f>IF('Extraction edi'!A112="","",'Extraction edi'!A112)</f>
        <v/>
      </c>
      <c r="C109" s="1" t="str">
        <f>IF('Extraction edi'!B112="","",'Extraction edi'!B112)</f>
        <v/>
      </c>
      <c r="D109" s="1" t="str">
        <f>IF('Extraction edi'!H112="","",'Extraction edi'!H112)</f>
        <v/>
      </c>
      <c r="E109" s="1" t="str">
        <f>IF('Extraction edi'!I112="","",'Extraction edi'!I112)</f>
        <v/>
      </c>
      <c r="F109" t="str">
        <f>IF('Extraction edi'!K112="","",'Extraction edi'!K112)</f>
        <v/>
      </c>
      <c r="G109" t="str">
        <f>IF('Extraction edi'!L112="","",'Extraction edi'!L112)</f>
        <v/>
      </c>
      <c r="H109" t="str">
        <f>IF('Extraction edi'!M112="","",'Extraction edi'!M112)</f>
        <v/>
      </c>
      <c r="I109" s="1" t="str">
        <f>IF('Extraction edi'!N112="","",'Extraction edi'!N112)</f>
        <v/>
      </c>
      <c r="J109" s="1" t="str">
        <f>IF('Extraction edi'!O112="","",'Extraction edi'!O112)</f>
        <v/>
      </c>
      <c r="K109" s="1" t="str">
        <f>IF('Extraction edi'!P112="","",'Extraction edi'!P112)</f>
        <v/>
      </c>
      <c r="L109" s="1" t="str">
        <f>IF('Extraction edi'!Q112="laquage RAL :","OUI","")</f>
        <v/>
      </c>
      <c r="M109" s="1" t="str">
        <f>IF('Extraction edi'!R112&lt;&gt;"",'Extraction edi'!R112,IF(G109="ALU blanc","S9016",""))</f>
        <v/>
      </c>
      <c r="N109" s="1" t="str">
        <f>IF('Extraction edi'!S112&lt;&gt;"",'Extraction edi'!S112,IF(G109="ALU blanc","S9016",""))</f>
        <v/>
      </c>
      <c r="O109" s="11">
        <v>46018</v>
      </c>
      <c r="P109" s="1">
        <f t="shared" si="1"/>
        <v>6</v>
      </c>
    </row>
    <row r="110" spans="1:16" x14ac:dyDescent="0.25">
      <c r="A110" s="1" t="str">
        <f>IF(B110="","",CONCATENATE(B110,".",C110,"/Pos ",D110,"/",'Extraction edi'!G113))</f>
        <v/>
      </c>
      <c r="B110" s="1" t="str">
        <f>IF('Extraction edi'!A113="","",'Extraction edi'!A113)</f>
        <v/>
      </c>
      <c r="C110" s="1" t="str">
        <f>IF('Extraction edi'!B113="","",'Extraction edi'!B113)</f>
        <v/>
      </c>
      <c r="D110" s="1" t="str">
        <f>IF('Extraction edi'!H113="","",'Extraction edi'!H113)</f>
        <v/>
      </c>
      <c r="E110" s="1" t="str">
        <f>IF('Extraction edi'!I113="","",'Extraction edi'!I113)</f>
        <v/>
      </c>
      <c r="F110" t="str">
        <f>IF('Extraction edi'!K113="","",'Extraction edi'!K113)</f>
        <v/>
      </c>
      <c r="G110" t="str">
        <f>IF('Extraction edi'!L113="","",'Extraction edi'!L113)</f>
        <v/>
      </c>
      <c r="H110" t="str">
        <f>IF('Extraction edi'!M113="","",'Extraction edi'!M113)</f>
        <v/>
      </c>
      <c r="I110" s="1" t="str">
        <f>IF('Extraction edi'!N113="","",'Extraction edi'!N113)</f>
        <v/>
      </c>
      <c r="J110" s="1" t="str">
        <f>IF('Extraction edi'!O113="","",'Extraction edi'!O113)</f>
        <v/>
      </c>
      <c r="K110" s="1" t="str">
        <f>IF('Extraction edi'!P113="","",'Extraction edi'!P113)</f>
        <v/>
      </c>
      <c r="L110" s="1" t="str">
        <f>IF('Extraction edi'!Q113="laquage RAL :","OUI","")</f>
        <v/>
      </c>
      <c r="M110" s="1" t="str">
        <f>IF('Extraction edi'!R113&lt;&gt;"",'Extraction edi'!R113,IF(G110="ALU blanc","S9016",""))</f>
        <v/>
      </c>
      <c r="N110" s="1" t="str">
        <f>IF('Extraction edi'!S113&lt;&gt;"",'Extraction edi'!S113,IF(G110="ALU blanc","S9016",""))</f>
        <v/>
      </c>
      <c r="O110" s="11">
        <v>46019</v>
      </c>
      <c r="P110" s="1">
        <f t="shared" si="1"/>
        <v>7</v>
      </c>
    </row>
    <row r="111" spans="1:16" x14ac:dyDescent="0.25">
      <c r="A111" s="1" t="str">
        <f>IF(B111="","",CONCATENATE(B111,".",C111,"/Pos ",D111,"/",'Extraction edi'!G114))</f>
        <v/>
      </c>
      <c r="B111" s="1" t="str">
        <f>IF('Extraction edi'!A114="","",'Extraction edi'!A114)</f>
        <v/>
      </c>
      <c r="C111" s="1" t="str">
        <f>IF('Extraction edi'!B114="","",'Extraction edi'!B114)</f>
        <v/>
      </c>
      <c r="D111" s="1" t="str">
        <f>IF('Extraction edi'!H114="","",'Extraction edi'!H114)</f>
        <v/>
      </c>
      <c r="E111" s="1" t="str">
        <f>IF('Extraction edi'!I114="","",'Extraction edi'!I114)</f>
        <v/>
      </c>
      <c r="F111" t="str">
        <f>IF('Extraction edi'!K114="","",'Extraction edi'!K114)</f>
        <v/>
      </c>
      <c r="G111" t="str">
        <f>IF('Extraction edi'!L114="","",'Extraction edi'!L114)</f>
        <v/>
      </c>
      <c r="H111" t="str">
        <f>IF('Extraction edi'!M114="","",'Extraction edi'!M114)</f>
        <v/>
      </c>
      <c r="I111" s="1" t="str">
        <f>IF('Extraction edi'!N114="","",'Extraction edi'!N114)</f>
        <v/>
      </c>
      <c r="J111" s="1" t="str">
        <f>IF('Extraction edi'!O114="","",'Extraction edi'!O114)</f>
        <v/>
      </c>
      <c r="K111" s="1" t="str">
        <f>IF('Extraction edi'!P114="","",'Extraction edi'!P114)</f>
        <v/>
      </c>
      <c r="L111" s="1" t="str">
        <f>IF('Extraction edi'!Q114="laquage RAL :","OUI","")</f>
        <v/>
      </c>
      <c r="M111" s="1" t="str">
        <f>IF('Extraction edi'!R114&lt;&gt;"",'Extraction edi'!R114,IF(G111="ALU blanc","S9016",""))</f>
        <v/>
      </c>
      <c r="N111" s="1" t="str">
        <f>IF('Extraction edi'!S114&lt;&gt;"",'Extraction edi'!S114,IF(G111="ALU blanc","S9016",""))</f>
        <v/>
      </c>
      <c r="O111" s="11">
        <v>46020</v>
      </c>
      <c r="P111" s="1">
        <f t="shared" si="1"/>
        <v>1</v>
      </c>
    </row>
    <row r="112" spans="1:16" x14ac:dyDescent="0.25">
      <c r="A112" s="1" t="str">
        <f>IF(B112="","",CONCATENATE(B112,".",C112,"/Pos ",D112,"/",'Extraction edi'!G115))</f>
        <v/>
      </c>
      <c r="B112" s="1" t="str">
        <f>IF('Extraction edi'!A115="","",'Extraction edi'!A115)</f>
        <v/>
      </c>
      <c r="C112" s="1" t="str">
        <f>IF('Extraction edi'!B115="","",'Extraction edi'!B115)</f>
        <v/>
      </c>
      <c r="D112" s="1" t="str">
        <f>IF('Extraction edi'!H115="","",'Extraction edi'!H115)</f>
        <v/>
      </c>
      <c r="E112" s="1" t="str">
        <f>IF('Extraction edi'!I115="","",'Extraction edi'!I115)</f>
        <v/>
      </c>
      <c r="F112" t="str">
        <f>IF('Extraction edi'!K115="","",'Extraction edi'!K115)</f>
        <v/>
      </c>
      <c r="G112" t="str">
        <f>IF('Extraction edi'!L115="","",'Extraction edi'!L115)</f>
        <v/>
      </c>
      <c r="H112" t="str">
        <f>IF('Extraction edi'!M115="","",'Extraction edi'!M115)</f>
        <v/>
      </c>
      <c r="I112" s="1" t="str">
        <f>IF('Extraction edi'!N115="","",'Extraction edi'!N115)</f>
        <v/>
      </c>
      <c r="J112" s="1" t="str">
        <f>IF('Extraction edi'!O115="","",'Extraction edi'!O115)</f>
        <v/>
      </c>
      <c r="K112" s="1" t="str">
        <f>IF('Extraction edi'!P115="","",'Extraction edi'!P115)</f>
        <v/>
      </c>
      <c r="L112" s="1" t="str">
        <f>IF('Extraction edi'!Q115="laquage RAL :","OUI","")</f>
        <v/>
      </c>
      <c r="M112" s="1" t="str">
        <f>IF('Extraction edi'!R115&lt;&gt;"",'Extraction edi'!R115,IF(G112="ALU blanc","S9016",""))</f>
        <v/>
      </c>
      <c r="N112" s="1" t="str">
        <f>IF('Extraction edi'!S115&lt;&gt;"",'Extraction edi'!S115,IF(G112="ALU blanc","S9016",""))</f>
        <v/>
      </c>
      <c r="O112" s="11">
        <v>46021</v>
      </c>
      <c r="P112" s="1">
        <f t="shared" si="1"/>
        <v>2</v>
      </c>
    </row>
    <row r="113" spans="1:16" x14ac:dyDescent="0.25">
      <c r="A113" s="1" t="str">
        <f>IF(B113="","",CONCATENATE(B113,".",C113,"/Pos ",D113,"/",'Extraction edi'!G116))</f>
        <v/>
      </c>
      <c r="B113" s="1" t="str">
        <f>IF('Extraction edi'!A116="","",'Extraction edi'!A116)</f>
        <v/>
      </c>
      <c r="C113" s="1" t="str">
        <f>IF('Extraction edi'!B116="","",'Extraction edi'!B116)</f>
        <v/>
      </c>
      <c r="D113" s="1" t="str">
        <f>IF('Extraction edi'!H116="","",'Extraction edi'!H116)</f>
        <v/>
      </c>
      <c r="E113" s="1" t="str">
        <f>IF('Extraction edi'!I116="","",'Extraction edi'!I116)</f>
        <v/>
      </c>
      <c r="F113" t="str">
        <f>IF('Extraction edi'!K116="","",'Extraction edi'!K116)</f>
        <v/>
      </c>
      <c r="G113" t="str">
        <f>IF('Extraction edi'!L116="","",'Extraction edi'!L116)</f>
        <v/>
      </c>
      <c r="H113" t="str">
        <f>IF('Extraction edi'!M116="","",'Extraction edi'!M116)</f>
        <v/>
      </c>
      <c r="I113" s="1" t="str">
        <f>IF('Extraction edi'!N116="","",'Extraction edi'!N116)</f>
        <v/>
      </c>
      <c r="J113" s="1" t="str">
        <f>IF('Extraction edi'!O116="","",'Extraction edi'!O116)</f>
        <v/>
      </c>
      <c r="K113" s="1" t="str">
        <f>IF('Extraction edi'!P116="","",'Extraction edi'!P116)</f>
        <v/>
      </c>
      <c r="L113" s="1" t="str">
        <f>IF('Extraction edi'!Q116="laquage RAL :","OUI","")</f>
        <v/>
      </c>
      <c r="M113" s="1" t="str">
        <f>IF('Extraction edi'!R116&lt;&gt;"",'Extraction edi'!R116,IF(G113="ALU blanc","S9016",""))</f>
        <v/>
      </c>
      <c r="N113" s="1" t="str">
        <f>IF('Extraction edi'!S116&lt;&gt;"",'Extraction edi'!S116,IF(G113="ALU blanc","S9016",""))</f>
        <v/>
      </c>
      <c r="O113" s="11">
        <v>46022</v>
      </c>
      <c r="P113" s="1">
        <f t="shared" si="1"/>
        <v>3</v>
      </c>
    </row>
    <row r="114" spans="1:16" x14ac:dyDescent="0.25">
      <c r="A114" s="1" t="str">
        <f>IF(B114="","",CONCATENATE(B114,".",C114,"/Pos ",D114,"/",'Extraction edi'!G117))</f>
        <v/>
      </c>
      <c r="B114" s="1" t="str">
        <f>IF('Extraction edi'!A117="","",'Extraction edi'!A117)</f>
        <v/>
      </c>
      <c r="C114" s="1" t="str">
        <f>IF('Extraction edi'!B117="","",'Extraction edi'!B117)</f>
        <v/>
      </c>
      <c r="D114" s="1" t="str">
        <f>IF('Extraction edi'!H117="","",'Extraction edi'!H117)</f>
        <v/>
      </c>
      <c r="E114" s="1" t="str">
        <f>IF('Extraction edi'!I117="","",'Extraction edi'!I117)</f>
        <v/>
      </c>
      <c r="F114" t="str">
        <f>IF('Extraction edi'!K117="","",'Extraction edi'!K117)</f>
        <v/>
      </c>
      <c r="G114" t="str">
        <f>IF('Extraction edi'!L117="","",'Extraction edi'!L117)</f>
        <v/>
      </c>
      <c r="H114" t="str">
        <f>IF('Extraction edi'!M117="","",'Extraction edi'!M117)</f>
        <v/>
      </c>
      <c r="I114" s="1" t="str">
        <f>IF('Extraction edi'!N117="","",'Extraction edi'!N117)</f>
        <v/>
      </c>
      <c r="J114" s="1" t="str">
        <f>IF('Extraction edi'!O117="","",'Extraction edi'!O117)</f>
        <v/>
      </c>
      <c r="K114" s="1" t="str">
        <f>IF('Extraction edi'!P117="","",'Extraction edi'!P117)</f>
        <v/>
      </c>
      <c r="L114" s="1" t="str">
        <f>IF('Extraction edi'!Q117="laquage RAL :","OUI","")</f>
        <v/>
      </c>
      <c r="M114" s="1" t="str">
        <f>IF('Extraction edi'!R117&lt;&gt;"",'Extraction edi'!R117,IF(G114="ALU blanc","S9016",""))</f>
        <v/>
      </c>
      <c r="N114" s="1" t="str">
        <f>IF('Extraction edi'!S117&lt;&gt;"",'Extraction edi'!S117,IF(G114="ALU blanc","S9016",""))</f>
        <v/>
      </c>
      <c r="O114" s="11">
        <v>46023</v>
      </c>
      <c r="P114" s="1">
        <f t="shared" si="1"/>
        <v>4</v>
      </c>
    </row>
    <row r="115" spans="1:16" x14ac:dyDescent="0.25">
      <c r="A115" s="1" t="str">
        <f>IF(B115="","",CONCATENATE(B115,".",C115,"/Pos ",D115,"/",'Extraction edi'!G118))</f>
        <v/>
      </c>
      <c r="B115" s="1" t="str">
        <f>IF('Extraction edi'!A118="","",'Extraction edi'!A118)</f>
        <v/>
      </c>
      <c r="C115" s="1" t="str">
        <f>IF('Extraction edi'!B118="","",'Extraction edi'!B118)</f>
        <v/>
      </c>
      <c r="D115" s="1" t="str">
        <f>IF('Extraction edi'!H118="","",'Extraction edi'!H118)</f>
        <v/>
      </c>
      <c r="E115" s="1" t="str">
        <f>IF('Extraction edi'!I118="","",'Extraction edi'!I118)</f>
        <v/>
      </c>
      <c r="F115" t="str">
        <f>IF('Extraction edi'!K118="","",'Extraction edi'!K118)</f>
        <v/>
      </c>
      <c r="G115" t="str">
        <f>IF('Extraction edi'!L118="","",'Extraction edi'!L118)</f>
        <v/>
      </c>
      <c r="H115" t="str">
        <f>IF('Extraction edi'!M118="","",'Extraction edi'!M118)</f>
        <v/>
      </c>
      <c r="I115" s="1" t="str">
        <f>IF('Extraction edi'!N118="","",'Extraction edi'!N118)</f>
        <v/>
      </c>
      <c r="J115" s="1" t="str">
        <f>IF('Extraction edi'!O118="","",'Extraction edi'!O118)</f>
        <v/>
      </c>
      <c r="K115" s="1" t="str">
        <f>IF('Extraction edi'!P118="","",'Extraction edi'!P118)</f>
        <v/>
      </c>
      <c r="L115" s="1" t="str">
        <f>IF('Extraction edi'!Q118="laquage RAL :","OUI","")</f>
        <v/>
      </c>
      <c r="M115" s="1" t="str">
        <f>IF('Extraction edi'!R118&lt;&gt;"",'Extraction edi'!R118,IF(G115="ALU blanc","S9016",""))</f>
        <v/>
      </c>
      <c r="N115" s="1" t="str">
        <f>IF('Extraction edi'!S118&lt;&gt;"",'Extraction edi'!S118,IF(G115="ALU blanc","S9016",""))</f>
        <v/>
      </c>
      <c r="O115" s="11">
        <v>46024</v>
      </c>
      <c r="P115" s="1">
        <f t="shared" si="1"/>
        <v>5</v>
      </c>
    </row>
    <row r="116" spans="1:16" x14ac:dyDescent="0.25">
      <c r="A116" s="1" t="str">
        <f>IF(B116="","",CONCATENATE(B116,".",C116,"/Pos ",D116,"/",'Extraction edi'!G119))</f>
        <v/>
      </c>
      <c r="B116" s="1" t="str">
        <f>IF('Extraction edi'!A119="","",'Extraction edi'!A119)</f>
        <v/>
      </c>
      <c r="C116" s="1" t="str">
        <f>IF('Extraction edi'!B119="","",'Extraction edi'!B119)</f>
        <v/>
      </c>
      <c r="D116" s="1" t="str">
        <f>IF('Extraction edi'!H119="","",'Extraction edi'!H119)</f>
        <v/>
      </c>
      <c r="E116" s="1" t="str">
        <f>IF('Extraction edi'!I119="","",'Extraction edi'!I119)</f>
        <v/>
      </c>
      <c r="F116" t="str">
        <f>IF('Extraction edi'!K119="","",'Extraction edi'!K119)</f>
        <v/>
      </c>
      <c r="G116" t="str">
        <f>IF('Extraction edi'!L119="","",'Extraction edi'!L119)</f>
        <v/>
      </c>
      <c r="H116" t="str">
        <f>IF('Extraction edi'!M119="","",'Extraction edi'!M119)</f>
        <v/>
      </c>
      <c r="I116" s="1" t="str">
        <f>IF('Extraction edi'!N119="","",'Extraction edi'!N119)</f>
        <v/>
      </c>
      <c r="J116" s="1" t="str">
        <f>IF('Extraction edi'!O119="","",'Extraction edi'!O119)</f>
        <v/>
      </c>
      <c r="K116" s="1" t="str">
        <f>IF('Extraction edi'!P119="","",'Extraction edi'!P119)</f>
        <v/>
      </c>
      <c r="L116" s="1" t="str">
        <f>IF('Extraction edi'!Q119="laquage RAL :","OUI","")</f>
        <v/>
      </c>
      <c r="M116" s="1" t="str">
        <f>IF('Extraction edi'!R119&lt;&gt;"",'Extraction edi'!R119,IF(G116="ALU blanc","S9016",""))</f>
        <v/>
      </c>
      <c r="N116" s="1" t="str">
        <f>IF('Extraction edi'!S119&lt;&gt;"",'Extraction edi'!S119,IF(G116="ALU blanc","S9016",""))</f>
        <v/>
      </c>
      <c r="O116" s="11">
        <v>46025</v>
      </c>
      <c r="P116" s="1">
        <f t="shared" si="1"/>
        <v>6</v>
      </c>
    </row>
    <row r="117" spans="1:16" x14ac:dyDescent="0.25">
      <c r="A117" s="1" t="str">
        <f>IF(B117="","",CONCATENATE(B117,".",C117,"/Pos ",D117,"/",'Extraction edi'!G120))</f>
        <v/>
      </c>
      <c r="B117" s="1" t="str">
        <f>IF('Extraction edi'!A120="","",'Extraction edi'!A120)</f>
        <v/>
      </c>
      <c r="C117" s="1" t="str">
        <f>IF('Extraction edi'!B120="","",'Extraction edi'!B120)</f>
        <v/>
      </c>
      <c r="D117" s="1" t="str">
        <f>IF('Extraction edi'!H120="","",'Extraction edi'!H120)</f>
        <v/>
      </c>
      <c r="E117" s="1" t="str">
        <f>IF('Extraction edi'!I120="","",'Extraction edi'!I120)</f>
        <v/>
      </c>
      <c r="F117" t="str">
        <f>IF('Extraction edi'!K120="","",'Extraction edi'!K120)</f>
        <v/>
      </c>
      <c r="G117" t="str">
        <f>IF('Extraction edi'!L120="","",'Extraction edi'!L120)</f>
        <v/>
      </c>
      <c r="H117" t="str">
        <f>IF('Extraction edi'!M120="","",'Extraction edi'!M120)</f>
        <v/>
      </c>
      <c r="I117" s="1" t="str">
        <f>IF('Extraction edi'!N120="","",'Extraction edi'!N120)</f>
        <v/>
      </c>
      <c r="J117" s="1" t="str">
        <f>IF('Extraction edi'!O120="","",'Extraction edi'!O120)</f>
        <v/>
      </c>
      <c r="K117" s="1" t="str">
        <f>IF('Extraction edi'!P120="","",'Extraction edi'!P120)</f>
        <v/>
      </c>
      <c r="L117" s="1" t="str">
        <f>IF('Extraction edi'!Q120="laquage RAL :","OUI","")</f>
        <v/>
      </c>
      <c r="M117" s="1" t="str">
        <f>IF('Extraction edi'!R120&lt;&gt;"",'Extraction edi'!R120,IF(G117="ALU blanc","S9016",""))</f>
        <v/>
      </c>
      <c r="N117" s="1" t="str">
        <f>IF('Extraction edi'!S120&lt;&gt;"",'Extraction edi'!S120,IF(G117="ALU blanc","S9016",""))</f>
        <v/>
      </c>
      <c r="O117" s="11">
        <v>46026</v>
      </c>
      <c r="P117" s="1">
        <f t="shared" si="1"/>
        <v>7</v>
      </c>
    </row>
    <row r="118" spans="1:16" x14ac:dyDescent="0.25">
      <c r="A118" s="1" t="str">
        <f>IF(B118="","",CONCATENATE(B118,".",C118,"/Pos ",D118,"/",'Extraction edi'!G121))</f>
        <v/>
      </c>
      <c r="B118" s="1" t="str">
        <f>IF('Extraction edi'!A121="","",'Extraction edi'!A121)</f>
        <v/>
      </c>
      <c r="C118" s="1" t="str">
        <f>IF('Extraction edi'!B121="","",'Extraction edi'!B121)</f>
        <v/>
      </c>
      <c r="D118" s="1" t="str">
        <f>IF('Extraction edi'!H121="","",'Extraction edi'!H121)</f>
        <v/>
      </c>
      <c r="E118" s="1" t="str">
        <f>IF('Extraction edi'!I121="","",'Extraction edi'!I121)</f>
        <v/>
      </c>
      <c r="F118" t="str">
        <f>IF('Extraction edi'!K121="","",'Extraction edi'!K121)</f>
        <v/>
      </c>
      <c r="G118" t="str">
        <f>IF('Extraction edi'!L121="","",'Extraction edi'!L121)</f>
        <v/>
      </c>
      <c r="H118" t="str">
        <f>IF('Extraction edi'!M121="","",'Extraction edi'!M121)</f>
        <v/>
      </c>
      <c r="I118" s="1" t="str">
        <f>IF('Extraction edi'!N121="","",'Extraction edi'!N121)</f>
        <v/>
      </c>
      <c r="J118" s="1" t="str">
        <f>IF('Extraction edi'!O121="","",'Extraction edi'!O121)</f>
        <v/>
      </c>
      <c r="K118" s="1" t="str">
        <f>IF('Extraction edi'!P121="","",'Extraction edi'!P121)</f>
        <v/>
      </c>
      <c r="L118" s="1" t="str">
        <f>IF('Extraction edi'!Q121="laquage RAL :","OUI","")</f>
        <v/>
      </c>
      <c r="M118" s="1" t="str">
        <f>IF('Extraction edi'!R121&lt;&gt;"",'Extraction edi'!R121,IF(G118="ALU blanc","S9016",""))</f>
        <v/>
      </c>
      <c r="N118" s="1" t="str">
        <f>IF('Extraction edi'!S121&lt;&gt;"",'Extraction edi'!S121,IF(G118="ALU blanc","S9016",""))</f>
        <v/>
      </c>
      <c r="O118" s="11">
        <v>46027</v>
      </c>
      <c r="P118" s="1">
        <f t="shared" si="1"/>
        <v>1</v>
      </c>
    </row>
    <row r="119" spans="1:16" x14ac:dyDescent="0.25">
      <c r="A119" s="1" t="str">
        <f>IF(B119="","",CONCATENATE(B119,".",C119,"/Pos ",D119,"/",'Extraction edi'!G122))</f>
        <v/>
      </c>
      <c r="B119" s="1" t="str">
        <f>IF('Extraction edi'!A122="","",'Extraction edi'!A122)</f>
        <v/>
      </c>
      <c r="C119" s="1" t="str">
        <f>IF('Extraction edi'!B122="","",'Extraction edi'!B122)</f>
        <v/>
      </c>
      <c r="D119" s="1" t="str">
        <f>IF('Extraction edi'!H122="","",'Extraction edi'!H122)</f>
        <v/>
      </c>
      <c r="E119" s="1" t="str">
        <f>IF('Extraction edi'!I122="","",'Extraction edi'!I122)</f>
        <v/>
      </c>
      <c r="F119" t="str">
        <f>IF('Extraction edi'!K122="","",'Extraction edi'!K122)</f>
        <v/>
      </c>
      <c r="G119" t="str">
        <f>IF('Extraction edi'!L122="","",'Extraction edi'!L122)</f>
        <v/>
      </c>
      <c r="H119" t="str">
        <f>IF('Extraction edi'!M122="","",'Extraction edi'!M122)</f>
        <v/>
      </c>
      <c r="I119" s="1" t="str">
        <f>IF('Extraction edi'!N122="","",'Extraction edi'!N122)</f>
        <v/>
      </c>
      <c r="J119" s="1" t="str">
        <f>IF('Extraction edi'!O122="","",'Extraction edi'!O122)</f>
        <v/>
      </c>
      <c r="K119" s="1" t="str">
        <f>IF('Extraction edi'!P122="","",'Extraction edi'!P122)</f>
        <v/>
      </c>
      <c r="L119" s="1" t="str">
        <f>IF('Extraction edi'!Q122="laquage RAL :","OUI","")</f>
        <v/>
      </c>
      <c r="M119" s="1" t="str">
        <f>IF('Extraction edi'!R122&lt;&gt;"",'Extraction edi'!R122,IF(G119="ALU blanc","S9016",""))</f>
        <v/>
      </c>
      <c r="N119" s="1" t="str">
        <f>IF('Extraction edi'!S122&lt;&gt;"",'Extraction edi'!S122,IF(G119="ALU blanc","S9016",""))</f>
        <v/>
      </c>
      <c r="O119" s="11">
        <v>46028</v>
      </c>
      <c r="P119" s="1">
        <f t="shared" si="1"/>
        <v>2</v>
      </c>
    </row>
    <row r="120" spans="1:16" x14ac:dyDescent="0.25">
      <c r="A120" s="1" t="str">
        <f>IF(B120="","",CONCATENATE(B120,".",C120,"/Pos ",D120,"/",'Extraction edi'!G123))</f>
        <v/>
      </c>
      <c r="B120" s="1" t="str">
        <f>IF('Extraction edi'!A123="","",'Extraction edi'!A123)</f>
        <v/>
      </c>
      <c r="C120" s="1" t="str">
        <f>IF('Extraction edi'!B123="","",'Extraction edi'!B123)</f>
        <v/>
      </c>
      <c r="D120" s="1" t="str">
        <f>IF('Extraction edi'!H123="","",'Extraction edi'!H123)</f>
        <v/>
      </c>
      <c r="E120" s="1" t="str">
        <f>IF('Extraction edi'!I123="","",'Extraction edi'!I123)</f>
        <v/>
      </c>
      <c r="F120" t="str">
        <f>IF('Extraction edi'!K123="","",'Extraction edi'!K123)</f>
        <v/>
      </c>
      <c r="G120" t="str">
        <f>IF('Extraction edi'!L123="","",'Extraction edi'!L123)</f>
        <v/>
      </c>
      <c r="H120" t="str">
        <f>IF('Extraction edi'!M123="","",'Extraction edi'!M123)</f>
        <v/>
      </c>
      <c r="I120" s="1" t="str">
        <f>IF('Extraction edi'!N123="","",'Extraction edi'!N123)</f>
        <v/>
      </c>
      <c r="J120" s="1" t="str">
        <f>IF('Extraction edi'!O123="","",'Extraction edi'!O123)</f>
        <v/>
      </c>
      <c r="K120" s="1" t="str">
        <f>IF('Extraction edi'!P123="","",'Extraction edi'!P123)</f>
        <v/>
      </c>
      <c r="L120" s="1" t="str">
        <f>IF('Extraction edi'!Q123="laquage RAL :","OUI","")</f>
        <v/>
      </c>
      <c r="M120" s="1" t="str">
        <f>IF('Extraction edi'!R123&lt;&gt;"",'Extraction edi'!R123,IF(G120="ALU blanc","S9016",""))</f>
        <v/>
      </c>
      <c r="N120" s="1" t="str">
        <f>IF('Extraction edi'!S123&lt;&gt;"",'Extraction edi'!S123,IF(G120="ALU blanc","S9016",""))</f>
        <v/>
      </c>
      <c r="O120" s="11">
        <v>46029</v>
      </c>
      <c r="P120" s="1">
        <f t="shared" si="1"/>
        <v>3</v>
      </c>
    </row>
    <row r="121" spans="1:16" x14ac:dyDescent="0.25">
      <c r="A121" s="1" t="str">
        <f>IF(B121="","",CONCATENATE(B121,".",C121,"/Pos ",D121,"/",'Extraction edi'!G124))</f>
        <v/>
      </c>
      <c r="B121" s="1" t="str">
        <f>IF('Extraction edi'!A124="","",'Extraction edi'!A124)</f>
        <v/>
      </c>
      <c r="C121" s="1" t="str">
        <f>IF('Extraction edi'!B124="","",'Extraction edi'!B124)</f>
        <v/>
      </c>
      <c r="D121" s="1" t="str">
        <f>IF('Extraction edi'!H124="","",'Extraction edi'!H124)</f>
        <v/>
      </c>
      <c r="E121" s="1" t="str">
        <f>IF('Extraction edi'!I124="","",'Extraction edi'!I124)</f>
        <v/>
      </c>
      <c r="F121" t="str">
        <f>IF('Extraction edi'!K124="","",'Extraction edi'!K124)</f>
        <v/>
      </c>
      <c r="G121" t="str">
        <f>IF('Extraction edi'!L124="","",'Extraction edi'!L124)</f>
        <v/>
      </c>
      <c r="H121" t="str">
        <f>IF('Extraction edi'!M124="","",'Extraction edi'!M124)</f>
        <v/>
      </c>
      <c r="I121" s="1" t="str">
        <f>IF('Extraction edi'!N124="","",'Extraction edi'!N124)</f>
        <v/>
      </c>
      <c r="J121" s="1" t="str">
        <f>IF('Extraction edi'!O124="","",'Extraction edi'!O124)</f>
        <v/>
      </c>
      <c r="K121" s="1" t="str">
        <f>IF('Extraction edi'!P124="","",'Extraction edi'!P124)</f>
        <v/>
      </c>
      <c r="L121" s="1" t="str">
        <f>IF('Extraction edi'!Q124="laquage RAL :","OUI","")</f>
        <v/>
      </c>
      <c r="M121" s="1" t="str">
        <f>IF('Extraction edi'!R124&lt;&gt;"",'Extraction edi'!R124,IF(G121="ALU blanc","S9016",""))</f>
        <v/>
      </c>
      <c r="N121" s="1" t="str">
        <f>IF('Extraction edi'!S124&lt;&gt;"",'Extraction edi'!S124,IF(G121="ALU blanc","S9016",""))</f>
        <v/>
      </c>
      <c r="O121" s="11">
        <v>46030</v>
      </c>
      <c r="P121" s="1">
        <f t="shared" si="1"/>
        <v>4</v>
      </c>
    </row>
    <row r="122" spans="1:16" x14ac:dyDescent="0.25">
      <c r="A122" s="1" t="str">
        <f>IF(B122="","",CONCATENATE(B122,".",C122,"/Pos ",D122,"/",'Extraction edi'!G125))</f>
        <v/>
      </c>
      <c r="B122" s="1" t="str">
        <f>IF('Extraction edi'!A125="","",'Extraction edi'!A125)</f>
        <v/>
      </c>
      <c r="C122" s="1" t="str">
        <f>IF('Extraction edi'!B125="","",'Extraction edi'!B125)</f>
        <v/>
      </c>
      <c r="D122" s="1" t="str">
        <f>IF('Extraction edi'!H125="","",'Extraction edi'!H125)</f>
        <v/>
      </c>
      <c r="E122" s="1" t="str">
        <f>IF('Extraction edi'!I125="","",'Extraction edi'!I125)</f>
        <v/>
      </c>
      <c r="F122" t="str">
        <f>IF('Extraction edi'!K125="","",'Extraction edi'!K125)</f>
        <v/>
      </c>
      <c r="G122" t="str">
        <f>IF('Extraction edi'!L125="","",'Extraction edi'!L125)</f>
        <v/>
      </c>
      <c r="H122" t="str">
        <f>IF('Extraction edi'!M125="","",'Extraction edi'!M125)</f>
        <v/>
      </c>
      <c r="I122" s="1" t="str">
        <f>IF('Extraction edi'!N125="","",'Extraction edi'!N125)</f>
        <v/>
      </c>
      <c r="J122" s="1" t="str">
        <f>IF('Extraction edi'!O125="","",'Extraction edi'!O125)</f>
        <v/>
      </c>
      <c r="K122" s="1" t="str">
        <f>IF('Extraction edi'!P125="","",'Extraction edi'!P125)</f>
        <v/>
      </c>
      <c r="L122" s="1" t="str">
        <f>IF('Extraction edi'!Q125="laquage RAL :","OUI","")</f>
        <v/>
      </c>
      <c r="M122" s="1" t="str">
        <f>IF('Extraction edi'!R125&lt;&gt;"",'Extraction edi'!R125,IF(G122="ALU blanc","S9016",""))</f>
        <v/>
      </c>
      <c r="N122" s="1" t="str">
        <f>IF('Extraction edi'!S125&lt;&gt;"",'Extraction edi'!S125,IF(G122="ALU blanc","S9016",""))</f>
        <v/>
      </c>
      <c r="O122" s="11">
        <v>46031</v>
      </c>
      <c r="P122" s="1">
        <f t="shared" si="1"/>
        <v>5</v>
      </c>
    </row>
    <row r="123" spans="1:16" x14ac:dyDescent="0.25">
      <c r="A123" s="1" t="str">
        <f>IF(B123="","",CONCATENATE(B123,".",C123,"/Pos ",D123,"/",'Extraction edi'!G126))</f>
        <v/>
      </c>
      <c r="B123" s="1" t="str">
        <f>IF('Extraction edi'!A126="","",'Extraction edi'!A126)</f>
        <v/>
      </c>
      <c r="C123" s="1" t="str">
        <f>IF('Extraction edi'!B126="","",'Extraction edi'!B126)</f>
        <v/>
      </c>
      <c r="D123" s="1" t="str">
        <f>IF('Extraction edi'!H126="","",'Extraction edi'!H126)</f>
        <v/>
      </c>
      <c r="E123" s="1" t="str">
        <f>IF('Extraction edi'!I126="","",'Extraction edi'!I126)</f>
        <v/>
      </c>
      <c r="F123" t="str">
        <f>IF('Extraction edi'!K126="","",'Extraction edi'!K126)</f>
        <v/>
      </c>
      <c r="G123" t="str">
        <f>IF('Extraction edi'!L126="","",'Extraction edi'!L126)</f>
        <v/>
      </c>
      <c r="H123" t="str">
        <f>IF('Extraction edi'!M126="","",'Extraction edi'!M126)</f>
        <v/>
      </c>
      <c r="I123" s="1" t="str">
        <f>IF('Extraction edi'!N126="","",'Extraction edi'!N126)</f>
        <v/>
      </c>
      <c r="J123" s="1" t="str">
        <f>IF('Extraction edi'!O126="","",'Extraction edi'!O126)</f>
        <v/>
      </c>
      <c r="K123" s="1" t="str">
        <f>IF('Extraction edi'!P126="","",'Extraction edi'!P126)</f>
        <v/>
      </c>
      <c r="L123" s="1" t="str">
        <f>IF('Extraction edi'!Q126="laquage RAL :","OUI","")</f>
        <v/>
      </c>
      <c r="M123" s="1" t="str">
        <f>IF('Extraction edi'!R126&lt;&gt;"",'Extraction edi'!R126,IF(G123="ALU blanc","S9016",""))</f>
        <v/>
      </c>
      <c r="N123" s="1" t="str">
        <f>IF('Extraction edi'!S126&lt;&gt;"",'Extraction edi'!S126,IF(G123="ALU blanc","S9016",""))</f>
        <v/>
      </c>
      <c r="O123" s="11">
        <v>46032</v>
      </c>
      <c r="P123" s="1">
        <f t="shared" si="1"/>
        <v>6</v>
      </c>
    </row>
    <row r="124" spans="1:16" x14ac:dyDescent="0.25">
      <c r="A124" s="1" t="str">
        <f>IF(B124="","",CONCATENATE(B124,".",C124,"/Pos ",D124,"/",'Extraction edi'!G127))</f>
        <v/>
      </c>
      <c r="B124" s="1" t="str">
        <f>IF('Extraction edi'!A127="","",'Extraction edi'!A127)</f>
        <v/>
      </c>
      <c r="C124" s="1" t="str">
        <f>IF('Extraction edi'!B127="","",'Extraction edi'!B127)</f>
        <v/>
      </c>
      <c r="D124" s="1" t="str">
        <f>IF('Extraction edi'!H127="","",'Extraction edi'!H127)</f>
        <v/>
      </c>
      <c r="E124" s="1" t="str">
        <f>IF('Extraction edi'!I127="","",'Extraction edi'!I127)</f>
        <v/>
      </c>
      <c r="F124" t="str">
        <f>IF('Extraction edi'!K127="","",'Extraction edi'!K127)</f>
        <v/>
      </c>
      <c r="G124" t="str">
        <f>IF('Extraction edi'!L127="","",'Extraction edi'!L127)</f>
        <v/>
      </c>
      <c r="H124" t="str">
        <f>IF('Extraction edi'!M127="","",'Extraction edi'!M127)</f>
        <v/>
      </c>
      <c r="I124" s="1" t="str">
        <f>IF('Extraction edi'!N127="","",'Extraction edi'!N127)</f>
        <v/>
      </c>
      <c r="J124" s="1" t="str">
        <f>IF('Extraction edi'!O127="","",'Extraction edi'!O127)</f>
        <v/>
      </c>
      <c r="K124" s="1" t="str">
        <f>IF('Extraction edi'!P127="","",'Extraction edi'!P127)</f>
        <v/>
      </c>
      <c r="L124" s="1" t="str">
        <f>IF('Extraction edi'!Q127="laquage RAL :","OUI","")</f>
        <v/>
      </c>
      <c r="M124" s="1" t="str">
        <f>IF('Extraction edi'!R127&lt;&gt;"",'Extraction edi'!R127,IF(G124="ALU blanc","S9016",""))</f>
        <v/>
      </c>
      <c r="N124" s="1" t="str">
        <f>IF('Extraction edi'!S127&lt;&gt;"",'Extraction edi'!S127,IF(G124="ALU blanc","S9016",""))</f>
        <v/>
      </c>
      <c r="O124" s="11">
        <v>46033</v>
      </c>
      <c r="P124" s="1">
        <f t="shared" si="1"/>
        <v>7</v>
      </c>
    </row>
    <row r="125" spans="1:16" x14ac:dyDescent="0.25">
      <c r="A125" s="1" t="str">
        <f>IF(B125="","",CONCATENATE(B125,".",C125,"/Pos ",D125,"/",'Extraction edi'!G128))</f>
        <v/>
      </c>
      <c r="B125" s="1" t="str">
        <f>IF('Extraction edi'!A128="","",'Extraction edi'!A128)</f>
        <v/>
      </c>
      <c r="C125" s="1" t="str">
        <f>IF('Extraction edi'!B128="","",'Extraction edi'!B128)</f>
        <v/>
      </c>
      <c r="D125" s="1" t="str">
        <f>IF('Extraction edi'!H128="","",'Extraction edi'!H128)</f>
        <v/>
      </c>
      <c r="E125" s="1" t="str">
        <f>IF('Extraction edi'!I128="","",'Extraction edi'!I128)</f>
        <v/>
      </c>
      <c r="F125" t="str">
        <f>IF('Extraction edi'!K128="","",'Extraction edi'!K128)</f>
        <v/>
      </c>
      <c r="G125" t="str">
        <f>IF('Extraction edi'!L128="","",'Extraction edi'!L128)</f>
        <v/>
      </c>
      <c r="H125" t="str">
        <f>IF('Extraction edi'!M128="","",'Extraction edi'!M128)</f>
        <v/>
      </c>
      <c r="I125" s="1" t="str">
        <f>IF('Extraction edi'!N128="","",'Extraction edi'!N128)</f>
        <v/>
      </c>
      <c r="J125" s="1" t="str">
        <f>IF('Extraction edi'!O128="","",'Extraction edi'!O128)</f>
        <v/>
      </c>
      <c r="K125" s="1" t="str">
        <f>IF('Extraction edi'!P128="","",'Extraction edi'!P128)</f>
        <v/>
      </c>
      <c r="L125" s="1" t="str">
        <f>IF('Extraction edi'!Q128="laquage RAL :","OUI","")</f>
        <v/>
      </c>
      <c r="M125" s="1" t="str">
        <f>IF('Extraction edi'!R128&lt;&gt;"",'Extraction edi'!R128,IF(G125="ALU blanc","S9016",""))</f>
        <v/>
      </c>
      <c r="N125" s="1" t="str">
        <f>IF('Extraction edi'!S128&lt;&gt;"",'Extraction edi'!S128,IF(G125="ALU blanc","S9016",""))</f>
        <v/>
      </c>
      <c r="O125" s="11">
        <v>46034</v>
      </c>
      <c r="P125" s="1">
        <f t="shared" si="1"/>
        <v>1</v>
      </c>
    </row>
    <row r="126" spans="1:16" x14ac:dyDescent="0.25">
      <c r="A126" s="1" t="str">
        <f>IF(B126="","",CONCATENATE(B126,".",C126,"/Pos ",D126,"/",'Extraction edi'!G129))</f>
        <v/>
      </c>
      <c r="B126" s="1" t="str">
        <f>IF('Extraction edi'!A129="","",'Extraction edi'!A129)</f>
        <v/>
      </c>
      <c r="C126" s="1" t="str">
        <f>IF('Extraction edi'!B129="","",'Extraction edi'!B129)</f>
        <v/>
      </c>
      <c r="D126" s="1" t="str">
        <f>IF('Extraction edi'!H129="","",'Extraction edi'!H129)</f>
        <v/>
      </c>
      <c r="E126" s="1" t="str">
        <f>IF('Extraction edi'!I129="","",'Extraction edi'!I129)</f>
        <v/>
      </c>
      <c r="F126" t="str">
        <f>IF('Extraction edi'!K129="","",'Extraction edi'!K129)</f>
        <v/>
      </c>
      <c r="G126" t="str">
        <f>IF('Extraction edi'!L129="","",'Extraction edi'!L129)</f>
        <v/>
      </c>
      <c r="H126" t="str">
        <f>IF('Extraction edi'!M129="","",'Extraction edi'!M129)</f>
        <v/>
      </c>
      <c r="I126" s="1" t="str">
        <f>IF('Extraction edi'!N129="","",'Extraction edi'!N129)</f>
        <v/>
      </c>
      <c r="J126" s="1" t="str">
        <f>IF('Extraction edi'!O129="","",'Extraction edi'!O129)</f>
        <v/>
      </c>
      <c r="K126" s="1" t="str">
        <f>IF('Extraction edi'!P129="","",'Extraction edi'!P129)</f>
        <v/>
      </c>
      <c r="L126" s="1" t="str">
        <f>IF('Extraction edi'!Q129="laquage RAL :","OUI","")</f>
        <v/>
      </c>
      <c r="M126" s="1" t="str">
        <f>IF('Extraction edi'!R129&lt;&gt;"",'Extraction edi'!R129,IF(G126="ALU blanc","S9016",""))</f>
        <v/>
      </c>
      <c r="N126" s="1" t="str">
        <f>IF('Extraction edi'!S129&lt;&gt;"",'Extraction edi'!S129,IF(G126="ALU blanc","S9016",""))</f>
        <v/>
      </c>
      <c r="O126" s="11">
        <v>46035</v>
      </c>
      <c r="P126" s="1">
        <f t="shared" ref="P126:P189" si="2">WEEKDAY(O126,2)</f>
        <v>2</v>
      </c>
    </row>
    <row r="127" spans="1:16" x14ac:dyDescent="0.25">
      <c r="A127" s="1" t="str">
        <f>IF(B127="","",CONCATENATE(B127,".",C127,"/Pos ",D127,"/",'Extraction edi'!G130))</f>
        <v/>
      </c>
      <c r="B127" s="1" t="str">
        <f>IF('Extraction edi'!A130="","",'Extraction edi'!A130)</f>
        <v/>
      </c>
      <c r="C127" s="1" t="str">
        <f>IF('Extraction edi'!B130="","",'Extraction edi'!B130)</f>
        <v/>
      </c>
      <c r="D127" s="1" t="str">
        <f>IF('Extraction edi'!H130="","",'Extraction edi'!H130)</f>
        <v/>
      </c>
      <c r="E127" s="1" t="str">
        <f>IF('Extraction edi'!I130="","",'Extraction edi'!I130)</f>
        <v/>
      </c>
      <c r="F127" t="str">
        <f>IF('Extraction edi'!K130="","",'Extraction edi'!K130)</f>
        <v/>
      </c>
      <c r="G127" t="str">
        <f>IF('Extraction edi'!L130="","",'Extraction edi'!L130)</f>
        <v/>
      </c>
      <c r="H127" t="str">
        <f>IF('Extraction edi'!M130="","",'Extraction edi'!M130)</f>
        <v/>
      </c>
      <c r="I127" s="1" t="str">
        <f>IF('Extraction edi'!N130="","",'Extraction edi'!N130)</f>
        <v/>
      </c>
      <c r="J127" s="1" t="str">
        <f>IF('Extraction edi'!O130="","",'Extraction edi'!O130)</f>
        <v/>
      </c>
      <c r="K127" s="1" t="str">
        <f>IF('Extraction edi'!P130="","",'Extraction edi'!P130)</f>
        <v/>
      </c>
      <c r="L127" s="1" t="str">
        <f>IF('Extraction edi'!Q130="laquage RAL :","OUI","")</f>
        <v/>
      </c>
      <c r="M127" s="1" t="str">
        <f>IF('Extraction edi'!R130&lt;&gt;"",'Extraction edi'!R130,IF(G127="ALU blanc","S9016",""))</f>
        <v/>
      </c>
      <c r="N127" s="1" t="str">
        <f>IF('Extraction edi'!S130&lt;&gt;"",'Extraction edi'!S130,IF(G127="ALU blanc","S9016",""))</f>
        <v/>
      </c>
      <c r="O127" s="11">
        <v>46036</v>
      </c>
      <c r="P127" s="1">
        <f t="shared" si="2"/>
        <v>3</v>
      </c>
    </row>
    <row r="128" spans="1:16" x14ac:dyDescent="0.25">
      <c r="A128" s="1" t="str">
        <f>IF(B128="","",CONCATENATE(B128,".",C128,"/Pos ",D128,"/",'Extraction edi'!G131))</f>
        <v/>
      </c>
      <c r="B128" s="1" t="str">
        <f>IF('Extraction edi'!A131="","",'Extraction edi'!A131)</f>
        <v/>
      </c>
      <c r="C128" s="1" t="str">
        <f>IF('Extraction edi'!B131="","",'Extraction edi'!B131)</f>
        <v/>
      </c>
      <c r="D128" s="1" t="str">
        <f>IF('Extraction edi'!H131="","",'Extraction edi'!H131)</f>
        <v/>
      </c>
      <c r="E128" s="1" t="str">
        <f>IF('Extraction edi'!I131="","",'Extraction edi'!I131)</f>
        <v/>
      </c>
      <c r="F128" t="str">
        <f>IF('Extraction edi'!K131="","",'Extraction edi'!K131)</f>
        <v/>
      </c>
      <c r="G128" t="str">
        <f>IF('Extraction edi'!L131="","",'Extraction edi'!L131)</f>
        <v/>
      </c>
      <c r="H128" t="str">
        <f>IF('Extraction edi'!M131="","",'Extraction edi'!M131)</f>
        <v/>
      </c>
      <c r="I128" s="1" t="str">
        <f>IF('Extraction edi'!N131="","",'Extraction edi'!N131)</f>
        <v/>
      </c>
      <c r="J128" s="1" t="str">
        <f>IF('Extraction edi'!O131="","",'Extraction edi'!O131)</f>
        <v/>
      </c>
      <c r="K128" s="1" t="str">
        <f>IF('Extraction edi'!P131="","",'Extraction edi'!P131)</f>
        <v/>
      </c>
      <c r="L128" s="1" t="str">
        <f>IF('Extraction edi'!Q131="laquage RAL :","OUI","")</f>
        <v/>
      </c>
      <c r="M128" s="1" t="str">
        <f>IF('Extraction edi'!R131&lt;&gt;"",'Extraction edi'!R131,IF(G128="ALU blanc","S9016",""))</f>
        <v/>
      </c>
      <c r="N128" s="1" t="str">
        <f>IF('Extraction edi'!S131&lt;&gt;"",'Extraction edi'!S131,IF(G128="ALU blanc","S9016",""))</f>
        <v/>
      </c>
      <c r="O128" s="11">
        <v>46037</v>
      </c>
      <c r="P128" s="1">
        <f t="shared" si="2"/>
        <v>4</v>
      </c>
    </row>
    <row r="129" spans="1:16" x14ac:dyDescent="0.25">
      <c r="A129" s="1" t="str">
        <f>IF(B129="","",CONCATENATE(B129,".",C129,"/Pos ",D129,"/",'Extraction edi'!G132))</f>
        <v/>
      </c>
      <c r="B129" s="1" t="str">
        <f>IF('Extraction edi'!A132="","",'Extraction edi'!A132)</f>
        <v/>
      </c>
      <c r="C129" s="1" t="str">
        <f>IF('Extraction edi'!B132="","",'Extraction edi'!B132)</f>
        <v/>
      </c>
      <c r="D129" s="1" t="str">
        <f>IF('Extraction edi'!H132="","",'Extraction edi'!H132)</f>
        <v/>
      </c>
      <c r="E129" s="1" t="str">
        <f>IF('Extraction edi'!I132="","",'Extraction edi'!I132)</f>
        <v/>
      </c>
      <c r="F129" t="str">
        <f>IF('Extraction edi'!K132="","",'Extraction edi'!K132)</f>
        <v/>
      </c>
      <c r="G129" t="str">
        <f>IF('Extraction edi'!L132="","",'Extraction edi'!L132)</f>
        <v/>
      </c>
      <c r="H129" t="str">
        <f>IF('Extraction edi'!M132="","",'Extraction edi'!M132)</f>
        <v/>
      </c>
      <c r="I129" s="1" t="str">
        <f>IF('Extraction edi'!N132="","",'Extraction edi'!N132)</f>
        <v/>
      </c>
      <c r="J129" s="1" t="str">
        <f>IF('Extraction edi'!O132="","",'Extraction edi'!O132)</f>
        <v/>
      </c>
      <c r="K129" s="1" t="str">
        <f>IF('Extraction edi'!P132="","",'Extraction edi'!P132)</f>
        <v/>
      </c>
      <c r="L129" s="1" t="str">
        <f>IF('Extraction edi'!Q132="laquage RAL :","OUI","")</f>
        <v/>
      </c>
      <c r="M129" s="1" t="str">
        <f>IF('Extraction edi'!R132&lt;&gt;"",'Extraction edi'!R132,IF(G129="ALU blanc","S9016",""))</f>
        <v/>
      </c>
      <c r="N129" s="1" t="str">
        <f>IF('Extraction edi'!S132&lt;&gt;"",'Extraction edi'!S132,IF(G129="ALU blanc","S9016",""))</f>
        <v/>
      </c>
      <c r="O129" s="11">
        <v>46038</v>
      </c>
      <c r="P129" s="1">
        <f t="shared" si="2"/>
        <v>5</v>
      </c>
    </row>
    <row r="130" spans="1:16" x14ac:dyDescent="0.25">
      <c r="A130" s="1" t="str">
        <f>IF(B130="","",CONCATENATE(B130,".",C130,"/Pos ",D130,"/",'Extraction edi'!G133))</f>
        <v/>
      </c>
      <c r="B130" s="1" t="str">
        <f>IF('Extraction edi'!A133="","",'Extraction edi'!A133)</f>
        <v/>
      </c>
      <c r="C130" s="1" t="str">
        <f>IF('Extraction edi'!B133="","",'Extraction edi'!B133)</f>
        <v/>
      </c>
      <c r="D130" s="1" t="str">
        <f>IF('Extraction edi'!H133="","",'Extraction edi'!H133)</f>
        <v/>
      </c>
      <c r="E130" s="1" t="str">
        <f>IF('Extraction edi'!I133="","",'Extraction edi'!I133)</f>
        <v/>
      </c>
      <c r="F130" t="str">
        <f>IF('Extraction edi'!K133="","",'Extraction edi'!K133)</f>
        <v/>
      </c>
      <c r="G130" t="str">
        <f>IF('Extraction edi'!L133="","",'Extraction edi'!L133)</f>
        <v/>
      </c>
      <c r="H130" t="str">
        <f>IF('Extraction edi'!M133="","",'Extraction edi'!M133)</f>
        <v/>
      </c>
      <c r="I130" s="1" t="str">
        <f>IF('Extraction edi'!N133="","",'Extraction edi'!N133)</f>
        <v/>
      </c>
      <c r="J130" s="1" t="str">
        <f>IF('Extraction edi'!O133="","",'Extraction edi'!O133)</f>
        <v/>
      </c>
      <c r="K130" s="1" t="str">
        <f>IF('Extraction edi'!P133="","",'Extraction edi'!P133)</f>
        <v/>
      </c>
      <c r="L130" s="1" t="str">
        <f>IF('Extraction edi'!Q133="laquage RAL :","OUI","")</f>
        <v/>
      </c>
      <c r="M130" s="1" t="str">
        <f>IF('Extraction edi'!R133&lt;&gt;"",'Extraction edi'!R133,IF(G130="ALU blanc","S9016",""))</f>
        <v/>
      </c>
      <c r="N130" s="1" t="str">
        <f>IF('Extraction edi'!S133&lt;&gt;"",'Extraction edi'!S133,IF(G130="ALU blanc","S9016",""))</f>
        <v/>
      </c>
      <c r="O130" s="11">
        <v>46039</v>
      </c>
      <c r="P130" s="1">
        <f t="shared" si="2"/>
        <v>6</v>
      </c>
    </row>
    <row r="131" spans="1:16" x14ac:dyDescent="0.25">
      <c r="A131" s="1" t="str">
        <f>IF(B131="","",CONCATENATE(B131,".",C131,"/Pos ",D131,"/",'Extraction edi'!G134))</f>
        <v/>
      </c>
      <c r="B131" s="1" t="str">
        <f>IF('Extraction edi'!A134="","",'Extraction edi'!A134)</f>
        <v/>
      </c>
      <c r="C131" s="1" t="str">
        <f>IF('Extraction edi'!B134="","",'Extraction edi'!B134)</f>
        <v/>
      </c>
      <c r="D131" s="1" t="str">
        <f>IF('Extraction edi'!H134="","",'Extraction edi'!H134)</f>
        <v/>
      </c>
      <c r="E131" s="1" t="str">
        <f>IF('Extraction edi'!I134="","",'Extraction edi'!I134)</f>
        <v/>
      </c>
      <c r="F131" t="str">
        <f>IF('Extraction edi'!K134="","",'Extraction edi'!K134)</f>
        <v/>
      </c>
      <c r="G131" t="str">
        <f>IF('Extraction edi'!L134="","",'Extraction edi'!L134)</f>
        <v/>
      </c>
      <c r="H131" t="str">
        <f>IF('Extraction edi'!M134="","",'Extraction edi'!M134)</f>
        <v/>
      </c>
      <c r="I131" s="1" t="str">
        <f>IF('Extraction edi'!N134="","",'Extraction edi'!N134)</f>
        <v/>
      </c>
      <c r="J131" s="1" t="str">
        <f>IF('Extraction edi'!O134="","",'Extraction edi'!O134)</f>
        <v/>
      </c>
      <c r="K131" s="1" t="str">
        <f>IF('Extraction edi'!P134="","",'Extraction edi'!P134)</f>
        <v/>
      </c>
      <c r="L131" s="1" t="str">
        <f>IF('Extraction edi'!Q134="laquage RAL :","OUI","")</f>
        <v/>
      </c>
      <c r="M131" s="1" t="str">
        <f>IF('Extraction edi'!R134&lt;&gt;"",'Extraction edi'!R134,IF(G131="ALU blanc","S9016",""))</f>
        <v/>
      </c>
      <c r="N131" s="1" t="str">
        <f>IF('Extraction edi'!S134&lt;&gt;"",'Extraction edi'!S134,IF(G131="ALU blanc","S9016",""))</f>
        <v/>
      </c>
      <c r="O131" s="11">
        <v>46040</v>
      </c>
      <c r="P131" s="1">
        <f t="shared" si="2"/>
        <v>7</v>
      </c>
    </row>
    <row r="132" spans="1:16" x14ac:dyDescent="0.25">
      <c r="A132" s="1" t="str">
        <f>IF(B132="","",CONCATENATE(B132,".",C132,"/Pos ",D132,"/",'Extraction edi'!G135))</f>
        <v/>
      </c>
      <c r="B132" s="1" t="str">
        <f>IF('Extraction edi'!A135="","",'Extraction edi'!A135)</f>
        <v/>
      </c>
      <c r="C132" s="1" t="str">
        <f>IF('Extraction edi'!B135="","",'Extraction edi'!B135)</f>
        <v/>
      </c>
      <c r="D132" s="1" t="str">
        <f>IF('Extraction edi'!H135="","",'Extraction edi'!H135)</f>
        <v/>
      </c>
      <c r="E132" s="1" t="str">
        <f>IF('Extraction edi'!I135="","",'Extraction edi'!I135)</f>
        <v/>
      </c>
      <c r="F132" t="str">
        <f>IF('Extraction edi'!K135="","",'Extraction edi'!K135)</f>
        <v/>
      </c>
      <c r="G132" t="str">
        <f>IF('Extraction edi'!L135="","",'Extraction edi'!L135)</f>
        <v/>
      </c>
      <c r="H132" t="str">
        <f>IF('Extraction edi'!M135="","",'Extraction edi'!M135)</f>
        <v/>
      </c>
      <c r="I132" s="1" t="str">
        <f>IF('Extraction edi'!N135="","",'Extraction edi'!N135)</f>
        <v/>
      </c>
      <c r="J132" s="1" t="str">
        <f>IF('Extraction edi'!O135="","",'Extraction edi'!O135)</f>
        <v/>
      </c>
      <c r="K132" s="1" t="str">
        <f>IF('Extraction edi'!P135="","",'Extraction edi'!P135)</f>
        <v/>
      </c>
      <c r="L132" s="1" t="str">
        <f>IF('Extraction edi'!Q135="laquage RAL :","OUI","")</f>
        <v/>
      </c>
      <c r="M132" s="1" t="str">
        <f>IF('Extraction edi'!R135&lt;&gt;"",'Extraction edi'!R135,IF(G132="ALU blanc","S9016",""))</f>
        <v/>
      </c>
      <c r="N132" s="1" t="str">
        <f>IF('Extraction edi'!S135&lt;&gt;"",'Extraction edi'!S135,IF(G132="ALU blanc","S9016",""))</f>
        <v/>
      </c>
      <c r="O132" s="11">
        <v>46041</v>
      </c>
      <c r="P132" s="1">
        <f t="shared" si="2"/>
        <v>1</v>
      </c>
    </row>
    <row r="133" spans="1:16" x14ac:dyDescent="0.25">
      <c r="A133" s="1" t="str">
        <f>IF(B133="","",CONCATENATE(B133,".",C133,"/Pos ",D133,"/",'Extraction edi'!G136))</f>
        <v/>
      </c>
      <c r="B133" s="1" t="str">
        <f>IF('Extraction edi'!A136="","",'Extraction edi'!A136)</f>
        <v/>
      </c>
      <c r="C133" s="1" t="str">
        <f>IF('Extraction edi'!B136="","",'Extraction edi'!B136)</f>
        <v/>
      </c>
      <c r="D133" s="1" t="str">
        <f>IF('Extraction edi'!H136="","",'Extraction edi'!H136)</f>
        <v/>
      </c>
      <c r="E133" s="1" t="str">
        <f>IF('Extraction edi'!I136="","",'Extraction edi'!I136)</f>
        <v/>
      </c>
      <c r="F133" t="str">
        <f>IF('Extraction edi'!K136="","",'Extraction edi'!K136)</f>
        <v/>
      </c>
      <c r="G133" t="str">
        <f>IF('Extraction edi'!L136="","",'Extraction edi'!L136)</f>
        <v/>
      </c>
      <c r="H133" t="str">
        <f>IF('Extraction edi'!M136="","",'Extraction edi'!M136)</f>
        <v/>
      </c>
      <c r="I133" s="1" t="str">
        <f>IF('Extraction edi'!N136="","",'Extraction edi'!N136)</f>
        <v/>
      </c>
      <c r="J133" s="1" t="str">
        <f>IF('Extraction edi'!O136="","",'Extraction edi'!O136)</f>
        <v/>
      </c>
      <c r="K133" s="1" t="str">
        <f>IF('Extraction edi'!P136="","",'Extraction edi'!P136)</f>
        <v/>
      </c>
      <c r="L133" s="1" t="str">
        <f>IF('Extraction edi'!Q136="laquage RAL :","OUI","")</f>
        <v/>
      </c>
      <c r="M133" s="1" t="str">
        <f>IF('Extraction edi'!R136&lt;&gt;"",'Extraction edi'!R136,IF(G133="ALU blanc","S9016",""))</f>
        <v/>
      </c>
      <c r="N133" s="1" t="str">
        <f>IF('Extraction edi'!S136&lt;&gt;"",'Extraction edi'!S136,IF(G133="ALU blanc","S9016",""))</f>
        <v/>
      </c>
      <c r="O133" s="11">
        <v>46042</v>
      </c>
      <c r="P133" s="1">
        <f t="shared" si="2"/>
        <v>2</v>
      </c>
    </row>
    <row r="134" spans="1:16" x14ac:dyDescent="0.25">
      <c r="A134" s="1" t="str">
        <f>IF(B134="","",CONCATENATE(B134,".",C134,"/Pos ",D134,"/",'Extraction edi'!G137))</f>
        <v/>
      </c>
      <c r="B134" s="1" t="str">
        <f>IF('Extraction edi'!A137="","",'Extraction edi'!A137)</f>
        <v/>
      </c>
      <c r="C134" s="1" t="str">
        <f>IF('Extraction edi'!B137="","",'Extraction edi'!B137)</f>
        <v/>
      </c>
      <c r="D134" s="1" t="str">
        <f>IF('Extraction edi'!H137="","",'Extraction edi'!H137)</f>
        <v/>
      </c>
      <c r="E134" s="1" t="str">
        <f>IF('Extraction edi'!I137="","",'Extraction edi'!I137)</f>
        <v/>
      </c>
      <c r="F134" t="str">
        <f>IF('Extraction edi'!K137="","",'Extraction edi'!K137)</f>
        <v/>
      </c>
      <c r="G134" t="str">
        <f>IF('Extraction edi'!L137="","",'Extraction edi'!L137)</f>
        <v/>
      </c>
      <c r="H134" t="str">
        <f>IF('Extraction edi'!M137="","",'Extraction edi'!M137)</f>
        <v/>
      </c>
      <c r="I134" s="1" t="str">
        <f>IF('Extraction edi'!N137="","",'Extraction edi'!N137)</f>
        <v/>
      </c>
      <c r="J134" s="1" t="str">
        <f>IF('Extraction edi'!O137="","",'Extraction edi'!O137)</f>
        <v/>
      </c>
      <c r="K134" s="1" t="str">
        <f>IF('Extraction edi'!P137="","",'Extraction edi'!P137)</f>
        <v/>
      </c>
      <c r="L134" s="1" t="str">
        <f>IF('Extraction edi'!Q137="laquage RAL :","OUI","")</f>
        <v/>
      </c>
      <c r="M134" s="1" t="str">
        <f>IF('Extraction edi'!R137&lt;&gt;"",'Extraction edi'!R137,IF(G134="ALU blanc","S9016",""))</f>
        <v/>
      </c>
      <c r="N134" s="1" t="str">
        <f>IF('Extraction edi'!S137&lt;&gt;"",'Extraction edi'!S137,IF(G134="ALU blanc","S9016",""))</f>
        <v/>
      </c>
      <c r="O134" s="11">
        <v>46043</v>
      </c>
      <c r="P134" s="1">
        <f t="shared" si="2"/>
        <v>3</v>
      </c>
    </row>
    <row r="135" spans="1:16" x14ac:dyDescent="0.25">
      <c r="A135" s="1" t="str">
        <f>IF(B135="","",CONCATENATE(B135,".",C135,"/Pos ",D135,"/",'Extraction edi'!G138))</f>
        <v/>
      </c>
      <c r="B135" s="1" t="str">
        <f>IF('Extraction edi'!A138="","",'Extraction edi'!A138)</f>
        <v/>
      </c>
      <c r="C135" s="1" t="str">
        <f>IF('Extraction edi'!B138="","",'Extraction edi'!B138)</f>
        <v/>
      </c>
      <c r="D135" s="1" t="str">
        <f>IF('Extraction edi'!H138="","",'Extraction edi'!H138)</f>
        <v/>
      </c>
      <c r="E135" s="1" t="str">
        <f>IF('Extraction edi'!I138="","",'Extraction edi'!I138)</f>
        <v/>
      </c>
      <c r="F135" t="str">
        <f>IF('Extraction edi'!K138="","",'Extraction edi'!K138)</f>
        <v/>
      </c>
      <c r="G135" t="str">
        <f>IF('Extraction edi'!L138="","",'Extraction edi'!L138)</f>
        <v/>
      </c>
      <c r="H135" t="str">
        <f>IF('Extraction edi'!M138="","",'Extraction edi'!M138)</f>
        <v/>
      </c>
      <c r="I135" s="1" t="str">
        <f>IF('Extraction edi'!N138="","",'Extraction edi'!N138)</f>
        <v/>
      </c>
      <c r="J135" s="1" t="str">
        <f>IF('Extraction edi'!O138="","",'Extraction edi'!O138)</f>
        <v/>
      </c>
      <c r="K135" s="1" t="str">
        <f>IF('Extraction edi'!P138="","",'Extraction edi'!P138)</f>
        <v/>
      </c>
      <c r="L135" s="1" t="str">
        <f>IF('Extraction edi'!Q138="laquage RAL :","OUI","")</f>
        <v/>
      </c>
      <c r="M135" s="1" t="str">
        <f>IF('Extraction edi'!R138&lt;&gt;"",'Extraction edi'!R138,IF(G135="ALU blanc","S9016",""))</f>
        <v/>
      </c>
      <c r="N135" s="1" t="str">
        <f>IF('Extraction edi'!S138&lt;&gt;"",'Extraction edi'!S138,IF(G135="ALU blanc","S9016",""))</f>
        <v/>
      </c>
      <c r="O135" s="11">
        <v>46044</v>
      </c>
      <c r="P135" s="1">
        <f t="shared" si="2"/>
        <v>4</v>
      </c>
    </row>
    <row r="136" spans="1:16" x14ac:dyDescent="0.25">
      <c r="A136" s="1" t="str">
        <f>IF(B136="","",CONCATENATE(B136,".",C136,"/Pos ",D136,"/",'Extraction edi'!G139))</f>
        <v/>
      </c>
      <c r="B136" s="1" t="str">
        <f>IF('Extraction edi'!A139="","",'Extraction edi'!A139)</f>
        <v/>
      </c>
      <c r="C136" s="1" t="str">
        <f>IF('Extraction edi'!B139="","",'Extraction edi'!B139)</f>
        <v/>
      </c>
      <c r="D136" s="1" t="str">
        <f>IF('Extraction edi'!H139="","",'Extraction edi'!H139)</f>
        <v/>
      </c>
      <c r="E136" s="1" t="str">
        <f>IF('Extraction edi'!I139="","",'Extraction edi'!I139)</f>
        <v/>
      </c>
      <c r="F136" t="str">
        <f>IF('Extraction edi'!K139="","",'Extraction edi'!K139)</f>
        <v/>
      </c>
      <c r="G136" t="str">
        <f>IF('Extraction edi'!L139="","",'Extraction edi'!L139)</f>
        <v/>
      </c>
      <c r="H136" t="str">
        <f>IF('Extraction edi'!M139="","",'Extraction edi'!M139)</f>
        <v/>
      </c>
      <c r="I136" s="1" t="str">
        <f>IF('Extraction edi'!N139="","",'Extraction edi'!N139)</f>
        <v/>
      </c>
      <c r="J136" s="1" t="str">
        <f>IF('Extraction edi'!O139="","",'Extraction edi'!O139)</f>
        <v/>
      </c>
      <c r="K136" s="1" t="str">
        <f>IF('Extraction edi'!P139="","",'Extraction edi'!P139)</f>
        <v/>
      </c>
      <c r="L136" s="1" t="str">
        <f>IF('Extraction edi'!Q139="laquage RAL :","OUI","")</f>
        <v/>
      </c>
      <c r="M136" s="1" t="str">
        <f>IF('Extraction edi'!R139&lt;&gt;"",'Extraction edi'!R139,IF(G136="ALU blanc","S9016",""))</f>
        <v/>
      </c>
      <c r="N136" s="1" t="str">
        <f>IF('Extraction edi'!S139&lt;&gt;"",'Extraction edi'!S139,IF(G136="ALU blanc","S9016",""))</f>
        <v/>
      </c>
      <c r="O136" s="11">
        <v>46045</v>
      </c>
      <c r="P136" s="1">
        <f t="shared" si="2"/>
        <v>5</v>
      </c>
    </row>
    <row r="137" spans="1:16" x14ac:dyDescent="0.25">
      <c r="A137" s="1" t="str">
        <f>IF(B137="","",CONCATENATE(B137,".",C137,"/Pos ",D137,"/",'Extraction edi'!G140))</f>
        <v/>
      </c>
      <c r="B137" s="1" t="str">
        <f>IF('Extraction edi'!A140="","",'Extraction edi'!A140)</f>
        <v/>
      </c>
      <c r="C137" s="1" t="str">
        <f>IF('Extraction edi'!B140="","",'Extraction edi'!B140)</f>
        <v/>
      </c>
      <c r="D137" s="1" t="str">
        <f>IF('Extraction edi'!H140="","",'Extraction edi'!H140)</f>
        <v/>
      </c>
      <c r="E137" s="1" t="str">
        <f>IF('Extraction edi'!I140="","",'Extraction edi'!I140)</f>
        <v/>
      </c>
      <c r="F137" t="str">
        <f>IF('Extraction edi'!K140="","",'Extraction edi'!K140)</f>
        <v/>
      </c>
      <c r="G137" t="str">
        <f>IF('Extraction edi'!L140="","",'Extraction edi'!L140)</f>
        <v/>
      </c>
      <c r="H137" t="str">
        <f>IF('Extraction edi'!M140="","",'Extraction edi'!M140)</f>
        <v/>
      </c>
      <c r="I137" s="1" t="str">
        <f>IF('Extraction edi'!N140="","",'Extraction edi'!N140)</f>
        <v/>
      </c>
      <c r="J137" s="1" t="str">
        <f>IF('Extraction edi'!O140="","",'Extraction edi'!O140)</f>
        <v/>
      </c>
      <c r="K137" s="1" t="str">
        <f>IF('Extraction edi'!P140="","",'Extraction edi'!P140)</f>
        <v/>
      </c>
      <c r="L137" s="1" t="str">
        <f>IF('Extraction edi'!Q140="laquage RAL :","OUI","")</f>
        <v/>
      </c>
      <c r="M137" s="1" t="str">
        <f>IF('Extraction edi'!R140&lt;&gt;"",'Extraction edi'!R140,IF(G137="ALU blanc","S9016",""))</f>
        <v/>
      </c>
      <c r="N137" s="1" t="str">
        <f>IF('Extraction edi'!S140&lt;&gt;"",'Extraction edi'!S140,IF(G137="ALU blanc","S9016",""))</f>
        <v/>
      </c>
      <c r="O137" s="11">
        <v>46046</v>
      </c>
      <c r="P137" s="1">
        <f t="shared" si="2"/>
        <v>6</v>
      </c>
    </row>
    <row r="138" spans="1:16" x14ac:dyDescent="0.25">
      <c r="A138" s="1" t="str">
        <f>IF(B138="","",CONCATENATE(B138,".",C138,"/Pos ",D138,"/",'Extraction edi'!G141))</f>
        <v/>
      </c>
      <c r="B138" s="1" t="str">
        <f>IF('Extraction edi'!A141="","",'Extraction edi'!A141)</f>
        <v/>
      </c>
      <c r="C138" s="1" t="str">
        <f>IF('Extraction edi'!B141="","",'Extraction edi'!B141)</f>
        <v/>
      </c>
      <c r="D138" s="1" t="str">
        <f>IF('Extraction edi'!H141="","",'Extraction edi'!H141)</f>
        <v/>
      </c>
      <c r="E138" s="1" t="str">
        <f>IF('Extraction edi'!I141="","",'Extraction edi'!I141)</f>
        <v/>
      </c>
      <c r="F138" t="str">
        <f>IF('Extraction edi'!K141="","",'Extraction edi'!K141)</f>
        <v/>
      </c>
      <c r="G138" t="str">
        <f>IF('Extraction edi'!L141="","",'Extraction edi'!L141)</f>
        <v/>
      </c>
      <c r="H138" t="str">
        <f>IF('Extraction edi'!M141="","",'Extraction edi'!M141)</f>
        <v/>
      </c>
      <c r="I138" s="1" t="str">
        <f>IF('Extraction edi'!N141="","",'Extraction edi'!N141)</f>
        <v/>
      </c>
      <c r="J138" s="1" t="str">
        <f>IF('Extraction edi'!O141="","",'Extraction edi'!O141)</f>
        <v/>
      </c>
      <c r="K138" s="1" t="str">
        <f>IF('Extraction edi'!P141="","",'Extraction edi'!P141)</f>
        <v/>
      </c>
      <c r="L138" s="1" t="str">
        <f>IF('Extraction edi'!Q141="laquage RAL :","OUI","")</f>
        <v/>
      </c>
      <c r="M138" s="1" t="str">
        <f>IF('Extraction edi'!R141&lt;&gt;"",'Extraction edi'!R141,IF(G138="ALU blanc","S9016",""))</f>
        <v/>
      </c>
      <c r="N138" s="1" t="str">
        <f>IF('Extraction edi'!S141&lt;&gt;"",'Extraction edi'!S141,IF(G138="ALU blanc","S9016",""))</f>
        <v/>
      </c>
      <c r="O138" s="11">
        <v>46047</v>
      </c>
      <c r="P138" s="1">
        <f t="shared" si="2"/>
        <v>7</v>
      </c>
    </row>
    <row r="139" spans="1:16" x14ac:dyDescent="0.25">
      <c r="A139" s="1" t="str">
        <f>IF(B139="","",CONCATENATE(B139,".",C139,"/Pos ",D139,"/",'Extraction edi'!G142))</f>
        <v/>
      </c>
      <c r="B139" s="1" t="str">
        <f>IF('Extraction edi'!A142="","",'Extraction edi'!A142)</f>
        <v/>
      </c>
      <c r="C139" s="1" t="str">
        <f>IF('Extraction edi'!B142="","",'Extraction edi'!B142)</f>
        <v/>
      </c>
      <c r="D139" s="1" t="str">
        <f>IF('Extraction edi'!H142="","",'Extraction edi'!H142)</f>
        <v/>
      </c>
      <c r="E139" s="1" t="str">
        <f>IF('Extraction edi'!I142="","",'Extraction edi'!I142)</f>
        <v/>
      </c>
      <c r="F139" t="str">
        <f>IF('Extraction edi'!K142="","",'Extraction edi'!K142)</f>
        <v/>
      </c>
      <c r="G139" t="str">
        <f>IF('Extraction edi'!L142="","",'Extraction edi'!L142)</f>
        <v/>
      </c>
      <c r="H139" t="str">
        <f>IF('Extraction edi'!M142="","",'Extraction edi'!M142)</f>
        <v/>
      </c>
      <c r="I139" s="1" t="str">
        <f>IF('Extraction edi'!N142="","",'Extraction edi'!N142)</f>
        <v/>
      </c>
      <c r="J139" s="1" t="str">
        <f>IF('Extraction edi'!O142="","",'Extraction edi'!O142)</f>
        <v/>
      </c>
      <c r="K139" s="1" t="str">
        <f>IF('Extraction edi'!P142="","",'Extraction edi'!P142)</f>
        <v/>
      </c>
      <c r="L139" s="1" t="str">
        <f>IF('Extraction edi'!Q142="laquage RAL :","OUI","")</f>
        <v/>
      </c>
      <c r="M139" s="1" t="str">
        <f>IF('Extraction edi'!R142&lt;&gt;"",'Extraction edi'!R142,IF(G139="ALU blanc","S9016",""))</f>
        <v/>
      </c>
      <c r="N139" s="1" t="str">
        <f>IF('Extraction edi'!S142&lt;&gt;"",'Extraction edi'!S142,IF(G139="ALU blanc","S9016",""))</f>
        <v/>
      </c>
      <c r="O139" s="11">
        <v>46048</v>
      </c>
      <c r="P139" s="1">
        <f t="shared" si="2"/>
        <v>1</v>
      </c>
    </row>
    <row r="140" spans="1:16" x14ac:dyDescent="0.25">
      <c r="A140" s="1" t="str">
        <f>IF(B140="","",CONCATENATE(B140,".",C140,"/Pos ",D140,"/",'Extraction edi'!G143))</f>
        <v/>
      </c>
      <c r="B140" s="1" t="str">
        <f>IF('Extraction edi'!A143="","",'Extraction edi'!A143)</f>
        <v/>
      </c>
      <c r="C140" s="1" t="str">
        <f>IF('Extraction edi'!B143="","",'Extraction edi'!B143)</f>
        <v/>
      </c>
      <c r="D140" s="1" t="str">
        <f>IF('Extraction edi'!H143="","",'Extraction edi'!H143)</f>
        <v/>
      </c>
      <c r="E140" s="1" t="str">
        <f>IF('Extraction edi'!I143="","",'Extraction edi'!I143)</f>
        <v/>
      </c>
      <c r="F140" t="str">
        <f>IF('Extraction edi'!K143="","",'Extraction edi'!K143)</f>
        <v/>
      </c>
      <c r="G140" t="str">
        <f>IF('Extraction edi'!L143="","",'Extraction edi'!L143)</f>
        <v/>
      </c>
      <c r="H140" t="str">
        <f>IF('Extraction edi'!M143="","",'Extraction edi'!M143)</f>
        <v/>
      </c>
      <c r="I140" s="1" t="str">
        <f>IF('Extraction edi'!N143="","",'Extraction edi'!N143)</f>
        <v/>
      </c>
      <c r="J140" s="1" t="str">
        <f>IF('Extraction edi'!O143="","",'Extraction edi'!O143)</f>
        <v/>
      </c>
      <c r="K140" s="1" t="str">
        <f>IF('Extraction edi'!P143="","",'Extraction edi'!P143)</f>
        <v/>
      </c>
      <c r="L140" s="1" t="str">
        <f>IF('Extraction edi'!Q143="laquage RAL :","OUI","")</f>
        <v/>
      </c>
      <c r="M140" s="1" t="str">
        <f>IF('Extraction edi'!R143&lt;&gt;"",'Extraction edi'!R143,IF(G140="ALU blanc","S9016",""))</f>
        <v/>
      </c>
      <c r="N140" s="1" t="str">
        <f>IF('Extraction edi'!S143&lt;&gt;"",'Extraction edi'!S143,IF(G140="ALU blanc","S9016",""))</f>
        <v/>
      </c>
      <c r="O140" s="11">
        <v>46049</v>
      </c>
      <c r="P140" s="1">
        <f t="shared" si="2"/>
        <v>2</v>
      </c>
    </row>
    <row r="141" spans="1:16" x14ac:dyDescent="0.25">
      <c r="A141" s="1" t="str">
        <f>IF(B141="","",CONCATENATE(B141,".",C141,"/Pos ",D141,"/",'Extraction edi'!G144))</f>
        <v/>
      </c>
      <c r="B141" s="1" t="str">
        <f>IF('Extraction edi'!A144="","",'Extraction edi'!A144)</f>
        <v/>
      </c>
      <c r="C141" s="1" t="str">
        <f>IF('Extraction edi'!B144="","",'Extraction edi'!B144)</f>
        <v/>
      </c>
      <c r="D141" s="1" t="str">
        <f>IF('Extraction edi'!H144="","",'Extraction edi'!H144)</f>
        <v/>
      </c>
      <c r="E141" s="1" t="str">
        <f>IF('Extraction edi'!I144="","",'Extraction edi'!I144)</f>
        <v/>
      </c>
      <c r="F141" t="str">
        <f>IF('Extraction edi'!K144="","",'Extraction edi'!K144)</f>
        <v/>
      </c>
      <c r="G141" t="str">
        <f>IF('Extraction edi'!L144="","",'Extraction edi'!L144)</f>
        <v/>
      </c>
      <c r="H141" t="str">
        <f>IF('Extraction edi'!M144="","",'Extraction edi'!M144)</f>
        <v/>
      </c>
      <c r="I141" s="1" t="str">
        <f>IF('Extraction edi'!N144="","",'Extraction edi'!N144)</f>
        <v/>
      </c>
      <c r="J141" s="1" t="str">
        <f>IF('Extraction edi'!O144="","",'Extraction edi'!O144)</f>
        <v/>
      </c>
      <c r="K141" s="1" t="str">
        <f>IF('Extraction edi'!P144="","",'Extraction edi'!P144)</f>
        <v/>
      </c>
      <c r="L141" s="1" t="str">
        <f>IF('Extraction edi'!Q144="laquage RAL :","OUI","")</f>
        <v/>
      </c>
      <c r="M141" s="1" t="str">
        <f>IF('Extraction edi'!R144&lt;&gt;"",'Extraction edi'!R144,IF(G141="ALU blanc","S9016",""))</f>
        <v/>
      </c>
      <c r="N141" s="1" t="str">
        <f>IF('Extraction edi'!S144&lt;&gt;"",'Extraction edi'!S144,IF(G141="ALU blanc","S9016",""))</f>
        <v/>
      </c>
      <c r="O141" s="11">
        <v>46050</v>
      </c>
      <c r="P141" s="1">
        <f t="shared" si="2"/>
        <v>3</v>
      </c>
    </row>
    <row r="142" spans="1:16" x14ac:dyDescent="0.25">
      <c r="A142" s="1" t="str">
        <f>IF(B142="","",CONCATENATE(B142,".",C142,"/Pos ",D142,"/",'Extraction edi'!G145))</f>
        <v/>
      </c>
      <c r="B142" s="1" t="str">
        <f>IF('Extraction edi'!A145="","",'Extraction edi'!A145)</f>
        <v/>
      </c>
      <c r="C142" s="1" t="str">
        <f>IF('Extraction edi'!B145="","",'Extraction edi'!B145)</f>
        <v/>
      </c>
      <c r="D142" s="1" t="str">
        <f>IF('Extraction edi'!H145="","",'Extraction edi'!H145)</f>
        <v/>
      </c>
      <c r="E142" s="1" t="str">
        <f>IF('Extraction edi'!I145="","",'Extraction edi'!I145)</f>
        <v/>
      </c>
      <c r="F142" t="str">
        <f>IF('Extraction edi'!K145="","",'Extraction edi'!K145)</f>
        <v/>
      </c>
      <c r="G142" t="str">
        <f>IF('Extraction edi'!L145="","",'Extraction edi'!L145)</f>
        <v/>
      </c>
      <c r="H142" t="str">
        <f>IF('Extraction edi'!M145="","",'Extraction edi'!M145)</f>
        <v/>
      </c>
      <c r="I142" s="1" t="str">
        <f>IF('Extraction edi'!N145="","",'Extraction edi'!N145)</f>
        <v/>
      </c>
      <c r="J142" s="1" t="str">
        <f>IF('Extraction edi'!O145="","",'Extraction edi'!O145)</f>
        <v/>
      </c>
      <c r="K142" s="1" t="str">
        <f>IF('Extraction edi'!P145="","",'Extraction edi'!P145)</f>
        <v/>
      </c>
      <c r="L142" s="1" t="str">
        <f>IF('Extraction edi'!Q145="laquage RAL :","OUI","")</f>
        <v/>
      </c>
      <c r="M142" s="1" t="str">
        <f>IF('Extraction edi'!R145&lt;&gt;"",'Extraction edi'!R145,IF(G142="ALU blanc","S9016",""))</f>
        <v/>
      </c>
      <c r="N142" s="1" t="str">
        <f>IF('Extraction edi'!S145&lt;&gt;"",'Extraction edi'!S145,IF(G142="ALU blanc","S9016",""))</f>
        <v/>
      </c>
      <c r="O142" s="11">
        <v>46051</v>
      </c>
      <c r="P142" s="1">
        <f t="shared" si="2"/>
        <v>4</v>
      </c>
    </row>
    <row r="143" spans="1:16" x14ac:dyDescent="0.25">
      <c r="A143" s="1" t="str">
        <f>IF(B143="","",CONCATENATE(B143,".",C143,"/Pos ",D143,"/",'Extraction edi'!G146))</f>
        <v/>
      </c>
      <c r="B143" s="1" t="str">
        <f>IF('Extraction edi'!A146="","",'Extraction edi'!A146)</f>
        <v/>
      </c>
      <c r="C143" s="1" t="str">
        <f>IF('Extraction edi'!B146="","",'Extraction edi'!B146)</f>
        <v/>
      </c>
      <c r="D143" s="1" t="str">
        <f>IF('Extraction edi'!H146="","",'Extraction edi'!H146)</f>
        <v/>
      </c>
      <c r="E143" s="1" t="str">
        <f>IF('Extraction edi'!I146="","",'Extraction edi'!I146)</f>
        <v/>
      </c>
      <c r="F143" t="str">
        <f>IF('Extraction edi'!K146="","",'Extraction edi'!K146)</f>
        <v/>
      </c>
      <c r="G143" t="str">
        <f>IF('Extraction edi'!L146="","",'Extraction edi'!L146)</f>
        <v/>
      </c>
      <c r="H143" t="str">
        <f>IF('Extraction edi'!M146="","",'Extraction edi'!M146)</f>
        <v/>
      </c>
      <c r="I143" s="1" t="str">
        <f>IF('Extraction edi'!N146="","",'Extraction edi'!N146)</f>
        <v/>
      </c>
      <c r="J143" s="1" t="str">
        <f>IF('Extraction edi'!O146="","",'Extraction edi'!O146)</f>
        <v/>
      </c>
      <c r="K143" s="1" t="str">
        <f>IF('Extraction edi'!P146="","",'Extraction edi'!P146)</f>
        <v/>
      </c>
      <c r="L143" s="1" t="str">
        <f>IF('Extraction edi'!Q146="laquage RAL :","OUI","")</f>
        <v/>
      </c>
      <c r="M143" s="1" t="str">
        <f>IF('Extraction edi'!R146&lt;&gt;"",'Extraction edi'!R146,IF(G143="ALU blanc","S9016",""))</f>
        <v/>
      </c>
      <c r="N143" s="1" t="str">
        <f>IF('Extraction edi'!S146&lt;&gt;"",'Extraction edi'!S146,IF(G143="ALU blanc","S9016",""))</f>
        <v/>
      </c>
      <c r="O143" s="11">
        <v>46052</v>
      </c>
      <c r="P143" s="1">
        <f t="shared" si="2"/>
        <v>5</v>
      </c>
    </row>
    <row r="144" spans="1:16" x14ac:dyDescent="0.25">
      <c r="A144" s="1" t="str">
        <f>IF(B144="","",CONCATENATE(B144,".",C144,"/Pos ",D144,"/",'Extraction edi'!G147))</f>
        <v/>
      </c>
      <c r="B144" s="1" t="str">
        <f>IF('Extraction edi'!A147="","",'Extraction edi'!A147)</f>
        <v/>
      </c>
      <c r="C144" s="1" t="str">
        <f>IF('Extraction edi'!B147="","",'Extraction edi'!B147)</f>
        <v/>
      </c>
      <c r="D144" s="1" t="str">
        <f>IF('Extraction edi'!H147="","",'Extraction edi'!H147)</f>
        <v/>
      </c>
      <c r="E144" s="1" t="str">
        <f>IF('Extraction edi'!I147="","",'Extraction edi'!I147)</f>
        <v/>
      </c>
      <c r="F144" t="str">
        <f>IF('Extraction edi'!K147="","",'Extraction edi'!K147)</f>
        <v/>
      </c>
      <c r="G144" t="str">
        <f>IF('Extraction edi'!L147="","",'Extraction edi'!L147)</f>
        <v/>
      </c>
      <c r="H144" t="str">
        <f>IF('Extraction edi'!M147="","",'Extraction edi'!M147)</f>
        <v/>
      </c>
      <c r="I144" s="1" t="str">
        <f>IF('Extraction edi'!N147="","",'Extraction edi'!N147)</f>
        <v/>
      </c>
      <c r="J144" s="1" t="str">
        <f>IF('Extraction edi'!O147="","",'Extraction edi'!O147)</f>
        <v/>
      </c>
      <c r="K144" s="1" t="str">
        <f>IF('Extraction edi'!P147="","",'Extraction edi'!P147)</f>
        <v/>
      </c>
      <c r="L144" s="1" t="str">
        <f>IF('Extraction edi'!Q147="laquage RAL :","OUI","")</f>
        <v/>
      </c>
      <c r="M144" s="1" t="str">
        <f>IF('Extraction edi'!R147&lt;&gt;"",'Extraction edi'!R147,IF(G144="ALU blanc","S9016",""))</f>
        <v/>
      </c>
      <c r="N144" s="1" t="str">
        <f>IF('Extraction edi'!S147&lt;&gt;"",'Extraction edi'!S147,IF(G144="ALU blanc","S9016",""))</f>
        <v/>
      </c>
      <c r="O144" s="11">
        <v>46053</v>
      </c>
      <c r="P144" s="1">
        <f t="shared" si="2"/>
        <v>6</v>
      </c>
    </row>
    <row r="145" spans="1:16" x14ac:dyDescent="0.25">
      <c r="A145" s="1" t="str">
        <f>IF(B145="","",CONCATENATE(B145,".",C145,"/Pos ",D145,"/",'Extraction edi'!G148))</f>
        <v/>
      </c>
      <c r="B145" s="1" t="str">
        <f>IF('Extraction edi'!A148="","",'Extraction edi'!A148)</f>
        <v/>
      </c>
      <c r="C145" s="1" t="str">
        <f>IF('Extraction edi'!B148="","",'Extraction edi'!B148)</f>
        <v/>
      </c>
      <c r="D145" s="1" t="str">
        <f>IF('Extraction edi'!H148="","",'Extraction edi'!H148)</f>
        <v/>
      </c>
      <c r="E145" s="1" t="str">
        <f>IF('Extraction edi'!I148="","",'Extraction edi'!I148)</f>
        <v/>
      </c>
      <c r="F145" t="str">
        <f>IF('Extraction edi'!K148="","",'Extraction edi'!K148)</f>
        <v/>
      </c>
      <c r="G145" t="str">
        <f>IF('Extraction edi'!L148="","",'Extraction edi'!L148)</f>
        <v/>
      </c>
      <c r="H145" t="str">
        <f>IF('Extraction edi'!M148="","",'Extraction edi'!M148)</f>
        <v/>
      </c>
      <c r="I145" s="1" t="str">
        <f>IF('Extraction edi'!N148="","",'Extraction edi'!N148)</f>
        <v/>
      </c>
      <c r="J145" s="1" t="str">
        <f>IF('Extraction edi'!O148="","",'Extraction edi'!O148)</f>
        <v/>
      </c>
      <c r="K145" s="1" t="str">
        <f>IF('Extraction edi'!P148="","",'Extraction edi'!P148)</f>
        <v/>
      </c>
      <c r="L145" s="1" t="str">
        <f>IF('Extraction edi'!Q148="laquage RAL :","OUI","")</f>
        <v/>
      </c>
      <c r="M145" s="1" t="str">
        <f>IF('Extraction edi'!R148&lt;&gt;"",'Extraction edi'!R148,IF(G145="ALU blanc","S9016",""))</f>
        <v/>
      </c>
      <c r="N145" s="1" t="str">
        <f>IF('Extraction edi'!S148&lt;&gt;"",'Extraction edi'!S148,IF(G145="ALU blanc","S9016",""))</f>
        <v/>
      </c>
      <c r="O145" s="11">
        <v>46054</v>
      </c>
      <c r="P145" s="1">
        <f t="shared" si="2"/>
        <v>7</v>
      </c>
    </row>
    <row r="146" spans="1:16" x14ac:dyDescent="0.25">
      <c r="A146" s="1" t="str">
        <f>IF(B146="","",CONCATENATE(B146,".",C146,"/Pos ",D146,"/",'Extraction edi'!G149))</f>
        <v/>
      </c>
      <c r="B146" s="1" t="str">
        <f>IF('Extraction edi'!A149="","",'Extraction edi'!A149)</f>
        <v/>
      </c>
      <c r="C146" s="1" t="str">
        <f>IF('Extraction edi'!B149="","",'Extraction edi'!B149)</f>
        <v/>
      </c>
      <c r="D146" s="1" t="str">
        <f>IF('Extraction edi'!H149="","",'Extraction edi'!H149)</f>
        <v/>
      </c>
      <c r="E146" s="1" t="str">
        <f>IF('Extraction edi'!I149="","",'Extraction edi'!I149)</f>
        <v/>
      </c>
      <c r="F146" t="str">
        <f>IF('Extraction edi'!K149="","",'Extraction edi'!K149)</f>
        <v/>
      </c>
      <c r="G146" t="str">
        <f>IF('Extraction edi'!L149="","",'Extraction edi'!L149)</f>
        <v/>
      </c>
      <c r="H146" t="str">
        <f>IF('Extraction edi'!M149="","",'Extraction edi'!M149)</f>
        <v/>
      </c>
      <c r="I146" s="1" t="str">
        <f>IF('Extraction edi'!N149="","",'Extraction edi'!N149)</f>
        <v/>
      </c>
      <c r="J146" s="1" t="str">
        <f>IF('Extraction edi'!O149="","",'Extraction edi'!O149)</f>
        <v/>
      </c>
      <c r="K146" s="1" t="str">
        <f>IF('Extraction edi'!P149="","",'Extraction edi'!P149)</f>
        <v/>
      </c>
      <c r="L146" s="1" t="str">
        <f>IF('Extraction edi'!Q149="laquage RAL :","OUI","")</f>
        <v/>
      </c>
      <c r="M146" s="1" t="str">
        <f>IF('Extraction edi'!R149&lt;&gt;"",'Extraction edi'!R149,IF(G146="ALU blanc","S9016",""))</f>
        <v/>
      </c>
      <c r="N146" s="1" t="str">
        <f>IF('Extraction edi'!S149&lt;&gt;"",'Extraction edi'!S149,IF(G146="ALU blanc","S9016",""))</f>
        <v/>
      </c>
      <c r="O146" s="11">
        <v>46055</v>
      </c>
      <c r="P146" s="1">
        <f t="shared" si="2"/>
        <v>1</v>
      </c>
    </row>
    <row r="147" spans="1:16" x14ac:dyDescent="0.25">
      <c r="A147" s="1" t="str">
        <f>IF(B147="","",CONCATENATE(B147,".",C147,"/Pos ",D147,"/",'Extraction edi'!G150))</f>
        <v/>
      </c>
      <c r="B147" s="1" t="str">
        <f>IF('Extraction edi'!A150="","",'Extraction edi'!A150)</f>
        <v/>
      </c>
      <c r="C147" s="1" t="str">
        <f>IF('Extraction edi'!B150="","",'Extraction edi'!B150)</f>
        <v/>
      </c>
      <c r="D147" s="1" t="str">
        <f>IF('Extraction edi'!H150="","",'Extraction edi'!H150)</f>
        <v/>
      </c>
      <c r="E147" s="1" t="str">
        <f>IF('Extraction edi'!I150="","",'Extraction edi'!I150)</f>
        <v/>
      </c>
      <c r="F147" t="str">
        <f>IF('Extraction edi'!K150="","",'Extraction edi'!K150)</f>
        <v/>
      </c>
      <c r="G147" t="str">
        <f>IF('Extraction edi'!L150="","",'Extraction edi'!L150)</f>
        <v/>
      </c>
      <c r="H147" t="str">
        <f>IF('Extraction edi'!M150="","",'Extraction edi'!M150)</f>
        <v/>
      </c>
      <c r="I147" s="1" t="str">
        <f>IF('Extraction edi'!N150="","",'Extraction edi'!N150)</f>
        <v/>
      </c>
      <c r="J147" s="1" t="str">
        <f>IF('Extraction edi'!O150="","",'Extraction edi'!O150)</f>
        <v/>
      </c>
      <c r="K147" s="1" t="str">
        <f>IF('Extraction edi'!P150="","",'Extraction edi'!P150)</f>
        <v/>
      </c>
      <c r="L147" s="1" t="str">
        <f>IF('Extraction edi'!Q150="laquage RAL :","OUI","")</f>
        <v/>
      </c>
      <c r="M147" s="1" t="str">
        <f>IF('Extraction edi'!R150&lt;&gt;"",'Extraction edi'!R150,IF(G147="ALU blanc","S9016",""))</f>
        <v/>
      </c>
      <c r="N147" s="1" t="str">
        <f>IF('Extraction edi'!S150&lt;&gt;"",'Extraction edi'!S150,IF(G147="ALU blanc","S9016",""))</f>
        <v/>
      </c>
      <c r="O147" s="11">
        <v>46056</v>
      </c>
      <c r="P147" s="1">
        <f t="shared" si="2"/>
        <v>2</v>
      </c>
    </row>
    <row r="148" spans="1:16" x14ac:dyDescent="0.25">
      <c r="A148" s="1" t="str">
        <f>IF(B148="","",CONCATENATE(B148,".",C148,"/Pos ",D148,"/",'Extraction edi'!G151))</f>
        <v/>
      </c>
      <c r="B148" s="1" t="str">
        <f>IF('Extraction edi'!A151="","",'Extraction edi'!A151)</f>
        <v/>
      </c>
      <c r="C148" s="1" t="str">
        <f>IF('Extraction edi'!B151="","",'Extraction edi'!B151)</f>
        <v/>
      </c>
      <c r="D148" s="1" t="str">
        <f>IF('Extraction edi'!H151="","",'Extraction edi'!H151)</f>
        <v/>
      </c>
      <c r="E148" s="1" t="str">
        <f>IF('Extraction edi'!I151="","",'Extraction edi'!I151)</f>
        <v/>
      </c>
      <c r="F148" t="str">
        <f>IF('Extraction edi'!K151="","",'Extraction edi'!K151)</f>
        <v/>
      </c>
      <c r="G148" t="str">
        <f>IF('Extraction edi'!L151="","",'Extraction edi'!L151)</f>
        <v/>
      </c>
      <c r="H148" t="str">
        <f>IF('Extraction edi'!M151="","",'Extraction edi'!M151)</f>
        <v/>
      </c>
      <c r="I148" s="1" t="str">
        <f>IF('Extraction edi'!N151="","",'Extraction edi'!N151)</f>
        <v/>
      </c>
      <c r="J148" s="1" t="str">
        <f>IF('Extraction edi'!O151="","",'Extraction edi'!O151)</f>
        <v/>
      </c>
      <c r="K148" s="1" t="str">
        <f>IF('Extraction edi'!P151="","",'Extraction edi'!P151)</f>
        <v/>
      </c>
      <c r="L148" s="1" t="str">
        <f>IF('Extraction edi'!Q151="laquage RAL :","OUI","")</f>
        <v/>
      </c>
      <c r="M148" s="1" t="str">
        <f>IF('Extraction edi'!R151&lt;&gt;"",'Extraction edi'!R151,IF(G148="ALU blanc","S9016",""))</f>
        <v/>
      </c>
      <c r="N148" s="1" t="str">
        <f>IF('Extraction edi'!S151&lt;&gt;"",'Extraction edi'!S151,IF(G148="ALU blanc","S9016",""))</f>
        <v/>
      </c>
      <c r="O148" s="11">
        <v>46057</v>
      </c>
      <c r="P148" s="1">
        <f t="shared" si="2"/>
        <v>3</v>
      </c>
    </row>
    <row r="149" spans="1:16" x14ac:dyDescent="0.25">
      <c r="A149" s="1" t="str">
        <f>IF(B149="","",CONCATENATE(B149,".",C149,"/Pos ",D149,"/",'Extraction edi'!G152))</f>
        <v/>
      </c>
      <c r="B149" s="1" t="str">
        <f>IF('Extraction edi'!A152="","",'Extraction edi'!A152)</f>
        <v/>
      </c>
      <c r="C149" s="1" t="str">
        <f>IF('Extraction edi'!B152="","",'Extraction edi'!B152)</f>
        <v/>
      </c>
      <c r="D149" s="1" t="str">
        <f>IF('Extraction edi'!H152="","",'Extraction edi'!H152)</f>
        <v/>
      </c>
      <c r="E149" s="1" t="str">
        <f>IF('Extraction edi'!I152="","",'Extraction edi'!I152)</f>
        <v/>
      </c>
      <c r="F149" t="str">
        <f>IF('Extraction edi'!K152="","",'Extraction edi'!K152)</f>
        <v/>
      </c>
      <c r="G149" t="str">
        <f>IF('Extraction edi'!L152="","",'Extraction edi'!L152)</f>
        <v/>
      </c>
      <c r="H149" t="str">
        <f>IF('Extraction edi'!M152="","",'Extraction edi'!M152)</f>
        <v/>
      </c>
      <c r="I149" s="1" t="str">
        <f>IF('Extraction edi'!N152="","",'Extraction edi'!N152)</f>
        <v/>
      </c>
      <c r="J149" s="1" t="str">
        <f>IF('Extraction edi'!O152="","",'Extraction edi'!O152)</f>
        <v/>
      </c>
      <c r="K149" s="1" t="str">
        <f>IF('Extraction edi'!P152="","",'Extraction edi'!P152)</f>
        <v/>
      </c>
      <c r="L149" s="1" t="str">
        <f>IF('Extraction edi'!Q152="laquage RAL :","OUI","")</f>
        <v/>
      </c>
      <c r="M149" s="1" t="str">
        <f>IF('Extraction edi'!R152&lt;&gt;"",'Extraction edi'!R152,IF(G149="ALU blanc","S9016",""))</f>
        <v/>
      </c>
      <c r="N149" s="1" t="str">
        <f>IF('Extraction edi'!S152&lt;&gt;"",'Extraction edi'!S152,IF(G149="ALU blanc","S9016",""))</f>
        <v/>
      </c>
      <c r="O149" s="11">
        <v>46058</v>
      </c>
      <c r="P149" s="1">
        <f t="shared" si="2"/>
        <v>4</v>
      </c>
    </row>
    <row r="150" spans="1:16" x14ac:dyDescent="0.25">
      <c r="A150" s="1" t="str">
        <f>IF(B150="","",CONCATENATE(B150,".",C150,"/Pos ",D150,"/",'Extraction edi'!G153))</f>
        <v/>
      </c>
      <c r="B150" s="1" t="str">
        <f>IF('Extraction edi'!A153="","",'Extraction edi'!A153)</f>
        <v/>
      </c>
      <c r="C150" s="1" t="str">
        <f>IF('Extraction edi'!B153="","",'Extraction edi'!B153)</f>
        <v/>
      </c>
      <c r="D150" s="1" t="str">
        <f>IF('Extraction edi'!H153="","",'Extraction edi'!H153)</f>
        <v/>
      </c>
      <c r="E150" s="1" t="str">
        <f>IF('Extraction edi'!I153="","",'Extraction edi'!I153)</f>
        <v/>
      </c>
      <c r="F150" t="str">
        <f>IF('Extraction edi'!K153="","",'Extraction edi'!K153)</f>
        <v/>
      </c>
      <c r="G150" t="str">
        <f>IF('Extraction edi'!L153="","",'Extraction edi'!L153)</f>
        <v/>
      </c>
      <c r="H150" t="str">
        <f>IF('Extraction edi'!M153="","",'Extraction edi'!M153)</f>
        <v/>
      </c>
      <c r="I150" s="1" t="str">
        <f>IF('Extraction edi'!N153="","",'Extraction edi'!N153)</f>
        <v/>
      </c>
      <c r="J150" s="1" t="str">
        <f>IF('Extraction edi'!O153="","",'Extraction edi'!O153)</f>
        <v/>
      </c>
      <c r="K150" s="1" t="str">
        <f>IF('Extraction edi'!P153="","",'Extraction edi'!P153)</f>
        <v/>
      </c>
      <c r="L150" s="1" t="str">
        <f>IF('Extraction edi'!Q153="laquage RAL :","OUI","")</f>
        <v/>
      </c>
      <c r="M150" s="1" t="str">
        <f>IF('Extraction edi'!R153&lt;&gt;"",'Extraction edi'!R153,IF(G150="ALU blanc","S9016",""))</f>
        <v/>
      </c>
      <c r="N150" s="1" t="str">
        <f>IF('Extraction edi'!S153&lt;&gt;"",'Extraction edi'!S153,IF(G150="ALU blanc","S9016",""))</f>
        <v/>
      </c>
      <c r="O150" s="11">
        <v>46059</v>
      </c>
      <c r="P150" s="1">
        <f t="shared" si="2"/>
        <v>5</v>
      </c>
    </row>
    <row r="151" spans="1:16" x14ac:dyDescent="0.25">
      <c r="A151" s="1" t="str">
        <f>IF(B151="","",CONCATENATE(B151,".",C151,"/Pos ",D151,"/",'Extraction edi'!G154))</f>
        <v/>
      </c>
      <c r="B151" s="1" t="str">
        <f>IF('Extraction edi'!A154="","",'Extraction edi'!A154)</f>
        <v/>
      </c>
      <c r="C151" s="1" t="str">
        <f>IF('Extraction edi'!B154="","",'Extraction edi'!B154)</f>
        <v/>
      </c>
      <c r="D151" s="1" t="str">
        <f>IF('Extraction edi'!H154="","",'Extraction edi'!H154)</f>
        <v/>
      </c>
      <c r="E151" s="1" t="str">
        <f>IF('Extraction edi'!I154="","",'Extraction edi'!I154)</f>
        <v/>
      </c>
      <c r="F151" t="str">
        <f>IF('Extraction edi'!K154="","",'Extraction edi'!K154)</f>
        <v/>
      </c>
      <c r="G151" t="str">
        <f>IF('Extraction edi'!L154="","",'Extraction edi'!L154)</f>
        <v/>
      </c>
      <c r="H151" t="str">
        <f>IF('Extraction edi'!M154="","",'Extraction edi'!M154)</f>
        <v/>
      </c>
      <c r="I151" s="1" t="str">
        <f>IF('Extraction edi'!N154="","",'Extraction edi'!N154)</f>
        <v/>
      </c>
      <c r="J151" s="1" t="str">
        <f>IF('Extraction edi'!O154="","",'Extraction edi'!O154)</f>
        <v/>
      </c>
      <c r="K151" s="1" t="str">
        <f>IF('Extraction edi'!P154="","",'Extraction edi'!P154)</f>
        <v/>
      </c>
      <c r="L151" s="1" t="str">
        <f>IF('Extraction edi'!Q154="laquage RAL :","OUI","")</f>
        <v/>
      </c>
      <c r="M151" s="1" t="str">
        <f>IF('Extraction edi'!R154&lt;&gt;"",'Extraction edi'!R154,IF(G151="ALU blanc","S9016",""))</f>
        <v/>
      </c>
      <c r="N151" s="1" t="str">
        <f>IF('Extraction edi'!S154&lt;&gt;"",'Extraction edi'!S154,IF(G151="ALU blanc","S9016",""))</f>
        <v/>
      </c>
      <c r="O151" s="11">
        <v>46060</v>
      </c>
      <c r="P151" s="1">
        <f t="shared" si="2"/>
        <v>6</v>
      </c>
    </row>
    <row r="152" spans="1:16" x14ac:dyDescent="0.25">
      <c r="A152" s="1" t="str">
        <f>IF(B152="","",CONCATENATE(B152,".",C152,"/Pos ",D152,"/",'Extraction edi'!G155))</f>
        <v/>
      </c>
      <c r="B152" s="1" t="str">
        <f>IF('Extraction edi'!A155="","",'Extraction edi'!A155)</f>
        <v/>
      </c>
      <c r="C152" s="1" t="str">
        <f>IF('Extraction edi'!B155="","",'Extraction edi'!B155)</f>
        <v/>
      </c>
      <c r="D152" s="1" t="str">
        <f>IF('Extraction edi'!H155="","",'Extraction edi'!H155)</f>
        <v/>
      </c>
      <c r="E152" s="1" t="str">
        <f>IF('Extraction edi'!I155="","",'Extraction edi'!I155)</f>
        <v/>
      </c>
      <c r="F152" t="str">
        <f>IF('Extraction edi'!K155="","",'Extraction edi'!K155)</f>
        <v/>
      </c>
      <c r="G152" t="str">
        <f>IF('Extraction edi'!L155="","",'Extraction edi'!L155)</f>
        <v/>
      </c>
      <c r="H152" t="str">
        <f>IF('Extraction edi'!M155="","",'Extraction edi'!M155)</f>
        <v/>
      </c>
      <c r="I152" s="1" t="str">
        <f>IF('Extraction edi'!N155="","",'Extraction edi'!N155)</f>
        <v/>
      </c>
      <c r="J152" s="1" t="str">
        <f>IF('Extraction edi'!O155="","",'Extraction edi'!O155)</f>
        <v/>
      </c>
      <c r="K152" s="1" t="str">
        <f>IF('Extraction edi'!P155="","",'Extraction edi'!P155)</f>
        <v/>
      </c>
      <c r="L152" s="1" t="str">
        <f>IF('Extraction edi'!Q155="laquage RAL :","OUI","")</f>
        <v/>
      </c>
      <c r="M152" s="1" t="str">
        <f>IF('Extraction edi'!R155&lt;&gt;"",'Extraction edi'!R155,IF(G152="ALU blanc","S9016",""))</f>
        <v/>
      </c>
      <c r="N152" s="1" t="str">
        <f>IF('Extraction edi'!S155&lt;&gt;"",'Extraction edi'!S155,IF(G152="ALU blanc","S9016",""))</f>
        <v/>
      </c>
      <c r="O152" s="11">
        <v>46061</v>
      </c>
      <c r="P152" s="1">
        <f t="shared" si="2"/>
        <v>7</v>
      </c>
    </row>
    <row r="153" spans="1:16" x14ac:dyDescent="0.25">
      <c r="A153" s="1" t="str">
        <f>IF(B153="","",CONCATENATE(B153,".",C153,"/Pos ",D153,"/",'Extraction edi'!G156))</f>
        <v/>
      </c>
      <c r="B153" s="1" t="str">
        <f>IF('Extraction edi'!A156="","",'Extraction edi'!A156)</f>
        <v/>
      </c>
      <c r="C153" s="1" t="str">
        <f>IF('Extraction edi'!B156="","",'Extraction edi'!B156)</f>
        <v/>
      </c>
      <c r="D153" s="1" t="str">
        <f>IF('Extraction edi'!H156="","",'Extraction edi'!H156)</f>
        <v/>
      </c>
      <c r="E153" s="1" t="str">
        <f>IF('Extraction edi'!I156="","",'Extraction edi'!I156)</f>
        <v/>
      </c>
      <c r="F153" t="str">
        <f>IF('Extraction edi'!K156="","",'Extraction edi'!K156)</f>
        <v/>
      </c>
      <c r="G153" t="str">
        <f>IF('Extraction edi'!L156="","",'Extraction edi'!L156)</f>
        <v/>
      </c>
      <c r="H153" t="str">
        <f>IF('Extraction edi'!M156="","",'Extraction edi'!M156)</f>
        <v/>
      </c>
      <c r="I153" s="1" t="str">
        <f>IF('Extraction edi'!N156="","",'Extraction edi'!N156)</f>
        <v/>
      </c>
      <c r="J153" s="1" t="str">
        <f>IF('Extraction edi'!O156="","",'Extraction edi'!O156)</f>
        <v/>
      </c>
      <c r="K153" s="1" t="str">
        <f>IF('Extraction edi'!P156="","",'Extraction edi'!P156)</f>
        <v/>
      </c>
      <c r="L153" s="1" t="str">
        <f>IF('Extraction edi'!Q156="laquage RAL :","OUI","")</f>
        <v/>
      </c>
      <c r="M153" s="1" t="str">
        <f>IF('Extraction edi'!R156&lt;&gt;"",'Extraction edi'!R156,IF(G153="ALU blanc","S9016",""))</f>
        <v/>
      </c>
      <c r="N153" s="1" t="str">
        <f>IF('Extraction edi'!S156&lt;&gt;"",'Extraction edi'!S156,IF(G153="ALU blanc","S9016",""))</f>
        <v/>
      </c>
      <c r="O153" s="11">
        <v>46062</v>
      </c>
      <c r="P153" s="1">
        <f t="shared" si="2"/>
        <v>1</v>
      </c>
    </row>
    <row r="154" spans="1:16" x14ac:dyDescent="0.25">
      <c r="A154" s="1" t="str">
        <f>IF(B154="","",CONCATENATE(B154,".",C154,"/Pos ",D154,"/",'Extraction edi'!G157))</f>
        <v/>
      </c>
      <c r="B154" s="1" t="str">
        <f>IF('Extraction edi'!A157="","",'Extraction edi'!A157)</f>
        <v/>
      </c>
      <c r="C154" s="1" t="str">
        <f>IF('Extraction edi'!B157="","",'Extraction edi'!B157)</f>
        <v/>
      </c>
      <c r="D154" s="1" t="str">
        <f>IF('Extraction edi'!H157="","",'Extraction edi'!H157)</f>
        <v/>
      </c>
      <c r="E154" s="1" t="str">
        <f>IF('Extraction edi'!I157="","",'Extraction edi'!I157)</f>
        <v/>
      </c>
      <c r="F154" t="str">
        <f>IF('Extraction edi'!K157="","",'Extraction edi'!K157)</f>
        <v/>
      </c>
      <c r="G154" t="str">
        <f>IF('Extraction edi'!L157="","",'Extraction edi'!L157)</f>
        <v/>
      </c>
      <c r="H154" t="str">
        <f>IF('Extraction edi'!M157="","",'Extraction edi'!M157)</f>
        <v/>
      </c>
      <c r="I154" s="1" t="str">
        <f>IF('Extraction edi'!N157="","",'Extraction edi'!N157)</f>
        <v/>
      </c>
      <c r="J154" s="1" t="str">
        <f>IF('Extraction edi'!O157="","",'Extraction edi'!O157)</f>
        <v/>
      </c>
      <c r="K154" s="1" t="str">
        <f>IF('Extraction edi'!P157="","",'Extraction edi'!P157)</f>
        <v/>
      </c>
      <c r="L154" s="1" t="str">
        <f>IF('Extraction edi'!Q157="laquage RAL :","OUI","")</f>
        <v/>
      </c>
      <c r="M154" s="1" t="str">
        <f>IF('Extraction edi'!R157&lt;&gt;"",'Extraction edi'!R157,IF(G154="ALU blanc","S9016",""))</f>
        <v/>
      </c>
      <c r="N154" s="1" t="str">
        <f>IF('Extraction edi'!S157&lt;&gt;"",'Extraction edi'!S157,IF(G154="ALU blanc","S9016",""))</f>
        <v/>
      </c>
      <c r="O154" s="11">
        <v>46063</v>
      </c>
      <c r="P154" s="1">
        <f t="shared" si="2"/>
        <v>2</v>
      </c>
    </row>
    <row r="155" spans="1:16" x14ac:dyDescent="0.25">
      <c r="A155" s="1" t="str">
        <f>IF(B155="","",CONCATENATE(B155,".",C155,"/Pos ",D155,"/",'Extraction edi'!G158))</f>
        <v/>
      </c>
      <c r="B155" s="1" t="str">
        <f>IF('Extraction edi'!A158="","",'Extraction edi'!A158)</f>
        <v/>
      </c>
      <c r="C155" s="1" t="str">
        <f>IF('Extraction edi'!B158="","",'Extraction edi'!B158)</f>
        <v/>
      </c>
      <c r="D155" s="1" t="str">
        <f>IF('Extraction edi'!H158="","",'Extraction edi'!H158)</f>
        <v/>
      </c>
      <c r="E155" s="1" t="str">
        <f>IF('Extraction edi'!I158="","",'Extraction edi'!I158)</f>
        <v/>
      </c>
      <c r="F155" t="str">
        <f>IF('Extraction edi'!K158="","",'Extraction edi'!K158)</f>
        <v/>
      </c>
      <c r="G155" t="str">
        <f>IF('Extraction edi'!L158="","",'Extraction edi'!L158)</f>
        <v/>
      </c>
      <c r="H155" t="str">
        <f>IF('Extraction edi'!M158="","",'Extraction edi'!M158)</f>
        <v/>
      </c>
      <c r="I155" s="1" t="str">
        <f>IF('Extraction edi'!N158="","",'Extraction edi'!N158)</f>
        <v/>
      </c>
      <c r="J155" s="1" t="str">
        <f>IF('Extraction edi'!O158="","",'Extraction edi'!O158)</f>
        <v/>
      </c>
      <c r="K155" s="1" t="str">
        <f>IF('Extraction edi'!P158="","",'Extraction edi'!P158)</f>
        <v/>
      </c>
      <c r="L155" s="1" t="str">
        <f>IF('Extraction edi'!Q158="laquage RAL :","OUI","")</f>
        <v/>
      </c>
      <c r="M155" s="1" t="str">
        <f>IF('Extraction edi'!R158&lt;&gt;"",'Extraction edi'!R158,IF(G155="ALU blanc","S9016",""))</f>
        <v/>
      </c>
      <c r="N155" s="1" t="str">
        <f>IF('Extraction edi'!S158&lt;&gt;"",'Extraction edi'!S158,IF(G155="ALU blanc","S9016",""))</f>
        <v/>
      </c>
      <c r="O155" s="11">
        <v>46064</v>
      </c>
      <c r="P155" s="1">
        <f t="shared" si="2"/>
        <v>3</v>
      </c>
    </row>
    <row r="156" spans="1:16" x14ac:dyDescent="0.25">
      <c r="A156" s="1" t="str">
        <f>IF(B156="","",CONCATENATE(B156,".",C156,"/Pos ",D156,"/",'Extraction edi'!G159))</f>
        <v/>
      </c>
      <c r="B156" s="1" t="str">
        <f>IF('Extraction edi'!A159="","",'Extraction edi'!A159)</f>
        <v/>
      </c>
      <c r="C156" s="1" t="str">
        <f>IF('Extraction edi'!B159="","",'Extraction edi'!B159)</f>
        <v/>
      </c>
      <c r="D156" s="1" t="str">
        <f>IF('Extraction edi'!H159="","",'Extraction edi'!H159)</f>
        <v/>
      </c>
      <c r="E156" s="1" t="str">
        <f>IF('Extraction edi'!I159="","",'Extraction edi'!I159)</f>
        <v/>
      </c>
      <c r="F156" t="str">
        <f>IF('Extraction edi'!K159="","",'Extraction edi'!K159)</f>
        <v/>
      </c>
      <c r="G156" t="str">
        <f>IF('Extraction edi'!L159="","",'Extraction edi'!L159)</f>
        <v/>
      </c>
      <c r="H156" t="str">
        <f>IF('Extraction edi'!M159="","",'Extraction edi'!M159)</f>
        <v/>
      </c>
      <c r="I156" s="1" t="str">
        <f>IF('Extraction edi'!N159="","",'Extraction edi'!N159)</f>
        <v/>
      </c>
      <c r="J156" s="1" t="str">
        <f>IF('Extraction edi'!O159="","",'Extraction edi'!O159)</f>
        <v/>
      </c>
      <c r="K156" s="1" t="str">
        <f>IF('Extraction edi'!P159="","",'Extraction edi'!P159)</f>
        <v/>
      </c>
      <c r="L156" s="1" t="str">
        <f>IF('Extraction edi'!Q159="laquage RAL :","OUI","")</f>
        <v/>
      </c>
      <c r="M156" s="1" t="str">
        <f>IF('Extraction edi'!R159&lt;&gt;"",'Extraction edi'!R159,IF(G156="ALU blanc","S9016",""))</f>
        <v/>
      </c>
      <c r="N156" s="1" t="str">
        <f>IF('Extraction edi'!S159&lt;&gt;"",'Extraction edi'!S159,IF(G156="ALU blanc","S9016",""))</f>
        <v/>
      </c>
      <c r="O156" s="11">
        <v>46065</v>
      </c>
      <c r="P156" s="1">
        <f t="shared" si="2"/>
        <v>4</v>
      </c>
    </row>
    <row r="157" spans="1:16" x14ac:dyDescent="0.25">
      <c r="A157" s="1" t="str">
        <f>IF(B157="","",CONCATENATE(B157,".",C157,"/Pos ",D157,"/",'Extraction edi'!G160))</f>
        <v/>
      </c>
      <c r="B157" s="1" t="str">
        <f>IF('Extraction edi'!A160="","",'Extraction edi'!A160)</f>
        <v/>
      </c>
      <c r="C157" s="1" t="str">
        <f>IF('Extraction edi'!B160="","",'Extraction edi'!B160)</f>
        <v/>
      </c>
      <c r="D157" s="1" t="str">
        <f>IF('Extraction edi'!H160="","",'Extraction edi'!H160)</f>
        <v/>
      </c>
      <c r="E157" s="1" t="str">
        <f>IF('Extraction edi'!I160="","",'Extraction edi'!I160)</f>
        <v/>
      </c>
      <c r="F157" t="str">
        <f>IF('Extraction edi'!K160="","",'Extraction edi'!K160)</f>
        <v/>
      </c>
      <c r="G157" t="str">
        <f>IF('Extraction edi'!L160="","",'Extraction edi'!L160)</f>
        <v/>
      </c>
      <c r="H157" t="str">
        <f>IF('Extraction edi'!M160="","",'Extraction edi'!M160)</f>
        <v/>
      </c>
      <c r="I157" s="1" t="str">
        <f>IF('Extraction edi'!N160="","",'Extraction edi'!N160)</f>
        <v/>
      </c>
      <c r="J157" s="1" t="str">
        <f>IF('Extraction edi'!O160="","",'Extraction edi'!O160)</f>
        <v/>
      </c>
      <c r="K157" s="1" t="str">
        <f>IF('Extraction edi'!P160="","",'Extraction edi'!P160)</f>
        <v/>
      </c>
      <c r="L157" s="1" t="str">
        <f>IF('Extraction edi'!Q160="laquage RAL :","OUI","")</f>
        <v/>
      </c>
      <c r="M157" s="1" t="str">
        <f>IF('Extraction edi'!R160&lt;&gt;"",'Extraction edi'!R160,IF(G157="ALU blanc","S9016",""))</f>
        <v/>
      </c>
      <c r="N157" s="1" t="str">
        <f>IF('Extraction edi'!S160&lt;&gt;"",'Extraction edi'!S160,IF(G157="ALU blanc","S9016",""))</f>
        <v/>
      </c>
      <c r="O157" s="11">
        <v>46066</v>
      </c>
      <c r="P157" s="1">
        <f t="shared" si="2"/>
        <v>5</v>
      </c>
    </row>
    <row r="158" spans="1:16" x14ac:dyDescent="0.25">
      <c r="A158" s="1" t="str">
        <f>IF(B158="","",CONCATENATE(B158,".",C158,"/Pos ",D158,"/",'Extraction edi'!G161))</f>
        <v/>
      </c>
      <c r="B158" s="1" t="str">
        <f>IF('Extraction edi'!A161="","",'Extraction edi'!A161)</f>
        <v/>
      </c>
      <c r="C158" s="1" t="str">
        <f>IF('Extraction edi'!B161="","",'Extraction edi'!B161)</f>
        <v/>
      </c>
      <c r="D158" s="1" t="str">
        <f>IF('Extraction edi'!H161="","",'Extraction edi'!H161)</f>
        <v/>
      </c>
      <c r="E158" s="1" t="str">
        <f>IF('Extraction edi'!I161="","",'Extraction edi'!I161)</f>
        <v/>
      </c>
      <c r="F158" t="str">
        <f>IF('Extraction edi'!K161="","",'Extraction edi'!K161)</f>
        <v/>
      </c>
      <c r="G158" t="str">
        <f>IF('Extraction edi'!L161="","",'Extraction edi'!L161)</f>
        <v/>
      </c>
      <c r="H158" t="str">
        <f>IF('Extraction edi'!M161="","",'Extraction edi'!M161)</f>
        <v/>
      </c>
      <c r="I158" s="1" t="str">
        <f>IF('Extraction edi'!N161="","",'Extraction edi'!N161)</f>
        <v/>
      </c>
      <c r="J158" s="1" t="str">
        <f>IF('Extraction edi'!O161="","",'Extraction edi'!O161)</f>
        <v/>
      </c>
      <c r="K158" s="1" t="str">
        <f>IF('Extraction edi'!P161="","",'Extraction edi'!P161)</f>
        <v/>
      </c>
      <c r="L158" s="1" t="str">
        <f>IF('Extraction edi'!Q161="laquage RAL :","OUI","")</f>
        <v/>
      </c>
      <c r="M158" s="1" t="str">
        <f>IF('Extraction edi'!R161&lt;&gt;"",'Extraction edi'!R161,IF(G158="ALU blanc","S9016",""))</f>
        <v/>
      </c>
      <c r="N158" s="1" t="str">
        <f>IF('Extraction edi'!S161&lt;&gt;"",'Extraction edi'!S161,IF(G158="ALU blanc","S9016",""))</f>
        <v/>
      </c>
      <c r="O158" s="11">
        <v>46067</v>
      </c>
      <c r="P158" s="1">
        <f t="shared" si="2"/>
        <v>6</v>
      </c>
    </row>
    <row r="159" spans="1:16" x14ac:dyDescent="0.25">
      <c r="A159" s="1" t="str">
        <f>IF(B159="","",CONCATENATE(B159,".",C159,"/Pos ",D159,"/",'Extraction edi'!G162))</f>
        <v/>
      </c>
      <c r="B159" s="1" t="str">
        <f>IF('Extraction edi'!A162="","",'Extraction edi'!A162)</f>
        <v/>
      </c>
      <c r="C159" s="1" t="str">
        <f>IF('Extraction edi'!B162="","",'Extraction edi'!B162)</f>
        <v/>
      </c>
      <c r="D159" s="1" t="str">
        <f>IF('Extraction edi'!H162="","",'Extraction edi'!H162)</f>
        <v/>
      </c>
      <c r="E159" s="1" t="str">
        <f>IF('Extraction edi'!I162="","",'Extraction edi'!I162)</f>
        <v/>
      </c>
      <c r="F159" t="str">
        <f>IF('Extraction edi'!K162="","",'Extraction edi'!K162)</f>
        <v/>
      </c>
      <c r="G159" t="str">
        <f>IF('Extraction edi'!L162="","",'Extraction edi'!L162)</f>
        <v/>
      </c>
      <c r="H159" t="str">
        <f>IF('Extraction edi'!M162="","",'Extraction edi'!M162)</f>
        <v/>
      </c>
      <c r="I159" s="1" t="str">
        <f>IF('Extraction edi'!N162="","",'Extraction edi'!N162)</f>
        <v/>
      </c>
      <c r="J159" s="1" t="str">
        <f>IF('Extraction edi'!O162="","",'Extraction edi'!O162)</f>
        <v/>
      </c>
      <c r="K159" s="1" t="str">
        <f>IF('Extraction edi'!P162="","",'Extraction edi'!P162)</f>
        <v/>
      </c>
      <c r="L159" s="1" t="str">
        <f>IF('Extraction edi'!Q162="laquage RAL :","OUI","")</f>
        <v/>
      </c>
      <c r="M159" s="1" t="str">
        <f>IF('Extraction edi'!R162&lt;&gt;"",'Extraction edi'!R162,IF(G159="ALU blanc","S9016",""))</f>
        <v/>
      </c>
      <c r="N159" s="1" t="str">
        <f>IF('Extraction edi'!S162&lt;&gt;"",'Extraction edi'!S162,IF(G159="ALU blanc","S9016",""))</f>
        <v/>
      </c>
      <c r="O159" s="11">
        <v>46068</v>
      </c>
      <c r="P159" s="1">
        <f t="shared" si="2"/>
        <v>7</v>
      </c>
    </row>
    <row r="160" spans="1:16" x14ac:dyDescent="0.25">
      <c r="A160" s="1" t="str">
        <f>IF(B160="","",CONCATENATE(B160,".",C160,"/Pos ",D160,"/",'Extraction edi'!G163))</f>
        <v/>
      </c>
      <c r="B160" s="1" t="str">
        <f>IF('Extraction edi'!A163="","",'Extraction edi'!A163)</f>
        <v/>
      </c>
      <c r="C160" s="1" t="str">
        <f>IF('Extraction edi'!B163="","",'Extraction edi'!B163)</f>
        <v/>
      </c>
      <c r="D160" s="1" t="str">
        <f>IF('Extraction edi'!H163="","",'Extraction edi'!H163)</f>
        <v/>
      </c>
      <c r="E160" s="1" t="str">
        <f>IF('Extraction edi'!I163="","",'Extraction edi'!I163)</f>
        <v/>
      </c>
      <c r="F160" t="str">
        <f>IF('Extraction edi'!K163="","",'Extraction edi'!K163)</f>
        <v/>
      </c>
      <c r="G160" t="str">
        <f>IF('Extraction edi'!L163="","",'Extraction edi'!L163)</f>
        <v/>
      </c>
      <c r="H160" t="str">
        <f>IF('Extraction edi'!M163="","",'Extraction edi'!M163)</f>
        <v/>
      </c>
      <c r="I160" s="1" t="str">
        <f>IF('Extraction edi'!N163="","",'Extraction edi'!N163)</f>
        <v/>
      </c>
      <c r="J160" s="1" t="str">
        <f>IF('Extraction edi'!O163="","",'Extraction edi'!O163)</f>
        <v/>
      </c>
      <c r="K160" s="1" t="str">
        <f>IF('Extraction edi'!P163="","",'Extraction edi'!P163)</f>
        <v/>
      </c>
      <c r="L160" s="1" t="str">
        <f>IF('Extraction edi'!Q163="laquage RAL :","OUI","")</f>
        <v/>
      </c>
      <c r="M160" s="1" t="str">
        <f>IF('Extraction edi'!R163&lt;&gt;"",'Extraction edi'!R163,IF(G160="ALU blanc","S9016",""))</f>
        <v/>
      </c>
      <c r="N160" s="1" t="str">
        <f>IF('Extraction edi'!S163&lt;&gt;"",'Extraction edi'!S163,IF(G160="ALU blanc","S9016",""))</f>
        <v/>
      </c>
      <c r="O160" s="11">
        <v>46069</v>
      </c>
      <c r="P160" s="1">
        <f t="shared" si="2"/>
        <v>1</v>
      </c>
    </row>
    <row r="161" spans="1:16" x14ac:dyDescent="0.25">
      <c r="A161" s="1" t="str">
        <f>IF(B161="","",CONCATENATE(B161,".",C161,"/Pos ",D161,"/",'Extraction edi'!G164))</f>
        <v/>
      </c>
      <c r="B161" s="1" t="str">
        <f>IF('Extraction edi'!A164="","",'Extraction edi'!A164)</f>
        <v/>
      </c>
      <c r="C161" s="1" t="str">
        <f>IF('Extraction edi'!B164="","",'Extraction edi'!B164)</f>
        <v/>
      </c>
      <c r="D161" s="1" t="str">
        <f>IF('Extraction edi'!H164="","",'Extraction edi'!H164)</f>
        <v/>
      </c>
      <c r="E161" s="1" t="str">
        <f>IF('Extraction edi'!I164="","",'Extraction edi'!I164)</f>
        <v/>
      </c>
      <c r="F161" t="str">
        <f>IF('Extraction edi'!K164="","",'Extraction edi'!K164)</f>
        <v/>
      </c>
      <c r="G161" t="str">
        <f>IF('Extraction edi'!L164="","",'Extraction edi'!L164)</f>
        <v/>
      </c>
      <c r="H161" t="str">
        <f>IF('Extraction edi'!M164="","",'Extraction edi'!M164)</f>
        <v/>
      </c>
      <c r="I161" s="1" t="str">
        <f>IF('Extraction edi'!N164="","",'Extraction edi'!N164)</f>
        <v/>
      </c>
      <c r="J161" s="1" t="str">
        <f>IF('Extraction edi'!O164="","",'Extraction edi'!O164)</f>
        <v/>
      </c>
      <c r="K161" s="1" t="str">
        <f>IF('Extraction edi'!P164="","",'Extraction edi'!P164)</f>
        <v/>
      </c>
      <c r="L161" s="1" t="str">
        <f>IF('Extraction edi'!Q164="laquage RAL :","OUI","")</f>
        <v/>
      </c>
      <c r="M161" s="1" t="str">
        <f>IF('Extraction edi'!R164&lt;&gt;"",'Extraction edi'!R164,IF(G161="ALU blanc","S9016",""))</f>
        <v/>
      </c>
      <c r="N161" s="1" t="str">
        <f>IF('Extraction edi'!S164&lt;&gt;"",'Extraction edi'!S164,IF(G161="ALU blanc","S9016",""))</f>
        <v/>
      </c>
      <c r="O161" s="11">
        <v>46070</v>
      </c>
      <c r="P161" s="1">
        <f t="shared" si="2"/>
        <v>2</v>
      </c>
    </row>
    <row r="162" spans="1:16" x14ac:dyDescent="0.25">
      <c r="A162" s="1" t="str">
        <f>IF(B162="","",CONCATENATE(B162,".",C162,"/Pos ",D162,"/",'Extraction edi'!G165))</f>
        <v/>
      </c>
      <c r="B162" s="1" t="str">
        <f>IF('Extraction edi'!A165="","",'Extraction edi'!A165)</f>
        <v/>
      </c>
      <c r="C162" s="1" t="str">
        <f>IF('Extraction edi'!B165="","",'Extraction edi'!B165)</f>
        <v/>
      </c>
      <c r="D162" s="1" t="str">
        <f>IF('Extraction edi'!H165="","",'Extraction edi'!H165)</f>
        <v/>
      </c>
      <c r="E162" s="1" t="str">
        <f>IF('Extraction edi'!I165="","",'Extraction edi'!I165)</f>
        <v/>
      </c>
      <c r="F162" t="str">
        <f>IF('Extraction edi'!K165="","",'Extraction edi'!K165)</f>
        <v/>
      </c>
      <c r="G162" t="str">
        <f>IF('Extraction edi'!L165="","",'Extraction edi'!L165)</f>
        <v/>
      </c>
      <c r="H162" t="str">
        <f>IF('Extraction edi'!M165="","",'Extraction edi'!M165)</f>
        <v/>
      </c>
      <c r="I162" s="1" t="str">
        <f>IF('Extraction edi'!N165="","",'Extraction edi'!N165)</f>
        <v/>
      </c>
      <c r="J162" s="1" t="str">
        <f>IF('Extraction edi'!O165="","",'Extraction edi'!O165)</f>
        <v/>
      </c>
      <c r="K162" s="1" t="str">
        <f>IF('Extraction edi'!P165="","",'Extraction edi'!P165)</f>
        <v/>
      </c>
      <c r="L162" s="1" t="str">
        <f>IF('Extraction edi'!Q165="laquage RAL :","OUI","")</f>
        <v/>
      </c>
      <c r="M162" s="1" t="str">
        <f>IF('Extraction edi'!R165&lt;&gt;"",'Extraction edi'!R165,IF(G162="ALU blanc","S9016",""))</f>
        <v/>
      </c>
      <c r="N162" s="1" t="str">
        <f>IF('Extraction edi'!S165&lt;&gt;"",'Extraction edi'!S165,IF(G162="ALU blanc","S9016",""))</f>
        <v/>
      </c>
      <c r="O162" s="11">
        <v>46071</v>
      </c>
      <c r="P162" s="1">
        <f t="shared" si="2"/>
        <v>3</v>
      </c>
    </row>
    <row r="163" spans="1:16" x14ac:dyDescent="0.25">
      <c r="A163" s="1" t="str">
        <f>IF(B163="","",CONCATENATE(B163,".",C163,"/Pos ",D163,"/",'Extraction edi'!G166))</f>
        <v/>
      </c>
      <c r="B163" s="1" t="str">
        <f>IF('Extraction edi'!A166="","",'Extraction edi'!A166)</f>
        <v/>
      </c>
      <c r="C163" s="1" t="str">
        <f>IF('Extraction edi'!B166="","",'Extraction edi'!B166)</f>
        <v/>
      </c>
      <c r="D163" s="1" t="str">
        <f>IF('Extraction edi'!H166="","",'Extraction edi'!H166)</f>
        <v/>
      </c>
      <c r="E163" s="1" t="str">
        <f>IF('Extraction edi'!I166="","",'Extraction edi'!I166)</f>
        <v/>
      </c>
      <c r="F163" t="str">
        <f>IF('Extraction edi'!K166="","",'Extraction edi'!K166)</f>
        <v/>
      </c>
      <c r="G163" t="str">
        <f>IF('Extraction edi'!L166="","",'Extraction edi'!L166)</f>
        <v/>
      </c>
      <c r="H163" t="str">
        <f>IF('Extraction edi'!M166="","",'Extraction edi'!M166)</f>
        <v/>
      </c>
      <c r="I163" s="1" t="str">
        <f>IF('Extraction edi'!N166="","",'Extraction edi'!N166)</f>
        <v/>
      </c>
      <c r="J163" s="1" t="str">
        <f>IF('Extraction edi'!O166="","",'Extraction edi'!O166)</f>
        <v/>
      </c>
      <c r="K163" s="1" t="str">
        <f>IF('Extraction edi'!P166="","",'Extraction edi'!P166)</f>
        <v/>
      </c>
      <c r="L163" s="1" t="str">
        <f>IF('Extraction edi'!Q166="laquage RAL :","OUI","")</f>
        <v/>
      </c>
      <c r="M163" s="1" t="str">
        <f>IF('Extraction edi'!R166&lt;&gt;"",'Extraction edi'!R166,IF(G163="ALU blanc","S9016",""))</f>
        <v/>
      </c>
      <c r="N163" s="1" t="str">
        <f>IF('Extraction edi'!S166&lt;&gt;"",'Extraction edi'!S166,IF(G163="ALU blanc","S9016",""))</f>
        <v/>
      </c>
      <c r="O163" s="11">
        <v>46072</v>
      </c>
      <c r="P163" s="1">
        <f t="shared" si="2"/>
        <v>4</v>
      </c>
    </row>
    <row r="164" spans="1:16" x14ac:dyDescent="0.25">
      <c r="A164" s="1" t="str">
        <f>IF(B164="","",CONCATENATE(B164,".",C164,"/Pos ",D164,"/",'Extraction edi'!G167))</f>
        <v/>
      </c>
      <c r="B164" s="1" t="str">
        <f>IF('Extraction edi'!A167="","",'Extraction edi'!A167)</f>
        <v/>
      </c>
      <c r="C164" s="1" t="str">
        <f>IF('Extraction edi'!B167="","",'Extraction edi'!B167)</f>
        <v/>
      </c>
      <c r="D164" s="1" t="str">
        <f>IF('Extraction edi'!H167="","",'Extraction edi'!H167)</f>
        <v/>
      </c>
      <c r="E164" s="1" t="str">
        <f>IF('Extraction edi'!I167="","",'Extraction edi'!I167)</f>
        <v/>
      </c>
      <c r="F164" t="str">
        <f>IF('Extraction edi'!K167="","",'Extraction edi'!K167)</f>
        <v/>
      </c>
      <c r="G164" t="str">
        <f>IF('Extraction edi'!L167="","",'Extraction edi'!L167)</f>
        <v/>
      </c>
      <c r="H164" t="str">
        <f>IF('Extraction edi'!M167="","",'Extraction edi'!M167)</f>
        <v/>
      </c>
      <c r="I164" s="1" t="str">
        <f>IF('Extraction edi'!N167="","",'Extraction edi'!N167)</f>
        <v/>
      </c>
      <c r="J164" s="1" t="str">
        <f>IF('Extraction edi'!O167="","",'Extraction edi'!O167)</f>
        <v/>
      </c>
      <c r="K164" s="1" t="str">
        <f>IF('Extraction edi'!P167="","",'Extraction edi'!P167)</f>
        <v/>
      </c>
      <c r="L164" s="1" t="str">
        <f>IF('Extraction edi'!Q167="laquage RAL :","OUI","")</f>
        <v/>
      </c>
      <c r="M164" s="1" t="str">
        <f>IF('Extraction edi'!R167&lt;&gt;"",'Extraction edi'!R167,IF(G164="ALU blanc","S9016",""))</f>
        <v/>
      </c>
      <c r="N164" s="1" t="str">
        <f>IF('Extraction edi'!S167&lt;&gt;"",'Extraction edi'!S167,IF(G164="ALU blanc","S9016",""))</f>
        <v/>
      </c>
      <c r="O164" s="11">
        <v>46073</v>
      </c>
      <c r="P164" s="1">
        <f t="shared" si="2"/>
        <v>5</v>
      </c>
    </row>
    <row r="165" spans="1:16" x14ac:dyDescent="0.25">
      <c r="A165" s="1" t="str">
        <f>IF(B165="","",CONCATENATE(B165,".",C165,"/Pos ",D165,"/",'Extraction edi'!G168))</f>
        <v/>
      </c>
      <c r="B165" s="1" t="str">
        <f>IF('Extraction edi'!A168="","",'Extraction edi'!A168)</f>
        <v/>
      </c>
      <c r="C165" s="1" t="str">
        <f>IF('Extraction edi'!B168="","",'Extraction edi'!B168)</f>
        <v/>
      </c>
      <c r="D165" s="1" t="str">
        <f>IF('Extraction edi'!H168="","",'Extraction edi'!H168)</f>
        <v/>
      </c>
      <c r="E165" s="1" t="str">
        <f>IF('Extraction edi'!I168="","",'Extraction edi'!I168)</f>
        <v/>
      </c>
      <c r="F165" t="str">
        <f>IF('Extraction edi'!K168="","",'Extraction edi'!K168)</f>
        <v/>
      </c>
      <c r="G165" t="str">
        <f>IF('Extraction edi'!L168="","",'Extraction edi'!L168)</f>
        <v/>
      </c>
      <c r="H165" t="str">
        <f>IF('Extraction edi'!M168="","",'Extraction edi'!M168)</f>
        <v/>
      </c>
      <c r="I165" s="1" t="str">
        <f>IF('Extraction edi'!N168="","",'Extraction edi'!N168)</f>
        <v/>
      </c>
      <c r="J165" s="1" t="str">
        <f>IF('Extraction edi'!O168="","",'Extraction edi'!O168)</f>
        <v/>
      </c>
      <c r="K165" s="1" t="str">
        <f>IF('Extraction edi'!P168="","",'Extraction edi'!P168)</f>
        <v/>
      </c>
      <c r="L165" s="1" t="str">
        <f>IF('Extraction edi'!Q168="laquage RAL :","OUI","")</f>
        <v/>
      </c>
      <c r="M165" s="1" t="str">
        <f>IF('Extraction edi'!R168&lt;&gt;"",'Extraction edi'!R168,IF(G165="ALU blanc","S9016",""))</f>
        <v/>
      </c>
      <c r="N165" s="1" t="str">
        <f>IF('Extraction edi'!S168&lt;&gt;"",'Extraction edi'!S168,IF(G165="ALU blanc","S9016",""))</f>
        <v/>
      </c>
      <c r="O165" s="11">
        <v>46074</v>
      </c>
      <c r="P165" s="1">
        <f t="shared" si="2"/>
        <v>6</v>
      </c>
    </row>
    <row r="166" spans="1:16" x14ac:dyDescent="0.25">
      <c r="A166" s="1" t="str">
        <f>IF(B166="","",CONCATENATE(B166,".",C166,"/Pos ",D166,"/",'Extraction edi'!G169))</f>
        <v/>
      </c>
      <c r="B166" s="1" t="str">
        <f>IF('Extraction edi'!A169="","",'Extraction edi'!A169)</f>
        <v/>
      </c>
      <c r="C166" s="1" t="str">
        <f>IF('Extraction edi'!B169="","",'Extraction edi'!B169)</f>
        <v/>
      </c>
      <c r="D166" s="1" t="str">
        <f>IF('Extraction edi'!H169="","",'Extraction edi'!H169)</f>
        <v/>
      </c>
      <c r="E166" s="1" t="str">
        <f>IF('Extraction edi'!I169="","",'Extraction edi'!I169)</f>
        <v/>
      </c>
      <c r="F166" t="str">
        <f>IF('Extraction edi'!K169="","",'Extraction edi'!K169)</f>
        <v/>
      </c>
      <c r="G166" t="str">
        <f>IF('Extraction edi'!L169="","",'Extraction edi'!L169)</f>
        <v/>
      </c>
      <c r="H166" t="str">
        <f>IF('Extraction edi'!M169="","",'Extraction edi'!M169)</f>
        <v/>
      </c>
      <c r="I166" s="1" t="str">
        <f>IF('Extraction edi'!N169="","",'Extraction edi'!N169)</f>
        <v/>
      </c>
      <c r="J166" s="1" t="str">
        <f>IF('Extraction edi'!O169="","",'Extraction edi'!O169)</f>
        <v/>
      </c>
      <c r="K166" s="1" t="str">
        <f>IF('Extraction edi'!P169="","",'Extraction edi'!P169)</f>
        <v/>
      </c>
      <c r="L166" s="1" t="str">
        <f>IF('Extraction edi'!Q169="laquage RAL :","OUI","")</f>
        <v/>
      </c>
      <c r="M166" s="1" t="str">
        <f>IF('Extraction edi'!R169&lt;&gt;"",'Extraction edi'!R169,IF(G166="ALU blanc","S9016",""))</f>
        <v/>
      </c>
      <c r="N166" s="1" t="str">
        <f>IF('Extraction edi'!S169&lt;&gt;"",'Extraction edi'!S169,IF(G166="ALU blanc","S9016",""))</f>
        <v/>
      </c>
      <c r="O166" s="11">
        <v>46075</v>
      </c>
      <c r="P166" s="1">
        <f t="shared" si="2"/>
        <v>7</v>
      </c>
    </row>
    <row r="167" spans="1:16" x14ac:dyDescent="0.25">
      <c r="A167" s="1" t="str">
        <f>IF(B167="","",CONCATENATE(B167,".",C167,"/Pos ",D167,"/",'Extraction edi'!G170))</f>
        <v/>
      </c>
      <c r="B167" s="1" t="str">
        <f>IF('Extraction edi'!A170="","",'Extraction edi'!A170)</f>
        <v/>
      </c>
      <c r="C167" s="1" t="str">
        <f>IF('Extraction edi'!B170="","",'Extraction edi'!B170)</f>
        <v/>
      </c>
      <c r="D167" s="1" t="str">
        <f>IF('Extraction edi'!H170="","",'Extraction edi'!H170)</f>
        <v/>
      </c>
      <c r="E167" s="1" t="str">
        <f>IF('Extraction edi'!I170="","",'Extraction edi'!I170)</f>
        <v/>
      </c>
      <c r="F167" t="str">
        <f>IF('Extraction edi'!K170="","",'Extraction edi'!K170)</f>
        <v/>
      </c>
      <c r="G167" t="str">
        <f>IF('Extraction edi'!L170="","",'Extraction edi'!L170)</f>
        <v/>
      </c>
      <c r="H167" t="str">
        <f>IF('Extraction edi'!M170="","",'Extraction edi'!M170)</f>
        <v/>
      </c>
      <c r="I167" s="1" t="str">
        <f>IF('Extraction edi'!N170="","",'Extraction edi'!N170)</f>
        <v/>
      </c>
      <c r="J167" s="1" t="str">
        <f>IF('Extraction edi'!O170="","",'Extraction edi'!O170)</f>
        <v/>
      </c>
      <c r="K167" s="1" t="str">
        <f>IF('Extraction edi'!P170="","",'Extraction edi'!P170)</f>
        <v/>
      </c>
      <c r="L167" s="1" t="str">
        <f>IF('Extraction edi'!Q170="laquage RAL :","OUI","")</f>
        <v/>
      </c>
      <c r="M167" s="1" t="str">
        <f>IF('Extraction edi'!R170&lt;&gt;"",'Extraction edi'!R170,IF(G167="ALU blanc","S9016",""))</f>
        <v/>
      </c>
      <c r="N167" s="1" t="str">
        <f>IF('Extraction edi'!S170&lt;&gt;"",'Extraction edi'!S170,IF(G167="ALU blanc","S9016",""))</f>
        <v/>
      </c>
      <c r="O167" s="11">
        <v>46076</v>
      </c>
      <c r="P167" s="1">
        <f t="shared" si="2"/>
        <v>1</v>
      </c>
    </row>
    <row r="168" spans="1:16" x14ac:dyDescent="0.25">
      <c r="A168" s="1" t="str">
        <f>IF(B168="","",CONCATENATE(B168,".",C168,"/Pos ",D168,"/",'Extraction edi'!G171))</f>
        <v/>
      </c>
      <c r="B168" s="1" t="str">
        <f>IF('Extraction edi'!A171="","",'Extraction edi'!A171)</f>
        <v/>
      </c>
      <c r="C168" s="1" t="str">
        <f>IF('Extraction edi'!B171="","",'Extraction edi'!B171)</f>
        <v/>
      </c>
      <c r="D168" s="1" t="str">
        <f>IF('Extraction edi'!H171="","",'Extraction edi'!H171)</f>
        <v/>
      </c>
      <c r="E168" s="1" t="str">
        <f>IF('Extraction edi'!I171="","",'Extraction edi'!I171)</f>
        <v/>
      </c>
      <c r="F168" t="str">
        <f>IF('Extraction edi'!K171="","",'Extraction edi'!K171)</f>
        <v/>
      </c>
      <c r="G168" t="str">
        <f>IF('Extraction edi'!L171="","",'Extraction edi'!L171)</f>
        <v/>
      </c>
      <c r="H168" t="str">
        <f>IF('Extraction edi'!M171="","",'Extraction edi'!M171)</f>
        <v/>
      </c>
      <c r="I168" s="1" t="str">
        <f>IF('Extraction edi'!N171="","",'Extraction edi'!N171)</f>
        <v/>
      </c>
      <c r="J168" s="1" t="str">
        <f>IF('Extraction edi'!O171="","",'Extraction edi'!O171)</f>
        <v/>
      </c>
      <c r="K168" s="1" t="str">
        <f>IF('Extraction edi'!P171="","",'Extraction edi'!P171)</f>
        <v/>
      </c>
      <c r="L168" s="1" t="str">
        <f>IF('Extraction edi'!Q171="laquage RAL :","OUI","")</f>
        <v/>
      </c>
      <c r="M168" s="1" t="str">
        <f>IF('Extraction edi'!R171&lt;&gt;"",'Extraction edi'!R171,IF(G168="ALU blanc","S9016",""))</f>
        <v/>
      </c>
      <c r="N168" s="1" t="str">
        <f>IF('Extraction edi'!S171&lt;&gt;"",'Extraction edi'!S171,IF(G168="ALU blanc","S9016",""))</f>
        <v/>
      </c>
      <c r="O168" s="11">
        <v>46077</v>
      </c>
      <c r="P168" s="1">
        <f t="shared" si="2"/>
        <v>2</v>
      </c>
    </row>
    <row r="169" spans="1:16" x14ac:dyDescent="0.25">
      <c r="A169" s="1" t="str">
        <f>IF(B169="","",CONCATENATE(B169,".",C169,"/Pos ",D169,"/",'Extraction edi'!G172))</f>
        <v/>
      </c>
      <c r="B169" s="1" t="str">
        <f>IF('Extraction edi'!A172="","",'Extraction edi'!A172)</f>
        <v/>
      </c>
      <c r="C169" s="1" t="str">
        <f>IF('Extraction edi'!B172="","",'Extraction edi'!B172)</f>
        <v/>
      </c>
      <c r="D169" s="1" t="str">
        <f>IF('Extraction edi'!H172="","",'Extraction edi'!H172)</f>
        <v/>
      </c>
      <c r="E169" s="1" t="str">
        <f>IF('Extraction edi'!I172="","",'Extraction edi'!I172)</f>
        <v/>
      </c>
      <c r="F169" t="str">
        <f>IF('Extraction edi'!K172="","",'Extraction edi'!K172)</f>
        <v/>
      </c>
      <c r="G169" t="str">
        <f>IF('Extraction edi'!L172="","",'Extraction edi'!L172)</f>
        <v/>
      </c>
      <c r="H169" t="str">
        <f>IF('Extraction edi'!M172="","",'Extraction edi'!M172)</f>
        <v/>
      </c>
      <c r="I169" s="1" t="str">
        <f>IF('Extraction edi'!N172="","",'Extraction edi'!N172)</f>
        <v/>
      </c>
      <c r="J169" s="1" t="str">
        <f>IF('Extraction edi'!O172="","",'Extraction edi'!O172)</f>
        <v/>
      </c>
      <c r="K169" s="1" t="str">
        <f>IF('Extraction edi'!P172="","",'Extraction edi'!P172)</f>
        <v/>
      </c>
      <c r="L169" s="1" t="str">
        <f>IF('Extraction edi'!Q172="laquage RAL :","OUI","")</f>
        <v/>
      </c>
      <c r="M169" s="1" t="str">
        <f>IF('Extraction edi'!R172&lt;&gt;"",'Extraction edi'!R172,IF(G169="ALU blanc","S9016",""))</f>
        <v/>
      </c>
      <c r="N169" s="1" t="str">
        <f>IF('Extraction edi'!S172&lt;&gt;"",'Extraction edi'!S172,IF(G169="ALU blanc","S9016",""))</f>
        <v/>
      </c>
      <c r="O169" s="11">
        <v>46078</v>
      </c>
      <c r="P169" s="1">
        <f t="shared" si="2"/>
        <v>3</v>
      </c>
    </row>
    <row r="170" spans="1:16" x14ac:dyDescent="0.25">
      <c r="A170" s="1" t="str">
        <f>IF(B170="","",CONCATENATE(B170,".",C170,"/Pos ",D170,"/",'Extraction edi'!G173))</f>
        <v/>
      </c>
      <c r="B170" s="1" t="str">
        <f>IF('Extraction edi'!A173="","",'Extraction edi'!A173)</f>
        <v/>
      </c>
      <c r="C170" s="1" t="str">
        <f>IF('Extraction edi'!B173="","",'Extraction edi'!B173)</f>
        <v/>
      </c>
      <c r="D170" s="1" t="str">
        <f>IF('Extraction edi'!H173="","",'Extraction edi'!H173)</f>
        <v/>
      </c>
      <c r="E170" s="1" t="str">
        <f>IF('Extraction edi'!I173="","",'Extraction edi'!I173)</f>
        <v/>
      </c>
      <c r="F170" t="str">
        <f>IF('Extraction edi'!K173="","",'Extraction edi'!K173)</f>
        <v/>
      </c>
      <c r="G170" t="str">
        <f>IF('Extraction edi'!L173="","",'Extraction edi'!L173)</f>
        <v/>
      </c>
      <c r="H170" t="str">
        <f>IF('Extraction edi'!M173="","",'Extraction edi'!M173)</f>
        <v/>
      </c>
      <c r="I170" s="1" t="str">
        <f>IF('Extraction edi'!N173="","",'Extraction edi'!N173)</f>
        <v/>
      </c>
      <c r="J170" s="1" t="str">
        <f>IF('Extraction edi'!O173="","",'Extraction edi'!O173)</f>
        <v/>
      </c>
      <c r="K170" s="1" t="str">
        <f>IF('Extraction edi'!P173="","",'Extraction edi'!P173)</f>
        <v/>
      </c>
      <c r="L170" s="1" t="str">
        <f>IF('Extraction edi'!Q173="laquage RAL :","OUI","")</f>
        <v/>
      </c>
      <c r="M170" s="1" t="str">
        <f>IF('Extraction edi'!R173&lt;&gt;"",'Extraction edi'!R173,IF(G170="ALU blanc","S9016",""))</f>
        <v/>
      </c>
      <c r="N170" s="1" t="str">
        <f>IF('Extraction edi'!S173&lt;&gt;"",'Extraction edi'!S173,IF(G170="ALU blanc","S9016",""))</f>
        <v/>
      </c>
      <c r="O170" s="11">
        <v>46079</v>
      </c>
      <c r="P170" s="1">
        <f t="shared" si="2"/>
        <v>4</v>
      </c>
    </row>
    <row r="171" spans="1:16" x14ac:dyDescent="0.25">
      <c r="A171" s="1" t="str">
        <f>IF(B171="","",CONCATENATE(B171,".",C171,"/Pos ",D171,"/",'Extraction edi'!G174))</f>
        <v/>
      </c>
      <c r="B171" s="1" t="str">
        <f>IF('Extraction edi'!A174="","",'Extraction edi'!A174)</f>
        <v/>
      </c>
      <c r="C171" s="1" t="str">
        <f>IF('Extraction edi'!B174="","",'Extraction edi'!B174)</f>
        <v/>
      </c>
      <c r="D171" s="1" t="str">
        <f>IF('Extraction edi'!H174="","",'Extraction edi'!H174)</f>
        <v/>
      </c>
      <c r="E171" s="1" t="str">
        <f>IF('Extraction edi'!I174="","",'Extraction edi'!I174)</f>
        <v/>
      </c>
      <c r="F171" t="str">
        <f>IF('Extraction edi'!K174="","",'Extraction edi'!K174)</f>
        <v/>
      </c>
      <c r="G171" t="str">
        <f>IF('Extraction edi'!L174="","",'Extraction edi'!L174)</f>
        <v/>
      </c>
      <c r="H171" t="str">
        <f>IF('Extraction edi'!M174="","",'Extraction edi'!M174)</f>
        <v/>
      </c>
      <c r="I171" s="1" t="str">
        <f>IF('Extraction edi'!N174="","",'Extraction edi'!N174)</f>
        <v/>
      </c>
      <c r="J171" s="1" t="str">
        <f>IF('Extraction edi'!O174="","",'Extraction edi'!O174)</f>
        <v/>
      </c>
      <c r="K171" s="1" t="str">
        <f>IF('Extraction edi'!P174="","",'Extraction edi'!P174)</f>
        <v/>
      </c>
      <c r="L171" s="1" t="str">
        <f>IF('Extraction edi'!Q174="laquage RAL :","OUI","")</f>
        <v/>
      </c>
      <c r="M171" s="1" t="str">
        <f>IF('Extraction edi'!R174&lt;&gt;"",'Extraction edi'!R174,IF(G171="ALU blanc","S9016",""))</f>
        <v/>
      </c>
      <c r="N171" s="1" t="str">
        <f>IF('Extraction edi'!S174&lt;&gt;"",'Extraction edi'!S174,IF(G171="ALU blanc","S9016",""))</f>
        <v/>
      </c>
      <c r="O171" s="11">
        <v>46080</v>
      </c>
      <c r="P171" s="1">
        <f t="shared" si="2"/>
        <v>5</v>
      </c>
    </row>
    <row r="172" spans="1:16" x14ac:dyDescent="0.25">
      <c r="A172" s="1" t="str">
        <f>IF(B172="","",CONCATENATE(B172,".",C172,"/Pos ",D172,"/",'Extraction edi'!G175))</f>
        <v/>
      </c>
      <c r="B172" s="1" t="str">
        <f>IF('Extraction edi'!A175="","",'Extraction edi'!A175)</f>
        <v/>
      </c>
      <c r="C172" s="1" t="str">
        <f>IF('Extraction edi'!B175="","",'Extraction edi'!B175)</f>
        <v/>
      </c>
      <c r="D172" s="1" t="str">
        <f>IF('Extraction edi'!H175="","",'Extraction edi'!H175)</f>
        <v/>
      </c>
      <c r="E172" s="1" t="str">
        <f>IF('Extraction edi'!I175="","",'Extraction edi'!I175)</f>
        <v/>
      </c>
      <c r="F172" t="str">
        <f>IF('Extraction edi'!K175="","",'Extraction edi'!K175)</f>
        <v/>
      </c>
      <c r="G172" t="str">
        <f>IF('Extraction edi'!L175="","",'Extraction edi'!L175)</f>
        <v/>
      </c>
      <c r="H172" t="str">
        <f>IF('Extraction edi'!M175="","",'Extraction edi'!M175)</f>
        <v/>
      </c>
      <c r="I172" s="1" t="str">
        <f>IF('Extraction edi'!N175="","",'Extraction edi'!N175)</f>
        <v/>
      </c>
      <c r="J172" s="1" t="str">
        <f>IF('Extraction edi'!O175="","",'Extraction edi'!O175)</f>
        <v/>
      </c>
      <c r="K172" s="1" t="str">
        <f>IF('Extraction edi'!P175="","",'Extraction edi'!P175)</f>
        <v/>
      </c>
      <c r="L172" s="1" t="str">
        <f>IF('Extraction edi'!Q175="laquage RAL :","OUI","")</f>
        <v/>
      </c>
      <c r="M172" s="1" t="str">
        <f>IF('Extraction edi'!R175&lt;&gt;"",'Extraction edi'!R175,IF(G172="ALU blanc","S9016",""))</f>
        <v/>
      </c>
      <c r="N172" s="1" t="str">
        <f>IF('Extraction edi'!S175&lt;&gt;"",'Extraction edi'!S175,IF(G172="ALU blanc","S9016",""))</f>
        <v/>
      </c>
      <c r="O172" s="11">
        <v>46081</v>
      </c>
      <c r="P172" s="1">
        <f t="shared" si="2"/>
        <v>6</v>
      </c>
    </row>
    <row r="173" spans="1:16" x14ac:dyDescent="0.25">
      <c r="A173" s="1" t="str">
        <f>IF(B173="","",CONCATENATE(B173,".",C173,"/Pos ",D173,"/",'Extraction edi'!G176))</f>
        <v/>
      </c>
      <c r="B173" s="1" t="str">
        <f>IF('Extraction edi'!A176="","",'Extraction edi'!A176)</f>
        <v/>
      </c>
      <c r="C173" s="1" t="str">
        <f>IF('Extraction edi'!B176="","",'Extraction edi'!B176)</f>
        <v/>
      </c>
      <c r="D173" s="1" t="str">
        <f>IF('Extraction edi'!H176="","",'Extraction edi'!H176)</f>
        <v/>
      </c>
      <c r="E173" s="1" t="str">
        <f>IF('Extraction edi'!I176="","",'Extraction edi'!I176)</f>
        <v/>
      </c>
      <c r="F173" t="str">
        <f>IF('Extraction edi'!K176="","",'Extraction edi'!K176)</f>
        <v/>
      </c>
      <c r="G173" t="str">
        <f>IF('Extraction edi'!L176="","",'Extraction edi'!L176)</f>
        <v/>
      </c>
      <c r="H173" t="str">
        <f>IF('Extraction edi'!M176="","",'Extraction edi'!M176)</f>
        <v/>
      </c>
      <c r="I173" s="1" t="str">
        <f>IF('Extraction edi'!N176="","",'Extraction edi'!N176)</f>
        <v/>
      </c>
      <c r="J173" s="1" t="str">
        <f>IF('Extraction edi'!O176="","",'Extraction edi'!O176)</f>
        <v/>
      </c>
      <c r="K173" s="1" t="str">
        <f>IF('Extraction edi'!P176="","",'Extraction edi'!P176)</f>
        <v/>
      </c>
      <c r="L173" s="1" t="str">
        <f>IF('Extraction edi'!Q176="laquage RAL :","OUI","")</f>
        <v/>
      </c>
      <c r="M173" s="1" t="str">
        <f>IF('Extraction edi'!R176&lt;&gt;"",'Extraction edi'!R176,IF(G173="ALU blanc","S9016",""))</f>
        <v/>
      </c>
      <c r="N173" s="1" t="str">
        <f>IF('Extraction edi'!S176&lt;&gt;"",'Extraction edi'!S176,IF(G173="ALU blanc","S9016",""))</f>
        <v/>
      </c>
      <c r="O173" s="11">
        <v>46082</v>
      </c>
      <c r="P173" s="1">
        <f t="shared" si="2"/>
        <v>7</v>
      </c>
    </row>
    <row r="174" spans="1:16" x14ac:dyDescent="0.25">
      <c r="A174" s="1" t="str">
        <f>IF(B174="","",CONCATENATE(B174,".",C174,"/Pos ",D174,"/",'Extraction edi'!G177))</f>
        <v/>
      </c>
      <c r="B174" s="1" t="str">
        <f>IF('Extraction edi'!A177="","",'Extraction edi'!A177)</f>
        <v/>
      </c>
      <c r="C174" s="1" t="str">
        <f>IF('Extraction edi'!B177="","",'Extraction edi'!B177)</f>
        <v/>
      </c>
      <c r="D174" s="1" t="str">
        <f>IF('Extraction edi'!H177="","",'Extraction edi'!H177)</f>
        <v/>
      </c>
      <c r="E174" s="1" t="str">
        <f>IF('Extraction edi'!I177="","",'Extraction edi'!I177)</f>
        <v/>
      </c>
      <c r="F174" t="str">
        <f>IF('Extraction edi'!K177="","",'Extraction edi'!K177)</f>
        <v/>
      </c>
      <c r="G174" t="str">
        <f>IF('Extraction edi'!L177="","",'Extraction edi'!L177)</f>
        <v/>
      </c>
      <c r="H174" t="str">
        <f>IF('Extraction edi'!M177="","",'Extraction edi'!M177)</f>
        <v/>
      </c>
      <c r="I174" s="1" t="str">
        <f>IF('Extraction edi'!N177="","",'Extraction edi'!N177)</f>
        <v/>
      </c>
      <c r="J174" s="1" t="str">
        <f>IF('Extraction edi'!O177="","",'Extraction edi'!O177)</f>
        <v/>
      </c>
      <c r="K174" s="1" t="str">
        <f>IF('Extraction edi'!P177="","",'Extraction edi'!P177)</f>
        <v/>
      </c>
      <c r="L174" s="1" t="str">
        <f>IF('Extraction edi'!Q177="laquage RAL :","OUI","")</f>
        <v/>
      </c>
      <c r="M174" s="1" t="str">
        <f>IF('Extraction edi'!R177&lt;&gt;"",'Extraction edi'!R177,IF(G174="ALU blanc","S9016",""))</f>
        <v/>
      </c>
      <c r="N174" s="1" t="str">
        <f>IF('Extraction edi'!S177&lt;&gt;"",'Extraction edi'!S177,IF(G174="ALU blanc","S9016",""))</f>
        <v/>
      </c>
      <c r="O174" s="11">
        <v>46083</v>
      </c>
      <c r="P174" s="1">
        <f t="shared" si="2"/>
        <v>1</v>
      </c>
    </row>
    <row r="175" spans="1:16" x14ac:dyDescent="0.25">
      <c r="A175" s="1" t="str">
        <f>IF(B175="","",CONCATENATE(B175,".",C175,"/Pos ",D175,"/",'Extraction edi'!G178))</f>
        <v/>
      </c>
      <c r="B175" s="1" t="str">
        <f>IF('Extraction edi'!A178="","",'Extraction edi'!A178)</f>
        <v/>
      </c>
      <c r="C175" s="1" t="str">
        <f>IF('Extraction edi'!B178="","",'Extraction edi'!B178)</f>
        <v/>
      </c>
      <c r="D175" s="1" t="str">
        <f>IF('Extraction edi'!H178="","",'Extraction edi'!H178)</f>
        <v/>
      </c>
      <c r="E175" s="1" t="str">
        <f>IF('Extraction edi'!I178="","",'Extraction edi'!I178)</f>
        <v/>
      </c>
      <c r="F175" t="str">
        <f>IF('Extraction edi'!K178="","",'Extraction edi'!K178)</f>
        <v/>
      </c>
      <c r="G175" t="str">
        <f>IF('Extraction edi'!L178="","",'Extraction edi'!L178)</f>
        <v/>
      </c>
      <c r="H175" t="str">
        <f>IF('Extraction edi'!M178="","",'Extraction edi'!M178)</f>
        <v/>
      </c>
      <c r="I175" s="1" t="str">
        <f>IF('Extraction edi'!N178="","",'Extraction edi'!N178)</f>
        <v/>
      </c>
      <c r="J175" s="1" t="str">
        <f>IF('Extraction edi'!O178="","",'Extraction edi'!O178)</f>
        <v/>
      </c>
      <c r="K175" s="1" t="str">
        <f>IF('Extraction edi'!P178="","",'Extraction edi'!P178)</f>
        <v/>
      </c>
      <c r="L175" s="1" t="str">
        <f>IF('Extraction edi'!Q178="laquage RAL :","OUI","")</f>
        <v/>
      </c>
      <c r="M175" s="1" t="str">
        <f>IF('Extraction edi'!R178&lt;&gt;"",'Extraction edi'!R178,IF(G175="ALU blanc","S9016",""))</f>
        <v/>
      </c>
      <c r="N175" s="1" t="str">
        <f>IF('Extraction edi'!S178&lt;&gt;"",'Extraction edi'!S178,IF(G175="ALU blanc","S9016",""))</f>
        <v/>
      </c>
      <c r="O175" s="11">
        <v>46084</v>
      </c>
      <c r="P175" s="1">
        <f t="shared" si="2"/>
        <v>2</v>
      </c>
    </row>
    <row r="176" spans="1:16" x14ac:dyDescent="0.25">
      <c r="A176" s="1" t="str">
        <f>IF(B176="","",CONCATENATE(B176,".",C176,"/Pos ",D176,"/",'Extraction edi'!G179))</f>
        <v/>
      </c>
      <c r="B176" s="1" t="str">
        <f>IF('Extraction edi'!A179="","",'Extraction edi'!A179)</f>
        <v/>
      </c>
      <c r="C176" s="1" t="str">
        <f>IF('Extraction edi'!B179="","",'Extraction edi'!B179)</f>
        <v/>
      </c>
      <c r="D176" s="1" t="str">
        <f>IF('Extraction edi'!H179="","",'Extraction edi'!H179)</f>
        <v/>
      </c>
      <c r="E176" s="1" t="str">
        <f>IF('Extraction edi'!I179="","",'Extraction edi'!I179)</f>
        <v/>
      </c>
      <c r="F176" t="str">
        <f>IF('Extraction edi'!K179="","",'Extraction edi'!K179)</f>
        <v/>
      </c>
      <c r="G176" t="str">
        <f>IF('Extraction edi'!L179="","",'Extraction edi'!L179)</f>
        <v/>
      </c>
      <c r="H176" t="str">
        <f>IF('Extraction edi'!M179="","",'Extraction edi'!M179)</f>
        <v/>
      </c>
      <c r="I176" s="1" t="str">
        <f>IF('Extraction edi'!N179="","",'Extraction edi'!N179)</f>
        <v/>
      </c>
      <c r="J176" s="1" t="str">
        <f>IF('Extraction edi'!O179="","",'Extraction edi'!O179)</f>
        <v/>
      </c>
      <c r="K176" s="1" t="str">
        <f>IF('Extraction edi'!P179="","",'Extraction edi'!P179)</f>
        <v/>
      </c>
      <c r="L176" s="1" t="str">
        <f>IF('Extraction edi'!Q179="laquage RAL :","OUI","")</f>
        <v/>
      </c>
      <c r="M176" s="1" t="str">
        <f>IF('Extraction edi'!R179&lt;&gt;"",'Extraction edi'!R179,IF(G176="ALU blanc","S9016",""))</f>
        <v/>
      </c>
      <c r="N176" s="1" t="str">
        <f>IF('Extraction edi'!S179&lt;&gt;"",'Extraction edi'!S179,IF(G176="ALU blanc","S9016",""))</f>
        <v/>
      </c>
      <c r="O176" s="11">
        <v>46085</v>
      </c>
      <c r="P176" s="1">
        <f t="shared" si="2"/>
        <v>3</v>
      </c>
    </row>
    <row r="177" spans="1:16" x14ac:dyDescent="0.25">
      <c r="A177" s="1" t="str">
        <f>IF(B177="","",CONCATENATE(B177,".",C177,"/Pos ",D177,"/",'Extraction edi'!G180))</f>
        <v/>
      </c>
      <c r="B177" s="1" t="str">
        <f>IF('Extraction edi'!A180="","",'Extraction edi'!A180)</f>
        <v/>
      </c>
      <c r="C177" s="1" t="str">
        <f>IF('Extraction edi'!B180="","",'Extraction edi'!B180)</f>
        <v/>
      </c>
      <c r="D177" s="1" t="str">
        <f>IF('Extraction edi'!H180="","",'Extraction edi'!H180)</f>
        <v/>
      </c>
      <c r="E177" s="1" t="str">
        <f>IF('Extraction edi'!I180="","",'Extraction edi'!I180)</f>
        <v/>
      </c>
      <c r="F177" t="str">
        <f>IF('Extraction edi'!K180="","",'Extraction edi'!K180)</f>
        <v/>
      </c>
      <c r="G177" t="str">
        <f>IF('Extraction edi'!L180="","",'Extraction edi'!L180)</f>
        <v/>
      </c>
      <c r="H177" t="str">
        <f>IF('Extraction edi'!M180="","",'Extraction edi'!M180)</f>
        <v/>
      </c>
      <c r="I177" s="1" t="str">
        <f>IF('Extraction edi'!N180="","",'Extraction edi'!N180)</f>
        <v/>
      </c>
      <c r="J177" s="1" t="str">
        <f>IF('Extraction edi'!O180="","",'Extraction edi'!O180)</f>
        <v/>
      </c>
      <c r="K177" s="1" t="str">
        <f>IF('Extraction edi'!P180="","",'Extraction edi'!P180)</f>
        <v/>
      </c>
      <c r="L177" s="1" t="str">
        <f>IF('Extraction edi'!Q180="laquage RAL :","OUI","")</f>
        <v/>
      </c>
      <c r="M177" s="1" t="str">
        <f>IF('Extraction edi'!R180&lt;&gt;"",'Extraction edi'!R180,IF(G177="ALU blanc","S9016",""))</f>
        <v/>
      </c>
      <c r="N177" s="1" t="str">
        <f>IF('Extraction edi'!S180&lt;&gt;"",'Extraction edi'!S180,IF(G177="ALU blanc","S9016",""))</f>
        <v/>
      </c>
      <c r="O177" s="11">
        <v>46086</v>
      </c>
      <c r="P177" s="1">
        <f t="shared" si="2"/>
        <v>4</v>
      </c>
    </row>
    <row r="178" spans="1:16" x14ac:dyDescent="0.25">
      <c r="A178" s="1" t="str">
        <f>IF(B178="","",CONCATENATE(B178,".",C178,"/Pos ",D178,"/",'Extraction edi'!G181))</f>
        <v/>
      </c>
      <c r="B178" s="1" t="str">
        <f>IF('Extraction edi'!A181="","",'Extraction edi'!A181)</f>
        <v/>
      </c>
      <c r="C178" s="1" t="str">
        <f>IF('Extraction edi'!B181="","",'Extraction edi'!B181)</f>
        <v/>
      </c>
      <c r="D178" s="1" t="str">
        <f>IF('Extraction edi'!H181="","",'Extraction edi'!H181)</f>
        <v/>
      </c>
      <c r="E178" s="1" t="str">
        <f>IF('Extraction edi'!I181="","",'Extraction edi'!I181)</f>
        <v/>
      </c>
      <c r="F178" t="str">
        <f>IF('Extraction edi'!K181="","",'Extraction edi'!K181)</f>
        <v/>
      </c>
      <c r="G178" t="str">
        <f>IF('Extraction edi'!L181="","",'Extraction edi'!L181)</f>
        <v/>
      </c>
      <c r="H178" t="str">
        <f>IF('Extraction edi'!M181="","",'Extraction edi'!M181)</f>
        <v/>
      </c>
      <c r="I178" s="1" t="str">
        <f>IF('Extraction edi'!N181="","",'Extraction edi'!N181)</f>
        <v/>
      </c>
      <c r="J178" s="1" t="str">
        <f>IF('Extraction edi'!O181="","",'Extraction edi'!O181)</f>
        <v/>
      </c>
      <c r="K178" s="1" t="str">
        <f>IF('Extraction edi'!P181="","",'Extraction edi'!P181)</f>
        <v/>
      </c>
      <c r="L178" s="1" t="str">
        <f>IF('Extraction edi'!Q181="laquage RAL :","OUI","")</f>
        <v/>
      </c>
      <c r="M178" s="1" t="str">
        <f>IF('Extraction edi'!R181&lt;&gt;"",'Extraction edi'!R181,IF(G178="ALU blanc","S9016",""))</f>
        <v/>
      </c>
      <c r="N178" s="1" t="str">
        <f>IF('Extraction edi'!S181&lt;&gt;"",'Extraction edi'!S181,IF(G178="ALU blanc","S9016",""))</f>
        <v/>
      </c>
      <c r="O178" s="11">
        <v>46087</v>
      </c>
      <c r="P178" s="1">
        <f t="shared" si="2"/>
        <v>5</v>
      </c>
    </row>
    <row r="179" spans="1:16" x14ac:dyDescent="0.25">
      <c r="A179" s="1" t="str">
        <f>IF(B179="","",CONCATENATE(B179,".",C179,"/Pos ",D179,"/",'Extraction edi'!G182))</f>
        <v/>
      </c>
      <c r="B179" s="1" t="str">
        <f>IF('Extraction edi'!A182="","",'Extraction edi'!A182)</f>
        <v/>
      </c>
      <c r="C179" s="1" t="str">
        <f>IF('Extraction edi'!B182="","",'Extraction edi'!B182)</f>
        <v/>
      </c>
      <c r="D179" s="1" t="str">
        <f>IF('Extraction edi'!H182="","",'Extraction edi'!H182)</f>
        <v/>
      </c>
      <c r="E179" s="1" t="str">
        <f>IF('Extraction edi'!I182="","",'Extraction edi'!I182)</f>
        <v/>
      </c>
      <c r="F179" t="str">
        <f>IF('Extraction edi'!K182="","",'Extraction edi'!K182)</f>
        <v/>
      </c>
      <c r="G179" t="str">
        <f>IF('Extraction edi'!L182="","",'Extraction edi'!L182)</f>
        <v/>
      </c>
      <c r="H179" t="str">
        <f>IF('Extraction edi'!M182="","",'Extraction edi'!M182)</f>
        <v/>
      </c>
      <c r="I179" s="1" t="str">
        <f>IF('Extraction edi'!N182="","",'Extraction edi'!N182)</f>
        <v/>
      </c>
      <c r="J179" s="1" t="str">
        <f>IF('Extraction edi'!O182="","",'Extraction edi'!O182)</f>
        <v/>
      </c>
      <c r="K179" s="1" t="str">
        <f>IF('Extraction edi'!P182="","",'Extraction edi'!P182)</f>
        <v/>
      </c>
      <c r="L179" s="1" t="str">
        <f>IF('Extraction edi'!Q182="laquage RAL :","OUI","")</f>
        <v/>
      </c>
      <c r="M179" s="1" t="str">
        <f>IF('Extraction edi'!R182&lt;&gt;"",'Extraction edi'!R182,IF(G179="ALU blanc","S9016",""))</f>
        <v/>
      </c>
      <c r="N179" s="1" t="str">
        <f>IF('Extraction edi'!S182&lt;&gt;"",'Extraction edi'!S182,IF(G179="ALU blanc","S9016",""))</f>
        <v/>
      </c>
      <c r="O179" s="11">
        <v>46088</v>
      </c>
      <c r="P179" s="1">
        <f t="shared" si="2"/>
        <v>6</v>
      </c>
    </row>
    <row r="180" spans="1:16" x14ac:dyDescent="0.25">
      <c r="A180" s="1" t="str">
        <f>IF(B180="","",CONCATENATE(B180,".",C180,"/Pos ",D180,"/",'Extraction edi'!G183))</f>
        <v/>
      </c>
      <c r="B180" s="1" t="str">
        <f>IF('Extraction edi'!A183="","",'Extraction edi'!A183)</f>
        <v/>
      </c>
      <c r="C180" s="1" t="str">
        <f>IF('Extraction edi'!B183="","",'Extraction edi'!B183)</f>
        <v/>
      </c>
      <c r="D180" s="1" t="str">
        <f>IF('Extraction edi'!H183="","",'Extraction edi'!H183)</f>
        <v/>
      </c>
      <c r="E180" s="1" t="str">
        <f>IF('Extraction edi'!I183="","",'Extraction edi'!I183)</f>
        <v/>
      </c>
      <c r="F180" t="str">
        <f>IF('Extraction edi'!K183="","",'Extraction edi'!K183)</f>
        <v/>
      </c>
      <c r="G180" t="str">
        <f>IF('Extraction edi'!L183="","",'Extraction edi'!L183)</f>
        <v/>
      </c>
      <c r="H180" t="str">
        <f>IF('Extraction edi'!M183="","",'Extraction edi'!M183)</f>
        <v/>
      </c>
      <c r="I180" s="1" t="str">
        <f>IF('Extraction edi'!N183="","",'Extraction edi'!N183)</f>
        <v/>
      </c>
      <c r="J180" s="1" t="str">
        <f>IF('Extraction edi'!O183="","",'Extraction edi'!O183)</f>
        <v/>
      </c>
      <c r="K180" s="1" t="str">
        <f>IF('Extraction edi'!P183="","",'Extraction edi'!P183)</f>
        <v/>
      </c>
      <c r="L180" s="1" t="str">
        <f>IF('Extraction edi'!Q183="laquage RAL :","OUI","")</f>
        <v/>
      </c>
      <c r="M180" s="1" t="str">
        <f>IF('Extraction edi'!R183&lt;&gt;"",'Extraction edi'!R183,IF(G180="ALU blanc","S9016",""))</f>
        <v/>
      </c>
      <c r="N180" s="1" t="str">
        <f>IF('Extraction edi'!S183&lt;&gt;"",'Extraction edi'!S183,IF(G180="ALU blanc","S9016",""))</f>
        <v/>
      </c>
      <c r="O180" s="11">
        <v>46089</v>
      </c>
      <c r="P180" s="1">
        <f t="shared" si="2"/>
        <v>7</v>
      </c>
    </row>
    <row r="181" spans="1:16" x14ac:dyDescent="0.25">
      <c r="A181" s="1" t="str">
        <f>IF(B181="","",CONCATENATE(B181,".",C181,"/Pos ",D181,"/",'Extraction edi'!G184))</f>
        <v/>
      </c>
      <c r="B181" s="1" t="str">
        <f>IF('Extraction edi'!A184="","",'Extraction edi'!A184)</f>
        <v/>
      </c>
      <c r="C181" s="1" t="str">
        <f>IF('Extraction edi'!B184="","",'Extraction edi'!B184)</f>
        <v/>
      </c>
      <c r="D181" s="1" t="str">
        <f>IF('Extraction edi'!H184="","",'Extraction edi'!H184)</f>
        <v/>
      </c>
      <c r="E181" s="1" t="str">
        <f>IF('Extraction edi'!I184="","",'Extraction edi'!I184)</f>
        <v/>
      </c>
      <c r="F181" t="str">
        <f>IF('Extraction edi'!K184="","",'Extraction edi'!K184)</f>
        <v/>
      </c>
      <c r="G181" t="str">
        <f>IF('Extraction edi'!L184="","",'Extraction edi'!L184)</f>
        <v/>
      </c>
      <c r="H181" t="str">
        <f>IF('Extraction edi'!M184="","",'Extraction edi'!M184)</f>
        <v/>
      </c>
      <c r="I181" s="1" t="str">
        <f>IF('Extraction edi'!N184="","",'Extraction edi'!N184)</f>
        <v/>
      </c>
      <c r="J181" s="1" t="str">
        <f>IF('Extraction edi'!O184="","",'Extraction edi'!O184)</f>
        <v/>
      </c>
      <c r="K181" s="1" t="str">
        <f>IF('Extraction edi'!P184="","",'Extraction edi'!P184)</f>
        <v/>
      </c>
      <c r="L181" s="1" t="str">
        <f>IF('Extraction edi'!Q184="laquage RAL :","OUI","")</f>
        <v/>
      </c>
      <c r="M181" s="1" t="str">
        <f>IF('Extraction edi'!R184&lt;&gt;"",'Extraction edi'!R184,IF(G181="ALU blanc","S9016",""))</f>
        <v/>
      </c>
      <c r="N181" s="1" t="str">
        <f>IF('Extraction edi'!S184&lt;&gt;"",'Extraction edi'!S184,IF(G181="ALU blanc","S9016",""))</f>
        <v/>
      </c>
      <c r="O181" s="11">
        <v>46090</v>
      </c>
      <c r="P181" s="1">
        <f t="shared" si="2"/>
        <v>1</v>
      </c>
    </row>
    <row r="182" spans="1:16" x14ac:dyDescent="0.25">
      <c r="A182" s="1" t="str">
        <f>IF(B182="","",CONCATENATE(B182,".",C182,"/Pos ",D182,"/",'Extraction edi'!G185))</f>
        <v/>
      </c>
      <c r="B182" s="1" t="str">
        <f>IF('Extraction edi'!A185="","",'Extraction edi'!A185)</f>
        <v/>
      </c>
      <c r="C182" s="1" t="str">
        <f>IF('Extraction edi'!B185="","",'Extraction edi'!B185)</f>
        <v/>
      </c>
      <c r="D182" s="1" t="str">
        <f>IF('Extraction edi'!H185="","",'Extraction edi'!H185)</f>
        <v/>
      </c>
      <c r="E182" s="1" t="str">
        <f>IF('Extraction edi'!I185="","",'Extraction edi'!I185)</f>
        <v/>
      </c>
      <c r="F182" t="str">
        <f>IF('Extraction edi'!K185="","",'Extraction edi'!K185)</f>
        <v/>
      </c>
      <c r="G182" t="str">
        <f>IF('Extraction edi'!L185="","",'Extraction edi'!L185)</f>
        <v/>
      </c>
      <c r="H182" t="str">
        <f>IF('Extraction edi'!M185="","",'Extraction edi'!M185)</f>
        <v/>
      </c>
      <c r="I182" s="1" t="str">
        <f>IF('Extraction edi'!N185="","",'Extraction edi'!N185)</f>
        <v/>
      </c>
      <c r="J182" s="1" t="str">
        <f>IF('Extraction edi'!O185="","",'Extraction edi'!O185)</f>
        <v/>
      </c>
      <c r="K182" s="1" t="str">
        <f>IF('Extraction edi'!P185="","",'Extraction edi'!P185)</f>
        <v/>
      </c>
      <c r="L182" s="1" t="str">
        <f>IF('Extraction edi'!Q185="laquage RAL :","OUI","")</f>
        <v/>
      </c>
      <c r="M182" s="1" t="str">
        <f>IF('Extraction edi'!R185&lt;&gt;"",'Extraction edi'!R185,IF(G182="ALU blanc","S9016",""))</f>
        <v/>
      </c>
      <c r="N182" s="1" t="str">
        <f>IF('Extraction edi'!S185&lt;&gt;"",'Extraction edi'!S185,IF(G182="ALU blanc","S9016",""))</f>
        <v/>
      </c>
      <c r="O182" s="11">
        <v>46091</v>
      </c>
      <c r="P182" s="1">
        <f t="shared" si="2"/>
        <v>2</v>
      </c>
    </row>
    <row r="183" spans="1:16" x14ac:dyDescent="0.25">
      <c r="A183" s="1" t="str">
        <f>IF(B183="","",CONCATENATE(B183,".",C183,"/Pos ",D183,"/",'Extraction edi'!G186))</f>
        <v/>
      </c>
      <c r="B183" s="1" t="str">
        <f>IF('Extraction edi'!A186="","",'Extraction edi'!A186)</f>
        <v/>
      </c>
      <c r="C183" s="1" t="str">
        <f>IF('Extraction edi'!B186="","",'Extraction edi'!B186)</f>
        <v/>
      </c>
      <c r="D183" s="1" t="str">
        <f>IF('Extraction edi'!H186="","",'Extraction edi'!H186)</f>
        <v/>
      </c>
      <c r="E183" s="1" t="str">
        <f>IF('Extraction edi'!I186="","",'Extraction edi'!I186)</f>
        <v/>
      </c>
      <c r="F183" t="str">
        <f>IF('Extraction edi'!K186="","",'Extraction edi'!K186)</f>
        <v/>
      </c>
      <c r="G183" t="str">
        <f>IF('Extraction edi'!L186="","",'Extraction edi'!L186)</f>
        <v/>
      </c>
      <c r="H183" t="str">
        <f>IF('Extraction edi'!M186="","",'Extraction edi'!M186)</f>
        <v/>
      </c>
      <c r="I183" s="1" t="str">
        <f>IF('Extraction edi'!N186="","",'Extraction edi'!N186)</f>
        <v/>
      </c>
      <c r="J183" s="1" t="str">
        <f>IF('Extraction edi'!O186="","",'Extraction edi'!O186)</f>
        <v/>
      </c>
      <c r="K183" s="1" t="str">
        <f>IF('Extraction edi'!P186="","",'Extraction edi'!P186)</f>
        <v/>
      </c>
      <c r="L183" s="1" t="str">
        <f>IF('Extraction edi'!Q186="laquage RAL :","OUI","")</f>
        <v/>
      </c>
      <c r="M183" s="1" t="str">
        <f>IF('Extraction edi'!R186&lt;&gt;"",'Extraction edi'!R186,IF(G183="ALU blanc","S9016",""))</f>
        <v/>
      </c>
      <c r="N183" s="1" t="str">
        <f>IF('Extraction edi'!S186&lt;&gt;"",'Extraction edi'!S186,IF(G183="ALU blanc","S9016",""))</f>
        <v/>
      </c>
      <c r="O183" s="11">
        <v>46092</v>
      </c>
      <c r="P183" s="1">
        <f t="shared" si="2"/>
        <v>3</v>
      </c>
    </row>
    <row r="184" spans="1:16" x14ac:dyDescent="0.25">
      <c r="A184" s="1" t="str">
        <f>IF(B184="","",CONCATENATE(B184,".",C184,"/Pos ",D184,"/",'Extraction edi'!G187))</f>
        <v/>
      </c>
      <c r="B184" s="1" t="str">
        <f>IF('Extraction edi'!A187="","",'Extraction edi'!A187)</f>
        <v/>
      </c>
      <c r="C184" s="1" t="str">
        <f>IF('Extraction edi'!B187="","",'Extraction edi'!B187)</f>
        <v/>
      </c>
      <c r="D184" s="1" t="str">
        <f>IF('Extraction edi'!H187="","",'Extraction edi'!H187)</f>
        <v/>
      </c>
      <c r="E184" s="1" t="str">
        <f>IF('Extraction edi'!I187="","",'Extraction edi'!I187)</f>
        <v/>
      </c>
      <c r="F184" t="str">
        <f>IF('Extraction edi'!K187="","",'Extraction edi'!K187)</f>
        <v/>
      </c>
      <c r="G184" t="str">
        <f>IF('Extraction edi'!L187="","",'Extraction edi'!L187)</f>
        <v/>
      </c>
      <c r="H184" t="str">
        <f>IF('Extraction edi'!M187="","",'Extraction edi'!M187)</f>
        <v/>
      </c>
      <c r="I184" s="1" t="str">
        <f>IF('Extraction edi'!N187="","",'Extraction edi'!N187)</f>
        <v/>
      </c>
      <c r="J184" s="1" t="str">
        <f>IF('Extraction edi'!O187="","",'Extraction edi'!O187)</f>
        <v/>
      </c>
      <c r="K184" s="1" t="str">
        <f>IF('Extraction edi'!P187="","",'Extraction edi'!P187)</f>
        <v/>
      </c>
      <c r="L184" s="1" t="str">
        <f>IF('Extraction edi'!Q187="laquage RAL :","OUI","")</f>
        <v/>
      </c>
      <c r="M184" s="1" t="str">
        <f>IF('Extraction edi'!R187&lt;&gt;"",'Extraction edi'!R187,IF(G184="ALU blanc","S9016",""))</f>
        <v/>
      </c>
      <c r="N184" s="1" t="str">
        <f>IF('Extraction edi'!S187&lt;&gt;"",'Extraction edi'!S187,IF(G184="ALU blanc","S9016",""))</f>
        <v/>
      </c>
      <c r="O184" s="11">
        <v>46093</v>
      </c>
      <c r="P184" s="1">
        <f t="shared" si="2"/>
        <v>4</v>
      </c>
    </row>
    <row r="185" spans="1:16" x14ac:dyDescent="0.25">
      <c r="A185" s="1" t="str">
        <f>IF(B185="","",CONCATENATE(B185,".",C185,"/Pos ",D185,"/",'Extraction edi'!G188))</f>
        <v/>
      </c>
      <c r="B185" s="1" t="str">
        <f>IF('Extraction edi'!A188="","",'Extraction edi'!A188)</f>
        <v/>
      </c>
      <c r="C185" s="1" t="str">
        <f>IF('Extraction edi'!B188="","",'Extraction edi'!B188)</f>
        <v/>
      </c>
      <c r="D185" s="1" t="str">
        <f>IF('Extraction edi'!H188="","",'Extraction edi'!H188)</f>
        <v/>
      </c>
      <c r="E185" s="1" t="str">
        <f>IF('Extraction edi'!I188="","",'Extraction edi'!I188)</f>
        <v/>
      </c>
      <c r="F185" t="str">
        <f>IF('Extraction edi'!K188="","",'Extraction edi'!K188)</f>
        <v/>
      </c>
      <c r="G185" t="str">
        <f>IF('Extraction edi'!L188="","",'Extraction edi'!L188)</f>
        <v/>
      </c>
      <c r="H185" t="str">
        <f>IF('Extraction edi'!M188="","",'Extraction edi'!M188)</f>
        <v/>
      </c>
      <c r="I185" s="1" t="str">
        <f>IF('Extraction edi'!N188="","",'Extraction edi'!N188)</f>
        <v/>
      </c>
      <c r="J185" s="1" t="str">
        <f>IF('Extraction edi'!O188="","",'Extraction edi'!O188)</f>
        <v/>
      </c>
      <c r="K185" s="1" t="str">
        <f>IF('Extraction edi'!P188="","",'Extraction edi'!P188)</f>
        <v/>
      </c>
      <c r="L185" s="1" t="str">
        <f>IF('Extraction edi'!Q188="laquage RAL :","OUI","")</f>
        <v/>
      </c>
      <c r="M185" s="1" t="str">
        <f>IF('Extraction edi'!R188&lt;&gt;"",'Extraction edi'!R188,IF(G185="ALU blanc","S9016",""))</f>
        <v/>
      </c>
      <c r="N185" s="1" t="str">
        <f>IF('Extraction edi'!S188&lt;&gt;"",'Extraction edi'!S188,IF(G185="ALU blanc","S9016",""))</f>
        <v/>
      </c>
      <c r="O185" s="11">
        <v>46094</v>
      </c>
      <c r="P185" s="1">
        <f t="shared" si="2"/>
        <v>5</v>
      </c>
    </row>
    <row r="186" spans="1:16" x14ac:dyDescent="0.25">
      <c r="A186" s="1" t="str">
        <f>IF(B186="","",CONCATENATE(B186,".",C186,"/Pos ",D186,"/",'Extraction edi'!G189))</f>
        <v/>
      </c>
      <c r="B186" s="1" t="str">
        <f>IF('Extraction edi'!A189="","",'Extraction edi'!A189)</f>
        <v/>
      </c>
      <c r="C186" s="1" t="str">
        <f>IF('Extraction edi'!B189="","",'Extraction edi'!B189)</f>
        <v/>
      </c>
      <c r="D186" s="1" t="str">
        <f>IF('Extraction edi'!H189="","",'Extraction edi'!H189)</f>
        <v/>
      </c>
      <c r="E186" s="1" t="str">
        <f>IF('Extraction edi'!I189="","",'Extraction edi'!I189)</f>
        <v/>
      </c>
      <c r="F186" t="str">
        <f>IF('Extraction edi'!K189="","",'Extraction edi'!K189)</f>
        <v/>
      </c>
      <c r="G186" t="str">
        <f>IF('Extraction edi'!L189="","",'Extraction edi'!L189)</f>
        <v/>
      </c>
      <c r="H186" t="str">
        <f>IF('Extraction edi'!M189="","",'Extraction edi'!M189)</f>
        <v/>
      </c>
      <c r="I186" s="1" t="str">
        <f>IF('Extraction edi'!N189="","",'Extraction edi'!N189)</f>
        <v/>
      </c>
      <c r="J186" s="1" t="str">
        <f>IF('Extraction edi'!O189="","",'Extraction edi'!O189)</f>
        <v/>
      </c>
      <c r="K186" s="1" t="str">
        <f>IF('Extraction edi'!P189="","",'Extraction edi'!P189)</f>
        <v/>
      </c>
      <c r="L186" s="1" t="str">
        <f>IF('Extraction edi'!Q189="laquage RAL :","OUI","")</f>
        <v/>
      </c>
      <c r="M186" s="1" t="str">
        <f>IF('Extraction edi'!R189&lt;&gt;"",'Extraction edi'!R189,IF(G186="ALU blanc","S9016",""))</f>
        <v/>
      </c>
      <c r="N186" s="1" t="str">
        <f>IF('Extraction edi'!S189&lt;&gt;"",'Extraction edi'!S189,IF(G186="ALU blanc","S9016",""))</f>
        <v/>
      </c>
      <c r="O186" s="11">
        <v>46095</v>
      </c>
      <c r="P186" s="1">
        <f t="shared" si="2"/>
        <v>6</v>
      </c>
    </row>
    <row r="187" spans="1:16" x14ac:dyDescent="0.25">
      <c r="A187" s="1" t="str">
        <f>IF(B187="","",CONCATENATE(B187,".",C187,"/Pos ",D187,"/",'Extraction edi'!G190))</f>
        <v/>
      </c>
      <c r="B187" s="1" t="str">
        <f>IF('Extraction edi'!A190="","",'Extraction edi'!A190)</f>
        <v/>
      </c>
      <c r="C187" s="1" t="str">
        <f>IF('Extraction edi'!B190="","",'Extraction edi'!B190)</f>
        <v/>
      </c>
      <c r="D187" s="1" t="str">
        <f>IF('Extraction edi'!H190="","",'Extraction edi'!H190)</f>
        <v/>
      </c>
      <c r="E187" s="1" t="str">
        <f>IF('Extraction edi'!I190="","",'Extraction edi'!I190)</f>
        <v/>
      </c>
      <c r="F187" t="str">
        <f>IF('Extraction edi'!K190="","",'Extraction edi'!K190)</f>
        <v/>
      </c>
      <c r="G187" t="str">
        <f>IF('Extraction edi'!L190="","",'Extraction edi'!L190)</f>
        <v/>
      </c>
      <c r="H187" t="str">
        <f>IF('Extraction edi'!M190="","",'Extraction edi'!M190)</f>
        <v/>
      </c>
      <c r="I187" s="1" t="str">
        <f>IF('Extraction edi'!N190="","",'Extraction edi'!N190)</f>
        <v/>
      </c>
      <c r="J187" s="1" t="str">
        <f>IF('Extraction edi'!O190="","",'Extraction edi'!O190)</f>
        <v/>
      </c>
      <c r="K187" s="1" t="str">
        <f>IF('Extraction edi'!P190="","",'Extraction edi'!P190)</f>
        <v/>
      </c>
      <c r="L187" s="1" t="str">
        <f>IF('Extraction edi'!Q190="laquage RAL :","OUI","")</f>
        <v/>
      </c>
      <c r="M187" s="1" t="str">
        <f>IF('Extraction edi'!R190&lt;&gt;"",'Extraction edi'!R190,IF(G187="ALU blanc","S9016",""))</f>
        <v/>
      </c>
      <c r="N187" s="1" t="str">
        <f>IF('Extraction edi'!S190&lt;&gt;"",'Extraction edi'!S190,IF(G187="ALU blanc","S9016",""))</f>
        <v/>
      </c>
      <c r="O187" s="11">
        <v>46096</v>
      </c>
      <c r="P187" s="1">
        <f t="shared" si="2"/>
        <v>7</v>
      </c>
    </row>
    <row r="188" spans="1:16" x14ac:dyDescent="0.25">
      <c r="A188" s="1" t="str">
        <f>IF(B188="","",CONCATENATE(B188,".",C188,"/Pos ",D188,"/",'Extraction edi'!G191))</f>
        <v/>
      </c>
      <c r="B188" s="1" t="str">
        <f>IF('Extraction edi'!A191="","",'Extraction edi'!A191)</f>
        <v/>
      </c>
      <c r="C188" s="1" t="str">
        <f>IF('Extraction edi'!B191="","",'Extraction edi'!B191)</f>
        <v/>
      </c>
      <c r="D188" s="1" t="str">
        <f>IF('Extraction edi'!H191="","",'Extraction edi'!H191)</f>
        <v/>
      </c>
      <c r="E188" s="1" t="str">
        <f>IF('Extraction edi'!I191="","",'Extraction edi'!I191)</f>
        <v/>
      </c>
      <c r="F188" t="str">
        <f>IF('Extraction edi'!K191="","",'Extraction edi'!K191)</f>
        <v/>
      </c>
      <c r="G188" t="str">
        <f>IF('Extraction edi'!L191="","",'Extraction edi'!L191)</f>
        <v/>
      </c>
      <c r="H188" t="str">
        <f>IF('Extraction edi'!M191="","",'Extraction edi'!M191)</f>
        <v/>
      </c>
      <c r="I188" s="1" t="str">
        <f>IF('Extraction edi'!N191="","",'Extraction edi'!N191)</f>
        <v/>
      </c>
      <c r="J188" s="1" t="str">
        <f>IF('Extraction edi'!O191="","",'Extraction edi'!O191)</f>
        <v/>
      </c>
      <c r="K188" s="1" t="str">
        <f>IF('Extraction edi'!P191="","",'Extraction edi'!P191)</f>
        <v/>
      </c>
      <c r="L188" s="1" t="str">
        <f>IF('Extraction edi'!Q191="laquage RAL :","OUI","")</f>
        <v/>
      </c>
      <c r="M188" s="1" t="str">
        <f>IF('Extraction edi'!R191&lt;&gt;"",'Extraction edi'!R191,IF(G188="ALU blanc","S9016",""))</f>
        <v/>
      </c>
      <c r="N188" s="1" t="str">
        <f>IF('Extraction edi'!S191&lt;&gt;"",'Extraction edi'!S191,IF(G188="ALU blanc","S9016",""))</f>
        <v/>
      </c>
      <c r="O188" s="11">
        <v>46097</v>
      </c>
      <c r="P188" s="1">
        <f t="shared" si="2"/>
        <v>1</v>
      </c>
    </row>
    <row r="189" spans="1:16" x14ac:dyDescent="0.25">
      <c r="A189" s="1" t="str">
        <f>IF(B189="","",CONCATENATE(B189,".",C189,"/Pos ",D189,"/",'Extraction edi'!G192))</f>
        <v/>
      </c>
      <c r="B189" s="1" t="str">
        <f>IF('Extraction edi'!A192="","",'Extraction edi'!A192)</f>
        <v/>
      </c>
      <c r="C189" s="1" t="str">
        <f>IF('Extraction edi'!B192="","",'Extraction edi'!B192)</f>
        <v/>
      </c>
      <c r="D189" s="1" t="str">
        <f>IF('Extraction edi'!H192="","",'Extraction edi'!H192)</f>
        <v/>
      </c>
      <c r="E189" s="1" t="str">
        <f>IF('Extraction edi'!I192="","",'Extraction edi'!I192)</f>
        <v/>
      </c>
      <c r="F189" t="str">
        <f>IF('Extraction edi'!K192="","",'Extraction edi'!K192)</f>
        <v/>
      </c>
      <c r="G189" t="str">
        <f>IF('Extraction edi'!L192="","",'Extraction edi'!L192)</f>
        <v/>
      </c>
      <c r="H189" t="str">
        <f>IF('Extraction edi'!M192="","",'Extraction edi'!M192)</f>
        <v/>
      </c>
      <c r="I189" s="1" t="str">
        <f>IF('Extraction edi'!N192="","",'Extraction edi'!N192)</f>
        <v/>
      </c>
      <c r="J189" s="1" t="str">
        <f>IF('Extraction edi'!O192="","",'Extraction edi'!O192)</f>
        <v/>
      </c>
      <c r="K189" s="1" t="str">
        <f>IF('Extraction edi'!P192="","",'Extraction edi'!P192)</f>
        <v/>
      </c>
      <c r="L189" s="1" t="str">
        <f>IF('Extraction edi'!Q192="laquage RAL :","OUI","")</f>
        <v/>
      </c>
      <c r="M189" s="1" t="str">
        <f>IF('Extraction edi'!R192&lt;&gt;"",'Extraction edi'!R192,IF(G189="ALU blanc","S9016",""))</f>
        <v/>
      </c>
      <c r="N189" s="1" t="str">
        <f>IF('Extraction edi'!S192&lt;&gt;"",'Extraction edi'!S192,IF(G189="ALU blanc","S9016",""))</f>
        <v/>
      </c>
      <c r="O189" s="11">
        <v>46098</v>
      </c>
      <c r="P189" s="1">
        <f t="shared" si="2"/>
        <v>2</v>
      </c>
    </row>
    <row r="190" spans="1:16" x14ac:dyDescent="0.25">
      <c r="A190" s="1" t="str">
        <f>IF(B190="","",CONCATENATE(B190,".",C190,"/Pos ",D190,"/",'Extraction edi'!G193))</f>
        <v/>
      </c>
      <c r="B190" s="1" t="str">
        <f>IF('Extraction edi'!A193="","",'Extraction edi'!A193)</f>
        <v/>
      </c>
      <c r="C190" s="1" t="str">
        <f>IF('Extraction edi'!B193="","",'Extraction edi'!B193)</f>
        <v/>
      </c>
      <c r="D190" s="1" t="str">
        <f>IF('Extraction edi'!H193="","",'Extraction edi'!H193)</f>
        <v/>
      </c>
      <c r="E190" s="1" t="str">
        <f>IF('Extraction edi'!I193="","",'Extraction edi'!I193)</f>
        <v/>
      </c>
      <c r="F190" t="str">
        <f>IF('Extraction edi'!K193="","",'Extraction edi'!K193)</f>
        <v/>
      </c>
      <c r="G190" t="str">
        <f>IF('Extraction edi'!L193="","",'Extraction edi'!L193)</f>
        <v/>
      </c>
      <c r="H190" t="str">
        <f>IF('Extraction edi'!M193="","",'Extraction edi'!M193)</f>
        <v/>
      </c>
      <c r="I190" s="1" t="str">
        <f>IF('Extraction edi'!N193="","",'Extraction edi'!N193)</f>
        <v/>
      </c>
      <c r="J190" s="1" t="str">
        <f>IF('Extraction edi'!O193="","",'Extraction edi'!O193)</f>
        <v/>
      </c>
      <c r="K190" s="1" t="str">
        <f>IF('Extraction edi'!P193="","",'Extraction edi'!P193)</f>
        <v/>
      </c>
      <c r="L190" s="1" t="str">
        <f>IF('Extraction edi'!Q193="laquage RAL :","OUI","")</f>
        <v/>
      </c>
      <c r="M190" s="1" t="str">
        <f>IF('Extraction edi'!R193&lt;&gt;"",'Extraction edi'!R193,IF(G190="ALU blanc","S9016",""))</f>
        <v/>
      </c>
      <c r="N190" s="1" t="str">
        <f>IF('Extraction edi'!S193&lt;&gt;"",'Extraction edi'!S193,IF(G190="ALU blanc","S9016",""))</f>
        <v/>
      </c>
      <c r="O190" s="11">
        <v>46099</v>
      </c>
      <c r="P190" s="1">
        <f t="shared" ref="P190:P253" si="3">WEEKDAY(O190,2)</f>
        <v>3</v>
      </c>
    </row>
    <row r="191" spans="1:16" x14ac:dyDescent="0.25">
      <c r="A191" s="1" t="str">
        <f>IF(B191="","",CONCATENATE(B191,".",C191,"/Pos ",D191,"/",'Extraction edi'!G194))</f>
        <v/>
      </c>
      <c r="B191" s="1" t="str">
        <f>IF('Extraction edi'!A194="","",'Extraction edi'!A194)</f>
        <v/>
      </c>
      <c r="C191" s="1" t="str">
        <f>IF('Extraction edi'!B194="","",'Extraction edi'!B194)</f>
        <v/>
      </c>
      <c r="D191" s="1" t="str">
        <f>IF('Extraction edi'!H194="","",'Extraction edi'!H194)</f>
        <v/>
      </c>
      <c r="E191" s="1" t="str">
        <f>IF('Extraction edi'!I194="","",'Extraction edi'!I194)</f>
        <v/>
      </c>
      <c r="F191" t="str">
        <f>IF('Extraction edi'!K194="","",'Extraction edi'!K194)</f>
        <v/>
      </c>
      <c r="G191" t="str">
        <f>IF('Extraction edi'!L194="","",'Extraction edi'!L194)</f>
        <v/>
      </c>
      <c r="H191" t="str">
        <f>IF('Extraction edi'!M194="","",'Extraction edi'!M194)</f>
        <v/>
      </c>
      <c r="I191" s="1" t="str">
        <f>IF('Extraction edi'!N194="","",'Extraction edi'!N194)</f>
        <v/>
      </c>
      <c r="J191" s="1" t="str">
        <f>IF('Extraction edi'!O194="","",'Extraction edi'!O194)</f>
        <v/>
      </c>
      <c r="K191" s="1" t="str">
        <f>IF('Extraction edi'!P194="","",'Extraction edi'!P194)</f>
        <v/>
      </c>
      <c r="L191" s="1" t="str">
        <f>IF('Extraction edi'!Q194="laquage RAL :","OUI","")</f>
        <v/>
      </c>
      <c r="M191" s="1" t="str">
        <f>IF('Extraction edi'!R194&lt;&gt;"",'Extraction edi'!R194,IF(G191="ALU blanc","S9016",""))</f>
        <v/>
      </c>
      <c r="N191" s="1" t="str">
        <f>IF('Extraction edi'!S194&lt;&gt;"",'Extraction edi'!S194,IF(G191="ALU blanc","S9016",""))</f>
        <v/>
      </c>
      <c r="O191" s="11">
        <v>46100</v>
      </c>
      <c r="P191" s="1">
        <f t="shared" si="3"/>
        <v>4</v>
      </c>
    </row>
    <row r="192" spans="1:16" x14ac:dyDescent="0.25">
      <c r="A192" s="1" t="str">
        <f>IF(B192="","",CONCATENATE(B192,".",C192,"/Pos ",D192,"/",'Extraction edi'!G195))</f>
        <v/>
      </c>
      <c r="B192" s="1" t="str">
        <f>IF('Extraction edi'!A195="","",'Extraction edi'!A195)</f>
        <v/>
      </c>
      <c r="C192" s="1" t="str">
        <f>IF('Extraction edi'!B195="","",'Extraction edi'!B195)</f>
        <v/>
      </c>
      <c r="D192" s="1" t="str">
        <f>IF('Extraction edi'!H195="","",'Extraction edi'!H195)</f>
        <v/>
      </c>
      <c r="E192" s="1" t="str">
        <f>IF('Extraction edi'!I195="","",'Extraction edi'!I195)</f>
        <v/>
      </c>
      <c r="F192" t="str">
        <f>IF('Extraction edi'!K195="","",'Extraction edi'!K195)</f>
        <v/>
      </c>
      <c r="G192" t="str">
        <f>IF('Extraction edi'!L195="","",'Extraction edi'!L195)</f>
        <v/>
      </c>
      <c r="H192" t="str">
        <f>IF('Extraction edi'!M195="","",'Extraction edi'!M195)</f>
        <v/>
      </c>
      <c r="I192" s="1" t="str">
        <f>IF('Extraction edi'!N195="","",'Extraction edi'!N195)</f>
        <v/>
      </c>
      <c r="J192" s="1" t="str">
        <f>IF('Extraction edi'!O195="","",'Extraction edi'!O195)</f>
        <v/>
      </c>
      <c r="K192" s="1" t="str">
        <f>IF('Extraction edi'!P195="","",'Extraction edi'!P195)</f>
        <v/>
      </c>
      <c r="L192" s="1" t="str">
        <f>IF('Extraction edi'!Q195="laquage RAL :","OUI","")</f>
        <v/>
      </c>
      <c r="M192" s="1" t="str">
        <f>IF('Extraction edi'!R195&lt;&gt;"",'Extraction edi'!R195,IF(G192="ALU blanc","S9016",""))</f>
        <v/>
      </c>
      <c r="N192" s="1" t="str">
        <f>IF('Extraction edi'!S195&lt;&gt;"",'Extraction edi'!S195,IF(G192="ALU blanc","S9016",""))</f>
        <v/>
      </c>
      <c r="O192" s="11">
        <v>46101</v>
      </c>
      <c r="P192" s="1">
        <f t="shared" si="3"/>
        <v>5</v>
      </c>
    </row>
    <row r="193" spans="1:16" x14ac:dyDescent="0.25">
      <c r="A193" s="1" t="str">
        <f>IF(B193="","",CONCATENATE(B193,".",C193,"/Pos ",D193,"/",'Extraction edi'!G196))</f>
        <v/>
      </c>
      <c r="B193" s="1" t="str">
        <f>IF('Extraction edi'!A196="","",'Extraction edi'!A196)</f>
        <v/>
      </c>
      <c r="C193" s="1" t="str">
        <f>IF('Extraction edi'!B196="","",'Extraction edi'!B196)</f>
        <v/>
      </c>
      <c r="D193" s="1" t="str">
        <f>IF('Extraction edi'!H196="","",'Extraction edi'!H196)</f>
        <v/>
      </c>
      <c r="E193" s="1" t="str">
        <f>IF('Extraction edi'!I196="","",'Extraction edi'!I196)</f>
        <v/>
      </c>
      <c r="F193" t="str">
        <f>IF('Extraction edi'!K196="","",'Extraction edi'!K196)</f>
        <v/>
      </c>
      <c r="G193" t="str">
        <f>IF('Extraction edi'!L196="","",'Extraction edi'!L196)</f>
        <v/>
      </c>
      <c r="H193" t="str">
        <f>IF('Extraction edi'!M196="","",'Extraction edi'!M196)</f>
        <v/>
      </c>
      <c r="I193" s="1" t="str">
        <f>IF('Extraction edi'!N196="","",'Extraction edi'!N196)</f>
        <v/>
      </c>
      <c r="J193" s="1" t="str">
        <f>IF('Extraction edi'!O196="","",'Extraction edi'!O196)</f>
        <v/>
      </c>
      <c r="K193" s="1" t="str">
        <f>IF('Extraction edi'!P196="","",'Extraction edi'!P196)</f>
        <v/>
      </c>
      <c r="L193" s="1" t="str">
        <f>IF('Extraction edi'!Q196="laquage RAL :","OUI","")</f>
        <v/>
      </c>
      <c r="M193" s="1" t="str">
        <f>IF('Extraction edi'!R196&lt;&gt;"",'Extraction edi'!R196,IF(G193="ALU blanc","S9016",""))</f>
        <v/>
      </c>
      <c r="N193" s="1" t="str">
        <f>IF('Extraction edi'!S196&lt;&gt;"",'Extraction edi'!S196,IF(G193="ALU blanc","S9016",""))</f>
        <v/>
      </c>
      <c r="O193" s="11">
        <v>46102</v>
      </c>
      <c r="P193" s="1">
        <f t="shared" si="3"/>
        <v>6</v>
      </c>
    </row>
    <row r="194" spans="1:16" x14ac:dyDescent="0.25">
      <c r="A194" s="1" t="str">
        <f>IF(B194="","",CONCATENATE(B194,".",C194,"/Pos ",D194,"/",'Extraction edi'!G197))</f>
        <v/>
      </c>
      <c r="B194" s="1" t="str">
        <f>IF('Extraction edi'!A197="","",'Extraction edi'!A197)</f>
        <v/>
      </c>
      <c r="C194" s="1" t="str">
        <f>IF('Extraction edi'!B197="","",'Extraction edi'!B197)</f>
        <v/>
      </c>
      <c r="D194" s="1" t="str">
        <f>IF('Extraction edi'!H197="","",'Extraction edi'!H197)</f>
        <v/>
      </c>
      <c r="E194" s="1" t="str">
        <f>IF('Extraction edi'!I197="","",'Extraction edi'!I197)</f>
        <v/>
      </c>
      <c r="F194" t="str">
        <f>IF('Extraction edi'!K197="","",'Extraction edi'!K197)</f>
        <v/>
      </c>
      <c r="G194" t="str">
        <f>IF('Extraction edi'!L197="","",'Extraction edi'!L197)</f>
        <v/>
      </c>
      <c r="H194" t="str">
        <f>IF('Extraction edi'!M197="","",'Extraction edi'!M197)</f>
        <v/>
      </c>
      <c r="I194" s="1" t="str">
        <f>IF('Extraction edi'!N197="","",'Extraction edi'!N197)</f>
        <v/>
      </c>
      <c r="J194" s="1" t="str">
        <f>IF('Extraction edi'!O197="","",'Extraction edi'!O197)</f>
        <v/>
      </c>
      <c r="K194" s="1" t="str">
        <f>IF('Extraction edi'!P197="","",'Extraction edi'!P197)</f>
        <v/>
      </c>
      <c r="L194" s="1" t="str">
        <f>IF('Extraction edi'!Q197="laquage RAL :","OUI","")</f>
        <v/>
      </c>
      <c r="M194" s="1" t="str">
        <f>IF('Extraction edi'!R197&lt;&gt;"",'Extraction edi'!R197,IF(G194="ALU blanc","S9016",""))</f>
        <v/>
      </c>
      <c r="N194" s="1" t="str">
        <f>IF('Extraction edi'!S197&lt;&gt;"",'Extraction edi'!S197,IF(G194="ALU blanc","S9016",""))</f>
        <v/>
      </c>
      <c r="O194" s="11">
        <v>46103</v>
      </c>
      <c r="P194" s="1">
        <f t="shared" si="3"/>
        <v>7</v>
      </c>
    </row>
    <row r="195" spans="1:16" x14ac:dyDescent="0.25">
      <c r="A195" s="1" t="str">
        <f>IF(B195="","",CONCATENATE(B195,".",C195,"/Pos ",D195,"/",'Extraction edi'!G198))</f>
        <v/>
      </c>
      <c r="B195" s="1" t="str">
        <f>IF('Extraction edi'!A198="","",'Extraction edi'!A198)</f>
        <v/>
      </c>
      <c r="C195" s="1" t="str">
        <f>IF('Extraction edi'!B198="","",'Extraction edi'!B198)</f>
        <v/>
      </c>
      <c r="D195" s="1" t="str">
        <f>IF('Extraction edi'!H198="","",'Extraction edi'!H198)</f>
        <v/>
      </c>
      <c r="E195" s="1" t="str">
        <f>IF('Extraction edi'!I198="","",'Extraction edi'!I198)</f>
        <v/>
      </c>
      <c r="F195" t="str">
        <f>IF('Extraction edi'!K198="","",'Extraction edi'!K198)</f>
        <v/>
      </c>
      <c r="G195" t="str">
        <f>IF('Extraction edi'!L198="","",'Extraction edi'!L198)</f>
        <v/>
      </c>
      <c r="H195" t="str">
        <f>IF('Extraction edi'!M198="","",'Extraction edi'!M198)</f>
        <v/>
      </c>
      <c r="I195" s="1" t="str">
        <f>IF('Extraction edi'!N198="","",'Extraction edi'!N198)</f>
        <v/>
      </c>
      <c r="J195" s="1" t="str">
        <f>IF('Extraction edi'!O198="","",'Extraction edi'!O198)</f>
        <v/>
      </c>
      <c r="K195" s="1" t="str">
        <f>IF('Extraction edi'!P198="","",'Extraction edi'!P198)</f>
        <v/>
      </c>
      <c r="L195" s="1" t="str">
        <f>IF('Extraction edi'!Q198="laquage RAL :","OUI","")</f>
        <v/>
      </c>
      <c r="M195" s="1" t="str">
        <f>IF('Extraction edi'!R198&lt;&gt;"",'Extraction edi'!R198,IF(G195="ALU blanc","S9016",""))</f>
        <v/>
      </c>
      <c r="N195" s="1" t="str">
        <f>IF('Extraction edi'!S198&lt;&gt;"",'Extraction edi'!S198,IF(G195="ALU blanc","S9016",""))</f>
        <v/>
      </c>
      <c r="O195" s="11">
        <v>46104</v>
      </c>
      <c r="P195" s="1">
        <f t="shared" si="3"/>
        <v>1</v>
      </c>
    </row>
    <row r="196" spans="1:16" x14ac:dyDescent="0.25">
      <c r="A196" s="1" t="str">
        <f>IF(B196="","",CONCATENATE(B196,".",C196,"/Pos ",D196,"/",'Extraction edi'!G199))</f>
        <v/>
      </c>
      <c r="B196" s="1" t="str">
        <f>IF('Extraction edi'!A199="","",'Extraction edi'!A199)</f>
        <v/>
      </c>
      <c r="C196" s="1" t="str">
        <f>IF('Extraction edi'!B199="","",'Extraction edi'!B199)</f>
        <v/>
      </c>
      <c r="D196" s="1" t="str">
        <f>IF('Extraction edi'!H199="","",'Extraction edi'!H199)</f>
        <v/>
      </c>
      <c r="E196" s="1" t="str">
        <f>IF('Extraction edi'!I199="","",'Extraction edi'!I199)</f>
        <v/>
      </c>
      <c r="F196" t="str">
        <f>IF('Extraction edi'!K199="","",'Extraction edi'!K199)</f>
        <v/>
      </c>
      <c r="G196" t="str">
        <f>IF('Extraction edi'!L199="","",'Extraction edi'!L199)</f>
        <v/>
      </c>
      <c r="H196" t="str">
        <f>IF('Extraction edi'!M199="","",'Extraction edi'!M199)</f>
        <v/>
      </c>
      <c r="I196" s="1" t="str">
        <f>IF('Extraction edi'!N199="","",'Extraction edi'!N199)</f>
        <v/>
      </c>
      <c r="J196" s="1" t="str">
        <f>IF('Extraction edi'!O199="","",'Extraction edi'!O199)</f>
        <v/>
      </c>
      <c r="K196" s="1" t="str">
        <f>IF('Extraction edi'!P199="","",'Extraction edi'!P199)</f>
        <v/>
      </c>
      <c r="L196" s="1" t="str">
        <f>IF('Extraction edi'!Q199="laquage RAL :","OUI","")</f>
        <v/>
      </c>
      <c r="M196" s="1" t="str">
        <f>IF('Extraction edi'!R199&lt;&gt;"",'Extraction edi'!R199,IF(G196="ALU blanc","S9016",""))</f>
        <v/>
      </c>
      <c r="N196" s="1" t="str">
        <f>IF('Extraction edi'!S199&lt;&gt;"",'Extraction edi'!S199,IF(G196="ALU blanc","S9016",""))</f>
        <v/>
      </c>
      <c r="O196" s="11">
        <v>46105</v>
      </c>
      <c r="P196" s="1">
        <f t="shared" si="3"/>
        <v>2</v>
      </c>
    </row>
    <row r="197" spans="1:16" x14ac:dyDescent="0.25">
      <c r="A197" s="1" t="str">
        <f>IF(B197="","",CONCATENATE(B197,".",C197,"/Pos ",D197,"/",'Extraction edi'!G200))</f>
        <v/>
      </c>
      <c r="B197" s="1" t="str">
        <f>IF('Extraction edi'!A200="","",'Extraction edi'!A200)</f>
        <v/>
      </c>
      <c r="C197" s="1" t="str">
        <f>IF('Extraction edi'!B200="","",'Extraction edi'!B200)</f>
        <v/>
      </c>
      <c r="D197" s="1" t="str">
        <f>IF('Extraction edi'!H200="","",'Extraction edi'!H200)</f>
        <v/>
      </c>
      <c r="E197" s="1" t="str">
        <f>IF('Extraction edi'!I200="","",'Extraction edi'!I200)</f>
        <v/>
      </c>
      <c r="F197" t="str">
        <f>IF('Extraction edi'!K200="","",'Extraction edi'!K200)</f>
        <v/>
      </c>
      <c r="G197" t="str">
        <f>IF('Extraction edi'!L200="","",'Extraction edi'!L200)</f>
        <v/>
      </c>
      <c r="H197" t="str">
        <f>IF('Extraction edi'!M200="","",'Extraction edi'!M200)</f>
        <v/>
      </c>
      <c r="I197" s="1" t="str">
        <f>IF('Extraction edi'!N200="","",'Extraction edi'!N200)</f>
        <v/>
      </c>
      <c r="J197" s="1" t="str">
        <f>IF('Extraction edi'!O200="","",'Extraction edi'!O200)</f>
        <v/>
      </c>
      <c r="K197" s="1" t="str">
        <f>IF('Extraction edi'!P200="","",'Extraction edi'!P200)</f>
        <v/>
      </c>
      <c r="L197" s="1" t="str">
        <f>IF('Extraction edi'!Q200="laquage RAL :","OUI","")</f>
        <v/>
      </c>
      <c r="M197" s="1" t="str">
        <f>IF('Extraction edi'!R200&lt;&gt;"",'Extraction edi'!R200,IF(G197="ALU blanc","S9016",""))</f>
        <v/>
      </c>
      <c r="N197" s="1" t="str">
        <f>IF('Extraction edi'!S200&lt;&gt;"",'Extraction edi'!S200,IF(G197="ALU blanc","S9016",""))</f>
        <v/>
      </c>
      <c r="O197" s="11">
        <v>46106</v>
      </c>
      <c r="P197" s="1">
        <f t="shared" si="3"/>
        <v>3</v>
      </c>
    </row>
    <row r="198" spans="1:16" x14ac:dyDescent="0.25">
      <c r="A198" s="1" t="str">
        <f>IF(B198="","",CONCATENATE(B198,".",C198,"/Pos ",D198,"/",'Extraction edi'!G201))</f>
        <v/>
      </c>
      <c r="B198" s="1" t="str">
        <f>IF('Extraction edi'!A201="","",'Extraction edi'!A201)</f>
        <v/>
      </c>
      <c r="C198" s="1" t="str">
        <f>IF('Extraction edi'!B201="","",'Extraction edi'!B201)</f>
        <v/>
      </c>
      <c r="D198" s="1" t="str">
        <f>IF('Extraction edi'!H201="","",'Extraction edi'!H201)</f>
        <v/>
      </c>
      <c r="E198" s="1" t="str">
        <f>IF('Extraction edi'!I201="","",'Extraction edi'!I201)</f>
        <v/>
      </c>
      <c r="F198" t="str">
        <f>IF('Extraction edi'!K201="","",'Extraction edi'!K201)</f>
        <v/>
      </c>
      <c r="G198" t="str">
        <f>IF('Extraction edi'!L201="","",'Extraction edi'!L201)</f>
        <v/>
      </c>
      <c r="H198" t="str">
        <f>IF('Extraction edi'!M201="","",'Extraction edi'!M201)</f>
        <v/>
      </c>
      <c r="I198" s="1" t="str">
        <f>IF('Extraction edi'!N201="","",'Extraction edi'!N201)</f>
        <v/>
      </c>
      <c r="J198" s="1" t="str">
        <f>IF('Extraction edi'!O201="","",'Extraction edi'!O201)</f>
        <v/>
      </c>
      <c r="K198" s="1" t="str">
        <f>IF('Extraction edi'!P201="","",'Extraction edi'!P201)</f>
        <v/>
      </c>
      <c r="L198" s="1" t="str">
        <f>IF('Extraction edi'!Q201="laquage RAL :","OUI","")</f>
        <v/>
      </c>
      <c r="M198" s="1" t="str">
        <f>IF('Extraction edi'!R201&lt;&gt;"",'Extraction edi'!R201,IF(G198="ALU blanc","S9016",""))</f>
        <v/>
      </c>
      <c r="N198" s="1" t="str">
        <f>IF('Extraction edi'!S201&lt;&gt;"",'Extraction edi'!S201,IF(G198="ALU blanc","S9016",""))</f>
        <v/>
      </c>
      <c r="O198" s="11">
        <v>46107</v>
      </c>
      <c r="P198" s="1">
        <f t="shared" si="3"/>
        <v>4</v>
      </c>
    </row>
    <row r="199" spans="1:16" x14ac:dyDescent="0.25">
      <c r="A199" s="1" t="str">
        <f>IF(B199="","",CONCATENATE(B199,".",C199,"/Pos ",D199,"/",'Extraction edi'!G202))</f>
        <v/>
      </c>
      <c r="B199" s="1" t="str">
        <f>IF('Extraction edi'!A202="","",'Extraction edi'!A202)</f>
        <v/>
      </c>
      <c r="C199" s="1" t="str">
        <f>IF('Extraction edi'!B202="","",'Extraction edi'!B202)</f>
        <v/>
      </c>
      <c r="D199" s="1" t="str">
        <f>IF('Extraction edi'!H202="","",'Extraction edi'!H202)</f>
        <v/>
      </c>
      <c r="E199" s="1" t="str">
        <f>IF('Extraction edi'!I202="","",'Extraction edi'!I202)</f>
        <v/>
      </c>
      <c r="F199" t="str">
        <f>IF('Extraction edi'!K202="","",'Extraction edi'!K202)</f>
        <v/>
      </c>
      <c r="G199" t="str">
        <f>IF('Extraction edi'!L202="","",'Extraction edi'!L202)</f>
        <v/>
      </c>
      <c r="H199" t="str">
        <f>IF('Extraction edi'!M202="","",'Extraction edi'!M202)</f>
        <v/>
      </c>
      <c r="I199" s="1" t="str">
        <f>IF('Extraction edi'!N202="","",'Extraction edi'!N202)</f>
        <v/>
      </c>
      <c r="J199" s="1" t="str">
        <f>IF('Extraction edi'!O202="","",'Extraction edi'!O202)</f>
        <v/>
      </c>
      <c r="K199" s="1" t="str">
        <f>IF('Extraction edi'!P202="","",'Extraction edi'!P202)</f>
        <v/>
      </c>
      <c r="L199" s="1" t="str">
        <f>IF('Extraction edi'!Q202="laquage RAL :","OUI","")</f>
        <v/>
      </c>
      <c r="M199" s="1" t="str">
        <f>IF('Extraction edi'!R202&lt;&gt;"",'Extraction edi'!R202,IF(G199="ALU blanc","S9016",""))</f>
        <v/>
      </c>
      <c r="N199" s="1" t="str">
        <f>IF('Extraction edi'!S202&lt;&gt;"",'Extraction edi'!S202,IF(G199="ALU blanc","S9016",""))</f>
        <v/>
      </c>
      <c r="O199" s="11">
        <v>46108</v>
      </c>
      <c r="P199" s="1">
        <f t="shared" si="3"/>
        <v>5</v>
      </c>
    </row>
    <row r="200" spans="1:16" x14ac:dyDescent="0.25">
      <c r="A200" s="1" t="str">
        <f>IF(B200="","",CONCATENATE(B200,".",C200,"/Pos ",D200,"/",'Extraction edi'!G203))</f>
        <v/>
      </c>
      <c r="B200" s="1" t="str">
        <f>IF('Extraction edi'!A203="","",'Extraction edi'!A203)</f>
        <v/>
      </c>
      <c r="C200" s="1" t="str">
        <f>IF('Extraction edi'!B203="","",'Extraction edi'!B203)</f>
        <v/>
      </c>
      <c r="D200" s="1" t="str">
        <f>IF('Extraction edi'!H203="","",'Extraction edi'!H203)</f>
        <v/>
      </c>
      <c r="E200" s="1" t="str">
        <f>IF('Extraction edi'!I203="","",'Extraction edi'!I203)</f>
        <v/>
      </c>
      <c r="F200" t="str">
        <f>IF('Extraction edi'!K203="","",'Extraction edi'!K203)</f>
        <v/>
      </c>
      <c r="G200" t="str">
        <f>IF('Extraction edi'!L203="","",'Extraction edi'!L203)</f>
        <v/>
      </c>
      <c r="H200" t="str">
        <f>IF('Extraction edi'!M203="","",'Extraction edi'!M203)</f>
        <v/>
      </c>
      <c r="I200" s="1" t="str">
        <f>IF('Extraction edi'!N203="","",'Extraction edi'!N203)</f>
        <v/>
      </c>
      <c r="J200" s="1" t="str">
        <f>IF('Extraction edi'!O203="","",'Extraction edi'!O203)</f>
        <v/>
      </c>
      <c r="K200" s="1" t="str">
        <f>IF('Extraction edi'!P203="","",'Extraction edi'!P203)</f>
        <v/>
      </c>
      <c r="L200" s="1" t="str">
        <f>IF('Extraction edi'!Q203="laquage RAL :","OUI","")</f>
        <v/>
      </c>
      <c r="M200" s="1" t="str">
        <f>IF('Extraction edi'!R203&lt;&gt;"",'Extraction edi'!R203,IF(G200="ALU blanc","S9016",""))</f>
        <v/>
      </c>
      <c r="N200" s="1" t="str">
        <f>IF('Extraction edi'!S203&lt;&gt;"",'Extraction edi'!S203,IF(G200="ALU blanc","S9016",""))</f>
        <v/>
      </c>
      <c r="O200" s="11">
        <v>46109</v>
      </c>
      <c r="P200" s="1">
        <f t="shared" si="3"/>
        <v>6</v>
      </c>
    </row>
    <row r="201" spans="1:16" x14ac:dyDescent="0.25">
      <c r="A201" s="1" t="str">
        <f>IF(B201="","",CONCATENATE(B201,".",C201,"/Pos ",D201,"/",'Extraction edi'!G204))</f>
        <v/>
      </c>
      <c r="B201" s="1" t="str">
        <f>IF('Extraction edi'!A204="","",'Extraction edi'!A204)</f>
        <v/>
      </c>
      <c r="C201" s="1" t="str">
        <f>IF('Extraction edi'!B204="","",'Extraction edi'!B204)</f>
        <v/>
      </c>
      <c r="D201" s="1" t="str">
        <f>IF('Extraction edi'!H204="","",'Extraction edi'!H204)</f>
        <v/>
      </c>
      <c r="E201" s="1" t="str">
        <f>IF('Extraction edi'!I204="","",'Extraction edi'!I204)</f>
        <v/>
      </c>
      <c r="F201" t="str">
        <f>IF('Extraction edi'!K204="","",'Extraction edi'!K204)</f>
        <v/>
      </c>
      <c r="G201" t="str">
        <f>IF('Extraction edi'!L204="","",'Extraction edi'!L204)</f>
        <v/>
      </c>
      <c r="H201" t="str">
        <f>IF('Extraction edi'!M204="","",'Extraction edi'!M204)</f>
        <v/>
      </c>
      <c r="I201" s="1" t="str">
        <f>IF('Extraction edi'!N204="","",'Extraction edi'!N204)</f>
        <v/>
      </c>
      <c r="J201" s="1" t="str">
        <f>IF('Extraction edi'!O204="","",'Extraction edi'!O204)</f>
        <v/>
      </c>
      <c r="K201" s="1" t="str">
        <f>IF('Extraction edi'!P204="","",'Extraction edi'!P204)</f>
        <v/>
      </c>
      <c r="L201" s="1" t="str">
        <f>IF('Extraction edi'!Q204="laquage RAL :","OUI","")</f>
        <v/>
      </c>
      <c r="M201" s="1" t="str">
        <f>IF('Extraction edi'!R204&lt;&gt;"",'Extraction edi'!R204,IF(G201="ALU blanc","S9016",""))</f>
        <v/>
      </c>
      <c r="N201" s="1" t="str">
        <f>IF('Extraction edi'!S204&lt;&gt;"",'Extraction edi'!S204,IF(G201="ALU blanc","S9016",""))</f>
        <v/>
      </c>
      <c r="O201" s="11">
        <v>46110</v>
      </c>
      <c r="P201" s="1">
        <f t="shared" si="3"/>
        <v>7</v>
      </c>
    </row>
    <row r="202" spans="1:16" x14ac:dyDescent="0.25">
      <c r="A202" s="1" t="str">
        <f>IF(B202="","",CONCATENATE(B202,".",C202,"/Pos ",D202,"/",'Extraction edi'!G205))</f>
        <v/>
      </c>
      <c r="B202" s="1" t="str">
        <f>IF('Extraction edi'!A205="","",'Extraction edi'!A205)</f>
        <v/>
      </c>
      <c r="C202" s="1" t="str">
        <f>IF('Extraction edi'!B205="","",'Extraction edi'!B205)</f>
        <v/>
      </c>
      <c r="D202" s="1" t="str">
        <f>IF('Extraction edi'!H205="","",'Extraction edi'!H205)</f>
        <v/>
      </c>
      <c r="E202" s="1" t="str">
        <f>IF('Extraction edi'!I205="","",'Extraction edi'!I205)</f>
        <v/>
      </c>
      <c r="F202" t="str">
        <f>IF('Extraction edi'!K205="","",'Extraction edi'!K205)</f>
        <v/>
      </c>
      <c r="G202" t="str">
        <f>IF('Extraction edi'!L205="","",'Extraction edi'!L205)</f>
        <v/>
      </c>
      <c r="H202" t="str">
        <f>IF('Extraction edi'!M205="","",'Extraction edi'!M205)</f>
        <v/>
      </c>
      <c r="I202" s="1" t="str">
        <f>IF('Extraction edi'!N205="","",'Extraction edi'!N205)</f>
        <v/>
      </c>
      <c r="J202" s="1" t="str">
        <f>IF('Extraction edi'!O205="","",'Extraction edi'!O205)</f>
        <v/>
      </c>
      <c r="K202" s="1" t="str">
        <f>IF('Extraction edi'!P205="","",'Extraction edi'!P205)</f>
        <v/>
      </c>
      <c r="L202" s="1" t="str">
        <f>IF('Extraction edi'!Q205="laquage RAL :","OUI","")</f>
        <v/>
      </c>
      <c r="M202" s="1" t="str">
        <f>IF('Extraction edi'!R205&lt;&gt;"",'Extraction edi'!R205,IF(G202="ALU blanc","S9016",""))</f>
        <v/>
      </c>
      <c r="N202" s="1" t="str">
        <f>IF('Extraction edi'!S205&lt;&gt;"",'Extraction edi'!S205,IF(G202="ALU blanc","S9016",""))</f>
        <v/>
      </c>
      <c r="O202" s="11">
        <v>46111</v>
      </c>
      <c r="P202" s="1">
        <f t="shared" si="3"/>
        <v>1</v>
      </c>
    </row>
    <row r="203" spans="1:16" x14ac:dyDescent="0.25">
      <c r="A203" s="1" t="str">
        <f>IF(B203="","",CONCATENATE(B203,".",C203,"/Pos ",D203,"/",'Extraction edi'!G206))</f>
        <v/>
      </c>
      <c r="B203" s="1" t="str">
        <f>IF('Extraction edi'!A206="","",'Extraction edi'!A206)</f>
        <v/>
      </c>
      <c r="C203" s="1" t="str">
        <f>IF('Extraction edi'!B206="","",'Extraction edi'!B206)</f>
        <v/>
      </c>
      <c r="D203" s="1" t="str">
        <f>IF('Extraction edi'!H206="","",'Extraction edi'!H206)</f>
        <v/>
      </c>
      <c r="E203" s="1" t="str">
        <f>IF('Extraction edi'!I206="","",'Extraction edi'!I206)</f>
        <v/>
      </c>
      <c r="F203" t="str">
        <f>IF('Extraction edi'!K206="","",'Extraction edi'!K206)</f>
        <v/>
      </c>
      <c r="G203" t="str">
        <f>IF('Extraction edi'!L206="","",'Extraction edi'!L206)</f>
        <v/>
      </c>
      <c r="H203" t="str">
        <f>IF('Extraction edi'!M206="","",'Extraction edi'!M206)</f>
        <v/>
      </c>
      <c r="I203" s="1" t="str">
        <f>IF('Extraction edi'!N206="","",'Extraction edi'!N206)</f>
        <v/>
      </c>
      <c r="J203" s="1" t="str">
        <f>IF('Extraction edi'!O206="","",'Extraction edi'!O206)</f>
        <v/>
      </c>
      <c r="K203" s="1" t="str">
        <f>IF('Extraction edi'!P206="","",'Extraction edi'!P206)</f>
        <v/>
      </c>
      <c r="L203" s="1" t="str">
        <f>IF('Extraction edi'!Q206="laquage RAL :","OUI","")</f>
        <v/>
      </c>
      <c r="M203" s="1" t="str">
        <f>IF('Extraction edi'!R206&lt;&gt;"",'Extraction edi'!R206,IF(G203="ALU blanc","S9016",""))</f>
        <v/>
      </c>
      <c r="N203" s="1" t="str">
        <f>IF('Extraction edi'!S206&lt;&gt;"",'Extraction edi'!S206,IF(G203="ALU blanc","S9016",""))</f>
        <v/>
      </c>
      <c r="O203" s="11">
        <v>46112</v>
      </c>
      <c r="P203" s="1">
        <f t="shared" si="3"/>
        <v>2</v>
      </c>
    </row>
    <row r="204" spans="1:16" x14ac:dyDescent="0.25">
      <c r="A204" s="1" t="str">
        <f>IF(B204="","",CONCATENATE(B204,".",C204,"/Pos ",D204,"/",'Extraction edi'!G207))</f>
        <v/>
      </c>
      <c r="B204" s="1" t="str">
        <f>IF('Extraction edi'!A207="","",'Extraction edi'!A207)</f>
        <v/>
      </c>
      <c r="C204" s="1" t="str">
        <f>IF('Extraction edi'!B207="","",'Extraction edi'!B207)</f>
        <v/>
      </c>
      <c r="D204" s="1" t="str">
        <f>IF('Extraction edi'!H207="","",'Extraction edi'!H207)</f>
        <v/>
      </c>
      <c r="E204" s="1" t="str">
        <f>IF('Extraction edi'!I207="","",'Extraction edi'!I207)</f>
        <v/>
      </c>
      <c r="F204" t="str">
        <f>IF('Extraction edi'!K207="","",'Extraction edi'!K207)</f>
        <v/>
      </c>
      <c r="G204" t="str">
        <f>IF('Extraction edi'!L207="","",'Extraction edi'!L207)</f>
        <v/>
      </c>
      <c r="H204" t="str">
        <f>IF('Extraction edi'!M207="","",'Extraction edi'!M207)</f>
        <v/>
      </c>
      <c r="I204" s="1" t="str">
        <f>IF('Extraction edi'!N207="","",'Extraction edi'!N207)</f>
        <v/>
      </c>
      <c r="J204" s="1" t="str">
        <f>IF('Extraction edi'!O207="","",'Extraction edi'!O207)</f>
        <v/>
      </c>
      <c r="K204" s="1" t="str">
        <f>IF('Extraction edi'!P207="","",'Extraction edi'!P207)</f>
        <v/>
      </c>
      <c r="L204" s="1" t="str">
        <f>IF('Extraction edi'!Q207="laquage RAL :","OUI","")</f>
        <v/>
      </c>
      <c r="M204" s="1" t="str">
        <f>IF('Extraction edi'!R207&lt;&gt;"",'Extraction edi'!R207,IF(G204="ALU blanc","S9016",""))</f>
        <v/>
      </c>
      <c r="N204" s="1" t="str">
        <f>IF('Extraction edi'!S207&lt;&gt;"",'Extraction edi'!S207,IF(G204="ALU blanc","S9016",""))</f>
        <v/>
      </c>
      <c r="O204" s="11">
        <v>46113</v>
      </c>
      <c r="P204" s="1">
        <f t="shared" si="3"/>
        <v>3</v>
      </c>
    </row>
    <row r="205" spans="1:16" x14ac:dyDescent="0.25">
      <c r="A205" s="1" t="str">
        <f>IF(B205="","",CONCATENATE(B205,".",C205,"/Pos ",D205,"/",'Extraction edi'!G208))</f>
        <v/>
      </c>
      <c r="B205" s="1" t="str">
        <f>IF('Extraction edi'!A208="","",'Extraction edi'!A208)</f>
        <v/>
      </c>
      <c r="C205" s="1" t="str">
        <f>IF('Extraction edi'!B208="","",'Extraction edi'!B208)</f>
        <v/>
      </c>
      <c r="D205" s="1" t="str">
        <f>IF('Extraction edi'!H208="","",'Extraction edi'!H208)</f>
        <v/>
      </c>
      <c r="E205" s="1" t="str">
        <f>IF('Extraction edi'!I208="","",'Extraction edi'!I208)</f>
        <v/>
      </c>
      <c r="F205" t="str">
        <f>IF('Extraction edi'!K208="","",'Extraction edi'!K208)</f>
        <v/>
      </c>
      <c r="G205" t="str">
        <f>IF('Extraction edi'!L208="","",'Extraction edi'!L208)</f>
        <v/>
      </c>
      <c r="H205" t="str">
        <f>IF('Extraction edi'!M208="","",'Extraction edi'!M208)</f>
        <v/>
      </c>
      <c r="I205" s="1" t="str">
        <f>IF('Extraction edi'!N208="","",'Extraction edi'!N208)</f>
        <v/>
      </c>
      <c r="J205" s="1" t="str">
        <f>IF('Extraction edi'!O208="","",'Extraction edi'!O208)</f>
        <v/>
      </c>
      <c r="K205" s="1" t="str">
        <f>IF('Extraction edi'!P208="","",'Extraction edi'!P208)</f>
        <v/>
      </c>
      <c r="L205" s="1" t="str">
        <f>IF('Extraction edi'!Q208="laquage RAL :","OUI","")</f>
        <v/>
      </c>
      <c r="M205" s="1" t="str">
        <f>IF('Extraction edi'!R208&lt;&gt;"",'Extraction edi'!R208,IF(G205="ALU blanc","S9016",""))</f>
        <v/>
      </c>
      <c r="N205" s="1" t="str">
        <f>IF('Extraction edi'!S208&lt;&gt;"",'Extraction edi'!S208,IF(G205="ALU blanc","S9016",""))</f>
        <v/>
      </c>
      <c r="O205" s="11">
        <v>46114</v>
      </c>
      <c r="P205" s="1">
        <f t="shared" si="3"/>
        <v>4</v>
      </c>
    </row>
    <row r="206" spans="1:16" x14ac:dyDescent="0.25">
      <c r="A206" s="1" t="str">
        <f>IF(B206="","",CONCATENATE(B206,".",C206,"/Pos ",D206,"/",'Extraction edi'!G209))</f>
        <v/>
      </c>
      <c r="B206" s="1" t="str">
        <f>IF('Extraction edi'!A209="","",'Extraction edi'!A209)</f>
        <v/>
      </c>
      <c r="C206" s="1" t="str">
        <f>IF('Extraction edi'!B209="","",'Extraction edi'!B209)</f>
        <v/>
      </c>
      <c r="D206" s="1" t="str">
        <f>IF('Extraction edi'!H209="","",'Extraction edi'!H209)</f>
        <v/>
      </c>
      <c r="E206" s="1" t="str">
        <f>IF('Extraction edi'!I209="","",'Extraction edi'!I209)</f>
        <v/>
      </c>
      <c r="F206" t="str">
        <f>IF('Extraction edi'!K209="","",'Extraction edi'!K209)</f>
        <v/>
      </c>
      <c r="G206" t="str">
        <f>IF('Extraction edi'!L209="","",'Extraction edi'!L209)</f>
        <v/>
      </c>
      <c r="H206" t="str">
        <f>IF('Extraction edi'!M209="","",'Extraction edi'!M209)</f>
        <v/>
      </c>
      <c r="I206" s="1" t="str">
        <f>IF('Extraction edi'!N209="","",'Extraction edi'!N209)</f>
        <v/>
      </c>
      <c r="J206" s="1" t="str">
        <f>IF('Extraction edi'!O209="","",'Extraction edi'!O209)</f>
        <v/>
      </c>
      <c r="K206" s="1" t="str">
        <f>IF('Extraction edi'!P209="","",'Extraction edi'!P209)</f>
        <v/>
      </c>
      <c r="L206" s="1" t="str">
        <f>IF('Extraction edi'!Q209="laquage RAL :","OUI","")</f>
        <v/>
      </c>
      <c r="M206" s="1" t="str">
        <f>IF('Extraction edi'!R209&lt;&gt;"",'Extraction edi'!R209,IF(G206="ALU blanc","S9016",""))</f>
        <v/>
      </c>
      <c r="N206" s="1" t="str">
        <f>IF('Extraction edi'!S209&lt;&gt;"",'Extraction edi'!S209,IF(G206="ALU blanc","S9016",""))</f>
        <v/>
      </c>
      <c r="O206" s="11">
        <v>46115</v>
      </c>
      <c r="P206" s="1">
        <f t="shared" si="3"/>
        <v>5</v>
      </c>
    </row>
    <row r="207" spans="1:16" x14ac:dyDescent="0.25">
      <c r="A207" s="1" t="str">
        <f>IF(B207="","",CONCATENATE(B207,".",C207,"/Pos ",D207,"/",'Extraction edi'!G210))</f>
        <v/>
      </c>
      <c r="B207" s="1" t="str">
        <f>IF('Extraction edi'!A210="","",'Extraction edi'!A210)</f>
        <v/>
      </c>
      <c r="C207" s="1" t="str">
        <f>IF('Extraction edi'!B210="","",'Extraction edi'!B210)</f>
        <v/>
      </c>
      <c r="D207" s="1" t="str">
        <f>IF('Extraction edi'!H210="","",'Extraction edi'!H210)</f>
        <v/>
      </c>
      <c r="E207" s="1" t="str">
        <f>IF('Extraction edi'!I210="","",'Extraction edi'!I210)</f>
        <v/>
      </c>
      <c r="F207" t="str">
        <f>IF('Extraction edi'!K210="","",'Extraction edi'!K210)</f>
        <v/>
      </c>
      <c r="G207" t="str">
        <f>IF('Extraction edi'!L210="","",'Extraction edi'!L210)</f>
        <v/>
      </c>
      <c r="H207" t="str">
        <f>IF('Extraction edi'!M210="","",'Extraction edi'!M210)</f>
        <v/>
      </c>
      <c r="I207" s="1" t="str">
        <f>IF('Extraction edi'!N210="","",'Extraction edi'!N210)</f>
        <v/>
      </c>
      <c r="J207" s="1" t="str">
        <f>IF('Extraction edi'!O210="","",'Extraction edi'!O210)</f>
        <v/>
      </c>
      <c r="K207" s="1" t="str">
        <f>IF('Extraction edi'!P210="","",'Extraction edi'!P210)</f>
        <v/>
      </c>
      <c r="L207" s="1" t="str">
        <f>IF('Extraction edi'!Q210="laquage RAL :","OUI","")</f>
        <v/>
      </c>
      <c r="M207" s="1" t="str">
        <f>IF('Extraction edi'!R210&lt;&gt;"",'Extraction edi'!R210,IF(G207="ALU blanc","S9016",""))</f>
        <v/>
      </c>
      <c r="N207" s="1" t="str">
        <f>IF('Extraction edi'!S210&lt;&gt;"",'Extraction edi'!S210,IF(G207="ALU blanc","S9016",""))</f>
        <v/>
      </c>
      <c r="O207" s="11">
        <v>46116</v>
      </c>
      <c r="P207" s="1">
        <f t="shared" si="3"/>
        <v>6</v>
      </c>
    </row>
    <row r="208" spans="1:16" x14ac:dyDescent="0.25">
      <c r="A208" s="1" t="str">
        <f>IF(B208="","",CONCATENATE(B208,".",C208,"/Pos ",D208,"/",'Extraction edi'!G211))</f>
        <v/>
      </c>
      <c r="B208" s="1" t="str">
        <f>IF('Extraction edi'!A211="","",'Extraction edi'!A211)</f>
        <v/>
      </c>
      <c r="C208" s="1" t="str">
        <f>IF('Extraction edi'!B211="","",'Extraction edi'!B211)</f>
        <v/>
      </c>
      <c r="D208" s="1" t="str">
        <f>IF('Extraction edi'!H211="","",'Extraction edi'!H211)</f>
        <v/>
      </c>
      <c r="E208" s="1" t="str">
        <f>IF('Extraction edi'!I211="","",'Extraction edi'!I211)</f>
        <v/>
      </c>
      <c r="F208" t="str">
        <f>IF('Extraction edi'!K211="","",'Extraction edi'!K211)</f>
        <v/>
      </c>
      <c r="G208" t="str">
        <f>IF('Extraction edi'!L211="","",'Extraction edi'!L211)</f>
        <v/>
      </c>
      <c r="H208" t="str">
        <f>IF('Extraction edi'!M211="","",'Extraction edi'!M211)</f>
        <v/>
      </c>
      <c r="I208" s="1" t="str">
        <f>IF('Extraction edi'!N211="","",'Extraction edi'!N211)</f>
        <v/>
      </c>
      <c r="J208" s="1" t="str">
        <f>IF('Extraction edi'!O211="","",'Extraction edi'!O211)</f>
        <v/>
      </c>
      <c r="K208" s="1" t="str">
        <f>IF('Extraction edi'!P211="","",'Extraction edi'!P211)</f>
        <v/>
      </c>
      <c r="L208" s="1" t="str">
        <f>IF('Extraction edi'!Q211="laquage RAL :","OUI","")</f>
        <v/>
      </c>
      <c r="M208" s="1" t="str">
        <f>IF('Extraction edi'!R211&lt;&gt;"",'Extraction edi'!R211,IF(G208="ALU blanc","S9016",""))</f>
        <v/>
      </c>
      <c r="N208" s="1" t="str">
        <f>IF('Extraction edi'!S211&lt;&gt;"",'Extraction edi'!S211,IF(G208="ALU blanc","S9016",""))</f>
        <v/>
      </c>
      <c r="O208" s="11">
        <v>46117</v>
      </c>
      <c r="P208" s="1">
        <f t="shared" si="3"/>
        <v>7</v>
      </c>
    </row>
    <row r="209" spans="1:16" x14ac:dyDescent="0.25">
      <c r="A209" s="1" t="str">
        <f>IF(B209="","",CONCATENATE(B209,".",C209,"/Pos ",D209,"/",'Extraction edi'!G212))</f>
        <v/>
      </c>
      <c r="B209" s="1" t="str">
        <f>IF('Extraction edi'!A212="","",'Extraction edi'!A212)</f>
        <v/>
      </c>
      <c r="C209" s="1" t="str">
        <f>IF('Extraction edi'!B212="","",'Extraction edi'!B212)</f>
        <v/>
      </c>
      <c r="D209" s="1" t="str">
        <f>IF('Extraction edi'!H212="","",'Extraction edi'!H212)</f>
        <v/>
      </c>
      <c r="E209" s="1" t="str">
        <f>IF('Extraction edi'!I212="","",'Extraction edi'!I212)</f>
        <v/>
      </c>
      <c r="F209" t="str">
        <f>IF('Extraction edi'!K212="","",'Extraction edi'!K212)</f>
        <v/>
      </c>
      <c r="G209" t="str">
        <f>IF('Extraction edi'!L212="","",'Extraction edi'!L212)</f>
        <v/>
      </c>
      <c r="H209" t="str">
        <f>IF('Extraction edi'!M212="","",'Extraction edi'!M212)</f>
        <v/>
      </c>
      <c r="I209" s="1" t="str">
        <f>IF('Extraction edi'!N212="","",'Extraction edi'!N212)</f>
        <v/>
      </c>
      <c r="J209" s="1" t="str">
        <f>IF('Extraction edi'!O212="","",'Extraction edi'!O212)</f>
        <v/>
      </c>
      <c r="K209" s="1" t="str">
        <f>IF('Extraction edi'!P212="","",'Extraction edi'!P212)</f>
        <v/>
      </c>
      <c r="L209" s="1" t="str">
        <f>IF('Extraction edi'!Q212="laquage RAL :","OUI","")</f>
        <v/>
      </c>
      <c r="M209" s="1" t="str">
        <f>IF('Extraction edi'!R212&lt;&gt;"",'Extraction edi'!R212,IF(G209="ALU blanc","S9016",""))</f>
        <v/>
      </c>
      <c r="N209" s="1" t="str">
        <f>IF('Extraction edi'!S212&lt;&gt;"",'Extraction edi'!S212,IF(G209="ALU blanc","S9016",""))</f>
        <v/>
      </c>
      <c r="O209" s="11">
        <v>46118</v>
      </c>
      <c r="P209" s="1">
        <f t="shared" si="3"/>
        <v>1</v>
      </c>
    </row>
    <row r="210" spans="1:16" x14ac:dyDescent="0.25">
      <c r="A210" s="1" t="str">
        <f>IF(B210="","",CONCATENATE(B210,".",C210,"/Pos ",D210,"/",'Extraction edi'!G213))</f>
        <v/>
      </c>
      <c r="B210" s="1" t="str">
        <f>IF('Extraction edi'!A213="","",'Extraction edi'!A213)</f>
        <v/>
      </c>
      <c r="C210" s="1" t="str">
        <f>IF('Extraction edi'!B213="","",'Extraction edi'!B213)</f>
        <v/>
      </c>
      <c r="D210" s="1" t="str">
        <f>IF('Extraction edi'!H213="","",'Extraction edi'!H213)</f>
        <v/>
      </c>
      <c r="E210" s="1" t="str">
        <f>IF('Extraction edi'!I213="","",'Extraction edi'!I213)</f>
        <v/>
      </c>
      <c r="F210" t="str">
        <f>IF('Extraction edi'!K213="","",'Extraction edi'!K213)</f>
        <v/>
      </c>
      <c r="G210" t="str">
        <f>IF('Extraction edi'!L213="","",'Extraction edi'!L213)</f>
        <v/>
      </c>
      <c r="H210" t="str">
        <f>IF('Extraction edi'!M213="","",'Extraction edi'!M213)</f>
        <v/>
      </c>
      <c r="I210" s="1" t="str">
        <f>IF('Extraction edi'!N213="","",'Extraction edi'!N213)</f>
        <v/>
      </c>
      <c r="J210" s="1" t="str">
        <f>IF('Extraction edi'!O213="","",'Extraction edi'!O213)</f>
        <v/>
      </c>
      <c r="K210" s="1" t="str">
        <f>IF('Extraction edi'!P213="","",'Extraction edi'!P213)</f>
        <v/>
      </c>
      <c r="L210" s="1" t="str">
        <f>IF('Extraction edi'!Q213="laquage RAL :","OUI","")</f>
        <v/>
      </c>
      <c r="M210" s="1" t="str">
        <f>IF('Extraction edi'!R213&lt;&gt;"",'Extraction edi'!R213,IF(G210="ALU blanc","S9016",""))</f>
        <v/>
      </c>
      <c r="N210" s="1" t="str">
        <f>IF('Extraction edi'!S213&lt;&gt;"",'Extraction edi'!S213,IF(G210="ALU blanc","S9016",""))</f>
        <v/>
      </c>
      <c r="O210" s="11">
        <v>46119</v>
      </c>
      <c r="P210" s="1">
        <f t="shared" si="3"/>
        <v>2</v>
      </c>
    </row>
    <row r="211" spans="1:16" x14ac:dyDescent="0.25">
      <c r="A211" s="1" t="str">
        <f>IF(B211="","",CONCATENATE(B211,".",C211,"/Pos ",D211,"/",'Extraction edi'!G214))</f>
        <v/>
      </c>
      <c r="B211" s="1" t="str">
        <f>IF('Extraction edi'!A214="","",'Extraction edi'!A214)</f>
        <v/>
      </c>
      <c r="C211" s="1" t="str">
        <f>IF('Extraction edi'!B214="","",'Extraction edi'!B214)</f>
        <v/>
      </c>
      <c r="D211" s="1" t="str">
        <f>IF('Extraction edi'!H214="","",'Extraction edi'!H214)</f>
        <v/>
      </c>
      <c r="E211" s="1" t="str">
        <f>IF('Extraction edi'!I214="","",'Extraction edi'!I214)</f>
        <v/>
      </c>
      <c r="F211" t="str">
        <f>IF('Extraction edi'!K214="","",'Extraction edi'!K214)</f>
        <v/>
      </c>
      <c r="G211" t="str">
        <f>IF('Extraction edi'!L214="","",'Extraction edi'!L214)</f>
        <v/>
      </c>
      <c r="H211" t="str">
        <f>IF('Extraction edi'!M214="","",'Extraction edi'!M214)</f>
        <v/>
      </c>
      <c r="I211" s="1" t="str">
        <f>IF('Extraction edi'!N214="","",'Extraction edi'!N214)</f>
        <v/>
      </c>
      <c r="J211" s="1" t="str">
        <f>IF('Extraction edi'!O214="","",'Extraction edi'!O214)</f>
        <v/>
      </c>
      <c r="K211" s="1" t="str">
        <f>IF('Extraction edi'!P214="","",'Extraction edi'!P214)</f>
        <v/>
      </c>
      <c r="L211" s="1" t="str">
        <f>IF('Extraction edi'!Q214="laquage RAL :","OUI","")</f>
        <v/>
      </c>
      <c r="M211" s="1" t="str">
        <f>IF('Extraction edi'!R214&lt;&gt;"",'Extraction edi'!R214,IF(G211="ALU blanc","S9016",""))</f>
        <v/>
      </c>
      <c r="N211" s="1" t="str">
        <f>IF('Extraction edi'!S214&lt;&gt;"",'Extraction edi'!S214,IF(G211="ALU blanc","S9016",""))</f>
        <v/>
      </c>
      <c r="O211" s="11">
        <v>46120</v>
      </c>
      <c r="P211" s="1">
        <f t="shared" si="3"/>
        <v>3</v>
      </c>
    </row>
    <row r="212" spans="1:16" x14ac:dyDescent="0.25">
      <c r="A212" s="1" t="str">
        <f>IF(B212="","",CONCATENATE(B212,".",C212,"/Pos ",D212,"/",'Extraction edi'!G215))</f>
        <v/>
      </c>
      <c r="B212" s="1" t="str">
        <f>IF('Extraction edi'!A215="","",'Extraction edi'!A215)</f>
        <v/>
      </c>
      <c r="C212" s="1" t="str">
        <f>IF('Extraction edi'!B215="","",'Extraction edi'!B215)</f>
        <v/>
      </c>
      <c r="D212" s="1" t="str">
        <f>IF('Extraction edi'!H215="","",'Extraction edi'!H215)</f>
        <v/>
      </c>
      <c r="E212" s="1" t="str">
        <f>IF('Extraction edi'!I215="","",'Extraction edi'!I215)</f>
        <v/>
      </c>
      <c r="F212" t="str">
        <f>IF('Extraction edi'!K215="","",'Extraction edi'!K215)</f>
        <v/>
      </c>
      <c r="G212" t="str">
        <f>IF('Extraction edi'!L215="","",'Extraction edi'!L215)</f>
        <v/>
      </c>
      <c r="H212" t="str">
        <f>IF('Extraction edi'!M215="","",'Extraction edi'!M215)</f>
        <v/>
      </c>
      <c r="I212" s="1" t="str">
        <f>IF('Extraction edi'!N215="","",'Extraction edi'!N215)</f>
        <v/>
      </c>
      <c r="J212" s="1" t="str">
        <f>IF('Extraction edi'!O215="","",'Extraction edi'!O215)</f>
        <v/>
      </c>
      <c r="K212" s="1" t="str">
        <f>IF('Extraction edi'!P215="","",'Extraction edi'!P215)</f>
        <v/>
      </c>
      <c r="L212" s="1" t="str">
        <f>IF('Extraction edi'!Q215="laquage RAL :","OUI","")</f>
        <v/>
      </c>
      <c r="M212" s="1" t="str">
        <f>IF('Extraction edi'!R215&lt;&gt;"",'Extraction edi'!R215,IF(G212="ALU blanc","S9016",""))</f>
        <v/>
      </c>
      <c r="N212" s="1" t="str">
        <f>IF('Extraction edi'!S215&lt;&gt;"",'Extraction edi'!S215,IF(G212="ALU blanc","S9016",""))</f>
        <v/>
      </c>
      <c r="O212" s="11">
        <v>46121</v>
      </c>
      <c r="P212" s="1">
        <f t="shared" si="3"/>
        <v>4</v>
      </c>
    </row>
    <row r="213" spans="1:16" x14ac:dyDescent="0.25">
      <c r="A213" s="1" t="str">
        <f>IF(B213="","",CONCATENATE(B213,".",C213,"/Pos ",D213,"/",'Extraction edi'!G216))</f>
        <v/>
      </c>
      <c r="B213" s="1" t="str">
        <f>IF('Extraction edi'!A216="","",'Extraction edi'!A216)</f>
        <v/>
      </c>
      <c r="C213" s="1" t="str">
        <f>IF('Extraction edi'!B216="","",'Extraction edi'!B216)</f>
        <v/>
      </c>
      <c r="D213" s="1" t="str">
        <f>IF('Extraction edi'!H216="","",'Extraction edi'!H216)</f>
        <v/>
      </c>
      <c r="E213" s="1" t="str">
        <f>IF('Extraction edi'!I216="","",'Extraction edi'!I216)</f>
        <v/>
      </c>
      <c r="F213" t="str">
        <f>IF('Extraction edi'!K216="","",'Extraction edi'!K216)</f>
        <v/>
      </c>
      <c r="G213" t="str">
        <f>IF('Extraction edi'!L216="","",'Extraction edi'!L216)</f>
        <v/>
      </c>
      <c r="H213" t="str">
        <f>IF('Extraction edi'!M216="","",'Extraction edi'!M216)</f>
        <v/>
      </c>
      <c r="I213" s="1" t="str">
        <f>IF('Extraction edi'!N216="","",'Extraction edi'!N216)</f>
        <v/>
      </c>
      <c r="J213" s="1" t="str">
        <f>IF('Extraction edi'!O216="","",'Extraction edi'!O216)</f>
        <v/>
      </c>
      <c r="K213" s="1" t="str">
        <f>IF('Extraction edi'!P216="","",'Extraction edi'!P216)</f>
        <v/>
      </c>
      <c r="L213" s="1" t="str">
        <f>IF('Extraction edi'!Q216="laquage RAL :","OUI","")</f>
        <v/>
      </c>
      <c r="M213" s="1" t="str">
        <f>IF('Extraction edi'!R216&lt;&gt;"",'Extraction edi'!R216,IF(G213="ALU blanc","S9016",""))</f>
        <v/>
      </c>
      <c r="N213" s="1" t="str">
        <f>IF('Extraction edi'!S216&lt;&gt;"",'Extraction edi'!S216,IF(G213="ALU blanc","S9016",""))</f>
        <v/>
      </c>
      <c r="O213" s="11">
        <v>46122</v>
      </c>
      <c r="P213" s="1">
        <f t="shared" si="3"/>
        <v>5</v>
      </c>
    </row>
    <row r="214" spans="1:16" x14ac:dyDescent="0.25">
      <c r="A214" s="1" t="str">
        <f>IF(B214="","",CONCATENATE(B214,".",C214,"/Pos ",D214,"/",'Extraction edi'!G217))</f>
        <v/>
      </c>
      <c r="B214" s="1" t="str">
        <f>IF('Extraction edi'!A217="","",'Extraction edi'!A217)</f>
        <v/>
      </c>
      <c r="C214" s="1" t="str">
        <f>IF('Extraction edi'!B217="","",'Extraction edi'!B217)</f>
        <v/>
      </c>
      <c r="D214" s="1" t="str">
        <f>IF('Extraction edi'!H217="","",'Extraction edi'!H217)</f>
        <v/>
      </c>
      <c r="E214" s="1" t="str">
        <f>IF('Extraction edi'!I217="","",'Extraction edi'!I217)</f>
        <v/>
      </c>
      <c r="F214" t="str">
        <f>IF('Extraction edi'!K217="","",'Extraction edi'!K217)</f>
        <v/>
      </c>
      <c r="G214" t="str">
        <f>IF('Extraction edi'!L217="","",'Extraction edi'!L217)</f>
        <v/>
      </c>
      <c r="H214" t="str">
        <f>IF('Extraction edi'!M217="","",'Extraction edi'!M217)</f>
        <v/>
      </c>
      <c r="I214" s="1" t="str">
        <f>IF('Extraction edi'!N217="","",'Extraction edi'!N217)</f>
        <v/>
      </c>
      <c r="J214" s="1" t="str">
        <f>IF('Extraction edi'!O217="","",'Extraction edi'!O217)</f>
        <v/>
      </c>
      <c r="K214" s="1" t="str">
        <f>IF('Extraction edi'!P217="","",'Extraction edi'!P217)</f>
        <v/>
      </c>
      <c r="L214" s="1" t="str">
        <f>IF('Extraction edi'!Q217="laquage RAL :","OUI","")</f>
        <v/>
      </c>
      <c r="M214" s="1" t="str">
        <f>IF('Extraction edi'!R217&lt;&gt;"",'Extraction edi'!R217,IF(G214="ALU blanc","S9016",""))</f>
        <v/>
      </c>
      <c r="N214" s="1" t="str">
        <f>IF('Extraction edi'!S217&lt;&gt;"",'Extraction edi'!S217,IF(G214="ALU blanc","S9016",""))</f>
        <v/>
      </c>
      <c r="O214" s="11">
        <v>46123</v>
      </c>
      <c r="P214" s="1">
        <f t="shared" si="3"/>
        <v>6</v>
      </c>
    </row>
    <row r="215" spans="1:16" x14ac:dyDescent="0.25">
      <c r="A215" s="1" t="str">
        <f>IF(B215="","",CONCATENATE(B215,".",C215,"/Pos ",D215,"/",'Extraction edi'!G218))</f>
        <v/>
      </c>
      <c r="B215" s="1" t="str">
        <f>IF('Extraction edi'!A218="","",'Extraction edi'!A218)</f>
        <v/>
      </c>
      <c r="C215" s="1" t="str">
        <f>IF('Extraction edi'!B218="","",'Extraction edi'!B218)</f>
        <v/>
      </c>
      <c r="D215" s="1" t="str">
        <f>IF('Extraction edi'!H218="","",'Extraction edi'!H218)</f>
        <v/>
      </c>
      <c r="E215" s="1" t="str">
        <f>IF('Extraction edi'!I218="","",'Extraction edi'!I218)</f>
        <v/>
      </c>
      <c r="F215" t="str">
        <f>IF('Extraction edi'!K218="","",'Extraction edi'!K218)</f>
        <v/>
      </c>
      <c r="G215" t="str">
        <f>IF('Extraction edi'!L218="","",'Extraction edi'!L218)</f>
        <v/>
      </c>
      <c r="H215" t="str">
        <f>IF('Extraction edi'!M218="","",'Extraction edi'!M218)</f>
        <v/>
      </c>
      <c r="I215" s="1" t="str">
        <f>IF('Extraction edi'!N218="","",'Extraction edi'!N218)</f>
        <v/>
      </c>
      <c r="J215" s="1" t="str">
        <f>IF('Extraction edi'!O218="","",'Extraction edi'!O218)</f>
        <v/>
      </c>
      <c r="K215" s="1" t="str">
        <f>IF('Extraction edi'!P218="","",'Extraction edi'!P218)</f>
        <v/>
      </c>
      <c r="L215" s="1" t="str">
        <f>IF('Extraction edi'!Q218="laquage RAL :","OUI","")</f>
        <v/>
      </c>
      <c r="M215" s="1" t="str">
        <f>IF('Extraction edi'!R218&lt;&gt;"",'Extraction edi'!R218,IF(G215="ALU blanc","S9016",""))</f>
        <v/>
      </c>
      <c r="N215" s="1" t="str">
        <f>IF('Extraction edi'!S218&lt;&gt;"",'Extraction edi'!S218,IF(G215="ALU blanc","S9016",""))</f>
        <v/>
      </c>
      <c r="O215" s="11">
        <v>46124</v>
      </c>
      <c r="P215" s="1">
        <f t="shared" si="3"/>
        <v>7</v>
      </c>
    </row>
    <row r="216" spans="1:16" x14ac:dyDescent="0.25">
      <c r="A216" s="1" t="str">
        <f>IF(B216="","",CONCATENATE(B216,".",C216,"/Pos ",D216,"/",'Extraction edi'!G219))</f>
        <v/>
      </c>
      <c r="B216" s="1" t="str">
        <f>IF('Extraction edi'!A219="","",'Extraction edi'!A219)</f>
        <v/>
      </c>
      <c r="C216" s="1" t="str">
        <f>IF('Extraction edi'!B219="","",'Extraction edi'!B219)</f>
        <v/>
      </c>
      <c r="D216" s="1" t="str">
        <f>IF('Extraction edi'!H219="","",'Extraction edi'!H219)</f>
        <v/>
      </c>
      <c r="E216" s="1" t="str">
        <f>IF('Extraction edi'!I219="","",'Extraction edi'!I219)</f>
        <v/>
      </c>
      <c r="F216" t="str">
        <f>IF('Extraction edi'!K219="","",'Extraction edi'!K219)</f>
        <v/>
      </c>
      <c r="G216" t="str">
        <f>IF('Extraction edi'!L219="","",'Extraction edi'!L219)</f>
        <v/>
      </c>
      <c r="H216" t="str">
        <f>IF('Extraction edi'!M219="","",'Extraction edi'!M219)</f>
        <v/>
      </c>
      <c r="I216" s="1" t="str">
        <f>IF('Extraction edi'!N219="","",'Extraction edi'!N219)</f>
        <v/>
      </c>
      <c r="J216" s="1" t="str">
        <f>IF('Extraction edi'!O219="","",'Extraction edi'!O219)</f>
        <v/>
      </c>
      <c r="K216" s="1" t="str">
        <f>IF('Extraction edi'!P219="","",'Extraction edi'!P219)</f>
        <v/>
      </c>
      <c r="L216" s="1" t="str">
        <f>IF('Extraction edi'!Q219="laquage RAL :","OUI","")</f>
        <v/>
      </c>
      <c r="M216" s="1" t="str">
        <f>IF('Extraction edi'!R219&lt;&gt;"",'Extraction edi'!R219,IF(G216="ALU blanc","S9016",""))</f>
        <v/>
      </c>
      <c r="N216" s="1" t="str">
        <f>IF('Extraction edi'!S219&lt;&gt;"",'Extraction edi'!S219,IF(G216="ALU blanc","S9016",""))</f>
        <v/>
      </c>
      <c r="O216" s="11">
        <v>46125</v>
      </c>
      <c r="P216" s="1">
        <f t="shared" si="3"/>
        <v>1</v>
      </c>
    </row>
    <row r="217" spans="1:16" x14ac:dyDescent="0.25">
      <c r="A217" s="1" t="str">
        <f>IF(B217="","",CONCATENATE(B217,".",C217,"/Pos ",D217,"/",'Extraction edi'!G220))</f>
        <v/>
      </c>
      <c r="B217" s="1" t="str">
        <f>IF('Extraction edi'!A220="","",'Extraction edi'!A220)</f>
        <v/>
      </c>
      <c r="C217" s="1" t="str">
        <f>IF('Extraction edi'!B220="","",'Extraction edi'!B220)</f>
        <v/>
      </c>
      <c r="D217" s="1" t="str">
        <f>IF('Extraction edi'!H220="","",'Extraction edi'!H220)</f>
        <v/>
      </c>
      <c r="E217" s="1" t="str">
        <f>IF('Extraction edi'!I220="","",'Extraction edi'!I220)</f>
        <v/>
      </c>
      <c r="F217" t="str">
        <f>IF('Extraction edi'!K220="","",'Extraction edi'!K220)</f>
        <v/>
      </c>
      <c r="G217" t="str">
        <f>IF('Extraction edi'!L220="","",'Extraction edi'!L220)</f>
        <v/>
      </c>
      <c r="H217" t="str">
        <f>IF('Extraction edi'!M220="","",'Extraction edi'!M220)</f>
        <v/>
      </c>
      <c r="I217" s="1" t="str">
        <f>IF('Extraction edi'!N220="","",'Extraction edi'!N220)</f>
        <v/>
      </c>
      <c r="J217" s="1" t="str">
        <f>IF('Extraction edi'!O220="","",'Extraction edi'!O220)</f>
        <v/>
      </c>
      <c r="K217" s="1" t="str">
        <f>IF('Extraction edi'!P220="","",'Extraction edi'!P220)</f>
        <v/>
      </c>
      <c r="L217" s="1" t="str">
        <f>IF('Extraction edi'!Q220="laquage RAL :","OUI","")</f>
        <v/>
      </c>
      <c r="M217" s="1" t="str">
        <f>IF('Extraction edi'!R220&lt;&gt;"",'Extraction edi'!R220,IF(G217="ALU blanc","S9016",""))</f>
        <v/>
      </c>
      <c r="N217" s="1" t="str">
        <f>IF('Extraction edi'!S220&lt;&gt;"",'Extraction edi'!S220,IF(G217="ALU blanc","S9016",""))</f>
        <v/>
      </c>
      <c r="O217" s="11">
        <v>46126</v>
      </c>
      <c r="P217" s="1">
        <f t="shared" si="3"/>
        <v>2</v>
      </c>
    </row>
    <row r="218" spans="1:16" x14ac:dyDescent="0.25">
      <c r="A218" s="1" t="str">
        <f>IF(B218="","",CONCATENATE(B218,".",C218,"/Pos ",D218,"/",'Extraction edi'!G221))</f>
        <v/>
      </c>
      <c r="B218" s="1" t="str">
        <f>IF('Extraction edi'!A221="","",'Extraction edi'!A221)</f>
        <v/>
      </c>
      <c r="C218" s="1" t="str">
        <f>IF('Extraction edi'!B221="","",'Extraction edi'!B221)</f>
        <v/>
      </c>
      <c r="D218" s="1" t="str">
        <f>IF('Extraction edi'!H221="","",'Extraction edi'!H221)</f>
        <v/>
      </c>
      <c r="E218" s="1" t="str">
        <f>IF('Extraction edi'!I221="","",'Extraction edi'!I221)</f>
        <v/>
      </c>
      <c r="F218" t="str">
        <f>IF('Extraction edi'!K221="","",'Extraction edi'!K221)</f>
        <v/>
      </c>
      <c r="G218" t="str">
        <f>IF('Extraction edi'!L221="","",'Extraction edi'!L221)</f>
        <v/>
      </c>
      <c r="H218" t="str">
        <f>IF('Extraction edi'!M221="","",'Extraction edi'!M221)</f>
        <v/>
      </c>
      <c r="I218" s="1" t="str">
        <f>IF('Extraction edi'!N221="","",'Extraction edi'!N221)</f>
        <v/>
      </c>
      <c r="J218" s="1" t="str">
        <f>IF('Extraction edi'!O221="","",'Extraction edi'!O221)</f>
        <v/>
      </c>
      <c r="K218" s="1" t="str">
        <f>IF('Extraction edi'!P221="","",'Extraction edi'!P221)</f>
        <v/>
      </c>
      <c r="L218" s="1" t="str">
        <f>IF('Extraction edi'!Q221="laquage RAL :","OUI","")</f>
        <v/>
      </c>
      <c r="M218" s="1" t="str">
        <f>IF('Extraction edi'!R221&lt;&gt;"",'Extraction edi'!R221,IF(G218="ALU blanc","S9016",""))</f>
        <v/>
      </c>
      <c r="N218" s="1" t="str">
        <f>IF('Extraction edi'!S221&lt;&gt;"",'Extraction edi'!S221,IF(G218="ALU blanc","S9016",""))</f>
        <v/>
      </c>
      <c r="O218" s="11">
        <v>46127</v>
      </c>
      <c r="P218" s="1">
        <f t="shared" si="3"/>
        <v>3</v>
      </c>
    </row>
    <row r="219" spans="1:16" x14ac:dyDescent="0.25">
      <c r="A219" s="1" t="str">
        <f>IF(B219="","",CONCATENATE(B219,".",C219,"/Pos ",D219,"/",'Extraction edi'!G222))</f>
        <v/>
      </c>
      <c r="B219" s="1" t="str">
        <f>IF('Extraction edi'!A222="","",'Extraction edi'!A222)</f>
        <v/>
      </c>
      <c r="C219" s="1" t="str">
        <f>IF('Extraction edi'!B222="","",'Extraction edi'!B222)</f>
        <v/>
      </c>
      <c r="D219" s="1" t="str">
        <f>IF('Extraction edi'!H222="","",'Extraction edi'!H222)</f>
        <v/>
      </c>
      <c r="E219" s="1" t="str">
        <f>IF('Extraction edi'!I222="","",'Extraction edi'!I222)</f>
        <v/>
      </c>
      <c r="F219" t="str">
        <f>IF('Extraction edi'!K222="","",'Extraction edi'!K222)</f>
        <v/>
      </c>
      <c r="G219" t="str">
        <f>IF('Extraction edi'!L222="","",'Extraction edi'!L222)</f>
        <v/>
      </c>
      <c r="H219" t="str">
        <f>IF('Extraction edi'!M222="","",'Extraction edi'!M222)</f>
        <v/>
      </c>
      <c r="I219" s="1" t="str">
        <f>IF('Extraction edi'!N222="","",'Extraction edi'!N222)</f>
        <v/>
      </c>
      <c r="J219" s="1" t="str">
        <f>IF('Extraction edi'!O222="","",'Extraction edi'!O222)</f>
        <v/>
      </c>
      <c r="K219" s="1" t="str">
        <f>IF('Extraction edi'!P222="","",'Extraction edi'!P222)</f>
        <v/>
      </c>
      <c r="L219" s="1" t="str">
        <f>IF('Extraction edi'!Q222="laquage RAL :","OUI","")</f>
        <v/>
      </c>
      <c r="M219" s="1" t="str">
        <f>IF('Extraction edi'!R222&lt;&gt;"",'Extraction edi'!R222,IF(G219="ALU blanc","S9016",""))</f>
        <v/>
      </c>
      <c r="N219" s="1" t="str">
        <f>IF('Extraction edi'!S222&lt;&gt;"",'Extraction edi'!S222,IF(G219="ALU blanc","S9016",""))</f>
        <v/>
      </c>
      <c r="O219" s="11">
        <v>46128</v>
      </c>
      <c r="P219" s="1">
        <f t="shared" si="3"/>
        <v>4</v>
      </c>
    </row>
    <row r="220" spans="1:16" x14ac:dyDescent="0.25">
      <c r="A220" s="1" t="str">
        <f>IF(B220="","",CONCATENATE(B220,".",C220,"/Pos ",D220,"/",'Extraction edi'!G223))</f>
        <v/>
      </c>
      <c r="B220" s="1" t="str">
        <f>IF('Extraction edi'!A223="","",'Extraction edi'!A223)</f>
        <v/>
      </c>
      <c r="C220" s="1" t="str">
        <f>IF('Extraction edi'!B223="","",'Extraction edi'!B223)</f>
        <v/>
      </c>
      <c r="D220" s="1" t="str">
        <f>IF('Extraction edi'!H223="","",'Extraction edi'!H223)</f>
        <v/>
      </c>
      <c r="E220" s="1" t="str">
        <f>IF('Extraction edi'!I223="","",'Extraction edi'!I223)</f>
        <v/>
      </c>
      <c r="F220" t="str">
        <f>IF('Extraction edi'!K223="","",'Extraction edi'!K223)</f>
        <v/>
      </c>
      <c r="G220" t="str">
        <f>IF('Extraction edi'!L223="","",'Extraction edi'!L223)</f>
        <v/>
      </c>
      <c r="H220" t="str">
        <f>IF('Extraction edi'!M223="","",'Extraction edi'!M223)</f>
        <v/>
      </c>
      <c r="I220" s="1" t="str">
        <f>IF('Extraction edi'!N223="","",'Extraction edi'!N223)</f>
        <v/>
      </c>
      <c r="J220" s="1" t="str">
        <f>IF('Extraction edi'!O223="","",'Extraction edi'!O223)</f>
        <v/>
      </c>
      <c r="K220" s="1" t="str">
        <f>IF('Extraction edi'!P223="","",'Extraction edi'!P223)</f>
        <v/>
      </c>
      <c r="L220" s="1" t="str">
        <f>IF('Extraction edi'!Q223="laquage RAL :","OUI","")</f>
        <v/>
      </c>
      <c r="M220" s="1" t="str">
        <f>IF('Extraction edi'!R223&lt;&gt;"",'Extraction edi'!R223,IF(G220="ALU blanc","S9016",""))</f>
        <v/>
      </c>
      <c r="N220" s="1" t="str">
        <f>IF('Extraction edi'!S223&lt;&gt;"",'Extraction edi'!S223,IF(G220="ALU blanc","S9016",""))</f>
        <v/>
      </c>
      <c r="O220" s="11">
        <v>46129</v>
      </c>
      <c r="P220" s="1">
        <f t="shared" si="3"/>
        <v>5</v>
      </c>
    </row>
    <row r="221" spans="1:16" x14ac:dyDescent="0.25">
      <c r="A221" s="1" t="str">
        <f>IF(B221="","",CONCATENATE(B221,".",C221,"/Pos ",D221,"/",'Extraction edi'!G224))</f>
        <v/>
      </c>
      <c r="B221" s="1" t="str">
        <f>IF('Extraction edi'!A224="","",'Extraction edi'!A224)</f>
        <v/>
      </c>
      <c r="C221" s="1" t="str">
        <f>IF('Extraction edi'!B224="","",'Extraction edi'!B224)</f>
        <v/>
      </c>
      <c r="D221" s="1" t="str">
        <f>IF('Extraction edi'!H224="","",'Extraction edi'!H224)</f>
        <v/>
      </c>
      <c r="E221" s="1" t="str">
        <f>IF('Extraction edi'!I224="","",'Extraction edi'!I224)</f>
        <v/>
      </c>
      <c r="F221" t="str">
        <f>IF('Extraction edi'!K224="","",'Extraction edi'!K224)</f>
        <v/>
      </c>
      <c r="G221" t="str">
        <f>IF('Extraction edi'!L224="","",'Extraction edi'!L224)</f>
        <v/>
      </c>
      <c r="H221" t="str">
        <f>IF('Extraction edi'!M224="","",'Extraction edi'!M224)</f>
        <v/>
      </c>
      <c r="I221" s="1" t="str">
        <f>IF('Extraction edi'!N224="","",'Extraction edi'!N224)</f>
        <v/>
      </c>
      <c r="J221" s="1" t="str">
        <f>IF('Extraction edi'!O224="","",'Extraction edi'!O224)</f>
        <v/>
      </c>
      <c r="K221" s="1" t="str">
        <f>IF('Extraction edi'!P224="","",'Extraction edi'!P224)</f>
        <v/>
      </c>
      <c r="L221" s="1" t="str">
        <f>IF('Extraction edi'!Q224="laquage RAL :","OUI","")</f>
        <v/>
      </c>
      <c r="M221" s="1" t="str">
        <f>IF('Extraction edi'!R224&lt;&gt;"",'Extraction edi'!R224,IF(G221="ALU blanc","S9016",""))</f>
        <v/>
      </c>
      <c r="N221" s="1" t="str">
        <f>IF('Extraction edi'!S224&lt;&gt;"",'Extraction edi'!S224,IF(G221="ALU blanc","S9016",""))</f>
        <v/>
      </c>
      <c r="O221" s="11">
        <v>46130</v>
      </c>
      <c r="P221" s="1">
        <f t="shared" si="3"/>
        <v>6</v>
      </c>
    </row>
    <row r="222" spans="1:16" x14ac:dyDescent="0.25">
      <c r="A222" s="1" t="str">
        <f>IF(B222="","",CONCATENATE(B222,".",C222,"/Pos ",D222,"/",'Extraction edi'!G225))</f>
        <v/>
      </c>
      <c r="B222" s="1" t="str">
        <f>IF('Extraction edi'!A225="","",'Extraction edi'!A225)</f>
        <v/>
      </c>
      <c r="C222" s="1" t="str">
        <f>IF('Extraction edi'!B225="","",'Extraction edi'!B225)</f>
        <v/>
      </c>
      <c r="D222" s="1" t="str">
        <f>IF('Extraction edi'!H225="","",'Extraction edi'!H225)</f>
        <v/>
      </c>
      <c r="E222" s="1" t="str">
        <f>IF('Extraction edi'!I225="","",'Extraction edi'!I225)</f>
        <v/>
      </c>
      <c r="F222" t="str">
        <f>IF('Extraction edi'!K225="","",'Extraction edi'!K225)</f>
        <v/>
      </c>
      <c r="G222" t="str">
        <f>IF('Extraction edi'!L225="","",'Extraction edi'!L225)</f>
        <v/>
      </c>
      <c r="H222" t="str">
        <f>IF('Extraction edi'!M225="","",'Extraction edi'!M225)</f>
        <v/>
      </c>
      <c r="I222" s="1" t="str">
        <f>IF('Extraction edi'!N225="","",'Extraction edi'!N225)</f>
        <v/>
      </c>
      <c r="J222" s="1" t="str">
        <f>IF('Extraction edi'!O225="","",'Extraction edi'!O225)</f>
        <v/>
      </c>
      <c r="K222" s="1" t="str">
        <f>IF('Extraction edi'!P225="","",'Extraction edi'!P225)</f>
        <v/>
      </c>
      <c r="L222" s="1" t="str">
        <f>IF('Extraction edi'!Q225="laquage RAL :","OUI","")</f>
        <v/>
      </c>
      <c r="M222" s="1" t="str">
        <f>IF('Extraction edi'!R225&lt;&gt;"",'Extraction edi'!R225,IF(G222="ALU blanc","S9016",""))</f>
        <v/>
      </c>
      <c r="N222" s="1" t="str">
        <f>IF('Extraction edi'!S225&lt;&gt;"",'Extraction edi'!S225,IF(G222="ALU blanc","S9016",""))</f>
        <v/>
      </c>
      <c r="O222" s="11">
        <v>46131</v>
      </c>
      <c r="P222" s="1">
        <f t="shared" si="3"/>
        <v>7</v>
      </c>
    </row>
    <row r="223" spans="1:16" x14ac:dyDescent="0.25">
      <c r="A223" s="1" t="str">
        <f>IF(B223="","",CONCATENATE(B223,".",C223,"/Pos ",D223,"/",'Extraction edi'!G226))</f>
        <v/>
      </c>
      <c r="B223" s="1" t="str">
        <f>IF('Extraction edi'!A226="","",'Extraction edi'!A226)</f>
        <v/>
      </c>
      <c r="C223" s="1" t="str">
        <f>IF('Extraction edi'!B226="","",'Extraction edi'!B226)</f>
        <v/>
      </c>
      <c r="D223" s="1" t="str">
        <f>IF('Extraction edi'!H226="","",'Extraction edi'!H226)</f>
        <v/>
      </c>
      <c r="E223" s="1" t="str">
        <f>IF('Extraction edi'!I226="","",'Extraction edi'!I226)</f>
        <v/>
      </c>
      <c r="F223" t="str">
        <f>IF('Extraction edi'!K226="","",'Extraction edi'!K226)</f>
        <v/>
      </c>
      <c r="G223" t="str">
        <f>IF('Extraction edi'!L226="","",'Extraction edi'!L226)</f>
        <v/>
      </c>
      <c r="H223" t="str">
        <f>IF('Extraction edi'!M226="","",'Extraction edi'!M226)</f>
        <v/>
      </c>
      <c r="I223" s="1" t="str">
        <f>IF('Extraction edi'!N226="","",'Extraction edi'!N226)</f>
        <v/>
      </c>
      <c r="J223" s="1" t="str">
        <f>IF('Extraction edi'!O226="","",'Extraction edi'!O226)</f>
        <v/>
      </c>
      <c r="K223" s="1" t="str">
        <f>IF('Extraction edi'!P226="","",'Extraction edi'!P226)</f>
        <v/>
      </c>
      <c r="L223" s="1" t="str">
        <f>IF('Extraction edi'!Q226="laquage RAL :","OUI","")</f>
        <v/>
      </c>
      <c r="M223" s="1" t="str">
        <f>IF('Extraction edi'!R226&lt;&gt;"",'Extraction edi'!R226,IF(G223="ALU blanc","S9016",""))</f>
        <v/>
      </c>
      <c r="N223" s="1" t="str">
        <f>IF('Extraction edi'!S226&lt;&gt;"",'Extraction edi'!S226,IF(G223="ALU blanc","S9016",""))</f>
        <v/>
      </c>
      <c r="O223" s="11">
        <v>46132</v>
      </c>
      <c r="P223" s="1">
        <f t="shared" si="3"/>
        <v>1</v>
      </c>
    </row>
    <row r="224" spans="1:16" x14ac:dyDescent="0.25">
      <c r="A224" s="1" t="str">
        <f>IF(B224="","",CONCATENATE(B224,".",C224,"/Pos ",D224,"/",'Extraction edi'!G227))</f>
        <v/>
      </c>
      <c r="B224" s="1" t="str">
        <f>IF('Extraction edi'!A227="","",'Extraction edi'!A227)</f>
        <v/>
      </c>
      <c r="C224" s="1" t="str">
        <f>IF('Extraction edi'!B227="","",'Extraction edi'!B227)</f>
        <v/>
      </c>
      <c r="D224" s="1" t="str">
        <f>IF('Extraction edi'!H227="","",'Extraction edi'!H227)</f>
        <v/>
      </c>
      <c r="E224" s="1" t="str">
        <f>IF('Extraction edi'!I227="","",'Extraction edi'!I227)</f>
        <v/>
      </c>
      <c r="F224" t="str">
        <f>IF('Extraction edi'!K227="","",'Extraction edi'!K227)</f>
        <v/>
      </c>
      <c r="G224" t="str">
        <f>IF('Extraction edi'!L227="","",'Extraction edi'!L227)</f>
        <v/>
      </c>
      <c r="H224" t="str">
        <f>IF('Extraction edi'!M227="","",'Extraction edi'!M227)</f>
        <v/>
      </c>
      <c r="I224" s="1" t="str">
        <f>IF('Extraction edi'!N227="","",'Extraction edi'!N227)</f>
        <v/>
      </c>
      <c r="J224" s="1" t="str">
        <f>IF('Extraction edi'!O227="","",'Extraction edi'!O227)</f>
        <v/>
      </c>
      <c r="K224" s="1" t="str">
        <f>IF('Extraction edi'!P227="","",'Extraction edi'!P227)</f>
        <v/>
      </c>
      <c r="L224" s="1" t="str">
        <f>IF('Extraction edi'!Q227="laquage RAL :","OUI","")</f>
        <v/>
      </c>
      <c r="M224" s="1" t="str">
        <f>IF('Extraction edi'!R227&lt;&gt;"",'Extraction edi'!R227,IF(G224="ALU blanc","S9016",""))</f>
        <v/>
      </c>
      <c r="N224" s="1" t="str">
        <f>IF('Extraction edi'!S227&lt;&gt;"",'Extraction edi'!S227,IF(G224="ALU blanc","S9016",""))</f>
        <v/>
      </c>
      <c r="O224" s="11">
        <v>46133</v>
      </c>
      <c r="P224" s="1">
        <f t="shared" si="3"/>
        <v>2</v>
      </c>
    </row>
    <row r="225" spans="1:16" x14ac:dyDescent="0.25">
      <c r="A225" s="1" t="str">
        <f>IF(B225="","",CONCATENATE(B225,".",C225,"/Pos ",D225,"/",'Extraction edi'!G228))</f>
        <v/>
      </c>
      <c r="B225" s="1" t="str">
        <f>IF('Extraction edi'!A228="","",'Extraction edi'!A228)</f>
        <v/>
      </c>
      <c r="C225" s="1" t="str">
        <f>IF('Extraction edi'!B228="","",'Extraction edi'!B228)</f>
        <v/>
      </c>
      <c r="D225" s="1" t="str">
        <f>IF('Extraction edi'!H228="","",'Extraction edi'!H228)</f>
        <v/>
      </c>
      <c r="E225" s="1" t="str">
        <f>IF('Extraction edi'!I228="","",'Extraction edi'!I228)</f>
        <v/>
      </c>
      <c r="F225" t="str">
        <f>IF('Extraction edi'!K228="","",'Extraction edi'!K228)</f>
        <v/>
      </c>
      <c r="G225" t="str">
        <f>IF('Extraction edi'!L228="","",'Extraction edi'!L228)</f>
        <v/>
      </c>
      <c r="H225" t="str">
        <f>IF('Extraction edi'!M228="","",'Extraction edi'!M228)</f>
        <v/>
      </c>
      <c r="I225" s="1" t="str">
        <f>IF('Extraction edi'!N228="","",'Extraction edi'!N228)</f>
        <v/>
      </c>
      <c r="J225" s="1" t="str">
        <f>IF('Extraction edi'!O228="","",'Extraction edi'!O228)</f>
        <v/>
      </c>
      <c r="K225" s="1" t="str">
        <f>IF('Extraction edi'!P228="","",'Extraction edi'!P228)</f>
        <v/>
      </c>
      <c r="L225" s="1" t="str">
        <f>IF('Extraction edi'!Q228="laquage RAL :","OUI","")</f>
        <v/>
      </c>
      <c r="M225" s="1" t="str">
        <f>IF('Extraction edi'!R228&lt;&gt;"",'Extraction edi'!R228,IF(G225="ALU blanc","S9016",""))</f>
        <v/>
      </c>
      <c r="N225" s="1" t="str">
        <f>IF('Extraction edi'!S228&lt;&gt;"",'Extraction edi'!S228,IF(G225="ALU blanc","S9016",""))</f>
        <v/>
      </c>
      <c r="O225" s="11">
        <v>46134</v>
      </c>
      <c r="P225" s="1">
        <f t="shared" si="3"/>
        <v>3</v>
      </c>
    </row>
    <row r="226" spans="1:16" x14ac:dyDescent="0.25">
      <c r="A226" s="1" t="str">
        <f>IF(B226="","",CONCATENATE(B226,".",C226,"/Pos ",D226,"/",'Extraction edi'!G229))</f>
        <v/>
      </c>
      <c r="B226" s="1" t="str">
        <f>IF('Extraction edi'!A229="","",'Extraction edi'!A229)</f>
        <v/>
      </c>
      <c r="C226" s="1" t="str">
        <f>IF('Extraction edi'!B229="","",'Extraction edi'!B229)</f>
        <v/>
      </c>
      <c r="D226" s="1" t="str">
        <f>IF('Extraction edi'!H229="","",'Extraction edi'!H229)</f>
        <v/>
      </c>
      <c r="E226" s="1" t="str">
        <f>IF('Extraction edi'!I229="","",'Extraction edi'!I229)</f>
        <v/>
      </c>
      <c r="F226" t="str">
        <f>IF('Extraction edi'!K229="","",'Extraction edi'!K229)</f>
        <v/>
      </c>
      <c r="G226" t="str">
        <f>IF('Extraction edi'!L229="","",'Extraction edi'!L229)</f>
        <v/>
      </c>
      <c r="H226" t="str">
        <f>IF('Extraction edi'!M229="","",'Extraction edi'!M229)</f>
        <v/>
      </c>
      <c r="I226" s="1" t="str">
        <f>IF('Extraction edi'!N229="","",'Extraction edi'!N229)</f>
        <v/>
      </c>
      <c r="J226" s="1" t="str">
        <f>IF('Extraction edi'!O229="","",'Extraction edi'!O229)</f>
        <v/>
      </c>
      <c r="K226" s="1" t="str">
        <f>IF('Extraction edi'!P229="","",'Extraction edi'!P229)</f>
        <v/>
      </c>
      <c r="L226" s="1" t="str">
        <f>IF('Extraction edi'!Q229="laquage RAL :","OUI","")</f>
        <v/>
      </c>
      <c r="M226" s="1" t="str">
        <f>IF('Extraction edi'!R229&lt;&gt;"",'Extraction edi'!R229,IF(G226="ALU blanc","S9016",""))</f>
        <v/>
      </c>
      <c r="N226" s="1" t="str">
        <f>IF('Extraction edi'!S229&lt;&gt;"",'Extraction edi'!S229,IF(G226="ALU blanc","S9016",""))</f>
        <v/>
      </c>
      <c r="O226" s="11">
        <v>46135</v>
      </c>
      <c r="P226" s="1">
        <f t="shared" si="3"/>
        <v>4</v>
      </c>
    </row>
    <row r="227" spans="1:16" x14ac:dyDescent="0.25">
      <c r="A227" s="1" t="str">
        <f>IF(B227="","",CONCATENATE(B227,".",C227,"/Pos ",D227,"/",'Extraction edi'!G230))</f>
        <v/>
      </c>
      <c r="B227" s="1" t="str">
        <f>IF('Extraction edi'!A230="","",'Extraction edi'!A230)</f>
        <v/>
      </c>
      <c r="C227" s="1" t="str">
        <f>IF('Extraction edi'!B230="","",'Extraction edi'!B230)</f>
        <v/>
      </c>
      <c r="D227" s="1" t="str">
        <f>IF('Extraction edi'!H230="","",'Extraction edi'!H230)</f>
        <v/>
      </c>
      <c r="E227" s="1" t="str">
        <f>IF('Extraction edi'!I230="","",'Extraction edi'!I230)</f>
        <v/>
      </c>
      <c r="F227" t="str">
        <f>IF('Extraction edi'!K230="","",'Extraction edi'!K230)</f>
        <v/>
      </c>
      <c r="G227" t="str">
        <f>IF('Extraction edi'!L230="","",'Extraction edi'!L230)</f>
        <v/>
      </c>
      <c r="H227" t="str">
        <f>IF('Extraction edi'!M230="","",'Extraction edi'!M230)</f>
        <v/>
      </c>
      <c r="I227" s="1" t="str">
        <f>IF('Extraction edi'!N230="","",'Extraction edi'!N230)</f>
        <v/>
      </c>
      <c r="J227" s="1" t="str">
        <f>IF('Extraction edi'!O230="","",'Extraction edi'!O230)</f>
        <v/>
      </c>
      <c r="K227" s="1" t="str">
        <f>IF('Extraction edi'!P230="","",'Extraction edi'!P230)</f>
        <v/>
      </c>
      <c r="L227" s="1" t="str">
        <f>IF('Extraction edi'!Q230="laquage RAL :","OUI","")</f>
        <v/>
      </c>
      <c r="M227" s="1" t="str">
        <f>IF('Extraction edi'!R230&lt;&gt;"",'Extraction edi'!R230,IF(G227="ALU blanc","S9016",""))</f>
        <v/>
      </c>
      <c r="N227" s="1" t="str">
        <f>IF('Extraction edi'!S230&lt;&gt;"",'Extraction edi'!S230,IF(G227="ALU blanc","S9016",""))</f>
        <v/>
      </c>
      <c r="O227" s="11">
        <v>46136</v>
      </c>
      <c r="P227" s="1">
        <f t="shared" si="3"/>
        <v>5</v>
      </c>
    </row>
    <row r="228" spans="1:16" x14ac:dyDescent="0.25">
      <c r="A228" s="1" t="str">
        <f>IF(B228="","",CONCATENATE(B228,".",C228,"/Pos ",D228,"/",'Extraction edi'!G231))</f>
        <v/>
      </c>
      <c r="B228" s="1" t="str">
        <f>IF('Extraction edi'!A231="","",'Extraction edi'!A231)</f>
        <v/>
      </c>
      <c r="C228" s="1" t="str">
        <f>IF('Extraction edi'!B231="","",'Extraction edi'!B231)</f>
        <v/>
      </c>
      <c r="D228" s="1" t="str">
        <f>IF('Extraction edi'!H231="","",'Extraction edi'!H231)</f>
        <v/>
      </c>
      <c r="E228" s="1" t="str">
        <f>IF('Extraction edi'!I231="","",'Extraction edi'!I231)</f>
        <v/>
      </c>
      <c r="F228" t="str">
        <f>IF('Extraction edi'!K231="","",'Extraction edi'!K231)</f>
        <v/>
      </c>
      <c r="G228" t="str">
        <f>IF('Extraction edi'!L231="","",'Extraction edi'!L231)</f>
        <v/>
      </c>
      <c r="H228" t="str">
        <f>IF('Extraction edi'!M231="","",'Extraction edi'!M231)</f>
        <v/>
      </c>
      <c r="I228" s="1" t="str">
        <f>IF('Extraction edi'!N231="","",'Extraction edi'!N231)</f>
        <v/>
      </c>
      <c r="J228" s="1" t="str">
        <f>IF('Extraction edi'!O231="","",'Extraction edi'!O231)</f>
        <v/>
      </c>
      <c r="K228" s="1" t="str">
        <f>IF('Extraction edi'!P231="","",'Extraction edi'!P231)</f>
        <v/>
      </c>
      <c r="L228" s="1" t="str">
        <f>IF('Extraction edi'!Q231="laquage RAL :","OUI","")</f>
        <v/>
      </c>
      <c r="M228" s="1" t="str">
        <f>IF('Extraction edi'!R231&lt;&gt;"",'Extraction edi'!R231,IF(G228="ALU blanc","S9016",""))</f>
        <v/>
      </c>
      <c r="N228" s="1" t="str">
        <f>IF('Extraction edi'!S231&lt;&gt;"",'Extraction edi'!S231,IF(G228="ALU blanc","S9016",""))</f>
        <v/>
      </c>
      <c r="O228" s="11">
        <v>46137</v>
      </c>
      <c r="P228" s="1">
        <f t="shared" si="3"/>
        <v>6</v>
      </c>
    </row>
    <row r="229" spans="1:16" x14ac:dyDescent="0.25">
      <c r="A229" s="1" t="str">
        <f>IF(B229="","",CONCATENATE(B229,".",C229,"/Pos ",D229,"/",'Extraction edi'!G232))</f>
        <v/>
      </c>
      <c r="B229" s="1" t="str">
        <f>IF('Extraction edi'!A232="","",'Extraction edi'!A232)</f>
        <v/>
      </c>
      <c r="C229" s="1" t="str">
        <f>IF('Extraction edi'!B232="","",'Extraction edi'!B232)</f>
        <v/>
      </c>
      <c r="D229" s="1" t="str">
        <f>IF('Extraction edi'!H232="","",'Extraction edi'!H232)</f>
        <v/>
      </c>
      <c r="E229" s="1" t="str">
        <f>IF('Extraction edi'!I232="","",'Extraction edi'!I232)</f>
        <v/>
      </c>
      <c r="F229" t="str">
        <f>IF('Extraction edi'!K232="","",'Extraction edi'!K232)</f>
        <v/>
      </c>
      <c r="G229" t="str">
        <f>IF('Extraction edi'!L232="","",'Extraction edi'!L232)</f>
        <v/>
      </c>
      <c r="H229" t="str">
        <f>IF('Extraction edi'!M232="","",'Extraction edi'!M232)</f>
        <v/>
      </c>
      <c r="I229" s="1" t="str">
        <f>IF('Extraction edi'!N232="","",'Extraction edi'!N232)</f>
        <v/>
      </c>
      <c r="J229" s="1" t="str">
        <f>IF('Extraction edi'!O232="","",'Extraction edi'!O232)</f>
        <v/>
      </c>
      <c r="K229" s="1" t="str">
        <f>IF('Extraction edi'!P232="","",'Extraction edi'!P232)</f>
        <v/>
      </c>
      <c r="L229" s="1" t="str">
        <f>IF('Extraction edi'!Q232="laquage RAL :","OUI","")</f>
        <v/>
      </c>
      <c r="M229" s="1" t="str">
        <f>IF('Extraction edi'!R232&lt;&gt;"",'Extraction edi'!R232,IF(G229="ALU blanc","S9016",""))</f>
        <v/>
      </c>
      <c r="N229" s="1" t="str">
        <f>IF('Extraction edi'!S232&lt;&gt;"",'Extraction edi'!S232,IF(G229="ALU blanc","S9016",""))</f>
        <v/>
      </c>
      <c r="O229" s="11">
        <v>46138</v>
      </c>
      <c r="P229" s="1">
        <f t="shared" si="3"/>
        <v>7</v>
      </c>
    </row>
    <row r="230" spans="1:16" x14ac:dyDescent="0.25">
      <c r="A230" s="1" t="str">
        <f>IF(B230="","",CONCATENATE(B230,".",C230,"/Pos ",D230,"/",'Extraction edi'!G233))</f>
        <v/>
      </c>
      <c r="B230" s="1" t="str">
        <f>IF('Extraction edi'!A233="","",'Extraction edi'!A233)</f>
        <v/>
      </c>
      <c r="C230" s="1" t="str">
        <f>IF('Extraction edi'!B233="","",'Extraction edi'!B233)</f>
        <v/>
      </c>
      <c r="D230" s="1" t="str">
        <f>IF('Extraction edi'!H233="","",'Extraction edi'!H233)</f>
        <v/>
      </c>
      <c r="E230" s="1" t="str">
        <f>IF('Extraction edi'!I233="","",'Extraction edi'!I233)</f>
        <v/>
      </c>
      <c r="F230" t="str">
        <f>IF('Extraction edi'!K233="","",'Extraction edi'!K233)</f>
        <v/>
      </c>
      <c r="G230" t="str">
        <f>IF('Extraction edi'!L233="","",'Extraction edi'!L233)</f>
        <v/>
      </c>
      <c r="H230" t="str">
        <f>IF('Extraction edi'!M233="","",'Extraction edi'!M233)</f>
        <v/>
      </c>
      <c r="I230" s="1" t="str">
        <f>IF('Extraction edi'!N233="","",'Extraction edi'!N233)</f>
        <v/>
      </c>
      <c r="J230" s="1" t="str">
        <f>IF('Extraction edi'!O233="","",'Extraction edi'!O233)</f>
        <v/>
      </c>
      <c r="K230" s="1" t="str">
        <f>IF('Extraction edi'!P233="","",'Extraction edi'!P233)</f>
        <v/>
      </c>
      <c r="L230" s="1" t="str">
        <f>IF('Extraction edi'!Q233="laquage RAL :","OUI","")</f>
        <v/>
      </c>
      <c r="M230" s="1" t="str">
        <f>IF('Extraction edi'!R233&lt;&gt;"",'Extraction edi'!R233,IF(G230="ALU blanc","S9016",""))</f>
        <v/>
      </c>
      <c r="N230" s="1" t="str">
        <f>IF('Extraction edi'!S233&lt;&gt;"",'Extraction edi'!S233,IF(G230="ALU blanc","S9016",""))</f>
        <v/>
      </c>
      <c r="O230" s="11">
        <v>46139</v>
      </c>
      <c r="P230" s="1">
        <f t="shared" si="3"/>
        <v>1</v>
      </c>
    </row>
    <row r="231" spans="1:16" x14ac:dyDescent="0.25">
      <c r="A231" s="1" t="str">
        <f>IF(B231="","",CONCATENATE(B231,".",C231,"/Pos ",D231,"/",'Extraction edi'!G234))</f>
        <v/>
      </c>
      <c r="B231" s="1" t="str">
        <f>IF('Extraction edi'!A234="","",'Extraction edi'!A234)</f>
        <v/>
      </c>
      <c r="C231" s="1" t="str">
        <f>IF('Extraction edi'!B234="","",'Extraction edi'!B234)</f>
        <v/>
      </c>
      <c r="D231" s="1" t="str">
        <f>IF('Extraction edi'!H234="","",'Extraction edi'!H234)</f>
        <v/>
      </c>
      <c r="E231" s="1" t="str">
        <f>IF('Extraction edi'!I234="","",'Extraction edi'!I234)</f>
        <v/>
      </c>
      <c r="F231" t="str">
        <f>IF('Extraction edi'!K234="","",'Extraction edi'!K234)</f>
        <v/>
      </c>
      <c r="G231" t="str">
        <f>IF('Extraction edi'!L234="","",'Extraction edi'!L234)</f>
        <v/>
      </c>
      <c r="H231" t="str">
        <f>IF('Extraction edi'!M234="","",'Extraction edi'!M234)</f>
        <v/>
      </c>
      <c r="I231" s="1" t="str">
        <f>IF('Extraction edi'!N234="","",'Extraction edi'!N234)</f>
        <v/>
      </c>
      <c r="J231" s="1" t="str">
        <f>IF('Extraction edi'!O234="","",'Extraction edi'!O234)</f>
        <v/>
      </c>
      <c r="K231" s="1" t="str">
        <f>IF('Extraction edi'!P234="","",'Extraction edi'!P234)</f>
        <v/>
      </c>
      <c r="L231" s="1" t="str">
        <f>IF('Extraction edi'!Q234="laquage RAL :","OUI","")</f>
        <v/>
      </c>
      <c r="M231" s="1" t="str">
        <f>IF('Extraction edi'!R234&lt;&gt;"",'Extraction edi'!R234,IF(G231="ALU blanc","S9016",""))</f>
        <v/>
      </c>
      <c r="N231" s="1" t="str">
        <f>IF('Extraction edi'!S234&lt;&gt;"",'Extraction edi'!S234,IF(G231="ALU blanc","S9016",""))</f>
        <v/>
      </c>
      <c r="O231" s="11">
        <v>46140</v>
      </c>
      <c r="P231" s="1">
        <f t="shared" si="3"/>
        <v>2</v>
      </c>
    </row>
    <row r="232" spans="1:16" x14ac:dyDescent="0.25">
      <c r="A232" s="1" t="str">
        <f>IF(B232="","",CONCATENATE(B232,".",C232,"/Pos ",D232,"/",'Extraction edi'!G235))</f>
        <v/>
      </c>
      <c r="B232" s="1" t="str">
        <f>IF('Extraction edi'!A235="","",'Extraction edi'!A235)</f>
        <v/>
      </c>
      <c r="C232" s="1" t="str">
        <f>IF('Extraction edi'!B235="","",'Extraction edi'!B235)</f>
        <v/>
      </c>
      <c r="D232" s="1" t="str">
        <f>IF('Extraction edi'!H235="","",'Extraction edi'!H235)</f>
        <v/>
      </c>
      <c r="E232" s="1" t="str">
        <f>IF('Extraction edi'!I235="","",'Extraction edi'!I235)</f>
        <v/>
      </c>
      <c r="F232" t="str">
        <f>IF('Extraction edi'!K235="","",'Extraction edi'!K235)</f>
        <v/>
      </c>
      <c r="G232" t="str">
        <f>IF('Extraction edi'!L235="","",'Extraction edi'!L235)</f>
        <v/>
      </c>
      <c r="H232" t="str">
        <f>IF('Extraction edi'!M235="","",'Extraction edi'!M235)</f>
        <v/>
      </c>
      <c r="I232" s="1" t="str">
        <f>IF('Extraction edi'!N235="","",'Extraction edi'!N235)</f>
        <v/>
      </c>
      <c r="J232" s="1" t="str">
        <f>IF('Extraction edi'!O235="","",'Extraction edi'!O235)</f>
        <v/>
      </c>
      <c r="K232" s="1" t="str">
        <f>IF('Extraction edi'!P235="","",'Extraction edi'!P235)</f>
        <v/>
      </c>
      <c r="L232" s="1" t="str">
        <f>IF('Extraction edi'!Q235="laquage RAL :","OUI","")</f>
        <v/>
      </c>
      <c r="M232" s="1" t="str">
        <f>IF('Extraction edi'!R235&lt;&gt;"",'Extraction edi'!R235,IF(G232="ALU blanc","S9016",""))</f>
        <v/>
      </c>
      <c r="N232" s="1" t="str">
        <f>IF('Extraction edi'!S235&lt;&gt;"",'Extraction edi'!S235,IF(G232="ALU blanc","S9016",""))</f>
        <v/>
      </c>
      <c r="O232" s="11">
        <v>46141</v>
      </c>
      <c r="P232" s="1">
        <f t="shared" si="3"/>
        <v>3</v>
      </c>
    </row>
    <row r="233" spans="1:16" x14ac:dyDescent="0.25">
      <c r="A233" s="1" t="str">
        <f>IF(B233="","",CONCATENATE(B233,".",C233,"/Pos ",D233,"/",'Extraction edi'!G236))</f>
        <v/>
      </c>
      <c r="B233" s="1" t="str">
        <f>IF('Extraction edi'!A236="","",'Extraction edi'!A236)</f>
        <v/>
      </c>
      <c r="C233" s="1" t="str">
        <f>IF('Extraction edi'!B236="","",'Extraction edi'!B236)</f>
        <v/>
      </c>
      <c r="D233" s="1" t="str">
        <f>IF('Extraction edi'!H236="","",'Extraction edi'!H236)</f>
        <v/>
      </c>
      <c r="E233" s="1" t="str">
        <f>IF('Extraction edi'!I236="","",'Extraction edi'!I236)</f>
        <v/>
      </c>
      <c r="F233" t="str">
        <f>IF('Extraction edi'!K236="","",'Extraction edi'!K236)</f>
        <v/>
      </c>
      <c r="G233" t="str">
        <f>IF('Extraction edi'!L236="","",'Extraction edi'!L236)</f>
        <v/>
      </c>
      <c r="H233" t="str">
        <f>IF('Extraction edi'!M236="","",'Extraction edi'!M236)</f>
        <v/>
      </c>
      <c r="I233" s="1" t="str">
        <f>IF('Extraction edi'!N236="","",'Extraction edi'!N236)</f>
        <v/>
      </c>
      <c r="J233" s="1" t="str">
        <f>IF('Extraction edi'!O236="","",'Extraction edi'!O236)</f>
        <v/>
      </c>
      <c r="K233" s="1" t="str">
        <f>IF('Extraction edi'!P236="","",'Extraction edi'!P236)</f>
        <v/>
      </c>
      <c r="L233" s="1" t="str">
        <f>IF('Extraction edi'!Q236="laquage RAL :","OUI","")</f>
        <v/>
      </c>
      <c r="M233" s="1" t="str">
        <f>IF('Extraction edi'!R236&lt;&gt;"",'Extraction edi'!R236,IF(G233="ALU blanc","S9016",""))</f>
        <v/>
      </c>
      <c r="N233" s="1" t="str">
        <f>IF('Extraction edi'!S236&lt;&gt;"",'Extraction edi'!S236,IF(G233="ALU blanc","S9016",""))</f>
        <v/>
      </c>
      <c r="O233" s="11">
        <v>46142</v>
      </c>
      <c r="P233" s="1">
        <f t="shared" si="3"/>
        <v>4</v>
      </c>
    </row>
    <row r="234" spans="1:16" x14ac:dyDescent="0.25">
      <c r="A234" s="1" t="str">
        <f>IF(B234="","",CONCATENATE(B234,".",C234,"/Pos ",D234,"/",'Extraction edi'!G237))</f>
        <v/>
      </c>
      <c r="B234" s="1" t="str">
        <f>IF('Extraction edi'!A237="","",'Extraction edi'!A237)</f>
        <v/>
      </c>
      <c r="C234" s="1" t="str">
        <f>IF('Extraction edi'!B237="","",'Extraction edi'!B237)</f>
        <v/>
      </c>
      <c r="D234" s="1" t="str">
        <f>IF('Extraction edi'!H237="","",'Extraction edi'!H237)</f>
        <v/>
      </c>
      <c r="E234" s="1" t="str">
        <f>IF('Extraction edi'!I237="","",'Extraction edi'!I237)</f>
        <v/>
      </c>
      <c r="F234" t="str">
        <f>IF('Extraction edi'!K237="","",'Extraction edi'!K237)</f>
        <v/>
      </c>
      <c r="G234" t="str">
        <f>IF('Extraction edi'!L237="","",'Extraction edi'!L237)</f>
        <v/>
      </c>
      <c r="H234" t="str">
        <f>IF('Extraction edi'!M237="","",'Extraction edi'!M237)</f>
        <v/>
      </c>
      <c r="I234" s="1" t="str">
        <f>IF('Extraction edi'!N237="","",'Extraction edi'!N237)</f>
        <v/>
      </c>
      <c r="J234" s="1" t="str">
        <f>IF('Extraction edi'!O237="","",'Extraction edi'!O237)</f>
        <v/>
      </c>
      <c r="K234" s="1" t="str">
        <f>IF('Extraction edi'!P237="","",'Extraction edi'!P237)</f>
        <v/>
      </c>
      <c r="L234" s="1" t="str">
        <f>IF('Extraction edi'!Q237="laquage RAL :","OUI","")</f>
        <v/>
      </c>
      <c r="M234" s="1" t="str">
        <f>IF('Extraction edi'!R237&lt;&gt;"",'Extraction edi'!R237,IF(G234="ALU blanc","S9016",""))</f>
        <v/>
      </c>
      <c r="N234" s="1" t="str">
        <f>IF('Extraction edi'!S237&lt;&gt;"",'Extraction edi'!S237,IF(G234="ALU blanc","S9016",""))</f>
        <v/>
      </c>
      <c r="O234" s="11">
        <v>46143</v>
      </c>
      <c r="P234" s="1">
        <f t="shared" si="3"/>
        <v>5</v>
      </c>
    </row>
    <row r="235" spans="1:16" x14ac:dyDescent="0.25">
      <c r="A235" s="1" t="str">
        <f>IF(B235="","",CONCATENATE(B235,".",C235,"/Pos ",D235,"/",'Extraction edi'!G238))</f>
        <v/>
      </c>
      <c r="B235" s="1" t="str">
        <f>IF('Extraction edi'!A238="","",'Extraction edi'!A238)</f>
        <v/>
      </c>
      <c r="C235" s="1" t="str">
        <f>IF('Extraction edi'!B238="","",'Extraction edi'!B238)</f>
        <v/>
      </c>
      <c r="D235" s="1" t="str">
        <f>IF('Extraction edi'!H238="","",'Extraction edi'!H238)</f>
        <v/>
      </c>
      <c r="E235" s="1" t="str">
        <f>IF('Extraction edi'!I238="","",'Extraction edi'!I238)</f>
        <v/>
      </c>
      <c r="F235" t="str">
        <f>IF('Extraction edi'!K238="","",'Extraction edi'!K238)</f>
        <v/>
      </c>
      <c r="G235" t="str">
        <f>IF('Extraction edi'!L238="","",'Extraction edi'!L238)</f>
        <v/>
      </c>
      <c r="H235" t="str">
        <f>IF('Extraction edi'!M238="","",'Extraction edi'!M238)</f>
        <v/>
      </c>
      <c r="I235" s="1" t="str">
        <f>IF('Extraction edi'!N238="","",'Extraction edi'!N238)</f>
        <v/>
      </c>
      <c r="J235" s="1" t="str">
        <f>IF('Extraction edi'!O238="","",'Extraction edi'!O238)</f>
        <v/>
      </c>
      <c r="K235" s="1" t="str">
        <f>IF('Extraction edi'!P238="","",'Extraction edi'!P238)</f>
        <v/>
      </c>
      <c r="L235" s="1" t="str">
        <f>IF('Extraction edi'!Q238="laquage RAL :","OUI","")</f>
        <v/>
      </c>
      <c r="M235" s="1" t="str">
        <f>IF('Extraction edi'!R238&lt;&gt;"",'Extraction edi'!R238,IF(G235="ALU blanc","S9016",""))</f>
        <v/>
      </c>
      <c r="N235" s="1" t="str">
        <f>IF('Extraction edi'!S238&lt;&gt;"",'Extraction edi'!S238,IF(G235="ALU blanc","S9016",""))</f>
        <v/>
      </c>
      <c r="O235" s="11">
        <v>46144</v>
      </c>
      <c r="P235" s="1">
        <f t="shared" si="3"/>
        <v>6</v>
      </c>
    </row>
    <row r="236" spans="1:16" x14ac:dyDescent="0.25">
      <c r="A236" s="1" t="str">
        <f>IF(B236="","",CONCATENATE(B236,".",C236,"/Pos ",D236,"/",'Extraction edi'!G239))</f>
        <v/>
      </c>
      <c r="B236" s="1" t="str">
        <f>IF('Extraction edi'!A239="","",'Extraction edi'!A239)</f>
        <v/>
      </c>
      <c r="C236" s="1" t="str">
        <f>IF('Extraction edi'!B239="","",'Extraction edi'!B239)</f>
        <v/>
      </c>
      <c r="D236" s="1" t="str">
        <f>IF('Extraction edi'!H239="","",'Extraction edi'!H239)</f>
        <v/>
      </c>
      <c r="E236" s="1" t="str">
        <f>IF('Extraction edi'!I239="","",'Extraction edi'!I239)</f>
        <v/>
      </c>
      <c r="F236" t="str">
        <f>IF('Extraction edi'!K239="","",'Extraction edi'!K239)</f>
        <v/>
      </c>
      <c r="G236" t="str">
        <f>IF('Extraction edi'!L239="","",'Extraction edi'!L239)</f>
        <v/>
      </c>
      <c r="H236" t="str">
        <f>IF('Extraction edi'!M239="","",'Extraction edi'!M239)</f>
        <v/>
      </c>
      <c r="I236" s="1" t="str">
        <f>IF('Extraction edi'!N239="","",'Extraction edi'!N239)</f>
        <v/>
      </c>
      <c r="J236" s="1" t="str">
        <f>IF('Extraction edi'!O239="","",'Extraction edi'!O239)</f>
        <v/>
      </c>
      <c r="K236" s="1" t="str">
        <f>IF('Extraction edi'!P239="","",'Extraction edi'!P239)</f>
        <v/>
      </c>
      <c r="L236" s="1" t="str">
        <f>IF('Extraction edi'!Q239="laquage RAL :","OUI","")</f>
        <v/>
      </c>
      <c r="M236" s="1" t="str">
        <f>IF('Extraction edi'!R239&lt;&gt;"",'Extraction edi'!R239,IF(G236="ALU blanc","S9016",""))</f>
        <v/>
      </c>
      <c r="N236" s="1" t="str">
        <f>IF('Extraction edi'!S239&lt;&gt;"",'Extraction edi'!S239,IF(G236="ALU blanc","S9016",""))</f>
        <v/>
      </c>
      <c r="O236" s="11">
        <v>46145</v>
      </c>
      <c r="P236" s="1">
        <f t="shared" si="3"/>
        <v>7</v>
      </c>
    </row>
    <row r="237" spans="1:16" x14ac:dyDescent="0.25">
      <c r="A237" s="1" t="str">
        <f>IF(B237="","",CONCATENATE(B237,".",C237,"/Pos ",D237,"/",'Extraction edi'!G240))</f>
        <v/>
      </c>
      <c r="B237" s="1" t="str">
        <f>IF('Extraction edi'!A240="","",'Extraction edi'!A240)</f>
        <v/>
      </c>
      <c r="C237" s="1" t="str">
        <f>IF('Extraction edi'!B240="","",'Extraction edi'!B240)</f>
        <v/>
      </c>
      <c r="D237" s="1" t="str">
        <f>IF('Extraction edi'!H240="","",'Extraction edi'!H240)</f>
        <v/>
      </c>
      <c r="E237" s="1" t="str">
        <f>IF('Extraction edi'!I240="","",'Extraction edi'!I240)</f>
        <v/>
      </c>
      <c r="F237" t="str">
        <f>IF('Extraction edi'!K240="","",'Extraction edi'!K240)</f>
        <v/>
      </c>
      <c r="G237" t="str">
        <f>IF('Extraction edi'!L240="","",'Extraction edi'!L240)</f>
        <v/>
      </c>
      <c r="H237" t="str">
        <f>IF('Extraction edi'!M240="","",'Extraction edi'!M240)</f>
        <v/>
      </c>
      <c r="I237" s="1" t="str">
        <f>IF('Extraction edi'!N240="","",'Extraction edi'!N240)</f>
        <v/>
      </c>
      <c r="J237" s="1" t="str">
        <f>IF('Extraction edi'!O240="","",'Extraction edi'!O240)</f>
        <v/>
      </c>
      <c r="K237" s="1" t="str">
        <f>IF('Extraction edi'!P240="","",'Extraction edi'!P240)</f>
        <v/>
      </c>
      <c r="L237" s="1" t="str">
        <f>IF('Extraction edi'!Q240="laquage RAL :","OUI","")</f>
        <v/>
      </c>
      <c r="M237" s="1" t="str">
        <f>IF('Extraction edi'!R240&lt;&gt;"",'Extraction edi'!R240,IF(G237="ALU blanc","S9016",""))</f>
        <v/>
      </c>
      <c r="N237" s="1" t="str">
        <f>IF('Extraction edi'!S240&lt;&gt;"",'Extraction edi'!S240,IF(G237="ALU blanc","S9016",""))</f>
        <v/>
      </c>
      <c r="O237" s="11">
        <v>46146</v>
      </c>
      <c r="P237" s="1">
        <f t="shared" si="3"/>
        <v>1</v>
      </c>
    </row>
    <row r="238" spans="1:16" x14ac:dyDescent="0.25">
      <c r="A238" s="1" t="str">
        <f>IF(B238="","",CONCATENATE(B238,".",C238,"/Pos ",D238,"/",'Extraction edi'!G241))</f>
        <v/>
      </c>
      <c r="B238" s="1" t="str">
        <f>IF('Extraction edi'!A241="","",'Extraction edi'!A241)</f>
        <v/>
      </c>
      <c r="C238" s="1" t="str">
        <f>IF('Extraction edi'!B241="","",'Extraction edi'!B241)</f>
        <v/>
      </c>
      <c r="D238" s="1" t="str">
        <f>IF('Extraction edi'!H241="","",'Extraction edi'!H241)</f>
        <v/>
      </c>
      <c r="E238" s="1" t="str">
        <f>IF('Extraction edi'!I241="","",'Extraction edi'!I241)</f>
        <v/>
      </c>
      <c r="F238" t="str">
        <f>IF('Extraction edi'!K241="","",'Extraction edi'!K241)</f>
        <v/>
      </c>
      <c r="G238" t="str">
        <f>IF('Extraction edi'!L241="","",'Extraction edi'!L241)</f>
        <v/>
      </c>
      <c r="H238" t="str">
        <f>IF('Extraction edi'!M241="","",'Extraction edi'!M241)</f>
        <v/>
      </c>
      <c r="I238" s="1" t="str">
        <f>IF('Extraction edi'!N241="","",'Extraction edi'!N241)</f>
        <v/>
      </c>
      <c r="J238" s="1" t="str">
        <f>IF('Extraction edi'!O241="","",'Extraction edi'!O241)</f>
        <v/>
      </c>
      <c r="K238" s="1" t="str">
        <f>IF('Extraction edi'!P241="","",'Extraction edi'!P241)</f>
        <v/>
      </c>
      <c r="L238" s="1" t="str">
        <f>IF('Extraction edi'!Q241="laquage RAL :","OUI","")</f>
        <v/>
      </c>
      <c r="M238" s="1" t="str">
        <f>IF('Extraction edi'!R241&lt;&gt;"",'Extraction edi'!R241,IF(G238="ALU blanc","S9016",""))</f>
        <v/>
      </c>
      <c r="N238" s="1" t="str">
        <f>IF('Extraction edi'!S241&lt;&gt;"",'Extraction edi'!S241,IF(G238="ALU blanc","S9016",""))</f>
        <v/>
      </c>
      <c r="O238" s="11">
        <v>46147</v>
      </c>
      <c r="P238" s="1">
        <f t="shared" si="3"/>
        <v>2</v>
      </c>
    </row>
    <row r="239" spans="1:16" x14ac:dyDescent="0.25">
      <c r="A239" s="1" t="str">
        <f>IF(B239="","",CONCATENATE(B239,".",C239,"/Pos ",D239,"/",'Extraction edi'!G242))</f>
        <v/>
      </c>
      <c r="B239" s="1" t="str">
        <f>IF('Extraction edi'!A242="","",'Extraction edi'!A242)</f>
        <v/>
      </c>
      <c r="C239" s="1" t="str">
        <f>IF('Extraction edi'!B242="","",'Extraction edi'!B242)</f>
        <v/>
      </c>
      <c r="D239" s="1" t="str">
        <f>IF('Extraction edi'!H242="","",'Extraction edi'!H242)</f>
        <v/>
      </c>
      <c r="E239" s="1" t="str">
        <f>IF('Extraction edi'!I242="","",'Extraction edi'!I242)</f>
        <v/>
      </c>
      <c r="F239" t="str">
        <f>IF('Extraction edi'!K242="","",'Extraction edi'!K242)</f>
        <v/>
      </c>
      <c r="G239" t="str">
        <f>IF('Extraction edi'!L242="","",'Extraction edi'!L242)</f>
        <v/>
      </c>
      <c r="H239" t="str">
        <f>IF('Extraction edi'!M242="","",'Extraction edi'!M242)</f>
        <v/>
      </c>
      <c r="I239" s="1" t="str">
        <f>IF('Extraction edi'!N242="","",'Extraction edi'!N242)</f>
        <v/>
      </c>
      <c r="J239" s="1" t="str">
        <f>IF('Extraction edi'!O242="","",'Extraction edi'!O242)</f>
        <v/>
      </c>
      <c r="K239" s="1" t="str">
        <f>IF('Extraction edi'!P242="","",'Extraction edi'!P242)</f>
        <v/>
      </c>
      <c r="L239" s="1" t="str">
        <f>IF('Extraction edi'!Q242="laquage RAL :","OUI","")</f>
        <v/>
      </c>
      <c r="M239" s="1" t="str">
        <f>IF('Extraction edi'!R242&lt;&gt;"",'Extraction edi'!R242,IF(G239="ALU blanc","S9016",""))</f>
        <v/>
      </c>
      <c r="N239" s="1" t="str">
        <f>IF('Extraction edi'!S242&lt;&gt;"",'Extraction edi'!S242,IF(G239="ALU blanc","S9016",""))</f>
        <v/>
      </c>
      <c r="O239" s="11">
        <v>46148</v>
      </c>
      <c r="P239" s="1">
        <f t="shared" si="3"/>
        <v>3</v>
      </c>
    </row>
    <row r="240" spans="1:16" x14ac:dyDescent="0.25">
      <c r="A240" s="1" t="str">
        <f>IF(B240="","",CONCATENATE(B240,".",C240,"/Pos ",D240,"/",'Extraction edi'!G243))</f>
        <v/>
      </c>
      <c r="B240" s="1" t="str">
        <f>IF('Extraction edi'!A243="","",'Extraction edi'!A243)</f>
        <v/>
      </c>
      <c r="C240" s="1" t="str">
        <f>IF('Extraction edi'!B243="","",'Extraction edi'!B243)</f>
        <v/>
      </c>
      <c r="D240" s="1" t="str">
        <f>IF('Extraction edi'!H243="","",'Extraction edi'!H243)</f>
        <v/>
      </c>
      <c r="E240" s="1" t="str">
        <f>IF('Extraction edi'!I243="","",'Extraction edi'!I243)</f>
        <v/>
      </c>
      <c r="F240" t="str">
        <f>IF('Extraction edi'!K243="","",'Extraction edi'!K243)</f>
        <v/>
      </c>
      <c r="G240" t="str">
        <f>IF('Extraction edi'!L243="","",'Extraction edi'!L243)</f>
        <v/>
      </c>
      <c r="H240" t="str">
        <f>IF('Extraction edi'!M243="","",'Extraction edi'!M243)</f>
        <v/>
      </c>
      <c r="I240" s="1" t="str">
        <f>IF('Extraction edi'!N243="","",'Extraction edi'!N243)</f>
        <v/>
      </c>
      <c r="J240" s="1" t="str">
        <f>IF('Extraction edi'!O243="","",'Extraction edi'!O243)</f>
        <v/>
      </c>
      <c r="K240" s="1" t="str">
        <f>IF('Extraction edi'!P243="","",'Extraction edi'!P243)</f>
        <v/>
      </c>
      <c r="L240" s="1" t="str">
        <f>IF('Extraction edi'!Q243="laquage RAL :","OUI","")</f>
        <v/>
      </c>
      <c r="M240" s="1" t="str">
        <f>IF('Extraction edi'!R243&lt;&gt;"",'Extraction edi'!R243,IF(G240="ALU blanc","S9016",""))</f>
        <v/>
      </c>
      <c r="N240" s="1" t="str">
        <f>IF('Extraction edi'!S243&lt;&gt;"",'Extraction edi'!S243,IF(G240="ALU blanc","S9016",""))</f>
        <v/>
      </c>
      <c r="O240" s="11">
        <v>46149</v>
      </c>
      <c r="P240" s="1">
        <f t="shared" si="3"/>
        <v>4</v>
      </c>
    </row>
    <row r="241" spans="1:16" x14ac:dyDescent="0.25">
      <c r="A241" s="1" t="str">
        <f>IF(B241="","",CONCATENATE(B241,".",C241,"/Pos ",D241,"/",'Extraction edi'!G244))</f>
        <v/>
      </c>
      <c r="B241" s="1" t="str">
        <f>IF('Extraction edi'!A244="","",'Extraction edi'!A244)</f>
        <v/>
      </c>
      <c r="C241" s="1" t="str">
        <f>IF('Extraction edi'!B244="","",'Extraction edi'!B244)</f>
        <v/>
      </c>
      <c r="D241" s="1" t="str">
        <f>IF('Extraction edi'!H244="","",'Extraction edi'!H244)</f>
        <v/>
      </c>
      <c r="E241" s="1" t="str">
        <f>IF('Extraction edi'!I244="","",'Extraction edi'!I244)</f>
        <v/>
      </c>
      <c r="F241" t="str">
        <f>IF('Extraction edi'!K244="","",'Extraction edi'!K244)</f>
        <v/>
      </c>
      <c r="G241" t="str">
        <f>IF('Extraction edi'!L244="","",'Extraction edi'!L244)</f>
        <v/>
      </c>
      <c r="H241" t="str">
        <f>IF('Extraction edi'!M244="","",'Extraction edi'!M244)</f>
        <v/>
      </c>
      <c r="I241" s="1" t="str">
        <f>IF('Extraction edi'!N244="","",'Extraction edi'!N244)</f>
        <v/>
      </c>
      <c r="J241" s="1" t="str">
        <f>IF('Extraction edi'!O244="","",'Extraction edi'!O244)</f>
        <v/>
      </c>
      <c r="K241" s="1" t="str">
        <f>IF('Extraction edi'!P244="","",'Extraction edi'!P244)</f>
        <v/>
      </c>
      <c r="L241" s="1" t="str">
        <f>IF('Extraction edi'!Q244="laquage RAL :","OUI","")</f>
        <v/>
      </c>
      <c r="M241" s="1" t="str">
        <f>IF('Extraction edi'!R244&lt;&gt;"",'Extraction edi'!R244,IF(G241="ALU blanc","S9016",""))</f>
        <v/>
      </c>
      <c r="N241" s="1" t="str">
        <f>IF('Extraction edi'!S244&lt;&gt;"",'Extraction edi'!S244,IF(G241="ALU blanc","S9016",""))</f>
        <v/>
      </c>
      <c r="O241" s="11">
        <v>46150</v>
      </c>
      <c r="P241" s="1">
        <f t="shared" si="3"/>
        <v>5</v>
      </c>
    </row>
    <row r="242" spans="1:16" x14ac:dyDescent="0.25">
      <c r="A242" s="1" t="str">
        <f>IF(B242="","",CONCATENATE(B242,".",C242,"/Pos ",D242,"/",'Extraction edi'!G245))</f>
        <v/>
      </c>
      <c r="B242" s="1" t="str">
        <f>IF('Extraction edi'!A245="","",'Extraction edi'!A245)</f>
        <v/>
      </c>
      <c r="C242" s="1" t="str">
        <f>IF('Extraction edi'!B245="","",'Extraction edi'!B245)</f>
        <v/>
      </c>
      <c r="D242" s="1" t="str">
        <f>IF('Extraction edi'!H245="","",'Extraction edi'!H245)</f>
        <v/>
      </c>
      <c r="E242" s="1" t="str">
        <f>IF('Extraction edi'!I245="","",'Extraction edi'!I245)</f>
        <v/>
      </c>
      <c r="F242" t="str">
        <f>IF('Extraction edi'!K245="","",'Extraction edi'!K245)</f>
        <v/>
      </c>
      <c r="G242" t="str">
        <f>IF('Extraction edi'!L245="","",'Extraction edi'!L245)</f>
        <v/>
      </c>
      <c r="H242" t="str">
        <f>IF('Extraction edi'!M245="","",'Extraction edi'!M245)</f>
        <v/>
      </c>
      <c r="I242" s="1" t="str">
        <f>IF('Extraction edi'!N245="","",'Extraction edi'!N245)</f>
        <v/>
      </c>
      <c r="J242" s="1" t="str">
        <f>IF('Extraction edi'!O245="","",'Extraction edi'!O245)</f>
        <v/>
      </c>
      <c r="K242" s="1" t="str">
        <f>IF('Extraction edi'!P245="","",'Extraction edi'!P245)</f>
        <v/>
      </c>
      <c r="L242" s="1" t="str">
        <f>IF('Extraction edi'!Q245="laquage RAL :","OUI","")</f>
        <v/>
      </c>
      <c r="M242" s="1" t="str">
        <f>IF('Extraction edi'!R245&lt;&gt;"",'Extraction edi'!R245,IF(G242="ALU blanc","S9016",""))</f>
        <v/>
      </c>
      <c r="N242" s="1" t="str">
        <f>IF('Extraction edi'!S245&lt;&gt;"",'Extraction edi'!S245,IF(G242="ALU blanc","S9016",""))</f>
        <v/>
      </c>
      <c r="O242" s="11">
        <v>46151</v>
      </c>
      <c r="P242" s="1">
        <f t="shared" si="3"/>
        <v>6</v>
      </c>
    </row>
    <row r="243" spans="1:16" x14ac:dyDescent="0.25">
      <c r="A243" s="1" t="str">
        <f>IF(B243="","",CONCATENATE(B243,".",C243,"/Pos ",D243,"/",'Extraction edi'!G246))</f>
        <v/>
      </c>
      <c r="B243" s="1" t="str">
        <f>IF('Extraction edi'!A246="","",'Extraction edi'!A246)</f>
        <v/>
      </c>
      <c r="C243" s="1" t="str">
        <f>IF('Extraction edi'!B246="","",'Extraction edi'!B246)</f>
        <v/>
      </c>
      <c r="D243" s="1" t="str">
        <f>IF('Extraction edi'!H246="","",'Extraction edi'!H246)</f>
        <v/>
      </c>
      <c r="E243" s="1" t="str">
        <f>IF('Extraction edi'!I246="","",'Extraction edi'!I246)</f>
        <v/>
      </c>
      <c r="F243" t="str">
        <f>IF('Extraction edi'!K246="","",'Extraction edi'!K246)</f>
        <v/>
      </c>
      <c r="G243" t="str">
        <f>IF('Extraction edi'!L246="","",'Extraction edi'!L246)</f>
        <v/>
      </c>
      <c r="H243" t="str">
        <f>IF('Extraction edi'!M246="","",'Extraction edi'!M246)</f>
        <v/>
      </c>
      <c r="I243" s="1" t="str">
        <f>IF('Extraction edi'!N246="","",'Extraction edi'!N246)</f>
        <v/>
      </c>
      <c r="J243" s="1" t="str">
        <f>IF('Extraction edi'!O246="","",'Extraction edi'!O246)</f>
        <v/>
      </c>
      <c r="K243" s="1" t="str">
        <f>IF('Extraction edi'!P246="","",'Extraction edi'!P246)</f>
        <v/>
      </c>
      <c r="L243" s="1" t="str">
        <f>IF('Extraction edi'!Q246="laquage RAL :","OUI","")</f>
        <v/>
      </c>
      <c r="M243" s="1" t="str">
        <f>IF('Extraction edi'!R246&lt;&gt;"",'Extraction edi'!R246,IF(G243="ALU blanc","S9016",""))</f>
        <v/>
      </c>
      <c r="N243" s="1" t="str">
        <f>IF('Extraction edi'!S246&lt;&gt;"",'Extraction edi'!S246,IF(G243="ALU blanc","S9016",""))</f>
        <v/>
      </c>
      <c r="O243" s="11">
        <v>46152</v>
      </c>
      <c r="P243" s="1">
        <f t="shared" si="3"/>
        <v>7</v>
      </c>
    </row>
    <row r="244" spans="1:16" x14ac:dyDescent="0.25">
      <c r="A244" s="1" t="str">
        <f>IF(B244="","",CONCATENATE(B244,".",C244,"/Pos ",D244,"/",'Extraction edi'!G247))</f>
        <v/>
      </c>
      <c r="B244" s="1" t="str">
        <f>IF('Extraction edi'!A247="","",'Extraction edi'!A247)</f>
        <v/>
      </c>
      <c r="C244" s="1" t="str">
        <f>IF('Extraction edi'!B247="","",'Extraction edi'!B247)</f>
        <v/>
      </c>
      <c r="D244" s="1" t="str">
        <f>IF('Extraction edi'!H247="","",'Extraction edi'!H247)</f>
        <v/>
      </c>
      <c r="E244" s="1" t="str">
        <f>IF('Extraction edi'!I247="","",'Extraction edi'!I247)</f>
        <v/>
      </c>
      <c r="F244" t="str">
        <f>IF('Extraction edi'!K247="","",'Extraction edi'!K247)</f>
        <v/>
      </c>
      <c r="G244" t="str">
        <f>IF('Extraction edi'!L247="","",'Extraction edi'!L247)</f>
        <v/>
      </c>
      <c r="H244" t="str">
        <f>IF('Extraction edi'!M247="","",'Extraction edi'!M247)</f>
        <v/>
      </c>
      <c r="I244" s="1" t="str">
        <f>IF('Extraction edi'!N247="","",'Extraction edi'!N247)</f>
        <v/>
      </c>
      <c r="J244" s="1" t="str">
        <f>IF('Extraction edi'!O247="","",'Extraction edi'!O247)</f>
        <v/>
      </c>
      <c r="K244" s="1" t="str">
        <f>IF('Extraction edi'!P247="","",'Extraction edi'!P247)</f>
        <v/>
      </c>
      <c r="L244" s="1" t="str">
        <f>IF('Extraction edi'!Q247="laquage RAL :","OUI","")</f>
        <v/>
      </c>
      <c r="M244" s="1" t="str">
        <f>IF('Extraction edi'!R247&lt;&gt;"",'Extraction edi'!R247,IF(G244="ALU blanc","S9016",""))</f>
        <v/>
      </c>
      <c r="N244" s="1" t="str">
        <f>IF('Extraction edi'!S247&lt;&gt;"",'Extraction edi'!S247,IF(G244="ALU blanc","S9016",""))</f>
        <v/>
      </c>
      <c r="O244" s="11">
        <v>46153</v>
      </c>
      <c r="P244" s="1">
        <f t="shared" si="3"/>
        <v>1</v>
      </c>
    </row>
    <row r="245" spans="1:16" x14ac:dyDescent="0.25">
      <c r="A245" s="1" t="str">
        <f>IF(B245="","",CONCATENATE(B245,".",C245,"/Pos ",D245,"/",'Extraction edi'!G248))</f>
        <v/>
      </c>
      <c r="B245" s="1" t="str">
        <f>IF('Extraction edi'!A248="","",'Extraction edi'!A248)</f>
        <v/>
      </c>
      <c r="C245" s="1" t="str">
        <f>IF('Extraction edi'!B248="","",'Extraction edi'!B248)</f>
        <v/>
      </c>
      <c r="D245" s="1" t="str">
        <f>IF('Extraction edi'!H248="","",'Extraction edi'!H248)</f>
        <v/>
      </c>
      <c r="E245" s="1" t="str">
        <f>IF('Extraction edi'!I248="","",'Extraction edi'!I248)</f>
        <v/>
      </c>
      <c r="F245" t="str">
        <f>IF('Extraction edi'!K248="","",'Extraction edi'!K248)</f>
        <v/>
      </c>
      <c r="G245" t="str">
        <f>IF('Extraction edi'!L248="","",'Extraction edi'!L248)</f>
        <v/>
      </c>
      <c r="H245" t="str">
        <f>IF('Extraction edi'!M248="","",'Extraction edi'!M248)</f>
        <v/>
      </c>
      <c r="I245" s="1" t="str">
        <f>IF('Extraction edi'!N248="","",'Extraction edi'!N248)</f>
        <v/>
      </c>
      <c r="J245" s="1" t="str">
        <f>IF('Extraction edi'!O248="","",'Extraction edi'!O248)</f>
        <v/>
      </c>
      <c r="K245" s="1" t="str">
        <f>IF('Extraction edi'!P248="","",'Extraction edi'!P248)</f>
        <v/>
      </c>
      <c r="L245" s="1" t="str">
        <f>IF('Extraction edi'!Q248="laquage RAL :","OUI","")</f>
        <v/>
      </c>
      <c r="M245" s="1" t="str">
        <f>IF('Extraction edi'!R248&lt;&gt;"",'Extraction edi'!R248,IF(G245="ALU blanc","S9016",""))</f>
        <v/>
      </c>
      <c r="N245" s="1" t="str">
        <f>IF('Extraction edi'!S248&lt;&gt;"",'Extraction edi'!S248,IF(G245="ALU blanc","S9016",""))</f>
        <v/>
      </c>
      <c r="O245" s="11">
        <v>46154</v>
      </c>
      <c r="P245" s="1">
        <f t="shared" si="3"/>
        <v>2</v>
      </c>
    </row>
    <row r="246" spans="1:16" x14ac:dyDescent="0.25">
      <c r="A246" s="1" t="str">
        <f>IF(B246="","",CONCATENATE(B246,".",C246,"/Pos ",D246,"/",'Extraction edi'!G249))</f>
        <v/>
      </c>
      <c r="B246" s="1" t="str">
        <f>IF('Extraction edi'!A249="","",'Extraction edi'!A249)</f>
        <v/>
      </c>
      <c r="C246" s="1" t="str">
        <f>IF('Extraction edi'!B249="","",'Extraction edi'!B249)</f>
        <v/>
      </c>
      <c r="D246" s="1" t="str">
        <f>IF('Extraction edi'!H249="","",'Extraction edi'!H249)</f>
        <v/>
      </c>
      <c r="E246" s="1" t="str">
        <f>IF('Extraction edi'!I249="","",'Extraction edi'!I249)</f>
        <v/>
      </c>
      <c r="F246" t="str">
        <f>IF('Extraction edi'!K249="","",'Extraction edi'!K249)</f>
        <v/>
      </c>
      <c r="G246" t="str">
        <f>IF('Extraction edi'!L249="","",'Extraction edi'!L249)</f>
        <v/>
      </c>
      <c r="H246" t="str">
        <f>IF('Extraction edi'!M249="","",'Extraction edi'!M249)</f>
        <v/>
      </c>
      <c r="I246" s="1" t="str">
        <f>IF('Extraction edi'!N249="","",'Extraction edi'!N249)</f>
        <v/>
      </c>
      <c r="J246" s="1" t="str">
        <f>IF('Extraction edi'!O249="","",'Extraction edi'!O249)</f>
        <v/>
      </c>
      <c r="K246" s="1" t="str">
        <f>IF('Extraction edi'!P249="","",'Extraction edi'!P249)</f>
        <v/>
      </c>
      <c r="L246" s="1" t="str">
        <f>IF('Extraction edi'!Q249="laquage RAL :","OUI","")</f>
        <v/>
      </c>
      <c r="M246" s="1" t="str">
        <f>IF('Extraction edi'!R249&lt;&gt;"",'Extraction edi'!R249,IF(G246="ALU blanc","S9016",""))</f>
        <v/>
      </c>
      <c r="N246" s="1" t="str">
        <f>IF('Extraction edi'!S249&lt;&gt;"",'Extraction edi'!S249,IF(G246="ALU blanc","S9016",""))</f>
        <v/>
      </c>
      <c r="O246" s="11">
        <v>46155</v>
      </c>
      <c r="P246" s="1">
        <f t="shared" si="3"/>
        <v>3</v>
      </c>
    </row>
    <row r="247" spans="1:16" x14ac:dyDescent="0.25">
      <c r="A247" s="1" t="str">
        <f>IF(B247="","",CONCATENATE(B247,".",C247,"/Pos ",D247,"/",'Extraction edi'!G250))</f>
        <v/>
      </c>
      <c r="B247" s="1" t="str">
        <f>IF('Extraction edi'!A250="","",'Extraction edi'!A250)</f>
        <v/>
      </c>
      <c r="C247" s="1" t="str">
        <f>IF('Extraction edi'!B250="","",'Extraction edi'!B250)</f>
        <v/>
      </c>
      <c r="D247" s="1" t="str">
        <f>IF('Extraction edi'!H250="","",'Extraction edi'!H250)</f>
        <v/>
      </c>
      <c r="E247" s="1" t="str">
        <f>IF('Extraction edi'!I250="","",'Extraction edi'!I250)</f>
        <v/>
      </c>
      <c r="F247" t="str">
        <f>IF('Extraction edi'!K250="","",'Extraction edi'!K250)</f>
        <v/>
      </c>
      <c r="G247" t="str">
        <f>IF('Extraction edi'!L250="","",'Extraction edi'!L250)</f>
        <v/>
      </c>
      <c r="H247" t="str">
        <f>IF('Extraction edi'!M250="","",'Extraction edi'!M250)</f>
        <v/>
      </c>
      <c r="I247" s="1" t="str">
        <f>IF('Extraction edi'!N250="","",'Extraction edi'!N250)</f>
        <v/>
      </c>
      <c r="J247" s="1" t="str">
        <f>IF('Extraction edi'!O250="","",'Extraction edi'!O250)</f>
        <v/>
      </c>
      <c r="K247" s="1" t="str">
        <f>IF('Extraction edi'!P250="","",'Extraction edi'!P250)</f>
        <v/>
      </c>
      <c r="L247" s="1" t="str">
        <f>IF('Extraction edi'!Q250="laquage RAL :","OUI","")</f>
        <v/>
      </c>
      <c r="M247" s="1" t="str">
        <f>IF('Extraction edi'!R250&lt;&gt;"",'Extraction edi'!R250,IF(G247="ALU blanc","S9016",""))</f>
        <v/>
      </c>
      <c r="N247" s="1" t="str">
        <f>IF('Extraction edi'!S250&lt;&gt;"",'Extraction edi'!S250,IF(G247="ALU blanc","S9016",""))</f>
        <v/>
      </c>
      <c r="O247" s="11">
        <v>46156</v>
      </c>
      <c r="P247" s="1">
        <f t="shared" si="3"/>
        <v>4</v>
      </c>
    </row>
    <row r="248" spans="1:16" x14ac:dyDescent="0.25">
      <c r="A248" s="1" t="str">
        <f>IF(B248="","",CONCATENATE(B248,".",C248,"/Pos ",D248,"/",'Extraction edi'!G251))</f>
        <v/>
      </c>
      <c r="B248" s="1" t="str">
        <f>IF('Extraction edi'!A251="","",'Extraction edi'!A251)</f>
        <v/>
      </c>
      <c r="C248" s="1" t="str">
        <f>IF('Extraction edi'!B251="","",'Extraction edi'!B251)</f>
        <v/>
      </c>
      <c r="D248" s="1" t="str">
        <f>IF('Extraction edi'!H251="","",'Extraction edi'!H251)</f>
        <v/>
      </c>
      <c r="E248" s="1" t="str">
        <f>IF('Extraction edi'!I251="","",'Extraction edi'!I251)</f>
        <v/>
      </c>
      <c r="F248" t="str">
        <f>IF('Extraction edi'!K251="","",'Extraction edi'!K251)</f>
        <v/>
      </c>
      <c r="G248" t="str">
        <f>IF('Extraction edi'!L251="","",'Extraction edi'!L251)</f>
        <v/>
      </c>
      <c r="H248" t="str">
        <f>IF('Extraction edi'!M251="","",'Extraction edi'!M251)</f>
        <v/>
      </c>
      <c r="I248" s="1" t="str">
        <f>IF('Extraction edi'!N251="","",'Extraction edi'!N251)</f>
        <v/>
      </c>
      <c r="J248" s="1" t="str">
        <f>IF('Extraction edi'!O251="","",'Extraction edi'!O251)</f>
        <v/>
      </c>
      <c r="K248" s="1" t="str">
        <f>IF('Extraction edi'!P251="","",'Extraction edi'!P251)</f>
        <v/>
      </c>
      <c r="L248" s="1" t="str">
        <f>IF('Extraction edi'!Q251="laquage RAL :","OUI","")</f>
        <v/>
      </c>
      <c r="M248" s="1" t="str">
        <f>IF('Extraction edi'!R251&lt;&gt;"",'Extraction edi'!R251,IF(G248="ALU blanc","S9016",""))</f>
        <v/>
      </c>
      <c r="N248" s="1" t="str">
        <f>IF('Extraction edi'!S251&lt;&gt;"",'Extraction edi'!S251,IF(G248="ALU blanc","S9016",""))</f>
        <v/>
      </c>
      <c r="O248" s="11">
        <v>46157</v>
      </c>
      <c r="P248" s="1">
        <f t="shared" si="3"/>
        <v>5</v>
      </c>
    </row>
    <row r="249" spans="1:16" x14ac:dyDescent="0.25">
      <c r="A249" s="1" t="str">
        <f>IF(B249="","",CONCATENATE(B249,".",C249,"/Pos ",D249,"/",'Extraction edi'!G252))</f>
        <v/>
      </c>
      <c r="B249" s="1" t="str">
        <f>IF('Extraction edi'!A252="","",'Extraction edi'!A252)</f>
        <v/>
      </c>
      <c r="C249" s="1" t="str">
        <f>IF('Extraction edi'!B252="","",'Extraction edi'!B252)</f>
        <v/>
      </c>
      <c r="D249" s="1" t="str">
        <f>IF('Extraction edi'!H252="","",'Extraction edi'!H252)</f>
        <v/>
      </c>
      <c r="E249" s="1" t="str">
        <f>IF('Extraction edi'!I252="","",'Extraction edi'!I252)</f>
        <v/>
      </c>
      <c r="F249" t="str">
        <f>IF('Extraction edi'!K252="","",'Extraction edi'!K252)</f>
        <v/>
      </c>
      <c r="G249" t="str">
        <f>IF('Extraction edi'!L252="","",'Extraction edi'!L252)</f>
        <v/>
      </c>
      <c r="H249" t="str">
        <f>IF('Extraction edi'!M252="","",'Extraction edi'!M252)</f>
        <v/>
      </c>
      <c r="I249" s="1" t="str">
        <f>IF('Extraction edi'!N252="","",'Extraction edi'!N252)</f>
        <v/>
      </c>
      <c r="J249" s="1" t="str">
        <f>IF('Extraction edi'!O252="","",'Extraction edi'!O252)</f>
        <v/>
      </c>
      <c r="K249" s="1" t="str">
        <f>IF('Extraction edi'!P252="","",'Extraction edi'!P252)</f>
        <v/>
      </c>
      <c r="L249" s="1" t="str">
        <f>IF('Extraction edi'!Q252="laquage RAL :","OUI","")</f>
        <v/>
      </c>
      <c r="M249" s="1" t="str">
        <f>IF('Extraction edi'!R252&lt;&gt;"",'Extraction edi'!R252,IF(G249="ALU blanc","S9016",""))</f>
        <v/>
      </c>
      <c r="N249" s="1" t="str">
        <f>IF('Extraction edi'!S252&lt;&gt;"",'Extraction edi'!S252,IF(G249="ALU blanc","S9016",""))</f>
        <v/>
      </c>
      <c r="O249" s="11">
        <v>46158</v>
      </c>
      <c r="P249" s="1">
        <f t="shared" si="3"/>
        <v>6</v>
      </c>
    </row>
    <row r="250" spans="1:16" x14ac:dyDescent="0.25">
      <c r="A250" s="1" t="str">
        <f>IF(B250="","",CONCATENATE(B250,".",C250,"/Pos ",D250,"/",'Extraction edi'!G253))</f>
        <v/>
      </c>
      <c r="B250" s="1" t="str">
        <f>IF('Extraction edi'!A253="","",'Extraction edi'!A253)</f>
        <v/>
      </c>
      <c r="C250" s="1" t="str">
        <f>IF('Extraction edi'!B253="","",'Extraction edi'!B253)</f>
        <v/>
      </c>
      <c r="D250" s="1" t="str">
        <f>IF('Extraction edi'!H253="","",'Extraction edi'!H253)</f>
        <v/>
      </c>
      <c r="E250" s="1" t="str">
        <f>IF('Extraction edi'!I253="","",'Extraction edi'!I253)</f>
        <v/>
      </c>
      <c r="F250" t="str">
        <f>IF('Extraction edi'!K253="","",'Extraction edi'!K253)</f>
        <v/>
      </c>
      <c r="G250" t="str">
        <f>IF('Extraction edi'!L253="","",'Extraction edi'!L253)</f>
        <v/>
      </c>
      <c r="H250" t="str">
        <f>IF('Extraction edi'!M253="","",'Extraction edi'!M253)</f>
        <v/>
      </c>
      <c r="I250" s="1" t="str">
        <f>IF('Extraction edi'!N253="","",'Extraction edi'!N253)</f>
        <v/>
      </c>
      <c r="J250" s="1" t="str">
        <f>IF('Extraction edi'!O253="","",'Extraction edi'!O253)</f>
        <v/>
      </c>
      <c r="K250" s="1" t="str">
        <f>IF('Extraction edi'!P253="","",'Extraction edi'!P253)</f>
        <v/>
      </c>
      <c r="L250" s="1" t="str">
        <f>IF('Extraction edi'!Q253="laquage RAL :","OUI","")</f>
        <v/>
      </c>
      <c r="M250" s="1" t="str">
        <f>IF('Extraction edi'!R253&lt;&gt;"",'Extraction edi'!R253,IF(G250="ALU blanc","S9016",""))</f>
        <v/>
      </c>
      <c r="N250" s="1" t="str">
        <f>IF('Extraction edi'!S253&lt;&gt;"",'Extraction edi'!S253,IF(G250="ALU blanc","S9016",""))</f>
        <v/>
      </c>
      <c r="O250" s="11">
        <v>46159</v>
      </c>
      <c r="P250" s="1">
        <f t="shared" si="3"/>
        <v>7</v>
      </c>
    </row>
    <row r="251" spans="1:16" x14ac:dyDescent="0.25">
      <c r="A251" s="1" t="str">
        <f>IF(B251="","",CONCATENATE(B251,".",C251,"/Pos ",D251,"/",'Extraction edi'!G254))</f>
        <v/>
      </c>
      <c r="B251" s="1" t="str">
        <f>IF('Extraction edi'!A254="","",'Extraction edi'!A254)</f>
        <v/>
      </c>
      <c r="C251" s="1" t="str">
        <f>IF('Extraction edi'!B254="","",'Extraction edi'!B254)</f>
        <v/>
      </c>
      <c r="D251" s="1" t="str">
        <f>IF('Extraction edi'!H254="","",'Extraction edi'!H254)</f>
        <v/>
      </c>
      <c r="E251" s="1" t="str">
        <f>IF('Extraction edi'!I254="","",'Extraction edi'!I254)</f>
        <v/>
      </c>
      <c r="F251" t="str">
        <f>IF('Extraction edi'!K254="","",'Extraction edi'!K254)</f>
        <v/>
      </c>
      <c r="G251" t="str">
        <f>IF('Extraction edi'!L254="","",'Extraction edi'!L254)</f>
        <v/>
      </c>
      <c r="H251" t="str">
        <f>IF('Extraction edi'!M254="","",'Extraction edi'!M254)</f>
        <v/>
      </c>
      <c r="I251" s="1" t="str">
        <f>IF('Extraction edi'!N254="","",'Extraction edi'!N254)</f>
        <v/>
      </c>
      <c r="J251" s="1" t="str">
        <f>IF('Extraction edi'!O254="","",'Extraction edi'!O254)</f>
        <v/>
      </c>
      <c r="K251" s="1" t="str">
        <f>IF('Extraction edi'!P254="","",'Extraction edi'!P254)</f>
        <v/>
      </c>
      <c r="L251" s="1" t="str">
        <f>IF('Extraction edi'!Q254="laquage RAL :","OUI","")</f>
        <v/>
      </c>
      <c r="M251" s="1" t="str">
        <f>IF('Extraction edi'!R254&lt;&gt;"",'Extraction edi'!R254,IF(G251="ALU blanc","S9016",""))</f>
        <v/>
      </c>
      <c r="N251" s="1" t="str">
        <f>IF('Extraction edi'!S254&lt;&gt;"",'Extraction edi'!S254,IF(G251="ALU blanc","S9016",""))</f>
        <v/>
      </c>
      <c r="O251" s="11">
        <v>46160</v>
      </c>
      <c r="P251" s="1">
        <f t="shared" si="3"/>
        <v>1</v>
      </c>
    </row>
    <row r="252" spans="1:16" x14ac:dyDescent="0.25">
      <c r="A252" s="1" t="str">
        <f>IF(B252="","",CONCATENATE(B252,".",C252,"/Pos ",D252,"/",'Extraction edi'!G255))</f>
        <v/>
      </c>
      <c r="B252" s="1" t="str">
        <f>IF('Extraction edi'!A255="","",'Extraction edi'!A255)</f>
        <v/>
      </c>
      <c r="C252" s="1" t="str">
        <f>IF('Extraction edi'!B255="","",'Extraction edi'!B255)</f>
        <v/>
      </c>
      <c r="D252" s="1" t="str">
        <f>IF('Extraction edi'!H255="","",'Extraction edi'!H255)</f>
        <v/>
      </c>
      <c r="E252" s="1" t="str">
        <f>IF('Extraction edi'!I255="","",'Extraction edi'!I255)</f>
        <v/>
      </c>
      <c r="F252" t="str">
        <f>IF('Extraction edi'!K255="","",'Extraction edi'!K255)</f>
        <v/>
      </c>
      <c r="G252" t="str">
        <f>IF('Extraction edi'!L255="","",'Extraction edi'!L255)</f>
        <v/>
      </c>
      <c r="H252" t="str">
        <f>IF('Extraction edi'!M255="","",'Extraction edi'!M255)</f>
        <v/>
      </c>
      <c r="I252" s="1" t="str">
        <f>IF('Extraction edi'!N255="","",'Extraction edi'!N255)</f>
        <v/>
      </c>
      <c r="J252" s="1" t="str">
        <f>IF('Extraction edi'!O255="","",'Extraction edi'!O255)</f>
        <v/>
      </c>
      <c r="K252" s="1" t="str">
        <f>IF('Extraction edi'!P255="","",'Extraction edi'!P255)</f>
        <v/>
      </c>
      <c r="L252" s="1" t="str">
        <f>IF('Extraction edi'!Q255="laquage RAL :","OUI","")</f>
        <v/>
      </c>
      <c r="M252" s="1" t="str">
        <f>IF('Extraction edi'!R255&lt;&gt;"",'Extraction edi'!R255,IF(G252="ALU blanc","S9016",""))</f>
        <v/>
      </c>
      <c r="N252" s="1" t="str">
        <f>IF('Extraction edi'!S255&lt;&gt;"",'Extraction edi'!S255,IF(G252="ALU blanc","S9016",""))</f>
        <v/>
      </c>
      <c r="O252" s="11">
        <v>46161</v>
      </c>
      <c r="P252" s="1">
        <f t="shared" si="3"/>
        <v>2</v>
      </c>
    </row>
    <row r="253" spans="1:16" x14ac:dyDescent="0.25">
      <c r="A253" s="1" t="str">
        <f>IF(B253="","",CONCATENATE(B253,".",C253,"/Pos ",D253,"/",'Extraction edi'!G256))</f>
        <v/>
      </c>
      <c r="B253" s="1" t="str">
        <f>IF('Extraction edi'!A256="","",'Extraction edi'!A256)</f>
        <v/>
      </c>
      <c r="C253" s="1" t="str">
        <f>IF('Extraction edi'!B256="","",'Extraction edi'!B256)</f>
        <v/>
      </c>
      <c r="D253" s="1" t="str">
        <f>IF('Extraction edi'!H256="","",'Extraction edi'!H256)</f>
        <v/>
      </c>
      <c r="E253" s="1" t="str">
        <f>IF('Extraction edi'!I256="","",'Extraction edi'!I256)</f>
        <v/>
      </c>
      <c r="F253" t="str">
        <f>IF('Extraction edi'!K256="","",'Extraction edi'!K256)</f>
        <v/>
      </c>
      <c r="G253" t="str">
        <f>IF('Extraction edi'!L256="","",'Extraction edi'!L256)</f>
        <v/>
      </c>
      <c r="H253" t="str">
        <f>IF('Extraction edi'!M256="","",'Extraction edi'!M256)</f>
        <v/>
      </c>
      <c r="I253" s="1" t="str">
        <f>IF('Extraction edi'!N256="","",'Extraction edi'!N256)</f>
        <v/>
      </c>
      <c r="J253" s="1" t="str">
        <f>IF('Extraction edi'!O256="","",'Extraction edi'!O256)</f>
        <v/>
      </c>
      <c r="K253" s="1" t="str">
        <f>IF('Extraction edi'!P256="","",'Extraction edi'!P256)</f>
        <v/>
      </c>
      <c r="L253" s="1" t="str">
        <f>IF('Extraction edi'!Q256="laquage RAL :","OUI","")</f>
        <v/>
      </c>
      <c r="M253" s="1" t="str">
        <f>IF('Extraction edi'!R256&lt;&gt;"",'Extraction edi'!R256,IF(G253="ALU blanc","S9016",""))</f>
        <v/>
      </c>
      <c r="N253" s="1" t="str">
        <f>IF('Extraction edi'!S256&lt;&gt;"",'Extraction edi'!S256,IF(G253="ALU blanc","S9016",""))</f>
        <v/>
      </c>
      <c r="O253" s="11">
        <v>46162</v>
      </c>
      <c r="P253" s="1">
        <f t="shared" si="3"/>
        <v>3</v>
      </c>
    </row>
    <row r="254" spans="1:16" x14ac:dyDescent="0.25">
      <c r="A254" s="1" t="str">
        <f>IF(B254="","",CONCATENATE(B254,".",C254,"/Pos ",D254,"/",'Extraction edi'!G257))</f>
        <v/>
      </c>
      <c r="B254" s="1" t="str">
        <f>IF('Extraction edi'!A257="","",'Extraction edi'!A257)</f>
        <v/>
      </c>
      <c r="C254" s="1" t="str">
        <f>IF('Extraction edi'!B257="","",'Extraction edi'!B257)</f>
        <v/>
      </c>
      <c r="D254" s="1" t="str">
        <f>IF('Extraction edi'!H257="","",'Extraction edi'!H257)</f>
        <v/>
      </c>
      <c r="E254" s="1" t="str">
        <f>IF('Extraction edi'!I257="","",'Extraction edi'!I257)</f>
        <v/>
      </c>
      <c r="F254" t="str">
        <f>IF('Extraction edi'!K257="","",'Extraction edi'!K257)</f>
        <v/>
      </c>
      <c r="G254" t="str">
        <f>IF('Extraction edi'!L257="","",'Extraction edi'!L257)</f>
        <v/>
      </c>
      <c r="H254" t="str">
        <f>IF('Extraction edi'!M257="","",'Extraction edi'!M257)</f>
        <v/>
      </c>
      <c r="I254" s="1" t="str">
        <f>IF('Extraction edi'!N257="","",'Extraction edi'!N257)</f>
        <v/>
      </c>
      <c r="J254" s="1" t="str">
        <f>IF('Extraction edi'!O257="","",'Extraction edi'!O257)</f>
        <v/>
      </c>
      <c r="K254" s="1" t="str">
        <f>IF('Extraction edi'!P257="","",'Extraction edi'!P257)</f>
        <v/>
      </c>
      <c r="L254" s="1" t="str">
        <f>IF('Extraction edi'!Q257="laquage RAL :","OUI","")</f>
        <v/>
      </c>
      <c r="M254" s="1" t="str">
        <f>IF('Extraction edi'!R257&lt;&gt;"",'Extraction edi'!R257,IF(G254="ALU blanc","S9016",""))</f>
        <v/>
      </c>
      <c r="N254" s="1" t="str">
        <f>IF('Extraction edi'!S257&lt;&gt;"",'Extraction edi'!S257,IF(G254="ALU blanc","S9016",""))</f>
        <v/>
      </c>
      <c r="O254" s="11">
        <v>46163</v>
      </c>
      <c r="P254" s="1">
        <f t="shared" ref="P254:P317" si="4">WEEKDAY(O254,2)</f>
        <v>4</v>
      </c>
    </row>
    <row r="255" spans="1:16" x14ac:dyDescent="0.25">
      <c r="A255" s="1" t="str">
        <f>IF(B255="","",CONCATENATE(B255,".",C255,"/Pos ",D255,"/",'Extraction edi'!G258))</f>
        <v/>
      </c>
      <c r="B255" s="1" t="str">
        <f>IF('Extraction edi'!A258="","",'Extraction edi'!A258)</f>
        <v/>
      </c>
      <c r="C255" s="1" t="str">
        <f>IF('Extraction edi'!B258="","",'Extraction edi'!B258)</f>
        <v/>
      </c>
      <c r="D255" s="1" t="str">
        <f>IF('Extraction edi'!H258="","",'Extraction edi'!H258)</f>
        <v/>
      </c>
      <c r="E255" s="1" t="str">
        <f>IF('Extraction edi'!I258="","",'Extraction edi'!I258)</f>
        <v/>
      </c>
      <c r="F255" t="str">
        <f>IF('Extraction edi'!K258="","",'Extraction edi'!K258)</f>
        <v/>
      </c>
      <c r="G255" t="str">
        <f>IF('Extraction edi'!L258="","",'Extraction edi'!L258)</f>
        <v/>
      </c>
      <c r="H255" t="str">
        <f>IF('Extraction edi'!M258="","",'Extraction edi'!M258)</f>
        <v/>
      </c>
      <c r="I255" s="1" t="str">
        <f>IF('Extraction edi'!N258="","",'Extraction edi'!N258)</f>
        <v/>
      </c>
      <c r="J255" s="1" t="str">
        <f>IF('Extraction edi'!O258="","",'Extraction edi'!O258)</f>
        <v/>
      </c>
      <c r="K255" s="1" t="str">
        <f>IF('Extraction edi'!P258="","",'Extraction edi'!P258)</f>
        <v/>
      </c>
      <c r="L255" s="1" t="str">
        <f>IF('Extraction edi'!Q258="laquage RAL :","OUI","")</f>
        <v/>
      </c>
      <c r="M255" s="1" t="str">
        <f>IF('Extraction edi'!R258&lt;&gt;"",'Extraction edi'!R258,IF(G255="ALU blanc","S9016",""))</f>
        <v/>
      </c>
      <c r="N255" s="1" t="str">
        <f>IF('Extraction edi'!S258&lt;&gt;"",'Extraction edi'!S258,IF(G255="ALU blanc","S9016",""))</f>
        <v/>
      </c>
      <c r="O255" s="11">
        <v>46164</v>
      </c>
      <c r="P255" s="1">
        <f t="shared" si="4"/>
        <v>5</v>
      </c>
    </row>
    <row r="256" spans="1:16" x14ac:dyDescent="0.25">
      <c r="A256" s="1" t="str">
        <f>IF(B256="","",CONCATENATE(B256,".",C256,"/Pos ",D256,"/",'Extraction edi'!G259))</f>
        <v/>
      </c>
      <c r="B256" s="1" t="str">
        <f>IF('Extraction edi'!A259="","",'Extraction edi'!A259)</f>
        <v/>
      </c>
      <c r="C256" s="1" t="str">
        <f>IF('Extraction edi'!B259="","",'Extraction edi'!B259)</f>
        <v/>
      </c>
      <c r="D256" s="1" t="str">
        <f>IF('Extraction edi'!H259="","",'Extraction edi'!H259)</f>
        <v/>
      </c>
      <c r="E256" s="1" t="str">
        <f>IF('Extraction edi'!I259="","",'Extraction edi'!I259)</f>
        <v/>
      </c>
      <c r="F256" t="str">
        <f>IF('Extraction edi'!K259="","",'Extraction edi'!K259)</f>
        <v/>
      </c>
      <c r="G256" t="str">
        <f>IF('Extraction edi'!L259="","",'Extraction edi'!L259)</f>
        <v/>
      </c>
      <c r="H256" t="str">
        <f>IF('Extraction edi'!M259="","",'Extraction edi'!M259)</f>
        <v/>
      </c>
      <c r="I256" s="1" t="str">
        <f>IF('Extraction edi'!N259="","",'Extraction edi'!N259)</f>
        <v/>
      </c>
      <c r="J256" s="1" t="str">
        <f>IF('Extraction edi'!O259="","",'Extraction edi'!O259)</f>
        <v/>
      </c>
      <c r="K256" s="1" t="str">
        <f>IF('Extraction edi'!P259="","",'Extraction edi'!P259)</f>
        <v/>
      </c>
      <c r="L256" s="1" t="str">
        <f>IF('Extraction edi'!Q259="laquage RAL :","OUI","")</f>
        <v/>
      </c>
      <c r="M256" s="1" t="str">
        <f>IF('Extraction edi'!R259&lt;&gt;"",'Extraction edi'!R259,IF(G256="ALU blanc","S9016",""))</f>
        <v/>
      </c>
      <c r="N256" s="1" t="str">
        <f>IF('Extraction edi'!S259&lt;&gt;"",'Extraction edi'!S259,IF(G256="ALU blanc","S9016",""))</f>
        <v/>
      </c>
      <c r="O256" s="11">
        <v>46165</v>
      </c>
      <c r="P256" s="1">
        <f t="shared" si="4"/>
        <v>6</v>
      </c>
    </row>
    <row r="257" spans="1:16" x14ac:dyDescent="0.25">
      <c r="A257" s="1" t="str">
        <f>IF(B257="","",CONCATENATE(B257,".",C257,"/Pos ",D257,"/",'Extraction edi'!G260))</f>
        <v/>
      </c>
      <c r="B257" s="1" t="str">
        <f>IF('Extraction edi'!A260="","",'Extraction edi'!A260)</f>
        <v/>
      </c>
      <c r="C257" s="1" t="str">
        <f>IF('Extraction edi'!B260="","",'Extraction edi'!B260)</f>
        <v/>
      </c>
      <c r="D257" s="1" t="str">
        <f>IF('Extraction edi'!H260="","",'Extraction edi'!H260)</f>
        <v/>
      </c>
      <c r="E257" s="1" t="str">
        <f>IF('Extraction edi'!I260="","",'Extraction edi'!I260)</f>
        <v/>
      </c>
      <c r="F257" t="str">
        <f>IF('Extraction edi'!K260="","",'Extraction edi'!K260)</f>
        <v/>
      </c>
      <c r="G257" t="str">
        <f>IF('Extraction edi'!L260="","",'Extraction edi'!L260)</f>
        <v/>
      </c>
      <c r="H257" t="str">
        <f>IF('Extraction edi'!M260="","",'Extraction edi'!M260)</f>
        <v/>
      </c>
      <c r="I257" s="1" t="str">
        <f>IF('Extraction edi'!N260="","",'Extraction edi'!N260)</f>
        <v/>
      </c>
      <c r="J257" s="1" t="str">
        <f>IF('Extraction edi'!O260="","",'Extraction edi'!O260)</f>
        <v/>
      </c>
      <c r="K257" s="1" t="str">
        <f>IF('Extraction edi'!P260="","",'Extraction edi'!P260)</f>
        <v/>
      </c>
      <c r="L257" s="1" t="str">
        <f>IF('Extraction edi'!Q260="laquage RAL :","OUI","")</f>
        <v/>
      </c>
      <c r="M257" s="1" t="str">
        <f>IF('Extraction edi'!R260&lt;&gt;"",'Extraction edi'!R260,IF(G257="ALU blanc","S9016",""))</f>
        <v/>
      </c>
      <c r="N257" s="1" t="str">
        <f>IF('Extraction edi'!S260&lt;&gt;"",'Extraction edi'!S260,IF(G257="ALU blanc","S9016",""))</f>
        <v/>
      </c>
      <c r="O257" s="11">
        <v>46166</v>
      </c>
      <c r="P257" s="1">
        <f t="shared" si="4"/>
        <v>7</v>
      </c>
    </row>
    <row r="258" spans="1:16" x14ac:dyDescent="0.25">
      <c r="A258" s="1" t="str">
        <f>IF(B258="","",CONCATENATE(B258,".",C258,"/Pos ",D258,"/",'Extraction edi'!G261))</f>
        <v/>
      </c>
      <c r="B258" s="1" t="str">
        <f>IF('Extraction edi'!A261="","",'Extraction edi'!A261)</f>
        <v/>
      </c>
      <c r="C258" s="1" t="str">
        <f>IF('Extraction edi'!B261="","",'Extraction edi'!B261)</f>
        <v/>
      </c>
      <c r="D258" s="1" t="str">
        <f>IF('Extraction edi'!H261="","",'Extraction edi'!H261)</f>
        <v/>
      </c>
      <c r="E258" s="1" t="str">
        <f>IF('Extraction edi'!I261="","",'Extraction edi'!I261)</f>
        <v/>
      </c>
      <c r="F258" t="str">
        <f>IF('Extraction edi'!K261="","",'Extraction edi'!K261)</f>
        <v/>
      </c>
      <c r="G258" t="str">
        <f>IF('Extraction edi'!L261="","",'Extraction edi'!L261)</f>
        <v/>
      </c>
      <c r="H258" t="str">
        <f>IF('Extraction edi'!M261="","",'Extraction edi'!M261)</f>
        <v/>
      </c>
      <c r="I258" s="1" t="str">
        <f>IF('Extraction edi'!N261="","",'Extraction edi'!N261)</f>
        <v/>
      </c>
      <c r="J258" s="1" t="str">
        <f>IF('Extraction edi'!O261="","",'Extraction edi'!O261)</f>
        <v/>
      </c>
      <c r="K258" s="1" t="str">
        <f>IF('Extraction edi'!P261="","",'Extraction edi'!P261)</f>
        <v/>
      </c>
      <c r="L258" s="1" t="str">
        <f>IF('Extraction edi'!Q261="laquage RAL :","OUI","")</f>
        <v/>
      </c>
      <c r="M258" s="1" t="str">
        <f>IF('Extraction edi'!R261&lt;&gt;"",'Extraction edi'!R261,IF(G258="ALU blanc","S9016",""))</f>
        <v/>
      </c>
      <c r="N258" s="1" t="str">
        <f>IF('Extraction edi'!S261&lt;&gt;"",'Extraction edi'!S261,IF(G258="ALU blanc","S9016",""))</f>
        <v/>
      </c>
      <c r="O258" s="11">
        <v>46167</v>
      </c>
      <c r="P258" s="1">
        <f t="shared" si="4"/>
        <v>1</v>
      </c>
    </row>
    <row r="259" spans="1:16" x14ac:dyDescent="0.25">
      <c r="A259" s="1" t="str">
        <f>IF(B259="","",CONCATENATE(B259,".",C259,"/Pos ",D259,"/",'Extraction edi'!G262))</f>
        <v/>
      </c>
      <c r="B259" s="1" t="str">
        <f>IF('Extraction edi'!A262="","",'Extraction edi'!A262)</f>
        <v/>
      </c>
      <c r="C259" s="1" t="str">
        <f>IF('Extraction edi'!B262="","",'Extraction edi'!B262)</f>
        <v/>
      </c>
      <c r="D259" s="1" t="str">
        <f>IF('Extraction edi'!H262="","",'Extraction edi'!H262)</f>
        <v/>
      </c>
      <c r="E259" s="1" t="str">
        <f>IF('Extraction edi'!I262="","",'Extraction edi'!I262)</f>
        <v/>
      </c>
      <c r="F259" t="str">
        <f>IF('Extraction edi'!K262="","",'Extraction edi'!K262)</f>
        <v/>
      </c>
      <c r="G259" t="str">
        <f>IF('Extraction edi'!L262="","",'Extraction edi'!L262)</f>
        <v/>
      </c>
      <c r="H259" t="str">
        <f>IF('Extraction edi'!M262="","",'Extraction edi'!M262)</f>
        <v/>
      </c>
      <c r="I259" s="1" t="str">
        <f>IF('Extraction edi'!N262="","",'Extraction edi'!N262)</f>
        <v/>
      </c>
      <c r="J259" s="1" t="str">
        <f>IF('Extraction edi'!O262="","",'Extraction edi'!O262)</f>
        <v/>
      </c>
      <c r="K259" s="1" t="str">
        <f>IF('Extraction edi'!P262="","",'Extraction edi'!P262)</f>
        <v/>
      </c>
      <c r="L259" s="1" t="str">
        <f>IF('Extraction edi'!Q262="laquage RAL :","OUI","")</f>
        <v/>
      </c>
      <c r="M259" s="1" t="str">
        <f>IF('Extraction edi'!R262&lt;&gt;"",'Extraction edi'!R262,IF(G259="ALU blanc","S9016",""))</f>
        <v/>
      </c>
      <c r="N259" s="1" t="str">
        <f>IF('Extraction edi'!S262&lt;&gt;"",'Extraction edi'!S262,IF(G259="ALU blanc","S9016",""))</f>
        <v/>
      </c>
      <c r="O259" s="11">
        <v>46168</v>
      </c>
      <c r="P259" s="1">
        <f t="shared" si="4"/>
        <v>2</v>
      </c>
    </row>
    <row r="260" spans="1:16" x14ac:dyDescent="0.25">
      <c r="A260" s="1" t="str">
        <f>IF(B260="","",CONCATENATE(B260,".",C260,"/Pos ",D260,"/",'Extraction edi'!G263))</f>
        <v/>
      </c>
      <c r="B260" s="1" t="str">
        <f>IF('Extraction edi'!A263="","",'Extraction edi'!A263)</f>
        <v/>
      </c>
      <c r="C260" s="1" t="str">
        <f>IF('Extraction edi'!B263="","",'Extraction edi'!B263)</f>
        <v/>
      </c>
      <c r="D260" s="1" t="str">
        <f>IF('Extraction edi'!H263="","",'Extraction edi'!H263)</f>
        <v/>
      </c>
      <c r="E260" s="1" t="str">
        <f>IF('Extraction edi'!I263="","",'Extraction edi'!I263)</f>
        <v/>
      </c>
      <c r="F260" t="str">
        <f>IF('Extraction edi'!K263="","",'Extraction edi'!K263)</f>
        <v/>
      </c>
      <c r="G260" t="str">
        <f>IF('Extraction edi'!L263="","",'Extraction edi'!L263)</f>
        <v/>
      </c>
      <c r="H260" t="str">
        <f>IF('Extraction edi'!M263="","",'Extraction edi'!M263)</f>
        <v/>
      </c>
      <c r="I260" s="1" t="str">
        <f>IF('Extraction edi'!N263="","",'Extraction edi'!N263)</f>
        <v/>
      </c>
      <c r="J260" s="1" t="str">
        <f>IF('Extraction edi'!O263="","",'Extraction edi'!O263)</f>
        <v/>
      </c>
      <c r="K260" s="1" t="str">
        <f>IF('Extraction edi'!P263="","",'Extraction edi'!P263)</f>
        <v/>
      </c>
      <c r="L260" s="1" t="str">
        <f>IF('Extraction edi'!Q263="laquage RAL :","OUI","")</f>
        <v/>
      </c>
      <c r="M260" s="1" t="str">
        <f>IF('Extraction edi'!R263&lt;&gt;"",'Extraction edi'!R263,IF(G260="ALU blanc","S9016",""))</f>
        <v/>
      </c>
      <c r="N260" s="1" t="str">
        <f>IF('Extraction edi'!S263&lt;&gt;"",'Extraction edi'!S263,IF(G260="ALU blanc","S9016",""))</f>
        <v/>
      </c>
      <c r="O260" s="11">
        <v>46169</v>
      </c>
      <c r="P260" s="1">
        <f t="shared" si="4"/>
        <v>3</v>
      </c>
    </row>
    <row r="261" spans="1:16" x14ac:dyDescent="0.25">
      <c r="A261" s="1" t="str">
        <f>IF(B261="","",CONCATENATE(B261,".",C261,"/Pos ",D261,"/",'Extraction edi'!G264))</f>
        <v/>
      </c>
      <c r="B261" s="1" t="str">
        <f>IF('Extraction edi'!A264="","",'Extraction edi'!A264)</f>
        <v/>
      </c>
      <c r="C261" s="1" t="str">
        <f>IF('Extraction edi'!B264="","",'Extraction edi'!B264)</f>
        <v/>
      </c>
      <c r="D261" s="1" t="str">
        <f>IF('Extraction edi'!H264="","",'Extraction edi'!H264)</f>
        <v/>
      </c>
      <c r="E261" s="1" t="str">
        <f>IF('Extraction edi'!I264="","",'Extraction edi'!I264)</f>
        <v/>
      </c>
      <c r="F261" t="str">
        <f>IF('Extraction edi'!K264="","",'Extraction edi'!K264)</f>
        <v/>
      </c>
      <c r="G261" t="str">
        <f>IF('Extraction edi'!L264="","",'Extraction edi'!L264)</f>
        <v/>
      </c>
      <c r="H261" t="str">
        <f>IF('Extraction edi'!M264="","",'Extraction edi'!M264)</f>
        <v/>
      </c>
      <c r="I261" s="1" t="str">
        <f>IF('Extraction edi'!N264="","",'Extraction edi'!N264)</f>
        <v/>
      </c>
      <c r="J261" s="1" t="str">
        <f>IF('Extraction edi'!O264="","",'Extraction edi'!O264)</f>
        <v/>
      </c>
      <c r="K261" s="1" t="str">
        <f>IF('Extraction edi'!P264="","",'Extraction edi'!P264)</f>
        <v/>
      </c>
      <c r="L261" s="1" t="str">
        <f>IF('Extraction edi'!Q264="laquage RAL :","OUI","")</f>
        <v/>
      </c>
      <c r="M261" s="1" t="str">
        <f>IF('Extraction edi'!R264&lt;&gt;"",'Extraction edi'!R264,IF(G261="ALU blanc","S9016",""))</f>
        <v/>
      </c>
      <c r="N261" s="1" t="str">
        <f>IF('Extraction edi'!S264&lt;&gt;"",'Extraction edi'!S264,IF(G261="ALU blanc","S9016",""))</f>
        <v/>
      </c>
      <c r="O261" s="11">
        <v>46170</v>
      </c>
      <c r="P261" s="1">
        <f t="shared" si="4"/>
        <v>4</v>
      </c>
    </row>
    <row r="262" spans="1:16" x14ac:dyDescent="0.25">
      <c r="A262" s="1" t="str">
        <f>IF(B262="","",CONCATENATE(B262,".",C262,"/Pos ",D262,"/",'Extraction edi'!G265))</f>
        <v/>
      </c>
      <c r="B262" s="1" t="str">
        <f>IF('Extraction edi'!A265="","",'Extraction edi'!A265)</f>
        <v/>
      </c>
      <c r="C262" s="1" t="str">
        <f>IF('Extraction edi'!B265="","",'Extraction edi'!B265)</f>
        <v/>
      </c>
      <c r="D262" s="1" t="str">
        <f>IF('Extraction edi'!H265="","",'Extraction edi'!H265)</f>
        <v/>
      </c>
      <c r="E262" s="1" t="str">
        <f>IF('Extraction edi'!I265="","",'Extraction edi'!I265)</f>
        <v/>
      </c>
      <c r="F262" t="str">
        <f>IF('Extraction edi'!K265="","",'Extraction edi'!K265)</f>
        <v/>
      </c>
      <c r="G262" t="str">
        <f>IF('Extraction edi'!L265="","",'Extraction edi'!L265)</f>
        <v/>
      </c>
      <c r="H262" t="str">
        <f>IF('Extraction edi'!M265="","",'Extraction edi'!M265)</f>
        <v/>
      </c>
      <c r="I262" s="1" t="str">
        <f>IF('Extraction edi'!N265="","",'Extraction edi'!N265)</f>
        <v/>
      </c>
      <c r="J262" s="1" t="str">
        <f>IF('Extraction edi'!O265="","",'Extraction edi'!O265)</f>
        <v/>
      </c>
      <c r="K262" s="1" t="str">
        <f>IF('Extraction edi'!P265="","",'Extraction edi'!P265)</f>
        <v/>
      </c>
      <c r="L262" s="1" t="str">
        <f>IF('Extraction edi'!Q265="laquage RAL :","OUI","")</f>
        <v/>
      </c>
      <c r="M262" s="1" t="str">
        <f>IF('Extraction edi'!R265&lt;&gt;"",'Extraction edi'!R265,IF(G262="ALU blanc","S9016",""))</f>
        <v/>
      </c>
      <c r="N262" s="1" t="str">
        <f>IF('Extraction edi'!S265&lt;&gt;"",'Extraction edi'!S265,IF(G262="ALU blanc","S9016",""))</f>
        <v/>
      </c>
      <c r="O262" s="11">
        <v>46171</v>
      </c>
      <c r="P262" s="1">
        <f t="shared" si="4"/>
        <v>5</v>
      </c>
    </row>
    <row r="263" spans="1:16" x14ac:dyDescent="0.25">
      <c r="A263" s="1" t="str">
        <f>IF(B263="","",CONCATENATE(B263,".",C263,"/Pos ",D263,"/",'Extraction edi'!G266))</f>
        <v/>
      </c>
      <c r="B263" s="1" t="str">
        <f>IF('Extraction edi'!A266="","",'Extraction edi'!A266)</f>
        <v/>
      </c>
      <c r="C263" s="1" t="str">
        <f>IF('Extraction edi'!B266="","",'Extraction edi'!B266)</f>
        <v/>
      </c>
      <c r="D263" s="1" t="str">
        <f>IF('Extraction edi'!H266="","",'Extraction edi'!H266)</f>
        <v/>
      </c>
      <c r="E263" s="1" t="str">
        <f>IF('Extraction edi'!I266="","",'Extraction edi'!I266)</f>
        <v/>
      </c>
      <c r="F263" t="str">
        <f>IF('Extraction edi'!K266="","",'Extraction edi'!K266)</f>
        <v/>
      </c>
      <c r="G263" t="str">
        <f>IF('Extraction edi'!L266="","",'Extraction edi'!L266)</f>
        <v/>
      </c>
      <c r="H263" t="str">
        <f>IF('Extraction edi'!M266="","",'Extraction edi'!M266)</f>
        <v/>
      </c>
      <c r="I263" s="1" t="str">
        <f>IF('Extraction edi'!N266="","",'Extraction edi'!N266)</f>
        <v/>
      </c>
      <c r="J263" s="1" t="str">
        <f>IF('Extraction edi'!O266="","",'Extraction edi'!O266)</f>
        <v/>
      </c>
      <c r="K263" s="1" t="str">
        <f>IF('Extraction edi'!P266="","",'Extraction edi'!P266)</f>
        <v/>
      </c>
      <c r="L263" s="1" t="str">
        <f>IF('Extraction edi'!Q266="laquage RAL :","OUI","")</f>
        <v/>
      </c>
      <c r="M263" s="1" t="str">
        <f>IF('Extraction edi'!R266&lt;&gt;"",'Extraction edi'!R266,IF(G263="ALU blanc","S9016",""))</f>
        <v/>
      </c>
      <c r="N263" s="1" t="str">
        <f>IF('Extraction edi'!S266&lt;&gt;"",'Extraction edi'!S266,IF(G263="ALU blanc","S9016",""))</f>
        <v/>
      </c>
      <c r="O263" s="11">
        <v>46172</v>
      </c>
      <c r="P263" s="1">
        <f t="shared" si="4"/>
        <v>6</v>
      </c>
    </row>
    <row r="264" spans="1:16" x14ac:dyDescent="0.25">
      <c r="A264" s="1" t="str">
        <f>IF(B264="","",CONCATENATE(B264,".",C264,"/Pos ",D264,"/",'Extraction edi'!G267))</f>
        <v/>
      </c>
      <c r="B264" s="1" t="str">
        <f>IF('Extraction edi'!A267="","",'Extraction edi'!A267)</f>
        <v/>
      </c>
      <c r="C264" s="1" t="str">
        <f>IF('Extraction edi'!B267="","",'Extraction edi'!B267)</f>
        <v/>
      </c>
      <c r="D264" s="1" t="str">
        <f>IF('Extraction edi'!H267="","",'Extraction edi'!H267)</f>
        <v/>
      </c>
      <c r="E264" s="1" t="str">
        <f>IF('Extraction edi'!I267="","",'Extraction edi'!I267)</f>
        <v/>
      </c>
      <c r="F264" t="str">
        <f>IF('Extraction edi'!K267="","",'Extraction edi'!K267)</f>
        <v/>
      </c>
      <c r="G264" t="str">
        <f>IF('Extraction edi'!L267="","",'Extraction edi'!L267)</f>
        <v/>
      </c>
      <c r="H264" t="str">
        <f>IF('Extraction edi'!M267="","",'Extraction edi'!M267)</f>
        <v/>
      </c>
      <c r="I264" s="1" t="str">
        <f>IF('Extraction edi'!N267="","",'Extraction edi'!N267)</f>
        <v/>
      </c>
      <c r="J264" s="1" t="str">
        <f>IF('Extraction edi'!O267="","",'Extraction edi'!O267)</f>
        <v/>
      </c>
      <c r="K264" s="1" t="str">
        <f>IF('Extraction edi'!P267="","",'Extraction edi'!P267)</f>
        <v/>
      </c>
      <c r="L264" s="1" t="str">
        <f>IF('Extraction edi'!Q267="laquage RAL :","OUI","")</f>
        <v/>
      </c>
      <c r="M264" s="1" t="str">
        <f>IF('Extraction edi'!R267&lt;&gt;"",'Extraction edi'!R267,IF(G264="ALU blanc","S9016",""))</f>
        <v/>
      </c>
      <c r="N264" s="1" t="str">
        <f>IF('Extraction edi'!S267&lt;&gt;"",'Extraction edi'!S267,IF(G264="ALU blanc","S9016",""))</f>
        <v/>
      </c>
      <c r="O264" s="11">
        <v>46173</v>
      </c>
      <c r="P264" s="1">
        <f t="shared" si="4"/>
        <v>7</v>
      </c>
    </row>
    <row r="265" spans="1:16" x14ac:dyDescent="0.25">
      <c r="A265" s="1" t="str">
        <f>IF(B265="","",CONCATENATE(B265,".",C265,"/Pos ",D265,"/",'Extraction edi'!G268))</f>
        <v/>
      </c>
      <c r="B265" s="1" t="str">
        <f>IF('Extraction edi'!A268="","",'Extraction edi'!A268)</f>
        <v/>
      </c>
      <c r="C265" s="1" t="str">
        <f>IF('Extraction edi'!B268="","",'Extraction edi'!B268)</f>
        <v/>
      </c>
      <c r="D265" s="1" t="str">
        <f>IF('Extraction edi'!H268="","",'Extraction edi'!H268)</f>
        <v/>
      </c>
      <c r="E265" s="1" t="str">
        <f>IF('Extraction edi'!I268="","",'Extraction edi'!I268)</f>
        <v/>
      </c>
      <c r="F265" t="str">
        <f>IF('Extraction edi'!K268="","",'Extraction edi'!K268)</f>
        <v/>
      </c>
      <c r="G265" t="str">
        <f>IF('Extraction edi'!L268="","",'Extraction edi'!L268)</f>
        <v/>
      </c>
      <c r="H265" t="str">
        <f>IF('Extraction edi'!M268="","",'Extraction edi'!M268)</f>
        <v/>
      </c>
      <c r="I265" s="1" t="str">
        <f>IF('Extraction edi'!N268="","",'Extraction edi'!N268)</f>
        <v/>
      </c>
      <c r="J265" s="1" t="str">
        <f>IF('Extraction edi'!O268="","",'Extraction edi'!O268)</f>
        <v/>
      </c>
      <c r="K265" s="1" t="str">
        <f>IF('Extraction edi'!P268="","",'Extraction edi'!P268)</f>
        <v/>
      </c>
      <c r="L265" s="1" t="str">
        <f>IF('Extraction edi'!Q268="laquage RAL :","OUI","")</f>
        <v/>
      </c>
      <c r="M265" s="1" t="str">
        <f>IF('Extraction edi'!R268&lt;&gt;"",'Extraction edi'!R268,IF(G265="ALU blanc","S9016",""))</f>
        <v/>
      </c>
      <c r="N265" s="1" t="str">
        <f>IF('Extraction edi'!S268&lt;&gt;"",'Extraction edi'!S268,IF(G265="ALU blanc","S9016",""))</f>
        <v/>
      </c>
      <c r="O265" s="11">
        <v>46174</v>
      </c>
      <c r="P265" s="1">
        <f t="shared" si="4"/>
        <v>1</v>
      </c>
    </row>
    <row r="266" spans="1:16" x14ac:dyDescent="0.25">
      <c r="A266" s="1" t="str">
        <f>IF(B266="","",CONCATENATE(B266,".",C266,"/Pos ",D266,"/",'Extraction edi'!G269))</f>
        <v/>
      </c>
      <c r="B266" s="1" t="str">
        <f>IF('Extraction edi'!A269="","",'Extraction edi'!A269)</f>
        <v/>
      </c>
      <c r="C266" s="1" t="str">
        <f>IF('Extraction edi'!B269="","",'Extraction edi'!B269)</f>
        <v/>
      </c>
      <c r="D266" s="1" t="str">
        <f>IF('Extraction edi'!H269="","",'Extraction edi'!H269)</f>
        <v/>
      </c>
      <c r="E266" s="1" t="str">
        <f>IF('Extraction edi'!I269="","",'Extraction edi'!I269)</f>
        <v/>
      </c>
      <c r="F266" t="str">
        <f>IF('Extraction edi'!K269="","",'Extraction edi'!K269)</f>
        <v/>
      </c>
      <c r="G266" t="str">
        <f>IF('Extraction edi'!L269="","",'Extraction edi'!L269)</f>
        <v/>
      </c>
      <c r="H266" t="str">
        <f>IF('Extraction edi'!M269="","",'Extraction edi'!M269)</f>
        <v/>
      </c>
      <c r="I266" s="1" t="str">
        <f>IF('Extraction edi'!N269="","",'Extraction edi'!N269)</f>
        <v/>
      </c>
      <c r="J266" s="1" t="str">
        <f>IF('Extraction edi'!O269="","",'Extraction edi'!O269)</f>
        <v/>
      </c>
      <c r="K266" s="1" t="str">
        <f>IF('Extraction edi'!P269="","",'Extraction edi'!P269)</f>
        <v/>
      </c>
      <c r="L266" s="1" t="str">
        <f>IF('Extraction edi'!Q269="laquage RAL :","OUI","")</f>
        <v/>
      </c>
      <c r="M266" s="1" t="str">
        <f>IF('Extraction edi'!R269&lt;&gt;"",'Extraction edi'!R269,IF(G266="ALU blanc","S9016",""))</f>
        <v/>
      </c>
      <c r="N266" s="1" t="str">
        <f>IF('Extraction edi'!S269&lt;&gt;"",'Extraction edi'!S269,IF(G266="ALU blanc","S9016",""))</f>
        <v/>
      </c>
      <c r="O266" s="11">
        <v>46175</v>
      </c>
      <c r="P266" s="1">
        <f t="shared" si="4"/>
        <v>2</v>
      </c>
    </row>
    <row r="267" spans="1:16" x14ac:dyDescent="0.25">
      <c r="A267" s="1" t="str">
        <f>IF(B267="","",CONCATENATE(B267,".",C267,"/Pos ",D267,"/",'Extraction edi'!G270))</f>
        <v/>
      </c>
      <c r="B267" s="1" t="str">
        <f>IF('Extraction edi'!A270="","",'Extraction edi'!A270)</f>
        <v/>
      </c>
      <c r="C267" s="1" t="str">
        <f>IF('Extraction edi'!B270="","",'Extraction edi'!B270)</f>
        <v/>
      </c>
      <c r="D267" s="1" t="str">
        <f>IF('Extraction edi'!H270="","",'Extraction edi'!H270)</f>
        <v/>
      </c>
      <c r="E267" s="1" t="str">
        <f>IF('Extraction edi'!I270="","",'Extraction edi'!I270)</f>
        <v/>
      </c>
      <c r="F267" t="str">
        <f>IF('Extraction edi'!K270="","",'Extraction edi'!K270)</f>
        <v/>
      </c>
      <c r="G267" t="str">
        <f>IF('Extraction edi'!L270="","",'Extraction edi'!L270)</f>
        <v/>
      </c>
      <c r="H267" t="str">
        <f>IF('Extraction edi'!M270="","",'Extraction edi'!M270)</f>
        <v/>
      </c>
      <c r="I267" s="1" t="str">
        <f>IF('Extraction edi'!N270="","",'Extraction edi'!N270)</f>
        <v/>
      </c>
      <c r="J267" s="1" t="str">
        <f>IF('Extraction edi'!O270="","",'Extraction edi'!O270)</f>
        <v/>
      </c>
      <c r="K267" s="1" t="str">
        <f>IF('Extraction edi'!P270="","",'Extraction edi'!P270)</f>
        <v/>
      </c>
      <c r="L267" s="1" t="str">
        <f>IF('Extraction edi'!Q270="laquage RAL :","OUI","")</f>
        <v/>
      </c>
      <c r="M267" s="1" t="str">
        <f>IF('Extraction edi'!R270&lt;&gt;"",'Extraction edi'!R270,IF(G267="ALU blanc","S9016",""))</f>
        <v/>
      </c>
      <c r="N267" s="1" t="str">
        <f>IF('Extraction edi'!S270&lt;&gt;"",'Extraction edi'!S270,IF(G267="ALU blanc","S9016",""))</f>
        <v/>
      </c>
      <c r="O267" s="11">
        <v>46176</v>
      </c>
      <c r="P267" s="1">
        <f t="shared" si="4"/>
        <v>3</v>
      </c>
    </row>
    <row r="268" spans="1:16" x14ac:dyDescent="0.25">
      <c r="A268" s="1" t="str">
        <f>IF(B268="","",CONCATENATE(B268,".",C268,"/Pos ",D268,"/",'Extraction edi'!G271))</f>
        <v/>
      </c>
      <c r="B268" s="1" t="str">
        <f>IF('Extraction edi'!A271="","",'Extraction edi'!A271)</f>
        <v/>
      </c>
      <c r="C268" s="1" t="str">
        <f>IF('Extraction edi'!B271="","",'Extraction edi'!B271)</f>
        <v/>
      </c>
      <c r="D268" s="1" t="str">
        <f>IF('Extraction edi'!H271="","",'Extraction edi'!H271)</f>
        <v/>
      </c>
      <c r="E268" s="1" t="str">
        <f>IF('Extraction edi'!I271="","",'Extraction edi'!I271)</f>
        <v/>
      </c>
      <c r="F268" t="str">
        <f>IF('Extraction edi'!K271="","",'Extraction edi'!K271)</f>
        <v/>
      </c>
      <c r="G268" t="str">
        <f>IF('Extraction edi'!L271="","",'Extraction edi'!L271)</f>
        <v/>
      </c>
      <c r="H268" t="str">
        <f>IF('Extraction edi'!M271="","",'Extraction edi'!M271)</f>
        <v/>
      </c>
      <c r="I268" s="1" t="str">
        <f>IF('Extraction edi'!N271="","",'Extraction edi'!N271)</f>
        <v/>
      </c>
      <c r="J268" s="1" t="str">
        <f>IF('Extraction edi'!O271="","",'Extraction edi'!O271)</f>
        <v/>
      </c>
      <c r="K268" s="1" t="str">
        <f>IF('Extraction edi'!P271="","",'Extraction edi'!P271)</f>
        <v/>
      </c>
      <c r="L268" s="1" t="str">
        <f>IF('Extraction edi'!Q271="laquage RAL :","OUI","")</f>
        <v/>
      </c>
      <c r="M268" s="1" t="str">
        <f>IF('Extraction edi'!R271&lt;&gt;"",'Extraction edi'!R271,IF(G268="ALU blanc","S9016",""))</f>
        <v/>
      </c>
      <c r="N268" s="1" t="str">
        <f>IF('Extraction edi'!S271&lt;&gt;"",'Extraction edi'!S271,IF(G268="ALU blanc","S9016",""))</f>
        <v/>
      </c>
      <c r="O268" s="11">
        <v>46177</v>
      </c>
      <c r="P268" s="1">
        <f t="shared" si="4"/>
        <v>4</v>
      </c>
    </row>
    <row r="269" spans="1:16" x14ac:dyDescent="0.25">
      <c r="A269" s="1" t="str">
        <f>IF(B269="","",CONCATENATE(B269,".",C269,"/Pos ",D269,"/",'Extraction edi'!G272))</f>
        <v/>
      </c>
      <c r="B269" s="1" t="str">
        <f>IF('Extraction edi'!A272="","",'Extraction edi'!A272)</f>
        <v/>
      </c>
      <c r="C269" s="1" t="str">
        <f>IF('Extraction edi'!B272="","",'Extraction edi'!B272)</f>
        <v/>
      </c>
      <c r="D269" s="1" t="str">
        <f>IF('Extraction edi'!H272="","",'Extraction edi'!H272)</f>
        <v/>
      </c>
      <c r="E269" s="1" t="str">
        <f>IF('Extraction edi'!I272="","",'Extraction edi'!I272)</f>
        <v/>
      </c>
      <c r="F269" t="str">
        <f>IF('Extraction edi'!K272="","",'Extraction edi'!K272)</f>
        <v/>
      </c>
      <c r="G269" t="str">
        <f>IF('Extraction edi'!L272="","",'Extraction edi'!L272)</f>
        <v/>
      </c>
      <c r="H269" t="str">
        <f>IF('Extraction edi'!M272="","",'Extraction edi'!M272)</f>
        <v/>
      </c>
      <c r="I269" s="1" t="str">
        <f>IF('Extraction edi'!N272="","",'Extraction edi'!N272)</f>
        <v/>
      </c>
      <c r="J269" s="1" t="str">
        <f>IF('Extraction edi'!O272="","",'Extraction edi'!O272)</f>
        <v/>
      </c>
      <c r="K269" s="1" t="str">
        <f>IF('Extraction edi'!P272="","",'Extraction edi'!P272)</f>
        <v/>
      </c>
      <c r="L269" s="1" t="str">
        <f>IF('Extraction edi'!Q272="laquage RAL :","OUI","")</f>
        <v/>
      </c>
      <c r="M269" s="1" t="str">
        <f>IF('Extraction edi'!R272&lt;&gt;"",'Extraction edi'!R272,IF(G269="ALU blanc","S9016",""))</f>
        <v/>
      </c>
      <c r="N269" s="1" t="str">
        <f>IF('Extraction edi'!S272&lt;&gt;"",'Extraction edi'!S272,IF(G269="ALU blanc","S9016",""))</f>
        <v/>
      </c>
      <c r="O269" s="11">
        <v>46178</v>
      </c>
      <c r="P269" s="1">
        <f t="shared" si="4"/>
        <v>5</v>
      </c>
    </row>
    <row r="270" spans="1:16" x14ac:dyDescent="0.25">
      <c r="A270" s="1" t="str">
        <f>IF(B270="","",CONCATENATE(B270,".",C270,"/Pos ",D270,"/",'Extraction edi'!G273))</f>
        <v/>
      </c>
      <c r="B270" s="1" t="str">
        <f>IF('Extraction edi'!A273="","",'Extraction edi'!A273)</f>
        <v/>
      </c>
      <c r="C270" s="1" t="str">
        <f>IF('Extraction edi'!B273="","",'Extraction edi'!B273)</f>
        <v/>
      </c>
      <c r="D270" s="1" t="str">
        <f>IF('Extraction edi'!H273="","",'Extraction edi'!H273)</f>
        <v/>
      </c>
      <c r="E270" s="1" t="str">
        <f>IF('Extraction edi'!I273="","",'Extraction edi'!I273)</f>
        <v/>
      </c>
      <c r="F270" t="str">
        <f>IF('Extraction edi'!K273="","",'Extraction edi'!K273)</f>
        <v/>
      </c>
      <c r="G270" t="str">
        <f>IF('Extraction edi'!L273="","",'Extraction edi'!L273)</f>
        <v/>
      </c>
      <c r="H270" t="str">
        <f>IF('Extraction edi'!M273="","",'Extraction edi'!M273)</f>
        <v/>
      </c>
      <c r="I270" s="1" t="str">
        <f>IF('Extraction edi'!N273="","",'Extraction edi'!N273)</f>
        <v/>
      </c>
      <c r="J270" s="1" t="str">
        <f>IF('Extraction edi'!O273="","",'Extraction edi'!O273)</f>
        <v/>
      </c>
      <c r="K270" s="1" t="str">
        <f>IF('Extraction edi'!P273="","",'Extraction edi'!P273)</f>
        <v/>
      </c>
      <c r="L270" s="1" t="str">
        <f>IF('Extraction edi'!Q273="laquage RAL :","OUI","")</f>
        <v/>
      </c>
      <c r="M270" s="1" t="str">
        <f>IF('Extraction edi'!R273&lt;&gt;"",'Extraction edi'!R273,IF(G270="ALU blanc","S9016",""))</f>
        <v/>
      </c>
      <c r="N270" s="1" t="str">
        <f>IF('Extraction edi'!S273&lt;&gt;"",'Extraction edi'!S273,IF(G270="ALU blanc","S9016",""))</f>
        <v/>
      </c>
      <c r="O270" s="11">
        <v>46179</v>
      </c>
      <c r="P270" s="1">
        <f t="shared" si="4"/>
        <v>6</v>
      </c>
    </row>
    <row r="271" spans="1:16" x14ac:dyDescent="0.25">
      <c r="A271" s="1" t="str">
        <f>IF(B271="","",CONCATENATE(B271,".",C271,"/Pos ",D271,"/",'Extraction edi'!G274))</f>
        <v/>
      </c>
      <c r="B271" s="1" t="str">
        <f>IF('Extraction edi'!A274="","",'Extraction edi'!A274)</f>
        <v/>
      </c>
      <c r="C271" s="1" t="str">
        <f>IF('Extraction edi'!B274="","",'Extraction edi'!B274)</f>
        <v/>
      </c>
      <c r="D271" s="1" t="str">
        <f>IF('Extraction edi'!H274="","",'Extraction edi'!H274)</f>
        <v/>
      </c>
      <c r="E271" s="1" t="str">
        <f>IF('Extraction edi'!I274="","",'Extraction edi'!I274)</f>
        <v/>
      </c>
      <c r="F271" t="str">
        <f>IF('Extraction edi'!K274="","",'Extraction edi'!K274)</f>
        <v/>
      </c>
      <c r="G271" t="str">
        <f>IF('Extraction edi'!L274="","",'Extraction edi'!L274)</f>
        <v/>
      </c>
      <c r="H271" t="str">
        <f>IF('Extraction edi'!M274="","",'Extraction edi'!M274)</f>
        <v/>
      </c>
      <c r="I271" s="1" t="str">
        <f>IF('Extraction edi'!N274="","",'Extraction edi'!N274)</f>
        <v/>
      </c>
      <c r="J271" s="1" t="str">
        <f>IF('Extraction edi'!O274="","",'Extraction edi'!O274)</f>
        <v/>
      </c>
      <c r="K271" s="1" t="str">
        <f>IF('Extraction edi'!P274="","",'Extraction edi'!P274)</f>
        <v/>
      </c>
      <c r="L271" s="1" t="str">
        <f>IF('Extraction edi'!Q274="laquage RAL :","OUI","")</f>
        <v/>
      </c>
      <c r="M271" s="1" t="str">
        <f>IF('Extraction edi'!R274&lt;&gt;"",'Extraction edi'!R274,IF(G271="ALU blanc","S9016",""))</f>
        <v/>
      </c>
      <c r="N271" s="1" t="str">
        <f>IF('Extraction edi'!S274&lt;&gt;"",'Extraction edi'!S274,IF(G271="ALU blanc","S9016",""))</f>
        <v/>
      </c>
      <c r="O271" s="11">
        <v>46180</v>
      </c>
      <c r="P271" s="1">
        <f t="shared" si="4"/>
        <v>7</v>
      </c>
    </row>
    <row r="272" spans="1:16" x14ac:dyDescent="0.25">
      <c r="A272" s="1" t="str">
        <f>IF(B272="","",CONCATENATE(B272,".",C272,"/Pos ",D272,"/",'Extraction edi'!G275))</f>
        <v/>
      </c>
      <c r="B272" s="1" t="str">
        <f>IF('Extraction edi'!A275="","",'Extraction edi'!A275)</f>
        <v/>
      </c>
      <c r="C272" s="1" t="str">
        <f>IF('Extraction edi'!B275="","",'Extraction edi'!B275)</f>
        <v/>
      </c>
      <c r="D272" s="1" t="str">
        <f>IF('Extraction edi'!H275="","",'Extraction edi'!H275)</f>
        <v/>
      </c>
      <c r="E272" s="1" t="str">
        <f>IF('Extraction edi'!I275="","",'Extraction edi'!I275)</f>
        <v/>
      </c>
      <c r="F272" t="str">
        <f>IF('Extraction edi'!K275="","",'Extraction edi'!K275)</f>
        <v/>
      </c>
      <c r="G272" t="str">
        <f>IF('Extraction edi'!L275="","",'Extraction edi'!L275)</f>
        <v/>
      </c>
      <c r="H272" t="str">
        <f>IF('Extraction edi'!M275="","",'Extraction edi'!M275)</f>
        <v/>
      </c>
      <c r="I272" s="1" t="str">
        <f>IF('Extraction edi'!N275="","",'Extraction edi'!N275)</f>
        <v/>
      </c>
      <c r="J272" s="1" t="str">
        <f>IF('Extraction edi'!O275="","",'Extraction edi'!O275)</f>
        <v/>
      </c>
      <c r="K272" s="1" t="str">
        <f>IF('Extraction edi'!P275="","",'Extraction edi'!P275)</f>
        <v/>
      </c>
      <c r="L272" s="1" t="str">
        <f>IF('Extraction edi'!Q275="laquage RAL :","OUI","")</f>
        <v/>
      </c>
      <c r="M272" s="1" t="str">
        <f>IF('Extraction edi'!R275&lt;&gt;"",'Extraction edi'!R275,IF(G272="ALU blanc","S9016",""))</f>
        <v/>
      </c>
      <c r="N272" s="1" t="str">
        <f>IF('Extraction edi'!S275&lt;&gt;"",'Extraction edi'!S275,IF(G272="ALU blanc","S9016",""))</f>
        <v/>
      </c>
      <c r="O272" s="11">
        <v>46181</v>
      </c>
      <c r="P272" s="1">
        <f t="shared" si="4"/>
        <v>1</v>
      </c>
    </row>
    <row r="273" spans="1:16" x14ac:dyDescent="0.25">
      <c r="A273" s="1" t="str">
        <f>IF(B273="","",CONCATENATE(B273,".",C273,"/Pos ",D273,"/",'Extraction edi'!G276))</f>
        <v/>
      </c>
      <c r="B273" s="1" t="str">
        <f>IF('Extraction edi'!A276="","",'Extraction edi'!A276)</f>
        <v/>
      </c>
      <c r="C273" s="1" t="str">
        <f>IF('Extraction edi'!B276="","",'Extraction edi'!B276)</f>
        <v/>
      </c>
      <c r="D273" s="1" t="str">
        <f>IF('Extraction edi'!H276="","",'Extraction edi'!H276)</f>
        <v/>
      </c>
      <c r="E273" s="1" t="str">
        <f>IF('Extraction edi'!I276="","",'Extraction edi'!I276)</f>
        <v/>
      </c>
      <c r="F273" t="str">
        <f>IF('Extraction edi'!K276="","",'Extraction edi'!K276)</f>
        <v/>
      </c>
      <c r="G273" t="str">
        <f>IF('Extraction edi'!L276="","",'Extraction edi'!L276)</f>
        <v/>
      </c>
      <c r="H273" t="str">
        <f>IF('Extraction edi'!M276="","",'Extraction edi'!M276)</f>
        <v/>
      </c>
      <c r="I273" s="1" t="str">
        <f>IF('Extraction edi'!N276="","",'Extraction edi'!N276)</f>
        <v/>
      </c>
      <c r="J273" s="1" t="str">
        <f>IF('Extraction edi'!O276="","",'Extraction edi'!O276)</f>
        <v/>
      </c>
      <c r="K273" s="1" t="str">
        <f>IF('Extraction edi'!P276="","",'Extraction edi'!P276)</f>
        <v/>
      </c>
      <c r="L273" s="1" t="str">
        <f>IF('Extraction edi'!Q276="laquage RAL :","OUI","")</f>
        <v/>
      </c>
      <c r="M273" s="1" t="str">
        <f>IF('Extraction edi'!R276&lt;&gt;"",'Extraction edi'!R276,IF(G273="ALU blanc","S9016",""))</f>
        <v/>
      </c>
      <c r="N273" s="1" t="str">
        <f>IF('Extraction edi'!S276&lt;&gt;"",'Extraction edi'!S276,IF(G273="ALU blanc","S9016",""))</f>
        <v/>
      </c>
      <c r="O273" s="11">
        <v>46182</v>
      </c>
      <c r="P273" s="1">
        <f t="shared" si="4"/>
        <v>2</v>
      </c>
    </row>
    <row r="274" spans="1:16" x14ac:dyDescent="0.25">
      <c r="A274" s="1" t="str">
        <f>IF(B274="","",CONCATENATE(B274,".",C274,"/Pos ",D274,"/",'Extraction edi'!G277))</f>
        <v/>
      </c>
      <c r="B274" s="1" t="str">
        <f>IF('Extraction edi'!A277="","",'Extraction edi'!A277)</f>
        <v/>
      </c>
      <c r="C274" s="1" t="str">
        <f>IF('Extraction edi'!B277="","",'Extraction edi'!B277)</f>
        <v/>
      </c>
      <c r="D274" s="1" t="str">
        <f>IF('Extraction edi'!H277="","",'Extraction edi'!H277)</f>
        <v/>
      </c>
      <c r="E274" s="1" t="str">
        <f>IF('Extraction edi'!I277="","",'Extraction edi'!I277)</f>
        <v/>
      </c>
      <c r="F274" t="str">
        <f>IF('Extraction edi'!K277="","",'Extraction edi'!K277)</f>
        <v/>
      </c>
      <c r="G274" t="str">
        <f>IF('Extraction edi'!L277="","",'Extraction edi'!L277)</f>
        <v/>
      </c>
      <c r="H274" t="str">
        <f>IF('Extraction edi'!M277="","",'Extraction edi'!M277)</f>
        <v/>
      </c>
      <c r="I274" s="1" t="str">
        <f>IF('Extraction edi'!N277="","",'Extraction edi'!N277)</f>
        <v/>
      </c>
      <c r="J274" s="1" t="str">
        <f>IF('Extraction edi'!O277="","",'Extraction edi'!O277)</f>
        <v/>
      </c>
      <c r="K274" s="1" t="str">
        <f>IF('Extraction edi'!P277="","",'Extraction edi'!P277)</f>
        <v/>
      </c>
      <c r="L274" s="1" t="str">
        <f>IF('Extraction edi'!Q277="laquage RAL :","OUI","")</f>
        <v/>
      </c>
      <c r="M274" s="1" t="str">
        <f>IF('Extraction edi'!R277&lt;&gt;"",'Extraction edi'!R277,IF(G274="ALU blanc","S9016",""))</f>
        <v/>
      </c>
      <c r="N274" s="1" t="str">
        <f>IF('Extraction edi'!S277&lt;&gt;"",'Extraction edi'!S277,IF(G274="ALU blanc","S9016",""))</f>
        <v/>
      </c>
      <c r="O274" s="11">
        <v>46183</v>
      </c>
      <c r="P274" s="1">
        <f t="shared" si="4"/>
        <v>3</v>
      </c>
    </row>
    <row r="275" spans="1:16" x14ac:dyDescent="0.25">
      <c r="A275" s="1" t="str">
        <f>IF(B275="","",CONCATENATE(B275,".",C275,"/Pos ",D275,"/",'Extraction edi'!G278))</f>
        <v/>
      </c>
      <c r="B275" s="1" t="str">
        <f>IF('Extraction edi'!A278="","",'Extraction edi'!A278)</f>
        <v/>
      </c>
      <c r="C275" s="1" t="str">
        <f>IF('Extraction edi'!B278="","",'Extraction edi'!B278)</f>
        <v/>
      </c>
      <c r="D275" s="1" t="str">
        <f>IF('Extraction edi'!H278="","",'Extraction edi'!H278)</f>
        <v/>
      </c>
      <c r="E275" s="1" t="str">
        <f>IF('Extraction edi'!I278="","",'Extraction edi'!I278)</f>
        <v/>
      </c>
      <c r="F275" t="str">
        <f>IF('Extraction edi'!K278="","",'Extraction edi'!K278)</f>
        <v/>
      </c>
      <c r="G275" t="str">
        <f>IF('Extraction edi'!L278="","",'Extraction edi'!L278)</f>
        <v/>
      </c>
      <c r="H275" t="str">
        <f>IF('Extraction edi'!M278="","",'Extraction edi'!M278)</f>
        <v/>
      </c>
      <c r="I275" s="1" t="str">
        <f>IF('Extraction edi'!N278="","",'Extraction edi'!N278)</f>
        <v/>
      </c>
      <c r="J275" s="1" t="str">
        <f>IF('Extraction edi'!O278="","",'Extraction edi'!O278)</f>
        <v/>
      </c>
      <c r="K275" s="1" t="str">
        <f>IF('Extraction edi'!P278="","",'Extraction edi'!P278)</f>
        <v/>
      </c>
      <c r="L275" s="1" t="str">
        <f>IF('Extraction edi'!Q278="laquage RAL :","OUI","")</f>
        <v/>
      </c>
      <c r="M275" s="1" t="str">
        <f>IF('Extraction edi'!R278&lt;&gt;"",'Extraction edi'!R278,IF(G275="ALU blanc","S9016",""))</f>
        <v/>
      </c>
      <c r="N275" s="1" t="str">
        <f>IF('Extraction edi'!S278&lt;&gt;"",'Extraction edi'!S278,IF(G275="ALU blanc","S9016",""))</f>
        <v/>
      </c>
      <c r="O275" s="11">
        <v>46184</v>
      </c>
      <c r="P275" s="1">
        <f t="shared" si="4"/>
        <v>4</v>
      </c>
    </row>
    <row r="276" spans="1:16" x14ac:dyDescent="0.25">
      <c r="A276" s="1" t="str">
        <f>IF(B276="","",CONCATENATE(B276,".",C276,"/Pos ",D276,"/",'Extraction edi'!G279))</f>
        <v/>
      </c>
      <c r="B276" s="1" t="str">
        <f>IF('Extraction edi'!A279="","",'Extraction edi'!A279)</f>
        <v/>
      </c>
      <c r="C276" s="1" t="str">
        <f>IF('Extraction edi'!B279="","",'Extraction edi'!B279)</f>
        <v/>
      </c>
      <c r="D276" s="1" t="str">
        <f>IF('Extraction edi'!H279="","",'Extraction edi'!H279)</f>
        <v/>
      </c>
      <c r="E276" s="1" t="str">
        <f>IF('Extraction edi'!I279="","",'Extraction edi'!I279)</f>
        <v/>
      </c>
      <c r="F276" t="str">
        <f>IF('Extraction edi'!K279="","",'Extraction edi'!K279)</f>
        <v/>
      </c>
      <c r="G276" t="str">
        <f>IF('Extraction edi'!L279="","",'Extraction edi'!L279)</f>
        <v/>
      </c>
      <c r="H276" t="str">
        <f>IF('Extraction edi'!M279="","",'Extraction edi'!M279)</f>
        <v/>
      </c>
      <c r="I276" s="1" t="str">
        <f>IF('Extraction edi'!N279="","",'Extraction edi'!N279)</f>
        <v/>
      </c>
      <c r="J276" s="1" t="str">
        <f>IF('Extraction edi'!O279="","",'Extraction edi'!O279)</f>
        <v/>
      </c>
      <c r="K276" s="1" t="str">
        <f>IF('Extraction edi'!P279="","",'Extraction edi'!P279)</f>
        <v/>
      </c>
      <c r="L276" s="1" t="str">
        <f>IF('Extraction edi'!Q279="laquage RAL :","OUI","")</f>
        <v/>
      </c>
      <c r="M276" s="1" t="str">
        <f>IF('Extraction edi'!R279&lt;&gt;"",'Extraction edi'!R279,IF(G276="ALU blanc","S9016",""))</f>
        <v/>
      </c>
      <c r="N276" s="1" t="str">
        <f>IF('Extraction edi'!S279&lt;&gt;"",'Extraction edi'!S279,IF(G276="ALU blanc","S9016",""))</f>
        <v/>
      </c>
      <c r="O276" s="11">
        <v>46185</v>
      </c>
      <c r="P276" s="1">
        <f t="shared" si="4"/>
        <v>5</v>
      </c>
    </row>
    <row r="277" spans="1:16" x14ac:dyDescent="0.25">
      <c r="A277" s="1" t="str">
        <f>IF(B277="","",CONCATENATE(B277,".",C277,"/Pos ",D277,"/",'Extraction edi'!G280))</f>
        <v/>
      </c>
      <c r="B277" s="1" t="str">
        <f>IF('Extraction edi'!A280="","",'Extraction edi'!A280)</f>
        <v/>
      </c>
      <c r="C277" s="1" t="str">
        <f>IF('Extraction edi'!B280="","",'Extraction edi'!B280)</f>
        <v/>
      </c>
      <c r="D277" s="1" t="str">
        <f>IF('Extraction edi'!H280="","",'Extraction edi'!H280)</f>
        <v/>
      </c>
      <c r="E277" s="1" t="str">
        <f>IF('Extraction edi'!I280="","",'Extraction edi'!I280)</f>
        <v/>
      </c>
      <c r="F277" t="str">
        <f>IF('Extraction edi'!K280="","",'Extraction edi'!K280)</f>
        <v/>
      </c>
      <c r="G277" t="str">
        <f>IF('Extraction edi'!L280="","",'Extraction edi'!L280)</f>
        <v/>
      </c>
      <c r="H277" t="str">
        <f>IF('Extraction edi'!M280="","",'Extraction edi'!M280)</f>
        <v/>
      </c>
      <c r="I277" s="1" t="str">
        <f>IF('Extraction edi'!N280="","",'Extraction edi'!N280)</f>
        <v/>
      </c>
      <c r="J277" s="1" t="str">
        <f>IF('Extraction edi'!O280="","",'Extraction edi'!O280)</f>
        <v/>
      </c>
      <c r="K277" s="1" t="str">
        <f>IF('Extraction edi'!P280="","",'Extraction edi'!P280)</f>
        <v/>
      </c>
      <c r="L277" s="1" t="str">
        <f>IF('Extraction edi'!Q280="laquage RAL :","OUI","")</f>
        <v/>
      </c>
      <c r="M277" s="1" t="str">
        <f>IF('Extraction edi'!R280&lt;&gt;"",'Extraction edi'!R280,IF(G277="ALU blanc","S9016",""))</f>
        <v/>
      </c>
      <c r="N277" s="1" t="str">
        <f>IF('Extraction edi'!S280&lt;&gt;"",'Extraction edi'!S280,IF(G277="ALU blanc","S9016",""))</f>
        <v/>
      </c>
      <c r="O277" s="11">
        <v>46186</v>
      </c>
      <c r="P277" s="1">
        <f t="shared" si="4"/>
        <v>6</v>
      </c>
    </row>
    <row r="278" spans="1:16" x14ac:dyDescent="0.25">
      <c r="A278" s="1" t="str">
        <f>IF(B278="","",CONCATENATE(B278,".",C278,"/Pos ",D278,"/",'Extraction edi'!G281))</f>
        <v/>
      </c>
      <c r="B278" s="1" t="str">
        <f>IF('Extraction edi'!A281="","",'Extraction edi'!A281)</f>
        <v/>
      </c>
      <c r="C278" s="1" t="str">
        <f>IF('Extraction edi'!B281="","",'Extraction edi'!B281)</f>
        <v/>
      </c>
      <c r="D278" s="1" t="str">
        <f>IF('Extraction edi'!H281="","",'Extraction edi'!H281)</f>
        <v/>
      </c>
      <c r="E278" s="1" t="str">
        <f>IF('Extraction edi'!I281="","",'Extraction edi'!I281)</f>
        <v/>
      </c>
      <c r="F278" t="str">
        <f>IF('Extraction edi'!K281="","",'Extraction edi'!K281)</f>
        <v/>
      </c>
      <c r="G278" t="str">
        <f>IF('Extraction edi'!L281="","",'Extraction edi'!L281)</f>
        <v/>
      </c>
      <c r="H278" t="str">
        <f>IF('Extraction edi'!M281="","",'Extraction edi'!M281)</f>
        <v/>
      </c>
      <c r="I278" s="1" t="str">
        <f>IF('Extraction edi'!N281="","",'Extraction edi'!N281)</f>
        <v/>
      </c>
      <c r="J278" s="1" t="str">
        <f>IF('Extraction edi'!O281="","",'Extraction edi'!O281)</f>
        <v/>
      </c>
      <c r="K278" s="1" t="str">
        <f>IF('Extraction edi'!P281="","",'Extraction edi'!P281)</f>
        <v/>
      </c>
      <c r="L278" s="1" t="str">
        <f>IF('Extraction edi'!Q281="laquage RAL :","OUI","")</f>
        <v/>
      </c>
      <c r="M278" s="1" t="str">
        <f>IF('Extraction edi'!R281&lt;&gt;"",'Extraction edi'!R281,IF(G278="ALU blanc","S9016",""))</f>
        <v/>
      </c>
      <c r="N278" s="1" t="str">
        <f>IF('Extraction edi'!S281&lt;&gt;"",'Extraction edi'!S281,IF(G278="ALU blanc","S9016",""))</f>
        <v/>
      </c>
      <c r="O278" s="11">
        <v>46187</v>
      </c>
      <c r="P278" s="1">
        <f t="shared" si="4"/>
        <v>7</v>
      </c>
    </row>
    <row r="279" spans="1:16" x14ac:dyDescent="0.25">
      <c r="A279" s="1" t="str">
        <f>IF(B279="","",CONCATENATE(B279,".",C279,"/Pos ",D279,"/",'Extraction edi'!G282))</f>
        <v/>
      </c>
      <c r="B279" s="1" t="str">
        <f>IF('Extraction edi'!A282="","",'Extraction edi'!A282)</f>
        <v/>
      </c>
      <c r="C279" s="1" t="str">
        <f>IF('Extraction edi'!B282="","",'Extraction edi'!B282)</f>
        <v/>
      </c>
      <c r="D279" s="1" t="str">
        <f>IF('Extraction edi'!H282="","",'Extraction edi'!H282)</f>
        <v/>
      </c>
      <c r="E279" s="1" t="str">
        <f>IF('Extraction edi'!I282="","",'Extraction edi'!I282)</f>
        <v/>
      </c>
      <c r="F279" t="str">
        <f>IF('Extraction edi'!K282="","",'Extraction edi'!K282)</f>
        <v/>
      </c>
      <c r="G279" t="str">
        <f>IF('Extraction edi'!L282="","",'Extraction edi'!L282)</f>
        <v/>
      </c>
      <c r="H279" t="str">
        <f>IF('Extraction edi'!M282="","",'Extraction edi'!M282)</f>
        <v/>
      </c>
      <c r="I279" s="1" t="str">
        <f>IF('Extraction edi'!N282="","",'Extraction edi'!N282)</f>
        <v/>
      </c>
      <c r="J279" s="1" t="str">
        <f>IF('Extraction edi'!O282="","",'Extraction edi'!O282)</f>
        <v/>
      </c>
      <c r="K279" s="1" t="str">
        <f>IF('Extraction edi'!P282="","",'Extraction edi'!P282)</f>
        <v/>
      </c>
      <c r="L279" s="1" t="str">
        <f>IF('Extraction edi'!Q282="laquage RAL :","OUI","")</f>
        <v/>
      </c>
      <c r="M279" s="1" t="str">
        <f>IF('Extraction edi'!R282&lt;&gt;"",'Extraction edi'!R282,IF(G279="ALU blanc","S9016",""))</f>
        <v/>
      </c>
      <c r="N279" s="1" t="str">
        <f>IF('Extraction edi'!S282&lt;&gt;"",'Extraction edi'!S282,IF(G279="ALU blanc","S9016",""))</f>
        <v/>
      </c>
      <c r="O279" s="11">
        <v>46188</v>
      </c>
      <c r="P279" s="1">
        <f t="shared" si="4"/>
        <v>1</v>
      </c>
    </row>
    <row r="280" spans="1:16" x14ac:dyDescent="0.25">
      <c r="A280" s="1" t="str">
        <f>IF(B280="","",CONCATENATE(B280,".",C280,"/Pos ",D280,"/",'Extraction edi'!G283))</f>
        <v/>
      </c>
      <c r="B280" s="1" t="str">
        <f>IF('Extraction edi'!A283="","",'Extraction edi'!A283)</f>
        <v/>
      </c>
      <c r="C280" s="1" t="str">
        <f>IF('Extraction edi'!B283="","",'Extraction edi'!B283)</f>
        <v/>
      </c>
      <c r="D280" s="1" t="str">
        <f>IF('Extraction edi'!H283="","",'Extraction edi'!H283)</f>
        <v/>
      </c>
      <c r="E280" s="1" t="str">
        <f>IF('Extraction edi'!I283="","",'Extraction edi'!I283)</f>
        <v/>
      </c>
      <c r="F280" t="str">
        <f>IF('Extraction edi'!K283="","",'Extraction edi'!K283)</f>
        <v/>
      </c>
      <c r="G280" t="str">
        <f>IF('Extraction edi'!L283="","",'Extraction edi'!L283)</f>
        <v/>
      </c>
      <c r="H280" t="str">
        <f>IF('Extraction edi'!M283="","",'Extraction edi'!M283)</f>
        <v/>
      </c>
      <c r="I280" s="1" t="str">
        <f>IF('Extraction edi'!N283="","",'Extraction edi'!N283)</f>
        <v/>
      </c>
      <c r="J280" s="1" t="str">
        <f>IF('Extraction edi'!O283="","",'Extraction edi'!O283)</f>
        <v/>
      </c>
      <c r="K280" s="1" t="str">
        <f>IF('Extraction edi'!P283="","",'Extraction edi'!P283)</f>
        <v/>
      </c>
      <c r="L280" s="1" t="str">
        <f>IF('Extraction edi'!Q283="laquage RAL :","OUI","")</f>
        <v/>
      </c>
      <c r="M280" s="1" t="str">
        <f>IF('Extraction edi'!R283&lt;&gt;"",'Extraction edi'!R283,IF(G280="ALU blanc","S9016",""))</f>
        <v/>
      </c>
      <c r="N280" s="1" t="str">
        <f>IF('Extraction edi'!S283&lt;&gt;"",'Extraction edi'!S283,IF(G280="ALU blanc","S9016",""))</f>
        <v/>
      </c>
      <c r="O280" s="11">
        <v>46189</v>
      </c>
      <c r="P280" s="1">
        <f t="shared" si="4"/>
        <v>2</v>
      </c>
    </row>
    <row r="281" spans="1:16" x14ac:dyDescent="0.25">
      <c r="A281" s="1" t="str">
        <f>IF(B281="","",CONCATENATE(B281,".",C281,"/Pos ",D281,"/",'Extraction edi'!G284))</f>
        <v/>
      </c>
      <c r="B281" s="1" t="str">
        <f>IF('Extraction edi'!A284="","",'Extraction edi'!A284)</f>
        <v/>
      </c>
      <c r="C281" s="1" t="str">
        <f>IF('Extraction edi'!B284="","",'Extraction edi'!B284)</f>
        <v/>
      </c>
      <c r="D281" s="1" t="str">
        <f>IF('Extraction edi'!H284="","",'Extraction edi'!H284)</f>
        <v/>
      </c>
      <c r="E281" s="1" t="str">
        <f>IF('Extraction edi'!I284="","",'Extraction edi'!I284)</f>
        <v/>
      </c>
      <c r="F281" t="str">
        <f>IF('Extraction edi'!K284="","",'Extraction edi'!K284)</f>
        <v/>
      </c>
      <c r="G281" t="str">
        <f>IF('Extraction edi'!L284="","",'Extraction edi'!L284)</f>
        <v/>
      </c>
      <c r="H281" t="str">
        <f>IF('Extraction edi'!M284="","",'Extraction edi'!M284)</f>
        <v/>
      </c>
      <c r="I281" s="1" t="str">
        <f>IF('Extraction edi'!N284="","",'Extraction edi'!N284)</f>
        <v/>
      </c>
      <c r="J281" s="1" t="str">
        <f>IF('Extraction edi'!O284="","",'Extraction edi'!O284)</f>
        <v/>
      </c>
      <c r="K281" s="1" t="str">
        <f>IF('Extraction edi'!P284="","",'Extraction edi'!P284)</f>
        <v/>
      </c>
      <c r="L281" s="1" t="str">
        <f>IF('Extraction edi'!Q284="laquage RAL :","OUI","")</f>
        <v/>
      </c>
      <c r="M281" s="1" t="str">
        <f>IF('Extraction edi'!R284&lt;&gt;"",'Extraction edi'!R284,IF(G281="ALU blanc","S9016",""))</f>
        <v/>
      </c>
      <c r="N281" s="1" t="str">
        <f>IF('Extraction edi'!S284&lt;&gt;"",'Extraction edi'!S284,IF(G281="ALU blanc","S9016",""))</f>
        <v/>
      </c>
      <c r="O281" s="11">
        <v>46190</v>
      </c>
      <c r="P281" s="1">
        <f t="shared" si="4"/>
        <v>3</v>
      </c>
    </row>
    <row r="282" spans="1:16" x14ac:dyDescent="0.25">
      <c r="A282" s="1" t="str">
        <f>IF(B282="","",CONCATENATE(B282,".",C282,"/Pos ",D282,"/",'Extraction edi'!G285))</f>
        <v/>
      </c>
      <c r="B282" s="1" t="str">
        <f>IF('Extraction edi'!A285="","",'Extraction edi'!A285)</f>
        <v/>
      </c>
      <c r="C282" s="1" t="str">
        <f>IF('Extraction edi'!B285="","",'Extraction edi'!B285)</f>
        <v/>
      </c>
      <c r="D282" s="1" t="str">
        <f>IF('Extraction edi'!H285="","",'Extraction edi'!H285)</f>
        <v/>
      </c>
      <c r="E282" s="1" t="str">
        <f>IF('Extraction edi'!I285="","",'Extraction edi'!I285)</f>
        <v/>
      </c>
      <c r="F282" t="str">
        <f>IF('Extraction edi'!K285="","",'Extraction edi'!K285)</f>
        <v/>
      </c>
      <c r="G282" t="str">
        <f>IF('Extraction edi'!L285="","",'Extraction edi'!L285)</f>
        <v/>
      </c>
      <c r="H282" t="str">
        <f>IF('Extraction edi'!M285="","",'Extraction edi'!M285)</f>
        <v/>
      </c>
      <c r="I282" s="1" t="str">
        <f>IF('Extraction edi'!N285="","",'Extraction edi'!N285)</f>
        <v/>
      </c>
      <c r="J282" s="1" t="str">
        <f>IF('Extraction edi'!O285="","",'Extraction edi'!O285)</f>
        <v/>
      </c>
      <c r="K282" s="1" t="str">
        <f>IF('Extraction edi'!P285="","",'Extraction edi'!P285)</f>
        <v/>
      </c>
      <c r="L282" s="1" t="str">
        <f>IF('Extraction edi'!Q285="laquage RAL :","OUI","")</f>
        <v/>
      </c>
      <c r="M282" s="1" t="str">
        <f>IF('Extraction edi'!R285&lt;&gt;"",'Extraction edi'!R285,IF(G282="ALU blanc","S9016",""))</f>
        <v/>
      </c>
      <c r="N282" s="1" t="str">
        <f>IF('Extraction edi'!S285&lt;&gt;"",'Extraction edi'!S285,IF(G282="ALU blanc","S9016",""))</f>
        <v/>
      </c>
      <c r="O282" s="11">
        <v>46191</v>
      </c>
      <c r="P282" s="1">
        <f t="shared" si="4"/>
        <v>4</v>
      </c>
    </row>
    <row r="283" spans="1:16" x14ac:dyDescent="0.25">
      <c r="A283" s="1" t="str">
        <f>IF(B283="","",CONCATENATE(B283,".",C283,"/Pos ",D283,"/",'Extraction edi'!G286))</f>
        <v/>
      </c>
      <c r="B283" s="1" t="str">
        <f>IF('Extraction edi'!A286="","",'Extraction edi'!A286)</f>
        <v/>
      </c>
      <c r="C283" s="1" t="str">
        <f>IF('Extraction edi'!B286="","",'Extraction edi'!B286)</f>
        <v/>
      </c>
      <c r="D283" s="1" t="str">
        <f>IF('Extraction edi'!H286="","",'Extraction edi'!H286)</f>
        <v/>
      </c>
      <c r="E283" s="1" t="str">
        <f>IF('Extraction edi'!I286="","",'Extraction edi'!I286)</f>
        <v/>
      </c>
      <c r="F283" t="str">
        <f>IF('Extraction edi'!K286="","",'Extraction edi'!K286)</f>
        <v/>
      </c>
      <c r="G283" t="str">
        <f>IF('Extraction edi'!L286="","",'Extraction edi'!L286)</f>
        <v/>
      </c>
      <c r="H283" t="str">
        <f>IF('Extraction edi'!M286="","",'Extraction edi'!M286)</f>
        <v/>
      </c>
      <c r="I283" s="1" t="str">
        <f>IF('Extraction edi'!N286="","",'Extraction edi'!N286)</f>
        <v/>
      </c>
      <c r="J283" s="1" t="str">
        <f>IF('Extraction edi'!O286="","",'Extraction edi'!O286)</f>
        <v/>
      </c>
      <c r="K283" s="1" t="str">
        <f>IF('Extraction edi'!P286="","",'Extraction edi'!P286)</f>
        <v/>
      </c>
      <c r="L283" s="1" t="str">
        <f>IF('Extraction edi'!Q286="laquage RAL :","OUI","")</f>
        <v/>
      </c>
      <c r="M283" s="1" t="str">
        <f>IF('Extraction edi'!R286&lt;&gt;"",'Extraction edi'!R286,IF(G283="ALU blanc","S9016",""))</f>
        <v/>
      </c>
      <c r="N283" s="1" t="str">
        <f>IF('Extraction edi'!S286&lt;&gt;"",'Extraction edi'!S286,IF(G283="ALU blanc","S9016",""))</f>
        <v/>
      </c>
      <c r="O283" s="11">
        <v>46192</v>
      </c>
      <c r="P283" s="1">
        <f t="shared" si="4"/>
        <v>5</v>
      </c>
    </row>
    <row r="284" spans="1:16" x14ac:dyDescent="0.25">
      <c r="A284" s="1" t="str">
        <f>IF(B284="","",CONCATENATE(B284,".",C284,"/Pos ",D284,"/",'Extraction edi'!G287))</f>
        <v/>
      </c>
      <c r="B284" s="1" t="str">
        <f>IF('Extraction edi'!A287="","",'Extraction edi'!A287)</f>
        <v/>
      </c>
      <c r="C284" s="1" t="str">
        <f>IF('Extraction edi'!B287="","",'Extraction edi'!B287)</f>
        <v/>
      </c>
      <c r="D284" s="1" t="str">
        <f>IF('Extraction edi'!H287="","",'Extraction edi'!H287)</f>
        <v/>
      </c>
      <c r="E284" s="1" t="str">
        <f>IF('Extraction edi'!I287="","",'Extraction edi'!I287)</f>
        <v/>
      </c>
      <c r="F284" t="str">
        <f>IF('Extraction edi'!K287="","",'Extraction edi'!K287)</f>
        <v/>
      </c>
      <c r="G284" t="str">
        <f>IF('Extraction edi'!L287="","",'Extraction edi'!L287)</f>
        <v/>
      </c>
      <c r="H284" t="str">
        <f>IF('Extraction edi'!M287="","",'Extraction edi'!M287)</f>
        <v/>
      </c>
      <c r="I284" s="1" t="str">
        <f>IF('Extraction edi'!N287="","",'Extraction edi'!N287)</f>
        <v/>
      </c>
      <c r="J284" s="1" t="str">
        <f>IF('Extraction edi'!O287="","",'Extraction edi'!O287)</f>
        <v/>
      </c>
      <c r="K284" s="1" t="str">
        <f>IF('Extraction edi'!P287="","",'Extraction edi'!P287)</f>
        <v/>
      </c>
      <c r="L284" s="1" t="str">
        <f>IF('Extraction edi'!Q287="laquage RAL :","OUI","")</f>
        <v/>
      </c>
      <c r="M284" s="1" t="str">
        <f>IF('Extraction edi'!R287&lt;&gt;"",'Extraction edi'!R287,IF(G284="ALU blanc","S9016",""))</f>
        <v/>
      </c>
      <c r="N284" s="1" t="str">
        <f>IF('Extraction edi'!S287&lt;&gt;"",'Extraction edi'!S287,IF(G284="ALU blanc","S9016",""))</f>
        <v/>
      </c>
      <c r="O284" s="11">
        <v>46193</v>
      </c>
      <c r="P284" s="1">
        <f t="shared" si="4"/>
        <v>6</v>
      </c>
    </row>
    <row r="285" spans="1:16" x14ac:dyDescent="0.25">
      <c r="A285" s="1" t="str">
        <f>IF(B285="","",CONCATENATE(B285,".",C285,"/Pos ",D285,"/",'Extraction edi'!G288))</f>
        <v/>
      </c>
      <c r="B285" s="1" t="str">
        <f>IF('Extraction edi'!A288="","",'Extraction edi'!A288)</f>
        <v/>
      </c>
      <c r="C285" s="1" t="str">
        <f>IF('Extraction edi'!B288="","",'Extraction edi'!B288)</f>
        <v/>
      </c>
      <c r="D285" s="1" t="str">
        <f>IF('Extraction edi'!H288="","",'Extraction edi'!H288)</f>
        <v/>
      </c>
      <c r="E285" s="1" t="str">
        <f>IF('Extraction edi'!I288="","",'Extraction edi'!I288)</f>
        <v/>
      </c>
      <c r="F285" t="str">
        <f>IF('Extraction edi'!K288="","",'Extraction edi'!K288)</f>
        <v/>
      </c>
      <c r="G285" t="str">
        <f>IF('Extraction edi'!L288="","",'Extraction edi'!L288)</f>
        <v/>
      </c>
      <c r="H285" t="str">
        <f>IF('Extraction edi'!M288="","",'Extraction edi'!M288)</f>
        <v/>
      </c>
      <c r="I285" s="1" t="str">
        <f>IF('Extraction edi'!N288="","",'Extraction edi'!N288)</f>
        <v/>
      </c>
      <c r="J285" s="1" t="str">
        <f>IF('Extraction edi'!O288="","",'Extraction edi'!O288)</f>
        <v/>
      </c>
      <c r="K285" s="1" t="str">
        <f>IF('Extraction edi'!P288="","",'Extraction edi'!P288)</f>
        <v/>
      </c>
      <c r="L285" s="1" t="str">
        <f>IF('Extraction edi'!Q288="laquage RAL :","OUI","")</f>
        <v/>
      </c>
      <c r="M285" s="1" t="str">
        <f>IF('Extraction edi'!R288&lt;&gt;"",'Extraction edi'!R288,IF(G285="ALU blanc","S9016",""))</f>
        <v/>
      </c>
      <c r="N285" s="1" t="str">
        <f>IF('Extraction edi'!S288&lt;&gt;"",'Extraction edi'!S288,IF(G285="ALU blanc","S9016",""))</f>
        <v/>
      </c>
      <c r="O285" s="11">
        <v>46194</v>
      </c>
      <c r="P285" s="1">
        <f t="shared" si="4"/>
        <v>7</v>
      </c>
    </row>
    <row r="286" spans="1:16" x14ac:dyDescent="0.25">
      <c r="A286" s="1" t="str">
        <f>IF(B286="","",CONCATENATE(B286,".",C286,"/Pos ",D286,"/",'Extraction edi'!G289))</f>
        <v/>
      </c>
      <c r="B286" s="1" t="str">
        <f>IF('Extraction edi'!A289="","",'Extraction edi'!A289)</f>
        <v/>
      </c>
      <c r="C286" s="1" t="str">
        <f>IF('Extraction edi'!B289="","",'Extraction edi'!B289)</f>
        <v/>
      </c>
      <c r="D286" s="1" t="str">
        <f>IF('Extraction edi'!H289="","",'Extraction edi'!H289)</f>
        <v/>
      </c>
      <c r="E286" s="1" t="str">
        <f>IF('Extraction edi'!I289="","",'Extraction edi'!I289)</f>
        <v/>
      </c>
      <c r="F286" t="str">
        <f>IF('Extraction edi'!K289="","",'Extraction edi'!K289)</f>
        <v/>
      </c>
      <c r="G286" t="str">
        <f>IF('Extraction edi'!L289="","",'Extraction edi'!L289)</f>
        <v/>
      </c>
      <c r="H286" t="str">
        <f>IF('Extraction edi'!M289="","",'Extraction edi'!M289)</f>
        <v/>
      </c>
      <c r="I286" s="1" t="str">
        <f>IF('Extraction edi'!N289="","",'Extraction edi'!N289)</f>
        <v/>
      </c>
      <c r="J286" s="1" t="str">
        <f>IF('Extraction edi'!O289="","",'Extraction edi'!O289)</f>
        <v/>
      </c>
      <c r="K286" s="1" t="str">
        <f>IF('Extraction edi'!P289="","",'Extraction edi'!P289)</f>
        <v/>
      </c>
      <c r="L286" s="1" t="str">
        <f>IF('Extraction edi'!Q289="laquage RAL :","OUI","")</f>
        <v/>
      </c>
      <c r="M286" s="1" t="str">
        <f>IF('Extraction edi'!R289&lt;&gt;"",'Extraction edi'!R289,IF(G286="ALU blanc","S9016",""))</f>
        <v/>
      </c>
      <c r="N286" s="1" t="str">
        <f>IF('Extraction edi'!S289&lt;&gt;"",'Extraction edi'!S289,IF(G286="ALU blanc","S9016",""))</f>
        <v/>
      </c>
      <c r="O286" s="11">
        <v>46195</v>
      </c>
      <c r="P286" s="1">
        <f t="shared" si="4"/>
        <v>1</v>
      </c>
    </row>
    <row r="287" spans="1:16" x14ac:dyDescent="0.25">
      <c r="A287" s="1" t="str">
        <f>IF(B287="","",CONCATENATE(B287,".",C287,"/Pos ",D287,"/",'Extraction edi'!G290))</f>
        <v/>
      </c>
      <c r="B287" s="1" t="str">
        <f>IF('Extraction edi'!A290="","",'Extraction edi'!A290)</f>
        <v/>
      </c>
      <c r="C287" s="1" t="str">
        <f>IF('Extraction edi'!B290="","",'Extraction edi'!B290)</f>
        <v/>
      </c>
      <c r="D287" s="1" t="str">
        <f>IF('Extraction edi'!H290="","",'Extraction edi'!H290)</f>
        <v/>
      </c>
      <c r="E287" s="1" t="str">
        <f>IF('Extraction edi'!I290="","",'Extraction edi'!I290)</f>
        <v/>
      </c>
      <c r="F287" t="str">
        <f>IF('Extraction edi'!K290="","",'Extraction edi'!K290)</f>
        <v/>
      </c>
      <c r="G287" t="str">
        <f>IF('Extraction edi'!L290="","",'Extraction edi'!L290)</f>
        <v/>
      </c>
      <c r="H287" t="str">
        <f>IF('Extraction edi'!M290="","",'Extraction edi'!M290)</f>
        <v/>
      </c>
      <c r="I287" s="1" t="str">
        <f>IF('Extraction edi'!N290="","",'Extraction edi'!N290)</f>
        <v/>
      </c>
      <c r="J287" s="1" t="str">
        <f>IF('Extraction edi'!O290="","",'Extraction edi'!O290)</f>
        <v/>
      </c>
      <c r="K287" s="1" t="str">
        <f>IF('Extraction edi'!P290="","",'Extraction edi'!P290)</f>
        <v/>
      </c>
      <c r="L287" s="1" t="str">
        <f>IF('Extraction edi'!Q290="laquage RAL :","OUI","")</f>
        <v/>
      </c>
      <c r="M287" s="1" t="str">
        <f>IF('Extraction edi'!R290&lt;&gt;"",'Extraction edi'!R290,IF(G287="ALU blanc","S9016",""))</f>
        <v/>
      </c>
      <c r="N287" s="1" t="str">
        <f>IF('Extraction edi'!S290&lt;&gt;"",'Extraction edi'!S290,IF(G287="ALU blanc","S9016",""))</f>
        <v/>
      </c>
      <c r="O287" s="11">
        <v>46196</v>
      </c>
      <c r="P287" s="1">
        <f t="shared" si="4"/>
        <v>2</v>
      </c>
    </row>
    <row r="288" spans="1:16" x14ac:dyDescent="0.25">
      <c r="A288" s="1" t="str">
        <f>IF(B288="","",CONCATENATE(B288,".",C288,"/Pos ",D288,"/",'Extraction edi'!G291))</f>
        <v/>
      </c>
      <c r="B288" s="1" t="str">
        <f>IF('Extraction edi'!A291="","",'Extraction edi'!A291)</f>
        <v/>
      </c>
      <c r="C288" s="1" t="str">
        <f>IF('Extraction edi'!B291="","",'Extraction edi'!B291)</f>
        <v/>
      </c>
      <c r="D288" s="1" t="str">
        <f>IF('Extraction edi'!H291="","",'Extraction edi'!H291)</f>
        <v/>
      </c>
      <c r="E288" s="1" t="str">
        <f>IF('Extraction edi'!I291="","",'Extraction edi'!I291)</f>
        <v/>
      </c>
      <c r="F288" t="str">
        <f>IF('Extraction edi'!K291="","",'Extraction edi'!K291)</f>
        <v/>
      </c>
      <c r="G288" t="str">
        <f>IF('Extraction edi'!L291="","",'Extraction edi'!L291)</f>
        <v/>
      </c>
      <c r="H288" t="str">
        <f>IF('Extraction edi'!M291="","",'Extraction edi'!M291)</f>
        <v/>
      </c>
      <c r="I288" s="1" t="str">
        <f>IF('Extraction edi'!N291="","",'Extraction edi'!N291)</f>
        <v/>
      </c>
      <c r="J288" s="1" t="str">
        <f>IF('Extraction edi'!O291="","",'Extraction edi'!O291)</f>
        <v/>
      </c>
      <c r="K288" s="1" t="str">
        <f>IF('Extraction edi'!P291="","",'Extraction edi'!P291)</f>
        <v/>
      </c>
      <c r="L288" s="1" t="str">
        <f>IF('Extraction edi'!Q291="laquage RAL :","OUI","")</f>
        <v/>
      </c>
      <c r="M288" s="1" t="str">
        <f>IF('Extraction edi'!R291&lt;&gt;"",'Extraction edi'!R291,IF(G288="ALU blanc","S9016",""))</f>
        <v/>
      </c>
      <c r="N288" s="1" t="str">
        <f>IF('Extraction edi'!S291&lt;&gt;"",'Extraction edi'!S291,IF(G288="ALU blanc","S9016",""))</f>
        <v/>
      </c>
      <c r="O288" s="11">
        <v>46197</v>
      </c>
      <c r="P288" s="1">
        <f t="shared" si="4"/>
        <v>3</v>
      </c>
    </row>
    <row r="289" spans="1:16" x14ac:dyDescent="0.25">
      <c r="A289" s="1" t="str">
        <f>IF(B289="","",CONCATENATE(B289,".",C289,"/Pos ",D289,"/",'Extraction edi'!G292))</f>
        <v/>
      </c>
      <c r="B289" s="1" t="str">
        <f>IF('Extraction edi'!A292="","",'Extraction edi'!A292)</f>
        <v/>
      </c>
      <c r="C289" s="1" t="str">
        <f>IF('Extraction edi'!B292="","",'Extraction edi'!B292)</f>
        <v/>
      </c>
      <c r="D289" s="1" t="str">
        <f>IF('Extraction edi'!H292="","",'Extraction edi'!H292)</f>
        <v/>
      </c>
      <c r="E289" s="1" t="str">
        <f>IF('Extraction edi'!I292="","",'Extraction edi'!I292)</f>
        <v/>
      </c>
      <c r="F289" t="str">
        <f>IF('Extraction edi'!K292="","",'Extraction edi'!K292)</f>
        <v/>
      </c>
      <c r="G289" t="str">
        <f>IF('Extraction edi'!L292="","",'Extraction edi'!L292)</f>
        <v/>
      </c>
      <c r="H289" t="str">
        <f>IF('Extraction edi'!M292="","",'Extraction edi'!M292)</f>
        <v/>
      </c>
      <c r="I289" s="1" t="str">
        <f>IF('Extraction edi'!N292="","",'Extraction edi'!N292)</f>
        <v/>
      </c>
      <c r="J289" s="1" t="str">
        <f>IF('Extraction edi'!O292="","",'Extraction edi'!O292)</f>
        <v/>
      </c>
      <c r="K289" s="1" t="str">
        <f>IF('Extraction edi'!P292="","",'Extraction edi'!P292)</f>
        <v/>
      </c>
      <c r="L289" s="1" t="str">
        <f>IF('Extraction edi'!Q292="laquage RAL :","OUI","")</f>
        <v/>
      </c>
      <c r="M289" s="1" t="str">
        <f>IF('Extraction edi'!R292&lt;&gt;"",'Extraction edi'!R292,IF(G289="ALU blanc","S9016",""))</f>
        <v/>
      </c>
      <c r="N289" s="1" t="str">
        <f>IF('Extraction edi'!S292&lt;&gt;"",'Extraction edi'!S292,IF(G289="ALU blanc","S9016",""))</f>
        <v/>
      </c>
      <c r="O289" s="11">
        <v>46198</v>
      </c>
      <c r="P289" s="1">
        <f t="shared" si="4"/>
        <v>4</v>
      </c>
    </row>
    <row r="290" spans="1:16" x14ac:dyDescent="0.25">
      <c r="A290" s="1" t="str">
        <f>IF(B290="","",CONCATENATE(B290,".",C290,"/Pos ",D290,"/",'Extraction edi'!G293))</f>
        <v/>
      </c>
      <c r="B290" s="1" t="str">
        <f>IF('Extraction edi'!A293="","",'Extraction edi'!A293)</f>
        <v/>
      </c>
      <c r="C290" s="1" t="str">
        <f>IF('Extraction edi'!B293="","",'Extraction edi'!B293)</f>
        <v/>
      </c>
      <c r="D290" s="1" t="str">
        <f>IF('Extraction edi'!H293="","",'Extraction edi'!H293)</f>
        <v/>
      </c>
      <c r="E290" s="1" t="str">
        <f>IF('Extraction edi'!I293="","",'Extraction edi'!I293)</f>
        <v/>
      </c>
      <c r="F290" t="str">
        <f>IF('Extraction edi'!K293="","",'Extraction edi'!K293)</f>
        <v/>
      </c>
      <c r="G290" t="str">
        <f>IF('Extraction edi'!L293="","",'Extraction edi'!L293)</f>
        <v/>
      </c>
      <c r="H290" t="str">
        <f>IF('Extraction edi'!M293="","",'Extraction edi'!M293)</f>
        <v/>
      </c>
      <c r="I290" s="1" t="str">
        <f>IF('Extraction edi'!N293="","",'Extraction edi'!N293)</f>
        <v/>
      </c>
      <c r="J290" s="1" t="str">
        <f>IF('Extraction edi'!O293="","",'Extraction edi'!O293)</f>
        <v/>
      </c>
      <c r="K290" s="1" t="str">
        <f>IF('Extraction edi'!P293="","",'Extraction edi'!P293)</f>
        <v/>
      </c>
      <c r="L290" s="1" t="str">
        <f>IF('Extraction edi'!Q293="laquage RAL :","OUI","")</f>
        <v/>
      </c>
      <c r="M290" s="1" t="str">
        <f>IF('Extraction edi'!R293&lt;&gt;"",'Extraction edi'!R293,IF(G290="ALU blanc","S9016",""))</f>
        <v/>
      </c>
      <c r="N290" s="1" t="str">
        <f>IF('Extraction edi'!S293&lt;&gt;"",'Extraction edi'!S293,IF(G290="ALU blanc","S9016",""))</f>
        <v/>
      </c>
      <c r="O290" s="11">
        <v>46199</v>
      </c>
      <c r="P290" s="1">
        <f t="shared" si="4"/>
        <v>5</v>
      </c>
    </row>
    <row r="291" spans="1:16" x14ac:dyDescent="0.25">
      <c r="A291" s="1" t="str">
        <f>IF(B291="","",CONCATENATE(B291,".",C291,"/Pos ",D291,"/",'Extraction edi'!G294))</f>
        <v/>
      </c>
      <c r="B291" s="1" t="str">
        <f>IF('Extraction edi'!A294="","",'Extraction edi'!A294)</f>
        <v/>
      </c>
      <c r="C291" s="1" t="str">
        <f>IF('Extraction edi'!B294="","",'Extraction edi'!B294)</f>
        <v/>
      </c>
      <c r="D291" s="1" t="str">
        <f>IF('Extraction edi'!H294="","",'Extraction edi'!H294)</f>
        <v/>
      </c>
      <c r="E291" s="1" t="str">
        <f>IF('Extraction edi'!I294="","",'Extraction edi'!I294)</f>
        <v/>
      </c>
      <c r="F291" t="str">
        <f>IF('Extraction edi'!K294="","",'Extraction edi'!K294)</f>
        <v/>
      </c>
      <c r="G291" t="str">
        <f>IF('Extraction edi'!L294="","",'Extraction edi'!L294)</f>
        <v/>
      </c>
      <c r="H291" t="str">
        <f>IF('Extraction edi'!M294="","",'Extraction edi'!M294)</f>
        <v/>
      </c>
      <c r="I291" s="1" t="str">
        <f>IF('Extraction edi'!N294="","",'Extraction edi'!N294)</f>
        <v/>
      </c>
      <c r="J291" s="1" t="str">
        <f>IF('Extraction edi'!O294="","",'Extraction edi'!O294)</f>
        <v/>
      </c>
      <c r="K291" s="1" t="str">
        <f>IF('Extraction edi'!P294="","",'Extraction edi'!P294)</f>
        <v/>
      </c>
      <c r="L291" s="1" t="str">
        <f>IF('Extraction edi'!Q294="laquage RAL :","OUI","")</f>
        <v/>
      </c>
      <c r="M291" s="1" t="str">
        <f>IF('Extraction edi'!R294&lt;&gt;"",'Extraction edi'!R294,IF(G291="ALU blanc","S9016",""))</f>
        <v/>
      </c>
      <c r="N291" s="1" t="str">
        <f>IF('Extraction edi'!S294&lt;&gt;"",'Extraction edi'!S294,IF(G291="ALU blanc","S9016",""))</f>
        <v/>
      </c>
      <c r="O291" s="11">
        <v>46200</v>
      </c>
      <c r="P291" s="1">
        <f t="shared" si="4"/>
        <v>6</v>
      </c>
    </row>
    <row r="292" spans="1:16" x14ac:dyDescent="0.25">
      <c r="A292" s="1" t="str">
        <f>IF(B292="","",CONCATENATE(B292,".",C292,"/Pos ",D292,"/",'Extraction edi'!G295))</f>
        <v/>
      </c>
      <c r="B292" s="1" t="str">
        <f>IF('Extraction edi'!A295="","",'Extraction edi'!A295)</f>
        <v/>
      </c>
      <c r="C292" s="1" t="str">
        <f>IF('Extraction edi'!B295="","",'Extraction edi'!B295)</f>
        <v/>
      </c>
      <c r="D292" s="1" t="str">
        <f>IF('Extraction edi'!H295="","",'Extraction edi'!H295)</f>
        <v/>
      </c>
      <c r="E292" s="1" t="str">
        <f>IF('Extraction edi'!I295="","",'Extraction edi'!I295)</f>
        <v/>
      </c>
      <c r="F292" t="str">
        <f>IF('Extraction edi'!K295="","",'Extraction edi'!K295)</f>
        <v/>
      </c>
      <c r="G292" t="str">
        <f>IF('Extraction edi'!L295="","",'Extraction edi'!L295)</f>
        <v/>
      </c>
      <c r="H292" t="str">
        <f>IF('Extraction edi'!M295="","",'Extraction edi'!M295)</f>
        <v/>
      </c>
      <c r="I292" s="1" t="str">
        <f>IF('Extraction edi'!N295="","",'Extraction edi'!N295)</f>
        <v/>
      </c>
      <c r="J292" s="1" t="str">
        <f>IF('Extraction edi'!O295="","",'Extraction edi'!O295)</f>
        <v/>
      </c>
      <c r="K292" s="1" t="str">
        <f>IF('Extraction edi'!P295="","",'Extraction edi'!P295)</f>
        <v/>
      </c>
      <c r="L292" s="1" t="str">
        <f>IF('Extraction edi'!Q295="laquage RAL :","OUI","")</f>
        <v/>
      </c>
      <c r="M292" s="1" t="str">
        <f>IF('Extraction edi'!R295&lt;&gt;"",'Extraction edi'!R295,IF(G292="ALU blanc","S9016",""))</f>
        <v/>
      </c>
      <c r="N292" s="1" t="str">
        <f>IF('Extraction edi'!S295&lt;&gt;"",'Extraction edi'!S295,IF(G292="ALU blanc","S9016",""))</f>
        <v/>
      </c>
      <c r="O292" s="11">
        <v>46201</v>
      </c>
      <c r="P292" s="1">
        <f t="shared" si="4"/>
        <v>7</v>
      </c>
    </row>
    <row r="293" spans="1:16" x14ac:dyDescent="0.25">
      <c r="A293" s="1" t="str">
        <f>IF(B293="","",CONCATENATE(B293,".",C293,"/Pos ",D293,"/",'Extraction edi'!G296))</f>
        <v/>
      </c>
      <c r="B293" s="1" t="str">
        <f>IF('Extraction edi'!A296="","",'Extraction edi'!A296)</f>
        <v/>
      </c>
      <c r="C293" s="1" t="str">
        <f>IF('Extraction edi'!B296="","",'Extraction edi'!B296)</f>
        <v/>
      </c>
      <c r="D293" s="1" t="str">
        <f>IF('Extraction edi'!H296="","",'Extraction edi'!H296)</f>
        <v/>
      </c>
      <c r="E293" s="1" t="str">
        <f>IF('Extraction edi'!I296="","",'Extraction edi'!I296)</f>
        <v/>
      </c>
      <c r="F293" t="str">
        <f>IF('Extraction edi'!K296="","",'Extraction edi'!K296)</f>
        <v/>
      </c>
      <c r="G293" t="str">
        <f>IF('Extraction edi'!L296="","",'Extraction edi'!L296)</f>
        <v/>
      </c>
      <c r="H293" t="str">
        <f>IF('Extraction edi'!M296="","",'Extraction edi'!M296)</f>
        <v/>
      </c>
      <c r="I293" s="1" t="str">
        <f>IF('Extraction edi'!N296="","",'Extraction edi'!N296)</f>
        <v/>
      </c>
      <c r="J293" s="1" t="str">
        <f>IF('Extraction edi'!O296="","",'Extraction edi'!O296)</f>
        <v/>
      </c>
      <c r="K293" s="1" t="str">
        <f>IF('Extraction edi'!P296="","",'Extraction edi'!P296)</f>
        <v/>
      </c>
      <c r="L293" s="1" t="str">
        <f>IF('Extraction edi'!Q296="laquage RAL :","OUI","")</f>
        <v/>
      </c>
      <c r="M293" s="1" t="str">
        <f>IF('Extraction edi'!R296&lt;&gt;"",'Extraction edi'!R296,IF(G293="ALU blanc","S9016",""))</f>
        <v/>
      </c>
      <c r="N293" s="1" t="str">
        <f>IF('Extraction edi'!S296&lt;&gt;"",'Extraction edi'!S296,IF(G293="ALU blanc","S9016",""))</f>
        <v/>
      </c>
      <c r="O293" s="11">
        <v>46202</v>
      </c>
      <c r="P293" s="1">
        <f t="shared" si="4"/>
        <v>1</v>
      </c>
    </row>
    <row r="294" spans="1:16" x14ac:dyDescent="0.25">
      <c r="A294" s="1" t="str">
        <f>IF(B294="","",CONCATENATE(B294,".",C294,"/Pos ",D294,"/",'Extraction edi'!G297))</f>
        <v/>
      </c>
      <c r="B294" s="1" t="str">
        <f>IF('Extraction edi'!A297="","",'Extraction edi'!A297)</f>
        <v/>
      </c>
      <c r="C294" s="1" t="str">
        <f>IF('Extraction edi'!B297="","",'Extraction edi'!B297)</f>
        <v/>
      </c>
      <c r="D294" s="1" t="str">
        <f>IF('Extraction edi'!H297="","",'Extraction edi'!H297)</f>
        <v/>
      </c>
      <c r="E294" s="1" t="str">
        <f>IF('Extraction edi'!I297="","",'Extraction edi'!I297)</f>
        <v/>
      </c>
      <c r="F294" t="str">
        <f>IF('Extraction edi'!K297="","",'Extraction edi'!K297)</f>
        <v/>
      </c>
      <c r="G294" t="str">
        <f>IF('Extraction edi'!L297="","",'Extraction edi'!L297)</f>
        <v/>
      </c>
      <c r="H294" t="str">
        <f>IF('Extraction edi'!M297="","",'Extraction edi'!M297)</f>
        <v/>
      </c>
      <c r="I294" s="1" t="str">
        <f>IF('Extraction edi'!N297="","",'Extraction edi'!N297)</f>
        <v/>
      </c>
      <c r="J294" s="1" t="str">
        <f>IF('Extraction edi'!O297="","",'Extraction edi'!O297)</f>
        <v/>
      </c>
      <c r="K294" s="1" t="str">
        <f>IF('Extraction edi'!P297="","",'Extraction edi'!P297)</f>
        <v/>
      </c>
      <c r="L294" s="1" t="str">
        <f>IF('Extraction edi'!Q297="laquage RAL :","OUI","")</f>
        <v/>
      </c>
      <c r="M294" s="1" t="str">
        <f>IF('Extraction edi'!R297&lt;&gt;"",'Extraction edi'!R297,IF(G294="ALU blanc","S9016",""))</f>
        <v/>
      </c>
      <c r="N294" s="1" t="str">
        <f>IF('Extraction edi'!S297&lt;&gt;"",'Extraction edi'!S297,IF(G294="ALU blanc","S9016",""))</f>
        <v/>
      </c>
      <c r="O294" s="11">
        <v>46203</v>
      </c>
      <c r="P294" s="1">
        <f t="shared" si="4"/>
        <v>2</v>
      </c>
    </row>
    <row r="295" spans="1:16" x14ac:dyDescent="0.25">
      <c r="A295" s="1" t="str">
        <f>IF(B295="","",CONCATENATE(B295,".",C295,"/Pos ",D295,"/",'Extraction edi'!G305))</f>
        <v/>
      </c>
      <c r="B295" s="1" t="str">
        <f>IF('Extraction edi'!A305="","",'Extraction edi'!A305)</f>
        <v/>
      </c>
      <c r="C295" s="1" t="str">
        <f>IF('Extraction edi'!B305="","",'Extraction edi'!B305)</f>
        <v/>
      </c>
      <c r="D295" s="1" t="str">
        <f>IF('Extraction edi'!H305="","",'Extraction edi'!H305)</f>
        <v/>
      </c>
      <c r="E295" s="1" t="str">
        <f>IF('Extraction edi'!I305="","",'Extraction edi'!I305)</f>
        <v/>
      </c>
      <c r="F295" t="str">
        <f>IF('Extraction edi'!K305="","",'Extraction edi'!K305)</f>
        <v/>
      </c>
      <c r="G295" t="str">
        <f>IF('Extraction edi'!L298="","",'Extraction edi'!L298)</f>
        <v/>
      </c>
      <c r="H295" t="str">
        <f>IF('Extraction edi'!M298="","",'Extraction edi'!M298)</f>
        <v/>
      </c>
      <c r="I295" s="1" t="str">
        <f>IF('Extraction edi'!N305="","",'Extraction edi'!N305)</f>
        <v/>
      </c>
      <c r="J295" s="1" t="str">
        <f>IF('Extraction edi'!O305="","",'Extraction edi'!O305)</f>
        <v/>
      </c>
      <c r="K295" s="1" t="str">
        <f>IF('Extraction edi'!P305="","",'Extraction edi'!P305)</f>
        <v/>
      </c>
      <c r="L295" s="1" t="str">
        <f>IF('Extraction edi'!Q305="laquage RAL :","OUI","")</f>
        <v/>
      </c>
      <c r="M295" s="1" t="str">
        <f>IF('Extraction edi'!R305&lt;&gt;"",'Extraction edi'!R305,IF(G295="ALU blanc","S9016",""))</f>
        <v/>
      </c>
      <c r="N295" s="1" t="str">
        <f>IF('Extraction edi'!S305&lt;&gt;"",'Extraction edi'!S305,IF(G295="ALU blanc","S9016",""))</f>
        <v/>
      </c>
      <c r="O295" s="11" t="str">
        <f>IF('Extraction edi'!V305&lt;'Feuille commande'!$E$1,"DELAI NON COMPATIBLE",IF('Extraction edi'!V305="","",WORKDAY('Extraction edi'!V305,-10,Paramètrage!$G$2:$G$104)))</f>
        <v/>
      </c>
      <c r="P295" s="1" t="e">
        <f t="shared" si="4"/>
        <v>#VALUE!</v>
      </c>
    </row>
    <row r="296" spans="1:16" x14ac:dyDescent="0.25">
      <c r="A296" s="1" t="str">
        <f>IF(B296="","",CONCATENATE(B296,".",C296,"/Pos ",D296,"/",'Extraction edi'!G306))</f>
        <v/>
      </c>
      <c r="B296" s="1" t="str">
        <f>IF('Extraction edi'!A306="","",'Extraction edi'!A306)</f>
        <v/>
      </c>
      <c r="C296" s="1" t="str">
        <f>IF('Extraction edi'!B306="","",'Extraction edi'!B306)</f>
        <v/>
      </c>
      <c r="D296" s="1" t="str">
        <f>IF('Extraction edi'!H306="","",'Extraction edi'!H306)</f>
        <v/>
      </c>
      <c r="E296" s="1" t="str">
        <f>IF('Extraction edi'!I306="","",'Extraction edi'!I306)</f>
        <v/>
      </c>
      <c r="F296" t="str">
        <f>IF('Extraction edi'!K306="","",'Extraction edi'!K306)</f>
        <v/>
      </c>
      <c r="G296" t="str">
        <f>IF('Extraction edi'!L299="","",'Extraction edi'!L299)</f>
        <v/>
      </c>
      <c r="H296" t="str">
        <f>IF('Extraction edi'!M299="","",'Extraction edi'!M299)</f>
        <v/>
      </c>
      <c r="I296" s="1" t="str">
        <f>IF('Extraction edi'!N306="","",'Extraction edi'!N306)</f>
        <v/>
      </c>
      <c r="J296" s="1" t="str">
        <f>IF('Extraction edi'!O306="","",'Extraction edi'!O306)</f>
        <v/>
      </c>
      <c r="K296" s="1" t="str">
        <f>IF('Extraction edi'!P306="","",'Extraction edi'!P306)</f>
        <v/>
      </c>
      <c r="L296" s="1" t="str">
        <f>IF('Extraction edi'!Q306="laquage RAL :","OUI","")</f>
        <v/>
      </c>
      <c r="M296" s="1" t="str">
        <f>IF('Extraction edi'!R306&lt;&gt;"",'Extraction edi'!R306,IF(G296="ALU blanc","S9016",""))</f>
        <v/>
      </c>
      <c r="N296" s="1" t="str">
        <f>IF('Extraction edi'!S306&lt;&gt;"",'Extraction edi'!S306,IF(G296="ALU blanc","S9016",""))</f>
        <v/>
      </c>
      <c r="O296" s="11" t="str">
        <f>IF('Extraction edi'!V306&lt;'Feuille commande'!$E$1,"DELAI NON COMPATIBLE",IF('Extraction edi'!V306="","",WORKDAY('Extraction edi'!V306,-10,Paramètrage!$G$2:$G$104)))</f>
        <v/>
      </c>
      <c r="P296" s="1" t="e">
        <f t="shared" si="4"/>
        <v>#VALUE!</v>
      </c>
    </row>
    <row r="297" spans="1:16" x14ac:dyDescent="0.25">
      <c r="A297" s="1" t="str">
        <f>IF(B297="","",CONCATENATE(B297,".",C297,"/Pos ",D297,"/",'Extraction edi'!G307))</f>
        <v/>
      </c>
      <c r="B297" s="1" t="str">
        <f>IF('Extraction edi'!A307="","",'Extraction edi'!A307)</f>
        <v/>
      </c>
      <c r="C297" s="1" t="str">
        <f>IF('Extraction edi'!B307="","",'Extraction edi'!B307)</f>
        <v/>
      </c>
      <c r="D297" s="1" t="str">
        <f>IF('Extraction edi'!H307="","",'Extraction edi'!H307)</f>
        <v/>
      </c>
      <c r="E297" s="1" t="str">
        <f>IF('Extraction edi'!I307="","",'Extraction edi'!I307)</f>
        <v/>
      </c>
      <c r="F297" t="str">
        <f>IF('Extraction edi'!K307="","",'Extraction edi'!K307)</f>
        <v/>
      </c>
      <c r="G297" t="str">
        <f>IF('Extraction edi'!L300="","",'Extraction edi'!L300)</f>
        <v/>
      </c>
      <c r="H297" t="str">
        <f>IF('Extraction edi'!M300="","",'Extraction edi'!M300)</f>
        <v/>
      </c>
      <c r="I297" s="1" t="str">
        <f>IF('Extraction edi'!N307="","",'Extraction edi'!N307)</f>
        <v/>
      </c>
      <c r="J297" s="1" t="str">
        <f>IF('Extraction edi'!O307="","",'Extraction edi'!O307)</f>
        <v/>
      </c>
      <c r="K297" s="1" t="str">
        <f>IF('Extraction edi'!P307="","",'Extraction edi'!P307)</f>
        <v/>
      </c>
      <c r="L297" s="1" t="str">
        <f>IF('Extraction edi'!Q307="laquage RAL :","OUI","")</f>
        <v/>
      </c>
      <c r="M297" s="1" t="str">
        <f>IF('Extraction edi'!R307&lt;&gt;"",'Extraction edi'!R307,IF(G297="ALU blanc","S9016",""))</f>
        <v/>
      </c>
      <c r="N297" s="1" t="str">
        <f>IF('Extraction edi'!S307&lt;&gt;"",'Extraction edi'!S307,IF(G297="ALU blanc","S9016",""))</f>
        <v/>
      </c>
      <c r="O297" s="11" t="str">
        <f>IF('Extraction edi'!V307&lt;'Feuille commande'!$E$1,"DELAI NON COMPATIBLE",IF('Extraction edi'!V307="","",WORKDAY('Extraction edi'!V307,-10,Paramètrage!$G$2:$G$104)))</f>
        <v/>
      </c>
      <c r="P297" s="1" t="e">
        <f t="shared" si="4"/>
        <v>#VALUE!</v>
      </c>
    </row>
    <row r="298" spans="1:16" x14ac:dyDescent="0.25">
      <c r="A298" s="1" t="str">
        <f>IF(B298="","",CONCATENATE(B298,".",C298,"/Pos ",D298,"/",'Extraction edi'!G308))</f>
        <v/>
      </c>
      <c r="B298" s="1" t="str">
        <f>IF('Extraction edi'!A308="","",'Extraction edi'!A308)</f>
        <v/>
      </c>
      <c r="C298" s="1" t="str">
        <f>IF('Extraction edi'!B308="","",'Extraction edi'!B308)</f>
        <v/>
      </c>
      <c r="D298" s="1" t="str">
        <f>IF('Extraction edi'!H308="","",'Extraction edi'!H308)</f>
        <v/>
      </c>
      <c r="E298" s="1" t="str">
        <f>IF('Extraction edi'!I308="","",'Extraction edi'!I308)</f>
        <v/>
      </c>
      <c r="F298" t="str">
        <f>IF('Extraction edi'!K308="","",'Extraction edi'!K308)</f>
        <v/>
      </c>
      <c r="G298" t="str">
        <f>IF('Extraction edi'!L301="","",'Extraction edi'!L301)</f>
        <v/>
      </c>
      <c r="H298" t="str">
        <f>IF('Extraction edi'!M301="","",'Extraction edi'!M301)</f>
        <v/>
      </c>
      <c r="I298" s="1" t="str">
        <f>IF('Extraction edi'!N308="","",'Extraction edi'!N308)</f>
        <v/>
      </c>
      <c r="J298" s="1" t="str">
        <f>IF('Extraction edi'!O308="","",'Extraction edi'!O308)</f>
        <v/>
      </c>
      <c r="K298" s="1" t="str">
        <f>IF('Extraction edi'!P308="","",'Extraction edi'!P308)</f>
        <v/>
      </c>
      <c r="L298" s="1" t="str">
        <f>IF('Extraction edi'!Q308="laquage RAL :","OUI","")</f>
        <v/>
      </c>
      <c r="M298" s="1" t="str">
        <f>IF('Extraction edi'!R308&lt;&gt;"",'Extraction edi'!R308,IF(G298="ALU blanc","S9016",""))</f>
        <v/>
      </c>
      <c r="N298" s="1" t="str">
        <f>IF('Extraction edi'!S308&lt;&gt;"",'Extraction edi'!S308,IF(G298="ALU blanc","S9016",""))</f>
        <v/>
      </c>
      <c r="O298" s="11" t="str">
        <f>IF('Extraction edi'!V308&lt;'Feuille commande'!$E$1,"DELAI NON COMPATIBLE",IF('Extraction edi'!V308="","",WORKDAY('Extraction edi'!V308,-10,Paramètrage!$G$2:$G$104)))</f>
        <v/>
      </c>
      <c r="P298" s="1" t="e">
        <f t="shared" si="4"/>
        <v>#VALUE!</v>
      </c>
    </row>
    <row r="299" spans="1:16" x14ac:dyDescent="0.25">
      <c r="A299" s="1" t="str">
        <f>IF(B299="","",CONCATENATE(B299,".",C299,"/Pos ",D299,"/",'Extraction edi'!G309))</f>
        <v/>
      </c>
      <c r="B299" s="1" t="str">
        <f>IF('Extraction edi'!A309="","",'Extraction edi'!A309)</f>
        <v/>
      </c>
      <c r="C299" s="1" t="str">
        <f>IF('Extraction edi'!B309="","",'Extraction edi'!B309)</f>
        <v/>
      </c>
      <c r="D299" s="1" t="str">
        <f>IF('Extraction edi'!H309="","",'Extraction edi'!H309)</f>
        <v/>
      </c>
      <c r="E299" s="1" t="str">
        <f>IF('Extraction edi'!I309="","",'Extraction edi'!I309)</f>
        <v/>
      </c>
      <c r="F299" t="str">
        <f>IF('Extraction edi'!K309="","",'Extraction edi'!K309)</f>
        <v/>
      </c>
      <c r="G299" t="str">
        <f>IF('Extraction edi'!L302="","",'Extraction edi'!L302)</f>
        <v/>
      </c>
      <c r="H299" t="str">
        <f>IF('Extraction edi'!M302="","",'Extraction edi'!M302)</f>
        <v/>
      </c>
      <c r="I299" s="1" t="str">
        <f>IF('Extraction edi'!N309="","",'Extraction edi'!N309)</f>
        <v/>
      </c>
      <c r="J299" s="1" t="str">
        <f>IF('Extraction edi'!O309="","",'Extraction edi'!O309)</f>
        <v/>
      </c>
      <c r="K299" s="1" t="str">
        <f>IF('Extraction edi'!P309="","",'Extraction edi'!P309)</f>
        <v/>
      </c>
      <c r="L299" s="1" t="str">
        <f>IF('Extraction edi'!Q309="laquage RAL :","OUI","")</f>
        <v/>
      </c>
      <c r="M299" s="1" t="str">
        <f>IF('Extraction edi'!R309&lt;&gt;"",'Extraction edi'!R309,IF(G299="ALU blanc","S9016",""))</f>
        <v/>
      </c>
      <c r="N299" s="1" t="str">
        <f>IF('Extraction edi'!S309&lt;&gt;"",'Extraction edi'!S309,IF(G299="ALU blanc","S9016",""))</f>
        <v/>
      </c>
      <c r="O299" s="11" t="str">
        <f>IF('Extraction edi'!V309&lt;'Feuille commande'!$E$1,"DELAI NON COMPATIBLE",IF('Extraction edi'!V309="","",WORKDAY('Extraction edi'!V309,-10,Paramètrage!$G$2:$G$104)))</f>
        <v/>
      </c>
      <c r="P299" s="1" t="e">
        <f t="shared" si="4"/>
        <v>#VALUE!</v>
      </c>
    </row>
    <row r="300" spans="1:16" x14ac:dyDescent="0.25">
      <c r="A300" s="1" t="str">
        <f>IF(B300="","",CONCATENATE(B300,".",C300,"/Pos ",D300,"/",'Extraction edi'!G310))</f>
        <v/>
      </c>
      <c r="B300" s="1" t="str">
        <f>IF('Extraction edi'!A310="","",'Extraction edi'!A310)</f>
        <v/>
      </c>
      <c r="C300" s="1" t="str">
        <f>IF('Extraction edi'!B310="","",'Extraction edi'!B310)</f>
        <v/>
      </c>
      <c r="D300" s="1" t="str">
        <f>IF('Extraction edi'!H310="","",'Extraction edi'!H310)</f>
        <v/>
      </c>
      <c r="E300" s="1" t="str">
        <f>IF('Extraction edi'!I310="","",'Extraction edi'!I310)</f>
        <v/>
      </c>
      <c r="F300" t="str">
        <f>IF('Extraction edi'!K310="","",'Extraction edi'!K310)</f>
        <v/>
      </c>
      <c r="G300" t="str">
        <f>IF('Extraction edi'!L303="","",'Extraction edi'!L303)</f>
        <v/>
      </c>
      <c r="H300" t="str">
        <f>IF('Extraction edi'!M303="","",'Extraction edi'!M303)</f>
        <v/>
      </c>
      <c r="I300" s="1" t="str">
        <f>IF('Extraction edi'!N310="","",'Extraction edi'!N310)</f>
        <v/>
      </c>
      <c r="J300" s="1" t="str">
        <f>IF('Extraction edi'!O310="","",'Extraction edi'!O310)</f>
        <v/>
      </c>
      <c r="K300" s="1" t="str">
        <f>IF('Extraction edi'!P310="","",'Extraction edi'!P310)</f>
        <v/>
      </c>
      <c r="L300" s="1" t="str">
        <f>IF('Extraction edi'!Q310="laquage RAL :","OUI","")</f>
        <v/>
      </c>
      <c r="M300" s="1" t="str">
        <f>IF('Extraction edi'!R310&lt;&gt;"",'Extraction edi'!R310,IF(G300="ALU blanc","S9016",""))</f>
        <v/>
      </c>
      <c r="N300" s="1" t="str">
        <f>IF('Extraction edi'!S310&lt;&gt;"",'Extraction edi'!S310,IF(G300="ALU blanc","S9016",""))</f>
        <v/>
      </c>
      <c r="O300" s="11" t="str">
        <f>IF('Extraction edi'!V310&lt;'Feuille commande'!$E$1,"DELAI NON COMPATIBLE",IF('Extraction edi'!V310="","",WORKDAY('Extraction edi'!V310,-10,Paramètrage!$G$2:$G$104)))</f>
        <v/>
      </c>
      <c r="P300" s="1" t="e">
        <f t="shared" si="4"/>
        <v>#VALUE!</v>
      </c>
    </row>
    <row r="301" spans="1:16" x14ac:dyDescent="0.25">
      <c r="A301" s="1" t="str">
        <f>IF(B301="","",CONCATENATE(B301,".",C301,"/Pos ",D301,"/",'Extraction edi'!G311))</f>
        <v/>
      </c>
      <c r="B301" s="1" t="str">
        <f>IF('Extraction edi'!A311="","",'Extraction edi'!A311)</f>
        <v/>
      </c>
      <c r="C301" s="1" t="str">
        <f>IF('Extraction edi'!B311="","",'Extraction edi'!B311)</f>
        <v/>
      </c>
      <c r="D301" s="1" t="str">
        <f>IF('Extraction edi'!H311="","",'Extraction edi'!H311)</f>
        <v/>
      </c>
      <c r="E301" s="1" t="str">
        <f>IF('Extraction edi'!I311="","",'Extraction edi'!I311)</f>
        <v/>
      </c>
      <c r="F301" t="str">
        <f>IF('Extraction edi'!K311="","",'Extraction edi'!K311)</f>
        <v/>
      </c>
      <c r="G301" t="str">
        <f>IF('Extraction edi'!L304="","",'Extraction edi'!L304)</f>
        <v/>
      </c>
      <c r="H301" t="str">
        <f>IF('Extraction edi'!M304="","",'Extraction edi'!M304)</f>
        <v/>
      </c>
      <c r="I301" s="1" t="str">
        <f>IF('Extraction edi'!N311="","",'Extraction edi'!N311)</f>
        <v/>
      </c>
      <c r="J301" s="1" t="str">
        <f>IF('Extraction edi'!O311="","",'Extraction edi'!O311)</f>
        <v/>
      </c>
      <c r="K301" s="1" t="str">
        <f>IF('Extraction edi'!P311="","",'Extraction edi'!P311)</f>
        <v/>
      </c>
      <c r="L301" s="1" t="str">
        <f>IF('Extraction edi'!Q311="laquage RAL :","OUI","")</f>
        <v/>
      </c>
      <c r="M301" s="1" t="str">
        <f>IF('Extraction edi'!R311&lt;&gt;"",'Extraction edi'!R311,IF(G301="ALU blanc","S9016",""))</f>
        <v/>
      </c>
      <c r="N301" s="1" t="str">
        <f>IF('Extraction edi'!S311&lt;&gt;"",'Extraction edi'!S311,IF(G301="ALU blanc","S9016",""))</f>
        <v/>
      </c>
      <c r="O301" s="11" t="str">
        <f>IF('Extraction edi'!V311&lt;'Feuille commande'!$E$1,"DELAI NON COMPATIBLE",IF('Extraction edi'!V311="","",WORKDAY('Extraction edi'!V311,-10,Paramètrage!$G$2:$G$104)))</f>
        <v/>
      </c>
      <c r="P301" s="1" t="e">
        <f t="shared" si="4"/>
        <v>#VALUE!</v>
      </c>
    </row>
    <row r="302" spans="1:16" x14ac:dyDescent="0.25">
      <c r="A302" s="1" t="str">
        <f>IF(B302="","",CONCATENATE(B302,".",C302,"/Pos ",D302,"/",'Extraction edi'!G312))</f>
        <v/>
      </c>
      <c r="B302" s="1" t="str">
        <f>IF('Extraction edi'!A312="","",'Extraction edi'!A312)</f>
        <v/>
      </c>
      <c r="C302" s="1" t="str">
        <f>IF('Extraction edi'!B312="","",'Extraction edi'!B312)</f>
        <v/>
      </c>
      <c r="D302" s="1" t="str">
        <f>IF('Extraction edi'!H312="","",'Extraction edi'!H312)</f>
        <v/>
      </c>
      <c r="E302" s="1" t="str">
        <f>IF('Extraction edi'!I312="","",'Extraction edi'!I312)</f>
        <v/>
      </c>
      <c r="F302" t="str">
        <f>IF('Extraction edi'!K312="","",'Extraction edi'!K312)</f>
        <v/>
      </c>
      <c r="G302" t="str">
        <f>IF('Extraction edi'!L305="","",'Extraction edi'!L305)</f>
        <v/>
      </c>
      <c r="H302" t="str">
        <f>IF('Extraction edi'!M305="","",'Extraction edi'!M305)</f>
        <v/>
      </c>
      <c r="I302" s="1" t="str">
        <f>IF('Extraction edi'!N312="","",'Extraction edi'!N312)</f>
        <v/>
      </c>
      <c r="J302" s="1" t="str">
        <f>IF('Extraction edi'!O312="","",'Extraction edi'!O312)</f>
        <v/>
      </c>
      <c r="K302" s="1" t="str">
        <f>IF('Extraction edi'!P312="","",'Extraction edi'!P312)</f>
        <v/>
      </c>
      <c r="L302" s="1" t="str">
        <f>IF('Extraction edi'!Q312="laquage RAL :","OUI","")</f>
        <v/>
      </c>
      <c r="M302" s="1" t="str">
        <f>IF('Extraction edi'!R312&lt;&gt;"",'Extraction edi'!R312,IF(G302="ALU blanc","S9016",""))</f>
        <v/>
      </c>
      <c r="N302" s="1" t="str">
        <f>IF('Extraction edi'!S312&lt;&gt;"",'Extraction edi'!S312,IF(G302="ALU blanc","S9016",""))</f>
        <v/>
      </c>
      <c r="O302" s="11" t="str">
        <f>IF('Extraction edi'!V312&lt;'Feuille commande'!$E$1,"DELAI NON COMPATIBLE",IF('Extraction edi'!V312="","",WORKDAY('Extraction edi'!V312,-10,Paramètrage!$G$2:$G$104)))</f>
        <v/>
      </c>
      <c r="P302" s="1" t="e">
        <f t="shared" si="4"/>
        <v>#VALUE!</v>
      </c>
    </row>
    <row r="303" spans="1:16" x14ac:dyDescent="0.25">
      <c r="A303" s="1" t="str">
        <f>IF(B303="","",CONCATENATE(B303,".",C303,"/Pos ",D303,"/",'Extraction edi'!G313))</f>
        <v/>
      </c>
      <c r="B303" s="1" t="str">
        <f>IF('Extraction edi'!A313="","",'Extraction edi'!A313)</f>
        <v/>
      </c>
      <c r="C303" s="1" t="str">
        <f>IF('Extraction edi'!B313="","",'Extraction edi'!B313)</f>
        <v/>
      </c>
      <c r="D303" s="1" t="str">
        <f>IF('Extraction edi'!H313="","",'Extraction edi'!H313)</f>
        <v/>
      </c>
      <c r="E303" s="1" t="str">
        <f>IF('Extraction edi'!I313="","",'Extraction edi'!I313)</f>
        <v/>
      </c>
      <c r="F303" t="str">
        <f>IF('Extraction edi'!K313="","",'Extraction edi'!K313)</f>
        <v/>
      </c>
      <c r="G303" t="str">
        <f>IF('Extraction edi'!L306="","",'Extraction edi'!L306)</f>
        <v/>
      </c>
      <c r="H303" t="str">
        <f>IF('Extraction edi'!M306="","",'Extraction edi'!M306)</f>
        <v/>
      </c>
      <c r="I303" s="1" t="str">
        <f>IF('Extraction edi'!N313="","",'Extraction edi'!N313)</f>
        <v/>
      </c>
      <c r="J303" s="1" t="str">
        <f>IF('Extraction edi'!O313="","",'Extraction edi'!O313)</f>
        <v/>
      </c>
      <c r="K303" s="1" t="str">
        <f>IF('Extraction edi'!P313="","",'Extraction edi'!P313)</f>
        <v/>
      </c>
      <c r="L303" s="1" t="str">
        <f>IF('Extraction edi'!Q313="laquage RAL :","OUI","")</f>
        <v/>
      </c>
      <c r="M303" s="1" t="str">
        <f>IF('Extraction edi'!R313&lt;&gt;"",'Extraction edi'!R313,IF(G303="ALU blanc","S9016",""))</f>
        <v/>
      </c>
      <c r="N303" s="1" t="str">
        <f>IF('Extraction edi'!S313&lt;&gt;"",'Extraction edi'!S313,IF(G303="ALU blanc","S9016",""))</f>
        <v/>
      </c>
      <c r="O303" s="11" t="str">
        <f>IF('Extraction edi'!V313&lt;'Feuille commande'!$E$1,"DELAI NON COMPATIBLE",IF('Extraction edi'!V313="","",WORKDAY('Extraction edi'!V313,-10,Paramètrage!$G$2:$G$104)))</f>
        <v/>
      </c>
      <c r="P303" s="1" t="e">
        <f t="shared" si="4"/>
        <v>#VALUE!</v>
      </c>
    </row>
    <row r="304" spans="1:16" x14ac:dyDescent="0.25">
      <c r="A304" s="1" t="str">
        <f>IF(B304="","",CONCATENATE(B304,".",C304,"/Pos ",D304,"/",'Extraction edi'!G314))</f>
        <v/>
      </c>
      <c r="B304" s="1" t="str">
        <f>IF('Extraction edi'!A314="","",'Extraction edi'!A314)</f>
        <v/>
      </c>
      <c r="C304" s="1" t="str">
        <f>IF('Extraction edi'!B314="","",'Extraction edi'!B314)</f>
        <v/>
      </c>
      <c r="D304" s="1" t="str">
        <f>IF('Extraction edi'!H314="","",'Extraction edi'!H314)</f>
        <v/>
      </c>
      <c r="E304" s="1" t="str">
        <f>IF('Extraction edi'!I314="","",'Extraction edi'!I314)</f>
        <v/>
      </c>
      <c r="F304" t="str">
        <f>IF('Extraction edi'!K314="","",'Extraction edi'!K314)</f>
        <v/>
      </c>
      <c r="G304" t="str">
        <f>IF('Extraction edi'!L307="","",'Extraction edi'!L307)</f>
        <v/>
      </c>
      <c r="H304" t="str">
        <f>IF('Extraction edi'!M307="","",'Extraction edi'!M307)</f>
        <v/>
      </c>
      <c r="I304" s="1" t="str">
        <f>IF('Extraction edi'!N314="","",'Extraction edi'!N314)</f>
        <v/>
      </c>
      <c r="J304" s="1" t="str">
        <f>IF('Extraction edi'!O314="","",'Extraction edi'!O314)</f>
        <v/>
      </c>
      <c r="K304" s="1" t="str">
        <f>IF('Extraction edi'!P314="","",'Extraction edi'!P314)</f>
        <v/>
      </c>
      <c r="L304" s="1" t="str">
        <f>IF('Extraction edi'!Q314="laquage RAL :","OUI","")</f>
        <v/>
      </c>
      <c r="M304" s="1" t="str">
        <f>IF('Extraction edi'!R314&lt;&gt;"",'Extraction edi'!R314,IF(G304="ALU blanc","S9016",""))</f>
        <v/>
      </c>
      <c r="N304" s="1" t="str">
        <f>IF('Extraction edi'!S314&lt;&gt;"",'Extraction edi'!S314,IF(G304="ALU blanc","S9016",""))</f>
        <v/>
      </c>
      <c r="O304" s="11" t="str">
        <f>IF('Extraction edi'!V314&lt;'Feuille commande'!$E$1,"DELAI NON COMPATIBLE",IF('Extraction edi'!V314="","",WORKDAY('Extraction edi'!V314,-10,Paramètrage!$G$2:$G$104)))</f>
        <v/>
      </c>
      <c r="P304" s="1" t="e">
        <f t="shared" si="4"/>
        <v>#VALUE!</v>
      </c>
    </row>
    <row r="305" spans="1:16" x14ac:dyDescent="0.25">
      <c r="A305" s="1" t="str">
        <f>IF(B305="","",CONCATENATE(B305,".",C305,"/Pos ",D305,"/",'Extraction edi'!G315))</f>
        <v/>
      </c>
      <c r="B305" s="1" t="str">
        <f>IF('Extraction edi'!A315="","",'Extraction edi'!A315)</f>
        <v/>
      </c>
      <c r="C305" s="1" t="str">
        <f>IF('Extraction edi'!B315="","",'Extraction edi'!B315)</f>
        <v/>
      </c>
      <c r="D305" s="1" t="str">
        <f>IF('Extraction edi'!H315="","",'Extraction edi'!H315)</f>
        <v/>
      </c>
      <c r="E305" s="1" t="str">
        <f>IF('Extraction edi'!I315="","",'Extraction edi'!I315)</f>
        <v/>
      </c>
      <c r="F305" t="str">
        <f>IF('Extraction edi'!K315="","",'Extraction edi'!K315)</f>
        <v/>
      </c>
      <c r="G305" t="str">
        <f>IF('Extraction edi'!L308="","",'Extraction edi'!L308)</f>
        <v/>
      </c>
      <c r="H305" t="str">
        <f>IF('Extraction edi'!M308="","",'Extraction edi'!M308)</f>
        <v/>
      </c>
      <c r="I305" s="1" t="str">
        <f>IF('Extraction edi'!N315="","",'Extraction edi'!N315)</f>
        <v/>
      </c>
      <c r="J305" s="1" t="str">
        <f>IF('Extraction edi'!O315="","",'Extraction edi'!O315)</f>
        <v/>
      </c>
      <c r="K305" s="1" t="str">
        <f>IF('Extraction edi'!P315="","",'Extraction edi'!P315)</f>
        <v/>
      </c>
      <c r="L305" s="1" t="str">
        <f>IF('Extraction edi'!Q315="laquage RAL :","OUI","")</f>
        <v/>
      </c>
      <c r="M305" s="1" t="str">
        <f>IF('Extraction edi'!R315&lt;&gt;"",'Extraction edi'!R315,IF(G305="ALU blanc","S9016",""))</f>
        <v/>
      </c>
      <c r="N305" s="1" t="str">
        <f>IF('Extraction edi'!S315&lt;&gt;"",'Extraction edi'!S315,IF(G305="ALU blanc","S9016",""))</f>
        <v/>
      </c>
      <c r="O305" s="11" t="str">
        <f>IF('Extraction edi'!V315&lt;'Feuille commande'!$E$1,"DELAI NON COMPATIBLE",IF('Extraction edi'!V315="","",WORKDAY('Extraction edi'!V315,-10,Paramètrage!$G$2:$G$104)))</f>
        <v/>
      </c>
      <c r="P305" s="1" t="e">
        <f t="shared" si="4"/>
        <v>#VALUE!</v>
      </c>
    </row>
    <row r="306" spans="1:16" x14ac:dyDescent="0.25">
      <c r="A306" s="1" t="str">
        <f>IF(B306="","",CONCATENATE(B306,".",C306,"/Pos ",D306,"/",'Extraction edi'!G316))</f>
        <v/>
      </c>
      <c r="B306" s="1" t="str">
        <f>IF('Extraction edi'!A316="","",'Extraction edi'!A316)</f>
        <v/>
      </c>
      <c r="C306" s="1" t="str">
        <f>IF('Extraction edi'!B316="","",'Extraction edi'!B316)</f>
        <v/>
      </c>
      <c r="D306" s="1" t="str">
        <f>IF('Extraction edi'!H316="","",'Extraction edi'!H316)</f>
        <v/>
      </c>
      <c r="E306" s="1" t="str">
        <f>IF('Extraction edi'!I316="","",'Extraction edi'!I316)</f>
        <v/>
      </c>
      <c r="F306" t="str">
        <f>IF('Extraction edi'!K316="","",'Extraction edi'!K316)</f>
        <v/>
      </c>
      <c r="G306" t="str">
        <f>IF('Extraction edi'!L309="","",'Extraction edi'!L309)</f>
        <v/>
      </c>
      <c r="H306" t="str">
        <f>IF('Extraction edi'!M309="","",'Extraction edi'!M309)</f>
        <v/>
      </c>
      <c r="I306" s="1" t="str">
        <f>IF('Extraction edi'!N316="","",'Extraction edi'!N316)</f>
        <v/>
      </c>
      <c r="J306" s="1" t="str">
        <f>IF('Extraction edi'!O316="","",'Extraction edi'!O316)</f>
        <v/>
      </c>
      <c r="K306" s="1" t="str">
        <f>IF('Extraction edi'!P316="","",'Extraction edi'!P316)</f>
        <v/>
      </c>
      <c r="L306" s="1" t="str">
        <f>IF('Extraction edi'!Q316="laquage RAL :","OUI","")</f>
        <v/>
      </c>
      <c r="M306" s="1" t="str">
        <f>IF('Extraction edi'!R316&lt;&gt;"",'Extraction edi'!R316,IF(G306="ALU blanc","S9016",""))</f>
        <v/>
      </c>
      <c r="N306" s="1" t="str">
        <f>IF('Extraction edi'!S316&lt;&gt;"",'Extraction edi'!S316,IF(G306="ALU blanc","S9016",""))</f>
        <v/>
      </c>
      <c r="O306" s="11" t="str">
        <f>IF('Extraction edi'!V316&lt;'Feuille commande'!$E$1,"DELAI NON COMPATIBLE",IF('Extraction edi'!V316="","",WORKDAY('Extraction edi'!V316,-10,Paramètrage!$G$2:$G$104)))</f>
        <v/>
      </c>
      <c r="P306" s="1" t="e">
        <f t="shared" si="4"/>
        <v>#VALUE!</v>
      </c>
    </row>
    <row r="307" spans="1:16" x14ac:dyDescent="0.25">
      <c r="A307" s="1" t="str">
        <f>IF(B307="","",CONCATENATE(B307,".",C307,"/Pos ",D307,"/",'Extraction edi'!G317))</f>
        <v/>
      </c>
      <c r="B307" s="1" t="str">
        <f>IF('Extraction edi'!A317="","",'Extraction edi'!A317)</f>
        <v/>
      </c>
      <c r="C307" s="1" t="str">
        <f>IF('Extraction edi'!B317="","",'Extraction edi'!B317)</f>
        <v/>
      </c>
      <c r="D307" s="1" t="str">
        <f>IF('Extraction edi'!H317="","",'Extraction edi'!H317)</f>
        <v/>
      </c>
      <c r="E307" s="1" t="str">
        <f>IF('Extraction edi'!I317="","",'Extraction edi'!I317)</f>
        <v/>
      </c>
      <c r="F307" t="str">
        <f>IF('Extraction edi'!K317="","",'Extraction edi'!K317)</f>
        <v/>
      </c>
      <c r="G307" t="str">
        <f>IF('Extraction edi'!L310="","",'Extraction edi'!L310)</f>
        <v/>
      </c>
      <c r="H307" t="str">
        <f>IF('Extraction edi'!M310="","",'Extraction edi'!M310)</f>
        <v/>
      </c>
      <c r="I307" s="1" t="str">
        <f>IF('Extraction edi'!N317="","",'Extraction edi'!N317)</f>
        <v/>
      </c>
      <c r="J307" s="1" t="str">
        <f>IF('Extraction edi'!O317="","",'Extraction edi'!O317)</f>
        <v/>
      </c>
      <c r="K307" s="1" t="str">
        <f>IF('Extraction edi'!P317="","",'Extraction edi'!P317)</f>
        <v/>
      </c>
      <c r="L307" s="1" t="str">
        <f>IF('Extraction edi'!Q317="laquage RAL :","OUI","")</f>
        <v/>
      </c>
      <c r="M307" s="1" t="str">
        <f>IF('Extraction edi'!R317&lt;&gt;"",'Extraction edi'!R317,IF(G307="ALU blanc","S9016",""))</f>
        <v/>
      </c>
      <c r="N307" s="1" t="str">
        <f>IF('Extraction edi'!S317&lt;&gt;"",'Extraction edi'!S317,IF(G307="ALU blanc","S9016",""))</f>
        <v/>
      </c>
      <c r="O307" s="11" t="str">
        <f>IF('Extraction edi'!V317&lt;'Feuille commande'!$E$1,"DELAI NON COMPATIBLE",IF('Extraction edi'!V317="","",WORKDAY('Extraction edi'!V317,-10,Paramètrage!$G$2:$G$104)))</f>
        <v/>
      </c>
      <c r="P307" s="1" t="e">
        <f t="shared" si="4"/>
        <v>#VALUE!</v>
      </c>
    </row>
    <row r="308" spans="1:16" x14ac:dyDescent="0.25">
      <c r="A308" s="1" t="str">
        <f>IF(B308="","",CONCATENATE(B308,".",C308,"/Pos ",D308,"/",'Extraction edi'!G318))</f>
        <v/>
      </c>
      <c r="B308" s="1" t="str">
        <f>IF('Extraction edi'!A318="","",'Extraction edi'!A318)</f>
        <v/>
      </c>
      <c r="C308" s="1" t="str">
        <f>IF('Extraction edi'!B318="","",'Extraction edi'!B318)</f>
        <v/>
      </c>
      <c r="D308" s="1" t="str">
        <f>IF('Extraction edi'!H318="","",'Extraction edi'!H318)</f>
        <v/>
      </c>
      <c r="E308" s="1" t="str">
        <f>IF('Extraction edi'!I318="","",'Extraction edi'!I318)</f>
        <v/>
      </c>
      <c r="F308" t="str">
        <f>IF('Extraction edi'!K318="","",'Extraction edi'!K318)</f>
        <v/>
      </c>
      <c r="G308" t="str">
        <f>IF('Extraction edi'!L311="","",'Extraction edi'!L311)</f>
        <v/>
      </c>
      <c r="H308" t="str">
        <f>IF('Extraction edi'!M311="","",'Extraction edi'!M311)</f>
        <v/>
      </c>
      <c r="I308" s="1" t="str">
        <f>IF('Extraction edi'!N318="","",'Extraction edi'!N318)</f>
        <v/>
      </c>
      <c r="J308" s="1" t="str">
        <f>IF('Extraction edi'!O318="","",'Extraction edi'!O318)</f>
        <v/>
      </c>
      <c r="K308" s="1" t="str">
        <f>IF('Extraction edi'!P318="","",'Extraction edi'!P318)</f>
        <v/>
      </c>
      <c r="L308" s="1" t="str">
        <f>IF('Extraction edi'!Q318="laquage RAL :","OUI","")</f>
        <v/>
      </c>
      <c r="M308" s="1" t="str">
        <f>IF('Extraction edi'!R318&lt;&gt;"",'Extraction edi'!R318,IF(G308="ALU blanc","S9016",""))</f>
        <v/>
      </c>
      <c r="N308" s="1" t="str">
        <f>IF('Extraction edi'!S318&lt;&gt;"",'Extraction edi'!S318,IF(G308="ALU blanc","S9016",""))</f>
        <v/>
      </c>
      <c r="O308" s="11" t="str">
        <f>IF('Extraction edi'!V318&lt;'Feuille commande'!$E$1,"DELAI NON COMPATIBLE",IF('Extraction edi'!V318="","",WORKDAY('Extraction edi'!V318,-10,Paramètrage!$G$2:$G$104)))</f>
        <v/>
      </c>
      <c r="P308" s="1" t="e">
        <f t="shared" si="4"/>
        <v>#VALUE!</v>
      </c>
    </row>
    <row r="309" spans="1:16" x14ac:dyDescent="0.25">
      <c r="A309" s="1" t="str">
        <f>IF(B309="","",CONCATENATE(B309,".",C309,"/Pos ",D309,"/",'Extraction edi'!G319))</f>
        <v/>
      </c>
      <c r="B309" s="1" t="str">
        <f>IF('Extraction edi'!A319="","",'Extraction edi'!A319)</f>
        <v/>
      </c>
      <c r="C309" s="1" t="str">
        <f>IF('Extraction edi'!B319="","",'Extraction edi'!B319)</f>
        <v/>
      </c>
      <c r="D309" s="1" t="str">
        <f>IF('Extraction edi'!H319="","",'Extraction edi'!H319)</f>
        <v/>
      </c>
      <c r="E309" s="1" t="str">
        <f>IF('Extraction edi'!I319="","",'Extraction edi'!I319)</f>
        <v/>
      </c>
      <c r="F309" t="str">
        <f>IF('Extraction edi'!K319="","",'Extraction edi'!K319)</f>
        <v/>
      </c>
      <c r="G309" t="str">
        <f>IF('Extraction edi'!L312="","",'Extraction edi'!L312)</f>
        <v/>
      </c>
      <c r="H309" t="str">
        <f>IF('Extraction edi'!M312="","",'Extraction edi'!M312)</f>
        <v/>
      </c>
      <c r="I309" s="1" t="str">
        <f>IF('Extraction edi'!N319="","",'Extraction edi'!N319)</f>
        <v/>
      </c>
      <c r="J309" s="1" t="str">
        <f>IF('Extraction edi'!O319="","",'Extraction edi'!O319)</f>
        <v/>
      </c>
      <c r="K309" s="1" t="str">
        <f>IF('Extraction edi'!P319="","",'Extraction edi'!P319)</f>
        <v/>
      </c>
      <c r="L309" s="1" t="str">
        <f>IF('Extraction edi'!Q319="laquage RAL :","OUI","")</f>
        <v/>
      </c>
      <c r="M309" s="1" t="str">
        <f>IF('Extraction edi'!R319&lt;&gt;"",'Extraction edi'!R319,IF(G309="ALU blanc","S9016",""))</f>
        <v/>
      </c>
      <c r="N309" s="1" t="str">
        <f>IF('Extraction edi'!S319&lt;&gt;"",'Extraction edi'!S319,IF(G309="ALU blanc","S9016",""))</f>
        <v/>
      </c>
      <c r="O309" s="11" t="str">
        <f>IF('Extraction edi'!V319&lt;'Feuille commande'!$E$1,"DELAI NON COMPATIBLE",IF('Extraction edi'!V319="","",WORKDAY('Extraction edi'!V319,-10,Paramètrage!$G$2:$G$104)))</f>
        <v/>
      </c>
      <c r="P309" s="1" t="e">
        <f t="shared" si="4"/>
        <v>#VALUE!</v>
      </c>
    </row>
    <row r="310" spans="1:16" x14ac:dyDescent="0.25">
      <c r="A310" s="1" t="str">
        <f>IF(B310="","",CONCATENATE(B310,".",C310,"/Pos ",D310,"/",'Extraction edi'!G320))</f>
        <v/>
      </c>
      <c r="B310" s="1" t="str">
        <f>IF('Extraction edi'!A320="","",'Extraction edi'!A320)</f>
        <v/>
      </c>
      <c r="C310" s="1" t="str">
        <f>IF('Extraction edi'!B320="","",'Extraction edi'!B320)</f>
        <v/>
      </c>
      <c r="D310" s="1" t="str">
        <f>IF('Extraction edi'!H320="","",'Extraction edi'!H320)</f>
        <v/>
      </c>
      <c r="E310" s="1" t="str">
        <f>IF('Extraction edi'!I320="","",'Extraction edi'!I320)</f>
        <v/>
      </c>
      <c r="F310" t="str">
        <f>IF('Extraction edi'!K320="","",'Extraction edi'!K320)</f>
        <v/>
      </c>
      <c r="G310" t="str">
        <f>IF('Extraction edi'!L313="","",'Extraction edi'!L313)</f>
        <v/>
      </c>
      <c r="H310" t="str">
        <f>IF('Extraction edi'!M313="","",'Extraction edi'!M313)</f>
        <v/>
      </c>
      <c r="I310" s="1" t="str">
        <f>IF('Extraction edi'!N320="","",'Extraction edi'!N320)</f>
        <v/>
      </c>
      <c r="J310" s="1" t="str">
        <f>IF('Extraction edi'!O320="","",'Extraction edi'!O320)</f>
        <v/>
      </c>
      <c r="K310" s="1" t="str">
        <f>IF('Extraction edi'!P320="","",'Extraction edi'!P320)</f>
        <v/>
      </c>
      <c r="L310" s="1" t="str">
        <f>IF('Extraction edi'!Q320="laquage RAL :","OUI","")</f>
        <v/>
      </c>
      <c r="M310" s="1" t="str">
        <f>IF('Extraction edi'!R320&lt;&gt;"",'Extraction edi'!R320,IF(G310="ALU blanc","S9016",""))</f>
        <v/>
      </c>
      <c r="N310" s="1" t="str">
        <f>IF('Extraction edi'!S320&lt;&gt;"",'Extraction edi'!S320,IF(G310="ALU blanc","S9016",""))</f>
        <v/>
      </c>
      <c r="O310" s="11" t="str">
        <f>IF('Extraction edi'!V320&lt;'Feuille commande'!$E$1,"DELAI NON COMPATIBLE",IF('Extraction edi'!V320="","",WORKDAY('Extraction edi'!V320,-10,Paramètrage!$G$2:$G$104)))</f>
        <v/>
      </c>
      <c r="P310" s="1" t="e">
        <f t="shared" si="4"/>
        <v>#VALUE!</v>
      </c>
    </row>
    <row r="311" spans="1:16" x14ac:dyDescent="0.25">
      <c r="A311" s="1" t="str">
        <f>IF(B311="","",CONCATENATE(B311,".",C311,"/Pos ",D311,"/",'Extraction edi'!G321))</f>
        <v/>
      </c>
      <c r="B311" s="1" t="str">
        <f>IF('Extraction edi'!A321="","",'Extraction edi'!A321)</f>
        <v/>
      </c>
      <c r="C311" s="1" t="str">
        <f>IF('Extraction edi'!B321="","",'Extraction edi'!B321)</f>
        <v/>
      </c>
      <c r="D311" s="1" t="str">
        <f>IF('Extraction edi'!H321="","",'Extraction edi'!H321)</f>
        <v/>
      </c>
      <c r="E311" s="1" t="str">
        <f>IF('Extraction edi'!I321="","",'Extraction edi'!I321)</f>
        <v/>
      </c>
      <c r="F311" t="str">
        <f>IF('Extraction edi'!K321="","",'Extraction edi'!K321)</f>
        <v/>
      </c>
      <c r="G311" t="str">
        <f>IF('Extraction edi'!L314="","",'Extraction edi'!L314)</f>
        <v/>
      </c>
      <c r="H311" t="str">
        <f>IF('Extraction edi'!M314="","",'Extraction edi'!M314)</f>
        <v/>
      </c>
      <c r="I311" s="1" t="str">
        <f>IF('Extraction edi'!N321="","",'Extraction edi'!N321)</f>
        <v/>
      </c>
      <c r="J311" s="1" t="str">
        <f>IF('Extraction edi'!O321="","",'Extraction edi'!O321)</f>
        <v/>
      </c>
      <c r="K311" s="1" t="str">
        <f>IF('Extraction edi'!P321="","",'Extraction edi'!P321)</f>
        <v/>
      </c>
      <c r="L311" s="1" t="str">
        <f>IF('Extraction edi'!Q321="laquage RAL :","OUI","")</f>
        <v/>
      </c>
      <c r="M311" s="1" t="str">
        <f>IF('Extraction edi'!R321&lt;&gt;"",'Extraction edi'!R321,IF(G311="ALU blanc","S9016",""))</f>
        <v/>
      </c>
      <c r="N311" s="1" t="str">
        <f>IF('Extraction edi'!S321&lt;&gt;"",'Extraction edi'!S321,IF(G311="ALU blanc","S9016",""))</f>
        <v/>
      </c>
      <c r="O311" s="11" t="str">
        <f>IF('Extraction edi'!V321&lt;'Feuille commande'!$E$1,"DELAI NON COMPATIBLE",IF('Extraction edi'!V321="","",WORKDAY('Extraction edi'!V321,-10,Paramètrage!$G$2:$G$104)))</f>
        <v/>
      </c>
      <c r="P311" s="1" t="e">
        <f t="shared" si="4"/>
        <v>#VALUE!</v>
      </c>
    </row>
    <row r="312" spans="1:16" x14ac:dyDescent="0.25">
      <c r="A312" s="1" t="str">
        <f>IF(B312="","",CONCATENATE(B312,".",C312,"/Pos ",D312,"/",'Extraction edi'!G322))</f>
        <v/>
      </c>
      <c r="B312" s="1" t="str">
        <f>IF('Extraction edi'!A322="","",'Extraction edi'!A322)</f>
        <v/>
      </c>
      <c r="C312" s="1" t="str">
        <f>IF('Extraction edi'!B322="","",'Extraction edi'!B322)</f>
        <v/>
      </c>
      <c r="D312" s="1" t="str">
        <f>IF('Extraction edi'!H322="","",'Extraction edi'!H322)</f>
        <v/>
      </c>
      <c r="E312" s="1" t="str">
        <f>IF('Extraction edi'!I322="","",'Extraction edi'!I322)</f>
        <v/>
      </c>
      <c r="F312" t="str">
        <f>IF('Extraction edi'!K322="","",'Extraction edi'!K322)</f>
        <v/>
      </c>
      <c r="G312" t="str">
        <f>IF('Extraction edi'!L315="","",'Extraction edi'!L315)</f>
        <v/>
      </c>
      <c r="H312" t="str">
        <f>IF('Extraction edi'!M315="","",'Extraction edi'!M315)</f>
        <v/>
      </c>
      <c r="I312" s="1" t="str">
        <f>IF('Extraction edi'!N322="","",'Extraction edi'!N322)</f>
        <v/>
      </c>
      <c r="J312" s="1" t="str">
        <f>IF('Extraction edi'!O322="","",'Extraction edi'!O322)</f>
        <v/>
      </c>
      <c r="K312" s="1" t="str">
        <f>IF('Extraction edi'!P322="","",'Extraction edi'!P322)</f>
        <v/>
      </c>
      <c r="L312" s="1" t="str">
        <f>IF('Extraction edi'!Q322="laquage RAL :","OUI","")</f>
        <v/>
      </c>
      <c r="M312" s="1" t="str">
        <f>IF('Extraction edi'!R322&lt;&gt;"",'Extraction edi'!R322,IF(G312="ALU blanc","S9016",""))</f>
        <v/>
      </c>
      <c r="N312" s="1" t="str">
        <f>IF('Extraction edi'!S322&lt;&gt;"",'Extraction edi'!S322,IF(G312="ALU blanc","S9016",""))</f>
        <v/>
      </c>
      <c r="O312" s="11" t="str">
        <f>IF('Extraction edi'!V322&lt;'Feuille commande'!$E$1,"DELAI NON COMPATIBLE",IF('Extraction edi'!V322="","",WORKDAY('Extraction edi'!V322,-10,Paramètrage!$G$2:$G$104)))</f>
        <v/>
      </c>
      <c r="P312" s="1" t="e">
        <f t="shared" si="4"/>
        <v>#VALUE!</v>
      </c>
    </row>
    <row r="313" spans="1:16" x14ac:dyDescent="0.25">
      <c r="A313" s="1" t="str">
        <f>IF(B313="","",CONCATENATE(B313,".",C313,"/Pos ",D313,"/",'Extraction edi'!G323))</f>
        <v/>
      </c>
      <c r="B313" s="1" t="str">
        <f>IF('Extraction edi'!A323="","",'Extraction edi'!A323)</f>
        <v/>
      </c>
      <c r="C313" s="1" t="str">
        <f>IF('Extraction edi'!B323="","",'Extraction edi'!B323)</f>
        <v/>
      </c>
      <c r="D313" s="1" t="str">
        <f>IF('Extraction edi'!H323="","",'Extraction edi'!H323)</f>
        <v/>
      </c>
      <c r="E313" s="1" t="str">
        <f>IF('Extraction edi'!I323="","",'Extraction edi'!I323)</f>
        <v/>
      </c>
      <c r="F313" t="str">
        <f>IF('Extraction edi'!K323="","",'Extraction edi'!K323)</f>
        <v/>
      </c>
      <c r="G313" t="str">
        <f>IF('Extraction edi'!L316="","",'Extraction edi'!L316)</f>
        <v/>
      </c>
      <c r="H313" t="str">
        <f>IF('Extraction edi'!M316="","",'Extraction edi'!M316)</f>
        <v/>
      </c>
      <c r="I313" s="1" t="str">
        <f>IF('Extraction edi'!N323="","",'Extraction edi'!N323)</f>
        <v/>
      </c>
      <c r="J313" s="1" t="str">
        <f>IF('Extraction edi'!O323="","",'Extraction edi'!O323)</f>
        <v/>
      </c>
      <c r="K313" s="1" t="str">
        <f>IF('Extraction edi'!P323="","",'Extraction edi'!P323)</f>
        <v/>
      </c>
      <c r="L313" s="1" t="str">
        <f>IF('Extraction edi'!Q323="laquage RAL :","OUI","")</f>
        <v/>
      </c>
      <c r="M313" s="1" t="str">
        <f>IF('Extraction edi'!R323&lt;&gt;"",'Extraction edi'!R323,IF(G313="ALU blanc","S9016",""))</f>
        <v/>
      </c>
      <c r="N313" s="1" t="str">
        <f>IF('Extraction edi'!S323&lt;&gt;"",'Extraction edi'!S323,IF(G313="ALU blanc","S9016",""))</f>
        <v/>
      </c>
      <c r="O313" s="11" t="str">
        <f>IF('Extraction edi'!V323&lt;'Feuille commande'!$E$1,"DELAI NON COMPATIBLE",IF('Extraction edi'!V323="","",WORKDAY('Extraction edi'!V323,-10,Paramètrage!$G$2:$G$104)))</f>
        <v/>
      </c>
      <c r="P313" s="1" t="e">
        <f t="shared" si="4"/>
        <v>#VALUE!</v>
      </c>
    </row>
    <row r="314" spans="1:16" x14ac:dyDescent="0.25">
      <c r="A314" s="1" t="str">
        <f>IF(B314="","",CONCATENATE(B314,".",C314,"/Pos ",D314,"/",'Extraction edi'!G324))</f>
        <v/>
      </c>
      <c r="B314" s="1" t="str">
        <f>IF('Extraction edi'!A324="","",'Extraction edi'!A324)</f>
        <v/>
      </c>
      <c r="C314" s="1" t="str">
        <f>IF('Extraction edi'!B324="","",'Extraction edi'!B324)</f>
        <v/>
      </c>
      <c r="D314" s="1" t="str">
        <f>IF('Extraction edi'!H324="","",'Extraction edi'!H324)</f>
        <v/>
      </c>
      <c r="E314" s="1" t="str">
        <f>IF('Extraction edi'!I324="","",'Extraction edi'!I324)</f>
        <v/>
      </c>
      <c r="F314" t="str">
        <f>IF('Extraction edi'!K324="","",'Extraction edi'!K324)</f>
        <v/>
      </c>
      <c r="G314" t="str">
        <f>IF('Extraction edi'!L317="","",'Extraction edi'!L317)</f>
        <v/>
      </c>
      <c r="H314" t="str">
        <f>IF('Extraction edi'!M317="","",'Extraction edi'!M317)</f>
        <v/>
      </c>
      <c r="I314" s="1" t="str">
        <f>IF('Extraction edi'!N324="","",'Extraction edi'!N324)</f>
        <v/>
      </c>
      <c r="J314" s="1" t="str">
        <f>IF('Extraction edi'!O324="","",'Extraction edi'!O324)</f>
        <v/>
      </c>
      <c r="K314" s="1" t="str">
        <f>IF('Extraction edi'!P324="","",'Extraction edi'!P324)</f>
        <v/>
      </c>
      <c r="L314" s="1" t="str">
        <f>IF('Extraction edi'!Q324="laquage RAL :","OUI","")</f>
        <v/>
      </c>
      <c r="M314" s="1" t="str">
        <f>IF('Extraction edi'!R324&lt;&gt;"",'Extraction edi'!R324,IF(G314="ALU blanc","S9016",""))</f>
        <v/>
      </c>
      <c r="N314" s="1" t="str">
        <f>IF('Extraction edi'!S324&lt;&gt;"",'Extraction edi'!S324,IF(G314="ALU blanc","S9016",""))</f>
        <v/>
      </c>
      <c r="O314" s="11" t="str">
        <f>IF('Extraction edi'!V324&lt;'Feuille commande'!$E$1,"DELAI NON COMPATIBLE",IF('Extraction edi'!V324="","",WORKDAY('Extraction edi'!V324,-10,Paramètrage!$G$2:$G$104)))</f>
        <v/>
      </c>
      <c r="P314" s="1" t="e">
        <f t="shared" si="4"/>
        <v>#VALUE!</v>
      </c>
    </row>
    <row r="315" spans="1:16" x14ac:dyDescent="0.25">
      <c r="A315" s="1" t="str">
        <f>IF(B315="","",CONCATENATE(B315,".",C315,"/Pos ",D315,"/",'Extraction edi'!G325))</f>
        <v/>
      </c>
      <c r="B315" s="1" t="str">
        <f>IF('Extraction edi'!A325="","",'Extraction edi'!A325)</f>
        <v/>
      </c>
      <c r="C315" s="1" t="str">
        <f>IF('Extraction edi'!B325="","",'Extraction edi'!B325)</f>
        <v/>
      </c>
      <c r="D315" s="1" t="str">
        <f>IF('Extraction edi'!H325="","",'Extraction edi'!H325)</f>
        <v/>
      </c>
      <c r="E315" s="1" t="str">
        <f>IF('Extraction edi'!I325="","",'Extraction edi'!I325)</f>
        <v/>
      </c>
      <c r="F315" t="str">
        <f>IF('Extraction edi'!K325="","",'Extraction edi'!K325)</f>
        <v/>
      </c>
      <c r="G315" t="str">
        <f>IF('Extraction edi'!L318="","",'Extraction edi'!L318)</f>
        <v/>
      </c>
      <c r="H315" t="str">
        <f>IF('Extraction edi'!M318="","",'Extraction edi'!M318)</f>
        <v/>
      </c>
      <c r="I315" s="1" t="str">
        <f>IF('Extraction edi'!N325="","",'Extraction edi'!N325)</f>
        <v/>
      </c>
      <c r="J315" s="1" t="str">
        <f>IF('Extraction edi'!O325="","",'Extraction edi'!O325)</f>
        <v/>
      </c>
      <c r="K315" s="1" t="str">
        <f>IF('Extraction edi'!P325="","",'Extraction edi'!P325)</f>
        <v/>
      </c>
      <c r="L315" s="1" t="str">
        <f>IF('Extraction edi'!Q325="laquage RAL :","OUI","")</f>
        <v/>
      </c>
      <c r="M315" s="1" t="str">
        <f>IF('Extraction edi'!R325&lt;&gt;"",'Extraction edi'!R325,IF(G315="ALU blanc","S9016",""))</f>
        <v/>
      </c>
      <c r="N315" s="1" t="str">
        <f>IF('Extraction edi'!S325&lt;&gt;"",'Extraction edi'!S325,IF(G315="ALU blanc","S9016",""))</f>
        <v/>
      </c>
      <c r="O315" s="11" t="str">
        <f>IF('Extraction edi'!V325&lt;'Feuille commande'!$E$1,"DELAI NON COMPATIBLE",IF('Extraction edi'!V325="","",WORKDAY('Extraction edi'!V325,-10,Paramètrage!$G$2:$G$104)))</f>
        <v/>
      </c>
      <c r="P315" s="1" t="e">
        <f t="shared" si="4"/>
        <v>#VALUE!</v>
      </c>
    </row>
    <row r="316" spans="1:16" x14ac:dyDescent="0.25">
      <c r="A316" s="1" t="str">
        <f>IF(B316="","",CONCATENATE(B316,".",C316,"/Pos ",D316,"/",'Extraction edi'!G326))</f>
        <v/>
      </c>
      <c r="B316" s="1" t="str">
        <f>IF('Extraction edi'!A326="","",'Extraction edi'!A326)</f>
        <v/>
      </c>
      <c r="C316" s="1" t="str">
        <f>IF('Extraction edi'!B326="","",'Extraction edi'!B326)</f>
        <v/>
      </c>
      <c r="D316" s="1" t="str">
        <f>IF('Extraction edi'!H326="","",'Extraction edi'!H326)</f>
        <v/>
      </c>
      <c r="E316" s="1" t="str">
        <f>IF('Extraction edi'!I326="","",'Extraction edi'!I326)</f>
        <v/>
      </c>
      <c r="F316" t="str">
        <f>IF('Extraction edi'!K326="","",'Extraction edi'!K326)</f>
        <v/>
      </c>
      <c r="G316" t="str">
        <f>IF('Extraction edi'!L319="","",'Extraction edi'!L319)</f>
        <v/>
      </c>
      <c r="H316" t="str">
        <f>IF('Extraction edi'!M319="","",'Extraction edi'!M319)</f>
        <v/>
      </c>
      <c r="I316" s="1" t="str">
        <f>IF('Extraction edi'!N326="","",'Extraction edi'!N326)</f>
        <v/>
      </c>
      <c r="J316" s="1" t="str">
        <f>IF('Extraction edi'!O326="","",'Extraction edi'!O326)</f>
        <v/>
      </c>
      <c r="K316" s="1" t="str">
        <f>IF('Extraction edi'!P326="","",'Extraction edi'!P326)</f>
        <v/>
      </c>
      <c r="L316" s="1" t="str">
        <f>IF('Extraction edi'!Q326="laquage RAL :","OUI","")</f>
        <v/>
      </c>
      <c r="M316" s="1" t="str">
        <f>IF('Extraction edi'!R326&lt;&gt;"",'Extraction edi'!R326,IF(G316="ALU blanc","S9016",""))</f>
        <v/>
      </c>
      <c r="N316" s="1" t="str">
        <f>IF('Extraction edi'!S326&lt;&gt;"",'Extraction edi'!S326,IF(G316="ALU blanc","S9016",""))</f>
        <v/>
      </c>
      <c r="O316" s="11" t="str">
        <f>IF('Extraction edi'!V326&lt;'Feuille commande'!$E$1,"DELAI NON COMPATIBLE",IF('Extraction edi'!V326="","",WORKDAY('Extraction edi'!V326,-10,Paramètrage!$G$2:$G$104)))</f>
        <v/>
      </c>
      <c r="P316" s="1" t="e">
        <f t="shared" si="4"/>
        <v>#VALUE!</v>
      </c>
    </row>
    <row r="317" spans="1:16" x14ac:dyDescent="0.25">
      <c r="A317" s="1" t="str">
        <f>IF(B317="","",CONCATENATE(B317,".",C317,"/Pos ",D317,"/",'Extraction edi'!G327))</f>
        <v/>
      </c>
      <c r="B317" s="1" t="str">
        <f>IF('Extraction edi'!A327="","",'Extraction edi'!A327)</f>
        <v/>
      </c>
      <c r="C317" s="1" t="str">
        <f>IF('Extraction edi'!B327="","",'Extraction edi'!B327)</f>
        <v/>
      </c>
      <c r="D317" s="1" t="str">
        <f>IF('Extraction edi'!H327="","",'Extraction edi'!H327)</f>
        <v/>
      </c>
      <c r="E317" s="1" t="str">
        <f>IF('Extraction edi'!I327="","",'Extraction edi'!I327)</f>
        <v/>
      </c>
      <c r="F317" t="str">
        <f>IF('Extraction edi'!K327="","",'Extraction edi'!K327)</f>
        <v/>
      </c>
      <c r="G317" t="str">
        <f>IF('Extraction edi'!L320="","",'Extraction edi'!L320)</f>
        <v/>
      </c>
      <c r="H317" t="str">
        <f>IF('Extraction edi'!M320="","",'Extraction edi'!M320)</f>
        <v/>
      </c>
      <c r="I317" s="1" t="str">
        <f>IF('Extraction edi'!N327="","",'Extraction edi'!N327)</f>
        <v/>
      </c>
      <c r="J317" s="1" t="str">
        <f>IF('Extraction edi'!O327="","",'Extraction edi'!O327)</f>
        <v/>
      </c>
      <c r="K317" s="1" t="str">
        <f>IF('Extraction edi'!P327="","",'Extraction edi'!P327)</f>
        <v/>
      </c>
      <c r="L317" s="1" t="str">
        <f>IF('Extraction edi'!Q327="laquage RAL :","OUI","")</f>
        <v/>
      </c>
      <c r="M317" s="1" t="str">
        <f>IF('Extraction edi'!R327&lt;&gt;"",'Extraction edi'!R327,IF(G317="ALU blanc","S9016",""))</f>
        <v/>
      </c>
      <c r="N317" s="1" t="str">
        <f>IF('Extraction edi'!S327&lt;&gt;"",'Extraction edi'!S327,IF(G317="ALU blanc","S9016",""))</f>
        <v/>
      </c>
      <c r="O317" s="11" t="str">
        <f>IF('Extraction edi'!V327&lt;'Feuille commande'!$E$1,"DELAI NON COMPATIBLE",IF('Extraction edi'!V327="","",WORKDAY('Extraction edi'!V327,-10,Paramètrage!$G$2:$G$104)))</f>
        <v/>
      </c>
      <c r="P317" s="1" t="e">
        <f t="shared" si="4"/>
        <v>#VALUE!</v>
      </c>
    </row>
    <row r="318" spans="1:16" x14ac:dyDescent="0.25">
      <c r="A318" s="1" t="str">
        <f>IF(B318="","",CONCATENATE(B318,".",C318,"/Pos ",D318,"/",'Extraction edi'!G328))</f>
        <v/>
      </c>
      <c r="B318" s="1" t="str">
        <f>IF('Extraction edi'!A328="","",'Extraction edi'!A328)</f>
        <v/>
      </c>
      <c r="C318" s="1" t="str">
        <f>IF('Extraction edi'!B328="","",'Extraction edi'!B328)</f>
        <v/>
      </c>
      <c r="D318" s="1" t="str">
        <f>IF('Extraction edi'!H328="","",'Extraction edi'!H328)</f>
        <v/>
      </c>
      <c r="E318" s="1" t="str">
        <f>IF('Extraction edi'!I328="","",'Extraction edi'!I328)</f>
        <v/>
      </c>
      <c r="F318" t="str">
        <f>IF('Extraction edi'!K328="","",'Extraction edi'!K328)</f>
        <v/>
      </c>
      <c r="G318" t="str">
        <f>IF('Extraction edi'!L321="","",'Extraction edi'!L321)</f>
        <v/>
      </c>
      <c r="H318" t="str">
        <f>IF('Extraction edi'!M321="","",'Extraction edi'!M321)</f>
        <v/>
      </c>
      <c r="I318" s="1" t="str">
        <f>IF('Extraction edi'!N328="","",'Extraction edi'!N328)</f>
        <v/>
      </c>
      <c r="J318" s="1" t="str">
        <f>IF('Extraction edi'!O328="","",'Extraction edi'!O328)</f>
        <v/>
      </c>
      <c r="K318" s="1" t="str">
        <f>IF('Extraction edi'!P328="","",'Extraction edi'!P328)</f>
        <v/>
      </c>
      <c r="L318" s="1" t="str">
        <f>IF('Extraction edi'!Q328="laquage RAL :","OUI","")</f>
        <v/>
      </c>
      <c r="M318" s="1" t="str">
        <f>IF('Extraction edi'!R328&lt;&gt;"",'Extraction edi'!R328,IF(G318="ALU blanc","S9016",""))</f>
        <v/>
      </c>
      <c r="N318" s="1" t="str">
        <f>IF('Extraction edi'!S328&lt;&gt;"",'Extraction edi'!S328,IF(G318="ALU blanc","S9016",""))</f>
        <v/>
      </c>
      <c r="O318" s="11" t="str">
        <f>IF('Extraction edi'!V328&lt;'Feuille commande'!$E$1,"DELAI NON COMPATIBLE",IF('Extraction edi'!V328="","",WORKDAY('Extraction edi'!V328,-10,Paramètrage!$G$2:$G$104)))</f>
        <v/>
      </c>
      <c r="P318" s="1" t="e">
        <f t="shared" ref="P318:P381" si="5">WEEKDAY(O318,2)</f>
        <v>#VALUE!</v>
      </c>
    </row>
    <row r="319" spans="1:16" x14ac:dyDescent="0.25">
      <c r="A319" s="1" t="str">
        <f>IF(B319="","",CONCATENATE(B319,".",C319,"/Pos ",D319,"/",'Extraction edi'!G329))</f>
        <v/>
      </c>
      <c r="B319" s="1" t="str">
        <f>IF('Extraction edi'!A329="","",'Extraction edi'!A329)</f>
        <v/>
      </c>
      <c r="C319" s="1" t="str">
        <f>IF('Extraction edi'!B329="","",'Extraction edi'!B329)</f>
        <v/>
      </c>
      <c r="D319" s="1" t="str">
        <f>IF('Extraction edi'!H329="","",'Extraction edi'!H329)</f>
        <v/>
      </c>
      <c r="E319" s="1" t="str">
        <f>IF('Extraction edi'!I329="","",'Extraction edi'!I329)</f>
        <v/>
      </c>
      <c r="F319" t="str">
        <f>IF('Extraction edi'!K329="","",'Extraction edi'!K329)</f>
        <v/>
      </c>
      <c r="G319" t="str">
        <f>IF('Extraction edi'!L322="","",'Extraction edi'!L322)</f>
        <v/>
      </c>
      <c r="H319" t="str">
        <f>IF('Extraction edi'!M322="","",'Extraction edi'!M322)</f>
        <v/>
      </c>
      <c r="I319" s="1" t="str">
        <f>IF('Extraction edi'!N329="","",'Extraction edi'!N329)</f>
        <v/>
      </c>
      <c r="J319" s="1" t="str">
        <f>IF('Extraction edi'!O329="","",'Extraction edi'!O329)</f>
        <v/>
      </c>
      <c r="K319" s="1" t="str">
        <f>IF('Extraction edi'!P329="","",'Extraction edi'!P329)</f>
        <v/>
      </c>
      <c r="L319" s="1" t="str">
        <f>IF('Extraction edi'!Q329="laquage RAL :","OUI","")</f>
        <v/>
      </c>
      <c r="M319" s="1" t="str">
        <f>IF('Extraction edi'!R329&lt;&gt;"",'Extraction edi'!R329,IF(G319="ALU blanc","S9016",""))</f>
        <v/>
      </c>
      <c r="N319" s="1" t="str">
        <f>IF('Extraction edi'!S329&lt;&gt;"",'Extraction edi'!S329,IF(G319="ALU blanc","S9016",""))</f>
        <v/>
      </c>
      <c r="O319" s="11" t="str">
        <f>IF('Extraction edi'!V329&lt;'Feuille commande'!$E$1,"DELAI NON COMPATIBLE",IF('Extraction edi'!V329="","",WORKDAY('Extraction edi'!V329,-10,Paramètrage!$G$2:$G$104)))</f>
        <v/>
      </c>
      <c r="P319" s="1" t="e">
        <f t="shared" si="5"/>
        <v>#VALUE!</v>
      </c>
    </row>
    <row r="320" spans="1:16" x14ac:dyDescent="0.25">
      <c r="A320" s="1" t="str">
        <f>IF(B320="","",CONCATENATE(B320,".",C320,"/Pos ",D320,"/",'Extraction edi'!G330))</f>
        <v/>
      </c>
      <c r="B320" s="1" t="str">
        <f>IF('Extraction edi'!A330="","",'Extraction edi'!A330)</f>
        <v/>
      </c>
      <c r="C320" s="1" t="str">
        <f>IF('Extraction edi'!B330="","",'Extraction edi'!B330)</f>
        <v/>
      </c>
      <c r="D320" s="1" t="str">
        <f>IF('Extraction edi'!H330="","",'Extraction edi'!H330)</f>
        <v/>
      </c>
      <c r="E320" s="1" t="str">
        <f>IF('Extraction edi'!I330="","",'Extraction edi'!I330)</f>
        <v/>
      </c>
      <c r="F320" t="str">
        <f>IF('Extraction edi'!K330="","",'Extraction edi'!K330)</f>
        <v/>
      </c>
      <c r="G320" t="str">
        <f>IF('Extraction edi'!L323="","",'Extraction edi'!L323)</f>
        <v/>
      </c>
      <c r="H320" t="str">
        <f>IF('Extraction edi'!M323="","",'Extraction edi'!M323)</f>
        <v/>
      </c>
      <c r="I320" s="1" t="str">
        <f>IF('Extraction edi'!N330="","",'Extraction edi'!N330)</f>
        <v/>
      </c>
      <c r="J320" s="1" t="str">
        <f>IF('Extraction edi'!O330="","",'Extraction edi'!O330)</f>
        <v/>
      </c>
      <c r="K320" s="1" t="str">
        <f>IF('Extraction edi'!P330="","",'Extraction edi'!P330)</f>
        <v/>
      </c>
      <c r="L320" s="1" t="str">
        <f>IF('Extraction edi'!Q330="laquage RAL :","OUI","")</f>
        <v/>
      </c>
      <c r="M320" s="1" t="str">
        <f>IF('Extraction edi'!R330&lt;&gt;"",'Extraction edi'!R330,IF(G320="ALU blanc","S9016",""))</f>
        <v/>
      </c>
      <c r="N320" s="1" t="str">
        <f>IF('Extraction edi'!S330&lt;&gt;"",'Extraction edi'!S330,IF(G320="ALU blanc","S9016",""))</f>
        <v/>
      </c>
      <c r="O320" s="11" t="str">
        <f>IF('Extraction edi'!V330&lt;'Feuille commande'!$E$1,"DELAI NON COMPATIBLE",IF('Extraction edi'!V330="","",WORKDAY('Extraction edi'!V330,-10,Paramètrage!$G$2:$G$104)))</f>
        <v/>
      </c>
      <c r="P320" s="1" t="e">
        <f t="shared" si="5"/>
        <v>#VALUE!</v>
      </c>
    </row>
    <row r="321" spans="1:16" x14ac:dyDescent="0.25">
      <c r="A321" s="1" t="str">
        <f>IF(B321="","",CONCATENATE(B321,".",C321,"/Pos ",D321,"/",'Extraction edi'!G331))</f>
        <v/>
      </c>
      <c r="B321" s="1" t="str">
        <f>IF('Extraction edi'!A331="","",'Extraction edi'!A331)</f>
        <v/>
      </c>
      <c r="C321" s="1" t="str">
        <f>IF('Extraction edi'!B331="","",'Extraction edi'!B331)</f>
        <v/>
      </c>
      <c r="D321" s="1" t="str">
        <f>IF('Extraction edi'!H331="","",'Extraction edi'!H331)</f>
        <v/>
      </c>
      <c r="E321" s="1" t="str">
        <f>IF('Extraction edi'!I331="","",'Extraction edi'!I331)</f>
        <v/>
      </c>
      <c r="F321" t="str">
        <f>IF('Extraction edi'!K331="","",'Extraction edi'!K331)</f>
        <v/>
      </c>
      <c r="G321" t="str">
        <f>IF('Extraction edi'!L324="","",'Extraction edi'!L324)</f>
        <v/>
      </c>
      <c r="H321" t="str">
        <f>IF('Extraction edi'!M324="","",'Extraction edi'!M324)</f>
        <v/>
      </c>
      <c r="I321" s="1" t="str">
        <f>IF('Extraction edi'!N331="","",'Extraction edi'!N331)</f>
        <v/>
      </c>
      <c r="J321" s="1" t="str">
        <f>IF('Extraction edi'!O331="","",'Extraction edi'!O331)</f>
        <v/>
      </c>
      <c r="K321" s="1" t="str">
        <f>IF('Extraction edi'!P331="","",'Extraction edi'!P331)</f>
        <v/>
      </c>
      <c r="L321" s="1" t="str">
        <f>IF('Extraction edi'!Q331="laquage RAL :","OUI","")</f>
        <v/>
      </c>
      <c r="M321" s="1" t="str">
        <f>IF('Extraction edi'!R331&lt;&gt;"",'Extraction edi'!R331,IF(G321="ALU blanc","S9016",""))</f>
        <v/>
      </c>
      <c r="N321" s="1" t="str">
        <f>IF('Extraction edi'!S331&lt;&gt;"",'Extraction edi'!S331,IF(G321="ALU blanc","S9016",""))</f>
        <v/>
      </c>
      <c r="O321" s="11" t="str">
        <f>IF('Extraction edi'!V331&lt;'Feuille commande'!$E$1,"DELAI NON COMPATIBLE",IF('Extraction edi'!V331="","",WORKDAY('Extraction edi'!V331,-10,Paramètrage!$G$2:$G$104)))</f>
        <v/>
      </c>
      <c r="P321" s="1" t="e">
        <f t="shared" si="5"/>
        <v>#VALUE!</v>
      </c>
    </row>
    <row r="322" spans="1:16" x14ac:dyDescent="0.25">
      <c r="A322" s="1" t="str">
        <f>IF(B322="","",CONCATENATE(B322,".",C322,"/Pos ",D322,"/",'Extraction edi'!G332))</f>
        <v/>
      </c>
      <c r="B322" s="1" t="str">
        <f>IF('Extraction edi'!A332="","",'Extraction edi'!A332)</f>
        <v/>
      </c>
      <c r="C322" s="1" t="str">
        <f>IF('Extraction edi'!B332="","",'Extraction edi'!B332)</f>
        <v/>
      </c>
      <c r="D322" s="1" t="str">
        <f>IF('Extraction edi'!H332="","",'Extraction edi'!H332)</f>
        <v/>
      </c>
      <c r="E322" s="1" t="str">
        <f>IF('Extraction edi'!I332="","",'Extraction edi'!I332)</f>
        <v/>
      </c>
      <c r="F322" t="str">
        <f>IF('Extraction edi'!K332="","",'Extraction edi'!K332)</f>
        <v/>
      </c>
      <c r="G322" t="str">
        <f>IF('Extraction edi'!L325="","",'Extraction edi'!L325)</f>
        <v/>
      </c>
      <c r="H322" t="str">
        <f>IF('Extraction edi'!M325="","",'Extraction edi'!M325)</f>
        <v/>
      </c>
      <c r="I322" s="1" t="str">
        <f>IF('Extraction edi'!N332="","",'Extraction edi'!N332)</f>
        <v/>
      </c>
      <c r="J322" s="1" t="str">
        <f>IF('Extraction edi'!O332="","",'Extraction edi'!O332)</f>
        <v/>
      </c>
      <c r="K322" s="1" t="str">
        <f>IF('Extraction edi'!P332="","",'Extraction edi'!P332)</f>
        <v/>
      </c>
      <c r="L322" s="1" t="str">
        <f>IF('Extraction edi'!Q332="laquage RAL :","OUI","")</f>
        <v/>
      </c>
      <c r="M322" s="1" t="str">
        <f>IF('Extraction edi'!R332&lt;&gt;"",'Extraction edi'!R332,IF(G322="ALU blanc","S9016",""))</f>
        <v/>
      </c>
      <c r="N322" s="1" t="str">
        <f>IF('Extraction edi'!S332&lt;&gt;"",'Extraction edi'!S332,IF(G322="ALU blanc","S9016",""))</f>
        <v/>
      </c>
      <c r="O322" s="11" t="str">
        <f>IF('Extraction edi'!V332&lt;'Feuille commande'!$E$1,"DELAI NON COMPATIBLE",IF('Extraction edi'!V332="","",WORKDAY('Extraction edi'!V332,-10,Paramètrage!$G$2:$G$104)))</f>
        <v/>
      </c>
      <c r="P322" s="1" t="e">
        <f t="shared" si="5"/>
        <v>#VALUE!</v>
      </c>
    </row>
    <row r="323" spans="1:16" x14ac:dyDescent="0.25">
      <c r="A323" s="1" t="str">
        <f>IF(B323="","",CONCATENATE(B323,".",C323,"/Pos ",D323,"/",'Extraction edi'!G333))</f>
        <v/>
      </c>
      <c r="B323" s="1" t="str">
        <f>IF('Extraction edi'!A333="","",'Extraction edi'!A333)</f>
        <v/>
      </c>
      <c r="C323" s="1" t="str">
        <f>IF('Extraction edi'!B333="","",'Extraction edi'!B333)</f>
        <v/>
      </c>
      <c r="D323" s="1" t="str">
        <f>IF('Extraction edi'!H333="","",'Extraction edi'!H333)</f>
        <v/>
      </c>
      <c r="E323" s="1" t="str">
        <f>IF('Extraction edi'!I333="","",'Extraction edi'!I333)</f>
        <v/>
      </c>
      <c r="F323" t="str">
        <f>IF('Extraction edi'!K333="","",'Extraction edi'!K333)</f>
        <v/>
      </c>
      <c r="G323" t="str">
        <f>IF('Extraction edi'!L326="","",'Extraction edi'!L326)</f>
        <v/>
      </c>
      <c r="H323" t="str">
        <f>IF('Extraction edi'!M326="","",'Extraction edi'!M326)</f>
        <v/>
      </c>
      <c r="I323" s="1" t="str">
        <f>IF('Extraction edi'!N333="","",'Extraction edi'!N333)</f>
        <v/>
      </c>
      <c r="J323" s="1" t="str">
        <f>IF('Extraction edi'!O333="","",'Extraction edi'!O333)</f>
        <v/>
      </c>
      <c r="K323" s="1" t="str">
        <f>IF('Extraction edi'!P333="","",'Extraction edi'!P333)</f>
        <v/>
      </c>
      <c r="L323" s="1" t="str">
        <f>IF('Extraction edi'!Q333="laquage RAL :","OUI","")</f>
        <v/>
      </c>
      <c r="M323" s="1" t="str">
        <f>IF('Extraction edi'!R333&lt;&gt;"",'Extraction edi'!R333,IF(G323="ALU blanc","S9016",""))</f>
        <v/>
      </c>
      <c r="N323" s="1" t="str">
        <f>IF('Extraction edi'!S333&lt;&gt;"",'Extraction edi'!S333,IF(G323="ALU blanc","S9016",""))</f>
        <v/>
      </c>
      <c r="O323" s="11" t="str">
        <f>IF('Extraction edi'!V333&lt;'Feuille commande'!$E$1,"DELAI NON COMPATIBLE",IF('Extraction edi'!V333="","",WORKDAY('Extraction edi'!V333,-10,Paramètrage!$G$2:$G$104)))</f>
        <v/>
      </c>
      <c r="P323" s="1" t="e">
        <f t="shared" si="5"/>
        <v>#VALUE!</v>
      </c>
    </row>
    <row r="324" spans="1:16" x14ac:dyDescent="0.25">
      <c r="A324" s="1" t="str">
        <f>IF(B324="","",CONCATENATE(B324,".",C324,"/Pos ",D324,"/",'Extraction edi'!G334))</f>
        <v/>
      </c>
      <c r="B324" s="1" t="str">
        <f>IF('Extraction edi'!A334="","",'Extraction edi'!A334)</f>
        <v/>
      </c>
      <c r="C324" s="1" t="str">
        <f>IF('Extraction edi'!B334="","",'Extraction edi'!B334)</f>
        <v/>
      </c>
      <c r="D324" s="1" t="str">
        <f>IF('Extraction edi'!H334="","",'Extraction edi'!H334)</f>
        <v/>
      </c>
      <c r="E324" s="1" t="str">
        <f>IF('Extraction edi'!I334="","",'Extraction edi'!I334)</f>
        <v/>
      </c>
      <c r="F324" t="str">
        <f>IF('Extraction edi'!K334="","",'Extraction edi'!K334)</f>
        <v/>
      </c>
      <c r="G324" t="str">
        <f>IF('Extraction edi'!L327="","",'Extraction edi'!L327)</f>
        <v/>
      </c>
      <c r="H324" t="str">
        <f>IF('Extraction edi'!M327="","",'Extraction edi'!M327)</f>
        <v/>
      </c>
      <c r="I324" s="1" t="str">
        <f>IF('Extraction edi'!N334="","",'Extraction edi'!N334)</f>
        <v/>
      </c>
      <c r="J324" s="1" t="str">
        <f>IF('Extraction edi'!O334="","",'Extraction edi'!O334)</f>
        <v/>
      </c>
      <c r="K324" s="1" t="str">
        <f>IF('Extraction edi'!P334="","",'Extraction edi'!P334)</f>
        <v/>
      </c>
      <c r="L324" s="1" t="str">
        <f>IF('Extraction edi'!Q334="laquage RAL :","OUI","")</f>
        <v/>
      </c>
      <c r="M324" s="1" t="str">
        <f>IF('Extraction edi'!R334&lt;&gt;"",'Extraction edi'!R334,IF(G324="ALU blanc","S9016",""))</f>
        <v/>
      </c>
      <c r="N324" s="1" t="str">
        <f>IF('Extraction edi'!S334&lt;&gt;"",'Extraction edi'!S334,IF(G324="ALU blanc","S9016",""))</f>
        <v/>
      </c>
      <c r="O324" s="11" t="str">
        <f>IF('Extraction edi'!V334&lt;'Feuille commande'!$E$1,"DELAI NON COMPATIBLE",IF('Extraction edi'!V334="","",WORKDAY('Extraction edi'!V334,-10,Paramètrage!$G$2:$G$104)))</f>
        <v/>
      </c>
      <c r="P324" s="1" t="e">
        <f t="shared" si="5"/>
        <v>#VALUE!</v>
      </c>
    </row>
    <row r="325" spans="1:16" x14ac:dyDescent="0.25">
      <c r="A325" s="1" t="str">
        <f>IF(B325="","",CONCATENATE(B325,".",C325,"/Pos ",D325,"/",'Extraction edi'!G335))</f>
        <v/>
      </c>
      <c r="B325" s="1" t="str">
        <f>IF('Extraction edi'!A335="","",'Extraction edi'!A335)</f>
        <v/>
      </c>
      <c r="C325" s="1" t="str">
        <f>IF('Extraction edi'!B335="","",'Extraction edi'!B335)</f>
        <v/>
      </c>
      <c r="D325" s="1" t="str">
        <f>IF('Extraction edi'!H335="","",'Extraction edi'!H335)</f>
        <v/>
      </c>
      <c r="E325" s="1" t="str">
        <f>IF('Extraction edi'!I335="","",'Extraction edi'!I335)</f>
        <v/>
      </c>
      <c r="F325" t="str">
        <f>IF('Extraction edi'!K335="","",'Extraction edi'!K335)</f>
        <v/>
      </c>
      <c r="G325" t="str">
        <f>IF('Extraction edi'!L328="","",'Extraction edi'!L328)</f>
        <v/>
      </c>
      <c r="H325" t="str">
        <f>IF('Extraction edi'!M328="","",'Extraction edi'!M328)</f>
        <v/>
      </c>
      <c r="I325" s="1" t="str">
        <f>IF('Extraction edi'!N335="","",'Extraction edi'!N335)</f>
        <v/>
      </c>
      <c r="J325" s="1" t="str">
        <f>IF('Extraction edi'!O335="","",'Extraction edi'!O335)</f>
        <v/>
      </c>
      <c r="K325" s="1" t="str">
        <f>IF('Extraction edi'!P335="","",'Extraction edi'!P335)</f>
        <v/>
      </c>
      <c r="L325" s="1" t="str">
        <f>IF('Extraction edi'!Q335="laquage RAL :","OUI","")</f>
        <v/>
      </c>
      <c r="M325" s="1" t="str">
        <f>IF('Extraction edi'!R335&lt;&gt;"",'Extraction edi'!R335,IF(G325="ALU blanc","S9016",""))</f>
        <v/>
      </c>
      <c r="N325" s="1" t="str">
        <f>IF('Extraction edi'!S335&lt;&gt;"",'Extraction edi'!S335,IF(G325="ALU blanc","S9016",""))</f>
        <v/>
      </c>
      <c r="O325" s="11" t="str">
        <f>IF('Extraction edi'!V335&lt;'Feuille commande'!$E$1,"DELAI NON COMPATIBLE",IF('Extraction edi'!V335="","",WORKDAY('Extraction edi'!V335,-10,Paramètrage!$G$2:$G$104)))</f>
        <v/>
      </c>
      <c r="P325" s="1" t="e">
        <f t="shared" si="5"/>
        <v>#VALUE!</v>
      </c>
    </row>
    <row r="326" spans="1:16" x14ac:dyDescent="0.25">
      <c r="A326" s="1" t="str">
        <f>IF(B326="","",CONCATENATE(B326,".",C326,"/Pos ",D326,"/",'Extraction edi'!G336))</f>
        <v/>
      </c>
      <c r="B326" s="1" t="str">
        <f>IF('Extraction edi'!A336="","",'Extraction edi'!A336)</f>
        <v/>
      </c>
      <c r="C326" s="1" t="str">
        <f>IF('Extraction edi'!B336="","",'Extraction edi'!B336)</f>
        <v/>
      </c>
      <c r="D326" s="1" t="str">
        <f>IF('Extraction edi'!H336="","",'Extraction edi'!H336)</f>
        <v/>
      </c>
      <c r="E326" s="1" t="str">
        <f>IF('Extraction edi'!I336="","",'Extraction edi'!I336)</f>
        <v/>
      </c>
      <c r="F326" t="str">
        <f>IF('Extraction edi'!K336="","",'Extraction edi'!K336)</f>
        <v/>
      </c>
      <c r="G326" t="str">
        <f>IF('Extraction edi'!L329="","",'Extraction edi'!L329)</f>
        <v/>
      </c>
      <c r="H326" t="str">
        <f>IF('Extraction edi'!M329="","",'Extraction edi'!M329)</f>
        <v/>
      </c>
      <c r="I326" s="1" t="str">
        <f>IF('Extraction edi'!N336="","",'Extraction edi'!N336)</f>
        <v/>
      </c>
      <c r="J326" s="1" t="str">
        <f>IF('Extraction edi'!O336="","",'Extraction edi'!O336)</f>
        <v/>
      </c>
      <c r="K326" s="1" t="str">
        <f>IF('Extraction edi'!P336="","",'Extraction edi'!P336)</f>
        <v/>
      </c>
      <c r="L326" s="1" t="str">
        <f>IF('Extraction edi'!Q336="laquage RAL :","OUI","")</f>
        <v/>
      </c>
      <c r="M326" s="1" t="str">
        <f>IF('Extraction edi'!R336&lt;&gt;"",'Extraction edi'!R336,IF(G326="ALU blanc","S9016",""))</f>
        <v/>
      </c>
      <c r="N326" s="1" t="str">
        <f>IF('Extraction edi'!S336&lt;&gt;"",'Extraction edi'!S336,IF(G326="ALU blanc","S9016",""))</f>
        <v/>
      </c>
      <c r="O326" s="11" t="str">
        <f>IF('Extraction edi'!V336&lt;'Feuille commande'!$E$1,"DELAI NON COMPATIBLE",IF('Extraction edi'!V336="","",WORKDAY('Extraction edi'!V336,-10,Paramètrage!$G$2:$G$104)))</f>
        <v/>
      </c>
      <c r="P326" s="1" t="e">
        <f t="shared" si="5"/>
        <v>#VALUE!</v>
      </c>
    </row>
    <row r="327" spans="1:16" x14ac:dyDescent="0.25">
      <c r="A327" s="1" t="str">
        <f>IF(B327="","",CONCATENATE(B327,".",C327,"/Pos ",D327,"/",'Extraction edi'!G337))</f>
        <v/>
      </c>
      <c r="B327" s="1" t="str">
        <f>IF('Extraction edi'!A337="","",'Extraction edi'!A337)</f>
        <v/>
      </c>
      <c r="C327" s="1" t="str">
        <f>IF('Extraction edi'!B337="","",'Extraction edi'!B337)</f>
        <v/>
      </c>
      <c r="D327" s="1" t="str">
        <f>IF('Extraction edi'!H337="","",'Extraction edi'!H337)</f>
        <v/>
      </c>
      <c r="E327" s="1" t="str">
        <f>IF('Extraction edi'!I337="","",'Extraction edi'!I337)</f>
        <v/>
      </c>
      <c r="F327" t="str">
        <f>IF('Extraction edi'!K337="","",'Extraction edi'!K337)</f>
        <v/>
      </c>
      <c r="G327" t="str">
        <f>IF('Extraction edi'!L330="","",'Extraction edi'!L330)</f>
        <v/>
      </c>
      <c r="H327" t="str">
        <f>IF('Extraction edi'!M330="","",'Extraction edi'!M330)</f>
        <v/>
      </c>
      <c r="I327" s="1" t="str">
        <f>IF('Extraction edi'!N337="","",'Extraction edi'!N337)</f>
        <v/>
      </c>
      <c r="J327" s="1" t="str">
        <f>IF('Extraction edi'!O337="","",'Extraction edi'!O337)</f>
        <v/>
      </c>
      <c r="K327" s="1" t="str">
        <f>IF('Extraction edi'!P337="","",'Extraction edi'!P337)</f>
        <v/>
      </c>
      <c r="L327" s="1" t="str">
        <f>IF('Extraction edi'!Q337="laquage RAL :","OUI","")</f>
        <v/>
      </c>
      <c r="M327" s="1" t="str">
        <f>IF('Extraction edi'!R337&lt;&gt;"",'Extraction edi'!R337,IF(G327="ALU blanc","S9016",""))</f>
        <v/>
      </c>
      <c r="N327" s="1" t="str">
        <f>IF('Extraction edi'!S337&lt;&gt;"",'Extraction edi'!S337,IF(G327="ALU blanc","S9016",""))</f>
        <v/>
      </c>
      <c r="O327" s="11" t="str">
        <f>IF('Extraction edi'!V337&lt;'Feuille commande'!$E$1,"DELAI NON COMPATIBLE",IF('Extraction edi'!V337="","",WORKDAY('Extraction edi'!V337,-10,Paramètrage!$G$2:$G$104)))</f>
        <v/>
      </c>
      <c r="P327" s="1" t="e">
        <f t="shared" si="5"/>
        <v>#VALUE!</v>
      </c>
    </row>
    <row r="328" spans="1:16" x14ac:dyDescent="0.25">
      <c r="A328" s="1" t="str">
        <f>IF(B328="","",CONCATENATE(B328,".",C328,"/Pos ",D328,"/",'Extraction edi'!G338))</f>
        <v/>
      </c>
      <c r="B328" s="1" t="str">
        <f>IF('Extraction edi'!A338="","",'Extraction edi'!A338)</f>
        <v/>
      </c>
      <c r="C328" s="1" t="str">
        <f>IF('Extraction edi'!B338="","",'Extraction edi'!B338)</f>
        <v/>
      </c>
      <c r="D328" s="1" t="str">
        <f>IF('Extraction edi'!H338="","",'Extraction edi'!H338)</f>
        <v/>
      </c>
      <c r="E328" s="1" t="str">
        <f>IF('Extraction edi'!I338="","",'Extraction edi'!I338)</f>
        <v/>
      </c>
      <c r="F328" t="str">
        <f>IF('Extraction edi'!K338="","",'Extraction edi'!K338)</f>
        <v/>
      </c>
      <c r="G328" t="str">
        <f>IF('Extraction edi'!L331="","",'Extraction edi'!L331)</f>
        <v/>
      </c>
      <c r="H328" t="str">
        <f>IF('Extraction edi'!M331="","",'Extraction edi'!M331)</f>
        <v/>
      </c>
      <c r="I328" s="1" t="str">
        <f>IF('Extraction edi'!N338="","",'Extraction edi'!N338)</f>
        <v/>
      </c>
      <c r="J328" s="1" t="str">
        <f>IF('Extraction edi'!O338="","",'Extraction edi'!O338)</f>
        <v/>
      </c>
      <c r="K328" s="1" t="str">
        <f>IF('Extraction edi'!P338="","",'Extraction edi'!P338)</f>
        <v/>
      </c>
      <c r="L328" s="1" t="str">
        <f>IF('Extraction edi'!Q338="laquage RAL :","OUI","")</f>
        <v/>
      </c>
      <c r="M328" s="1" t="str">
        <f>IF('Extraction edi'!R338&lt;&gt;"",'Extraction edi'!R338,IF(G328="ALU blanc","S9016",""))</f>
        <v/>
      </c>
      <c r="N328" s="1" t="str">
        <f>IF('Extraction edi'!S338&lt;&gt;"",'Extraction edi'!S338,IF(G328="ALU blanc","S9016",""))</f>
        <v/>
      </c>
      <c r="O328" s="11" t="str">
        <f>IF('Extraction edi'!V338&lt;'Feuille commande'!$E$1,"DELAI NON COMPATIBLE",IF('Extraction edi'!V338="","",WORKDAY('Extraction edi'!V338,-10,Paramètrage!$G$2:$G$104)))</f>
        <v/>
      </c>
      <c r="P328" s="1" t="e">
        <f t="shared" si="5"/>
        <v>#VALUE!</v>
      </c>
    </row>
    <row r="329" spans="1:16" x14ac:dyDescent="0.25">
      <c r="A329" s="1" t="str">
        <f>IF(B329="","",CONCATENATE(B329,".",C329,"/Pos ",D329,"/",'Extraction edi'!G339))</f>
        <v/>
      </c>
      <c r="B329" s="1" t="str">
        <f>IF('Extraction edi'!A339="","",'Extraction edi'!A339)</f>
        <v/>
      </c>
      <c r="C329" s="1" t="str">
        <f>IF('Extraction edi'!B339="","",'Extraction edi'!B339)</f>
        <v/>
      </c>
      <c r="D329" s="1" t="str">
        <f>IF('Extraction edi'!H339="","",'Extraction edi'!H339)</f>
        <v/>
      </c>
      <c r="E329" s="1" t="str">
        <f>IF('Extraction edi'!I339="","",'Extraction edi'!I339)</f>
        <v/>
      </c>
      <c r="F329" t="str">
        <f>IF('Extraction edi'!K339="","",'Extraction edi'!K339)</f>
        <v/>
      </c>
      <c r="G329" t="str">
        <f>IF('Extraction edi'!L332="","",'Extraction edi'!L332)</f>
        <v/>
      </c>
      <c r="H329" t="str">
        <f>IF('Extraction edi'!M332="","",'Extraction edi'!M332)</f>
        <v/>
      </c>
      <c r="I329" s="1" t="str">
        <f>IF('Extraction edi'!N339="","",'Extraction edi'!N339)</f>
        <v/>
      </c>
      <c r="J329" s="1" t="str">
        <f>IF('Extraction edi'!O339="","",'Extraction edi'!O339)</f>
        <v/>
      </c>
      <c r="K329" s="1" t="str">
        <f>IF('Extraction edi'!P339="","",'Extraction edi'!P339)</f>
        <v/>
      </c>
      <c r="L329" s="1" t="str">
        <f>IF('Extraction edi'!Q339="laquage RAL :","OUI","")</f>
        <v/>
      </c>
      <c r="M329" s="1" t="str">
        <f>IF('Extraction edi'!R339&lt;&gt;"",'Extraction edi'!R339,IF(G329="ALU blanc","S9016",""))</f>
        <v/>
      </c>
      <c r="N329" s="1" t="str">
        <f>IF('Extraction edi'!S339&lt;&gt;"",'Extraction edi'!S339,IF(G329="ALU blanc","S9016",""))</f>
        <v/>
      </c>
      <c r="O329" s="11" t="str">
        <f>IF('Extraction edi'!V339&lt;'Feuille commande'!$E$1,"DELAI NON COMPATIBLE",IF('Extraction edi'!V339="","",WORKDAY('Extraction edi'!V339,-10,Paramètrage!$G$2:$G$104)))</f>
        <v/>
      </c>
      <c r="P329" s="1" t="e">
        <f t="shared" si="5"/>
        <v>#VALUE!</v>
      </c>
    </row>
    <row r="330" spans="1:16" x14ac:dyDescent="0.25">
      <c r="A330" s="1" t="str">
        <f>IF(B330="","",CONCATENATE(B330,".",C330,"/Pos ",D330,"/",'Extraction edi'!G340))</f>
        <v/>
      </c>
      <c r="B330" s="1" t="str">
        <f>IF('Extraction edi'!A340="","",'Extraction edi'!A340)</f>
        <v/>
      </c>
      <c r="C330" s="1" t="str">
        <f>IF('Extraction edi'!B340="","",'Extraction edi'!B340)</f>
        <v/>
      </c>
      <c r="D330" s="1" t="str">
        <f>IF('Extraction edi'!H340="","",'Extraction edi'!H340)</f>
        <v/>
      </c>
      <c r="E330" s="1" t="str">
        <f>IF('Extraction edi'!I340="","",'Extraction edi'!I340)</f>
        <v/>
      </c>
      <c r="F330" t="str">
        <f>IF('Extraction edi'!K340="","",'Extraction edi'!K340)</f>
        <v/>
      </c>
      <c r="G330" t="str">
        <f>IF('Extraction edi'!L333="","",'Extraction edi'!L333)</f>
        <v/>
      </c>
      <c r="H330" t="str">
        <f>IF('Extraction edi'!M333="","",'Extraction edi'!M333)</f>
        <v/>
      </c>
      <c r="I330" s="1" t="str">
        <f>IF('Extraction edi'!N340="","",'Extraction edi'!N340)</f>
        <v/>
      </c>
      <c r="J330" s="1" t="str">
        <f>IF('Extraction edi'!O340="","",'Extraction edi'!O340)</f>
        <v/>
      </c>
      <c r="K330" s="1" t="str">
        <f>IF('Extraction edi'!P340="","",'Extraction edi'!P340)</f>
        <v/>
      </c>
      <c r="L330" s="1" t="str">
        <f>IF('Extraction edi'!Q340="laquage RAL :","OUI","")</f>
        <v/>
      </c>
      <c r="M330" s="1" t="str">
        <f>IF('Extraction edi'!R340&lt;&gt;"",'Extraction edi'!R340,IF(G330="ALU blanc","S9016",""))</f>
        <v/>
      </c>
      <c r="N330" s="1" t="str">
        <f>IF('Extraction edi'!S340&lt;&gt;"",'Extraction edi'!S340,IF(G330="ALU blanc","S9016",""))</f>
        <v/>
      </c>
      <c r="O330" s="11" t="str">
        <f>IF('Extraction edi'!V340&lt;'Feuille commande'!$E$1,"DELAI NON COMPATIBLE",IF('Extraction edi'!V340="","",WORKDAY('Extraction edi'!V340,-10,Paramètrage!$G$2:$G$104)))</f>
        <v/>
      </c>
      <c r="P330" s="1" t="e">
        <f t="shared" si="5"/>
        <v>#VALUE!</v>
      </c>
    </row>
    <row r="331" spans="1:16" x14ac:dyDescent="0.25">
      <c r="A331" s="1" t="str">
        <f>IF(B331="","",CONCATENATE(B331,".",C331,"/Pos ",D331,"/",'Extraction edi'!G341))</f>
        <v/>
      </c>
      <c r="B331" s="1" t="str">
        <f>IF('Extraction edi'!A341="","",'Extraction edi'!A341)</f>
        <v/>
      </c>
      <c r="C331" s="1" t="str">
        <f>IF('Extraction edi'!B341="","",'Extraction edi'!B341)</f>
        <v/>
      </c>
      <c r="D331" s="1" t="str">
        <f>IF('Extraction edi'!H341="","",'Extraction edi'!H341)</f>
        <v/>
      </c>
      <c r="E331" s="1" t="str">
        <f>IF('Extraction edi'!I341="","",'Extraction edi'!I341)</f>
        <v/>
      </c>
      <c r="F331" t="str">
        <f>IF('Extraction edi'!K341="","",'Extraction edi'!K341)</f>
        <v/>
      </c>
      <c r="G331" t="str">
        <f>IF('Extraction edi'!L334="","",'Extraction edi'!L334)</f>
        <v/>
      </c>
      <c r="H331" t="str">
        <f>IF('Extraction edi'!M334="","",'Extraction edi'!M334)</f>
        <v/>
      </c>
      <c r="I331" s="1" t="str">
        <f>IF('Extraction edi'!N341="","",'Extraction edi'!N341)</f>
        <v/>
      </c>
      <c r="J331" s="1" t="str">
        <f>IF('Extraction edi'!O341="","",'Extraction edi'!O341)</f>
        <v/>
      </c>
      <c r="K331" s="1" t="str">
        <f>IF('Extraction edi'!P341="","",'Extraction edi'!P341)</f>
        <v/>
      </c>
      <c r="L331" s="1" t="str">
        <f>IF('Extraction edi'!Q341="laquage RAL :","OUI","")</f>
        <v/>
      </c>
      <c r="M331" s="1" t="str">
        <f>IF('Extraction edi'!R341&lt;&gt;"",'Extraction edi'!R341,IF(G331="ALU blanc","S9016",""))</f>
        <v/>
      </c>
      <c r="N331" s="1" t="str">
        <f>IF('Extraction edi'!S341&lt;&gt;"",'Extraction edi'!S341,IF(G331="ALU blanc","S9016",""))</f>
        <v/>
      </c>
      <c r="O331" s="11" t="str">
        <f>IF('Extraction edi'!V341&lt;'Feuille commande'!$E$1,"DELAI NON COMPATIBLE",IF('Extraction edi'!V341="","",WORKDAY('Extraction edi'!V341,-10,Paramètrage!$G$2:$G$104)))</f>
        <v/>
      </c>
      <c r="P331" s="1" t="e">
        <f t="shared" si="5"/>
        <v>#VALUE!</v>
      </c>
    </row>
    <row r="332" spans="1:16" x14ac:dyDescent="0.25">
      <c r="A332" s="1" t="str">
        <f>IF(B332="","",CONCATENATE(B332,".",C332,"/Pos ",D332,"/",'Extraction edi'!G342))</f>
        <v/>
      </c>
      <c r="B332" s="1" t="str">
        <f>IF('Extraction edi'!A342="","",'Extraction edi'!A342)</f>
        <v/>
      </c>
      <c r="C332" s="1" t="str">
        <f>IF('Extraction edi'!B342="","",'Extraction edi'!B342)</f>
        <v/>
      </c>
      <c r="D332" s="1" t="str">
        <f>IF('Extraction edi'!H342="","",'Extraction edi'!H342)</f>
        <v/>
      </c>
      <c r="E332" s="1" t="str">
        <f>IF('Extraction edi'!I342="","",'Extraction edi'!I342)</f>
        <v/>
      </c>
      <c r="F332" t="str">
        <f>IF('Extraction edi'!K342="","",'Extraction edi'!K342)</f>
        <v/>
      </c>
      <c r="G332" t="str">
        <f>IF('Extraction edi'!L335="","",'Extraction edi'!L335)</f>
        <v/>
      </c>
      <c r="H332" t="str">
        <f>IF('Extraction edi'!M335="","",'Extraction edi'!M335)</f>
        <v/>
      </c>
      <c r="I332" s="1" t="str">
        <f>IF('Extraction edi'!N342="","",'Extraction edi'!N342)</f>
        <v/>
      </c>
      <c r="J332" s="1" t="str">
        <f>IF('Extraction edi'!O342="","",'Extraction edi'!O342)</f>
        <v/>
      </c>
      <c r="K332" s="1" t="str">
        <f>IF('Extraction edi'!P342="","",'Extraction edi'!P342)</f>
        <v/>
      </c>
      <c r="L332" s="1" t="str">
        <f>IF('Extraction edi'!Q342="laquage RAL :","OUI","")</f>
        <v/>
      </c>
      <c r="M332" s="1" t="str">
        <f>IF('Extraction edi'!R342&lt;&gt;"",'Extraction edi'!R342,IF(G332="ALU blanc","S9016",""))</f>
        <v/>
      </c>
      <c r="N332" s="1" t="str">
        <f>IF('Extraction edi'!S342&lt;&gt;"",'Extraction edi'!S342,IF(G332="ALU blanc","S9016",""))</f>
        <v/>
      </c>
      <c r="O332" s="11" t="str">
        <f>IF('Extraction edi'!V342&lt;'Feuille commande'!$E$1,"DELAI NON COMPATIBLE",IF('Extraction edi'!V342="","",WORKDAY('Extraction edi'!V342,-10,Paramètrage!$G$2:$G$104)))</f>
        <v/>
      </c>
      <c r="P332" s="1" t="e">
        <f t="shared" si="5"/>
        <v>#VALUE!</v>
      </c>
    </row>
    <row r="333" spans="1:16" x14ac:dyDescent="0.25">
      <c r="A333" s="1" t="str">
        <f>IF(B333="","",CONCATENATE(B333,".",C333,"/Pos ",D333,"/",'Extraction edi'!G343))</f>
        <v/>
      </c>
      <c r="B333" s="1" t="str">
        <f>IF('Extraction edi'!A343="","",'Extraction edi'!A343)</f>
        <v/>
      </c>
      <c r="C333" s="1" t="str">
        <f>IF('Extraction edi'!B343="","",'Extraction edi'!B343)</f>
        <v/>
      </c>
      <c r="D333" s="1" t="str">
        <f>IF('Extraction edi'!H343="","",'Extraction edi'!H343)</f>
        <v/>
      </c>
      <c r="E333" s="1" t="str">
        <f>IF('Extraction edi'!I343="","",'Extraction edi'!I343)</f>
        <v/>
      </c>
      <c r="F333" t="str">
        <f>IF('Extraction edi'!K343="","",'Extraction edi'!K343)</f>
        <v/>
      </c>
      <c r="G333" t="str">
        <f>IF('Extraction edi'!L336="","",'Extraction edi'!L336)</f>
        <v/>
      </c>
      <c r="H333" t="str">
        <f>IF('Extraction edi'!M336="","",'Extraction edi'!M336)</f>
        <v/>
      </c>
      <c r="I333" s="1" t="str">
        <f>IF('Extraction edi'!N343="","",'Extraction edi'!N343)</f>
        <v/>
      </c>
      <c r="J333" s="1" t="str">
        <f>IF('Extraction edi'!O343="","",'Extraction edi'!O343)</f>
        <v/>
      </c>
      <c r="K333" s="1" t="str">
        <f>IF('Extraction edi'!P343="","",'Extraction edi'!P343)</f>
        <v/>
      </c>
      <c r="L333" s="1" t="str">
        <f>IF('Extraction edi'!Q343="laquage RAL :","OUI","")</f>
        <v/>
      </c>
      <c r="M333" s="1" t="str">
        <f>IF('Extraction edi'!R343&lt;&gt;"",'Extraction edi'!R343,IF(G333="ALU blanc","S9016",""))</f>
        <v/>
      </c>
      <c r="N333" s="1" t="str">
        <f>IF('Extraction edi'!S343&lt;&gt;"",'Extraction edi'!S343,IF(G333="ALU blanc","S9016",""))</f>
        <v/>
      </c>
      <c r="O333" s="11" t="str">
        <f>IF('Extraction edi'!V343&lt;'Feuille commande'!$E$1,"DELAI NON COMPATIBLE",IF('Extraction edi'!V343="","",WORKDAY('Extraction edi'!V343,-10,Paramètrage!$G$2:$G$104)))</f>
        <v/>
      </c>
      <c r="P333" s="1" t="e">
        <f t="shared" si="5"/>
        <v>#VALUE!</v>
      </c>
    </row>
    <row r="334" spans="1:16" x14ac:dyDescent="0.25">
      <c r="A334" s="1" t="str">
        <f>IF(B334="","",CONCATENATE(B334,".",C334,"/Pos ",D334,"/",'Extraction edi'!G344))</f>
        <v/>
      </c>
      <c r="B334" s="1" t="str">
        <f>IF('Extraction edi'!A344="","",'Extraction edi'!A344)</f>
        <v/>
      </c>
      <c r="C334" s="1" t="str">
        <f>IF('Extraction edi'!B344="","",'Extraction edi'!B344)</f>
        <v/>
      </c>
      <c r="D334" s="1" t="str">
        <f>IF('Extraction edi'!H344="","",'Extraction edi'!H344)</f>
        <v/>
      </c>
      <c r="E334" s="1" t="str">
        <f>IF('Extraction edi'!I344="","",'Extraction edi'!I344)</f>
        <v/>
      </c>
      <c r="F334" t="str">
        <f>IF('Extraction edi'!K344="","",'Extraction edi'!K344)</f>
        <v/>
      </c>
      <c r="G334" t="str">
        <f>IF('Extraction edi'!L337="","",'Extraction edi'!L337)</f>
        <v/>
      </c>
      <c r="H334" t="str">
        <f>IF('Extraction edi'!M337="","",'Extraction edi'!M337)</f>
        <v/>
      </c>
      <c r="I334" s="1" t="str">
        <f>IF('Extraction edi'!N344="","",'Extraction edi'!N344)</f>
        <v/>
      </c>
      <c r="J334" s="1" t="str">
        <f>IF('Extraction edi'!O344="","",'Extraction edi'!O344)</f>
        <v/>
      </c>
      <c r="K334" s="1" t="str">
        <f>IF('Extraction edi'!P344="","",'Extraction edi'!P344)</f>
        <v/>
      </c>
      <c r="L334" s="1" t="str">
        <f>IF('Extraction edi'!Q344="laquage RAL :","OUI","")</f>
        <v/>
      </c>
      <c r="M334" s="1" t="str">
        <f>IF('Extraction edi'!R344&lt;&gt;"",'Extraction edi'!R344,IF(G334="ALU blanc","S9016",""))</f>
        <v/>
      </c>
      <c r="N334" s="1" t="str">
        <f>IF('Extraction edi'!S344&lt;&gt;"",'Extraction edi'!S344,IF(G334="ALU blanc","S9016",""))</f>
        <v/>
      </c>
      <c r="O334" s="11" t="str">
        <f>IF('Extraction edi'!V344&lt;'Feuille commande'!$E$1,"DELAI NON COMPATIBLE",IF('Extraction edi'!V344="","",WORKDAY('Extraction edi'!V344,-10,Paramètrage!$G$2:$G$104)))</f>
        <v/>
      </c>
      <c r="P334" s="1" t="e">
        <f t="shared" si="5"/>
        <v>#VALUE!</v>
      </c>
    </row>
    <row r="335" spans="1:16" x14ac:dyDescent="0.25">
      <c r="A335" s="1" t="str">
        <f>IF(B335="","",CONCATENATE(B335,".",C335,"/Pos ",D335,"/",'Extraction edi'!G345))</f>
        <v/>
      </c>
      <c r="B335" s="1" t="str">
        <f>IF('Extraction edi'!A345="","",'Extraction edi'!A345)</f>
        <v/>
      </c>
      <c r="C335" s="1" t="str">
        <f>IF('Extraction edi'!B345="","",'Extraction edi'!B345)</f>
        <v/>
      </c>
      <c r="D335" s="1" t="str">
        <f>IF('Extraction edi'!H345="","",'Extraction edi'!H345)</f>
        <v/>
      </c>
      <c r="E335" s="1" t="str">
        <f>IF('Extraction edi'!I345="","",'Extraction edi'!I345)</f>
        <v/>
      </c>
      <c r="F335" t="str">
        <f>IF('Extraction edi'!K345="","",'Extraction edi'!K345)</f>
        <v/>
      </c>
      <c r="G335" t="str">
        <f>IF('Extraction edi'!L338="","",'Extraction edi'!L338)</f>
        <v/>
      </c>
      <c r="H335" t="str">
        <f>IF('Extraction edi'!M338="","",'Extraction edi'!M338)</f>
        <v/>
      </c>
      <c r="I335" s="1" t="str">
        <f>IF('Extraction edi'!N345="","",'Extraction edi'!N345)</f>
        <v/>
      </c>
      <c r="J335" s="1" t="str">
        <f>IF('Extraction edi'!O345="","",'Extraction edi'!O345)</f>
        <v/>
      </c>
      <c r="K335" s="1" t="str">
        <f>IF('Extraction edi'!P345="","",'Extraction edi'!P345)</f>
        <v/>
      </c>
      <c r="L335" s="1" t="str">
        <f>IF('Extraction edi'!Q345="laquage RAL :","OUI","")</f>
        <v/>
      </c>
      <c r="M335" s="1" t="str">
        <f>IF('Extraction edi'!R345&lt;&gt;"",'Extraction edi'!R345,IF(G335="ALU blanc","S9016",""))</f>
        <v/>
      </c>
      <c r="N335" s="1" t="str">
        <f>IF('Extraction edi'!S345&lt;&gt;"",'Extraction edi'!S345,IF(G335="ALU blanc","S9016",""))</f>
        <v/>
      </c>
      <c r="O335" s="11" t="str">
        <f>IF('Extraction edi'!V345&lt;'Feuille commande'!$E$1,"DELAI NON COMPATIBLE",IF('Extraction edi'!V345="","",WORKDAY('Extraction edi'!V345,-10,Paramètrage!$G$2:$G$104)))</f>
        <v/>
      </c>
      <c r="P335" s="1" t="e">
        <f t="shared" si="5"/>
        <v>#VALUE!</v>
      </c>
    </row>
    <row r="336" spans="1:16" x14ac:dyDescent="0.25">
      <c r="A336" s="1" t="str">
        <f>IF(B336="","",CONCATENATE(B336,".",C336,"/Pos ",D336,"/",'Extraction edi'!G346))</f>
        <v/>
      </c>
      <c r="B336" s="1" t="str">
        <f>IF('Extraction edi'!A346="","",'Extraction edi'!A346)</f>
        <v/>
      </c>
      <c r="C336" s="1" t="str">
        <f>IF('Extraction edi'!B346="","",'Extraction edi'!B346)</f>
        <v/>
      </c>
      <c r="D336" s="1" t="str">
        <f>IF('Extraction edi'!H346="","",'Extraction edi'!H346)</f>
        <v/>
      </c>
      <c r="E336" s="1" t="str">
        <f>IF('Extraction edi'!I346="","",'Extraction edi'!I346)</f>
        <v/>
      </c>
      <c r="F336" t="str">
        <f>IF('Extraction edi'!K346="","",'Extraction edi'!K346)</f>
        <v/>
      </c>
      <c r="G336" t="str">
        <f>IF('Extraction edi'!L339="","",'Extraction edi'!L339)</f>
        <v/>
      </c>
      <c r="H336" t="str">
        <f>IF('Extraction edi'!M339="","",'Extraction edi'!M339)</f>
        <v/>
      </c>
      <c r="I336" s="1" t="str">
        <f>IF('Extraction edi'!N346="","",'Extraction edi'!N346)</f>
        <v/>
      </c>
      <c r="J336" s="1" t="str">
        <f>IF('Extraction edi'!O346="","",'Extraction edi'!O346)</f>
        <v/>
      </c>
      <c r="K336" s="1" t="str">
        <f>IF('Extraction edi'!P346="","",'Extraction edi'!P346)</f>
        <v/>
      </c>
      <c r="L336" s="1" t="str">
        <f>IF('Extraction edi'!Q346="laquage RAL :","OUI","")</f>
        <v/>
      </c>
      <c r="M336" s="1" t="str">
        <f>IF('Extraction edi'!R346&lt;&gt;"",'Extraction edi'!R346,IF(G336="ALU blanc","S9016",""))</f>
        <v/>
      </c>
      <c r="N336" s="1" t="str">
        <f>IF('Extraction edi'!S346&lt;&gt;"",'Extraction edi'!S346,IF(G336="ALU blanc","S9016",""))</f>
        <v/>
      </c>
      <c r="O336" s="11" t="str">
        <f>IF('Extraction edi'!V346&lt;'Feuille commande'!$E$1,"DELAI NON COMPATIBLE",IF('Extraction edi'!V346="","",WORKDAY('Extraction edi'!V346,-10,Paramètrage!$G$2:$G$104)))</f>
        <v/>
      </c>
      <c r="P336" s="1" t="e">
        <f t="shared" si="5"/>
        <v>#VALUE!</v>
      </c>
    </row>
    <row r="337" spans="1:16" x14ac:dyDescent="0.25">
      <c r="A337" s="1" t="str">
        <f>IF(B337="","",CONCATENATE(B337,".",C337,"/Pos ",D337,"/",'Extraction edi'!G347))</f>
        <v/>
      </c>
      <c r="B337" s="1" t="str">
        <f>IF('Extraction edi'!A347="","",'Extraction edi'!A347)</f>
        <v/>
      </c>
      <c r="C337" s="1" t="str">
        <f>IF('Extraction edi'!B347="","",'Extraction edi'!B347)</f>
        <v/>
      </c>
      <c r="D337" s="1" t="str">
        <f>IF('Extraction edi'!H347="","",'Extraction edi'!H347)</f>
        <v/>
      </c>
      <c r="E337" s="1" t="str">
        <f>IF('Extraction edi'!I347="","",'Extraction edi'!I347)</f>
        <v/>
      </c>
      <c r="F337" t="str">
        <f>IF('Extraction edi'!K347="","",'Extraction edi'!K347)</f>
        <v/>
      </c>
      <c r="G337" t="str">
        <f>IF('Extraction edi'!L340="","",'Extraction edi'!L340)</f>
        <v/>
      </c>
      <c r="H337" t="str">
        <f>IF('Extraction edi'!M340="","",'Extraction edi'!M340)</f>
        <v/>
      </c>
      <c r="I337" s="1" t="str">
        <f>IF('Extraction edi'!N347="","",'Extraction edi'!N347)</f>
        <v/>
      </c>
      <c r="J337" s="1" t="str">
        <f>IF('Extraction edi'!O347="","",'Extraction edi'!O347)</f>
        <v/>
      </c>
      <c r="K337" s="1" t="str">
        <f>IF('Extraction edi'!P347="","",'Extraction edi'!P347)</f>
        <v/>
      </c>
      <c r="L337" s="1" t="str">
        <f>IF('Extraction edi'!Q347="laquage RAL :","OUI","")</f>
        <v/>
      </c>
      <c r="M337" s="1" t="str">
        <f>IF('Extraction edi'!R347&lt;&gt;"",'Extraction edi'!R347,IF(G337="ALU blanc","S9016",""))</f>
        <v/>
      </c>
      <c r="N337" s="1" t="str">
        <f>IF('Extraction edi'!S347&lt;&gt;"",'Extraction edi'!S347,IF(G337="ALU blanc","S9016",""))</f>
        <v/>
      </c>
      <c r="O337" s="11" t="str">
        <f>IF('Extraction edi'!V347&lt;'Feuille commande'!$E$1,"DELAI NON COMPATIBLE",IF('Extraction edi'!V347="","",WORKDAY('Extraction edi'!V347,-10,Paramètrage!$G$2:$G$104)))</f>
        <v/>
      </c>
      <c r="P337" s="1" t="e">
        <f t="shared" si="5"/>
        <v>#VALUE!</v>
      </c>
    </row>
    <row r="338" spans="1:16" x14ac:dyDescent="0.25">
      <c r="A338" s="1" t="str">
        <f>IF(B338="","",CONCATENATE(B338,".",C338,"/Pos ",D338,"/",'Extraction edi'!G348))</f>
        <v/>
      </c>
      <c r="B338" s="1" t="str">
        <f>IF('Extraction edi'!A348="","",'Extraction edi'!A348)</f>
        <v/>
      </c>
      <c r="C338" s="1" t="str">
        <f>IF('Extraction edi'!B348="","",'Extraction edi'!B348)</f>
        <v/>
      </c>
      <c r="D338" s="1" t="str">
        <f>IF('Extraction edi'!H348="","",'Extraction edi'!H348)</f>
        <v/>
      </c>
      <c r="E338" s="1" t="str">
        <f>IF('Extraction edi'!I348="","",'Extraction edi'!I348)</f>
        <v/>
      </c>
      <c r="F338" t="str">
        <f>IF('Extraction edi'!K348="","",'Extraction edi'!K348)</f>
        <v/>
      </c>
      <c r="G338" t="str">
        <f>IF('Extraction edi'!L341="","",'Extraction edi'!L341)</f>
        <v/>
      </c>
      <c r="H338" t="str">
        <f>IF('Extraction edi'!M341="","",'Extraction edi'!M341)</f>
        <v/>
      </c>
      <c r="I338" s="1" t="str">
        <f>IF('Extraction edi'!N348="","",'Extraction edi'!N348)</f>
        <v/>
      </c>
      <c r="J338" s="1" t="str">
        <f>IF('Extraction edi'!O348="","",'Extraction edi'!O348)</f>
        <v/>
      </c>
      <c r="K338" s="1" t="str">
        <f>IF('Extraction edi'!P348="","",'Extraction edi'!P348)</f>
        <v/>
      </c>
      <c r="L338" s="1" t="str">
        <f>IF('Extraction edi'!Q348="laquage RAL :","OUI","")</f>
        <v/>
      </c>
      <c r="M338" s="1" t="str">
        <f>IF('Extraction edi'!R348&lt;&gt;"",'Extraction edi'!R348,IF(G338="ALU blanc","S9016",""))</f>
        <v/>
      </c>
      <c r="N338" s="1" t="str">
        <f>IF('Extraction edi'!S348&lt;&gt;"",'Extraction edi'!S348,IF(G338="ALU blanc","S9016",""))</f>
        <v/>
      </c>
      <c r="O338" s="11" t="str">
        <f>IF('Extraction edi'!V348&lt;'Feuille commande'!$E$1,"DELAI NON COMPATIBLE",IF('Extraction edi'!V348="","",WORKDAY('Extraction edi'!V348,-10,Paramètrage!$G$2:$G$104)))</f>
        <v/>
      </c>
      <c r="P338" s="1" t="e">
        <f t="shared" si="5"/>
        <v>#VALUE!</v>
      </c>
    </row>
    <row r="339" spans="1:16" x14ac:dyDescent="0.25">
      <c r="A339" s="1" t="str">
        <f>IF(B339="","",CONCATENATE(B339,".",C339,"/Pos ",D339,"/",'Extraction edi'!G349))</f>
        <v/>
      </c>
      <c r="B339" s="1" t="str">
        <f>IF('Extraction edi'!A349="","",'Extraction edi'!A349)</f>
        <v/>
      </c>
      <c r="C339" s="1" t="str">
        <f>IF('Extraction edi'!B349="","",'Extraction edi'!B349)</f>
        <v/>
      </c>
      <c r="D339" s="1" t="str">
        <f>IF('Extraction edi'!H349="","",'Extraction edi'!H349)</f>
        <v/>
      </c>
      <c r="E339" s="1" t="str">
        <f>IF('Extraction edi'!I349="","",'Extraction edi'!I349)</f>
        <v/>
      </c>
      <c r="F339" t="str">
        <f>IF('Extraction edi'!K349="","",'Extraction edi'!K349)</f>
        <v/>
      </c>
      <c r="G339" t="str">
        <f>IF('Extraction edi'!L342="","",'Extraction edi'!L342)</f>
        <v/>
      </c>
      <c r="H339" t="str">
        <f>IF('Extraction edi'!M342="","",'Extraction edi'!M342)</f>
        <v/>
      </c>
      <c r="I339" s="1" t="str">
        <f>IF('Extraction edi'!N349="","",'Extraction edi'!N349)</f>
        <v/>
      </c>
      <c r="J339" s="1" t="str">
        <f>IF('Extraction edi'!O349="","",'Extraction edi'!O349)</f>
        <v/>
      </c>
      <c r="K339" s="1" t="str">
        <f>IF('Extraction edi'!P349="","",'Extraction edi'!P349)</f>
        <v/>
      </c>
      <c r="L339" s="1" t="str">
        <f>IF('Extraction edi'!Q349="laquage RAL :","OUI","")</f>
        <v/>
      </c>
      <c r="M339" s="1" t="str">
        <f>IF('Extraction edi'!R349&lt;&gt;"",'Extraction edi'!R349,IF(G339="ALU blanc","S9016",""))</f>
        <v/>
      </c>
      <c r="N339" s="1" t="str">
        <f>IF('Extraction edi'!S349&lt;&gt;"",'Extraction edi'!S349,IF(G339="ALU blanc","S9016",""))</f>
        <v/>
      </c>
      <c r="O339" s="11" t="str">
        <f>IF('Extraction edi'!V349&lt;'Feuille commande'!$E$1,"DELAI NON COMPATIBLE",IF('Extraction edi'!V349="","",WORKDAY('Extraction edi'!V349,-10,Paramètrage!$G$2:$G$104)))</f>
        <v/>
      </c>
      <c r="P339" s="1" t="e">
        <f t="shared" si="5"/>
        <v>#VALUE!</v>
      </c>
    </row>
    <row r="340" spans="1:16" x14ac:dyDescent="0.25">
      <c r="A340" s="1" t="str">
        <f>IF(B340="","",CONCATENATE(B340,".",C340,"/Pos ",D340,"/",'Extraction edi'!G350))</f>
        <v/>
      </c>
      <c r="B340" s="1" t="str">
        <f>IF('Extraction edi'!A350="","",'Extraction edi'!A350)</f>
        <v/>
      </c>
      <c r="C340" s="1" t="str">
        <f>IF('Extraction edi'!B350="","",'Extraction edi'!B350)</f>
        <v/>
      </c>
      <c r="D340" s="1" t="str">
        <f>IF('Extraction edi'!H350="","",'Extraction edi'!H350)</f>
        <v/>
      </c>
      <c r="E340" s="1" t="str">
        <f>IF('Extraction edi'!I350="","",'Extraction edi'!I350)</f>
        <v/>
      </c>
      <c r="F340" t="str">
        <f>IF('Extraction edi'!K350="","",'Extraction edi'!K350)</f>
        <v/>
      </c>
      <c r="G340" t="str">
        <f>IF('Extraction edi'!L343="","",'Extraction edi'!L343)</f>
        <v/>
      </c>
      <c r="H340" t="str">
        <f>IF('Extraction edi'!M343="","",'Extraction edi'!M343)</f>
        <v/>
      </c>
      <c r="I340" s="1" t="str">
        <f>IF('Extraction edi'!N350="","",'Extraction edi'!N350)</f>
        <v/>
      </c>
      <c r="J340" s="1" t="str">
        <f>IF('Extraction edi'!O350="","",'Extraction edi'!O350)</f>
        <v/>
      </c>
      <c r="K340" s="1" t="str">
        <f>IF('Extraction edi'!P350="","",'Extraction edi'!P350)</f>
        <v/>
      </c>
      <c r="L340" s="1" t="str">
        <f>IF('Extraction edi'!Q350="laquage RAL :","OUI","")</f>
        <v/>
      </c>
      <c r="M340" s="1" t="str">
        <f>IF('Extraction edi'!R350&lt;&gt;"",'Extraction edi'!R350,IF(G340="ALU blanc","S9016",""))</f>
        <v/>
      </c>
      <c r="N340" s="1" t="str">
        <f>IF('Extraction edi'!S350&lt;&gt;"",'Extraction edi'!S350,IF(G340="ALU blanc","S9016",""))</f>
        <v/>
      </c>
      <c r="O340" s="11" t="str">
        <f>IF('Extraction edi'!V350&lt;'Feuille commande'!$E$1,"DELAI NON COMPATIBLE",IF('Extraction edi'!V350="","",WORKDAY('Extraction edi'!V350,-10,Paramètrage!$G$2:$G$104)))</f>
        <v/>
      </c>
      <c r="P340" s="1" t="e">
        <f t="shared" si="5"/>
        <v>#VALUE!</v>
      </c>
    </row>
    <row r="341" spans="1:16" x14ac:dyDescent="0.25">
      <c r="A341" s="1" t="str">
        <f>IF(B341="","",CONCATENATE(B341,".",C341,"/Pos ",D341,"/",'Extraction edi'!G351))</f>
        <v/>
      </c>
      <c r="B341" s="1" t="str">
        <f>IF('Extraction edi'!A351="","",'Extraction edi'!A351)</f>
        <v/>
      </c>
      <c r="C341" s="1" t="str">
        <f>IF('Extraction edi'!B351="","",'Extraction edi'!B351)</f>
        <v/>
      </c>
      <c r="D341" s="1" t="str">
        <f>IF('Extraction edi'!H351="","",'Extraction edi'!H351)</f>
        <v/>
      </c>
      <c r="E341" s="1" t="str">
        <f>IF('Extraction edi'!I351="","",'Extraction edi'!I351)</f>
        <v/>
      </c>
      <c r="F341" t="str">
        <f>IF('Extraction edi'!K351="","",'Extraction edi'!K351)</f>
        <v/>
      </c>
      <c r="G341" t="str">
        <f>IF('Extraction edi'!L344="","",'Extraction edi'!L344)</f>
        <v/>
      </c>
      <c r="H341" t="str">
        <f>IF('Extraction edi'!M344="","",'Extraction edi'!M344)</f>
        <v/>
      </c>
      <c r="I341" s="1" t="str">
        <f>IF('Extraction edi'!N351="","",'Extraction edi'!N351)</f>
        <v/>
      </c>
      <c r="J341" s="1" t="str">
        <f>IF('Extraction edi'!O351="","",'Extraction edi'!O351)</f>
        <v/>
      </c>
      <c r="K341" s="1" t="str">
        <f>IF('Extraction edi'!P351="","",'Extraction edi'!P351)</f>
        <v/>
      </c>
      <c r="L341" s="1" t="str">
        <f>IF('Extraction edi'!Q351="laquage RAL :","OUI","")</f>
        <v/>
      </c>
      <c r="M341" s="1" t="str">
        <f>IF('Extraction edi'!R351&lt;&gt;"",'Extraction edi'!R351,IF(G341="ALU blanc","S9016",""))</f>
        <v/>
      </c>
      <c r="N341" s="1" t="str">
        <f>IF('Extraction edi'!S351&lt;&gt;"",'Extraction edi'!S351,IF(G341="ALU blanc","S9016",""))</f>
        <v/>
      </c>
      <c r="O341" s="11" t="str">
        <f>IF('Extraction edi'!V351&lt;'Feuille commande'!$E$1,"DELAI NON COMPATIBLE",IF('Extraction edi'!V351="","",WORKDAY('Extraction edi'!V351,-10,Paramètrage!$G$2:$G$104)))</f>
        <v/>
      </c>
      <c r="P341" s="1" t="e">
        <f t="shared" si="5"/>
        <v>#VALUE!</v>
      </c>
    </row>
    <row r="342" spans="1:16" x14ac:dyDescent="0.25">
      <c r="A342" s="1" t="str">
        <f>IF(B342="","",CONCATENATE(B342,".",C342,"/Pos ",D342,"/",'Extraction edi'!G352))</f>
        <v/>
      </c>
      <c r="B342" s="1" t="str">
        <f>IF('Extraction edi'!A352="","",'Extraction edi'!A352)</f>
        <v/>
      </c>
      <c r="C342" s="1" t="str">
        <f>IF('Extraction edi'!B352="","",'Extraction edi'!B352)</f>
        <v/>
      </c>
      <c r="D342" s="1" t="str">
        <f>IF('Extraction edi'!H352="","",'Extraction edi'!H352)</f>
        <v/>
      </c>
      <c r="E342" s="1" t="str">
        <f>IF('Extraction edi'!I352="","",'Extraction edi'!I352)</f>
        <v/>
      </c>
      <c r="F342" t="str">
        <f>IF('Extraction edi'!K352="","",'Extraction edi'!K352)</f>
        <v/>
      </c>
      <c r="G342" t="str">
        <f>IF('Extraction edi'!L345="","",'Extraction edi'!L345)</f>
        <v/>
      </c>
      <c r="H342" t="str">
        <f>IF('Extraction edi'!M345="","",'Extraction edi'!M345)</f>
        <v/>
      </c>
      <c r="I342" s="1" t="str">
        <f>IF('Extraction edi'!N352="","",'Extraction edi'!N352)</f>
        <v/>
      </c>
      <c r="J342" s="1" t="str">
        <f>IF('Extraction edi'!O352="","",'Extraction edi'!O352)</f>
        <v/>
      </c>
      <c r="K342" s="1" t="str">
        <f>IF('Extraction edi'!P352="","",'Extraction edi'!P352)</f>
        <v/>
      </c>
      <c r="L342" s="1" t="str">
        <f>IF('Extraction edi'!Q352="laquage RAL :","OUI","")</f>
        <v/>
      </c>
      <c r="M342" s="1" t="str">
        <f>IF('Extraction edi'!R352&lt;&gt;"",'Extraction edi'!R352,IF(G342="ALU blanc","S9016",""))</f>
        <v/>
      </c>
      <c r="N342" s="1" t="str">
        <f>IF('Extraction edi'!S352&lt;&gt;"",'Extraction edi'!S352,IF(G342="ALU blanc","S9016",""))</f>
        <v/>
      </c>
      <c r="O342" s="11" t="str">
        <f>IF('Extraction edi'!V352&lt;'Feuille commande'!$E$1,"DELAI NON COMPATIBLE",IF('Extraction edi'!V352="","",WORKDAY('Extraction edi'!V352,-10,Paramètrage!$G$2:$G$104)))</f>
        <v/>
      </c>
      <c r="P342" s="1" t="e">
        <f t="shared" si="5"/>
        <v>#VALUE!</v>
      </c>
    </row>
    <row r="343" spans="1:16" x14ac:dyDescent="0.25">
      <c r="A343" s="1" t="str">
        <f>IF(B343="","",CONCATENATE(B343,".",C343,"/Pos ",D343,"/",'Extraction edi'!G353))</f>
        <v/>
      </c>
      <c r="B343" s="1" t="str">
        <f>IF('Extraction edi'!A353="","",'Extraction edi'!A353)</f>
        <v/>
      </c>
      <c r="C343" s="1" t="str">
        <f>IF('Extraction edi'!B353="","",'Extraction edi'!B353)</f>
        <v/>
      </c>
      <c r="D343" s="1" t="str">
        <f>IF('Extraction edi'!H353="","",'Extraction edi'!H353)</f>
        <v/>
      </c>
      <c r="E343" s="1" t="str">
        <f>IF('Extraction edi'!I353="","",'Extraction edi'!I353)</f>
        <v/>
      </c>
      <c r="F343" t="str">
        <f>IF('Extraction edi'!K353="","",'Extraction edi'!K353)</f>
        <v/>
      </c>
      <c r="G343" t="str">
        <f>IF('Extraction edi'!L346="","",'Extraction edi'!L346)</f>
        <v/>
      </c>
      <c r="H343" t="str">
        <f>IF('Extraction edi'!M346="","",'Extraction edi'!M346)</f>
        <v/>
      </c>
      <c r="I343" s="1" t="str">
        <f>IF('Extraction edi'!N353="","",'Extraction edi'!N353)</f>
        <v/>
      </c>
      <c r="J343" s="1" t="str">
        <f>IF('Extraction edi'!O353="","",'Extraction edi'!O353)</f>
        <v/>
      </c>
      <c r="K343" s="1" t="str">
        <f>IF('Extraction edi'!P353="","",'Extraction edi'!P353)</f>
        <v/>
      </c>
      <c r="L343" s="1" t="str">
        <f>IF('Extraction edi'!Q353="laquage RAL :","OUI","")</f>
        <v/>
      </c>
      <c r="M343" s="1" t="str">
        <f>IF('Extraction edi'!R353&lt;&gt;"",'Extraction edi'!R353,IF(G343="ALU blanc","S9016",""))</f>
        <v/>
      </c>
      <c r="N343" s="1" t="str">
        <f>IF('Extraction edi'!S353&lt;&gt;"",'Extraction edi'!S353,IF(G343="ALU blanc","S9016",""))</f>
        <v/>
      </c>
      <c r="O343" s="11" t="str">
        <f>IF('Extraction edi'!V353&lt;'Feuille commande'!$E$1,"DELAI NON COMPATIBLE",IF('Extraction edi'!V353="","",WORKDAY('Extraction edi'!V353,-10,Paramètrage!$G$2:$G$104)))</f>
        <v/>
      </c>
      <c r="P343" s="1" t="e">
        <f t="shared" si="5"/>
        <v>#VALUE!</v>
      </c>
    </row>
    <row r="344" spans="1:16" x14ac:dyDescent="0.25">
      <c r="A344" s="1" t="str">
        <f>IF(B344="","",CONCATENATE(B344,".",C344,"/Pos ",D344,"/",'Extraction edi'!G354))</f>
        <v/>
      </c>
      <c r="B344" s="1" t="str">
        <f>IF('Extraction edi'!A354="","",'Extraction edi'!A354)</f>
        <v/>
      </c>
      <c r="C344" s="1" t="str">
        <f>IF('Extraction edi'!B354="","",'Extraction edi'!B354)</f>
        <v/>
      </c>
      <c r="D344" s="1" t="str">
        <f>IF('Extraction edi'!H354="","",'Extraction edi'!H354)</f>
        <v/>
      </c>
      <c r="E344" s="1" t="str">
        <f>IF('Extraction edi'!I354="","",'Extraction edi'!I354)</f>
        <v/>
      </c>
      <c r="F344" t="str">
        <f>IF('Extraction edi'!K354="","",'Extraction edi'!K354)</f>
        <v/>
      </c>
      <c r="G344" t="str">
        <f>IF('Extraction edi'!L347="","",'Extraction edi'!L347)</f>
        <v/>
      </c>
      <c r="H344" t="str">
        <f>IF('Extraction edi'!M347="","",'Extraction edi'!M347)</f>
        <v/>
      </c>
      <c r="I344" s="1" t="str">
        <f>IF('Extraction edi'!N354="","",'Extraction edi'!N354)</f>
        <v/>
      </c>
      <c r="J344" s="1" t="str">
        <f>IF('Extraction edi'!O354="","",'Extraction edi'!O354)</f>
        <v/>
      </c>
      <c r="K344" s="1" t="str">
        <f>IF('Extraction edi'!P354="","",'Extraction edi'!P354)</f>
        <v/>
      </c>
      <c r="L344" s="1" t="str">
        <f>IF('Extraction edi'!Q354="laquage RAL :","OUI","")</f>
        <v/>
      </c>
      <c r="M344" s="1" t="str">
        <f>IF('Extraction edi'!R354&lt;&gt;"",'Extraction edi'!R354,IF(G344="ALU blanc","S9016",""))</f>
        <v/>
      </c>
      <c r="N344" s="1" t="str">
        <f>IF('Extraction edi'!S354&lt;&gt;"",'Extraction edi'!S354,IF(G344="ALU blanc","S9016",""))</f>
        <v/>
      </c>
      <c r="O344" s="11" t="str">
        <f>IF('Extraction edi'!V354&lt;'Feuille commande'!$E$1,"DELAI NON COMPATIBLE",IF('Extraction edi'!V354="","",WORKDAY('Extraction edi'!V354,-10,Paramètrage!$G$2:$G$104)))</f>
        <v/>
      </c>
      <c r="P344" s="1" t="e">
        <f t="shared" si="5"/>
        <v>#VALUE!</v>
      </c>
    </row>
    <row r="345" spans="1:16" x14ac:dyDescent="0.25">
      <c r="A345" s="1" t="str">
        <f>IF(B345="","",CONCATENATE(B345,".",C345,"/Pos ",D345,"/",'Extraction edi'!G355))</f>
        <v/>
      </c>
      <c r="B345" s="1" t="str">
        <f>IF('Extraction edi'!A355="","",'Extraction edi'!A355)</f>
        <v/>
      </c>
      <c r="C345" s="1" t="str">
        <f>IF('Extraction edi'!B355="","",'Extraction edi'!B355)</f>
        <v/>
      </c>
      <c r="D345" s="1" t="str">
        <f>IF('Extraction edi'!H355="","",'Extraction edi'!H355)</f>
        <v/>
      </c>
      <c r="E345" s="1" t="str">
        <f>IF('Extraction edi'!I355="","",'Extraction edi'!I355)</f>
        <v/>
      </c>
      <c r="F345" t="str">
        <f>IF('Extraction edi'!K355="","",'Extraction edi'!K355)</f>
        <v/>
      </c>
      <c r="G345" t="str">
        <f>IF('Extraction edi'!L348="","",'Extraction edi'!L348)</f>
        <v/>
      </c>
      <c r="H345" t="str">
        <f>IF('Extraction edi'!M348="","",'Extraction edi'!M348)</f>
        <v/>
      </c>
      <c r="I345" s="1" t="str">
        <f>IF('Extraction edi'!N355="","",'Extraction edi'!N355)</f>
        <v/>
      </c>
      <c r="J345" s="1" t="str">
        <f>IF('Extraction edi'!O355="","",'Extraction edi'!O355)</f>
        <v/>
      </c>
      <c r="K345" s="1" t="str">
        <f>IF('Extraction edi'!P355="","",'Extraction edi'!P355)</f>
        <v/>
      </c>
      <c r="L345" s="1" t="str">
        <f>IF('Extraction edi'!Q355="laquage RAL :","OUI","")</f>
        <v/>
      </c>
      <c r="M345" s="1" t="str">
        <f>IF('Extraction edi'!R355&lt;&gt;"",'Extraction edi'!R355,IF(G345="ALU blanc","S9016",""))</f>
        <v/>
      </c>
      <c r="N345" s="1" t="str">
        <f>IF('Extraction edi'!S355&lt;&gt;"",'Extraction edi'!S355,IF(G345="ALU blanc","S9016",""))</f>
        <v/>
      </c>
      <c r="O345" s="11" t="str">
        <f>IF('Extraction edi'!V355&lt;'Feuille commande'!$E$1,"DELAI NON COMPATIBLE",IF('Extraction edi'!V355="","",WORKDAY('Extraction edi'!V355,-10,Paramètrage!$G$2:$G$104)))</f>
        <v/>
      </c>
      <c r="P345" s="1" t="e">
        <f t="shared" si="5"/>
        <v>#VALUE!</v>
      </c>
    </row>
    <row r="346" spans="1:16" x14ac:dyDescent="0.25">
      <c r="A346" s="1" t="str">
        <f>IF(B346="","",CONCATENATE(B346,".",C346,"/Pos ",D346,"/",'Extraction edi'!G356))</f>
        <v/>
      </c>
      <c r="B346" s="1" t="str">
        <f>IF('Extraction edi'!A356="","",'Extraction edi'!A356)</f>
        <v/>
      </c>
      <c r="C346" s="1" t="str">
        <f>IF('Extraction edi'!B356="","",'Extraction edi'!B356)</f>
        <v/>
      </c>
      <c r="D346" s="1" t="str">
        <f>IF('Extraction edi'!H356="","",'Extraction edi'!H356)</f>
        <v/>
      </c>
      <c r="E346" s="1" t="str">
        <f>IF('Extraction edi'!I356="","",'Extraction edi'!I356)</f>
        <v/>
      </c>
      <c r="F346" t="str">
        <f>IF('Extraction edi'!K356="","",'Extraction edi'!K356)</f>
        <v/>
      </c>
      <c r="G346" t="str">
        <f>IF('Extraction edi'!L349="","",'Extraction edi'!L349)</f>
        <v/>
      </c>
      <c r="H346" t="str">
        <f>IF('Extraction edi'!M349="","",'Extraction edi'!M349)</f>
        <v/>
      </c>
      <c r="I346" s="1" t="str">
        <f>IF('Extraction edi'!N356="","",'Extraction edi'!N356)</f>
        <v/>
      </c>
      <c r="J346" s="1" t="str">
        <f>IF('Extraction edi'!O356="","",'Extraction edi'!O356)</f>
        <v/>
      </c>
      <c r="K346" s="1" t="str">
        <f>IF('Extraction edi'!P356="","",'Extraction edi'!P356)</f>
        <v/>
      </c>
      <c r="L346" s="1" t="str">
        <f>IF('Extraction edi'!Q356="laquage RAL :","OUI","")</f>
        <v/>
      </c>
      <c r="M346" s="1" t="str">
        <f>IF('Extraction edi'!R356&lt;&gt;"",'Extraction edi'!R356,IF(G346="ALU blanc","S9016",""))</f>
        <v/>
      </c>
      <c r="N346" s="1" t="str">
        <f>IF('Extraction edi'!S356&lt;&gt;"",'Extraction edi'!S356,IF(G346="ALU blanc","S9016",""))</f>
        <v/>
      </c>
      <c r="O346" s="11" t="str">
        <f>IF('Extraction edi'!V356&lt;'Feuille commande'!$E$1,"DELAI NON COMPATIBLE",IF('Extraction edi'!V356="","",WORKDAY('Extraction edi'!V356,-10,Paramètrage!$G$2:$G$104)))</f>
        <v/>
      </c>
      <c r="P346" s="1" t="e">
        <f t="shared" si="5"/>
        <v>#VALUE!</v>
      </c>
    </row>
    <row r="347" spans="1:16" x14ac:dyDescent="0.25">
      <c r="A347" s="1" t="str">
        <f>IF(B347="","",CONCATENATE(B347,".",C347,"/Pos ",D347,"/",'Extraction edi'!G357))</f>
        <v/>
      </c>
      <c r="B347" s="1" t="str">
        <f>IF('Extraction edi'!A357="","",'Extraction edi'!A357)</f>
        <v/>
      </c>
      <c r="C347" s="1" t="str">
        <f>IF('Extraction edi'!B357="","",'Extraction edi'!B357)</f>
        <v/>
      </c>
      <c r="D347" s="1" t="str">
        <f>IF('Extraction edi'!H357="","",'Extraction edi'!H357)</f>
        <v/>
      </c>
      <c r="E347" s="1" t="str">
        <f>IF('Extraction edi'!I357="","",'Extraction edi'!I357)</f>
        <v/>
      </c>
      <c r="F347" t="str">
        <f>IF('Extraction edi'!K357="","",'Extraction edi'!K357)</f>
        <v/>
      </c>
      <c r="G347" t="str">
        <f>IF('Extraction edi'!L350="","",'Extraction edi'!L350)</f>
        <v/>
      </c>
      <c r="H347" t="str">
        <f>IF('Extraction edi'!M350="","",'Extraction edi'!M350)</f>
        <v/>
      </c>
      <c r="I347" s="1" t="str">
        <f>IF('Extraction edi'!N357="","",'Extraction edi'!N357)</f>
        <v/>
      </c>
      <c r="J347" s="1" t="str">
        <f>IF('Extraction edi'!O357="","",'Extraction edi'!O357)</f>
        <v/>
      </c>
      <c r="K347" s="1" t="str">
        <f>IF('Extraction edi'!P357="","",'Extraction edi'!P357)</f>
        <v/>
      </c>
      <c r="L347" s="1" t="str">
        <f>IF('Extraction edi'!Q357="laquage RAL :","OUI","")</f>
        <v/>
      </c>
      <c r="M347" s="1" t="str">
        <f>IF('Extraction edi'!R357&lt;&gt;"",'Extraction edi'!R357,IF(G347="ALU blanc","S9016",""))</f>
        <v/>
      </c>
      <c r="N347" s="1" t="str">
        <f>IF('Extraction edi'!S357&lt;&gt;"",'Extraction edi'!S357,IF(G347="ALU blanc","S9016",""))</f>
        <v/>
      </c>
      <c r="O347" s="11" t="str">
        <f>IF('Extraction edi'!V357&lt;'Feuille commande'!$E$1,"DELAI NON COMPATIBLE",IF('Extraction edi'!V357="","",WORKDAY('Extraction edi'!V357,-10,Paramètrage!$G$2:$G$104)))</f>
        <v/>
      </c>
      <c r="P347" s="1" t="e">
        <f t="shared" si="5"/>
        <v>#VALUE!</v>
      </c>
    </row>
    <row r="348" spans="1:16" x14ac:dyDescent="0.25">
      <c r="A348" s="1" t="str">
        <f>IF(B348="","",CONCATENATE(B348,".",C348,"/Pos ",D348,"/",'Extraction edi'!G358))</f>
        <v/>
      </c>
      <c r="B348" s="1" t="str">
        <f>IF('Extraction edi'!A358="","",'Extraction edi'!A358)</f>
        <v/>
      </c>
      <c r="C348" s="1" t="str">
        <f>IF('Extraction edi'!B358="","",'Extraction edi'!B358)</f>
        <v/>
      </c>
      <c r="D348" s="1" t="str">
        <f>IF('Extraction edi'!H358="","",'Extraction edi'!H358)</f>
        <v/>
      </c>
      <c r="E348" s="1" t="str">
        <f>IF('Extraction edi'!I358="","",'Extraction edi'!I358)</f>
        <v/>
      </c>
      <c r="F348" t="str">
        <f>IF('Extraction edi'!K358="","",'Extraction edi'!K358)</f>
        <v/>
      </c>
      <c r="G348" t="str">
        <f>IF('Extraction edi'!L351="","",'Extraction edi'!L351)</f>
        <v/>
      </c>
      <c r="H348" t="str">
        <f>IF('Extraction edi'!M351="","",'Extraction edi'!M351)</f>
        <v/>
      </c>
      <c r="I348" s="1" t="str">
        <f>IF('Extraction edi'!N358="","",'Extraction edi'!N358)</f>
        <v/>
      </c>
      <c r="J348" s="1" t="str">
        <f>IF('Extraction edi'!O358="","",'Extraction edi'!O358)</f>
        <v/>
      </c>
      <c r="K348" s="1" t="str">
        <f>IF('Extraction edi'!P358="","",'Extraction edi'!P358)</f>
        <v/>
      </c>
      <c r="L348" s="1" t="str">
        <f>IF('Extraction edi'!Q358="laquage RAL :","OUI","")</f>
        <v/>
      </c>
      <c r="M348" s="1" t="str">
        <f>IF('Extraction edi'!R358&lt;&gt;"",'Extraction edi'!R358,IF(G348="ALU blanc","S9016",""))</f>
        <v/>
      </c>
      <c r="N348" s="1" t="str">
        <f>IF('Extraction edi'!S358&lt;&gt;"",'Extraction edi'!S358,IF(G348="ALU blanc","S9016",""))</f>
        <v/>
      </c>
      <c r="O348" s="11" t="str">
        <f>IF('Extraction edi'!V358&lt;'Feuille commande'!$E$1,"DELAI NON COMPATIBLE",IF('Extraction edi'!V358="","",WORKDAY('Extraction edi'!V358,-10,Paramètrage!$G$2:$G$104)))</f>
        <v/>
      </c>
      <c r="P348" s="1" t="e">
        <f t="shared" si="5"/>
        <v>#VALUE!</v>
      </c>
    </row>
    <row r="349" spans="1:16" x14ac:dyDescent="0.25">
      <c r="A349" s="1" t="str">
        <f>IF(B349="","",CONCATENATE(B349,".",C349,"/Pos ",D349,"/",'Extraction edi'!G359))</f>
        <v/>
      </c>
      <c r="B349" s="1" t="str">
        <f>IF('Extraction edi'!A359="","",'Extraction edi'!A359)</f>
        <v/>
      </c>
      <c r="C349" s="1" t="str">
        <f>IF('Extraction edi'!B359="","",'Extraction edi'!B359)</f>
        <v/>
      </c>
      <c r="D349" s="1" t="str">
        <f>IF('Extraction edi'!H359="","",'Extraction edi'!H359)</f>
        <v/>
      </c>
      <c r="E349" s="1" t="str">
        <f>IF('Extraction edi'!I359="","",'Extraction edi'!I359)</f>
        <v/>
      </c>
      <c r="F349" t="str">
        <f>IF('Extraction edi'!K359="","",'Extraction edi'!K359)</f>
        <v/>
      </c>
      <c r="G349" t="str">
        <f>IF('Extraction edi'!L352="","",'Extraction edi'!L352)</f>
        <v/>
      </c>
      <c r="H349" t="str">
        <f>IF('Extraction edi'!M352="","",'Extraction edi'!M352)</f>
        <v/>
      </c>
      <c r="I349" s="1" t="str">
        <f>IF('Extraction edi'!N359="","",'Extraction edi'!N359)</f>
        <v/>
      </c>
      <c r="J349" s="1" t="str">
        <f>IF('Extraction edi'!O359="","",'Extraction edi'!O359)</f>
        <v/>
      </c>
      <c r="K349" s="1" t="str">
        <f>IF('Extraction edi'!P359="","",'Extraction edi'!P359)</f>
        <v/>
      </c>
      <c r="L349" s="1" t="str">
        <f>IF('Extraction edi'!Q359="laquage RAL :","OUI","")</f>
        <v/>
      </c>
      <c r="M349" s="1" t="str">
        <f>IF('Extraction edi'!R359&lt;&gt;"",'Extraction edi'!R359,IF(G349="ALU blanc","S9016",""))</f>
        <v/>
      </c>
      <c r="N349" s="1" t="str">
        <f>IF('Extraction edi'!S359&lt;&gt;"",'Extraction edi'!S359,IF(G349="ALU blanc","S9016",""))</f>
        <v/>
      </c>
      <c r="O349" s="11" t="str">
        <f>IF('Extraction edi'!V359&lt;'Feuille commande'!$E$1,"DELAI NON COMPATIBLE",IF('Extraction edi'!V359="","",WORKDAY('Extraction edi'!V359,-10,Paramètrage!$G$2:$G$104)))</f>
        <v/>
      </c>
      <c r="P349" s="1" t="e">
        <f t="shared" si="5"/>
        <v>#VALUE!</v>
      </c>
    </row>
    <row r="350" spans="1:16" x14ac:dyDescent="0.25">
      <c r="A350" s="1" t="str">
        <f>IF(B350="","",CONCATENATE(B350,".",C350,"/Pos ",D350,"/",'Extraction edi'!G360))</f>
        <v/>
      </c>
      <c r="B350" s="1" t="str">
        <f>IF('Extraction edi'!A360="","",'Extraction edi'!A360)</f>
        <v/>
      </c>
      <c r="C350" s="1" t="str">
        <f>IF('Extraction edi'!B360="","",'Extraction edi'!B360)</f>
        <v/>
      </c>
      <c r="D350" s="1" t="str">
        <f>IF('Extraction edi'!H360="","",'Extraction edi'!H360)</f>
        <v/>
      </c>
      <c r="E350" s="1" t="str">
        <f>IF('Extraction edi'!I360="","",'Extraction edi'!I360)</f>
        <v/>
      </c>
      <c r="F350" t="str">
        <f>IF('Extraction edi'!K360="","",'Extraction edi'!K360)</f>
        <v/>
      </c>
      <c r="G350" t="str">
        <f>IF('Extraction edi'!L353="","",'Extraction edi'!L353)</f>
        <v/>
      </c>
      <c r="H350" t="str">
        <f>IF('Extraction edi'!M353="","",'Extraction edi'!M353)</f>
        <v/>
      </c>
      <c r="I350" s="1" t="str">
        <f>IF('Extraction edi'!N360="","",'Extraction edi'!N360)</f>
        <v/>
      </c>
      <c r="J350" s="1" t="str">
        <f>IF('Extraction edi'!O360="","",'Extraction edi'!O360)</f>
        <v/>
      </c>
      <c r="K350" s="1" t="str">
        <f>IF('Extraction edi'!P360="","",'Extraction edi'!P360)</f>
        <v/>
      </c>
      <c r="L350" s="1" t="str">
        <f>IF('Extraction edi'!Q360="laquage RAL :","OUI","")</f>
        <v/>
      </c>
      <c r="M350" s="1" t="str">
        <f>IF('Extraction edi'!R360&lt;&gt;"",'Extraction edi'!R360,IF(G350="ALU blanc","S9016",""))</f>
        <v/>
      </c>
      <c r="N350" s="1" t="str">
        <f>IF('Extraction edi'!S360&lt;&gt;"",'Extraction edi'!S360,IF(G350="ALU blanc","S9016",""))</f>
        <v/>
      </c>
      <c r="O350" s="11" t="str">
        <f>IF('Extraction edi'!V360&lt;'Feuille commande'!$E$1,"DELAI NON COMPATIBLE",IF('Extraction edi'!V360="","",WORKDAY('Extraction edi'!V360,-10,Paramètrage!$G$2:$G$104)))</f>
        <v/>
      </c>
      <c r="P350" s="1" t="e">
        <f t="shared" si="5"/>
        <v>#VALUE!</v>
      </c>
    </row>
    <row r="351" spans="1:16" x14ac:dyDescent="0.25">
      <c r="A351" s="1" t="str">
        <f>IF(B351="","",CONCATENATE(B351,".",C351,"/Pos ",D351,"/",'Extraction edi'!G361))</f>
        <v/>
      </c>
      <c r="B351" s="1" t="str">
        <f>IF('Extraction edi'!A361="","",'Extraction edi'!A361)</f>
        <v/>
      </c>
      <c r="C351" s="1" t="str">
        <f>IF('Extraction edi'!B361="","",'Extraction edi'!B361)</f>
        <v/>
      </c>
      <c r="D351" s="1" t="str">
        <f>IF('Extraction edi'!H361="","",'Extraction edi'!H361)</f>
        <v/>
      </c>
      <c r="E351" s="1" t="str">
        <f>IF('Extraction edi'!I361="","",'Extraction edi'!I361)</f>
        <v/>
      </c>
      <c r="F351" t="str">
        <f>IF('Extraction edi'!K361="","",'Extraction edi'!K361)</f>
        <v/>
      </c>
      <c r="G351" t="str">
        <f>IF('Extraction edi'!L354="","",'Extraction edi'!L354)</f>
        <v/>
      </c>
      <c r="H351" t="str">
        <f>IF('Extraction edi'!M354="","",'Extraction edi'!M354)</f>
        <v/>
      </c>
      <c r="I351" s="1" t="str">
        <f>IF('Extraction edi'!N361="","",'Extraction edi'!N361)</f>
        <v/>
      </c>
      <c r="J351" s="1" t="str">
        <f>IF('Extraction edi'!O361="","",'Extraction edi'!O361)</f>
        <v/>
      </c>
      <c r="K351" s="1" t="str">
        <f>IF('Extraction edi'!P361="","",'Extraction edi'!P361)</f>
        <v/>
      </c>
      <c r="L351" s="1" t="str">
        <f>IF('Extraction edi'!Q361="laquage RAL :","OUI","")</f>
        <v/>
      </c>
      <c r="M351" s="1" t="str">
        <f>IF('Extraction edi'!R361&lt;&gt;"",'Extraction edi'!R361,IF(G351="ALU blanc","S9016",""))</f>
        <v/>
      </c>
      <c r="N351" s="1" t="str">
        <f>IF('Extraction edi'!S361&lt;&gt;"",'Extraction edi'!S361,IF(G351="ALU blanc","S9016",""))</f>
        <v/>
      </c>
      <c r="O351" s="11" t="str">
        <f>IF('Extraction edi'!V361&lt;'Feuille commande'!$E$1,"DELAI NON COMPATIBLE",IF('Extraction edi'!V361="","",WORKDAY('Extraction edi'!V361,-10,Paramètrage!$G$2:$G$104)))</f>
        <v/>
      </c>
      <c r="P351" s="1" t="e">
        <f t="shared" si="5"/>
        <v>#VALUE!</v>
      </c>
    </row>
    <row r="352" spans="1:16" x14ac:dyDescent="0.25">
      <c r="A352" s="1" t="str">
        <f>IF(B352="","",CONCATENATE(B352,".",C352,"/Pos ",D352,"/",'Extraction edi'!G362))</f>
        <v/>
      </c>
      <c r="B352" s="1" t="str">
        <f>IF('Extraction edi'!A362="","",'Extraction edi'!A362)</f>
        <v/>
      </c>
      <c r="C352" s="1" t="str">
        <f>IF('Extraction edi'!B362="","",'Extraction edi'!B362)</f>
        <v/>
      </c>
      <c r="D352" s="1" t="str">
        <f>IF('Extraction edi'!H362="","",'Extraction edi'!H362)</f>
        <v/>
      </c>
      <c r="E352" s="1" t="str">
        <f>IF('Extraction edi'!I362="","",'Extraction edi'!I362)</f>
        <v/>
      </c>
      <c r="F352" t="str">
        <f>IF('Extraction edi'!K362="","",'Extraction edi'!K362)</f>
        <v/>
      </c>
      <c r="G352" t="str">
        <f>IF('Extraction edi'!L355="","",'Extraction edi'!L355)</f>
        <v/>
      </c>
      <c r="H352" t="str">
        <f>IF('Extraction edi'!M355="","",'Extraction edi'!M355)</f>
        <v/>
      </c>
      <c r="I352" s="1" t="str">
        <f>IF('Extraction edi'!N362="","",'Extraction edi'!N362)</f>
        <v/>
      </c>
      <c r="J352" s="1" t="str">
        <f>IF('Extraction edi'!O362="","",'Extraction edi'!O362)</f>
        <v/>
      </c>
      <c r="K352" s="1" t="str">
        <f>IF('Extraction edi'!P362="","",'Extraction edi'!P362)</f>
        <v/>
      </c>
      <c r="L352" s="1" t="str">
        <f>IF('Extraction edi'!Q362="laquage RAL :","OUI","")</f>
        <v/>
      </c>
      <c r="M352" s="1" t="str">
        <f>IF('Extraction edi'!R362&lt;&gt;"",'Extraction edi'!R362,IF(G352="ALU blanc","S9016",""))</f>
        <v/>
      </c>
      <c r="N352" s="1" t="str">
        <f>IF('Extraction edi'!S362&lt;&gt;"",'Extraction edi'!S362,IF(G352="ALU blanc","S9016",""))</f>
        <v/>
      </c>
      <c r="O352" s="11" t="str">
        <f>IF('Extraction edi'!V362&lt;'Feuille commande'!$E$1,"DELAI NON COMPATIBLE",IF('Extraction edi'!V362="","",WORKDAY('Extraction edi'!V362,-10,Paramètrage!$G$2:$G$104)))</f>
        <v/>
      </c>
      <c r="P352" s="1" t="e">
        <f t="shared" si="5"/>
        <v>#VALUE!</v>
      </c>
    </row>
    <row r="353" spans="1:16" x14ac:dyDescent="0.25">
      <c r="A353" s="1" t="str">
        <f>IF(B353="","",CONCATENATE(B353,".",C353,"/Pos ",D353,"/",'Extraction edi'!G363))</f>
        <v/>
      </c>
      <c r="B353" s="1" t="str">
        <f>IF('Extraction edi'!A363="","",'Extraction edi'!A363)</f>
        <v/>
      </c>
      <c r="C353" s="1" t="str">
        <f>IF('Extraction edi'!B363="","",'Extraction edi'!B363)</f>
        <v/>
      </c>
      <c r="D353" s="1" t="str">
        <f>IF('Extraction edi'!H363="","",'Extraction edi'!H363)</f>
        <v/>
      </c>
      <c r="E353" s="1" t="str">
        <f>IF('Extraction edi'!I363="","",'Extraction edi'!I363)</f>
        <v/>
      </c>
      <c r="F353" t="str">
        <f>IF('Extraction edi'!K363="","",'Extraction edi'!K363)</f>
        <v/>
      </c>
      <c r="G353" t="str">
        <f>IF('Extraction edi'!L356="","",'Extraction edi'!L356)</f>
        <v/>
      </c>
      <c r="H353" t="str">
        <f>IF('Extraction edi'!M356="","",'Extraction edi'!M356)</f>
        <v/>
      </c>
      <c r="I353" s="1" t="str">
        <f>IF('Extraction edi'!N363="","",'Extraction edi'!N363)</f>
        <v/>
      </c>
      <c r="J353" s="1" t="str">
        <f>IF('Extraction edi'!O363="","",'Extraction edi'!O363)</f>
        <v/>
      </c>
      <c r="K353" s="1" t="str">
        <f>IF('Extraction edi'!P363="","",'Extraction edi'!P363)</f>
        <v/>
      </c>
      <c r="L353" s="1" t="str">
        <f>IF('Extraction edi'!Q363="laquage RAL :","OUI","")</f>
        <v/>
      </c>
      <c r="M353" s="1" t="str">
        <f>IF('Extraction edi'!R363&lt;&gt;"",'Extraction edi'!R363,IF(G353="ALU blanc","S9016",""))</f>
        <v/>
      </c>
      <c r="N353" s="1" t="str">
        <f>IF('Extraction edi'!S363&lt;&gt;"",'Extraction edi'!S363,IF(G353="ALU blanc","S9016",""))</f>
        <v/>
      </c>
      <c r="O353" s="11" t="str">
        <f>IF('Extraction edi'!V363&lt;'Feuille commande'!$E$1,"DELAI NON COMPATIBLE",IF('Extraction edi'!V363="","",WORKDAY('Extraction edi'!V363,-10,Paramètrage!$G$2:$G$104)))</f>
        <v/>
      </c>
      <c r="P353" s="1" t="e">
        <f t="shared" si="5"/>
        <v>#VALUE!</v>
      </c>
    </row>
    <row r="354" spans="1:16" x14ac:dyDescent="0.25">
      <c r="A354" s="1" t="str">
        <f>IF(B354="","",CONCATENATE(B354,".",C354,"/Pos ",D354,"/",'Extraction edi'!G364))</f>
        <v/>
      </c>
      <c r="B354" s="1" t="str">
        <f>IF('Extraction edi'!A364="","",'Extraction edi'!A364)</f>
        <v/>
      </c>
      <c r="C354" s="1" t="str">
        <f>IF('Extraction edi'!B364="","",'Extraction edi'!B364)</f>
        <v/>
      </c>
      <c r="D354" s="1" t="str">
        <f>IF('Extraction edi'!H364="","",'Extraction edi'!H364)</f>
        <v/>
      </c>
      <c r="E354" s="1" t="str">
        <f>IF('Extraction edi'!I364="","",'Extraction edi'!I364)</f>
        <v/>
      </c>
      <c r="F354" t="str">
        <f>IF('Extraction edi'!K364="","",'Extraction edi'!K364)</f>
        <v/>
      </c>
      <c r="G354" t="str">
        <f>IF('Extraction edi'!L357="","",'Extraction edi'!L357)</f>
        <v/>
      </c>
      <c r="H354" t="str">
        <f>IF('Extraction edi'!M357="","",'Extraction edi'!M357)</f>
        <v/>
      </c>
      <c r="I354" s="1" t="str">
        <f>IF('Extraction edi'!N364="","",'Extraction edi'!N364)</f>
        <v/>
      </c>
      <c r="J354" s="1" t="str">
        <f>IF('Extraction edi'!O364="","",'Extraction edi'!O364)</f>
        <v/>
      </c>
      <c r="K354" s="1" t="str">
        <f>IF('Extraction edi'!P364="","",'Extraction edi'!P364)</f>
        <v/>
      </c>
      <c r="L354" s="1" t="str">
        <f>IF('Extraction edi'!Q364="laquage RAL :","OUI","")</f>
        <v/>
      </c>
      <c r="M354" s="1" t="str">
        <f>IF('Extraction edi'!R364&lt;&gt;"",'Extraction edi'!R364,IF(G354="ALU blanc","S9016",""))</f>
        <v/>
      </c>
      <c r="N354" s="1" t="str">
        <f>IF('Extraction edi'!S364&lt;&gt;"",'Extraction edi'!S364,IF(G354="ALU blanc","S9016",""))</f>
        <v/>
      </c>
      <c r="O354" s="11" t="str">
        <f>IF('Extraction edi'!V364&lt;'Feuille commande'!$E$1,"DELAI NON COMPATIBLE",IF('Extraction edi'!V364="","",WORKDAY('Extraction edi'!V364,-10,Paramètrage!$G$2:$G$104)))</f>
        <v/>
      </c>
      <c r="P354" s="1" t="e">
        <f t="shared" si="5"/>
        <v>#VALUE!</v>
      </c>
    </row>
    <row r="355" spans="1:16" x14ac:dyDescent="0.25">
      <c r="A355" s="1" t="str">
        <f>IF(B355="","",CONCATENATE(B355,".",C355,"/Pos ",D355,"/",'Extraction edi'!G365))</f>
        <v/>
      </c>
      <c r="B355" s="1" t="str">
        <f>IF('Extraction edi'!A365="","",'Extraction edi'!A365)</f>
        <v/>
      </c>
      <c r="C355" s="1" t="str">
        <f>IF('Extraction edi'!B365="","",'Extraction edi'!B365)</f>
        <v/>
      </c>
      <c r="D355" s="1" t="str">
        <f>IF('Extraction edi'!H365="","",'Extraction edi'!H365)</f>
        <v/>
      </c>
      <c r="E355" s="1" t="str">
        <f>IF('Extraction edi'!I365="","",'Extraction edi'!I365)</f>
        <v/>
      </c>
      <c r="F355" t="str">
        <f>IF('Extraction edi'!K365="","",'Extraction edi'!K365)</f>
        <v/>
      </c>
      <c r="G355" t="str">
        <f>IF('Extraction edi'!L358="","",'Extraction edi'!L358)</f>
        <v/>
      </c>
      <c r="H355" t="str">
        <f>IF('Extraction edi'!M358="","",'Extraction edi'!M358)</f>
        <v/>
      </c>
      <c r="I355" s="1" t="str">
        <f>IF('Extraction edi'!N365="","",'Extraction edi'!N365)</f>
        <v/>
      </c>
      <c r="J355" s="1" t="str">
        <f>IF('Extraction edi'!O365="","",'Extraction edi'!O365)</f>
        <v/>
      </c>
      <c r="K355" s="1" t="str">
        <f>IF('Extraction edi'!P365="","",'Extraction edi'!P365)</f>
        <v/>
      </c>
      <c r="L355" s="1" t="str">
        <f>IF('Extraction edi'!Q365="laquage RAL :","OUI","")</f>
        <v/>
      </c>
      <c r="M355" s="1" t="str">
        <f>IF('Extraction edi'!R365&lt;&gt;"",'Extraction edi'!R365,IF(G355="ALU blanc","S9016",""))</f>
        <v/>
      </c>
      <c r="N355" s="1" t="str">
        <f>IF('Extraction edi'!S365&lt;&gt;"",'Extraction edi'!S365,IF(G355="ALU blanc","S9016",""))</f>
        <v/>
      </c>
      <c r="O355" s="11" t="str">
        <f>IF('Extraction edi'!V365&lt;'Feuille commande'!$E$1,"DELAI NON COMPATIBLE",IF('Extraction edi'!V365="","",WORKDAY('Extraction edi'!V365,-10,Paramètrage!$G$2:$G$104)))</f>
        <v/>
      </c>
      <c r="P355" s="1" t="e">
        <f t="shared" si="5"/>
        <v>#VALUE!</v>
      </c>
    </row>
    <row r="356" spans="1:16" x14ac:dyDescent="0.25">
      <c r="A356" s="1" t="str">
        <f>IF(B356="","",CONCATENATE(B356,".",C356,"/Pos ",D356,"/",'Extraction edi'!G366))</f>
        <v/>
      </c>
      <c r="B356" s="1" t="str">
        <f>IF('Extraction edi'!A366="","",'Extraction edi'!A366)</f>
        <v/>
      </c>
      <c r="C356" s="1" t="str">
        <f>IF('Extraction edi'!B366="","",'Extraction edi'!B366)</f>
        <v/>
      </c>
      <c r="D356" s="1" t="str">
        <f>IF('Extraction edi'!H366="","",'Extraction edi'!H366)</f>
        <v/>
      </c>
      <c r="E356" s="1" t="str">
        <f>IF('Extraction edi'!I366="","",'Extraction edi'!I366)</f>
        <v/>
      </c>
      <c r="F356" t="str">
        <f>IF('Extraction edi'!K366="","",'Extraction edi'!K366)</f>
        <v/>
      </c>
      <c r="G356" t="str">
        <f>IF('Extraction edi'!L359="","",'Extraction edi'!L359)</f>
        <v/>
      </c>
      <c r="H356" t="str">
        <f>IF('Extraction edi'!M359="","",'Extraction edi'!M359)</f>
        <v/>
      </c>
      <c r="I356" s="1" t="str">
        <f>IF('Extraction edi'!N366="","",'Extraction edi'!N366)</f>
        <v/>
      </c>
      <c r="J356" s="1" t="str">
        <f>IF('Extraction edi'!O366="","",'Extraction edi'!O366)</f>
        <v/>
      </c>
      <c r="K356" s="1" t="str">
        <f>IF('Extraction edi'!P366="","",'Extraction edi'!P366)</f>
        <v/>
      </c>
      <c r="L356" s="1" t="str">
        <f>IF('Extraction edi'!Q366="laquage RAL :","OUI","")</f>
        <v/>
      </c>
      <c r="M356" s="1" t="str">
        <f>IF('Extraction edi'!R366&lt;&gt;"",'Extraction edi'!R366,IF(G356="ALU blanc","S9016",""))</f>
        <v/>
      </c>
      <c r="N356" s="1" t="str">
        <f>IF('Extraction edi'!S366&lt;&gt;"",'Extraction edi'!S366,IF(G356="ALU blanc","S9016",""))</f>
        <v/>
      </c>
      <c r="O356" s="11" t="str">
        <f>IF('Extraction edi'!V366&lt;'Feuille commande'!$E$1,"DELAI NON COMPATIBLE",IF('Extraction edi'!V366="","",WORKDAY('Extraction edi'!V366,-10,Paramètrage!$G$2:$G$104)))</f>
        <v/>
      </c>
      <c r="P356" s="1" t="e">
        <f t="shared" si="5"/>
        <v>#VALUE!</v>
      </c>
    </row>
    <row r="357" spans="1:16" x14ac:dyDescent="0.25">
      <c r="A357" s="1" t="str">
        <f>IF(B357="","",CONCATENATE(B357,".",C357,"/Pos ",D357,"/",'Extraction edi'!G367))</f>
        <v/>
      </c>
      <c r="B357" s="1" t="str">
        <f>IF('Extraction edi'!A367="","",'Extraction edi'!A367)</f>
        <v/>
      </c>
      <c r="C357" s="1" t="str">
        <f>IF('Extraction edi'!B367="","",'Extraction edi'!B367)</f>
        <v/>
      </c>
      <c r="D357" s="1" t="str">
        <f>IF('Extraction edi'!H367="","",'Extraction edi'!H367)</f>
        <v/>
      </c>
      <c r="E357" s="1" t="str">
        <f>IF('Extraction edi'!I367="","",'Extraction edi'!I367)</f>
        <v/>
      </c>
      <c r="F357" t="str">
        <f>IF('Extraction edi'!K367="","",'Extraction edi'!K367)</f>
        <v/>
      </c>
      <c r="G357" t="str">
        <f>IF('Extraction edi'!L360="","",'Extraction edi'!L360)</f>
        <v/>
      </c>
      <c r="H357" t="str">
        <f>IF('Extraction edi'!M360="","",'Extraction edi'!M360)</f>
        <v/>
      </c>
      <c r="I357" s="1" t="str">
        <f>IF('Extraction edi'!N367="","",'Extraction edi'!N367)</f>
        <v/>
      </c>
      <c r="J357" s="1" t="str">
        <f>IF('Extraction edi'!O367="","",'Extraction edi'!O367)</f>
        <v/>
      </c>
      <c r="K357" s="1" t="str">
        <f>IF('Extraction edi'!P367="","",'Extraction edi'!P367)</f>
        <v/>
      </c>
      <c r="L357" s="1" t="str">
        <f>IF('Extraction edi'!Q367="laquage RAL :","OUI","")</f>
        <v/>
      </c>
      <c r="M357" s="1" t="str">
        <f>IF('Extraction edi'!R367&lt;&gt;"",'Extraction edi'!R367,IF(G357="ALU blanc","S9016",""))</f>
        <v/>
      </c>
      <c r="N357" s="1" t="str">
        <f>IF('Extraction edi'!S367&lt;&gt;"",'Extraction edi'!S367,IF(G357="ALU blanc","S9016",""))</f>
        <v/>
      </c>
      <c r="O357" s="11" t="str">
        <f>IF('Extraction edi'!V367&lt;'Feuille commande'!$E$1,"DELAI NON COMPATIBLE",IF('Extraction edi'!V367="","",WORKDAY('Extraction edi'!V367,-10,Paramètrage!$G$2:$G$104)))</f>
        <v/>
      </c>
      <c r="P357" s="1" t="e">
        <f t="shared" si="5"/>
        <v>#VALUE!</v>
      </c>
    </row>
    <row r="358" spans="1:16" x14ac:dyDescent="0.25">
      <c r="A358" s="1" t="str">
        <f>IF(B358="","",CONCATENATE(B358,".",C358,"/Pos ",D358,"/",'Extraction edi'!G368))</f>
        <v/>
      </c>
      <c r="B358" s="1" t="str">
        <f>IF('Extraction edi'!A368="","",'Extraction edi'!A368)</f>
        <v/>
      </c>
      <c r="C358" s="1" t="str">
        <f>IF('Extraction edi'!B368="","",'Extraction edi'!B368)</f>
        <v/>
      </c>
      <c r="D358" s="1" t="str">
        <f>IF('Extraction edi'!H368="","",'Extraction edi'!H368)</f>
        <v/>
      </c>
      <c r="E358" s="1" t="str">
        <f>IF('Extraction edi'!I368="","",'Extraction edi'!I368)</f>
        <v/>
      </c>
      <c r="F358" t="str">
        <f>IF('Extraction edi'!K368="","",'Extraction edi'!K368)</f>
        <v/>
      </c>
      <c r="G358" t="str">
        <f>IF('Extraction edi'!L361="","",'Extraction edi'!L361)</f>
        <v/>
      </c>
      <c r="H358" t="str">
        <f>IF('Extraction edi'!M361="","",'Extraction edi'!M361)</f>
        <v/>
      </c>
      <c r="I358" s="1" t="str">
        <f>IF('Extraction edi'!N368="","",'Extraction edi'!N368)</f>
        <v/>
      </c>
      <c r="J358" s="1" t="str">
        <f>IF('Extraction edi'!O368="","",'Extraction edi'!O368)</f>
        <v/>
      </c>
      <c r="K358" s="1" t="str">
        <f>IF('Extraction edi'!P368="","",'Extraction edi'!P368)</f>
        <v/>
      </c>
      <c r="L358" s="1" t="str">
        <f>IF('Extraction edi'!Q368="laquage RAL :","OUI","")</f>
        <v/>
      </c>
      <c r="M358" s="1" t="str">
        <f>IF('Extraction edi'!R368&lt;&gt;"",'Extraction edi'!R368,IF(G358="ALU blanc","S9016",""))</f>
        <v/>
      </c>
      <c r="N358" s="1" t="str">
        <f>IF('Extraction edi'!S368&lt;&gt;"",'Extraction edi'!S368,IF(G358="ALU blanc","S9016",""))</f>
        <v/>
      </c>
      <c r="O358" s="11" t="str">
        <f>IF('Extraction edi'!V368&lt;'Feuille commande'!$E$1,"DELAI NON COMPATIBLE",IF('Extraction edi'!V368="","",WORKDAY('Extraction edi'!V368,-10,Paramètrage!$G$2:$G$104)))</f>
        <v/>
      </c>
      <c r="P358" s="1" t="e">
        <f t="shared" si="5"/>
        <v>#VALUE!</v>
      </c>
    </row>
    <row r="359" spans="1:16" x14ac:dyDescent="0.25">
      <c r="A359" s="1" t="str">
        <f>IF(B359="","",CONCATENATE(B359,".",C359,"/Pos ",D359,"/",'Extraction edi'!G369))</f>
        <v/>
      </c>
      <c r="B359" s="1" t="str">
        <f>IF('Extraction edi'!A369="","",'Extraction edi'!A369)</f>
        <v/>
      </c>
      <c r="C359" s="1" t="str">
        <f>IF('Extraction edi'!B369="","",'Extraction edi'!B369)</f>
        <v/>
      </c>
      <c r="D359" s="1" t="str">
        <f>IF('Extraction edi'!H369="","",'Extraction edi'!H369)</f>
        <v/>
      </c>
      <c r="E359" s="1" t="str">
        <f>IF('Extraction edi'!I369="","",'Extraction edi'!I369)</f>
        <v/>
      </c>
      <c r="F359" t="str">
        <f>IF('Extraction edi'!K369="","",'Extraction edi'!K369)</f>
        <v/>
      </c>
      <c r="G359" t="str">
        <f>IF('Extraction edi'!L362="","",'Extraction edi'!L362)</f>
        <v/>
      </c>
      <c r="H359" t="str">
        <f>IF('Extraction edi'!M362="","",'Extraction edi'!M362)</f>
        <v/>
      </c>
      <c r="I359" s="1" t="str">
        <f>IF('Extraction edi'!N369="","",'Extraction edi'!N369)</f>
        <v/>
      </c>
      <c r="J359" s="1" t="str">
        <f>IF('Extraction edi'!O369="","",'Extraction edi'!O369)</f>
        <v/>
      </c>
      <c r="K359" s="1" t="str">
        <f>IF('Extraction edi'!P369="","",'Extraction edi'!P369)</f>
        <v/>
      </c>
      <c r="L359" s="1" t="str">
        <f>IF('Extraction edi'!Q369="laquage RAL :","OUI","")</f>
        <v/>
      </c>
      <c r="M359" s="1" t="str">
        <f>IF('Extraction edi'!R369&lt;&gt;"",'Extraction edi'!R369,IF(G359="ALU blanc","S9016",""))</f>
        <v/>
      </c>
      <c r="N359" s="1" t="str">
        <f>IF('Extraction edi'!S369&lt;&gt;"",'Extraction edi'!S369,IF(G359="ALU blanc","S9016",""))</f>
        <v/>
      </c>
      <c r="O359" s="11" t="str">
        <f>IF('Extraction edi'!V369&lt;'Feuille commande'!$E$1,"DELAI NON COMPATIBLE",IF('Extraction edi'!V369="","",WORKDAY('Extraction edi'!V369,-10,Paramètrage!$G$2:$G$104)))</f>
        <v/>
      </c>
      <c r="P359" s="1" t="e">
        <f t="shared" si="5"/>
        <v>#VALUE!</v>
      </c>
    </row>
    <row r="360" spans="1:16" x14ac:dyDescent="0.25">
      <c r="A360" s="1" t="str">
        <f>IF(B360="","",CONCATENATE(B360,".",C360,"/Pos ",D360,"/",'Extraction edi'!G370))</f>
        <v/>
      </c>
      <c r="B360" s="1" t="str">
        <f>IF('Extraction edi'!A370="","",'Extraction edi'!A370)</f>
        <v/>
      </c>
      <c r="C360" s="1" t="str">
        <f>IF('Extraction edi'!B370="","",'Extraction edi'!B370)</f>
        <v/>
      </c>
      <c r="D360" s="1" t="str">
        <f>IF('Extraction edi'!H370="","",'Extraction edi'!H370)</f>
        <v/>
      </c>
      <c r="E360" s="1" t="str">
        <f>IF('Extraction edi'!I370="","",'Extraction edi'!I370)</f>
        <v/>
      </c>
      <c r="F360" t="str">
        <f>IF('Extraction edi'!K370="","",'Extraction edi'!K370)</f>
        <v/>
      </c>
      <c r="G360" t="str">
        <f>IF('Extraction edi'!L363="","",'Extraction edi'!L363)</f>
        <v/>
      </c>
      <c r="H360" t="str">
        <f>IF('Extraction edi'!M363="","",'Extraction edi'!M363)</f>
        <v/>
      </c>
      <c r="I360" s="1" t="str">
        <f>IF('Extraction edi'!N370="","",'Extraction edi'!N370)</f>
        <v/>
      </c>
      <c r="J360" s="1" t="str">
        <f>IF('Extraction edi'!O370="","",'Extraction edi'!O370)</f>
        <v/>
      </c>
      <c r="K360" s="1" t="str">
        <f>IF('Extraction edi'!P370="","",'Extraction edi'!P370)</f>
        <v/>
      </c>
      <c r="L360" s="1" t="str">
        <f>IF('Extraction edi'!Q370="laquage RAL :","OUI","")</f>
        <v/>
      </c>
      <c r="M360" s="1" t="str">
        <f>IF('Extraction edi'!R370&lt;&gt;"",'Extraction edi'!R370,IF(G360="ALU blanc","S9016",""))</f>
        <v/>
      </c>
      <c r="N360" s="1" t="str">
        <f>IF('Extraction edi'!S370&lt;&gt;"",'Extraction edi'!S370,IF(G360="ALU blanc","S9016",""))</f>
        <v/>
      </c>
      <c r="O360" s="11" t="str">
        <f>IF('Extraction edi'!V370&lt;'Feuille commande'!$E$1,"DELAI NON COMPATIBLE",IF('Extraction edi'!V370="","",WORKDAY('Extraction edi'!V370,-10,Paramètrage!$G$2:$G$104)))</f>
        <v/>
      </c>
      <c r="P360" s="1" t="e">
        <f t="shared" si="5"/>
        <v>#VALUE!</v>
      </c>
    </row>
    <row r="361" spans="1:16" x14ac:dyDescent="0.25">
      <c r="A361" s="1" t="str">
        <f>IF(B361="","",CONCATENATE(B361,".",C361,"/Pos ",D361,"/",'Extraction edi'!G371))</f>
        <v/>
      </c>
      <c r="B361" s="1" t="str">
        <f>IF('Extraction edi'!A371="","",'Extraction edi'!A371)</f>
        <v/>
      </c>
      <c r="C361" s="1" t="str">
        <f>IF('Extraction edi'!B371="","",'Extraction edi'!B371)</f>
        <v/>
      </c>
      <c r="D361" s="1" t="str">
        <f>IF('Extraction edi'!H371="","",'Extraction edi'!H371)</f>
        <v/>
      </c>
      <c r="E361" s="1" t="str">
        <f>IF('Extraction edi'!I371="","",'Extraction edi'!I371)</f>
        <v/>
      </c>
      <c r="F361" t="str">
        <f>IF('Extraction edi'!K371="","",'Extraction edi'!K371)</f>
        <v/>
      </c>
      <c r="G361" t="str">
        <f>IF('Extraction edi'!L364="","",'Extraction edi'!L364)</f>
        <v/>
      </c>
      <c r="H361" t="str">
        <f>IF('Extraction edi'!M364="","",'Extraction edi'!M364)</f>
        <v/>
      </c>
      <c r="I361" s="1" t="str">
        <f>IF('Extraction edi'!N371="","",'Extraction edi'!N371)</f>
        <v/>
      </c>
      <c r="J361" s="1" t="str">
        <f>IF('Extraction edi'!O371="","",'Extraction edi'!O371)</f>
        <v/>
      </c>
      <c r="K361" s="1" t="str">
        <f>IF('Extraction edi'!P371="","",'Extraction edi'!P371)</f>
        <v/>
      </c>
      <c r="L361" s="1" t="str">
        <f>IF('Extraction edi'!Q371="laquage RAL :","OUI","")</f>
        <v/>
      </c>
      <c r="M361" s="1" t="str">
        <f>IF('Extraction edi'!R371&lt;&gt;"",'Extraction edi'!R371,IF(G361="ALU blanc","S9016",""))</f>
        <v/>
      </c>
      <c r="N361" s="1" t="str">
        <f>IF('Extraction edi'!S371&lt;&gt;"",'Extraction edi'!S371,IF(G361="ALU blanc","S9016",""))</f>
        <v/>
      </c>
      <c r="O361" s="11" t="str">
        <f>IF('Extraction edi'!V371&lt;'Feuille commande'!$E$1,"DELAI NON COMPATIBLE",IF('Extraction edi'!V371="","",WORKDAY('Extraction edi'!V371,-10,Paramètrage!$G$2:$G$104)))</f>
        <v/>
      </c>
      <c r="P361" s="1" t="e">
        <f t="shared" si="5"/>
        <v>#VALUE!</v>
      </c>
    </row>
    <row r="362" spans="1:16" x14ac:dyDescent="0.25">
      <c r="A362" s="1" t="str">
        <f>IF(B362="","",CONCATENATE(B362,".",C362,"/Pos ",D362,"/",'Extraction edi'!G372))</f>
        <v/>
      </c>
      <c r="B362" s="1" t="str">
        <f>IF('Extraction edi'!A372="","",'Extraction edi'!A372)</f>
        <v/>
      </c>
      <c r="C362" s="1" t="str">
        <f>IF('Extraction edi'!B372="","",'Extraction edi'!B372)</f>
        <v/>
      </c>
      <c r="D362" s="1" t="str">
        <f>IF('Extraction edi'!H372="","",'Extraction edi'!H372)</f>
        <v/>
      </c>
      <c r="E362" s="1" t="str">
        <f>IF('Extraction edi'!I372="","",'Extraction edi'!I372)</f>
        <v/>
      </c>
      <c r="F362" t="str">
        <f>IF('Extraction edi'!K372="","",'Extraction edi'!K372)</f>
        <v/>
      </c>
      <c r="G362" t="str">
        <f>IF('Extraction edi'!L365="","",'Extraction edi'!L365)</f>
        <v/>
      </c>
      <c r="H362" t="str">
        <f>IF('Extraction edi'!M365="","",'Extraction edi'!M365)</f>
        <v/>
      </c>
      <c r="I362" s="1" t="str">
        <f>IF('Extraction edi'!N372="","",'Extraction edi'!N372)</f>
        <v/>
      </c>
      <c r="J362" s="1" t="str">
        <f>IF('Extraction edi'!O372="","",'Extraction edi'!O372)</f>
        <v/>
      </c>
      <c r="K362" s="1" t="str">
        <f>IF('Extraction edi'!P372="","",'Extraction edi'!P372)</f>
        <v/>
      </c>
      <c r="L362" s="1" t="str">
        <f>IF('Extraction edi'!Q372="laquage RAL :","OUI","")</f>
        <v/>
      </c>
      <c r="M362" s="1" t="str">
        <f>IF('Extraction edi'!R372&lt;&gt;"",'Extraction edi'!R372,IF(G362="ALU blanc","S9016",""))</f>
        <v/>
      </c>
      <c r="N362" s="1" t="str">
        <f>IF('Extraction edi'!S372&lt;&gt;"",'Extraction edi'!S372,IF(G362="ALU blanc","S9016",""))</f>
        <v/>
      </c>
      <c r="O362" s="11" t="str">
        <f>IF('Extraction edi'!V372&lt;'Feuille commande'!$E$1,"DELAI NON COMPATIBLE",IF('Extraction edi'!V372="","",WORKDAY('Extraction edi'!V372,-10,Paramètrage!$G$2:$G$104)))</f>
        <v/>
      </c>
      <c r="P362" s="1" t="e">
        <f t="shared" si="5"/>
        <v>#VALUE!</v>
      </c>
    </row>
    <row r="363" spans="1:16" x14ac:dyDescent="0.25">
      <c r="A363" s="1" t="str">
        <f>IF(B363="","",CONCATENATE(B363,".",C363,"/Pos ",D363,"/",'Extraction edi'!G373))</f>
        <v/>
      </c>
      <c r="B363" s="1" t="str">
        <f>IF('Extraction edi'!A373="","",'Extraction edi'!A373)</f>
        <v/>
      </c>
      <c r="C363" s="1" t="str">
        <f>IF('Extraction edi'!B373="","",'Extraction edi'!B373)</f>
        <v/>
      </c>
      <c r="D363" s="1" t="str">
        <f>IF('Extraction edi'!H373="","",'Extraction edi'!H373)</f>
        <v/>
      </c>
      <c r="E363" s="1" t="str">
        <f>IF('Extraction edi'!I373="","",'Extraction edi'!I373)</f>
        <v/>
      </c>
      <c r="F363" t="str">
        <f>IF('Extraction edi'!K373="","",'Extraction edi'!K373)</f>
        <v/>
      </c>
      <c r="G363" t="str">
        <f>IF('Extraction edi'!L366="","",'Extraction edi'!L366)</f>
        <v/>
      </c>
      <c r="H363" t="str">
        <f>IF('Extraction edi'!M366="","",'Extraction edi'!M366)</f>
        <v/>
      </c>
      <c r="I363" s="1" t="str">
        <f>IF('Extraction edi'!N373="","",'Extraction edi'!N373)</f>
        <v/>
      </c>
      <c r="J363" s="1" t="str">
        <f>IF('Extraction edi'!O373="","",'Extraction edi'!O373)</f>
        <v/>
      </c>
      <c r="K363" s="1" t="str">
        <f>IF('Extraction edi'!P373="","",'Extraction edi'!P373)</f>
        <v/>
      </c>
      <c r="L363" s="1" t="str">
        <f>IF('Extraction edi'!Q373="laquage RAL :","OUI","")</f>
        <v/>
      </c>
      <c r="M363" s="1" t="str">
        <f>IF('Extraction edi'!R373&lt;&gt;"",'Extraction edi'!R373,IF(G363="ALU blanc","S9016",""))</f>
        <v/>
      </c>
      <c r="N363" s="1" t="str">
        <f>IF('Extraction edi'!S373&lt;&gt;"",'Extraction edi'!S373,IF(G363="ALU blanc","S9016",""))</f>
        <v/>
      </c>
      <c r="O363" s="11" t="str">
        <f>IF('Extraction edi'!V373&lt;'Feuille commande'!$E$1,"DELAI NON COMPATIBLE",IF('Extraction edi'!V373="","",WORKDAY('Extraction edi'!V373,-10,Paramètrage!$G$2:$G$104)))</f>
        <v/>
      </c>
      <c r="P363" s="1" t="e">
        <f t="shared" si="5"/>
        <v>#VALUE!</v>
      </c>
    </row>
    <row r="364" spans="1:16" x14ac:dyDescent="0.25">
      <c r="A364" s="1" t="str">
        <f>IF(B364="","",CONCATENATE(B364,".",C364,"/Pos ",D364,"/",'Extraction edi'!G374))</f>
        <v/>
      </c>
      <c r="B364" s="1" t="str">
        <f>IF('Extraction edi'!A374="","",'Extraction edi'!A374)</f>
        <v/>
      </c>
      <c r="C364" s="1" t="str">
        <f>IF('Extraction edi'!B374="","",'Extraction edi'!B374)</f>
        <v/>
      </c>
      <c r="D364" s="1" t="str">
        <f>IF('Extraction edi'!H374="","",'Extraction edi'!H374)</f>
        <v/>
      </c>
      <c r="E364" s="1" t="str">
        <f>IF('Extraction edi'!I374="","",'Extraction edi'!I374)</f>
        <v/>
      </c>
      <c r="F364" t="str">
        <f>IF('Extraction edi'!K374="","",'Extraction edi'!K374)</f>
        <v/>
      </c>
      <c r="G364" t="str">
        <f>IF('Extraction edi'!L367="","",'Extraction edi'!L367)</f>
        <v/>
      </c>
      <c r="H364" t="str">
        <f>IF('Extraction edi'!M367="","",'Extraction edi'!M367)</f>
        <v/>
      </c>
      <c r="I364" s="1" t="str">
        <f>IF('Extraction edi'!N374="","",'Extraction edi'!N374)</f>
        <v/>
      </c>
      <c r="J364" s="1" t="str">
        <f>IF('Extraction edi'!O374="","",'Extraction edi'!O374)</f>
        <v/>
      </c>
      <c r="K364" s="1" t="str">
        <f>IF('Extraction edi'!P374="","",'Extraction edi'!P374)</f>
        <v/>
      </c>
      <c r="L364" s="1" t="str">
        <f>IF('Extraction edi'!Q374="laquage RAL :","OUI","")</f>
        <v/>
      </c>
      <c r="M364" s="1" t="str">
        <f>IF('Extraction edi'!R374&lt;&gt;"",'Extraction edi'!R374,IF(G364="ALU blanc","S9016",""))</f>
        <v/>
      </c>
      <c r="N364" s="1" t="str">
        <f>IF('Extraction edi'!S374&lt;&gt;"",'Extraction edi'!S374,IF(G364="ALU blanc","S9016",""))</f>
        <v/>
      </c>
      <c r="O364" s="11" t="str">
        <f>IF('Extraction edi'!V374&lt;'Feuille commande'!$E$1,"DELAI NON COMPATIBLE",IF('Extraction edi'!V374="","",WORKDAY('Extraction edi'!V374,-10,Paramètrage!$G$2:$G$104)))</f>
        <v/>
      </c>
      <c r="P364" s="1" t="e">
        <f t="shared" si="5"/>
        <v>#VALUE!</v>
      </c>
    </row>
    <row r="365" spans="1:16" x14ac:dyDescent="0.25">
      <c r="A365" s="1" t="str">
        <f>IF(B365="","",CONCATENATE(B365,".",C365,"/Pos ",D365,"/",'Extraction edi'!G375))</f>
        <v/>
      </c>
      <c r="B365" s="1" t="str">
        <f>IF('Extraction edi'!A375="","",'Extraction edi'!A375)</f>
        <v/>
      </c>
      <c r="C365" s="1" t="str">
        <f>IF('Extraction edi'!B375="","",'Extraction edi'!B375)</f>
        <v/>
      </c>
      <c r="D365" s="1" t="str">
        <f>IF('Extraction edi'!H375="","",'Extraction edi'!H375)</f>
        <v/>
      </c>
      <c r="E365" s="1" t="str">
        <f>IF('Extraction edi'!I375="","",'Extraction edi'!I375)</f>
        <v/>
      </c>
      <c r="F365" t="str">
        <f>IF('Extraction edi'!K375="","",'Extraction edi'!K375)</f>
        <v/>
      </c>
      <c r="G365" t="str">
        <f>IF('Extraction edi'!L368="","",'Extraction edi'!L368)</f>
        <v/>
      </c>
      <c r="H365" t="str">
        <f>IF('Extraction edi'!M368="","",'Extraction edi'!M368)</f>
        <v/>
      </c>
      <c r="I365" s="1" t="str">
        <f>IF('Extraction edi'!N375="","",'Extraction edi'!N375)</f>
        <v/>
      </c>
      <c r="J365" s="1" t="str">
        <f>IF('Extraction edi'!O375="","",'Extraction edi'!O375)</f>
        <v/>
      </c>
      <c r="K365" s="1" t="str">
        <f>IF('Extraction edi'!P375="","",'Extraction edi'!P375)</f>
        <v/>
      </c>
      <c r="L365" s="1" t="str">
        <f>IF('Extraction edi'!Q375="laquage RAL :","OUI","")</f>
        <v/>
      </c>
      <c r="M365" s="1" t="str">
        <f>IF('Extraction edi'!R375&lt;&gt;"",'Extraction edi'!R375,IF(G365="ALU blanc","S9016",""))</f>
        <v/>
      </c>
      <c r="N365" s="1" t="str">
        <f>IF('Extraction edi'!S375&lt;&gt;"",'Extraction edi'!S375,IF(G365="ALU blanc","S9016",""))</f>
        <v/>
      </c>
      <c r="O365" s="11" t="str">
        <f>IF('Extraction edi'!V375&lt;'Feuille commande'!$E$1,"DELAI NON COMPATIBLE",IF('Extraction edi'!V375="","",WORKDAY('Extraction edi'!V375,-10,Paramètrage!$G$2:$G$104)))</f>
        <v/>
      </c>
      <c r="P365" s="1" t="e">
        <f t="shared" si="5"/>
        <v>#VALUE!</v>
      </c>
    </row>
    <row r="366" spans="1:16" x14ac:dyDescent="0.25">
      <c r="A366" s="1" t="str">
        <f>IF(B366="","",CONCATENATE(B366,".",C366,"/Pos ",D366,"/",'Extraction edi'!G376))</f>
        <v/>
      </c>
      <c r="B366" s="1" t="str">
        <f>IF('Extraction edi'!A376="","",'Extraction edi'!A376)</f>
        <v/>
      </c>
      <c r="C366" s="1" t="str">
        <f>IF('Extraction edi'!B376="","",'Extraction edi'!B376)</f>
        <v/>
      </c>
      <c r="D366" s="1" t="str">
        <f>IF('Extraction edi'!H376="","",'Extraction edi'!H376)</f>
        <v/>
      </c>
      <c r="E366" s="1" t="str">
        <f>IF('Extraction edi'!I376="","",'Extraction edi'!I376)</f>
        <v/>
      </c>
      <c r="F366" t="str">
        <f>IF('Extraction edi'!K376="","",'Extraction edi'!K376)</f>
        <v/>
      </c>
      <c r="G366" t="str">
        <f>IF('Extraction edi'!L369="","",'Extraction edi'!L369)</f>
        <v/>
      </c>
      <c r="H366" t="str">
        <f>IF('Extraction edi'!M369="","",'Extraction edi'!M369)</f>
        <v/>
      </c>
      <c r="I366" s="1" t="str">
        <f>IF('Extraction edi'!N376="","",'Extraction edi'!N376)</f>
        <v/>
      </c>
      <c r="J366" s="1" t="str">
        <f>IF('Extraction edi'!O376="","",'Extraction edi'!O376)</f>
        <v/>
      </c>
      <c r="K366" s="1" t="str">
        <f>IF('Extraction edi'!P376="","",'Extraction edi'!P376)</f>
        <v/>
      </c>
      <c r="L366" s="1" t="str">
        <f>IF('Extraction edi'!Q376="laquage RAL :","OUI","")</f>
        <v/>
      </c>
      <c r="M366" s="1" t="str">
        <f>IF('Extraction edi'!R376&lt;&gt;"",'Extraction edi'!R376,IF(G366="ALU blanc","S9016",""))</f>
        <v/>
      </c>
      <c r="N366" s="1" t="str">
        <f>IF('Extraction edi'!S376&lt;&gt;"",'Extraction edi'!S376,IF(G366="ALU blanc","S9016",""))</f>
        <v/>
      </c>
      <c r="O366" s="11" t="str">
        <f>IF('Extraction edi'!V376&lt;'Feuille commande'!$E$1,"DELAI NON COMPATIBLE",IF('Extraction edi'!V376="","",WORKDAY('Extraction edi'!V376,-10,Paramètrage!$G$2:$G$104)))</f>
        <v/>
      </c>
      <c r="P366" s="1" t="e">
        <f t="shared" si="5"/>
        <v>#VALUE!</v>
      </c>
    </row>
    <row r="367" spans="1:16" x14ac:dyDescent="0.25">
      <c r="A367" s="1" t="str">
        <f>IF(B367="","",CONCATENATE(B367,".",C367,"/Pos ",D367,"/",'Extraction edi'!G377))</f>
        <v/>
      </c>
      <c r="B367" s="1" t="str">
        <f>IF('Extraction edi'!A377="","",'Extraction edi'!A377)</f>
        <v/>
      </c>
      <c r="C367" s="1" t="str">
        <f>IF('Extraction edi'!B377="","",'Extraction edi'!B377)</f>
        <v/>
      </c>
      <c r="D367" s="1" t="str">
        <f>IF('Extraction edi'!H377="","",'Extraction edi'!H377)</f>
        <v/>
      </c>
      <c r="E367" s="1" t="str">
        <f>IF('Extraction edi'!I377="","",'Extraction edi'!I377)</f>
        <v/>
      </c>
      <c r="F367" t="str">
        <f>IF('Extraction edi'!K377="","",'Extraction edi'!K377)</f>
        <v/>
      </c>
      <c r="G367" t="str">
        <f>IF('Extraction edi'!L370="","",'Extraction edi'!L370)</f>
        <v/>
      </c>
      <c r="H367" t="str">
        <f>IF('Extraction edi'!M370="","",'Extraction edi'!M370)</f>
        <v/>
      </c>
      <c r="I367" s="1" t="str">
        <f>IF('Extraction edi'!N377="","",'Extraction edi'!N377)</f>
        <v/>
      </c>
      <c r="J367" s="1" t="str">
        <f>IF('Extraction edi'!O377="","",'Extraction edi'!O377)</f>
        <v/>
      </c>
      <c r="K367" s="1" t="str">
        <f>IF('Extraction edi'!P377="","",'Extraction edi'!P377)</f>
        <v/>
      </c>
      <c r="L367" s="1" t="str">
        <f>IF('Extraction edi'!Q377="laquage RAL :","OUI","")</f>
        <v/>
      </c>
      <c r="M367" s="1" t="str">
        <f>IF('Extraction edi'!R377&lt;&gt;"",'Extraction edi'!R377,IF(G367="ALU blanc","S9016",""))</f>
        <v/>
      </c>
      <c r="N367" s="1" t="str">
        <f>IF('Extraction edi'!S377&lt;&gt;"",'Extraction edi'!S377,IF(G367="ALU blanc","S9016",""))</f>
        <v/>
      </c>
      <c r="O367" s="11" t="str">
        <f>IF('Extraction edi'!V377&lt;'Feuille commande'!$E$1,"DELAI NON COMPATIBLE",IF('Extraction edi'!V377="","",WORKDAY('Extraction edi'!V377,-10,Paramètrage!$G$2:$G$104)))</f>
        <v/>
      </c>
      <c r="P367" s="1" t="e">
        <f t="shared" si="5"/>
        <v>#VALUE!</v>
      </c>
    </row>
    <row r="368" spans="1:16" x14ac:dyDescent="0.25">
      <c r="A368" s="1" t="str">
        <f>IF(B368="","",CONCATENATE(B368,".",C368,"/Pos ",D368,"/",'Extraction edi'!G378))</f>
        <v/>
      </c>
      <c r="B368" s="1" t="str">
        <f>IF('Extraction edi'!A378="","",'Extraction edi'!A378)</f>
        <v/>
      </c>
      <c r="C368" s="1" t="str">
        <f>IF('Extraction edi'!B378="","",'Extraction edi'!B378)</f>
        <v/>
      </c>
      <c r="D368" s="1" t="str">
        <f>IF('Extraction edi'!H378="","",'Extraction edi'!H378)</f>
        <v/>
      </c>
      <c r="E368" s="1" t="str">
        <f>IF('Extraction edi'!I378="","",'Extraction edi'!I378)</f>
        <v/>
      </c>
      <c r="F368" t="str">
        <f>IF('Extraction edi'!K378="","",'Extraction edi'!K378)</f>
        <v/>
      </c>
      <c r="G368" t="str">
        <f>IF('Extraction edi'!L371="","",'Extraction edi'!L371)</f>
        <v/>
      </c>
      <c r="H368" t="str">
        <f>IF('Extraction edi'!M371="","",'Extraction edi'!M371)</f>
        <v/>
      </c>
      <c r="I368" s="1" t="str">
        <f>IF('Extraction edi'!N378="","",'Extraction edi'!N378)</f>
        <v/>
      </c>
      <c r="J368" s="1" t="str">
        <f>IF('Extraction edi'!O378="","",'Extraction edi'!O378)</f>
        <v/>
      </c>
      <c r="K368" s="1" t="str">
        <f>IF('Extraction edi'!P378="","",'Extraction edi'!P378)</f>
        <v/>
      </c>
      <c r="L368" s="1" t="str">
        <f>IF('Extraction edi'!Q378="laquage RAL :","OUI","")</f>
        <v/>
      </c>
      <c r="M368" s="1" t="str">
        <f>IF('Extraction edi'!R378&lt;&gt;"",'Extraction edi'!R378,IF(G368="ALU blanc","S9016",""))</f>
        <v/>
      </c>
      <c r="N368" s="1" t="str">
        <f>IF('Extraction edi'!S378&lt;&gt;"",'Extraction edi'!S378,IF(G368="ALU blanc","S9016",""))</f>
        <v/>
      </c>
      <c r="O368" s="11" t="str">
        <f>IF('Extraction edi'!V378&lt;'Feuille commande'!$E$1,"DELAI NON COMPATIBLE",IF('Extraction edi'!V378="","",WORKDAY('Extraction edi'!V378,-10,Paramètrage!$G$2:$G$104)))</f>
        <v/>
      </c>
      <c r="P368" s="1" t="e">
        <f t="shared" si="5"/>
        <v>#VALUE!</v>
      </c>
    </row>
    <row r="369" spans="1:16" x14ac:dyDescent="0.25">
      <c r="A369" s="1" t="str">
        <f>IF(B369="","",CONCATENATE(B369,".",C369,"/Pos ",D369,"/",'Extraction edi'!G379))</f>
        <v/>
      </c>
      <c r="B369" s="1" t="str">
        <f>IF('Extraction edi'!A379="","",'Extraction edi'!A379)</f>
        <v/>
      </c>
      <c r="C369" s="1" t="str">
        <f>IF('Extraction edi'!B379="","",'Extraction edi'!B379)</f>
        <v/>
      </c>
      <c r="D369" s="1" t="str">
        <f>IF('Extraction edi'!H379="","",'Extraction edi'!H379)</f>
        <v/>
      </c>
      <c r="E369" s="1" t="str">
        <f>IF('Extraction edi'!I379="","",'Extraction edi'!I379)</f>
        <v/>
      </c>
      <c r="F369" t="str">
        <f>IF('Extraction edi'!K379="","",'Extraction edi'!K379)</f>
        <v/>
      </c>
      <c r="G369" t="str">
        <f>IF('Extraction edi'!L372="","",'Extraction edi'!L372)</f>
        <v/>
      </c>
      <c r="H369" t="str">
        <f>IF('Extraction edi'!M372="","",'Extraction edi'!M372)</f>
        <v/>
      </c>
      <c r="I369" s="1" t="str">
        <f>IF('Extraction edi'!N379="","",'Extraction edi'!N379)</f>
        <v/>
      </c>
      <c r="J369" s="1" t="str">
        <f>IF('Extraction edi'!O379="","",'Extraction edi'!O379)</f>
        <v/>
      </c>
      <c r="K369" s="1" t="str">
        <f>IF('Extraction edi'!P379="","",'Extraction edi'!P379)</f>
        <v/>
      </c>
      <c r="L369" s="1" t="str">
        <f>IF('Extraction edi'!Q379="laquage RAL :","OUI","")</f>
        <v/>
      </c>
      <c r="M369" s="1" t="str">
        <f>IF('Extraction edi'!R379&lt;&gt;"",'Extraction edi'!R379,IF(G369="ALU blanc","S9016",""))</f>
        <v/>
      </c>
      <c r="N369" s="1" t="str">
        <f>IF('Extraction edi'!S379&lt;&gt;"",'Extraction edi'!S379,IF(G369="ALU blanc","S9016",""))</f>
        <v/>
      </c>
      <c r="O369" s="11" t="str">
        <f>IF('Extraction edi'!V379&lt;'Feuille commande'!$E$1,"DELAI NON COMPATIBLE",IF('Extraction edi'!V379="","",WORKDAY('Extraction edi'!V379,-10,Paramètrage!$G$2:$G$104)))</f>
        <v/>
      </c>
      <c r="P369" s="1" t="e">
        <f t="shared" si="5"/>
        <v>#VALUE!</v>
      </c>
    </row>
    <row r="370" spans="1:16" x14ac:dyDescent="0.25">
      <c r="A370" s="1" t="str">
        <f>IF(B370="","",CONCATENATE(B370,".",C370,"/Pos ",D370,"/",'Extraction edi'!G380))</f>
        <v/>
      </c>
      <c r="B370" s="1" t="str">
        <f>IF('Extraction edi'!A380="","",'Extraction edi'!A380)</f>
        <v/>
      </c>
      <c r="C370" s="1" t="str">
        <f>IF('Extraction edi'!B380="","",'Extraction edi'!B380)</f>
        <v/>
      </c>
      <c r="D370" s="1" t="str">
        <f>IF('Extraction edi'!H380="","",'Extraction edi'!H380)</f>
        <v/>
      </c>
      <c r="E370" s="1" t="str">
        <f>IF('Extraction edi'!I380="","",'Extraction edi'!I380)</f>
        <v/>
      </c>
      <c r="F370" t="str">
        <f>IF('Extraction edi'!K380="","",'Extraction edi'!K380)</f>
        <v/>
      </c>
      <c r="G370" t="str">
        <f>IF('Extraction edi'!L373="","",'Extraction edi'!L373)</f>
        <v/>
      </c>
      <c r="H370" t="str">
        <f>IF('Extraction edi'!M373="","",'Extraction edi'!M373)</f>
        <v/>
      </c>
      <c r="I370" s="1" t="str">
        <f>IF('Extraction edi'!N380="","",'Extraction edi'!N380)</f>
        <v/>
      </c>
      <c r="J370" s="1" t="str">
        <f>IF('Extraction edi'!O380="","",'Extraction edi'!O380)</f>
        <v/>
      </c>
      <c r="K370" s="1" t="str">
        <f>IF('Extraction edi'!P380="","",'Extraction edi'!P380)</f>
        <v/>
      </c>
      <c r="L370" s="1" t="str">
        <f>IF('Extraction edi'!Q380="laquage RAL :","OUI","")</f>
        <v/>
      </c>
      <c r="M370" s="1" t="str">
        <f>IF('Extraction edi'!R380&lt;&gt;"",'Extraction edi'!R380,IF(G370="ALU blanc","S9016",""))</f>
        <v/>
      </c>
      <c r="N370" s="1" t="str">
        <f>IF('Extraction edi'!S380&lt;&gt;"",'Extraction edi'!S380,IF(G370="ALU blanc","S9016",""))</f>
        <v/>
      </c>
      <c r="O370" s="11" t="str">
        <f>IF('Extraction edi'!V380&lt;'Feuille commande'!$E$1,"DELAI NON COMPATIBLE",IF('Extraction edi'!V380="","",WORKDAY('Extraction edi'!V380,-10,Paramètrage!$G$2:$G$104)))</f>
        <v/>
      </c>
      <c r="P370" s="1" t="e">
        <f t="shared" si="5"/>
        <v>#VALUE!</v>
      </c>
    </row>
    <row r="371" spans="1:16" x14ac:dyDescent="0.25">
      <c r="A371" s="1" t="str">
        <f>IF(B371="","",CONCATENATE(B371,".",C371,"/Pos ",D371,"/",'Extraction edi'!G381))</f>
        <v/>
      </c>
      <c r="B371" s="1" t="str">
        <f>IF('Extraction edi'!A381="","",'Extraction edi'!A381)</f>
        <v/>
      </c>
      <c r="C371" s="1" t="str">
        <f>IF('Extraction edi'!B381="","",'Extraction edi'!B381)</f>
        <v/>
      </c>
      <c r="D371" s="1" t="str">
        <f>IF('Extraction edi'!H381="","",'Extraction edi'!H381)</f>
        <v/>
      </c>
      <c r="E371" s="1" t="str">
        <f>IF('Extraction edi'!I381="","",'Extraction edi'!I381)</f>
        <v/>
      </c>
      <c r="F371" t="str">
        <f>IF('Extraction edi'!K381="","",'Extraction edi'!K381)</f>
        <v/>
      </c>
      <c r="G371" t="str">
        <f>IF('Extraction edi'!L374="","",'Extraction edi'!L374)</f>
        <v/>
      </c>
      <c r="H371" t="str">
        <f>IF('Extraction edi'!M374="","",'Extraction edi'!M374)</f>
        <v/>
      </c>
      <c r="I371" s="1" t="str">
        <f>IF('Extraction edi'!N381="","",'Extraction edi'!N381)</f>
        <v/>
      </c>
      <c r="J371" s="1" t="str">
        <f>IF('Extraction edi'!O381="","",'Extraction edi'!O381)</f>
        <v/>
      </c>
      <c r="K371" s="1" t="str">
        <f>IF('Extraction edi'!P381="","",'Extraction edi'!P381)</f>
        <v/>
      </c>
      <c r="L371" s="1" t="str">
        <f>IF('Extraction edi'!Q381="laquage RAL :","OUI","")</f>
        <v/>
      </c>
      <c r="M371" s="1" t="str">
        <f>IF('Extraction edi'!R381&lt;&gt;"",'Extraction edi'!R381,IF(G371="ALU blanc","S9016",""))</f>
        <v/>
      </c>
      <c r="N371" s="1" t="str">
        <f>IF('Extraction edi'!S381&lt;&gt;"",'Extraction edi'!S381,IF(G371="ALU blanc","S9016",""))</f>
        <v/>
      </c>
      <c r="O371" s="11" t="str">
        <f>IF('Extraction edi'!V381&lt;'Feuille commande'!$E$1,"DELAI NON COMPATIBLE",IF('Extraction edi'!V381="","",WORKDAY('Extraction edi'!V381,-10,Paramètrage!$G$2:$G$104)))</f>
        <v/>
      </c>
      <c r="P371" s="1" t="e">
        <f t="shared" si="5"/>
        <v>#VALUE!</v>
      </c>
    </row>
    <row r="372" spans="1:16" x14ac:dyDescent="0.25">
      <c r="A372" s="1" t="str">
        <f>IF(B372="","",CONCATENATE(B372,".",C372,"/Pos ",D372,"/",'Extraction edi'!G382))</f>
        <v/>
      </c>
      <c r="B372" s="1" t="str">
        <f>IF('Extraction edi'!A382="","",'Extraction edi'!A382)</f>
        <v/>
      </c>
      <c r="C372" s="1" t="str">
        <f>IF('Extraction edi'!B382="","",'Extraction edi'!B382)</f>
        <v/>
      </c>
      <c r="D372" s="1" t="str">
        <f>IF('Extraction edi'!H382="","",'Extraction edi'!H382)</f>
        <v/>
      </c>
      <c r="E372" s="1" t="str">
        <f>IF('Extraction edi'!I382="","",'Extraction edi'!I382)</f>
        <v/>
      </c>
      <c r="F372" t="str">
        <f>IF('Extraction edi'!K382="","",'Extraction edi'!K382)</f>
        <v/>
      </c>
      <c r="G372" t="str">
        <f>IF('Extraction edi'!L375="","",'Extraction edi'!L375)</f>
        <v/>
      </c>
      <c r="H372" t="str">
        <f>IF('Extraction edi'!M375="","",'Extraction edi'!M375)</f>
        <v/>
      </c>
      <c r="I372" s="1" t="str">
        <f>IF('Extraction edi'!N382="","",'Extraction edi'!N382)</f>
        <v/>
      </c>
      <c r="J372" s="1" t="str">
        <f>IF('Extraction edi'!O382="","",'Extraction edi'!O382)</f>
        <v/>
      </c>
      <c r="K372" s="1" t="str">
        <f>IF('Extraction edi'!P382="","",'Extraction edi'!P382)</f>
        <v/>
      </c>
      <c r="L372" s="1" t="str">
        <f>IF('Extraction edi'!Q382="laquage RAL :","OUI","")</f>
        <v/>
      </c>
      <c r="M372" s="1" t="str">
        <f>IF('Extraction edi'!R382&lt;&gt;"",'Extraction edi'!R382,IF(G372="ALU blanc","S9016",""))</f>
        <v/>
      </c>
      <c r="N372" s="1" t="str">
        <f>IF('Extraction edi'!S382&lt;&gt;"",'Extraction edi'!S382,IF(G372="ALU blanc","S9016",""))</f>
        <v/>
      </c>
      <c r="O372" s="11" t="str">
        <f>IF('Extraction edi'!V382&lt;'Feuille commande'!$E$1,"DELAI NON COMPATIBLE",IF('Extraction edi'!V382="","",WORKDAY('Extraction edi'!V382,-10,Paramètrage!$G$2:$G$104)))</f>
        <v/>
      </c>
      <c r="P372" s="1" t="e">
        <f t="shared" si="5"/>
        <v>#VALUE!</v>
      </c>
    </row>
    <row r="373" spans="1:16" x14ac:dyDescent="0.25">
      <c r="A373" s="1" t="str">
        <f>IF(B373="","",CONCATENATE(B373,".",C373,"/Pos ",D373,"/",'Extraction edi'!G383))</f>
        <v/>
      </c>
      <c r="B373" s="1" t="str">
        <f>IF('Extraction edi'!A383="","",'Extraction edi'!A383)</f>
        <v/>
      </c>
      <c r="C373" s="1" t="str">
        <f>IF('Extraction edi'!B383="","",'Extraction edi'!B383)</f>
        <v/>
      </c>
      <c r="D373" s="1" t="str">
        <f>IF('Extraction edi'!H383="","",'Extraction edi'!H383)</f>
        <v/>
      </c>
      <c r="E373" s="1" t="str">
        <f>IF('Extraction edi'!I383="","",'Extraction edi'!I383)</f>
        <v/>
      </c>
      <c r="F373" t="str">
        <f>IF('Extraction edi'!K383="","",'Extraction edi'!K383)</f>
        <v/>
      </c>
      <c r="G373" t="str">
        <f>IF('Extraction edi'!L376="","",'Extraction edi'!L376)</f>
        <v/>
      </c>
      <c r="H373" t="str">
        <f>IF('Extraction edi'!M376="","",'Extraction edi'!M376)</f>
        <v/>
      </c>
      <c r="I373" s="1" t="str">
        <f>IF('Extraction edi'!N383="","",'Extraction edi'!N383)</f>
        <v/>
      </c>
      <c r="J373" s="1" t="str">
        <f>IF('Extraction edi'!O383="","",'Extraction edi'!O383)</f>
        <v/>
      </c>
      <c r="K373" s="1" t="str">
        <f>IF('Extraction edi'!P383="","",'Extraction edi'!P383)</f>
        <v/>
      </c>
      <c r="L373" s="1" t="str">
        <f>IF('Extraction edi'!Q383="laquage RAL :","OUI","")</f>
        <v/>
      </c>
      <c r="M373" s="1" t="str">
        <f>IF('Extraction edi'!R383&lt;&gt;"",'Extraction edi'!R383,IF(G373="ALU blanc","S9016",""))</f>
        <v/>
      </c>
      <c r="N373" s="1" t="str">
        <f>IF('Extraction edi'!S383&lt;&gt;"",'Extraction edi'!S383,IF(G373="ALU blanc","S9016",""))</f>
        <v/>
      </c>
      <c r="O373" s="11" t="str">
        <f>IF('Extraction edi'!V383&lt;'Feuille commande'!$E$1,"DELAI NON COMPATIBLE",IF('Extraction edi'!V383="","",WORKDAY('Extraction edi'!V383,-10,Paramètrage!$G$2:$G$104)))</f>
        <v/>
      </c>
      <c r="P373" s="1" t="e">
        <f t="shared" si="5"/>
        <v>#VALUE!</v>
      </c>
    </row>
    <row r="374" spans="1:16" x14ac:dyDescent="0.25">
      <c r="A374" s="1" t="str">
        <f>IF(B374="","",CONCATENATE(B374,".",C374,"/Pos ",D374,"/",'Extraction edi'!G384))</f>
        <v/>
      </c>
      <c r="B374" s="1" t="str">
        <f>IF('Extraction edi'!A384="","",'Extraction edi'!A384)</f>
        <v/>
      </c>
      <c r="C374" s="1" t="str">
        <f>IF('Extraction edi'!B384="","",'Extraction edi'!B384)</f>
        <v/>
      </c>
      <c r="D374" s="1" t="str">
        <f>IF('Extraction edi'!H384="","",'Extraction edi'!H384)</f>
        <v/>
      </c>
      <c r="E374" s="1" t="str">
        <f>IF('Extraction edi'!I384="","",'Extraction edi'!I384)</f>
        <v/>
      </c>
      <c r="F374" t="str">
        <f>IF('Extraction edi'!K384="","",'Extraction edi'!K384)</f>
        <v/>
      </c>
      <c r="G374" t="str">
        <f>IF('Extraction edi'!L377="","",'Extraction edi'!L377)</f>
        <v/>
      </c>
      <c r="H374" t="str">
        <f>IF('Extraction edi'!M377="","",'Extraction edi'!M377)</f>
        <v/>
      </c>
      <c r="I374" s="1" t="str">
        <f>IF('Extraction edi'!N384="","",'Extraction edi'!N384)</f>
        <v/>
      </c>
      <c r="J374" s="1" t="str">
        <f>IF('Extraction edi'!O384="","",'Extraction edi'!O384)</f>
        <v/>
      </c>
      <c r="K374" s="1" t="str">
        <f>IF('Extraction edi'!P384="","",'Extraction edi'!P384)</f>
        <v/>
      </c>
      <c r="L374" s="1" t="str">
        <f>IF('Extraction edi'!Q384="laquage RAL :","OUI","")</f>
        <v/>
      </c>
      <c r="M374" s="1" t="str">
        <f>IF('Extraction edi'!R384&lt;&gt;"",'Extraction edi'!R384,IF(G374="ALU blanc","S9016",""))</f>
        <v/>
      </c>
      <c r="N374" s="1" t="str">
        <f>IF('Extraction edi'!S384&lt;&gt;"",'Extraction edi'!S384,IF(G374="ALU blanc","S9016",""))</f>
        <v/>
      </c>
      <c r="O374" s="11" t="str">
        <f>IF('Extraction edi'!V384&lt;'Feuille commande'!$E$1,"DELAI NON COMPATIBLE",IF('Extraction edi'!V384="","",WORKDAY('Extraction edi'!V384,-10,Paramètrage!$G$2:$G$104)))</f>
        <v/>
      </c>
      <c r="P374" s="1" t="e">
        <f t="shared" si="5"/>
        <v>#VALUE!</v>
      </c>
    </row>
    <row r="375" spans="1:16" x14ac:dyDescent="0.25">
      <c r="A375" s="1" t="str">
        <f>IF(B375="","",CONCATENATE(B375,".",C375,"/Pos ",D375,"/",'Extraction edi'!G385))</f>
        <v/>
      </c>
      <c r="B375" s="1" t="str">
        <f>IF('Extraction edi'!A385="","",'Extraction edi'!A385)</f>
        <v/>
      </c>
      <c r="C375" s="1" t="str">
        <f>IF('Extraction edi'!B385="","",'Extraction edi'!B385)</f>
        <v/>
      </c>
      <c r="D375" s="1" t="str">
        <f>IF('Extraction edi'!H385="","",'Extraction edi'!H385)</f>
        <v/>
      </c>
      <c r="E375" s="1" t="str">
        <f>IF('Extraction edi'!I385="","",'Extraction edi'!I385)</f>
        <v/>
      </c>
      <c r="F375" t="str">
        <f>IF('Extraction edi'!K385="","",'Extraction edi'!K385)</f>
        <v/>
      </c>
      <c r="G375" t="str">
        <f>IF('Extraction edi'!L378="","",'Extraction edi'!L378)</f>
        <v/>
      </c>
      <c r="H375" t="str">
        <f>IF('Extraction edi'!M378="","",'Extraction edi'!M378)</f>
        <v/>
      </c>
      <c r="I375" s="1" t="str">
        <f>IF('Extraction edi'!N385="","",'Extraction edi'!N385)</f>
        <v/>
      </c>
      <c r="J375" s="1" t="str">
        <f>IF('Extraction edi'!O385="","",'Extraction edi'!O385)</f>
        <v/>
      </c>
      <c r="K375" s="1" t="str">
        <f>IF('Extraction edi'!P385="","",'Extraction edi'!P385)</f>
        <v/>
      </c>
      <c r="L375" s="1" t="str">
        <f>IF('Extraction edi'!Q385="laquage RAL :","OUI","")</f>
        <v/>
      </c>
      <c r="M375" s="1" t="str">
        <f>IF('Extraction edi'!R385&lt;&gt;"",'Extraction edi'!R385,IF(G375="ALU blanc","S9016",""))</f>
        <v/>
      </c>
      <c r="N375" s="1" t="str">
        <f>IF('Extraction edi'!S385&lt;&gt;"",'Extraction edi'!S385,IF(G375="ALU blanc","S9016",""))</f>
        <v/>
      </c>
      <c r="O375" s="11" t="str">
        <f>IF('Extraction edi'!V385&lt;'Feuille commande'!$E$1,"DELAI NON COMPATIBLE",IF('Extraction edi'!V385="","",WORKDAY('Extraction edi'!V385,-10,Paramètrage!$G$2:$G$104)))</f>
        <v/>
      </c>
      <c r="P375" s="1" t="e">
        <f t="shared" si="5"/>
        <v>#VALUE!</v>
      </c>
    </row>
    <row r="376" spans="1:16" x14ac:dyDescent="0.25">
      <c r="A376" s="1" t="str">
        <f>IF(B376="","",CONCATENATE(B376,".",C376,"/Pos ",D376,"/",'Extraction edi'!G386))</f>
        <v/>
      </c>
      <c r="B376" s="1" t="str">
        <f>IF('Extraction edi'!A386="","",'Extraction edi'!A386)</f>
        <v/>
      </c>
      <c r="C376" s="1" t="str">
        <f>IF('Extraction edi'!B386="","",'Extraction edi'!B386)</f>
        <v/>
      </c>
      <c r="D376" s="1" t="str">
        <f>IF('Extraction edi'!H386="","",'Extraction edi'!H386)</f>
        <v/>
      </c>
      <c r="E376" s="1" t="str">
        <f>IF('Extraction edi'!I386="","",'Extraction edi'!I386)</f>
        <v/>
      </c>
      <c r="F376" t="str">
        <f>IF('Extraction edi'!K386="","",'Extraction edi'!K386)</f>
        <v/>
      </c>
      <c r="G376" t="str">
        <f>IF('Extraction edi'!L379="","",'Extraction edi'!L379)</f>
        <v/>
      </c>
      <c r="H376" t="str">
        <f>IF('Extraction edi'!M379="","",'Extraction edi'!M379)</f>
        <v/>
      </c>
      <c r="I376" s="1" t="str">
        <f>IF('Extraction edi'!N386="","",'Extraction edi'!N386)</f>
        <v/>
      </c>
      <c r="J376" s="1" t="str">
        <f>IF('Extraction edi'!O386="","",'Extraction edi'!O386)</f>
        <v/>
      </c>
      <c r="K376" s="1" t="str">
        <f>IF('Extraction edi'!P386="","",'Extraction edi'!P386)</f>
        <v/>
      </c>
      <c r="L376" s="1" t="str">
        <f>IF('Extraction edi'!Q386="laquage RAL :","OUI","")</f>
        <v/>
      </c>
      <c r="M376" s="1" t="str">
        <f>IF('Extraction edi'!R386&lt;&gt;"",'Extraction edi'!R386,IF(G376="ALU blanc","S9016",""))</f>
        <v/>
      </c>
      <c r="N376" s="1" t="str">
        <f>IF('Extraction edi'!S386&lt;&gt;"",'Extraction edi'!S386,IF(G376="ALU blanc","S9016",""))</f>
        <v/>
      </c>
      <c r="O376" s="11" t="str">
        <f>IF('Extraction edi'!V386&lt;'Feuille commande'!$E$1,"DELAI NON COMPATIBLE",IF('Extraction edi'!V386="","",WORKDAY('Extraction edi'!V386,-10,Paramètrage!$G$2:$G$104)))</f>
        <v/>
      </c>
      <c r="P376" s="1" t="e">
        <f t="shared" si="5"/>
        <v>#VALUE!</v>
      </c>
    </row>
    <row r="377" spans="1:16" x14ac:dyDescent="0.25">
      <c r="A377" s="1" t="str">
        <f>IF(B377="","",CONCATENATE(B377,".",C377,"/Pos ",D377,"/",'Extraction edi'!G387))</f>
        <v/>
      </c>
      <c r="B377" s="1" t="str">
        <f>IF('Extraction edi'!A387="","",'Extraction edi'!A387)</f>
        <v/>
      </c>
      <c r="C377" s="1" t="str">
        <f>IF('Extraction edi'!B387="","",'Extraction edi'!B387)</f>
        <v/>
      </c>
      <c r="D377" s="1" t="str">
        <f>IF('Extraction edi'!H387="","",'Extraction edi'!H387)</f>
        <v/>
      </c>
      <c r="E377" s="1" t="str">
        <f>IF('Extraction edi'!I387="","",'Extraction edi'!I387)</f>
        <v/>
      </c>
      <c r="F377" t="str">
        <f>IF('Extraction edi'!K387="","",'Extraction edi'!K387)</f>
        <v/>
      </c>
      <c r="G377" t="str">
        <f>IF('Extraction edi'!L380="","",'Extraction edi'!L380)</f>
        <v/>
      </c>
      <c r="H377" t="str">
        <f>IF('Extraction edi'!M380="","",'Extraction edi'!M380)</f>
        <v/>
      </c>
      <c r="I377" s="1" t="str">
        <f>IF('Extraction edi'!N387="","",'Extraction edi'!N387)</f>
        <v/>
      </c>
      <c r="J377" s="1" t="str">
        <f>IF('Extraction edi'!O387="","",'Extraction edi'!O387)</f>
        <v/>
      </c>
      <c r="K377" s="1" t="str">
        <f>IF('Extraction edi'!P387="","",'Extraction edi'!P387)</f>
        <v/>
      </c>
      <c r="L377" s="1" t="str">
        <f>IF('Extraction edi'!Q387="laquage RAL :","OUI","")</f>
        <v/>
      </c>
      <c r="M377" s="1" t="str">
        <f>IF('Extraction edi'!R387&lt;&gt;"",'Extraction edi'!R387,IF(G377="ALU blanc","S9016",""))</f>
        <v/>
      </c>
      <c r="N377" s="1" t="str">
        <f>IF('Extraction edi'!S387&lt;&gt;"",'Extraction edi'!S387,IF(G377="ALU blanc","S9016",""))</f>
        <v/>
      </c>
      <c r="O377" s="11" t="str">
        <f>IF('Extraction edi'!V387&lt;'Feuille commande'!$E$1,"DELAI NON COMPATIBLE",IF('Extraction edi'!V387="","",WORKDAY('Extraction edi'!V387,-10,Paramètrage!$G$2:$G$104)))</f>
        <v/>
      </c>
      <c r="P377" s="1" t="e">
        <f t="shared" si="5"/>
        <v>#VALUE!</v>
      </c>
    </row>
    <row r="378" spans="1:16" x14ac:dyDescent="0.25">
      <c r="A378" s="1" t="str">
        <f>IF(B378="","",CONCATENATE(B378,".",C378,"/Pos ",D378,"/",'Extraction edi'!G388))</f>
        <v/>
      </c>
      <c r="B378" s="1" t="str">
        <f>IF('Extraction edi'!A388="","",'Extraction edi'!A388)</f>
        <v/>
      </c>
      <c r="C378" s="1" t="str">
        <f>IF('Extraction edi'!B388="","",'Extraction edi'!B388)</f>
        <v/>
      </c>
      <c r="D378" s="1" t="str">
        <f>IF('Extraction edi'!H388="","",'Extraction edi'!H388)</f>
        <v/>
      </c>
      <c r="E378" s="1" t="str">
        <f>IF('Extraction edi'!I388="","",'Extraction edi'!I388)</f>
        <v/>
      </c>
      <c r="F378" t="str">
        <f>IF('Extraction edi'!K388="","",'Extraction edi'!K388)</f>
        <v/>
      </c>
      <c r="G378" t="str">
        <f>IF('Extraction edi'!L381="","",'Extraction edi'!L381)</f>
        <v/>
      </c>
      <c r="H378" t="str">
        <f>IF('Extraction edi'!M381="","",'Extraction edi'!M381)</f>
        <v/>
      </c>
      <c r="I378" s="1" t="str">
        <f>IF('Extraction edi'!N388="","",'Extraction edi'!N388)</f>
        <v/>
      </c>
      <c r="J378" s="1" t="str">
        <f>IF('Extraction edi'!O388="","",'Extraction edi'!O388)</f>
        <v/>
      </c>
      <c r="K378" s="1" t="str">
        <f>IF('Extraction edi'!P388="","",'Extraction edi'!P388)</f>
        <v/>
      </c>
      <c r="L378" s="1" t="str">
        <f>IF('Extraction edi'!Q388="laquage RAL :","OUI","")</f>
        <v/>
      </c>
      <c r="M378" s="1" t="str">
        <f>IF('Extraction edi'!R388&lt;&gt;"",'Extraction edi'!R388,IF(G378="ALU blanc","S9016",""))</f>
        <v/>
      </c>
      <c r="N378" s="1" t="str">
        <f>IF('Extraction edi'!S388&lt;&gt;"",'Extraction edi'!S388,IF(G378="ALU blanc","S9016",""))</f>
        <v/>
      </c>
      <c r="O378" s="11" t="str">
        <f>IF('Extraction edi'!V388&lt;'Feuille commande'!$E$1,"DELAI NON COMPATIBLE",IF('Extraction edi'!V388="","",WORKDAY('Extraction edi'!V388,-10,Paramètrage!$G$2:$G$104)))</f>
        <v/>
      </c>
      <c r="P378" s="1" t="e">
        <f t="shared" si="5"/>
        <v>#VALUE!</v>
      </c>
    </row>
    <row r="379" spans="1:16" x14ac:dyDescent="0.25">
      <c r="A379" s="1" t="str">
        <f>IF(B379="","",CONCATENATE(B379,".",C379,"/Pos ",D379,"/",'Extraction edi'!G389))</f>
        <v/>
      </c>
      <c r="B379" s="1" t="str">
        <f>IF('Extraction edi'!A389="","",'Extraction edi'!A389)</f>
        <v/>
      </c>
      <c r="C379" s="1" t="str">
        <f>IF('Extraction edi'!B389="","",'Extraction edi'!B389)</f>
        <v/>
      </c>
      <c r="D379" s="1" t="str">
        <f>IF('Extraction edi'!H389="","",'Extraction edi'!H389)</f>
        <v/>
      </c>
      <c r="E379" s="1" t="str">
        <f>IF('Extraction edi'!I389="","",'Extraction edi'!I389)</f>
        <v/>
      </c>
      <c r="F379" t="str">
        <f>IF('Extraction edi'!K389="","",'Extraction edi'!K389)</f>
        <v/>
      </c>
      <c r="G379" t="str">
        <f>IF('Extraction edi'!L382="","",'Extraction edi'!L382)</f>
        <v/>
      </c>
      <c r="H379" t="str">
        <f>IF('Extraction edi'!M382="","",'Extraction edi'!M382)</f>
        <v/>
      </c>
      <c r="I379" s="1" t="str">
        <f>IF('Extraction edi'!N389="","",'Extraction edi'!N389)</f>
        <v/>
      </c>
      <c r="J379" s="1" t="str">
        <f>IF('Extraction edi'!O389="","",'Extraction edi'!O389)</f>
        <v/>
      </c>
      <c r="K379" s="1" t="str">
        <f>IF('Extraction edi'!P389="","",'Extraction edi'!P389)</f>
        <v/>
      </c>
      <c r="L379" s="1" t="str">
        <f>IF('Extraction edi'!Q389="laquage RAL :","OUI","")</f>
        <v/>
      </c>
      <c r="M379" s="1" t="str">
        <f>IF('Extraction edi'!R389&lt;&gt;"",'Extraction edi'!R389,IF(G379="ALU blanc","S9016",""))</f>
        <v/>
      </c>
      <c r="N379" s="1" t="str">
        <f>IF('Extraction edi'!S389&lt;&gt;"",'Extraction edi'!S389,IF(G379="ALU blanc","S9016",""))</f>
        <v/>
      </c>
      <c r="O379" s="11" t="str">
        <f>IF('Extraction edi'!V389&lt;'Feuille commande'!$E$1,"DELAI NON COMPATIBLE",IF('Extraction edi'!V389="","",WORKDAY('Extraction edi'!V389,-10,Paramètrage!$G$2:$G$104)))</f>
        <v/>
      </c>
      <c r="P379" s="1" t="e">
        <f t="shared" si="5"/>
        <v>#VALUE!</v>
      </c>
    </row>
    <row r="380" spans="1:16" x14ac:dyDescent="0.25">
      <c r="A380" s="1" t="str">
        <f>IF(B380="","",CONCATENATE(B380,".",C380,"/Pos ",D380,"/",'Extraction edi'!G390))</f>
        <v/>
      </c>
      <c r="B380" s="1" t="str">
        <f>IF('Extraction edi'!A390="","",'Extraction edi'!A390)</f>
        <v/>
      </c>
      <c r="C380" s="1" t="str">
        <f>IF('Extraction edi'!B390="","",'Extraction edi'!B390)</f>
        <v/>
      </c>
      <c r="D380" s="1" t="str">
        <f>IF('Extraction edi'!H390="","",'Extraction edi'!H390)</f>
        <v/>
      </c>
      <c r="E380" s="1" t="str">
        <f>IF('Extraction edi'!I390="","",'Extraction edi'!I390)</f>
        <v/>
      </c>
      <c r="F380" t="str">
        <f>IF('Extraction edi'!K390="","",'Extraction edi'!K390)</f>
        <v/>
      </c>
      <c r="G380" t="str">
        <f>IF('Extraction edi'!L383="","",'Extraction edi'!L383)</f>
        <v/>
      </c>
      <c r="H380" t="str">
        <f>IF('Extraction edi'!M383="","",'Extraction edi'!M383)</f>
        <v/>
      </c>
      <c r="I380" s="1" t="str">
        <f>IF('Extraction edi'!N390="","",'Extraction edi'!N390)</f>
        <v/>
      </c>
      <c r="J380" s="1" t="str">
        <f>IF('Extraction edi'!O390="","",'Extraction edi'!O390)</f>
        <v/>
      </c>
      <c r="K380" s="1" t="str">
        <f>IF('Extraction edi'!P390="","",'Extraction edi'!P390)</f>
        <v/>
      </c>
      <c r="L380" s="1" t="str">
        <f>IF('Extraction edi'!Q390="laquage RAL :","OUI","")</f>
        <v/>
      </c>
      <c r="M380" s="1" t="str">
        <f>IF('Extraction edi'!R390&lt;&gt;"",'Extraction edi'!R390,IF(G380="ALU blanc","S9016",""))</f>
        <v/>
      </c>
      <c r="N380" s="1" t="str">
        <f>IF('Extraction edi'!S390&lt;&gt;"",'Extraction edi'!S390,IF(G380="ALU blanc","S9016",""))</f>
        <v/>
      </c>
      <c r="O380" s="11" t="str">
        <f>IF('Extraction edi'!V390&lt;'Feuille commande'!$E$1,"DELAI NON COMPATIBLE",IF('Extraction edi'!V390="","",WORKDAY('Extraction edi'!V390,-10,Paramètrage!$G$2:$G$104)))</f>
        <v/>
      </c>
      <c r="P380" s="1" t="e">
        <f t="shared" si="5"/>
        <v>#VALUE!</v>
      </c>
    </row>
    <row r="381" spans="1:16" x14ac:dyDescent="0.25">
      <c r="A381" s="1" t="str">
        <f>IF(B381="","",CONCATENATE(B381,".",C381,"/Pos ",D381,"/",'Extraction edi'!G391))</f>
        <v/>
      </c>
      <c r="B381" s="1" t="str">
        <f>IF('Extraction edi'!A391="","",'Extraction edi'!A391)</f>
        <v/>
      </c>
      <c r="C381" s="1" t="str">
        <f>IF('Extraction edi'!B391="","",'Extraction edi'!B391)</f>
        <v/>
      </c>
      <c r="D381" s="1" t="str">
        <f>IF('Extraction edi'!H391="","",'Extraction edi'!H391)</f>
        <v/>
      </c>
      <c r="E381" s="1" t="str">
        <f>IF('Extraction edi'!I391="","",'Extraction edi'!I391)</f>
        <v/>
      </c>
      <c r="F381" t="str">
        <f>IF('Extraction edi'!K391="","",'Extraction edi'!K391)</f>
        <v/>
      </c>
      <c r="G381" t="str">
        <f>IF('Extraction edi'!L384="","",'Extraction edi'!L384)</f>
        <v/>
      </c>
      <c r="H381" t="str">
        <f>IF('Extraction edi'!M384="","",'Extraction edi'!M384)</f>
        <v/>
      </c>
      <c r="I381" s="1" t="str">
        <f>IF('Extraction edi'!N391="","",'Extraction edi'!N391)</f>
        <v/>
      </c>
      <c r="J381" s="1" t="str">
        <f>IF('Extraction edi'!O391="","",'Extraction edi'!O391)</f>
        <v/>
      </c>
      <c r="K381" s="1" t="str">
        <f>IF('Extraction edi'!P391="","",'Extraction edi'!P391)</f>
        <v/>
      </c>
      <c r="L381" s="1" t="str">
        <f>IF('Extraction edi'!Q391="laquage RAL :","OUI","")</f>
        <v/>
      </c>
      <c r="M381" s="1" t="str">
        <f>IF('Extraction edi'!R391&lt;&gt;"",'Extraction edi'!R391,IF(G381="ALU blanc","S9016",""))</f>
        <v/>
      </c>
      <c r="N381" s="1" t="str">
        <f>IF('Extraction edi'!S391&lt;&gt;"",'Extraction edi'!S391,IF(G381="ALU blanc","S9016",""))</f>
        <v/>
      </c>
      <c r="O381" s="11" t="str">
        <f>IF('Extraction edi'!V391&lt;'Feuille commande'!$E$1,"DELAI NON COMPATIBLE",IF('Extraction edi'!V391="","",WORKDAY('Extraction edi'!V391,-10,Paramètrage!$G$2:$G$104)))</f>
        <v/>
      </c>
      <c r="P381" s="1" t="e">
        <f t="shared" si="5"/>
        <v>#VALUE!</v>
      </c>
    </row>
    <row r="382" spans="1:16" x14ac:dyDescent="0.25">
      <c r="A382" s="1" t="str">
        <f>IF(B382="","",CONCATENATE(B382,".",C382,"/Pos ",D382,"/",'Extraction edi'!G392))</f>
        <v/>
      </c>
      <c r="B382" s="1" t="str">
        <f>IF('Extraction edi'!A392="","",'Extraction edi'!A392)</f>
        <v/>
      </c>
      <c r="C382" s="1" t="str">
        <f>IF('Extraction edi'!B392="","",'Extraction edi'!B392)</f>
        <v/>
      </c>
      <c r="D382" s="1" t="str">
        <f>IF('Extraction edi'!H392="","",'Extraction edi'!H392)</f>
        <v/>
      </c>
      <c r="E382" s="1" t="str">
        <f>IF('Extraction edi'!I392="","",'Extraction edi'!I392)</f>
        <v/>
      </c>
      <c r="F382" t="str">
        <f>IF('Extraction edi'!K392="","",'Extraction edi'!K392)</f>
        <v/>
      </c>
      <c r="G382" t="str">
        <f>IF('Extraction edi'!L385="","",'Extraction edi'!L385)</f>
        <v/>
      </c>
      <c r="H382" t="str">
        <f>IF('Extraction edi'!M385="","",'Extraction edi'!M385)</f>
        <v/>
      </c>
      <c r="I382" s="1" t="str">
        <f>IF('Extraction edi'!N392="","",'Extraction edi'!N392)</f>
        <v/>
      </c>
      <c r="J382" s="1" t="str">
        <f>IF('Extraction edi'!O392="","",'Extraction edi'!O392)</f>
        <v/>
      </c>
      <c r="K382" s="1" t="str">
        <f>IF('Extraction edi'!P392="","",'Extraction edi'!P392)</f>
        <v/>
      </c>
      <c r="L382" s="1" t="str">
        <f>IF('Extraction edi'!Q392="laquage RAL :","OUI","")</f>
        <v/>
      </c>
      <c r="M382" s="1" t="str">
        <f>IF('Extraction edi'!R392&lt;&gt;"",'Extraction edi'!R392,IF(G382="ALU blanc","S9016",""))</f>
        <v/>
      </c>
      <c r="N382" s="1" t="str">
        <f>IF('Extraction edi'!S392&lt;&gt;"",'Extraction edi'!S392,IF(G382="ALU blanc","S9016",""))</f>
        <v/>
      </c>
      <c r="O382" s="11" t="str">
        <f>IF('Extraction edi'!V392&lt;'Feuille commande'!$E$1,"DELAI NON COMPATIBLE",IF('Extraction edi'!V392="","",WORKDAY('Extraction edi'!V392,-10,Paramètrage!$G$2:$G$104)))</f>
        <v/>
      </c>
      <c r="P382" s="1" t="e">
        <f t="shared" ref="P382:P445" si="6">WEEKDAY(O382,2)</f>
        <v>#VALUE!</v>
      </c>
    </row>
    <row r="383" spans="1:16" x14ac:dyDescent="0.25">
      <c r="A383" s="1" t="str">
        <f>IF(B383="","",CONCATENATE(B383,".",C383,"/Pos ",D383,"/",'Extraction edi'!G393))</f>
        <v/>
      </c>
      <c r="B383" s="1" t="str">
        <f>IF('Extraction edi'!A393="","",'Extraction edi'!A393)</f>
        <v/>
      </c>
      <c r="C383" s="1" t="str">
        <f>IF('Extraction edi'!B393="","",'Extraction edi'!B393)</f>
        <v/>
      </c>
      <c r="D383" s="1" t="str">
        <f>IF('Extraction edi'!H393="","",'Extraction edi'!H393)</f>
        <v/>
      </c>
      <c r="E383" s="1" t="str">
        <f>IF('Extraction edi'!I393="","",'Extraction edi'!I393)</f>
        <v/>
      </c>
      <c r="F383" t="str">
        <f>IF('Extraction edi'!K393="","",'Extraction edi'!K393)</f>
        <v/>
      </c>
      <c r="G383" t="str">
        <f>IF('Extraction edi'!L386="","",'Extraction edi'!L386)</f>
        <v/>
      </c>
      <c r="H383" t="str">
        <f>IF('Extraction edi'!M386="","",'Extraction edi'!M386)</f>
        <v/>
      </c>
      <c r="I383" s="1" t="str">
        <f>IF('Extraction edi'!N393="","",'Extraction edi'!N393)</f>
        <v/>
      </c>
      <c r="J383" s="1" t="str">
        <f>IF('Extraction edi'!O393="","",'Extraction edi'!O393)</f>
        <v/>
      </c>
      <c r="K383" s="1" t="str">
        <f>IF('Extraction edi'!P393="","",'Extraction edi'!P393)</f>
        <v/>
      </c>
      <c r="L383" s="1" t="str">
        <f>IF('Extraction edi'!Q393="laquage RAL :","OUI","")</f>
        <v/>
      </c>
      <c r="M383" s="1" t="str">
        <f>IF('Extraction edi'!R393&lt;&gt;"",'Extraction edi'!R393,IF(G383="ALU blanc","S9016",""))</f>
        <v/>
      </c>
      <c r="N383" s="1" t="str">
        <f>IF('Extraction edi'!S393&lt;&gt;"",'Extraction edi'!S393,IF(G383="ALU blanc","S9016",""))</f>
        <v/>
      </c>
      <c r="O383" s="11" t="str">
        <f>IF('Extraction edi'!V393&lt;'Feuille commande'!$E$1,"DELAI NON COMPATIBLE",IF('Extraction edi'!V393="","",WORKDAY('Extraction edi'!V393,-10,Paramètrage!$G$2:$G$104)))</f>
        <v/>
      </c>
      <c r="P383" s="1" t="e">
        <f t="shared" si="6"/>
        <v>#VALUE!</v>
      </c>
    </row>
    <row r="384" spans="1:16" x14ac:dyDescent="0.25">
      <c r="A384" s="1" t="str">
        <f>IF(B384="","",CONCATENATE(B384,".",C384,"/Pos ",D384,"/",'Extraction edi'!G394))</f>
        <v/>
      </c>
      <c r="B384" s="1" t="str">
        <f>IF('Extraction edi'!A394="","",'Extraction edi'!A394)</f>
        <v/>
      </c>
      <c r="C384" s="1" t="str">
        <f>IF('Extraction edi'!B394="","",'Extraction edi'!B394)</f>
        <v/>
      </c>
      <c r="D384" s="1" t="str">
        <f>IF('Extraction edi'!H394="","",'Extraction edi'!H394)</f>
        <v/>
      </c>
      <c r="E384" s="1" t="str">
        <f>IF('Extraction edi'!I394="","",'Extraction edi'!I394)</f>
        <v/>
      </c>
      <c r="F384" t="str">
        <f>IF('Extraction edi'!K394="","",'Extraction edi'!K394)</f>
        <v/>
      </c>
      <c r="G384" t="str">
        <f>IF('Extraction edi'!L387="","",'Extraction edi'!L387)</f>
        <v/>
      </c>
      <c r="H384" t="str">
        <f>IF('Extraction edi'!M387="","",'Extraction edi'!M387)</f>
        <v/>
      </c>
      <c r="I384" s="1" t="str">
        <f>IF('Extraction edi'!N394="","",'Extraction edi'!N394)</f>
        <v/>
      </c>
      <c r="J384" s="1" t="str">
        <f>IF('Extraction edi'!O394="","",'Extraction edi'!O394)</f>
        <v/>
      </c>
      <c r="K384" s="1" t="str">
        <f>IF('Extraction edi'!P394="","",'Extraction edi'!P394)</f>
        <v/>
      </c>
      <c r="L384" s="1" t="str">
        <f>IF('Extraction edi'!Q394="laquage RAL :","OUI","")</f>
        <v/>
      </c>
      <c r="M384" s="1" t="str">
        <f>IF('Extraction edi'!R394&lt;&gt;"",'Extraction edi'!R394,IF(G384="ALU blanc","S9016",""))</f>
        <v/>
      </c>
      <c r="N384" s="1" t="str">
        <f>IF('Extraction edi'!S394&lt;&gt;"",'Extraction edi'!S394,IF(G384="ALU blanc","S9016",""))</f>
        <v/>
      </c>
      <c r="O384" s="11" t="str">
        <f>IF('Extraction edi'!V394&lt;'Feuille commande'!$E$1,"DELAI NON COMPATIBLE",IF('Extraction edi'!V394="","",WORKDAY('Extraction edi'!V394,-10,Paramètrage!$G$2:$G$104)))</f>
        <v/>
      </c>
      <c r="P384" s="1" t="e">
        <f t="shared" si="6"/>
        <v>#VALUE!</v>
      </c>
    </row>
    <row r="385" spans="1:16" x14ac:dyDescent="0.25">
      <c r="A385" s="1" t="str">
        <f>IF(B385="","",CONCATENATE(B385,".",C385,"/Pos ",D385,"/",'Extraction edi'!G395))</f>
        <v/>
      </c>
      <c r="B385" s="1" t="str">
        <f>IF('Extraction edi'!A395="","",'Extraction edi'!A395)</f>
        <v/>
      </c>
      <c r="C385" s="1" t="str">
        <f>IF('Extraction edi'!B395="","",'Extraction edi'!B395)</f>
        <v/>
      </c>
      <c r="D385" s="1" t="str">
        <f>IF('Extraction edi'!H395="","",'Extraction edi'!H395)</f>
        <v/>
      </c>
      <c r="E385" s="1" t="str">
        <f>IF('Extraction edi'!I395="","",'Extraction edi'!I395)</f>
        <v/>
      </c>
      <c r="F385" t="str">
        <f>IF('Extraction edi'!K395="","",'Extraction edi'!K395)</f>
        <v/>
      </c>
      <c r="G385" t="str">
        <f>IF('Extraction edi'!L388="","",'Extraction edi'!L388)</f>
        <v/>
      </c>
      <c r="H385" t="str">
        <f>IF('Extraction edi'!M388="","",'Extraction edi'!M388)</f>
        <v/>
      </c>
      <c r="I385" s="1" t="str">
        <f>IF('Extraction edi'!N395="","",'Extraction edi'!N395)</f>
        <v/>
      </c>
      <c r="J385" s="1" t="str">
        <f>IF('Extraction edi'!O395="","",'Extraction edi'!O395)</f>
        <v/>
      </c>
      <c r="K385" s="1" t="str">
        <f>IF('Extraction edi'!P395="","",'Extraction edi'!P395)</f>
        <v/>
      </c>
      <c r="L385" s="1" t="str">
        <f>IF('Extraction edi'!Q395="laquage RAL :","OUI","")</f>
        <v/>
      </c>
      <c r="M385" s="1" t="str">
        <f>IF('Extraction edi'!R395&lt;&gt;"",'Extraction edi'!R395,IF(G385="ALU blanc","S9016",""))</f>
        <v/>
      </c>
      <c r="N385" s="1" t="str">
        <f>IF('Extraction edi'!S395&lt;&gt;"",'Extraction edi'!S395,IF(G385="ALU blanc","S9016",""))</f>
        <v/>
      </c>
      <c r="O385" s="11" t="str">
        <f>IF('Extraction edi'!V395&lt;'Feuille commande'!$E$1,"DELAI NON COMPATIBLE",IF('Extraction edi'!V395="","",WORKDAY('Extraction edi'!V395,-10,Paramètrage!$G$2:$G$104)))</f>
        <v/>
      </c>
      <c r="P385" s="1" t="e">
        <f t="shared" si="6"/>
        <v>#VALUE!</v>
      </c>
    </row>
    <row r="386" spans="1:16" x14ac:dyDescent="0.25">
      <c r="A386" s="1" t="str">
        <f>IF(B386="","",CONCATENATE(B386,".",C386,"/Pos ",D386,"/",'Extraction edi'!G396))</f>
        <v/>
      </c>
      <c r="B386" s="1" t="str">
        <f>IF('Extraction edi'!A396="","",'Extraction edi'!A396)</f>
        <v/>
      </c>
      <c r="C386" s="1" t="str">
        <f>IF('Extraction edi'!B396="","",'Extraction edi'!B396)</f>
        <v/>
      </c>
      <c r="D386" s="1" t="str">
        <f>IF('Extraction edi'!H396="","",'Extraction edi'!H396)</f>
        <v/>
      </c>
      <c r="E386" s="1" t="str">
        <f>IF('Extraction edi'!I396="","",'Extraction edi'!I396)</f>
        <v/>
      </c>
      <c r="F386" t="str">
        <f>IF('Extraction edi'!K396="","",'Extraction edi'!K396)</f>
        <v/>
      </c>
      <c r="G386" t="str">
        <f>IF('Extraction edi'!L389="","",'Extraction edi'!L389)</f>
        <v/>
      </c>
      <c r="H386" t="str">
        <f>IF('Extraction edi'!M389="","",'Extraction edi'!M389)</f>
        <v/>
      </c>
      <c r="I386" s="1" t="str">
        <f>IF('Extraction edi'!N396="","",'Extraction edi'!N396)</f>
        <v/>
      </c>
      <c r="J386" s="1" t="str">
        <f>IF('Extraction edi'!O396="","",'Extraction edi'!O396)</f>
        <v/>
      </c>
      <c r="K386" s="1" t="str">
        <f>IF('Extraction edi'!P396="","",'Extraction edi'!P396)</f>
        <v/>
      </c>
      <c r="L386" s="1" t="str">
        <f>IF('Extraction edi'!Q396="laquage RAL :","OUI","")</f>
        <v/>
      </c>
      <c r="M386" s="1" t="str">
        <f>IF('Extraction edi'!R396&lt;&gt;"",'Extraction edi'!R396,IF(G386="ALU blanc","S9016",""))</f>
        <v/>
      </c>
      <c r="N386" s="1" t="str">
        <f>IF('Extraction edi'!S396&lt;&gt;"",'Extraction edi'!S396,IF(G386="ALU blanc","S9016",""))</f>
        <v/>
      </c>
      <c r="O386" s="11" t="str">
        <f>IF('Extraction edi'!V396&lt;'Feuille commande'!$E$1,"DELAI NON COMPATIBLE",IF('Extraction edi'!V396="","",WORKDAY('Extraction edi'!V396,-10,Paramètrage!$G$2:$G$104)))</f>
        <v/>
      </c>
      <c r="P386" s="1" t="e">
        <f t="shared" si="6"/>
        <v>#VALUE!</v>
      </c>
    </row>
    <row r="387" spans="1:16" x14ac:dyDescent="0.25">
      <c r="A387" s="1" t="str">
        <f>IF(B387="","",CONCATENATE(B387,".",C387,"/Pos ",D387,"/",'Extraction edi'!G397))</f>
        <v/>
      </c>
      <c r="B387" s="1" t="str">
        <f>IF('Extraction edi'!A397="","",'Extraction edi'!A397)</f>
        <v/>
      </c>
      <c r="C387" s="1" t="str">
        <f>IF('Extraction edi'!B397="","",'Extraction edi'!B397)</f>
        <v/>
      </c>
      <c r="D387" s="1" t="str">
        <f>IF('Extraction edi'!H397="","",'Extraction edi'!H397)</f>
        <v/>
      </c>
      <c r="E387" s="1" t="str">
        <f>IF('Extraction edi'!I397="","",'Extraction edi'!I397)</f>
        <v/>
      </c>
      <c r="F387" t="str">
        <f>IF('Extraction edi'!K397="","",'Extraction edi'!K397)</f>
        <v/>
      </c>
      <c r="G387" t="str">
        <f>IF('Extraction edi'!L390="","",'Extraction edi'!L390)</f>
        <v/>
      </c>
      <c r="H387" t="str">
        <f>IF('Extraction edi'!M390="","",'Extraction edi'!M390)</f>
        <v/>
      </c>
      <c r="I387" s="1" t="str">
        <f>IF('Extraction edi'!N397="","",'Extraction edi'!N397)</f>
        <v/>
      </c>
      <c r="J387" s="1" t="str">
        <f>IF('Extraction edi'!O397="","",'Extraction edi'!O397)</f>
        <v/>
      </c>
      <c r="K387" s="1" t="str">
        <f>IF('Extraction edi'!P397="","",'Extraction edi'!P397)</f>
        <v/>
      </c>
      <c r="L387" s="1" t="str">
        <f>IF('Extraction edi'!Q397="laquage RAL :","OUI","")</f>
        <v/>
      </c>
      <c r="M387" s="1" t="str">
        <f>IF('Extraction edi'!R397&lt;&gt;"",'Extraction edi'!R397,IF(G387="ALU blanc","S9016",""))</f>
        <v/>
      </c>
      <c r="N387" s="1" t="str">
        <f>IF('Extraction edi'!S397&lt;&gt;"",'Extraction edi'!S397,IF(G387="ALU blanc","S9016",""))</f>
        <v/>
      </c>
      <c r="O387" s="11" t="str">
        <f>IF('Extraction edi'!V397&lt;'Feuille commande'!$E$1,"DELAI NON COMPATIBLE",IF('Extraction edi'!V397="","",WORKDAY('Extraction edi'!V397,-10,Paramètrage!$G$2:$G$104)))</f>
        <v/>
      </c>
      <c r="P387" s="1" t="e">
        <f t="shared" si="6"/>
        <v>#VALUE!</v>
      </c>
    </row>
    <row r="388" spans="1:16" x14ac:dyDescent="0.25">
      <c r="A388" s="1" t="str">
        <f>IF(B388="","",CONCATENATE(B388,".",C388,"/Pos ",D388,"/",'Extraction edi'!G398))</f>
        <v/>
      </c>
      <c r="B388" s="1" t="str">
        <f>IF('Extraction edi'!A398="","",'Extraction edi'!A398)</f>
        <v/>
      </c>
      <c r="C388" s="1" t="str">
        <f>IF('Extraction edi'!B398="","",'Extraction edi'!B398)</f>
        <v/>
      </c>
      <c r="D388" s="1" t="str">
        <f>IF('Extraction edi'!H398="","",'Extraction edi'!H398)</f>
        <v/>
      </c>
      <c r="E388" s="1" t="str">
        <f>IF('Extraction edi'!I398="","",'Extraction edi'!I398)</f>
        <v/>
      </c>
      <c r="F388" t="str">
        <f>IF('Extraction edi'!K398="","",'Extraction edi'!K398)</f>
        <v/>
      </c>
      <c r="G388" t="str">
        <f>IF('Extraction edi'!L391="","",'Extraction edi'!L391)</f>
        <v/>
      </c>
      <c r="H388" t="str">
        <f>IF('Extraction edi'!M391="","",'Extraction edi'!M391)</f>
        <v/>
      </c>
      <c r="I388" s="1" t="str">
        <f>IF('Extraction edi'!N398="","",'Extraction edi'!N398)</f>
        <v/>
      </c>
      <c r="J388" s="1" t="str">
        <f>IF('Extraction edi'!O398="","",'Extraction edi'!O398)</f>
        <v/>
      </c>
      <c r="K388" s="1" t="str">
        <f>IF('Extraction edi'!P398="","",'Extraction edi'!P398)</f>
        <v/>
      </c>
      <c r="L388" s="1" t="str">
        <f>IF('Extraction edi'!Q398="laquage RAL :","OUI","")</f>
        <v/>
      </c>
      <c r="M388" s="1" t="str">
        <f>IF('Extraction edi'!R398&lt;&gt;"",'Extraction edi'!R398,IF(G388="ALU blanc","S9016",""))</f>
        <v/>
      </c>
      <c r="N388" s="1" t="str">
        <f>IF('Extraction edi'!S398&lt;&gt;"",'Extraction edi'!S398,IF(G388="ALU blanc","S9016",""))</f>
        <v/>
      </c>
      <c r="O388" s="11" t="str">
        <f>IF('Extraction edi'!V398&lt;'Feuille commande'!$E$1,"DELAI NON COMPATIBLE",IF('Extraction edi'!V398="","",WORKDAY('Extraction edi'!V398,-10,Paramètrage!$G$2:$G$104)))</f>
        <v/>
      </c>
      <c r="P388" s="1" t="e">
        <f t="shared" si="6"/>
        <v>#VALUE!</v>
      </c>
    </row>
    <row r="389" spans="1:16" x14ac:dyDescent="0.25">
      <c r="A389" s="1" t="str">
        <f>IF(B389="","",CONCATENATE(B389,".",C389,"/Pos ",D389,"/",'Extraction edi'!G399))</f>
        <v/>
      </c>
      <c r="B389" s="1" t="str">
        <f>IF('Extraction edi'!A399="","",'Extraction edi'!A399)</f>
        <v/>
      </c>
      <c r="C389" s="1" t="str">
        <f>IF('Extraction edi'!B399="","",'Extraction edi'!B399)</f>
        <v/>
      </c>
      <c r="D389" s="1" t="str">
        <f>IF('Extraction edi'!H399="","",'Extraction edi'!H399)</f>
        <v/>
      </c>
      <c r="E389" s="1" t="str">
        <f>IF('Extraction edi'!I399="","",'Extraction edi'!I399)</f>
        <v/>
      </c>
      <c r="F389" t="str">
        <f>IF('Extraction edi'!K399="","",'Extraction edi'!K399)</f>
        <v/>
      </c>
      <c r="G389" t="str">
        <f>IF('Extraction edi'!L392="","",'Extraction edi'!L392)</f>
        <v/>
      </c>
      <c r="H389" t="str">
        <f>IF('Extraction edi'!M392="","",'Extraction edi'!M392)</f>
        <v/>
      </c>
      <c r="I389" s="1" t="str">
        <f>IF('Extraction edi'!N399="","",'Extraction edi'!N399)</f>
        <v/>
      </c>
      <c r="J389" s="1" t="str">
        <f>IF('Extraction edi'!O399="","",'Extraction edi'!O399)</f>
        <v/>
      </c>
      <c r="K389" s="1" t="str">
        <f>IF('Extraction edi'!P399="","",'Extraction edi'!P399)</f>
        <v/>
      </c>
      <c r="L389" s="1" t="str">
        <f>IF('Extraction edi'!Q399="laquage RAL :","OUI","")</f>
        <v/>
      </c>
      <c r="M389" s="1" t="str">
        <f>IF('Extraction edi'!R399&lt;&gt;"",'Extraction edi'!R399,IF(G389="ALU blanc","S9016",""))</f>
        <v/>
      </c>
      <c r="N389" s="1" t="str">
        <f>IF('Extraction edi'!S399&lt;&gt;"",'Extraction edi'!S399,IF(G389="ALU blanc","S9016",""))</f>
        <v/>
      </c>
      <c r="O389" s="11" t="str">
        <f>IF('Extraction edi'!V399&lt;'Feuille commande'!$E$1,"DELAI NON COMPATIBLE",IF('Extraction edi'!V399="","",WORKDAY('Extraction edi'!V399,-10,Paramètrage!$G$2:$G$104)))</f>
        <v/>
      </c>
      <c r="P389" s="1" t="e">
        <f t="shared" si="6"/>
        <v>#VALUE!</v>
      </c>
    </row>
    <row r="390" spans="1:16" x14ac:dyDescent="0.25">
      <c r="A390" s="1" t="str">
        <f>IF(B390="","",CONCATENATE(B390,".",C390,"/Pos ",D390,"/",'Extraction edi'!G400))</f>
        <v/>
      </c>
      <c r="B390" s="1" t="str">
        <f>IF('Extraction edi'!A400="","",'Extraction edi'!A400)</f>
        <v/>
      </c>
      <c r="C390" s="1" t="str">
        <f>IF('Extraction edi'!B400="","",'Extraction edi'!B400)</f>
        <v/>
      </c>
      <c r="D390" s="1" t="str">
        <f>IF('Extraction edi'!H400="","",'Extraction edi'!H400)</f>
        <v/>
      </c>
      <c r="E390" s="1" t="str">
        <f>IF('Extraction edi'!I400="","",'Extraction edi'!I400)</f>
        <v/>
      </c>
      <c r="F390" t="str">
        <f>IF('Extraction edi'!K400="","",'Extraction edi'!K400)</f>
        <v/>
      </c>
      <c r="G390" t="str">
        <f>IF('Extraction edi'!L393="","",'Extraction edi'!L393)</f>
        <v/>
      </c>
      <c r="H390" t="str">
        <f>IF('Extraction edi'!M393="","",'Extraction edi'!M393)</f>
        <v/>
      </c>
      <c r="I390" s="1" t="str">
        <f>IF('Extraction edi'!N400="","",'Extraction edi'!N400)</f>
        <v/>
      </c>
      <c r="J390" s="1" t="str">
        <f>IF('Extraction edi'!O400="","",'Extraction edi'!O400)</f>
        <v/>
      </c>
      <c r="K390" s="1" t="str">
        <f>IF('Extraction edi'!P400="","",'Extraction edi'!P400)</f>
        <v/>
      </c>
      <c r="L390" s="1" t="str">
        <f>IF('Extraction edi'!Q400="laquage RAL :","OUI","")</f>
        <v/>
      </c>
      <c r="M390" s="1" t="str">
        <f>IF('Extraction edi'!R400&lt;&gt;"",'Extraction edi'!R400,IF(G390="ALU blanc","S9016",""))</f>
        <v/>
      </c>
      <c r="N390" s="1" t="str">
        <f>IF('Extraction edi'!S400&lt;&gt;"",'Extraction edi'!S400,IF(G390="ALU blanc","S9016",""))</f>
        <v/>
      </c>
      <c r="O390" s="11" t="str">
        <f>IF('Extraction edi'!V400&lt;'Feuille commande'!$E$1,"DELAI NON COMPATIBLE",IF('Extraction edi'!V400="","",WORKDAY('Extraction edi'!V400,-10,Paramètrage!$G$2:$G$104)))</f>
        <v/>
      </c>
      <c r="P390" s="1" t="e">
        <f t="shared" si="6"/>
        <v>#VALUE!</v>
      </c>
    </row>
    <row r="391" spans="1:16" x14ac:dyDescent="0.25">
      <c r="A391" s="1" t="str">
        <f>IF(B391="","",CONCATENATE(B391,".",C391,"/Pos ",D391,"/",'Extraction edi'!G401))</f>
        <v/>
      </c>
      <c r="B391" s="1" t="str">
        <f>IF('Extraction edi'!A401="","",'Extraction edi'!A401)</f>
        <v/>
      </c>
      <c r="C391" s="1" t="str">
        <f>IF('Extraction edi'!B401="","",'Extraction edi'!B401)</f>
        <v/>
      </c>
      <c r="D391" s="1" t="str">
        <f>IF('Extraction edi'!H401="","",'Extraction edi'!H401)</f>
        <v/>
      </c>
      <c r="E391" s="1" t="str">
        <f>IF('Extraction edi'!I401="","",'Extraction edi'!I401)</f>
        <v/>
      </c>
      <c r="F391" t="str">
        <f>IF('Extraction edi'!K401="","",'Extraction edi'!K401)</f>
        <v/>
      </c>
      <c r="G391" t="str">
        <f>IF('Extraction edi'!L394="","",'Extraction edi'!L394)</f>
        <v/>
      </c>
      <c r="H391" t="str">
        <f>IF('Extraction edi'!M394="","",'Extraction edi'!M394)</f>
        <v/>
      </c>
      <c r="I391" s="1" t="str">
        <f>IF('Extraction edi'!N401="","",'Extraction edi'!N401)</f>
        <v/>
      </c>
      <c r="J391" s="1" t="str">
        <f>IF('Extraction edi'!O401="","",'Extraction edi'!O401)</f>
        <v/>
      </c>
      <c r="K391" s="1" t="str">
        <f>IF('Extraction edi'!P401="","",'Extraction edi'!P401)</f>
        <v/>
      </c>
      <c r="L391" s="1" t="str">
        <f>IF('Extraction edi'!Q401="laquage RAL :","OUI","")</f>
        <v/>
      </c>
      <c r="M391" s="1" t="str">
        <f>IF('Extraction edi'!R401&lt;&gt;"",'Extraction edi'!R401,IF(G391="ALU blanc","S9016",""))</f>
        <v/>
      </c>
      <c r="N391" s="1" t="str">
        <f>IF('Extraction edi'!S401&lt;&gt;"",'Extraction edi'!S401,IF(G391="ALU blanc","S9016",""))</f>
        <v/>
      </c>
      <c r="O391" s="11" t="str">
        <f>IF('Extraction edi'!V401&lt;'Feuille commande'!$E$1,"DELAI NON COMPATIBLE",IF('Extraction edi'!V401="","",WORKDAY('Extraction edi'!V401,-10,Paramètrage!$G$2:$G$104)))</f>
        <v/>
      </c>
      <c r="P391" s="1" t="e">
        <f t="shared" si="6"/>
        <v>#VALUE!</v>
      </c>
    </row>
    <row r="392" spans="1:16" x14ac:dyDescent="0.25">
      <c r="A392" s="1" t="str">
        <f>IF(B392="","",CONCATENATE(B392,".",C392,"/Pos ",D392,"/",'Extraction edi'!G402))</f>
        <v/>
      </c>
      <c r="B392" s="1" t="str">
        <f>IF('Extraction edi'!A402="","",'Extraction edi'!A402)</f>
        <v/>
      </c>
      <c r="C392" s="1" t="str">
        <f>IF('Extraction edi'!B402="","",'Extraction edi'!B402)</f>
        <v/>
      </c>
      <c r="D392" s="1" t="str">
        <f>IF('Extraction edi'!H402="","",'Extraction edi'!H402)</f>
        <v/>
      </c>
      <c r="E392" s="1" t="str">
        <f>IF('Extraction edi'!I402="","",'Extraction edi'!I402)</f>
        <v/>
      </c>
      <c r="F392" t="str">
        <f>IF('Extraction edi'!K402="","",'Extraction edi'!K402)</f>
        <v/>
      </c>
      <c r="G392" t="str">
        <f>IF('Extraction edi'!L395="","",'Extraction edi'!L395)</f>
        <v/>
      </c>
      <c r="H392" t="str">
        <f>IF('Extraction edi'!M395="","",'Extraction edi'!M395)</f>
        <v/>
      </c>
      <c r="I392" s="1" t="str">
        <f>IF('Extraction edi'!N402="","",'Extraction edi'!N402)</f>
        <v/>
      </c>
      <c r="J392" s="1" t="str">
        <f>IF('Extraction edi'!O402="","",'Extraction edi'!O402)</f>
        <v/>
      </c>
      <c r="K392" s="1" t="str">
        <f>IF('Extraction edi'!P402="","",'Extraction edi'!P402)</f>
        <v/>
      </c>
      <c r="L392" s="1" t="str">
        <f>IF('Extraction edi'!Q402="laquage RAL :","OUI","")</f>
        <v/>
      </c>
      <c r="M392" s="1" t="str">
        <f>IF('Extraction edi'!R402&lt;&gt;"",'Extraction edi'!R402,IF(G392="ALU blanc","S9016",""))</f>
        <v/>
      </c>
      <c r="N392" s="1" t="str">
        <f>IF('Extraction edi'!S402&lt;&gt;"",'Extraction edi'!S402,IF(G392="ALU blanc","S9016",""))</f>
        <v/>
      </c>
      <c r="O392" s="11" t="str">
        <f>IF('Extraction edi'!V402&lt;'Feuille commande'!$E$1,"DELAI NON COMPATIBLE",IF('Extraction edi'!V402="","",WORKDAY('Extraction edi'!V402,-10,Paramètrage!$G$2:$G$104)))</f>
        <v/>
      </c>
      <c r="P392" s="1" t="e">
        <f t="shared" si="6"/>
        <v>#VALUE!</v>
      </c>
    </row>
    <row r="393" spans="1:16" x14ac:dyDescent="0.25">
      <c r="A393" s="1" t="str">
        <f>IF(B393="","",CONCATENATE(B393,".",C393,"/Pos ",D393,"/",'Extraction edi'!G403))</f>
        <v/>
      </c>
      <c r="B393" s="1" t="str">
        <f>IF('Extraction edi'!A403="","",'Extraction edi'!A403)</f>
        <v/>
      </c>
      <c r="C393" s="1" t="str">
        <f>IF('Extraction edi'!B403="","",'Extraction edi'!B403)</f>
        <v/>
      </c>
      <c r="D393" s="1" t="str">
        <f>IF('Extraction edi'!H403="","",'Extraction edi'!H403)</f>
        <v/>
      </c>
      <c r="E393" s="1" t="str">
        <f>IF('Extraction edi'!I403="","",'Extraction edi'!I403)</f>
        <v/>
      </c>
      <c r="F393" t="str">
        <f>IF('Extraction edi'!K403="","",'Extraction edi'!K403)</f>
        <v/>
      </c>
      <c r="G393" t="str">
        <f>IF('Extraction edi'!L396="","",'Extraction edi'!L396)</f>
        <v/>
      </c>
      <c r="H393" t="str">
        <f>IF('Extraction edi'!M396="","",'Extraction edi'!M396)</f>
        <v/>
      </c>
      <c r="I393" s="1" t="str">
        <f>IF('Extraction edi'!N403="","",'Extraction edi'!N403)</f>
        <v/>
      </c>
      <c r="J393" s="1" t="str">
        <f>IF('Extraction edi'!O403="","",'Extraction edi'!O403)</f>
        <v/>
      </c>
      <c r="K393" s="1" t="str">
        <f>IF('Extraction edi'!P403="","",'Extraction edi'!P403)</f>
        <v/>
      </c>
      <c r="L393" s="1" t="str">
        <f>IF('Extraction edi'!Q403="laquage RAL :","OUI","")</f>
        <v/>
      </c>
      <c r="M393" s="1" t="str">
        <f>IF('Extraction edi'!R403&lt;&gt;"",'Extraction edi'!R403,IF(G393="ALU blanc","S9016",""))</f>
        <v/>
      </c>
      <c r="N393" s="1" t="str">
        <f>IF('Extraction edi'!S403&lt;&gt;"",'Extraction edi'!S403,IF(G393="ALU blanc","S9016",""))</f>
        <v/>
      </c>
      <c r="O393" s="11" t="str">
        <f>IF('Extraction edi'!V403&lt;'Feuille commande'!$E$1,"DELAI NON COMPATIBLE",IF('Extraction edi'!V403="","",WORKDAY('Extraction edi'!V403,-10,Paramètrage!$G$2:$G$104)))</f>
        <v/>
      </c>
      <c r="P393" s="1" t="e">
        <f t="shared" si="6"/>
        <v>#VALUE!</v>
      </c>
    </row>
    <row r="394" spans="1:16" x14ac:dyDescent="0.25">
      <c r="A394" s="1" t="str">
        <f>IF(B394="","",CONCATENATE(B394,".",C394,"/Pos ",D394,"/",'Extraction edi'!G404))</f>
        <v/>
      </c>
      <c r="B394" s="1" t="str">
        <f>IF('Extraction edi'!A404="","",'Extraction edi'!A404)</f>
        <v/>
      </c>
      <c r="C394" s="1" t="str">
        <f>IF('Extraction edi'!B404="","",'Extraction edi'!B404)</f>
        <v/>
      </c>
      <c r="D394" s="1" t="str">
        <f>IF('Extraction edi'!H404="","",'Extraction edi'!H404)</f>
        <v/>
      </c>
      <c r="E394" s="1" t="str">
        <f>IF('Extraction edi'!I404="","",'Extraction edi'!I404)</f>
        <v/>
      </c>
      <c r="F394" t="str">
        <f>IF('Extraction edi'!K404="","",'Extraction edi'!K404)</f>
        <v/>
      </c>
      <c r="G394" t="str">
        <f>IF('Extraction edi'!L397="","",'Extraction edi'!L397)</f>
        <v/>
      </c>
      <c r="H394" t="str">
        <f>IF('Extraction edi'!M397="","",'Extraction edi'!M397)</f>
        <v/>
      </c>
      <c r="I394" s="1" t="str">
        <f>IF('Extraction edi'!N404="","",'Extraction edi'!N404)</f>
        <v/>
      </c>
      <c r="J394" s="1" t="str">
        <f>IF('Extraction edi'!O404="","",'Extraction edi'!O404)</f>
        <v/>
      </c>
      <c r="K394" s="1" t="str">
        <f>IF('Extraction edi'!P404="","",'Extraction edi'!P404)</f>
        <v/>
      </c>
      <c r="L394" s="1" t="str">
        <f>IF('Extraction edi'!Q404="laquage RAL :","OUI","")</f>
        <v/>
      </c>
      <c r="M394" s="1" t="str">
        <f>IF('Extraction edi'!R404&lt;&gt;"",'Extraction edi'!R404,IF(G394="ALU blanc","S9016",""))</f>
        <v/>
      </c>
      <c r="N394" s="1" t="str">
        <f>IF('Extraction edi'!S404&lt;&gt;"",'Extraction edi'!S404,IF(G394="ALU blanc","S9016",""))</f>
        <v/>
      </c>
      <c r="O394" s="11" t="str">
        <f>IF('Extraction edi'!V404&lt;'Feuille commande'!$E$1,"DELAI NON COMPATIBLE",IF('Extraction edi'!V404="","",WORKDAY('Extraction edi'!V404,-10,Paramètrage!$G$2:$G$104)))</f>
        <v/>
      </c>
      <c r="P394" s="1" t="e">
        <f t="shared" si="6"/>
        <v>#VALUE!</v>
      </c>
    </row>
    <row r="395" spans="1:16" x14ac:dyDescent="0.25">
      <c r="A395" s="1" t="str">
        <f>IF(B395="","",CONCATENATE(B395,".",C395,"/Pos ",D395,"/",'Extraction edi'!G405))</f>
        <v/>
      </c>
      <c r="B395" s="1" t="str">
        <f>IF('Extraction edi'!A405="","",'Extraction edi'!A405)</f>
        <v/>
      </c>
      <c r="C395" s="1" t="str">
        <f>IF('Extraction edi'!B405="","",'Extraction edi'!B405)</f>
        <v/>
      </c>
      <c r="D395" s="1" t="str">
        <f>IF('Extraction edi'!H405="","",'Extraction edi'!H405)</f>
        <v/>
      </c>
      <c r="E395" s="1" t="str">
        <f>IF('Extraction edi'!I405="","",'Extraction edi'!I405)</f>
        <v/>
      </c>
      <c r="F395" t="str">
        <f>IF('Extraction edi'!K405="","",'Extraction edi'!K405)</f>
        <v/>
      </c>
      <c r="G395" t="str">
        <f>IF('Extraction edi'!L398="","",'Extraction edi'!L398)</f>
        <v/>
      </c>
      <c r="H395" t="str">
        <f>IF('Extraction edi'!M398="","",'Extraction edi'!M398)</f>
        <v/>
      </c>
      <c r="I395" s="1" t="str">
        <f>IF('Extraction edi'!N405="","",'Extraction edi'!N405)</f>
        <v/>
      </c>
      <c r="J395" s="1" t="str">
        <f>IF('Extraction edi'!O405="","",'Extraction edi'!O405)</f>
        <v/>
      </c>
      <c r="K395" s="1" t="str">
        <f>IF('Extraction edi'!P405="","",'Extraction edi'!P405)</f>
        <v/>
      </c>
      <c r="L395" s="1" t="str">
        <f>IF('Extraction edi'!Q405="laquage RAL :","OUI","")</f>
        <v/>
      </c>
      <c r="M395" s="1" t="str">
        <f>IF('Extraction edi'!R405&lt;&gt;"",'Extraction edi'!R405,IF(G395="ALU blanc","S9016",""))</f>
        <v/>
      </c>
      <c r="N395" s="1" t="str">
        <f>IF('Extraction edi'!S405&lt;&gt;"",'Extraction edi'!S405,IF(G395="ALU blanc","S9016",""))</f>
        <v/>
      </c>
      <c r="O395" s="11" t="str">
        <f>IF('Extraction edi'!V405&lt;'Feuille commande'!$E$1,"DELAI NON COMPATIBLE",IF('Extraction edi'!V405="","",WORKDAY('Extraction edi'!V405,-10,Paramètrage!$G$2:$G$104)))</f>
        <v/>
      </c>
      <c r="P395" s="1" t="e">
        <f t="shared" si="6"/>
        <v>#VALUE!</v>
      </c>
    </row>
    <row r="396" spans="1:16" x14ac:dyDescent="0.25">
      <c r="A396" s="1" t="str">
        <f>IF(B396="","",CONCATENATE(B396,".",C396,"/Pos ",D396,"/",'Extraction edi'!G406))</f>
        <v/>
      </c>
      <c r="B396" s="1" t="str">
        <f>IF('Extraction edi'!A406="","",'Extraction edi'!A406)</f>
        <v/>
      </c>
      <c r="C396" s="1" t="str">
        <f>IF('Extraction edi'!B406="","",'Extraction edi'!B406)</f>
        <v/>
      </c>
      <c r="D396" s="1" t="str">
        <f>IF('Extraction edi'!H406="","",'Extraction edi'!H406)</f>
        <v/>
      </c>
      <c r="E396" s="1" t="str">
        <f>IF('Extraction edi'!I406="","",'Extraction edi'!I406)</f>
        <v/>
      </c>
      <c r="F396" t="str">
        <f>IF('Extraction edi'!K406="","",'Extraction edi'!K406)</f>
        <v/>
      </c>
      <c r="G396" t="str">
        <f>IF('Extraction edi'!L399="","",'Extraction edi'!L399)</f>
        <v/>
      </c>
      <c r="H396" t="str">
        <f>IF('Extraction edi'!M399="","",'Extraction edi'!M399)</f>
        <v/>
      </c>
      <c r="I396" s="1" t="str">
        <f>IF('Extraction edi'!N406="","",'Extraction edi'!N406)</f>
        <v/>
      </c>
      <c r="J396" s="1" t="str">
        <f>IF('Extraction edi'!O406="","",'Extraction edi'!O406)</f>
        <v/>
      </c>
      <c r="K396" s="1" t="str">
        <f>IF('Extraction edi'!P406="","",'Extraction edi'!P406)</f>
        <v/>
      </c>
      <c r="L396" s="1" t="str">
        <f>IF('Extraction edi'!Q406="laquage RAL :","OUI","")</f>
        <v/>
      </c>
      <c r="M396" s="1" t="str">
        <f>IF('Extraction edi'!R406&lt;&gt;"",'Extraction edi'!R406,IF(G396="ALU blanc","S9016",""))</f>
        <v/>
      </c>
      <c r="N396" s="1" t="str">
        <f>IF('Extraction edi'!S406&lt;&gt;"",'Extraction edi'!S406,IF(G396="ALU blanc","S9016",""))</f>
        <v/>
      </c>
      <c r="O396" s="11" t="str">
        <f>IF('Extraction edi'!V406&lt;'Feuille commande'!$E$1,"DELAI NON COMPATIBLE",IF('Extraction edi'!V406="","",WORKDAY('Extraction edi'!V406,-10,Paramètrage!$G$2:$G$104)))</f>
        <v/>
      </c>
      <c r="P396" s="1" t="e">
        <f t="shared" si="6"/>
        <v>#VALUE!</v>
      </c>
    </row>
    <row r="397" spans="1:16" x14ac:dyDescent="0.25">
      <c r="A397" s="1" t="str">
        <f>IF(B397="","",CONCATENATE(B397,".",C397,"/Pos ",D397,"/",'Extraction edi'!G407))</f>
        <v/>
      </c>
      <c r="B397" s="1" t="str">
        <f>IF('Extraction edi'!A407="","",'Extraction edi'!A407)</f>
        <v/>
      </c>
      <c r="C397" s="1" t="str">
        <f>IF('Extraction edi'!B407="","",'Extraction edi'!B407)</f>
        <v/>
      </c>
      <c r="D397" s="1" t="str">
        <f>IF('Extraction edi'!H407="","",'Extraction edi'!H407)</f>
        <v/>
      </c>
      <c r="E397" s="1" t="str">
        <f>IF('Extraction edi'!I407="","",'Extraction edi'!I407)</f>
        <v/>
      </c>
      <c r="F397" t="str">
        <f>IF('Extraction edi'!K407="","",'Extraction edi'!K407)</f>
        <v/>
      </c>
      <c r="G397" t="str">
        <f>IF('Extraction edi'!L400="","",'Extraction edi'!L400)</f>
        <v/>
      </c>
      <c r="H397" t="str">
        <f>IF('Extraction edi'!M400="","",'Extraction edi'!M400)</f>
        <v/>
      </c>
      <c r="I397" s="1" t="str">
        <f>IF('Extraction edi'!N407="","",'Extraction edi'!N407)</f>
        <v/>
      </c>
      <c r="J397" s="1" t="str">
        <f>IF('Extraction edi'!O407="","",'Extraction edi'!O407)</f>
        <v/>
      </c>
      <c r="K397" s="1" t="str">
        <f>IF('Extraction edi'!P407="","",'Extraction edi'!P407)</f>
        <v/>
      </c>
      <c r="L397" s="1" t="str">
        <f>IF('Extraction edi'!Q407="laquage RAL :","OUI","")</f>
        <v/>
      </c>
      <c r="M397" s="1" t="str">
        <f>IF('Extraction edi'!R407&lt;&gt;"",'Extraction edi'!R407,IF(G397="ALU blanc","S9016",""))</f>
        <v/>
      </c>
      <c r="N397" s="1" t="str">
        <f>IF('Extraction edi'!S407&lt;&gt;"",'Extraction edi'!S407,IF(G397="ALU blanc","S9016",""))</f>
        <v/>
      </c>
      <c r="O397" s="11" t="str">
        <f>IF('Extraction edi'!V407&lt;'Feuille commande'!$E$1,"DELAI NON COMPATIBLE",IF('Extraction edi'!V407="","",WORKDAY('Extraction edi'!V407,-10,Paramètrage!$G$2:$G$104)))</f>
        <v/>
      </c>
      <c r="P397" s="1" t="e">
        <f t="shared" si="6"/>
        <v>#VALUE!</v>
      </c>
    </row>
    <row r="398" spans="1:16" x14ac:dyDescent="0.25">
      <c r="A398" s="1" t="str">
        <f>IF(B398="","",CONCATENATE(B398,".",C398,"/Pos ",D398,"/",'Extraction edi'!G408))</f>
        <v/>
      </c>
      <c r="B398" s="1" t="str">
        <f>IF('Extraction edi'!A408="","",'Extraction edi'!A408)</f>
        <v/>
      </c>
      <c r="C398" s="1" t="str">
        <f>IF('Extraction edi'!B408="","",'Extraction edi'!B408)</f>
        <v/>
      </c>
      <c r="D398" s="1" t="str">
        <f>IF('Extraction edi'!H408="","",'Extraction edi'!H408)</f>
        <v/>
      </c>
      <c r="E398" s="1" t="str">
        <f>IF('Extraction edi'!I408="","",'Extraction edi'!I408)</f>
        <v/>
      </c>
      <c r="F398" t="str">
        <f>IF('Extraction edi'!K408="","",'Extraction edi'!K408)</f>
        <v/>
      </c>
      <c r="G398" t="str">
        <f>IF('Extraction edi'!L401="","",'Extraction edi'!L401)</f>
        <v/>
      </c>
      <c r="H398" t="str">
        <f>IF('Extraction edi'!M401="","",'Extraction edi'!M401)</f>
        <v/>
      </c>
      <c r="I398" s="1" t="str">
        <f>IF('Extraction edi'!N408="","",'Extraction edi'!N408)</f>
        <v/>
      </c>
      <c r="J398" s="1" t="str">
        <f>IF('Extraction edi'!O408="","",'Extraction edi'!O408)</f>
        <v/>
      </c>
      <c r="K398" s="1" t="str">
        <f>IF('Extraction edi'!P408="","",'Extraction edi'!P408)</f>
        <v/>
      </c>
      <c r="L398" s="1" t="str">
        <f>IF('Extraction edi'!Q408="laquage RAL :","OUI","")</f>
        <v/>
      </c>
      <c r="M398" s="1" t="str">
        <f>IF('Extraction edi'!R408&lt;&gt;"",'Extraction edi'!R408,IF(G398="ALU blanc","S9016",""))</f>
        <v/>
      </c>
      <c r="N398" s="1" t="str">
        <f>IF('Extraction edi'!S408&lt;&gt;"",'Extraction edi'!S408,IF(G398="ALU blanc","S9016",""))</f>
        <v/>
      </c>
      <c r="O398" s="11" t="str">
        <f>IF('Extraction edi'!V408&lt;'Feuille commande'!$E$1,"DELAI NON COMPATIBLE",IF('Extraction edi'!V408="","",WORKDAY('Extraction edi'!V408,-10,Paramètrage!$G$2:$G$104)))</f>
        <v/>
      </c>
      <c r="P398" s="1" t="e">
        <f t="shared" si="6"/>
        <v>#VALUE!</v>
      </c>
    </row>
    <row r="399" spans="1:16" x14ac:dyDescent="0.25">
      <c r="A399" s="1" t="str">
        <f>IF(B399="","",CONCATENATE(B399,".",C399,"/Pos ",D399,"/",'Extraction edi'!G409))</f>
        <v/>
      </c>
      <c r="B399" s="1" t="str">
        <f>IF('Extraction edi'!A409="","",'Extraction edi'!A409)</f>
        <v/>
      </c>
      <c r="C399" s="1" t="str">
        <f>IF('Extraction edi'!B409="","",'Extraction edi'!B409)</f>
        <v/>
      </c>
      <c r="D399" s="1" t="str">
        <f>IF('Extraction edi'!H409="","",'Extraction edi'!H409)</f>
        <v/>
      </c>
      <c r="E399" s="1" t="str">
        <f>IF('Extraction edi'!I409="","",'Extraction edi'!I409)</f>
        <v/>
      </c>
      <c r="F399" t="str">
        <f>IF('Extraction edi'!K409="","",'Extraction edi'!K409)</f>
        <v/>
      </c>
      <c r="G399" t="str">
        <f>IF('Extraction edi'!L402="","",'Extraction edi'!L402)</f>
        <v/>
      </c>
      <c r="H399" t="str">
        <f>IF('Extraction edi'!M402="","",'Extraction edi'!M402)</f>
        <v/>
      </c>
      <c r="I399" s="1" t="str">
        <f>IF('Extraction edi'!N409="","",'Extraction edi'!N409)</f>
        <v/>
      </c>
      <c r="J399" s="1" t="str">
        <f>IF('Extraction edi'!O409="","",'Extraction edi'!O409)</f>
        <v/>
      </c>
      <c r="K399" s="1" t="str">
        <f>IF('Extraction edi'!P409="","",'Extraction edi'!P409)</f>
        <v/>
      </c>
      <c r="L399" s="1" t="str">
        <f>IF('Extraction edi'!Q409="laquage RAL :","OUI","")</f>
        <v/>
      </c>
      <c r="M399" s="1" t="str">
        <f>IF('Extraction edi'!R409&lt;&gt;"",'Extraction edi'!R409,IF(G399="ALU blanc","S9016",""))</f>
        <v/>
      </c>
      <c r="N399" s="1" t="str">
        <f>IF('Extraction edi'!S409&lt;&gt;"",'Extraction edi'!S409,IF(G399="ALU blanc","S9016",""))</f>
        <v/>
      </c>
      <c r="O399" s="11" t="str">
        <f>IF('Extraction edi'!V409&lt;'Feuille commande'!$E$1,"DELAI NON COMPATIBLE",IF('Extraction edi'!V409="","",WORKDAY('Extraction edi'!V409,-10,Paramètrage!$G$2:$G$104)))</f>
        <v/>
      </c>
      <c r="P399" s="1" t="e">
        <f t="shared" si="6"/>
        <v>#VALUE!</v>
      </c>
    </row>
    <row r="400" spans="1:16" x14ac:dyDescent="0.25">
      <c r="A400" s="1" t="str">
        <f>IF(B400="","",CONCATENATE(B400,".",C400,"/Pos ",D400,"/",'Extraction edi'!G410))</f>
        <v/>
      </c>
      <c r="B400" s="1" t="str">
        <f>IF('Extraction edi'!A410="","",'Extraction edi'!A410)</f>
        <v/>
      </c>
      <c r="C400" s="1" t="str">
        <f>IF('Extraction edi'!B410="","",'Extraction edi'!B410)</f>
        <v/>
      </c>
      <c r="D400" s="1" t="str">
        <f>IF('Extraction edi'!H410="","",'Extraction edi'!H410)</f>
        <v/>
      </c>
      <c r="E400" s="1" t="str">
        <f>IF('Extraction edi'!I410="","",'Extraction edi'!I410)</f>
        <v/>
      </c>
      <c r="F400" t="str">
        <f>IF('Extraction edi'!K410="","",'Extraction edi'!K410)</f>
        <v/>
      </c>
      <c r="G400" t="str">
        <f>IF('Extraction edi'!L403="","",'Extraction edi'!L403)</f>
        <v/>
      </c>
      <c r="H400" t="str">
        <f>IF('Extraction edi'!M403="","",'Extraction edi'!M403)</f>
        <v/>
      </c>
      <c r="I400" s="1" t="str">
        <f>IF('Extraction edi'!N410="","",'Extraction edi'!N410)</f>
        <v/>
      </c>
      <c r="J400" s="1" t="str">
        <f>IF('Extraction edi'!O410="","",'Extraction edi'!O410)</f>
        <v/>
      </c>
      <c r="K400" s="1" t="str">
        <f>IF('Extraction edi'!P410="","",'Extraction edi'!P410)</f>
        <v/>
      </c>
      <c r="L400" s="1" t="str">
        <f>IF('Extraction edi'!Q410="laquage RAL :","OUI","")</f>
        <v/>
      </c>
      <c r="M400" s="1" t="str">
        <f>IF('Extraction edi'!R410&lt;&gt;"",'Extraction edi'!R410,IF(G400="ALU blanc","S9016",""))</f>
        <v/>
      </c>
      <c r="N400" s="1" t="str">
        <f>IF('Extraction edi'!S410&lt;&gt;"",'Extraction edi'!S410,IF(G400="ALU blanc","S9016",""))</f>
        <v/>
      </c>
      <c r="O400" s="11" t="str">
        <f>IF('Extraction edi'!V410&lt;'Feuille commande'!$E$1,"DELAI NON COMPATIBLE",IF('Extraction edi'!V410="","",WORKDAY('Extraction edi'!V410,-10,Paramètrage!$G$2:$G$104)))</f>
        <v/>
      </c>
      <c r="P400" s="1" t="e">
        <f t="shared" si="6"/>
        <v>#VALUE!</v>
      </c>
    </row>
    <row r="401" spans="1:16" x14ac:dyDescent="0.25">
      <c r="A401" s="1" t="str">
        <f>IF(B401="","",CONCATENATE(B401,".",C401,"/Pos ",D401,"/",'Extraction edi'!G411))</f>
        <v/>
      </c>
      <c r="B401" s="1" t="str">
        <f>IF('Extraction edi'!A411="","",'Extraction edi'!A411)</f>
        <v/>
      </c>
      <c r="C401" s="1" t="str">
        <f>IF('Extraction edi'!B411="","",'Extraction edi'!B411)</f>
        <v/>
      </c>
      <c r="D401" s="1" t="str">
        <f>IF('Extraction edi'!H411="","",'Extraction edi'!H411)</f>
        <v/>
      </c>
      <c r="E401" s="1" t="str">
        <f>IF('Extraction edi'!I411="","",'Extraction edi'!I411)</f>
        <v/>
      </c>
      <c r="F401" t="str">
        <f>IF('Extraction edi'!K411="","",'Extraction edi'!K411)</f>
        <v/>
      </c>
      <c r="G401" t="str">
        <f>IF('Extraction edi'!L404="","",'Extraction edi'!L404)</f>
        <v/>
      </c>
      <c r="H401" t="str">
        <f>IF('Extraction edi'!M404="","",'Extraction edi'!M404)</f>
        <v/>
      </c>
      <c r="I401" s="1" t="str">
        <f>IF('Extraction edi'!N411="","",'Extraction edi'!N411)</f>
        <v/>
      </c>
      <c r="J401" s="1" t="str">
        <f>IF('Extraction edi'!O411="","",'Extraction edi'!O411)</f>
        <v/>
      </c>
      <c r="K401" s="1" t="str">
        <f>IF('Extraction edi'!P411="","",'Extraction edi'!P411)</f>
        <v/>
      </c>
      <c r="L401" s="1" t="str">
        <f>IF('Extraction edi'!Q411="laquage RAL :","OUI","")</f>
        <v/>
      </c>
      <c r="M401" s="1" t="str">
        <f>IF('Extraction edi'!R411&lt;&gt;"",'Extraction edi'!R411,IF(G401="ALU blanc","S9016",""))</f>
        <v/>
      </c>
      <c r="N401" s="1" t="str">
        <f>IF('Extraction edi'!S411&lt;&gt;"",'Extraction edi'!S411,IF(G401="ALU blanc","S9016",""))</f>
        <v/>
      </c>
      <c r="O401" s="11" t="str">
        <f>IF('Extraction edi'!V411&lt;'Feuille commande'!$E$1,"DELAI NON COMPATIBLE",IF('Extraction edi'!V411="","",WORKDAY('Extraction edi'!V411,-10,Paramètrage!$G$2:$G$104)))</f>
        <v/>
      </c>
      <c r="P401" s="1" t="e">
        <f t="shared" si="6"/>
        <v>#VALUE!</v>
      </c>
    </row>
    <row r="402" spans="1:16" x14ac:dyDescent="0.25">
      <c r="A402" s="1" t="str">
        <f>IF(B402="","",CONCATENATE(B402,".",C402,"/Pos ",D402,"/",'Extraction edi'!G412))</f>
        <v/>
      </c>
      <c r="B402" s="1" t="str">
        <f>IF('Extraction edi'!A412="","",'Extraction edi'!A412)</f>
        <v/>
      </c>
      <c r="C402" s="1" t="str">
        <f>IF('Extraction edi'!B412="","",'Extraction edi'!B412)</f>
        <v/>
      </c>
      <c r="D402" s="1" t="str">
        <f>IF('Extraction edi'!H412="","",'Extraction edi'!H412)</f>
        <v/>
      </c>
      <c r="E402" s="1" t="str">
        <f>IF('Extraction edi'!I412="","",'Extraction edi'!I412)</f>
        <v/>
      </c>
      <c r="F402" t="str">
        <f>IF('Extraction edi'!K412="","",'Extraction edi'!K412)</f>
        <v/>
      </c>
      <c r="G402" t="str">
        <f>IF('Extraction edi'!L405="","",'Extraction edi'!L405)</f>
        <v/>
      </c>
      <c r="H402" t="str">
        <f>IF('Extraction edi'!M405="","",'Extraction edi'!M405)</f>
        <v/>
      </c>
      <c r="I402" s="1" t="str">
        <f>IF('Extraction edi'!N412="","",'Extraction edi'!N412)</f>
        <v/>
      </c>
      <c r="J402" s="1" t="str">
        <f>IF('Extraction edi'!O412="","",'Extraction edi'!O412)</f>
        <v/>
      </c>
      <c r="K402" s="1" t="str">
        <f>IF('Extraction edi'!P412="","",'Extraction edi'!P412)</f>
        <v/>
      </c>
      <c r="L402" s="1" t="str">
        <f>IF('Extraction edi'!Q412="laquage RAL :","OUI","")</f>
        <v/>
      </c>
      <c r="M402" s="1" t="str">
        <f>IF('Extraction edi'!R412&lt;&gt;"",'Extraction edi'!R412,IF(G402="ALU blanc","S9016",""))</f>
        <v/>
      </c>
      <c r="N402" s="1" t="str">
        <f>IF('Extraction edi'!S412&lt;&gt;"",'Extraction edi'!S412,IF(G402="ALU blanc","S9016",""))</f>
        <v/>
      </c>
      <c r="O402" s="11" t="str">
        <f>IF('Extraction edi'!V412&lt;'Feuille commande'!$E$1,"DELAI NON COMPATIBLE",IF('Extraction edi'!V412="","",WORKDAY('Extraction edi'!V412,-10,Paramètrage!$G$2:$G$104)))</f>
        <v/>
      </c>
      <c r="P402" s="1" t="e">
        <f t="shared" si="6"/>
        <v>#VALUE!</v>
      </c>
    </row>
    <row r="403" spans="1:16" x14ac:dyDescent="0.25">
      <c r="A403" s="1" t="str">
        <f>IF(B403="","",CONCATENATE(B403,".",C403,"/Pos ",D403,"/",'Extraction edi'!G413))</f>
        <v/>
      </c>
      <c r="B403" s="1" t="str">
        <f>IF('Extraction edi'!A413="","",'Extraction edi'!A413)</f>
        <v/>
      </c>
      <c r="C403" s="1" t="str">
        <f>IF('Extraction edi'!B413="","",'Extraction edi'!B413)</f>
        <v/>
      </c>
      <c r="D403" s="1" t="str">
        <f>IF('Extraction edi'!H413="","",'Extraction edi'!H413)</f>
        <v/>
      </c>
      <c r="E403" s="1" t="str">
        <f>IF('Extraction edi'!I413="","",'Extraction edi'!I413)</f>
        <v/>
      </c>
      <c r="F403" t="str">
        <f>IF('Extraction edi'!K413="","",'Extraction edi'!K413)</f>
        <v/>
      </c>
      <c r="G403" t="str">
        <f>IF('Extraction edi'!L406="","",'Extraction edi'!L406)</f>
        <v/>
      </c>
      <c r="H403" t="str">
        <f>IF('Extraction edi'!M406="","",'Extraction edi'!M406)</f>
        <v/>
      </c>
      <c r="I403" s="1" t="str">
        <f>IF('Extraction edi'!N413="","",'Extraction edi'!N413)</f>
        <v/>
      </c>
      <c r="J403" s="1" t="str">
        <f>IF('Extraction edi'!O413="","",'Extraction edi'!O413)</f>
        <v/>
      </c>
      <c r="K403" s="1" t="str">
        <f>IF('Extraction edi'!P413="","",'Extraction edi'!P413)</f>
        <v/>
      </c>
      <c r="L403" s="1" t="str">
        <f>IF('Extraction edi'!Q413="laquage RAL :","OUI","")</f>
        <v/>
      </c>
      <c r="M403" s="1" t="str">
        <f>IF('Extraction edi'!R413&lt;&gt;"",'Extraction edi'!R413,IF(G403="ALU blanc","S9016",""))</f>
        <v/>
      </c>
      <c r="N403" s="1" t="str">
        <f>IF('Extraction edi'!S413&lt;&gt;"",'Extraction edi'!S413,IF(G403="ALU blanc","S9016",""))</f>
        <v/>
      </c>
      <c r="O403" s="11" t="str">
        <f>IF('Extraction edi'!V413&lt;'Feuille commande'!$E$1,"DELAI NON COMPATIBLE",IF('Extraction edi'!V413="","",WORKDAY('Extraction edi'!V413,-10,Paramètrage!$G$2:$G$104)))</f>
        <v/>
      </c>
      <c r="P403" s="1" t="e">
        <f t="shared" si="6"/>
        <v>#VALUE!</v>
      </c>
    </row>
    <row r="404" spans="1:16" x14ac:dyDescent="0.25">
      <c r="A404" s="1" t="str">
        <f>IF(B404="","",CONCATENATE(B404,".",C404,"/Pos ",D404,"/",'Extraction edi'!G414))</f>
        <v/>
      </c>
      <c r="B404" s="1" t="str">
        <f>IF('Extraction edi'!A414="","",'Extraction edi'!A414)</f>
        <v/>
      </c>
      <c r="C404" s="1" t="str">
        <f>IF('Extraction edi'!B414="","",'Extraction edi'!B414)</f>
        <v/>
      </c>
      <c r="D404" s="1" t="str">
        <f>IF('Extraction edi'!H414="","",'Extraction edi'!H414)</f>
        <v/>
      </c>
      <c r="E404" s="1" t="str">
        <f>IF('Extraction edi'!I414="","",'Extraction edi'!I414)</f>
        <v/>
      </c>
      <c r="F404" t="str">
        <f>IF('Extraction edi'!K414="","",'Extraction edi'!K414)</f>
        <v/>
      </c>
      <c r="G404" t="str">
        <f>IF('Extraction edi'!L407="","",'Extraction edi'!L407)</f>
        <v/>
      </c>
      <c r="H404" t="str">
        <f>IF('Extraction edi'!M407="","",'Extraction edi'!M407)</f>
        <v/>
      </c>
      <c r="I404" s="1" t="str">
        <f>IF('Extraction edi'!N414="","",'Extraction edi'!N414)</f>
        <v/>
      </c>
      <c r="J404" s="1" t="str">
        <f>IF('Extraction edi'!O414="","",'Extraction edi'!O414)</f>
        <v/>
      </c>
      <c r="K404" s="1" t="str">
        <f>IF('Extraction edi'!P414="","",'Extraction edi'!P414)</f>
        <v/>
      </c>
      <c r="L404" s="1" t="str">
        <f>IF('Extraction edi'!Q414="laquage RAL :","OUI","")</f>
        <v/>
      </c>
      <c r="M404" s="1" t="str">
        <f>IF('Extraction edi'!R414&lt;&gt;"",'Extraction edi'!R414,IF(G404="ALU blanc","S9016",""))</f>
        <v/>
      </c>
      <c r="N404" s="1" t="str">
        <f>IF('Extraction edi'!S414&lt;&gt;"",'Extraction edi'!S414,IF(G404="ALU blanc","S9016",""))</f>
        <v/>
      </c>
      <c r="O404" s="11" t="str">
        <f>IF('Extraction edi'!V414&lt;'Feuille commande'!$E$1,"DELAI NON COMPATIBLE",IF('Extraction edi'!V414="","",WORKDAY('Extraction edi'!V414,-10,Paramètrage!$G$2:$G$104)))</f>
        <v/>
      </c>
      <c r="P404" s="1" t="e">
        <f t="shared" si="6"/>
        <v>#VALUE!</v>
      </c>
    </row>
    <row r="405" spans="1:16" x14ac:dyDescent="0.25">
      <c r="A405" s="1" t="str">
        <f>IF(B405="","",CONCATENATE(B405,".",C405,"/Pos ",D405,"/",'Extraction edi'!G415))</f>
        <v/>
      </c>
      <c r="B405" s="1" t="str">
        <f>IF('Extraction edi'!A415="","",'Extraction edi'!A415)</f>
        <v/>
      </c>
      <c r="C405" s="1" t="str">
        <f>IF('Extraction edi'!B415="","",'Extraction edi'!B415)</f>
        <v/>
      </c>
      <c r="D405" s="1" t="str">
        <f>IF('Extraction edi'!H415="","",'Extraction edi'!H415)</f>
        <v/>
      </c>
      <c r="E405" s="1" t="str">
        <f>IF('Extraction edi'!I415="","",'Extraction edi'!I415)</f>
        <v/>
      </c>
      <c r="F405" t="str">
        <f>IF('Extraction edi'!K415="","",'Extraction edi'!K415)</f>
        <v/>
      </c>
      <c r="G405" t="str">
        <f>IF('Extraction edi'!L408="","",'Extraction edi'!L408)</f>
        <v/>
      </c>
      <c r="H405" t="str">
        <f>IF('Extraction edi'!M408="","",'Extraction edi'!M408)</f>
        <v/>
      </c>
      <c r="I405" s="1" t="str">
        <f>IF('Extraction edi'!N415="","",'Extraction edi'!N415)</f>
        <v/>
      </c>
      <c r="J405" s="1" t="str">
        <f>IF('Extraction edi'!O415="","",'Extraction edi'!O415)</f>
        <v/>
      </c>
      <c r="K405" s="1" t="str">
        <f>IF('Extraction edi'!P415="","",'Extraction edi'!P415)</f>
        <v/>
      </c>
      <c r="L405" s="1" t="str">
        <f>IF('Extraction edi'!Q415="laquage RAL :","OUI","")</f>
        <v/>
      </c>
      <c r="M405" s="1" t="str">
        <f>IF('Extraction edi'!R415&lt;&gt;"",'Extraction edi'!R415,IF(G405="ALU blanc","S9016",""))</f>
        <v/>
      </c>
      <c r="N405" s="1" t="str">
        <f>IF('Extraction edi'!S415&lt;&gt;"",'Extraction edi'!S415,IF(G405="ALU blanc","S9016",""))</f>
        <v/>
      </c>
      <c r="O405" s="11" t="str">
        <f>IF('Extraction edi'!V415&lt;'Feuille commande'!$E$1,"DELAI NON COMPATIBLE",IF('Extraction edi'!V415="","",WORKDAY('Extraction edi'!V415,-10,Paramètrage!$G$2:$G$104)))</f>
        <v/>
      </c>
      <c r="P405" s="1" t="e">
        <f t="shared" si="6"/>
        <v>#VALUE!</v>
      </c>
    </row>
    <row r="406" spans="1:16" x14ac:dyDescent="0.25">
      <c r="A406" s="1" t="str">
        <f>IF(B406="","",CONCATENATE(B406,".",C406,"/Pos ",D406,"/",'Extraction edi'!G416))</f>
        <v/>
      </c>
      <c r="B406" s="1" t="str">
        <f>IF('Extraction edi'!A416="","",'Extraction edi'!A416)</f>
        <v/>
      </c>
      <c r="C406" s="1" t="str">
        <f>IF('Extraction edi'!B416="","",'Extraction edi'!B416)</f>
        <v/>
      </c>
      <c r="D406" s="1" t="str">
        <f>IF('Extraction edi'!H416="","",'Extraction edi'!H416)</f>
        <v/>
      </c>
      <c r="E406" s="1" t="str">
        <f>IF('Extraction edi'!I416="","",'Extraction edi'!I416)</f>
        <v/>
      </c>
      <c r="F406" t="str">
        <f>IF('Extraction edi'!K416="","",'Extraction edi'!K416)</f>
        <v/>
      </c>
      <c r="G406" t="str">
        <f>IF('Extraction edi'!L409="","",'Extraction edi'!L409)</f>
        <v/>
      </c>
      <c r="H406" t="str">
        <f>IF('Extraction edi'!M409="","",'Extraction edi'!M409)</f>
        <v/>
      </c>
      <c r="I406" s="1" t="str">
        <f>IF('Extraction edi'!N416="","",'Extraction edi'!N416)</f>
        <v/>
      </c>
      <c r="J406" s="1" t="str">
        <f>IF('Extraction edi'!O416="","",'Extraction edi'!O416)</f>
        <v/>
      </c>
      <c r="K406" s="1" t="str">
        <f>IF('Extraction edi'!P416="","",'Extraction edi'!P416)</f>
        <v/>
      </c>
      <c r="L406" s="1" t="str">
        <f>IF('Extraction edi'!Q416="laquage RAL :","OUI","")</f>
        <v/>
      </c>
      <c r="M406" s="1" t="str">
        <f>IF('Extraction edi'!R416&lt;&gt;"",'Extraction edi'!R416,IF(G406="ALU blanc","S9016",""))</f>
        <v/>
      </c>
      <c r="N406" s="1" t="str">
        <f>IF('Extraction edi'!S416&lt;&gt;"",'Extraction edi'!S416,IF(G406="ALU blanc","S9016",""))</f>
        <v/>
      </c>
      <c r="O406" s="11" t="str">
        <f>IF('Extraction edi'!V416&lt;'Feuille commande'!$E$1,"DELAI NON COMPATIBLE",IF('Extraction edi'!V416="","",WORKDAY('Extraction edi'!V416,-10,Paramètrage!$G$2:$G$104)))</f>
        <v/>
      </c>
      <c r="P406" s="1" t="e">
        <f t="shared" si="6"/>
        <v>#VALUE!</v>
      </c>
    </row>
    <row r="407" spans="1:16" x14ac:dyDescent="0.25">
      <c r="A407" s="1" t="str">
        <f>IF(B407="","",CONCATENATE(B407,".",C407,"/Pos ",D407,"/",'Extraction edi'!G417))</f>
        <v/>
      </c>
      <c r="B407" s="1" t="str">
        <f>IF('Extraction edi'!A417="","",'Extraction edi'!A417)</f>
        <v/>
      </c>
      <c r="C407" s="1" t="str">
        <f>IF('Extraction edi'!B417="","",'Extraction edi'!B417)</f>
        <v/>
      </c>
      <c r="D407" s="1" t="str">
        <f>IF('Extraction edi'!H417="","",'Extraction edi'!H417)</f>
        <v/>
      </c>
      <c r="E407" s="1" t="str">
        <f>IF('Extraction edi'!I417="","",'Extraction edi'!I417)</f>
        <v/>
      </c>
      <c r="F407" t="str">
        <f>IF('Extraction edi'!K417="","",'Extraction edi'!K417)</f>
        <v/>
      </c>
      <c r="G407" t="str">
        <f>IF('Extraction edi'!L410="","",'Extraction edi'!L410)</f>
        <v/>
      </c>
      <c r="H407" t="str">
        <f>IF('Extraction edi'!M410="","",'Extraction edi'!M410)</f>
        <v/>
      </c>
      <c r="I407" s="1" t="str">
        <f>IF('Extraction edi'!N417="","",'Extraction edi'!N417)</f>
        <v/>
      </c>
      <c r="J407" s="1" t="str">
        <f>IF('Extraction edi'!O417="","",'Extraction edi'!O417)</f>
        <v/>
      </c>
      <c r="K407" s="1" t="str">
        <f>IF('Extraction edi'!P417="","",'Extraction edi'!P417)</f>
        <v/>
      </c>
      <c r="L407" s="1" t="str">
        <f>IF('Extraction edi'!Q417="laquage RAL :","OUI","")</f>
        <v/>
      </c>
      <c r="M407" s="1" t="str">
        <f>IF('Extraction edi'!R417&lt;&gt;"",'Extraction edi'!R417,IF(G407="ALU blanc","S9016",""))</f>
        <v/>
      </c>
      <c r="N407" s="1" t="str">
        <f>IF('Extraction edi'!S417&lt;&gt;"",'Extraction edi'!S417,IF(G407="ALU blanc","S9016",""))</f>
        <v/>
      </c>
      <c r="O407" s="11" t="str">
        <f>IF('Extraction edi'!V417&lt;'Feuille commande'!$E$1,"DELAI NON COMPATIBLE",IF('Extraction edi'!V417="","",WORKDAY('Extraction edi'!V417,-10,Paramètrage!$G$2:$G$104)))</f>
        <v/>
      </c>
      <c r="P407" s="1" t="e">
        <f t="shared" si="6"/>
        <v>#VALUE!</v>
      </c>
    </row>
    <row r="408" spans="1:16" x14ac:dyDescent="0.25">
      <c r="A408" s="1" t="str">
        <f>IF(B408="","",CONCATENATE(B408,".",C408,"/Pos ",D408,"/",'Extraction edi'!G418))</f>
        <v/>
      </c>
      <c r="B408" s="1" t="str">
        <f>IF('Extraction edi'!A418="","",'Extraction edi'!A418)</f>
        <v/>
      </c>
      <c r="C408" s="1" t="str">
        <f>IF('Extraction edi'!B418="","",'Extraction edi'!B418)</f>
        <v/>
      </c>
      <c r="D408" s="1" t="str">
        <f>IF('Extraction edi'!H418="","",'Extraction edi'!H418)</f>
        <v/>
      </c>
      <c r="E408" s="1" t="str">
        <f>IF('Extraction edi'!I418="","",'Extraction edi'!I418)</f>
        <v/>
      </c>
      <c r="F408" t="str">
        <f>IF('Extraction edi'!K418="","",'Extraction edi'!K418)</f>
        <v/>
      </c>
      <c r="G408" t="str">
        <f>IF('Extraction edi'!L411="","",'Extraction edi'!L411)</f>
        <v/>
      </c>
      <c r="H408" t="str">
        <f>IF('Extraction edi'!M411="","",'Extraction edi'!M411)</f>
        <v/>
      </c>
      <c r="I408" s="1" t="str">
        <f>IF('Extraction edi'!N418="","",'Extraction edi'!N418)</f>
        <v/>
      </c>
      <c r="J408" s="1" t="str">
        <f>IF('Extraction edi'!O418="","",'Extraction edi'!O418)</f>
        <v/>
      </c>
      <c r="K408" s="1" t="str">
        <f>IF('Extraction edi'!P418="","",'Extraction edi'!P418)</f>
        <v/>
      </c>
      <c r="L408" s="1" t="str">
        <f>IF('Extraction edi'!Q418="laquage RAL :","OUI","")</f>
        <v/>
      </c>
      <c r="M408" s="1" t="str">
        <f>IF('Extraction edi'!R418&lt;&gt;"",'Extraction edi'!R418,IF(G408="ALU blanc","S9016",""))</f>
        <v/>
      </c>
      <c r="N408" s="1" t="str">
        <f>IF('Extraction edi'!S418&lt;&gt;"",'Extraction edi'!S418,IF(G408="ALU blanc","S9016",""))</f>
        <v/>
      </c>
      <c r="O408" s="11" t="str">
        <f>IF('Extraction edi'!V418&lt;'Feuille commande'!$E$1,"DELAI NON COMPATIBLE",IF('Extraction edi'!V418="","",WORKDAY('Extraction edi'!V418,-10,Paramètrage!$G$2:$G$104)))</f>
        <v/>
      </c>
      <c r="P408" s="1" t="e">
        <f t="shared" si="6"/>
        <v>#VALUE!</v>
      </c>
    </row>
    <row r="409" spans="1:16" x14ac:dyDescent="0.25">
      <c r="A409" s="1" t="str">
        <f>IF(B409="","",CONCATENATE(B409,".",C409,"/Pos ",D409,"/",'Extraction edi'!G419))</f>
        <v/>
      </c>
      <c r="B409" s="1" t="str">
        <f>IF('Extraction edi'!A419="","",'Extraction edi'!A419)</f>
        <v/>
      </c>
      <c r="C409" s="1" t="str">
        <f>IF('Extraction edi'!B419="","",'Extraction edi'!B419)</f>
        <v/>
      </c>
      <c r="D409" s="1" t="str">
        <f>IF('Extraction edi'!H419="","",'Extraction edi'!H419)</f>
        <v/>
      </c>
      <c r="E409" s="1" t="str">
        <f>IF('Extraction edi'!I419="","",'Extraction edi'!I419)</f>
        <v/>
      </c>
      <c r="F409" t="str">
        <f>IF('Extraction edi'!K419="","",'Extraction edi'!K419)</f>
        <v/>
      </c>
      <c r="G409" t="str">
        <f>IF('Extraction edi'!L412="","",'Extraction edi'!L412)</f>
        <v/>
      </c>
      <c r="H409" t="str">
        <f>IF('Extraction edi'!M412="","",'Extraction edi'!M412)</f>
        <v/>
      </c>
      <c r="I409" s="1" t="str">
        <f>IF('Extraction edi'!N419="","",'Extraction edi'!N419)</f>
        <v/>
      </c>
      <c r="J409" s="1" t="str">
        <f>IF('Extraction edi'!O419="","",'Extraction edi'!O419)</f>
        <v/>
      </c>
      <c r="K409" s="1" t="str">
        <f>IF('Extraction edi'!P419="","",'Extraction edi'!P419)</f>
        <v/>
      </c>
      <c r="L409" s="1" t="str">
        <f>IF('Extraction edi'!Q419="laquage RAL :","OUI","")</f>
        <v/>
      </c>
      <c r="M409" s="1" t="str">
        <f>IF('Extraction edi'!R419&lt;&gt;"",'Extraction edi'!R419,IF(G409="ALU blanc","S9016",""))</f>
        <v/>
      </c>
      <c r="N409" s="1" t="str">
        <f>IF('Extraction edi'!S419&lt;&gt;"",'Extraction edi'!S419,IF(G409="ALU blanc","S9016",""))</f>
        <v/>
      </c>
      <c r="O409" s="11" t="str">
        <f>IF('Extraction edi'!V419&lt;'Feuille commande'!$E$1,"DELAI NON COMPATIBLE",IF('Extraction edi'!V419="","",WORKDAY('Extraction edi'!V419,-10,Paramètrage!$G$2:$G$104)))</f>
        <v/>
      </c>
      <c r="P409" s="1" t="e">
        <f t="shared" si="6"/>
        <v>#VALUE!</v>
      </c>
    </row>
    <row r="410" spans="1:16" x14ac:dyDescent="0.25">
      <c r="A410" s="1" t="str">
        <f>IF(B410="","",CONCATENATE(B410,".",C410,"/Pos ",D410,"/",'Extraction edi'!G420))</f>
        <v/>
      </c>
      <c r="B410" s="1" t="str">
        <f>IF('Extraction edi'!A420="","",'Extraction edi'!A420)</f>
        <v/>
      </c>
      <c r="C410" s="1" t="str">
        <f>IF('Extraction edi'!B420="","",'Extraction edi'!B420)</f>
        <v/>
      </c>
      <c r="D410" s="1" t="str">
        <f>IF('Extraction edi'!H420="","",'Extraction edi'!H420)</f>
        <v/>
      </c>
      <c r="E410" s="1" t="str">
        <f>IF('Extraction edi'!I420="","",'Extraction edi'!I420)</f>
        <v/>
      </c>
      <c r="F410" t="str">
        <f>IF('Extraction edi'!K420="","",'Extraction edi'!K420)</f>
        <v/>
      </c>
      <c r="G410" t="str">
        <f>IF('Extraction edi'!L413="","",'Extraction edi'!L413)</f>
        <v/>
      </c>
      <c r="H410" t="str">
        <f>IF('Extraction edi'!M413="","",'Extraction edi'!M413)</f>
        <v/>
      </c>
      <c r="I410" s="1" t="str">
        <f>IF('Extraction edi'!N420="","",'Extraction edi'!N420)</f>
        <v/>
      </c>
      <c r="J410" s="1" t="str">
        <f>IF('Extraction edi'!O420="","",'Extraction edi'!O420)</f>
        <v/>
      </c>
      <c r="K410" s="1" t="str">
        <f>IF('Extraction edi'!P420="","",'Extraction edi'!P420)</f>
        <v/>
      </c>
      <c r="L410" s="1" t="str">
        <f>IF('Extraction edi'!Q420="laquage RAL :","OUI","")</f>
        <v/>
      </c>
      <c r="M410" s="1" t="str">
        <f>IF('Extraction edi'!R420&lt;&gt;"",'Extraction edi'!R420,IF(G410="ALU blanc","S9016",""))</f>
        <v/>
      </c>
      <c r="N410" s="1" t="str">
        <f>IF('Extraction edi'!S420&lt;&gt;"",'Extraction edi'!S420,IF(G410="ALU blanc","S9016",""))</f>
        <v/>
      </c>
      <c r="O410" s="11" t="str">
        <f>IF('Extraction edi'!V420&lt;'Feuille commande'!$E$1,"DELAI NON COMPATIBLE",IF('Extraction edi'!V420="","",WORKDAY('Extraction edi'!V420,-10,Paramètrage!$G$2:$G$104)))</f>
        <v/>
      </c>
      <c r="P410" s="1" t="e">
        <f t="shared" si="6"/>
        <v>#VALUE!</v>
      </c>
    </row>
    <row r="411" spans="1:16" x14ac:dyDescent="0.25">
      <c r="A411" s="1" t="str">
        <f>IF(B411="","",CONCATENATE(B411,".",C411,"/Pos ",D411,"/",'Extraction edi'!G421))</f>
        <v/>
      </c>
      <c r="B411" s="1" t="str">
        <f>IF('Extraction edi'!A421="","",'Extraction edi'!A421)</f>
        <v/>
      </c>
      <c r="C411" s="1" t="str">
        <f>IF('Extraction edi'!B421="","",'Extraction edi'!B421)</f>
        <v/>
      </c>
      <c r="D411" s="1" t="str">
        <f>IF('Extraction edi'!H421="","",'Extraction edi'!H421)</f>
        <v/>
      </c>
      <c r="E411" s="1" t="str">
        <f>IF('Extraction edi'!I421="","",'Extraction edi'!I421)</f>
        <v/>
      </c>
      <c r="F411" t="str">
        <f>IF('Extraction edi'!K421="","",'Extraction edi'!K421)</f>
        <v/>
      </c>
      <c r="G411" t="str">
        <f>IF('Extraction edi'!L414="","",'Extraction edi'!L414)</f>
        <v/>
      </c>
      <c r="H411" t="str">
        <f>IF('Extraction edi'!M414="","",'Extraction edi'!M414)</f>
        <v/>
      </c>
      <c r="I411" s="1" t="str">
        <f>IF('Extraction edi'!N421="","",'Extraction edi'!N421)</f>
        <v/>
      </c>
      <c r="J411" s="1" t="str">
        <f>IF('Extraction edi'!O421="","",'Extraction edi'!O421)</f>
        <v/>
      </c>
      <c r="K411" s="1" t="str">
        <f>IF('Extraction edi'!P421="","",'Extraction edi'!P421)</f>
        <v/>
      </c>
      <c r="L411" s="1" t="str">
        <f>IF('Extraction edi'!Q421="laquage RAL :","OUI","")</f>
        <v/>
      </c>
      <c r="M411" s="1" t="str">
        <f>IF('Extraction edi'!R421&lt;&gt;"",'Extraction edi'!R421,IF(G411="ALU blanc","S9016",""))</f>
        <v/>
      </c>
      <c r="N411" s="1" t="str">
        <f>IF('Extraction edi'!S421&lt;&gt;"",'Extraction edi'!S421,IF(G411="ALU blanc","S9016",""))</f>
        <v/>
      </c>
      <c r="O411" s="11" t="str">
        <f>IF('Extraction edi'!V421&lt;'Feuille commande'!$E$1,"DELAI NON COMPATIBLE",IF('Extraction edi'!V421="","",WORKDAY('Extraction edi'!V421,-10,Paramètrage!$G$2:$G$104)))</f>
        <v/>
      </c>
      <c r="P411" s="1" t="e">
        <f t="shared" si="6"/>
        <v>#VALUE!</v>
      </c>
    </row>
    <row r="412" spans="1:16" x14ac:dyDescent="0.25">
      <c r="A412" s="1" t="str">
        <f>IF(B412="","",CONCATENATE(B412,".",C412,"/Pos ",D412,"/",'Extraction edi'!G422))</f>
        <v/>
      </c>
      <c r="B412" s="1" t="str">
        <f>IF('Extraction edi'!A422="","",'Extraction edi'!A422)</f>
        <v/>
      </c>
      <c r="C412" s="1" t="str">
        <f>IF('Extraction edi'!B422="","",'Extraction edi'!B422)</f>
        <v/>
      </c>
      <c r="D412" s="1" t="str">
        <f>IF('Extraction edi'!H422="","",'Extraction edi'!H422)</f>
        <v/>
      </c>
      <c r="E412" s="1" t="str">
        <f>IF('Extraction edi'!I422="","",'Extraction edi'!I422)</f>
        <v/>
      </c>
      <c r="F412" t="str">
        <f>IF('Extraction edi'!K422="","",'Extraction edi'!K422)</f>
        <v/>
      </c>
      <c r="G412" t="str">
        <f>IF('Extraction edi'!L415="","",'Extraction edi'!L415)</f>
        <v/>
      </c>
      <c r="H412" t="str">
        <f>IF('Extraction edi'!M415="","",'Extraction edi'!M415)</f>
        <v/>
      </c>
      <c r="I412" s="1" t="str">
        <f>IF('Extraction edi'!N422="","",'Extraction edi'!N422)</f>
        <v/>
      </c>
      <c r="J412" s="1" t="str">
        <f>IF('Extraction edi'!O422="","",'Extraction edi'!O422)</f>
        <v/>
      </c>
      <c r="K412" s="1" t="str">
        <f>IF('Extraction edi'!P422="","",'Extraction edi'!P422)</f>
        <v/>
      </c>
      <c r="L412" s="1" t="str">
        <f>IF('Extraction edi'!Q422="laquage RAL :","OUI","")</f>
        <v/>
      </c>
      <c r="M412" s="1" t="str">
        <f>IF('Extraction edi'!R422&lt;&gt;"",'Extraction edi'!R422,IF(G412="ALU blanc","S9016",""))</f>
        <v/>
      </c>
      <c r="N412" s="1" t="str">
        <f>IF('Extraction edi'!S422&lt;&gt;"",'Extraction edi'!S422,IF(G412="ALU blanc","S9016",""))</f>
        <v/>
      </c>
      <c r="O412" s="11" t="str">
        <f>IF('Extraction edi'!V422&lt;'Feuille commande'!$E$1,"DELAI NON COMPATIBLE",IF('Extraction edi'!V422="","",WORKDAY('Extraction edi'!V422,-10,Paramètrage!$G$2:$G$104)))</f>
        <v/>
      </c>
      <c r="P412" s="1" t="e">
        <f t="shared" si="6"/>
        <v>#VALUE!</v>
      </c>
    </row>
    <row r="413" spans="1:16" x14ac:dyDescent="0.25">
      <c r="A413" s="1" t="str">
        <f>IF(B413="","",CONCATENATE(B413,".",C413,"/Pos ",D413,"/",'Extraction edi'!G423))</f>
        <v/>
      </c>
      <c r="B413" s="1" t="str">
        <f>IF('Extraction edi'!A423="","",'Extraction edi'!A423)</f>
        <v/>
      </c>
      <c r="C413" s="1" t="str">
        <f>IF('Extraction edi'!B423="","",'Extraction edi'!B423)</f>
        <v/>
      </c>
      <c r="D413" s="1" t="str">
        <f>IF('Extraction edi'!H423="","",'Extraction edi'!H423)</f>
        <v/>
      </c>
      <c r="E413" s="1" t="str">
        <f>IF('Extraction edi'!I423="","",'Extraction edi'!I423)</f>
        <v/>
      </c>
      <c r="F413" t="str">
        <f>IF('Extraction edi'!K423="","",'Extraction edi'!K423)</f>
        <v/>
      </c>
      <c r="G413" t="str">
        <f>IF('Extraction edi'!L416="","",'Extraction edi'!L416)</f>
        <v/>
      </c>
      <c r="H413" t="str">
        <f>IF('Extraction edi'!M416="","",'Extraction edi'!M416)</f>
        <v/>
      </c>
      <c r="I413" s="1" t="str">
        <f>IF('Extraction edi'!N423="","",'Extraction edi'!N423)</f>
        <v/>
      </c>
      <c r="J413" s="1" t="str">
        <f>IF('Extraction edi'!O423="","",'Extraction edi'!O423)</f>
        <v/>
      </c>
      <c r="K413" s="1" t="str">
        <f>IF('Extraction edi'!P423="","",'Extraction edi'!P423)</f>
        <v/>
      </c>
      <c r="L413" s="1" t="str">
        <f>IF('Extraction edi'!Q423="laquage RAL :","OUI","")</f>
        <v/>
      </c>
      <c r="M413" s="1" t="str">
        <f>IF('Extraction edi'!R423&lt;&gt;"",'Extraction edi'!R423,IF(G413="ALU blanc","S9016",""))</f>
        <v/>
      </c>
      <c r="N413" s="1" t="str">
        <f>IF('Extraction edi'!S423&lt;&gt;"",'Extraction edi'!S423,IF(G413="ALU blanc","S9016",""))</f>
        <v/>
      </c>
      <c r="O413" s="11" t="str">
        <f>IF('Extraction edi'!V423&lt;'Feuille commande'!$E$1,"DELAI NON COMPATIBLE",IF('Extraction edi'!V423="","",WORKDAY('Extraction edi'!V423,-10,Paramètrage!$G$2:$G$104)))</f>
        <v/>
      </c>
      <c r="P413" s="1" t="e">
        <f t="shared" si="6"/>
        <v>#VALUE!</v>
      </c>
    </row>
    <row r="414" spans="1:16" x14ac:dyDescent="0.25">
      <c r="A414" s="1" t="str">
        <f>IF(B414="","",CONCATENATE(B414,".",C414,"/Pos ",D414,"/",'Extraction edi'!G424))</f>
        <v/>
      </c>
      <c r="B414" s="1" t="str">
        <f>IF('Extraction edi'!A424="","",'Extraction edi'!A424)</f>
        <v/>
      </c>
      <c r="C414" s="1" t="str">
        <f>IF('Extraction edi'!B424="","",'Extraction edi'!B424)</f>
        <v/>
      </c>
      <c r="D414" s="1" t="str">
        <f>IF('Extraction edi'!H424="","",'Extraction edi'!H424)</f>
        <v/>
      </c>
      <c r="E414" s="1" t="str">
        <f>IF('Extraction edi'!I424="","",'Extraction edi'!I424)</f>
        <v/>
      </c>
      <c r="F414" t="str">
        <f>IF('Extraction edi'!K424="","",'Extraction edi'!K424)</f>
        <v/>
      </c>
      <c r="G414" t="str">
        <f>IF('Extraction edi'!L417="","",'Extraction edi'!L417)</f>
        <v/>
      </c>
      <c r="H414" t="str">
        <f>IF('Extraction edi'!M417="","",'Extraction edi'!M417)</f>
        <v/>
      </c>
      <c r="I414" s="1" t="str">
        <f>IF('Extraction edi'!N424="","",'Extraction edi'!N424)</f>
        <v/>
      </c>
      <c r="J414" s="1" t="str">
        <f>IF('Extraction edi'!O424="","",'Extraction edi'!O424)</f>
        <v/>
      </c>
      <c r="K414" s="1" t="str">
        <f>IF('Extraction edi'!P424="","",'Extraction edi'!P424)</f>
        <v/>
      </c>
      <c r="L414" s="1" t="str">
        <f>IF('Extraction edi'!Q424="laquage RAL :","OUI","")</f>
        <v/>
      </c>
      <c r="M414" s="1" t="str">
        <f>IF('Extraction edi'!R424&lt;&gt;"",'Extraction edi'!R424,IF(G414="ALU blanc","S9016",""))</f>
        <v/>
      </c>
      <c r="N414" s="1" t="str">
        <f>IF('Extraction edi'!S424&lt;&gt;"",'Extraction edi'!S424,IF(G414="ALU blanc","S9016",""))</f>
        <v/>
      </c>
      <c r="O414" s="11" t="str">
        <f>IF('Extraction edi'!V424&lt;'Feuille commande'!$E$1,"DELAI NON COMPATIBLE",IF('Extraction edi'!V424="","",WORKDAY('Extraction edi'!V424,-10,Paramètrage!$G$2:$G$104)))</f>
        <v/>
      </c>
      <c r="P414" s="1" t="e">
        <f t="shared" si="6"/>
        <v>#VALUE!</v>
      </c>
    </row>
    <row r="415" spans="1:16" x14ac:dyDescent="0.25">
      <c r="A415" s="1" t="str">
        <f>IF(B415="","",CONCATENATE(B415,".",C415,"/Pos ",D415,"/",'Extraction edi'!G425))</f>
        <v/>
      </c>
      <c r="B415" s="1" t="str">
        <f>IF('Extraction edi'!A425="","",'Extraction edi'!A425)</f>
        <v/>
      </c>
      <c r="C415" s="1" t="str">
        <f>IF('Extraction edi'!B425="","",'Extraction edi'!B425)</f>
        <v/>
      </c>
      <c r="D415" s="1" t="str">
        <f>IF('Extraction edi'!H425="","",'Extraction edi'!H425)</f>
        <v/>
      </c>
      <c r="E415" s="1" t="str">
        <f>IF('Extraction edi'!I425="","",'Extraction edi'!I425)</f>
        <v/>
      </c>
      <c r="F415" t="str">
        <f>IF('Extraction edi'!K425="","",'Extraction edi'!K425)</f>
        <v/>
      </c>
      <c r="G415" t="str">
        <f>IF('Extraction edi'!L418="","",'Extraction edi'!L418)</f>
        <v/>
      </c>
      <c r="H415" t="str">
        <f>IF('Extraction edi'!M418="","",'Extraction edi'!M418)</f>
        <v/>
      </c>
      <c r="I415" s="1" t="str">
        <f>IF('Extraction edi'!N425="","",'Extraction edi'!N425)</f>
        <v/>
      </c>
      <c r="J415" s="1" t="str">
        <f>IF('Extraction edi'!O425="","",'Extraction edi'!O425)</f>
        <v/>
      </c>
      <c r="K415" s="1" t="str">
        <f>IF('Extraction edi'!P425="","",'Extraction edi'!P425)</f>
        <v/>
      </c>
      <c r="L415" s="1" t="str">
        <f>IF('Extraction edi'!Q425="laquage RAL :","OUI","")</f>
        <v/>
      </c>
      <c r="M415" s="1" t="str">
        <f>IF('Extraction edi'!R425&lt;&gt;"",'Extraction edi'!R425,IF(G415="ALU blanc","S9016",""))</f>
        <v/>
      </c>
      <c r="N415" s="1" t="str">
        <f>IF('Extraction edi'!S425&lt;&gt;"",'Extraction edi'!S425,IF(G415="ALU blanc","S9016",""))</f>
        <v/>
      </c>
      <c r="O415" s="11" t="str">
        <f>IF('Extraction edi'!V425&lt;'Feuille commande'!$E$1,"DELAI NON COMPATIBLE",IF('Extraction edi'!V425="","",WORKDAY('Extraction edi'!V425,-10,Paramètrage!$G$2:$G$104)))</f>
        <v/>
      </c>
      <c r="P415" s="1" t="e">
        <f t="shared" si="6"/>
        <v>#VALUE!</v>
      </c>
    </row>
    <row r="416" spans="1:16" x14ac:dyDescent="0.25">
      <c r="A416" s="1" t="str">
        <f>IF(B416="","",CONCATENATE(B416,".",C416,"/Pos ",D416,"/",'Extraction edi'!G426))</f>
        <v/>
      </c>
      <c r="B416" s="1" t="str">
        <f>IF('Extraction edi'!A426="","",'Extraction edi'!A426)</f>
        <v/>
      </c>
      <c r="C416" s="1" t="str">
        <f>IF('Extraction edi'!B426="","",'Extraction edi'!B426)</f>
        <v/>
      </c>
      <c r="D416" s="1" t="str">
        <f>IF('Extraction edi'!H426="","",'Extraction edi'!H426)</f>
        <v/>
      </c>
      <c r="E416" s="1" t="str">
        <f>IF('Extraction edi'!I426="","",'Extraction edi'!I426)</f>
        <v/>
      </c>
      <c r="F416" t="str">
        <f>IF('Extraction edi'!K426="","",'Extraction edi'!K426)</f>
        <v/>
      </c>
      <c r="G416" t="str">
        <f>IF('Extraction edi'!L419="","",'Extraction edi'!L419)</f>
        <v/>
      </c>
      <c r="H416" t="str">
        <f>IF('Extraction edi'!M419="","",'Extraction edi'!M419)</f>
        <v/>
      </c>
      <c r="I416" s="1" t="str">
        <f>IF('Extraction edi'!N426="","",'Extraction edi'!N426)</f>
        <v/>
      </c>
      <c r="J416" s="1" t="str">
        <f>IF('Extraction edi'!O426="","",'Extraction edi'!O426)</f>
        <v/>
      </c>
      <c r="K416" s="1" t="str">
        <f>IF('Extraction edi'!P426="","",'Extraction edi'!P426)</f>
        <v/>
      </c>
      <c r="L416" s="1" t="str">
        <f>IF('Extraction edi'!Q426="laquage RAL :","OUI","")</f>
        <v/>
      </c>
      <c r="M416" s="1" t="str">
        <f>IF('Extraction edi'!R426&lt;&gt;"",'Extraction edi'!R426,IF(G416="ALU blanc","S9016",""))</f>
        <v/>
      </c>
      <c r="N416" s="1" t="str">
        <f>IF('Extraction edi'!S426&lt;&gt;"",'Extraction edi'!S426,IF(G416="ALU blanc","S9016",""))</f>
        <v/>
      </c>
      <c r="O416" s="11" t="str">
        <f>IF('Extraction edi'!V426&lt;'Feuille commande'!$E$1,"DELAI NON COMPATIBLE",IF('Extraction edi'!V426="","",WORKDAY('Extraction edi'!V426,-10,Paramètrage!$G$2:$G$104)))</f>
        <v/>
      </c>
      <c r="P416" s="1" t="e">
        <f t="shared" si="6"/>
        <v>#VALUE!</v>
      </c>
    </row>
    <row r="417" spans="1:16" x14ac:dyDescent="0.25">
      <c r="A417" s="1" t="str">
        <f>IF(B417="","",CONCATENATE(B417,".",C417,"/Pos ",D417,"/",'Extraction edi'!G427))</f>
        <v/>
      </c>
      <c r="B417" s="1" t="str">
        <f>IF('Extraction edi'!A427="","",'Extraction edi'!A427)</f>
        <v/>
      </c>
      <c r="C417" s="1" t="str">
        <f>IF('Extraction edi'!B427="","",'Extraction edi'!B427)</f>
        <v/>
      </c>
      <c r="D417" s="1" t="str">
        <f>IF('Extraction edi'!H427="","",'Extraction edi'!H427)</f>
        <v/>
      </c>
      <c r="E417" s="1" t="str">
        <f>IF('Extraction edi'!I427="","",'Extraction edi'!I427)</f>
        <v/>
      </c>
      <c r="F417" t="str">
        <f>IF('Extraction edi'!K427="","",'Extraction edi'!K427)</f>
        <v/>
      </c>
      <c r="G417" t="str">
        <f>IF('Extraction edi'!L420="","",'Extraction edi'!L420)</f>
        <v/>
      </c>
      <c r="H417" t="str">
        <f>IF('Extraction edi'!M420="","",'Extraction edi'!M420)</f>
        <v/>
      </c>
      <c r="I417" s="1" t="str">
        <f>IF('Extraction edi'!N427="","",'Extraction edi'!N427)</f>
        <v/>
      </c>
      <c r="J417" s="1" t="str">
        <f>IF('Extraction edi'!O427="","",'Extraction edi'!O427)</f>
        <v/>
      </c>
      <c r="K417" s="1" t="str">
        <f>IF('Extraction edi'!P427="","",'Extraction edi'!P427)</f>
        <v/>
      </c>
      <c r="L417" s="1" t="str">
        <f>IF('Extraction edi'!Q427="laquage RAL :","OUI","")</f>
        <v/>
      </c>
      <c r="M417" s="1" t="str">
        <f>IF('Extraction edi'!R427&lt;&gt;"",'Extraction edi'!R427,IF(G417="ALU blanc","S9016",""))</f>
        <v/>
      </c>
      <c r="N417" s="1" t="str">
        <f>IF('Extraction edi'!S427&lt;&gt;"",'Extraction edi'!S427,IF(G417="ALU blanc","S9016",""))</f>
        <v/>
      </c>
      <c r="O417" s="11" t="str">
        <f>IF('Extraction edi'!V427&lt;'Feuille commande'!$E$1,"DELAI NON COMPATIBLE",IF('Extraction edi'!V427="","",WORKDAY('Extraction edi'!V427,-10,Paramètrage!$G$2:$G$104)))</f>
        <v/>
      </c>
      <c r="P417" s="1" t="e">
        <f t="shared" si="6"/>
        <v>#VALUE!</v>
      </c>
    </row>
    <row r="418" spans="1:16" x14ac:dyDescent="0.25">
      <c r="A418" s="1" t="str">
        <f>IF(B418="","",CONCATENATE(B418,".",C418,"/Pos ",D418,"/",'Extraction edi'!G428))</f>
        <v/>
      </c>
      <c r="B418" s="1" t="str">
        <f>IF('Extraction edi'!A428="","",'Extraction edi'!A428)</f>
        <v/>
      </c>
      <c r="C418" s="1" t="str">
        <f>IF('Extraction edi'!B428="","",'Extraction edi'!B428)</f>
        <v/>
      </c>
      <c r="D418" s="1" t="str">
        <f>IF('Extraction edi'!H428="","",'Extraction edi'!H428)</f>
        <v/>
      </c>
      <c r="E418" s="1" t="str">
        <f>IF('Extraction edi'!I428="","",'Extraction edi'!I428)</f>
        <v/>
      </c>
      <c r="F418" t="str">
        <f>IF('Extraction edi'!K428="","",'Extraction edi'!K428)</f>
        <v/>
      </c>
      <c r="G418" t="str">
        <f>IF('Extraction edi'!L421="","",'Extraction edi'!L421)</f>
        <v/>
      </c>
      <c r="H418" t="str">
        <f>IF('Extraction edi'!M421="","",'Extraction edi'!M421)</f>
        <v/>
      </c>
      <c r="I418" s="1" t="str">
        <f>IF('Extraction edi'!N428="","",'Extraction edi'!N428)</f>
        <v/>
      </c>
      <c r="J418" s="1" t="str">
        <f>IF('Extraction edi'!O428="","",'Extraction edi'!O428)</f>
        <v/>
      </c>
      <c r="K418" s="1" t="str">
        <f>IF('Extraction edi'!P428="","",'Extraction edi'!P428)</f>
        <v/>
      </c>
      <c r="L418" s="1" t="str">
        <f>IF('Extraction edi'!Q428="laquage RAL :","OUI","")</f>
        <v/>
      </c>
      <c r="M418" s="1" t="str">
        <f>IF('Extraction edi'!R428&lt;&gt;"",'Extraction edi'!R428,IF(G418="ALU blanc","S9016",""))</f>
        <v/>
      </c>
      <c r="N418" s="1" t="str">
        <f>IF('Extraction edi'!S428&lt;&gt;"",'Extraction edi'!S428,IF(G418="ALU blanc","S9016",""))</f>
        <v/>
      </c>
      <c r="O418" s="11" t="str">
        <f>IF('Extraction edi'!V428&lt;'Feuille commande'!$E$1,"DELAI NON COMPATIBLE",IF('Extraction edi'!V428="","",WORKDAY('Extraction edi'!V428,-10,Paramètrage!$G$2:$G$104)))</f>
        <v/>
      </c>
      <c r="P418" s="1" t="e">
        <f t="shared" si="6"/>
        <v>#VALUE!</v>
      </c>
    </row>
    <row r="419" spans="1:16" x14ac:dyDescent="0.25">
      <c r="A419" s="1" t="str">
        <f>IF(B419="","",CONCATENATE(B419,".",C419,"/Pos ",D419,"/",'Extraction edi'!G429))</f>
        <v/>
      </c>
      <c r="B419" s="1" t="str">
        <f>IF('Extraction edi'!A429="","",'Extraction edi'!A429)</f>
        <v/>
      </c>
      <c r="C419" s="1" t="str">
        <f>IF('Extraction edi'!B429="","",'Extraction edi'!B429)</f>
        <v/>
      </c>
      <c r="D419" s="1" t="str">
        <f>IF('Extraction edi'!H429="","",'Extraction edi'!H429)</f>
        <v/>
      </c>
      <c r="E419" s="1" t="str">
        <f>IF('Extraction edi'!I429="","",'Extraction edi'!I429)</f>
        <v/>
      </c>
      <c r="F419" t="str">
        <f>IF('Extraction edi'!K429="","",'Extraction edi'!K429)</f>
        <v/>
      </c>
      <c r="G419" t="str">
        <f>IF('Extraction edi'!L422="","",'Extraction edi'!L422)</f>
        <v/>
      </c>
      <c r="H419" t="str">
        <f>IF('Extraction edi'!M422="","",'Extraction edi'!M422)</f>
        <v/>
      </c>
      <c r="I419" s="1" t="str">
        <f>IF('Extraction edi'!N429="","",'Extraction edi'!N429)</f>
        <v/>
      </c>
      <c r="J419" s="1" t="str">
        <f>IF('Extraction edi'!O429="","",'Extraction edi'!O429)</f>
        <v/>
      </c>
      <c r="K419" s="1" t="str">
        <f>IF('Extraction edi'!P429="","",'Extraction edi'!P429)</f>
        <v/>
      </c>
      <c r="L419" s="1" t="str">
        <f>IF('Extraction edi'!Q429="laquage RAL :","OUI","")</f>
        <v/>
      </c>
      <c r="M419" s="1" t="str">
        <f>IF('Extraction edi'!R429&lt;&gt;"",'Extraction edi'!R429,IF(G419="ALU blanc","S9016",""))</f>
        <v/>
      </c>
      <c r="N419" s="1" t="str">
        <f>IF('Extraction edi'!S429&lt;&gt;"",'Extraction edi'!S429,IF(G419="ALU blanc","S9016",""))</f>
        <v/>
      </c>
      <c r="O419" s="11" t="str">
        <f>IF('Extraction edi'!V429&lt;'Feuille commande'!$E$1,"DELAI NON COMPATIBLE",IF('Extraction edi'!V429="","",WORKDAY('Extraction edi'!V429,-10,Paramètrage!$G$2:$G$104)))</f>
        <v/>
      </c>
      <c r="P419" s="1" t="e">
        <f t="shared" si="6"/>
        <v>#VALUE!</v>
      </c>
    </row>
    <row r="420" spans="1:16" x14ac:dyDescent="0.25">
      <c r="A420" s="1" t="str">
        <f>IF(B420="","",CONCATENATE(B420,".",C420,"/Pos ",D420,"/",'Extraction edi'!G430))</f>
        <v/>
      </c>
      <c r="B420" s="1" t="str">
        <f>IF('Extraction edi'!A430="","",'Extraction edi'!A430)</f>
        <v/>
      </c>
      <c r="C420" s="1" t="str">
        <f>IF('Extraction edi'!B430="","",'Extraction edi'!B430)</f>
        <v/>
      </c>
      <c r="D420" s="1" t="str">
        <f>IF('Extraction edi'!H430="","",'Extraction edi'!H430)</f>
        <v/>
      </c>
      <c r="E420" s="1" t="str">
        <f>IF('Extraction edi'!I430="","",'Extraction edi'!I430)</f>
        <v/>
      </c>
      <c r="F420" t="str">
        <f>IF('Extraction edi'!K430="","",'Extraction edi'!K430)</f>
        <v/>
      </c>
      <c r="G420" t="str">
        <f>IF('Extraction edi'!L423="","",'Extraction edi'!L423)</f>
        <v/>
      </c>
      <c r="H420" t="str">
        <f>IF('Extraction edi'!M423="","",'Extraction edi'!M423)</f>
        <v/>
      </c>
      <c r="I420" s="1" t="str">
        <f>IF('Extraction edi'!N430="","",'Extraction edi'!N430)</f>
        <v/>
      </c>
      <c r="J420" s="1" t="str">
        <f>IF('Extraction edi'!O430="","",'Extraction edi'!O430)</f>
        <v/>
      </c>
      <c r="K420" s="1" t="str">
        <f>IF('Extraction edi'!P430="","",'Extraction edi'!P430)</f>
        <v/>
      </c>
      <c r="L420" s="1" t="str">
        <f>IF('Extraction edi'!Q430="laquage RAL :","OUI","")</f>
        <v/>
      </c>
      <c r="M420" s="1" t="str">
        <f>IF('Extraction edi'!R430&lt;&gt;"",'Extraction edi'!R430,IF(G420="ALU blanc","S9016",""))</f>
        <v/>
      </c>
      <c r="N420" s="1" t="str">
        <f>IF('Extraction edi'!S430&lt;&gt;"",'Extraction edi'!S430,IF(G420="ALU blanc","S9016",""))</f>
        <v/>
      </c>
      <c r="O420" s="11" t="str">
        <f>IF('Extraction edi'!V430&lt;'Feuille commande'!$E$1,"DELAI NON COMPATIBLE",IF('Extraction edi'!V430="","",WORKDAY('Extraction edi'!V430,-10,Paramètrage!$G$2:$G$104)))</f>
        <v/>
      </c>
      <c r="P420" s="1" t="e">
        <f t="shared" si="6"/>
        <v>#VALUE!</v>
      </c>
    </row>
    <row r="421" spans="1:16" x14ac:dyDescent="0.25">
      <c r="A421" s="1" t="str">
        <f>IF(B421="","",CONCATENATE(B421,".",C421,"/Pos ",D421,"/",'Extraction edi'!G431))</f>
        <v/>
      </c>
      <c r="B421" s="1" t="str">
        <f>IF('Extraction edi'!A431="","",'Extraction edi'!A431)</f>
        <v/>
      </c>
      <c r="C421" s="1" t="str">
        <f>IF('Extraction edi'!B431="","",'Extraction edi'!B431)</f>
        <v/>
      </c>
      <c r="D421" s="1" t="str">
        <f>IF('Extraction edi'!H431="","",'Extraction edi'!H431)</f>
        <v/>
      </c>
      <c r="E421" s="1" t="str">
        <f>IF('Extraction edi'!I431="","",'Extraction edi'!I431)</f>
        <v/>
      </c>
      <c r="F421" t="str">
        <f>IF('Extraction edi'!K431="","",'Extraction edi'!K431)</f>
        <v/>
      </c>
      <c r="G421" t="str">
        <f>IF('Extraction edi'!L424="","",'Extraction edi'!L424)</f>
        <v/>
      </c>
      <c r="H421" t="str">
        <f>IF('Extraction edi'!M424="","",'Extraction edi'!M424)</f>
        <v/>
      </c>
      <c r="I421" s="1" t="str">
        <f>IF('Extraction edi'!N431="","",'Extraction edi'!N431)</f>
        <v/>
      </c>
      <c r="J421" s="1" t="str">
        <f>IF('Extraction edi'!O431="","",'Extraction edi'!O431)</f>
        <v/>
      </c>
      <c r="K421" s="1" t="str">
        <f>IF('Extraction edi'!P431="","",'Extraction edi'!P431)</f>
        <v/>
      </c>
      <c r="L421" s="1" t="str">
        <f>IF('Extraction edi'!Q431="laquage RAL :","OUI","")</f>
        <v/>
      </c>
      <c r="M421" s="1" t="str">
        <f>IF('Extraction edi'!R431&lt;&gt;"",'Extraction edi'!R431,IF(G421="ALU blanc","S9016",""))</f>
        <v/>
      </c>
      <c r="N421" s="1" t="str">
        <f>IF('Extraction edi'!S431&lt;&gt;"",'Extraction edi'!S431,IF(G421="ALU blanc","S9016",""))</f>
        <v/>
      </c>
      <c r="O421" s="11" t="str">
        <f>IF('Extraction edi'!V431&lt;'Feuille commande'!$E$1,"DELAI NON COMPATIBLE",IF('Extraction edi'!V431="","",WORKDAY('Extraction edi'!V431,-10,Paramètrage!$G$2:$G$104)))</f>
        <v/>
      </c>
      <c r="P421" s="1" t="e">
        <f t="shared" si="6"/>
        <v>#VALUE!</v>
      </c>
    </row>
    <row r="422" spans="1:16" x14ac:dyDescent="0.25">
      <c r="A422" s="1" t="str">
        <f>IF(B422="","",CONCATENATE(B422,".",C422,"/Pos ",D422,"/",'Extraction edi'!G432))</f>
        <v/>
      </c>
      <c r="B422" s="1" t="str">
        <f>IF('Extraction edi'!A432="","",'Extraction edi'!A432)</f>
        <v/>
      </c>
      <c r="C422" s="1" t="str">
        <f>IF('Extraction edi'!B432="","",'Extraction edi'!B432)</f>
        <v/>
      </c>
      <c r="D422" s="1" t="str">
        <f>IF('Extraction edi'!H432="","",'Extraction edi'!H432)</f>
        <v/>
      </c>
      <c r="E422" s="1" t="str">
        <f>IF('Extraction edi'!I432="","",'Extraction edi'!I432)</f>
        <v/>
      </c>
      <c r="F422" t="str">
        <f>IF('Extraction edi'!K432="","",'Extraction edi'!K432)</f>
        <v/>
      </c>
      <c r="G422" t="str">
        <f>IF('Extraction edi'!L425="","",'Extraction edi'!L425)</f>
        <v/>
      </c>
      <c r="H422" t="str">
        <f>IF('Extraction edi'!M425="","",'Extraction edi'!M425)</f>
        <v/>
      </c>
      <c r="I422" s="1" t="str">
        <f>IF('Extraction edi'!N432="","",'Extraction edi'!N432)</f>
        <v/>
      </c>
      <c r="J422" s="1" t="str">
        <f>IF('Extraction edi'!O432="","",'Extraction edi'!O432)</f>
        <v/>
      </c>
      <c r="K422" s="1" t="str">
        <f>IF('Extraction edi'!P432="","",'Extraction edi'!P432)</f>
        <v/>
      </c>
      <c r="L422" s="1" t="str">
        <f>IF('Extraction edi'!Q432="laquage RAL :","OUI","")</f>
        <v/>
      </c>
      <c r="M422" s="1" t="str">
        <f>IF('Extraction edi'!R432&lt;&gt;"",'Extraction edi'!R432,IF(G422="ALU blanc","S9016",""))</f>
        <v/>
      </c>
      <c r="N422" s="1" t="str">
        <f>IF('Extraction edi'!S432&lt;&gt;"",'Extraction edi'!S432,IF(G422="ALU blanc","S9016",""))</f>
        <v/>
      </c>
      <c r="O422" s="11" t="str">
        <f>IF('Extraction edi'!V432&lt;'Feuille commande'!$E$1,"DELAI NON COMPATIBLE",IF('Extraction edi'!V432="","",WORKDAY('Extraction edi'!V432,-10,Paramètrage!$G$2:$G$104)))</f>
        <v/>
      </c>
      <c r="P422" s="1" t="e">
        <f t="shared" si="6"/>
        <v>#VALUE!</v>
      </c>
    </row>
    <row r="423" spans="1:16" x14ac:dyDescent="0.25">
      <c r="A423" s="1" t="str">
        <f>IF(B423="","",CONCATENATE(B423,".",C423,"/Pos ",D423,"/",'Extraction edi'!G433))</f>
        <v/>
      </c>
      <c r="B423" s="1" t="str">
        <f>IF('Extraction edi'!A433="","",'Extraction edi'!A433)</f>
        <v/>
      </c>
      <c r="C423" s="1" t="str">
        <f>IF('Extraction edi'!B433="","",'Extraction edi'!B433)</f>
        <v/>
      </c>
      <c r="D423" s="1" t="str">
        <f>IF('Extraction edi'!H433="","",'Extraction edi'!H433)</f>
        <v/>
      </c>
      <c r="E423" s="1" t="str">
        <f>IF('Extraction edi'!I433="","",'Extraction edi'!I433)</f>
        <v/>
      </c>
      <c r="F423" t="str">
        <f>IF('Extraction edi'!K433="","",'Extraction edi'!K433)</f>
        <v/>
      </c>
      <c r="G423" t="str">
        <f>IF('Extraction edi'!L426="","",'Extraction edi'!L426)</f>
        <v/>
      </c>
      <c r="H423" t="str">
        <f>IF('Extraction edi'!M426="","",'Extraction edi'!M426)</f>
        <v/>
      </c>
      <c r="I423" s="1" t="str">
        <f>IF('Extraction edi'!N433="","",'Extraction edi'!N433)</f>
        <v/>
      </c>
      <c r="J423" s="1" t="str">
        <f>IF('Extraction edi'!O433="","",'Extraction edi'!O433)</f>
        <v/>
      </c>
      <c r="K423" s="1" t="str">
        <f>IF('Extraction edi'!P433="","",'Extraction edi'!P433)</f>
        <v/>
      </c>
      <c r="L423" s="1" t="str">
        <f>IF('Extraction edi'!Q433="laquage RAL :","OUI","")</f>
        <v/>
      </c>
      <c r="M423" s="1" t="str">
        <f>IF('Extraction edi'!R433&lt;&gt;"",'Extraction edi'!R433,IF(G423="ALU blanc","S9016",""))</f>
        <v/>
      </c>
      <c r="N423" s="1" t="str">
        <f>IF('Extraction edi'!S433&lt;&gt;"",'Extraction edi'!S433,IF(G423="ALU blanc","S9016",""))</f>
        <v/>
      </c>
      <c r="O423" s="11" t="str">
        <f>IF('Extraction edi'!V433&lt;'Feuille commande'!$E$1,"DELAI NON COMPATIBLE",IF('Extraction edi'!V433="","",WORKDAY('Extraction edi'!V433,-10,Paramètrage!$G$2:$G$104)))</f>
        <v/>
      </c>
      <c r="P423" s="1" t="e">
        <f t="shared" si="6"/>
        <v>#VALUE!</v>
      </c>
    </row>
    <row r="424" spans="1:16" x14ac:dyDescent="0.25">
      <c r="A424" s="1" t="str">
        <f>IF(B424="","",CONCATENATE(B424,".",C424,"/Pos ",D424,"/",'Extraction edi'!G434))</f>
        <v/>
      </c>
      <c r="B424" s="1" t="str">
        <f>IF('Extraction edi'!A434="","",'Extraction edi'!A434)</f>
        <v/>
      </c>
      <c r="C424" s="1" t="str">
        <f>IF('Extraction edi'!B434="","",'Extraction edi'!B434)</f>
        <v/>
      </c>
      <c r="D424" s="1" t="str">
        <f>IF('Extraction edi'!H434="","",'Extraction edi'!H434)</f>
        <v/>
      </c>
      <c r="E424" s="1" t="str">
        <f>IF('Extraction edi'!I434="","",'Extraction edi'!I434)</f>
        <v/>
      </c>
      <c r="F424" t="str">
        <f>IF('Extraction edi'!K434="","",'Extraction edi'!K434)</f>
        <v/>
      </c>
      <c r="G424" t="str">
        <f>IF('Extraction edi'!L427="","",'Extraction edi'!L427)</f>
        <v/>
      </c>
      <c r="H424" t="str">
        <f>IF('Extraction edi'!M427="","",'Extraction edi'!M427)</f>
        <v/>
      </c>
      <c r="I424" s="1" t="str">
        <f>IF('Extraction edi'!N434="","",'Extraction edi'!N434)</f>
        <v/>
      </c>
      <c r="J424" s="1" t="str">
        <f>IF('Extraction edi'!O434="","",'Extraction edi'!O434)</f>
        <v/>
      </c>
      <c r="K424" s="1" t="str">
        <f>IF('Extraction edi'!P434="","",'Extraction edi'!P434)</f>
        <v/>
      </c>
      <c r="L424" s="1" t="str">
        <f>IF('Extraction edi'!Q434="laquage RAL :","OUI","")</f>
        <v/>
      </c>
      <c r="M424" s="1" t="str">
        <f>IF('Extraction edi'!R434&lt;&gt;"",'Extraction edi'!R434,IF(G424="ALU blanc","S9016",""))</f>
        <v/>
      </c>
      <c r="N424" s="1" t="str">
        <f>IF('Extraction edi'!S434&lt;&gt;"",'Extraction edi'!S434,IF(G424="ALU blanc","S9016",""))</f>
        <v/>
      </c>
      <c r="O424" s="11" t="str">
        <f>IF('Extraction edi'!V434&lt;'Feuille commande'!$E$1,"DELAI NON COMPATIBLE",IF('Extraction edi'!V434="","",WORKDAY('Extraction edi'!V434,-10,Paramètrage!$G$2:$G$104)))</f>
        <v/>
      </c>
      <c r="P424" s="1" t="e">
        <f t="shared" si="6"/>
        <v>#VALUE!</v>
      </c>
    </row>
    <row r="425" spans="1:16" x14ac:dyDescent="0.25">
      <c r="A425" s="1" t="str">
        <f>IF(B425="","",CONCATENATE(B425,".",C425,"/Pos ",D425,"/",'Extraction edi'!G435))</f>
        <v/>
      </c>
      <c r="B425" s="1" t="str">
        <f>IF('Extraction edi'!A435="","",'Extraction edi'!A435)</f>
        <v/>
      </c>
      <c r="C425" s="1" t="str">
        <f>IF('Extraction edi'!B435="","",'Extraction edi'!B435)</f>
        <v/>
      </c>
      <c r="D425" s="1" t="str">
        <f>IF('Extraction edi'!H435="","",'Extraction edi'!H435)</f>
        <v/>
      </c>
      <c r="E425" s="1" t="str">
        <f>IF('Extraction edi'!I435="","",'Extraction edi'!I435)</f>
        <v/>
      </c>
      <c r="F425" t="str">
        <f>IF('Extraction edi'!K435="","",'Extraction edi'!K435)</f>
        <v/>
      </c>
      <c r="G425" t="str">
        <f>IF('Extraction edi'!L428="","",'Extraction edi'!L428)</f>
        <v/>
      </c>
      <c r="H425" t="str">
        <f>IF('Extraction edi'!M428="","",'Extraction edi'!M428)</f>
        <v/>
      </c>
      <c r="I425" s="1" t="str">
        <f>IF('Extraction edi'!N435="","",'Extraction edi'!N435)</f>
        <v/>
      </c>
      <c r="J425" s="1" t="str">
        <f>IF('Extraction edi'!O435="","",'Extraction edi'!O435)</f>
        <v/>
      </c>
      <c r="K425" s="1" t="str">
        <f>IF('Extraction edi'!P435="","",'Extraction edi'!P435)</f>
        <v/>
      </c>
      <c r="L425" s="1" t="str">
        <f>IF('Extraction edi'!Q435="laquage RAL :","OUI","")</f>
        <v/>
      </c>
      <c r="M425" s="1" t="str">
        <f>IF('Extraction edi'!R435&lt;&gt;"",'Extraction edi'!R435,IF(G425="ALU blanc","S9016",""))</f>
        <v/>
      </c>
      <c r="N425" s="1" t="str">
        <f>IF('Extraction edi'!S435&lt;&gt;"",'Extraction edi'!S435,IF(G425="ALU blanc","S9016",""))</f>
        <v/>
      </c>
      <c r="O425" s="11" t="str">
        <f>IF('Extraction edi'!V435&lt;'Feuille commande'!$E$1,"DELAI NON COMPATIBLE",IF('Extraction edi'!V435="","",WORKDAY('Extraction edi'!V435,-10,Paramètrage!$G$2:$G$104)))</f>
        <v/>
      </c>
      <c r="P425" s="1" t="e">
        <f t="shared" si="6"/>
        <v>#VALUE!</v>
      </c>
    </row>
    <row r="426" spans="1:16" x14ac:dyDescent="0.25">
      <c r="A426" s="1" t="str">
        <f>IF(B426="","",CONCATENATE(B426,".",C426,"/Pos ",D426,"/",'Extraction edi'!G436))</f>
        <v/>
      </c>
      <c r="B426" s="1" t="str">
        <f>IF('Extraction edi'!A436="","",'Extraction edi'!A436)</f>
        <v/>
      </c>
      <c r="C426" s="1" t="str">
        <f>IF('Extraction edi'!B436="","",'Extraction edi'!B436)</f>
        <v/>
      </c>
      <c r="D426" s="1" t="str">
        <f>IF('Extraction edi'!H436="","",'Extraction edi'!H436)</f>
        <v/>
      </c>
      <c r="E426" s="1" t="str">
        <f>IF('Extraction edi'!I436="","",'Extraction edi'!I436)</f>
        <v/>
      </c>
      <c r="F426" t="str">
        <f>IF('Extraction edi'!K436="","",'Extraction edi'!K436)</f>
        <v/>
      </c>
      <c r="G426" t="str">
        <f>IF('Extraction edi'!L429="","",'Extraction edi'!L429)</f>
        <v/>
      </c>
      <c r="H426" t="str">
        <f>IF('Extraction edi'!M429="","",'Extraction edi'!M429)</f>
        <v/>
      </c>
      <c r="I426" s="1" t="str">
        <f>IF('Extraction edi'!N436="","",'Extraction edi'!N436)</f>
        <v/>
      </c>
      <c r="J426" s="1" t="str">
        <f>IF('Extraction edi'!O436="","",'Extraction edi'!O436)</f>
        <v/>
      </c>
      <c r="K426" s="1" t="str">
        <f>IF('Extraction edi'!P436="","",'Extraction edi'!P436)</f>
        <v/>
      </c>
      <c r="L426" s="1" t="str">
        <f>IF('Extraction edi'!Q436="laquage RAL :","OUI","")</f>
        <v/>
      </c>
      <c r="M426" s="1" t="str">
        <f>IF('Extraction edi'!R436&lt;&gt;"",'Extraction edi'!R436,IF(G426="ALU blanc","S9016",""))</f>
        <v/>
      </c>
      <c r="N426" s="1" t="str">
        <f>IF('Extraction edi'!S436&lt;&gt;"",'Extraction edi'!S436,IF(G426="ALU blanc","S9016",""))</f>
        <v/>
      </c>
      <c r="O426" s="11" t="str">
        <f>IF('Extraction edi'!V436&lt;'Feuille commande'!$E$1,"DELAI NON COMPATIBLE",IF('Extraction edi'!V436="","",WORKDAY('Extraction edi'!V436,-10,Paramètrage!$G$2:$G$104)))</f>
        <v/>
      </c>
      <c r="P426" s="1" t="e">
        <f t="shared" si="6"/>
        <v>#VALUE!</v>
      </c>
    </row>
    <row r="427" spans="1:16" x14ac:dyDescent="0.25">
      <c r="A427" s="1" t="str">
        <f>IF(B427="","",CONCATENATE(B427,".",C427,"/Pos ",D427,"/",'Extraction edi'!G437))</f>
        <v/>
      </c>
      <c r="B427" s="1" t="str">
        <f>IF('Extraction edi'!A437="","",'Extraction edi'!A437)</f>
        <v/>
      </c>
      <c r="C427" s="1" t="str">
        <f>IF('Extraction edi'!B437="","",'Extraction edi'!B437)</f>
        <v/>
      </c>
      <c r="D427" s="1" t="str">
        <f>IF('Extraction edi'!H437="","",'Extraction edi'!H437)</f>
        <v/>
      </c>
      <c r="E427" s="1" t="str">
        <f>IF('Extraction edi'!I437="","",'Extraction edi'!I437)</f>
        <v/>
      </c>
      <c r="F427" t="str">
        <f>IF('Extraction edi'!K437="","",'Extraction edi'!K437)</f>
        <v/>
      </c>
      <c r="G427" t="str">
        <f>IF('Extraction edi'!L430="","",'Extraction edi'!L430)</f>
        <v/>
      </c>
      <c r="H427" t="str">
        <f>IF('Extraction edi'!M430="","",'Extraction edi'!M430)</f>
        <v/>
      </c>
      <c r="I427" s="1" t="str">
        <f>IF('Extraction edi'!N437="","",'Extraction edi'!N437)</f>
        <v/>
      </c>
      <c r="J427" s="1" t="str">
        <f>IF('Extraction edi'!O437="","",'Extraction edi'!O437)</f>
        <v/>
      </c>
      <c r="K427" s="1" t="str">
        <f>IF('Extraction edi'!P437="","",'Extraction edi'!P437)</f>
        <v/>
      </c>
      <c r="L427" s="1" t="str">
        <f>IF('Extraction edi'!Q437="laquage RAL :","OUI","")</f>
        <v/>
      </c>
      <c r="M427" s="1" t="str">
        <f>IF('Extraction edi'!R437&lt;&gt;"",'Extraction edi'!R437,IF(G427="ALU blanc","S9016",""))</f>
        <v/>
      </c>
      <c r="N427" s="1" t="str">
        <f>IF('Extraction edi'!S437&lt;&gt;"",'Extraction edi'!S437,IF(G427="ALU blanc","S9016",""))</f>
        <v/>
      </c>
      <c r="O427" s="11" t="str">
        <f>IF('Extraction edi'!V437&lt;'Feuille commande'!$E$1,"DELAI NON COMPATIBLE",IF('Extraction edi'!V437="","",WORKDAY('Extraction edi'!V437,-10,Paramètrage!$G$2:$G$104)))</f>
        <v/>
      </c>
      <c r="P427" s="1" t="e">
        <f t="shared" si="6"/>
        <v>#VALUE!</v>
      </c>
    </row>
    <row r="428" spans="1:16" x14ac:dyDescent="0.25">
      <c r="A428" s="1" t="str">
        <f>IF(B428="","",CONCATENATE(B428,".",C428,"/Pos ",D428,"/",'Extraction edi'!G438))</f>
        <v/>
      </c>
      <c r="B428" s="1" t="str">
        <f>IF('Extraction edi'!A438="","",'Extraction edi'!A438)</f>
        <v/>
      </c>
      <c r="C428" s="1" t="str">
        <f>IF('Extraction edi'!B438="","",'Extraction edi'!B438)</f>
        <v/>
      </c>
      <c r="D428" s="1" t="str">
        <f>IF('Extraction edi'!H438="","",'Extraction edi'!H438)</f>
        <v/>
      </c>
      <c r="E428" s="1" t="str">
        <f>IF('Extraction edi'!I438="","",'Extraction edi'!I438)</f>
        <v/>
      </c>
      <c r="F428" t="str">
        <f>IF('Extraction edi'!K438="","",'Extraction edi'!K438)</f>
        <v/>
      </c>
      <c r="G428" t="str">
        <f>IF('Extraction edi'!L431="","",'Extraction edi'!L431)</f>
        <v/>
      </c>
      <c r="H428" t="str">
        <f>IF('Extraction edi'!M431="","",'Extraction edi'!M431)</f>
        <v/>
      </c>
      <c r="I428" s="1" t="str">
        <f>IF('Extraction edi'!N438="","",'Extraction edi'!N438)</f>
        <v/>
      </c>
      <c r="J428" s="1" t="str">
        <f>IF('Extraction edi'!O438="","",'Extraction edi'!O438)</f>
        <v/>
      </c>
      <c r="K428" s="1" t="str">
        <f>IF('Extraction edi'!P438="","",'Extraction edi'!P438)</f>
        <v/>
      </c>
      <c r="L428" s="1" t="str">
        <f>IF('Extraction edi'!Q438="laquage RAL :","OUI","")</f>
        <v/>
      </c>
      <c r="M428" s="1" t="str">
        <f>IF('Extraction edi'!R438&lt;&gt;"",'Extraction edi'!R438,IF(G428="ALU blanc","S9016",""))</f>
        <v/>
      </c>
      <c r="N428" s="1" t="str">
        <f>IF('Extraction edi'!S438&lt;&gt;"",'Extraction edi'!S438,IF(G428="ALU blanc","S9016",""))</f>
        <v/>
      </c>
      <c r="O428" s="11" t="str">
        <f>IF('Extraction edi'!V438&lt;'Feuille commande'!$E$1,"DELAI NON COMPATIBLE",IF('Extraction edi'!V438="","",WORKDAY('Extraction edi'!V438,-10,Paramètrage!$G$2:$G$104)))</f>
        <v/>
      </c>
      <c r="P428" s="1" t="e">
        <f t="shared" si="6"/>
        <v>#VALUE!</v>
      </c>
    </row>
    <row r="429" spans="1:16" x14ac:dyDescent="0.25">
      <c r="A429" s="1" t="str">
        <f>IF(B429="","",CONCATENATE(B429,".",C429,"/Pos ",D429,"/",'Extraction edi'!G439))</f>
        <v/>
      </c>
      <c r="B429" s="1" t="str">
        <f>IF('Extraction edi'!A439="","",'Extraction edi'!A439)</f>
        <v/>
      </c>
      <c r="C429" s="1" t="str">
        <f>IF('Extraction edi'!B439="","",'Extraction edi'!B439)</f>
        <v/>
      </c>
      <c r="D429" s="1" t="str">
        <f>IF('Extraction edi'!H439="","",'Extraction edi'!H439)</f>
        <v/>
      </c>
      <c r="E429" s="1" t="str">
        <f>IF('Extraction edi'!I439="","",'Extraction edi'!I439)</f>
        <v/>
      </c>
      <c r="F429" t="str">
        <f>IF('Extraction edi'!K439="","",'Extraction edi'!K439)</f>
        <v/>
      </c>
      <c r="G429" t="str">
        <f>IF('Extraction edi'!L432="","",'Extraction edi'!L432)</f>
        <v/>
      </c>
      <c r="H429" t="str">
        <f>IF('Extraction edi'!M432="","",'Extraction edi'!M432)</f>
        <v/>
      </c>
      <c r="I429" s="1" t="str">
        <f>IF('Extraction edi'!N439="","",'Extraction edi'!N439)</f>
        <v/>
      </c>
      <c r="J429" s="1" t="str">
        <f>IF('Extraction edi'!O439="","",'Extraction edi'!O439)</f>
        <v/>
      </c>
      <c r="K429" s="1" t="str">
        <f>IF('Extraction edi'!P439="","",'Extraction edi'!P439)</f>
        <v/>
      </c>
      <c r="L429" s="1" t="str">
        <f>IF('Extraction edi'!Q439="laquage RAL :","OUI","")</f>
        <v/>
      </c>
      <c r="M429" s="1" t="str">
        <f>IF('Extraction edi'!R439&lt;&gt;"",'Extraction edi'!R439,IF(G429="ALU blanc","S9016",""))</f>
        <v/>
      </c>
      <c r="N429" s="1" t="str">
        <f>IF('Extraction edi'!S439&lt;&gt;"",'Extraction edi'!S439,IF(G429="ALU blanc","S9016",""))</f>
        <v/>
      </c>
      <c r="O429" s="11" t="str">
        <f>IF('Extraction edi'!V439&lt;'Feuille commande'!$E$1,"DELAI NON COMPATIBLE",IF('Extraction edi'!V439="","",WORKDAY('Extraction edi'!V439,-10,Paramètrage!$G$2:$G$104)))</f>
        <v/>
      </c>
      <c r="P429" s="1" t="e">
        <f t="shared" si="6"/>
        <v>#VALUE!</v>
      </c>
    </row>
    <row r="430" spans="1:16" x14ac:dyDescent="0.25">
      <c r="A430" s="1" t="str">
        <f>IF(B430="","",CONCATENATE(B430,".",C430,"/Pos ",D430,"/",'Extraction edi'!G440))</f>
        <v/>
      </c>
      <c r="B430" s="1" t="str">
        <f>IF('Extraction edi'!A440="","",'Extraction edi'!A440)</f>
        <v/>
      </c>
      <c r="C430" s="1" t="str">
        <f>IF('Extraction edi'!B440="","",'Extraction edi'!B440)</f>
        <v/>
      </c>
      <c r="D430" s="1" t="str">
        <f>IF('Extraction edi'!H440="","",'Extraction edi'!H440)</f>
        <v/>
      </c>
      <c r="E430" s="1" t="str">
        <f>IF('Extraction edi'!I440="","",'Extraction edi'!I440)</f>
        <v/>
      </c>
      <c r="F430" t="str">
        <f>IF('Extraction edi'!K440="","",'Extraction edi'!K440)</f>
        <v/>
      </c>
      <c r="G430" t="str">
        <f>IF('Extraction edi'!L433="","",'Extraction edi'!L433)</f>
        <v/>
      </c>
      <c r="H430" t="str">
        <f>IF('Extraction edi'!M433="","",'Extraction edi'!M433)</f>
        <v/>
      </c>
      <c r="I430" s="1" t="str">
        <f>IF('Extraction edi'!N440="","",'Extraction edi'!N440)</f>
        <v/>
      </c>
      <c r="J430" s="1" t="str">
        <f>IF('Extraction edi'!O440="","",'Extraction edi'!O440)</f>
        <v/>
      </c>
      <c r="K430" s="1" t="str">
        <f>IF('Extraction edi'!P440="","",'Extraction edi'!P440)</f>
        <v/>
      </c>
      <c r="L430" s="1" t="str">
        <f>IF('Extraction edi'!Q440="laquage RAL :","OUI","")</f>
        <v/>
      </c>
      <c r="M430" s="1" t="str">
        <f>IF('Extraction edi'!R440&lt;&gt;"",'Extraction edi'!R440,IF(G430="ALU blanc","S9016",""))</f>
        <v/>
      </c>
      <c r="N430" s="1" t="str">
        <f>IF('Extraction edi'!S440&lt;&gt;"",'Extraction edi'!S440,IF(G430="ALU blanc","S9016",""))</f>
        <v/>
      </c>
      <c r="O430" s="11" t="str">
        <f>IF('Extraction edi'!V440&lt;'Feuille commande'!$E$1,"DELAI NON COMPATIBLE",IF('Extraction edi'!V440="","",WORKDAY('Extraction edi'!V440,-10,Paramètrage!$G$2:$G$104)))</f>
        <v/>
      </c>
      <c r="P430" s="1" t="e">
        <f t="shared" si="6"/>
        <v>#VALUE!</v>
      </c>
    </row>
    <row r="431" spans="1:16" x14ac:dyDescent="0.25">
      <c r="A431" s="1" t="str">
        <f>IF(B431="","",CONCATENATE(B431,".",C431,"/Pos ",D431,"/",'Extraction edi'!G441))</f>
        <v/>
      </c>
      <c r="B431" s="1" t="str">
        <f>IF('Extraction edi'!A441="","",'Extraction edi'!A441)</f>
        <v/>
      </c>
      <c r="C431" s="1" t="str">
        <f>IF('Extraction edi'!B441="","",'Extraction edi'!B441)</f>
        <v/>
      </c>
      <c r="D431" s="1" t="str">
        <f>IF('Extraction edi'!H441="","",'Extraction edi'!H441)</f>
        <v/>
      </c>
      <c r="E431" s="1" t="str">
        <f>IF('Extraction edi'!I441="","",'Extraction edi'!I441)</f>
        <v/>
      </c>
      <c r="F431" t="str">
        <f>IF('Extraction edi'!K441="","",'Extraction edi'!K441)</f>
        <v/>
      </c>
      <c r="G431" t="str">
        <f>IF('Extraction edi'!L434="","",'Extraction edi'!L434)</f>
        <v/>
      </c>
      <c r="H431" t="str">
        <f>IF('Extraction edi'!M434="","",'Extraction edi'!M434)</f>
        <v/>
      </c>
      <c r="I431" s="1" t="str">
        <f>IF('Extraction edi'!N441="","",'Extraction edi'!N441)</f>
        <v/>
      </c>
      <c r="J431" s="1" t="str">
        <f>IF('Extraction edi'!O441="","",'Extraction edi'!O441)</f>
        <v/>
      </c>
      <c r="K431" s="1" t="str">
        <f>IF('Extraction edi'!P441="","",'Extraction edi'!P441)</f>
        <v/>
      </c>
      <c r="L431" s="1" t="str">
        <f>IF('Extraction edi'!Q441="laquage RAL :","OUI","")</f>
        <v/>
      </c>
      <c r="M431" s="1" t="str">
        <f>IF('Extraction edi'!R441&lt;&gt;"",'Extraction edi'!R441,IF(G431="ALU blanc","S9016",""))</f>
        <v/>
      </c>
      <c r="N431" s="1" t="str">
        <f>IF('Extraction edi'!S441&lt;&gt;"",'Extraction edi'!S441,IF(G431="ALU blanc","S9016",""))</f>
        <v/>
      </c>
      <c r="O431" s="11" t="str">
        <f>IF('Extraction edi'!V441&lt;'Feuille commande'!$E$1,"DELAI NON COMPATIBLE",IF('Extraction edi'!V441="","",WORKDAY('Extraction edi'!V441,-10,Paramètrage!$G$2:$G$104)))</f>
        <v/>
      </c>
      <c r="P431" s="1" t="e">
        <f t="shared" si="6"/>
        <v>#VALUE!</v>
      </c>
    </row>
    <row r="432" spans="1:16" x14ac:dyDescent="0.25">
      <c r="A432" s="1" t="str">
        <f>IF(B432="","",CONCATENATE(B432,".",C432,"/Pos ",D432,"/",'Extraction edi'!G442))</f>
        <v/>
      </c>
      <c r="B432" s="1" t="str">
        <f>IF('Extraction edi'!A442="","",'Extraction edi'!A442)</f>
        <v/>
      </c>
      <c r="C432" s="1" t="str">
        <f>IF('Extraction edi'!B442="","",'Extraction edi'!B442)</f>
        <v/>
      </c>
      <c r="D432" s="1" t="str">
        <f>IF('Extraction edi'!H442="","",'Extraction edi'!H442)</f>
        <v/>
      </c>
      <c r="E432" s="1" t="str">
        <f>IF('Extraction edi'!I442="","",'Extraction edi'!I442)</f>
        <v/>
      </c>
      <c r="F432" t="str">
        <f>IF('Extraction edi'!K442="","",'Extraction edi'!K442)</f>
        <v/>
      </c>
      <c r="G432" t="str">
        <f>IF('Extraction edi'!L435="","",'Extraction edi'!L435)</f>
        <v/>
      </c>
      <c r="H432" t="str">
        <f>IF('Extraction edi'!M435="","",'Extraction edi'!M435)</f>
        <v/>
      </c>
      <c r="I432" s="1" t="str">
        <f>IF('Extraction edi'!N442="","",'Extraction edi'!N442)</f>
        <v/>
      </c>
      <c r="J432" s="1" t="str">
        <f>IF('Extraction edi'!O442="","",'Extraction edi'!O442)</f>
        <v/>
      </c>
      <c r="K432" s="1" t="str">
        <f>IF('Extraction edi'!P442="","",'Extraction edi'!P442)</f>
        <v/>
      </c>
      <c r="L432" s="1" t="str">
        <f>IF('Extraction edi'!Q442="laquage RAL :","OUI","")</f>
        <v/>
      </c>
      <c r="M432" s="1" t="str">
        <f>IF('Extraction edi'!R442&lt;&gt;"",'Extraction edi'!R442,IF(G432="ALU blanc","S9016",""))</f>
        <v/>
      </c>
      <c r="N432" s="1" t="str">
        <f>IF('Extraction edi'!S442&lt;&gt;"",'Extraction edi'!S442,IF(G432="ALU blanc","S9016",""))</f>
        <v/>
      </c>
      <c r="O432" s="11" t="str">
        <f>IF('Extraction edi'!V442&lt;'Feuille commande'!$E$1,"DELAI NON COMPATIBLE",IF('Extraction edi'!V442="","",WORKDAY('Extraction edi'!V442,-10,Paramètrage!$G$2:$G$104)))</f>
        <v/>
      </c>
      <c r="P432" s="1" t="e">
        <f t="shared" si="6"/>
        <v>#VALUE!</v>
      </c>
    </row>
    <row r="433" spans="1:16" x14ac:dyDescent="0.25">
      <c r="A433" s="1" t="str">
        <f>IF(B433="","",CONCATENATE(B433,".",C433,"/Pos ",D433,"/",'Extraction edi'!G443))</f>
        <v/>
      </c>
      <c r="B433" s="1" t="str">
        <f>IF('Extraction edi'!A443="","",'Extraction edi'!A443)</f>
        <v/>
      </c>
      <c r="C433" s="1" t="str">
        <f>IF('Extraction edi'!B443="","",'Extraction edi'!B443)</f>
        <v/>
      </c>
      <c r="D433" s="1" t="str">
        <f>IF('Extraction edi'!H443="","",'Extraction edi'!H443)</f>
        <v/>
      </c>
      <c r="E433" s="1" t="str">
        <f>IF('Extraction edi'!I443="","",'Extraction edi'!I443)</f>
        <v/>
      </c>
      <c r="F433" t="str">
        <f>IF('Extraction edi'!K443="","",'Extraction edi'!K443)</f>
        <v/>
      </c>
      <c r="G433" t="str">
        <f>IF('Extraction edi'!L436="","",'Extraction edi'!L436)</f>
        <v/>
      </c>
      <c r="H433" t="str">
        <f>IF('Extraction edi'!M436="","",'Extraction edi'!M436)</f>
        <v/>
      </c>
      <c r="I433" s="1" t="str">
        <f>IF('Extraction edi'!N443="","",'Extraction edi'!N443)</f>
        <v/>
      </c>
      <c r="J433" s="1" t="str">
        <f>IF('Extraction edi'!O443="","",'Extraction edi'!O443)</f>
        <v/>
      </c>
      <c r="K433" s="1" t="str">
        <f>IF('Extraction edi'!P443="","",'Extraction edi'!P443)</f>
        <v/>
      </c>
      <c r="L433" s="1" t="str">
        <f>IF('Extraction edi'!Q443="laquage RAL :","OUI","")</f>
        <v/>
      </c>
      <c r="M433" s="1" t="str">
        <f>IF('Extraction edi'!R443&lt;&gt;"",'Extraction edi'!R443,IF(G433="ALU blanc","S9016",""))</f>
        <v/>
      </c>
      <c r="N433" s="1" t="str">
        <f>IF('Extraction edi'!S443&lt;&gt;"",'Extraction edi'!S443,IF(G433="ALU blanc","S9016",""))</f>
        <v/>
      </c>
      <c r="O433" s="11" t="str">
        <f>IF('Extraction edi'!V443&lt;'Feuille commande'!$E$1,"DELAI NON COMPATIBLE",IF('Extraction edi'!V443="","",WORKDAY('Extraction edi'!V443,-10,Paramètrage!$G$2:$G$104)))</f>
        <v/>
      </c>
      <c r="P433" s="1" t="e">
        <f t="shared" si="6"/>
        <v>#VALUE!</v>
      </c>
    </row>
    <row r="434" spans="1:16" x14ac:dyDescent="0.25">
      <c r="A434" s="1" t="str">
        <f>IF(B434="","",CONCATENATE(B434,".",C434,"/Pos ",D434,"/",'Extraction edi'!G444))</f>
        <v/>
      </c>
      <c r="B434" s="1" t="str">
        <f>IF('Extraction edi'!A444="","",'Extraction edi'!A444)</f>
        <v/>
      </c>
      <c r="C434" s="1" t="str">
        <f>IF('Extraction edi'!B444="","",'Extraction edi'!B444)</f>
        <v/>
      </c>
      <c r="D434" s="1" t="str">
        <f>IF('Extraction edi'!H444="","",'Extraction edi'!H444)</f>
        <v/>
      </c>
      <c r="E434" s="1" t="str">
        <f>IF('Extraction edi'!I444="","",'Extraction edi'!I444)</f>
        <v/>
      </c>
      <c r="F434" t="str">
        <f>IF('Extraction edi'!K444="","",'Extraction edi'!K444)</f>
        <v/>
      </c>
      <c r="G434" t="str">
        <f>IF('Extraction edi'!L437="","",'Extraction edi'!L437)</f>
        <v/>
      </c>
      <c r="H434" t="str">
        <f>IF('Extraction edi'!M437="","",'Extraction edi'!M437)</f>
        <v/>
      </c>
      <c r="I434" s="1" t="str">
        <f>IF('Extraction edi'!N444="","",'Extraction edi'!N444)</f>
        <v/>
      </c>
      <c r="J434" s="1" t="str">
        <f>IF('Extraction edi'!O444="","",'Extraction edi'!O444)</f>
        <v/>
      </c>
      <c r="K434" s="1" t="str">
        <f>IF('Extraction edi'!P444="","",'Extraction edi'!P444)</f>
        <v/>
      </c>
      <c r="L434" s="1" t="str">
        <f>IF('Extraction edi'!Q444="laquage RAL :","OUI","")</f>
        <v/>
      </c>
      <c r="M434" s="1" t="str">
        <f>IF('Extraction edi'!R444&lt;&gt;"",'Extraction edi'!R444,IF(G434="ALU blanc","S9016",""))</f>
        <v/>
      </c>
      <c r="N434" s="1" t="str">
        <f>IF('Extraction edi'!S444&lt;&gt;"",'Extraction edi'!S444,IF(G434="ALU blanc","S9016",""))</f>
        <v/>
      </c>
      <c r="O434" s="11" t="str">
        <f>IF('Extraction edi'!V444&lt;'Feuille commande'!$E$1,"DELAI NON COMPATIBLE",IF('Extraction edi'!V444="","",WORKDAY('Extraction edi'!V444,-10,Paramètrage!$G$2:$G$104)))</f>
        <v/>
      </c>
      <c r="P434" s="1" t="e">
        <f t="shared" si="6"/>
        <v>#VALUE!</v>
      </c>
    </row>
    <row r="435" spans="1:16" x14ac:dyDescent="0.25">
      <c r="A435" s="1" t="str">
        <f>IF(B435="","",CONCATENATE(B435,".",C435,"/Pos ",D435,"/",'Extraction edi'!G445))</f>
        <v/>
      </c>
      <c r="B435" s="1" t="str">
        <f>IF('Extraction edi'!A445="","",'Extraction edi'!A445)</f>
        <v/>
      </c>
      <c r="C435" s="1" t="str">
        <f>IF('Extraction edi'!B445="","",'Extraction edi'!B445)</f>
        <v/>
      </c>
      <c r="D435" s="1" t="str">
        <f>IF('Extraction edi'!H445="","",'Extraction edi'!H445)</f>
        <v/>
      </c>
      <c r="E435" s="1" t="str">
        <f>IF('Extraction edi'!I445="","",'Extraction edi'!I445)</f>
        <v/>
      </c>
      <c r="F435" t="str">
        <f>IF('Extraction edi'!K445="","",'Extraction edi'!K445)</f>
        <v/>
      </c>
      <c r="G435" t="str">
        <f>IF('Extraction edi'!L438="","",'Extraction edi'!L438)</f>
        <v/>
      </c>
      <c r="H435" t="str">
        <f>IF('Extraction edi'!M438="","",'Extraction edi'!M438)</f>
        <v/>
      </c>
      <c r="I435" s="1" t="str">
        <f>IF('Extraction edi'!N445="","",'Extraction edi'!N445)</f>
        <v/>
      </c>
      <c r="J435" s="1" t="str">
        <f>IF('Extraction edi'!O445="","",'Extraction edi'!O445)</f>
        <v/>
      </c>
      <c r="K435" s="1" t="str">
        <f>IF('Extraction edi'!P445="","",'Extraction edi'!P445)</f>
        <v/>
      </c>
      <c r="L435" s="1" t="str">
        <f>IF('Extraction edi'!Q445="laquage RAL :","OUI","")</f>
        <v/>
      </c>
      <c r="M435" s="1" t="str">
        <f>IF('Extraction edi'!R445&lt;&gt;"",'Extraction edi'!R445,IF(G435="ALU blanc","S9016",""))</f>
        <v/>
      </c>
      <c r="N435" s="1" t="str">
        <f>IF('Extraction edi'!S445&lt;&gt;"",'Extraction edi'!S445,IF(G435="ALU blanc","S9016",""))</f>
        <v/>
      </c>
      <c r="O435" s="11" t="str">
        <f>IF('Extraction edi'!V445&lt;'Feuille commande'!$E$1,"DELAI NON COMPATIBLE",IF('Extraction edi'!V445="","",WORKDAY('Extraction edi'!V445,-10,Paramètrage!$G$2:$G$104)))</f>
        <v/>
      </c>
      <c r="P435" s="1" t="e">
        <f t="shared" si="6"/>
        <v>#VALUE!</v>
      </c>
    </row>
    <row r="436" spans="1:16" x14ac:dyDescent="0.25">
      <c r="A436" s="1" t="str">
        <f>IF(B436="","",CONCATENATE(B436,".",C436,"/Pos ",D436,"/",'Extraction edi'!G446))</f>
        <v/>
      </c>
      <c r="B436" s="1" t="str">
        <f>IF('Extraction edi'!A446="","",'Extraction edi'!A446)</f>
        <v/>
      </c>
      <c r="C436" s="1" t="str">
        <f>IF('Extraction edi'!B446="","",'Extraction edi'!B446)</f>
        <v/>
      </c>
      <c r="D436" s="1" t="str">
        <f>IF('Extraction edi'!H446="","",'Extraction edi'!H446)</f>
        <v/>
      </c>
      <c r="E436" s="1" t="str">
        <f>IF('Extraction edi'!I446="","",'Extraction edi'!I446)</f>
        <v/>
      </c>
      <c r="F436" t="str">
        <f>IF('Extraction edi'!K446="","",'Extraction edi'!K446)</f>
        <v/>
      </c>
      <c r="G436" t="str">
        <f>IF('Extraction edi'!L439="","",'Extraction edi'!L439)</f>
        <v/>
      </c>
      <c r="H436" t="str">
        <f>IF('Extraction edi'!M439="","",'Extraction edi'!M439)</f>
        <v/>
      </c>
      <c r="I436" s="1" t="str">
        <f>IF('Extraction edi'!N446="","",'Extraction edi'!N446)</f>
        <v/>
      </c>
      <c r="J436" s="1" t="str">
        <f>IF('Extraction edi'!O446="","",'Extraction edi'!O446)</f>
        <v/>
      </c>
      <c r="K436" s="1" t="str">
        <f>IF('Extraction edi'!P446="","",'Extraction edi'!P446)</f>
        <v/>
      </c>
      <c r="L436" s="1" t="str">
        <f>IF('Extraction edi'!Q446="laquage RAL :","OUI","")</f>
        <v/>
      </c>
      <c r="M436" s="1" t="str">
        <f>IF('Extraction edi'!R446&lt;&gt;"",'Extraction edi'!R446,IF(G436="ALU blanc","S9016",""))</f>
        <v/>
      </c>
      <c r="N436" s="1" t="str">
        <f>IF('Extraction edi'!S446&lt;&gt;"",'Extraction edi'!S446,IF(G436="ALU blanc","S9016",""))</f>
        <v/>
      </c>
      <c r="O436" s="11" t="str">
        <f>IF('Extraction edi'!V446&lt;'Feuille commande'!$E$1,"DELAI NON COMPATIBLE",IF('Extraction edi'!V446="","",WORKDAY('Extraction edi'!V446,-10,Paramètrage!$G$2:$G$104)))</f>
        <v/>
      </c>
      <c r="P436" s="1" t="e">
        <f t="shared" si="6"/>
        <v>#VALUE!</v>
      </c>
    </row>
    <row r="437" spans="1:16" x14ac:dyDescent="0.25">
      <c r="A437" s="1" t="str">
        <f>IF(B437="","",CONCATENATE(B437,".",C437,"/Pos ",D437,"/",'Extraction edi'!G447))</f>
        <v/>
      </c>
      <c r="B437" s="1" t="str">
        <f>IF('Extraction edi'!A447="","",'Extraction edi'!A447)</f>
        <v/>
      </c>
      <c r="C437" s="1" t="str">
        <f>IF('Extraction edi'!B447="","",'Extraction edi'!B447)</f>
        <v/>
      </c>
      <c r="D437" s="1" t="str">
        <f>IF('Extraction edi'!H447="","",'Extraction edi'!H447)</f>
        <v/>
      </c>
      <c r="E437" s="1" t="str">
        <f>IF('Extraction edi'!I447="","",'Extraction edi'!I447)</f>
        <v/>
      </c>
      <c r="F437" t="str">
        <f>IF('Extraction edi'!K447="","",'Extraction edi'!K447)</f>
        <v/>
      </c>
      <c r="G437" t="str">
        <f>IF('Extraction edi'!L440="","",'Extraction edi'!L440)</f>
        <v/>
      </c>
      <c r="H437" t="str">
        <f>IF('Extraction edi'!M440="","",'Extraction edi'!M440)</f>
        <v/>
      </c>
      <c r="I437" s="1" t="str">
        <f>IF('Extraction edi'!N447="","",'Extraction edi'!N447)</f>
        <v/>
      </c>
      <c r="J437" s="1" t="str">
        <f>IF('Extraction edi'!O447="","",'Extraction edi'!O447)</f>
        <v/>
      </c>
      <c r="K437" s="1" t="str">
        <f>IF('Extraction edi'!P447="","",'Extraction edi'!P447)</f>
        <v/>
      </c>
      <c r="L437" s="1" t="str">
        <f>IF('Extraction edi'!Q447="laquage RAL :","OUI","")</f>
        <v/>
      </c>
      <c r="M437" s="1" t="str">
        <f>IF('Extraction edi'!R447&lt;&gt;"",'Extraction edi'!R447,IF(G437="ALU blanc","S9016",""))</f>
        <v/>
      </c>
      <c r="N437" s="1" t="str">
        <f>IF('Extraction edi'!S447&lt;&gt;"",'Extraction edi'!S447,IF(G437="ALU blanc","S9016",""))</f>
        <v/>
      </c>
      <c r="O437" s="11" t="str">
        <f>IF('Extraction edi'!V447&lt;'Feuille commande'!$E$1,"DELAI NON COMPATIBLE",IF('Extraction edi'!V447="","",WORKDAY('Extraction edi'!V447,-10,Paramètrage!$G$2:$G$104)))</f>
        <v/>
      </c>
      <c r="P437" s="1" t="e">
        <f t="shared" si="6"/>
        <v>#VALUE!</v>
      </c>
    </row>
    <row r="438" spans="1:16" x14ac:dyDescent="0.25">
      <c r="A438" s="1" t="str">
        <f>IF(B438="","",CONCATENATE(B438,".",C438,"/Pos ",D438,"/",'Extraction edi'!G448))</f>
        <v/>
      </c>
      <c r="B438" s="1" t="str">
        <f>IF('Extraction edi'!A448="","",'Extraction edi'!A448)</f>
        <v/>
      </c>
      <c r="C438" s="1" t="str">
        <f>IF('Extraction edi'!B448="","",'Extraction edi'!B448)</f>
        <v/>
      </c>
      <c r="D438" s="1" t="str">
        <f>IF('Extraction edi'!H448="","",'Extraction edi'!H448)</f>
        <v/>
      </c>
      <c r="E438" s="1" t="str">
        <f>IF('Extraction edi'!I448="","",'Extraction edi'!I448)</f>
        <v/>
      </c>
      <c r="F438" t="str">
        <f>IF('Extraction edi'!K448="","",'Extraction edi'!K448)</f>
        <v/>
      </c>
      <c r="G438" t="str">
        <f>IF('Extraction edi'!L441="","",'Extraction edi'!L441)</f>
        <v/>
      </c>
      <c r="H438" t="str">
        <f>IF('Extraction edi'!M441="","",'Extraction edi'!M441)</f>
        <v/>
      </c>
      <c r="I438" s="1" t="str">
        <f>IF('Extraction edi'!N448="","",'Extraction edi'!N448)</f>
        <v/>
      </c>
      <c r="J438" s="1" t="str">
        <f>IF('Extraction edi'!O448="","",'Extraction edi'!O448)</f>
        <v/>
      </c>
      <c r="K438" s="1" t="str">
        <f>IF('Extraction edi'!P448="","",'Extraction edi'!P448)</f>
        <v/>
      </c>
      <c r="L438" s="1" t="str">
        <f>IF('Extraction edi'!Q448="laquage RAL :","OUI","")</f>
        <v/>
      </c>
      <c r="M438" s="1" t="str">
        <f>IF('Extraction edi'!R448&lt;&gt;"",'Extraction edi'!R448,IF(G438="ALU blanc","S9016",""))</f>
        <v/>
      </c>
      <c r="N438" s="1" t="str">
        <f>IF('Extraction edi'!S448&lt;&gt;"",'Extraction edi'!S448,IF(G438="ALU blanc","S9016",""))</f>
        <v/>
      </c>
      <c r="O438" s="11" t="str">
        <f>IF('Extraction edi'!V448&lt;'Feuille commande'!$E$1,"DELAI NON COMPATIBLE",IF('Extraction edi'!V448="","",WORKDAY('Extraction edi'!V448,-10,Paramètrage!$G$2:$G$104)))</f>
        <v/>
      </c>
      <c r="P438" s="1" t="e">
        <f t="shared" si="6"/>
        <v>#VALUE!</v>
      </c>
    </row>
    <row r="439" spans="1:16" x14ac:dyDescent="0.25">
      <c r="A439" s="1" t="str">
        <f>IF(B439="","",CONCATENATE(B439,".",C439,"/Pos ",D439,"/",'Extraction edi'!G449))</f>
        <v/>
      </c>
      <c r="B439" s="1" t="str">
        <f>IF('Extraction edi'!A449="","",'Extraction edi'!A449)</f>
        <v/>
      </c>
      <c r="C439" s="1" t="str">
        <f>IF('Extraction edi'!B449="","",'Extraction edi'!B449)</f>
        <v/>
      </c>
      <c r="D439" s="1" t="str">
        <f>IF('Extraction edi'!H449="","",'Extraction edi'!H449)</f>
        <v/>
      </c>
      <c r="E439" s="1" t="str">
        <f>IF('Extraction edi'!I449="","",'Extraction edi'!I449)</f>
        <v/>
      </c>
      <c r="F439" t="str">
        <f>IF('Extraction edi'!K449="","",'Extraction edi'!K449)</f>
        <v/>
      </c>
      <c r="G439" t="str">
        <f>IF('Extraction edi'!L442="","",'Extraction edi'!L442)</f>
        <v/>
      </c>
      <c r="H439" t="str">
        <f>IF('Extraction edi'!M442="","",'Extraction edi'!M442)</f>
        <v/>
      </c>
      <c r="I439" s="1" t="str">
        <f>IF('Extraction edi'!N449="","",'Extraction edi'!N449)</f>
        <v/>
      </c>
      <c r="J439" s="1" t="str">
        <f>IF('Extraction edi'!O449="","",'Extraction edi'!O449)</f>
        <v/>
      </c>
      <c r="K439" s="1" t="str">
        <f>IF('Extraction edi'!P449="","",'Extraction edi'!P449)</f>
        <v/>
      </c>
      <c r="L439" s="1" t="str">
        <f>IF('Extraction edi'!Q449="laquage RAL :","OUI","")</f>
        <v/>
      </c>
      <c r="M439" s="1" t="str">
        <f>IF('Extraction edi'!R449&lt;&gt;"",'Extraction edi'!R449,IF(G439="ALU blanc","S9016",""))</f>
        <v/>
      </c>
      <c r="N439" s="1" t="str">
        <f>IF('Extraction edi'!S449&lt;&gt;"",'Extraction edi'!S449,IF(G439="ALU blanc","S9016",""))</f>
        <v/>
      </c>
      <c r="O439" s="11" t="str">
        <f>IF('Extraction edi'!V449&lt;'Feuille commande'!$E$1,"DELAI NON COMPATIBLE",IF('Extraction edi'!V449="","",WORKDAY('Extraction edi'!V449,-10,Paramètrage!$G$2:$G$104)))</f>
        <v/>
      </c>
      <c r="P439" s="1" t="e">
        <f t="shared" si="6"/>
        <v>#VALUE!</v>
      </c>
    </row>
    <row r="440" spans="1:16" x14ac:dyDescent="0.25">
      <c r="A440" s="1" t="str">
        <f>IF(B440="","",CONCATENATE(B440,".",C440,"/Pos ",D440,"/",'Extraction edi'!G450))</f>
        <v/>
      </c>
      <c r="B440" s="1" t="str">
        <f>IF('Extraction edi'!A450="","",'Extraction edi'!A450)</f>
        <v/>
      </c>
      <c r="C440" s="1" t="str">
        <f>IF('Extraction edi'!B450="","",'Extraction edi'!B450)</f>
        <v/>
      </c>
      <c r="D440" s="1" t="str">
        <f>IF('Extraction edi'!H450="","",'Extraction edi'!H450)</f>
        <v/>
      </c>
      <c r="E440" s="1" t="str">
        <f>IF('Extraction edi'!I450="","",'Extraction edi'!I450)</f>
        <v/>
      </c>
      <c r="F440" t="str">
        <f>IF('Extraction edi'!K450="","",'Extraction edi'!K450)</f>
        <v/>
      </c>
      <c r="G440" t="str">
        <f>IF('Extraction edi'!L443="","",'Extraction edi'!L443)</f>
        <v/>
      </c>
      <c r="H440" t="str">
        <f>IF('Extraction edi'!M443="","",'Extraction edi'!M443)</f>
        <v/>
      </c>
      <c r="I440" s="1" t="str">
        <f>IF('Extraction edi'!N450="","",'Extraction edi'!N450)</f>
        <v/>
      </c>
      <c r="J440" s="1" t="str">
        <f>IF('Extraction edi'!O450="","",'Extraction edi'!O450)</f>
        <v/>
      </c>
      <c r="K440" s="1" t="str">
        <f>IF('Extraction edi'!P450="","",'Extraction edi'!P450)</f>
        <v/>
      </c>
      <c r="L440" s="1" t="str">
        <f>IF('Extraction edi'!Q450="laquage RAL :","OUI","")</f>
        <v/>
      </c>
      <c r="M440" s="1" t="str">
        <f>IF('Extraction edi'!R450&lt;&gt;"",'Extraction edi'!R450,IF(G440="ALU blanc","S9016",""))</f>
        <v/>
      </c>
      <c r="N440" s="1" t="str">
        <f>IF('Extraction edi'!S450&lt;&gt;"",'Extraction edi'!S450,IF(G440="ALU blanc","S9016",""))</f>
        <v/>
      </c>
      <c r="O440" s="11" t="str">
        <f>IF('Extraction edi'!V450&lt;'Feuille commande'!$E$1,"DELAI NON COMPATIBLE",IF('Extraction edi'!V450="","",WORKDAY('Extraction edi'!V450,-10,Paramètrage!$G$2:$G$104)))</f>
        <v/>
      </c>
      <c r="P440" s="1" t="e">
        <f t="shared" si="6"/>
        <v>#VALUE!</v>
      </c>
    </row>
    <row r="441" spans="1:16" x14ac:dyDescent="0.25">
      <c r="A441" s="1" t="str">
        <f>IF(B441="","",CONCATENATE(B441,".",C441,"/Pos ",D441,"/",'Extraction edi'!G451))</f>
        <v/>
      </c>
      <c r="B441" s="1" t="str">
        <f>IF('Extraction edi'!A451="","",'Extraction edi'!A451)</f>
        <v/>
      </c>
      <c r="C441" s="1" t="str">
        <f>IF('Extraction edi'!B451="","",'Extraction edi'!B451)</f>
        <v/>
      </c>
      <c r="D441" s="1" t="str">
        <f>IF('Extraction edi'!H451="","",'Extraction edi'!H451)</f>
        <v/>
      </c>
      <c r="E441" s="1" t="str">
        <f>IF('Extraction edi'!I451="","",'Extraction edi'!I451)</f>
        <v/>
      </c>
      <c r="F441" t="str">
        <f>IF('Extraction edi'!K451="","",'Extraction edi'!K451)</f>
        <v/>
      </c>
      <c r="G441" t="str">
        <f>IF('Extraction edi'!L444="","",'Extraction edi'!L444)</f>
        <v/>
      </c>
      <c r="H441" t="str">
        <f>IF('Extraction edi'!M444="","",'Extraction edi'!M444)</f>
        <v/>
      </c>
      <c r="I441" s="1" t="str">
        <f>IF('Extraction edi'!N451="","",'Extraction edi'!N451)</f>
        <v/>
      </c>
      <c r="J441" s="1" t="str">
        <f>IF('Extraction edi'!O451="","",'Extraction edi'!O451)</f>
        <v/>
      </c>
      <c r="K441" s="1" t="str">
        <f>IF('Extraction edi'!P451="","",'Extraction edi'!P451)</f>
        <v/>
      </c>
      <c r="L441" s="1" t="str">
        <f>IF('Extraction edi'!Q451="laquage RAL :","OUI","")</f>
        <v/>
      </c>
      <c r="M441" s="1" t="str">
        <f>IF('Extraction edi'!R451&lt;&gt;"",'Extraction edi'!R451,IF(G441="ALU blanc","S9016",""))</f>
        <v/>
      </c>
      <c r="N441" s="1" t="str">
        <f>IF('Extraction edi'!S451&lt;&gt;"",'Extraction edi'!S451,IF(G441="ALU blanc","S9016",""))</f>
        <v/>
      </c>
      <c r="O441" s="11" t="str">
        <f>IF('Extraction edi'!V451&lt;'Feuille commande'!$E$1,"DELAI NON COMPATIBLE",IF('Extraction edi'!V451="","",WORKDAY('Extraction edi'!V451,-10,Paramètrage!$G$2:$G$104)))</f>
        <v/>
      </c>
      <c r="P441" s="1" t="e">
        <f t="shared" si="6"/>
        <v>#VALUE!</v>
      </c>
    </row>
    <row r="442" spans="1:16" x14ac:dyDescent="0.25">
      <c r="A442" s="1" t="str">
        <f>IF(B442="","",CONCATENATE(B442,".",C442,"/Pos ",D442,"/",'Extraction edi'!G452))</f>
        <v/>
      </c>
      <c r="B442" s="1" t="str">
        <f>IF('Extraction edi'!A452="","",'Extraction edi'!A452)</f>
        <v/>
      </c>
      <c r="C442" s="1" t="str">
        <f>IF('Extraction edi'!B452="","",'Extraction edi'!B452)</f>
        <v/>
      </c>
      <c r="D442" s="1" t="str">
        <f>IF('Extraction edi'!H452="","",'Extraction edi'!H452)</f>
        <v/>
      </c>
      <c r="E442" s="1" t="str">
        <f>IF('Extraction edi'!I452="","",'Extraction edi'!I452)</f>
        <v/>
      </c>
      <c r="F442" t="str">
        <f>IF('Extraction edi'!K452="","",'Extraction edi'!K452)</f>
        <v/>
      </c>
      <c r="G442" t="str">
        <f>IF('Extraction edi'!L445="","",'Extraction edi'!L445)</f>
        <v/>
      </c>
      <c r="H442" t="str">
        <f>IF('Extraction edi'!M445="","",'Extraction edi'!M445)</f>
        <v/>
      </c>
      <c r="I442" s="1" t="str">
        <f>IF('Extraction edi'!N452="","",'Extraction edi'!N452)</f>
        <v/>
      </c>
      <c r="J442" s="1" t="str">
        <f>IF('Extraction edi'!O452="","",'Extraction edi'!O452)</f>
        <v/>
      </c>
      <c r="K442" s="1" t="str">
        <f>IF('Extraction edi'!P452="","",'Extraction edi'!P452)</f>
        <v/>
      </c>
      <c r="L442" s="1" t="str">
        <f>IF('Extraction edi'!Q452="laquage RAL :","OUI","")</f>
        <v/>
      </c>
      <c r="M442" s="1" t="str">
        <f>IF('Extraction edi'!R452&lt;&gt;"",'Extraction edi'!R452,IF(G442="ALU blanc","S9016",""))</f>
        <v/>
      </c>
      <c r="N442" s="1" t="str">
        <f>IF('Extraction edi'!S452&lt;&gt;"",'Extraction edi'!S452,IF(G442="ALU blanc","S9016",""))</f>
        <v/>
      </c>
      <c r="O442" s="11" t="str">
        <f>IF('Extraction edi'!V452&lt;'Feuille commande'!$E$1,"DELAI NON COMPATIBLE",IF('Extraction edi'!V452="","",WORKDAY('Extraction edi'!V452,-10,Paramètrage!$G$2:$G$104)))</f>
        <v/>
      </c>
      <c r="P442" s="1" t="e">
        <f t="shared" si="6"/>
        <v>#VALUE!</v>
      </c>
    </row>
    <row r="443" spans="1:16" x14ac:dyDescent="0.25">
      <c r="A443" s="1" t="str">
        <f>IF(B443="","",CONCATENATE(B443,".",C443,"/Pos ",D443,"/",'Extraction edi'!G453))</f>
        <v/>
      </c>
      <c r="B443" s="1" t="str">
        <f>IF('Extraction edi'!A453="","",'Extraction edi'!A453)</f>
        <v/>
      </c>
      <c r="C443" s="1" t="str">
        <f>IF('Extraction edi'!B453="","",'Extraction edi'!B453)</f>
        <v/>
      </c>
      <c r="D443" s="1" t="str">
        <f>IF('Extraction edi'!H453="","",'Extraction edi'!H453)</f>
        <v/>
      </c>
      <c r="E443" s="1" t="str">
        <f>IF('Extraction edi'!I453="","",'Extraction edi'!I453)</f>
        <v/>
      </c>
      <c r="F443" t="str">
        <f>IF('Extraction edi'!K453="","",'Extraction edi'!K453)</f>
        <v/>
      </c>
      <c r="G443" t="str">
        <f>IF('Extraction edi'!L446="","",'Extraction edi'!L446)</f>
        <v/>
      </c>
      <c r="H443" t="str">
        <f>IF('Extraction edi'!M446="","",'Extraction edi'!M446)</f>
        <v/>
      </c>
      <c r="I443" s="1" t="str">
        <f>IF('Extraction edi'!N453="","",'Extraction edi'!N453)</f>
        <v/>
      </c>
      <c r="J443" s="1" t="str">
        <f>IF('Extraction edi'!O453="","",'Extraction edi'!O453)</f>
        <v/>
      </c>
      <c r="K443" s="1" t="str">
        <f>IF('Extraction edi'!P453="","",'Extraction edi'!P453)</f>
        <v/>
      </c>
      <c r="L443" s="1" t="str">
        <f>IF('Extraction edi'!Q453="laquage RAL :","OUI","")</f>
        <v/>
      </c>
      <c r="M443" s="1" t="str">
        <f>IF('Extraction edi'!R453&lt;&gt;"",'Extraction edi'!R453,IF(G443="ALU blanc","S9016",""))</f>
        <v/>
      </c>
      <c r="N443" s="1" t="str">
        <f>IF('Extraction edi'!S453&lt;&gt;"",'Extraction edi'!S453,IF(G443="ALU blanc","S9016",""))</f>
        <v/>
      </c>
      <c r="O443" s="11" t="str">
        <f>IF('Extraction edi'!V453&lt;'Feuille commande'!$E$1,"DELAI NON COMPATIBLE",IF('Extraction edi'!V453="","",WORKDAY('Extraction edi'!V453,-10,Paramètrage!$G$2:$G$104)))</f>
        <v/>
      </c>
      <c r="P443" s="1" t="e">
        <f t="shared" si="6"/>
        <v>#VALUE!</v>
      </c>
    </row>
    <row r="444" spans="1:16" x14ac:dyDescent="0.25">
      <c r="A444" s="1" t="str">
        <f>IF(B444="","",CONCATENATE(B444,".",C444,"/Pos ",D444,"/",'Extraction edi'!G454))</f>
        <v/>
      </c>
      <c r="B444" s="1" t="str">
        <f>IF('Extraction edi'!A454="","",'Extraction edi'!A454)</f>
        <v/>
      </c>
      <c r="C444" s="1" t="str">
        <f>IF('Extraction edi'!B454="","",'Extraction edi'!B454)</f>
        <v/>
      </c>
      <c r="D444" s="1" t="str">
        <f>IF('Extraction edi'!H454="","",'Extraction edi'!H454)</f>
        <v/>
      </c>
      <c r="E444" s="1" t="str">
        <f>IF('Extraction edi'!I454="","",'Extraction edi'!I454)</f>
        <v/>
      </c>
      <c r="F444" t="str">
        <f>IF('Extraction edi'!K454="","",'Extraction edi'!K454)</f>
        <v/>
      </c>
      <c r="G444" t="str">
        <f>IF('Extraction edi'!L447="","",'Extraction edi'!L447)</f>
        <v/>
      </c>
      <c r="H444" t="str">
        <f>IF('Extraction edi'!M447="","",'Extraction edi'!M447)</f>
        <v/>
      </c>
      <c r="I444" s="1" t="str">
        <f>IF('Extraction edi'!N454="","",'Extraction edi'!N454)</f>
        <v/>
      </c>
      <c r="J444" s="1" t="str">
        <f>IF('Extraction edi'!O454="","",'Extraction edi'!O454)</f>
        <v/>
      </c>
      <c r="K444" s="1" t="str">
        <f>IF('Extraction edi'!P454="","",'Extraction edi'!P454)</f>
        <v/>
      </c>
      <c r="L444" s="1" t="str">
        <f>IF('Extraction edi'!Q454="laquage RAL :","OUI","")</f>
        <v/>
      </c>
      <c r="M444" s="1" t="str">
        <f>IF('Extraction edi'!R454&lt;&gt;"",'Extraction edi'!R454,IF(G444="ALU blanc","S9016",""))</f>
        <v/>
      </c>
      <c r="N444" s="1" t="str">
        <f>IF('Extraction edi'!S454&lt;&gt;"",'Extraction edi'!S454,IF(G444="ALU blanc","S9016",""))</f>
        <v/>
      </c>
      <c r="O444" s="11" t="str">
        <f>IF('Extraction edi'!V454&lt;'Feuille commande'!$E$1,"DELAI NON COMPATIBLE",IF('Extraction edi'!V454="","",WORKDAY('Extraction edi'!V454,-10,Paramètrage!$G$2:$G$104)))</f>
        <v/>
      </c>
      <c r="P444" s="1" t="e">
        <f t="shared" si="6"/>
        <v>#VALUE!</v>
      </c>
    </row>
    <row r="445" spans="1:16" x14ac:dyDescent="0.25">
      <c r="A445" s="1" t="str">
        <f>IF(B445="","",CONCATENATE(B445,".",C445,"/Pos ",D445,"/",'Extraction edi'!G455))</f>
        <v/>
      </c>
      <c r="B445" s="1" t="str">
        <f>IF('Extraction edi'!A455="","",'Extraction edi'!A455)</f>
        <v/>
      </c>
      <c r="C445" s="1" t="str">
        <f>IF('Extraction edi'!B455="","",'Extraction edi'!B455)</f>
        <v/>
      </c>
      <c r="D445" s="1" t="str">
        <f>IF('Extraction edi'!H455="","",'Extraction edi'!H455)</f>
        <v/>
      </c>
      <c r="E445" s="1" t="str">
        <f>IF('Extraction edi'!I455="","",'Extraction edi'!I455)</f>
        <v/>
      </c>
      <c r="F445" t="str">
        <f>IF('Extraction edi'!K455="","",'Extraction edi'!K455)</f>
        <v/>
      </c>
      <c r="G445" t="str">
        <f>IF('Extraction edi'!L448="","",'Extraction edi'!L448)</f>
        <v/>
      </c>
      <c r="H445" t="str">
        <f>IF('Extraction edi'!M448="","",'Extraction edi'!M448)</f>
        <v/>
      </c>
      <c r="I445" s="1" t="str">
        <f>IF('Extraction edi'!N455="","",'Extraction edi'!N455)</f>
        <v/>
      </c>
      <c r="J445" s="1" t="str">
        <f>IF('Extraction edi'!O455="","",'Extraction edi'!O455)</f>
        <v/>
      </c>
      <c r="K445" s="1" t="str">
        <f>IF('Extraction edi'!P455="","",'Extraction edi'!P455)</f>
        <v/>
      </c>
      <c r="L445" s="1" t="str">
        <f>IF('Extraction edi'!Q455="laquage RAL :","OUI","")</f>
        <v/>
      </c>
      <c r="M445" s="1" t="str">
        <f>IF('Extraction edi'!R455&lt;&gt;"",'Extraction edi'!R455,IF(G445="ALU blanc","S9016",""))</f>
        <v/>
      </c>
      <c r="N445" s="1" t="str">
        <f>IF('Extraction edi'!S455&lt;&gt;"",'Extraction edi'!S455,IF(G445="ALU blanc","S9016",""))</f>
        <v/>
      </c>
      <c r="O445" s="11" t="str">
        <f>IF('Extraction edi'!V455&lt;'Feuille commande'!$E$1,"DELAI NON COMPATIBLE",IF('Extraction edi'!V455="","",WORKDAY('Extraction edi'!V455,-10,Paramètrage!$G$2:$G$104)))</f>
        <v/>
      </c>
      <c r="P445" s="1" t="e">
        <f t="shared" si="6"/>
        <v>#VALUE!</v>
      </c>
    </row>
    <row r="446" spans="1:16" x14ac:dyDescent="0.25">
      <c r="A446" s="1" t="str">
        <f>IF(B446="","",CONCATENATE(B446,".",C446,"/Pos ",D446,"/",'Extraction edi'!G456))</f>
        <v/>
      </c>
      <c r="B446" s="1" t="str">
        <f>IF('Extraction edi'!A456="","",'Extraction edi'!A456)</f>
        <v/>
      </c>
      <c r="C446" s="1" t="str">
        <f>IF('Extraction edi'!B456="","",'Extraction edi'!B456)</f>
        <v/>
      </c>
      <c r="D446" s="1" t="str">
        <f>IF('Extraction edi'!H456="","",'Extraction edi'!H456)</f>
        <v/>
      </c>
      <c r="E446" s="1" t="str">
        <f>IF('Extraction edi'!I456="","",'Extraction edi'!I456)</f>
        <v/>
      </c>
      <c r="F446" t="str">
        <f>IF('Extraction edi'!K456="","",'Extraction edi'!K456)</f>
        <v/>
      </c>
      <c r="G446" t="str">
        <f>IF('Extraction edi'!L449="","",'Extraction edi'!L449)</f>
        <v/>
      </c>
      <c r="H446" t="str">
        <f>IF('Extraction edi'!M449="","",'Extraction edi'!M449)</f>
        <v/>
      </c>
      <c r="I446" s="1" t="str">
        <f>IF('Extraction edi'!N456="","",'Extraction edi'!N456)</f>
        <v/>
      </c>
      <c r="J446" s="1" t="str">
        <f>IF('Extraction edi'!O456="","",'Extraction edi'!O456)</f>
        <v/>
      </c>
      <c r="K446" s="1" t="str">
        <f>IF('Extraction edi'!P456="","",'Extraction edi'!P456)</f>
        <v/>
      </c>
      <c r="L446" s="1" t="str">
        <f>IF('Extraction edi'!Q456="laquage RAL :","OUI","")</f>
        <v/>
      </c>
      <c r="M446" s="1" t="str">
        <f>IF('Extraction edi'!R456&lt;&gt;"",'Extraction edi'!R456,IF(G446="ALU blanc","S9016",""))</f>
        <v/>
      </c>
      <c r="N446" s="1" t="str">
        <f>IF('Extraction edi'!S456&lt;&gt;"",'Extraction edi'!S456,IF(G446="ALU blanc","S9016",""))</f>
        <v/>
      </c>
      <c r="O446" s="11" t="str">
        <f>IF('Extraction edi'!V456&lt;'Feuille commande'!$E$1,"DELAI NON COMPATIBLE",IF('Extraction edi'!V456="","",WORKDAY('Extraction edi'!V456,-10,Paramètrage!$G$2:$G$104)))</f>
        <v/>
      </c>
      <c r="P446" s="1" t="e">
        <f t="shared" ref="P446:P509" si="7">WEEKDAY(O446,2)</f>
        <v>#VALUE!</v>
      </c>
    </row>
    <row r="447" spans="1:16" x14ac:dyDescent="0.25">
      <c r="A447" s="1" t="str">
        <f>IF(B447="","",CONCATENATE(B447,".",C447,"/Pos ",D447,"/",'Extraction edi'!G457))</f>
        <v/>
      </c>
      <c r="B447" s="1" t="str">
        <f>IF('Extraction edi'!A457="","",'Extraction edi'!A457)</f>
        <v/>
      </c>
      <c r="C447" s="1" t="str">
        <f>IF('Extraction edi'!B457="","",'Extraction edi'!B457)</f>
        <v/>
      </c>
      <c r="D447" s="1" t="str">
        <f>IF('Extraction edi'!H457="","",'Extraction edi'!H457)</f>
        <v/>
      </c>
      <c r="E447" s="1" t="str">
        <f>IF('Extraction edi'!I457="","",'Extraction edi'!I457)</f>
        <v/>
      </c>
      <c r="F447" t="str">
        <f>IF('Extraction edi'!K457="","",'Extraction edi'!K457)</f>
        <v/>
      </c>
      <c r="G447" t="str">
        <f>IF('Extraction edi'!L450="","",'Extraction edi'!L450)</f>
        <v/>
      </c>
      <c r="H447" t="str">
        <f>IF('Extraction edi'!M450="","",'Extraction edi'!M450)</f>
        <v/>
      </c>
      <c r="I447" s="1" t="str">
        <f>IF('Extraction edi'!N457="","",'Extraction edi'!N457)</f>
        <v/>
      </c>
      <c r="J447" s="1" t="str">
        <f>IF('Extraction edi'!O457="","",'Extraction edi'!O457)</f>
        <v/>
      </c>
      <c r="K447" s="1" t="str">
        <f>IF('Extraction edi'!P457="","",'Extraction edi'!P457)</f>
        <v/>
      </c>
      <c r="L447" s="1" t="str">
        <f>IF('Extraction edi'!Q457="laquage RAL :","OUI","")</f>
        <v/>
      </c>
      <c r="M447" s="1" t="str">
        <f>IF('Extraction edi'!R457&lt;&gt;"",'Extraction edi'!R457,IF(G447="ALU blanc","S9016",""))</f>
        <v/>
      </c>
      <c r="N447" s="1" t="str">
        <f>IF('Extraction edi'!S457&lt;&gt;"",'Extraction edi'!S457,IF(G447="ALU blanc","S9016",""))</f>
        <v/>
      </c>
      <c r="O447" s="11" t="str">
        <f>IF('Extraction edi'!V457&lt;'Feuille commande'!$E$1,"DELAI NON COMPATIBLE",IF('Extraction edi'!V457="","",WORKDAY('Extraction edi'!V457,-10,Paramètrage!$G$2:$G$104)))</f>
        <v/>
      </c>
      <c r="P447" s="1" t="e">
        <f t="shared" si="7"/>
        <v>#VALUE!</v>
      </c>
    </row>
    <row r="448" spans="1:16" x14ac:dyDescent="0.25">
      <c r="A448" s="1" t="str">
        <f>IF(B448="","",CONCATENATE(B448,".",C448,"/Pos ",D448,"/",'Extraction edi'!G458))</f>
        <v/>
      </c>
      <c r="B448" s="1" t="str">
        <f>IF('Extraction edi'!A458="","",'Extraction edi'!A458)</f>
        <v/>
      </c>
      <c r="C448" s="1" t="str">
        <f>IF('Extraction edi'!B458="","",'Extraction edi'!B458)</f>
        <v/>
      </c>
      <c r="D448" s="1" t="str">
        <f>IF('Extraction edi'!H458="","",'Extraction edi'!H458)</f>
        <v/>
      </c>
      <c r="E448" s="1" t="str">
        <f>IF('Extraction edi'!I458="","",'Extraction edi'!I458)</f>
        <v/>
      </c>
      <c r="F448" t="str">
        <f>IF('Extraction edi'!K458="","",'Extraction edi'!K458)</f>
        <v/>
      </c>
      <c r="G448" t="str">
        <f>IF('Extraction edi'!L451="","",'Extraction edi'!L451)</f>
        <v/>
      </c>
      <c r="H448" t="str">
        <f>IF('Extraction edi'!M451="","",'Extraction edi'!M451)</f>
        <v/>
      </c>
      <c r="I448" s="1" t="str">
        <f>IF('Extraction edi'!N458="","",'Extraction edi'!N458)</f>
        <v/>
      </c>
      <c r="J448" s="1" t="str">
        <f>IF('Extraction edi'!O458="","",'Extraction edi'!O458)</f>
        <v/>
      </c>
      <c r="K448" s="1" t="str">
        <f>IF('Extraction edi'!P458="","",'Extraction edi'!P458)</f>
        <v/>
      </c>
      <c r="L448" s="1" t="str">
        <f>IF('Extraction edi'!Q458="laquage RAL :","OUI","")</f>
        <v/>
      </c>
      <c r="M448" s="1" t="str">
        <f>IF('Extraction edi'!R458&lt;&gt;"",'Extraction edi'!R458,IF(G448="ALU blanc","S9016",""))</f>
        <v/>
      </c>
      <c r="N448" s="1" t="str">
        <f>IF('Extraction edi'!S458&lt;&gt;"",'Extraction edi'!S458,IF(G448="ALU blanc","S9016",""))</f>
        <v/>
      </c>
      <c r="O448" s="11" t="str">
        <f>IF('Extraction edi'!V458&lt;'Feuille commande'!$E$1,"DELAI NON COMPATIBLE",IF('Extraction edi'!V458="","",WORKDAY('Extraction edi'!V458,-10,Paramètrage!$G$2:$G$104)))</f>
        <v/>
      </c>
      <c r="P448" s="1" t="e">
        <f t="shared" si="7"/>
        <v>#VALUE!</v>
      </c>
    </row>
    <row r="449" spans="1:16" x14ac:dyDescent="0.25">
      <c r="A449" s="1" t="str">
        <f>IF(B449="","",CONCATENATE(B449,".",C449,"/Pos ",D449,"/",'Extraction edi'!G459))</f>
        <v/>
      </c>
      <c r="B449" s="1" t="str">
        <f>IF('Extraction edi'!A459="","",'Extraction edi'!A459)</f>
        <v/>
      </c>
      <c r="C449" s="1" t="str">
        <f>IF('Extraction edi'!B459="","",'Extraction edi'!B459)</f>
        <v/>
      </c>
      <c r="D449" s="1" t="str">
        <f>IF('Extraction edi'!H459="","",'Extraction edi'!H459)</f>
        <v/>
      </c>
      <c r="E449" s="1" t="str">
        <f>IF('Extraction edi'!I459="","",'Extraction edi'!I459)</f>
        <v/>
      </c>
      <c r="F449" t="str">
        <f>IF('Extraction edi'!K459="","",'Extraction edi'!K459)</f>
        <v/>
      </c>
      <c r="G449" t="str">
        <f>IF('Extraction edi'!L452="","",'Extraction edi'!L452)</f>
        <v/>
      </c>
      <c r="H449" t="str">
        <f>IF('Extraction edi'!M452="","",'Extraction edi'!M452)</f>
        <v/>
      </c>
      <c r="I449" s="1" t="str">
        <f>IF('Extraction edi'!N459="","",'Extraction edi'!N459)</f>
        <v/>
      </c>
      <c r="J449" s="1" t="str">
        <f>IF('Extraction edi'!O459="","",'Extraction edi'!O459)</f>
        <v/>
      </c>
      <c r="K449" s="1" t="str">
        <f>IF('Extraction edi'!P459="","",'Extraction edi'!P459)</f>
        <v/>
      </c>
      <c r="L449" s="1" t="str">
        <f>IF('Extraction edi'!Q459="laquage RAL :","OUI","")</f>
        <v/>
      </c>
      <c r="M449" s="1" t="str">
        <f>IF('Extraction edi'!R459&lt;&gt;"",'Extraction edi'!R459,IF(G449="ALU blanc","S9016",""))</f>
        <v/>
      </c>
      <c r="N449" s="1" t="str">
        <f>IF('Extraction edi'!S459&lt;&gt;"",'Extraction edi'!S459,IF(G449="ALU blanc","S9016",""))</f>
        <v/>
      </c>
      <c r="O449" s="11" t="str">
        <f>IF('Extraction edi'!V459&lt;'Feuille commande'!$E$1,"DELAI NON COMPATIBLE",IF('Extraction edi'!V459="","",WORKDAY('Extraction edi'!V459,-10,Paramètrage!$G$2:$G$104)))</f>
        <v/>
      </c>
      <c r="P449" s="1" t="e">
        <f t="shared" si="7"/>
        <v>#VALUE!</v>
      </c>
    </row>
    <row r="450" spans="1:16" x14ac:dyDescent="0.25">
      <c r="A450" s="1" t="str">
        <f>IF(B450="","",CONCATENATE(B450,".",C450,"/Pos ",D450,"/",'Extraction edi'!G460))</f>
        <v/>
      </c>
      <c r="B450" s="1" t="str">
        <f>IF('Extraction edi'!A460="","",'Extraction edi'!A460)</f>
        <v/>
      </c>
      <c r="C450" s="1" t="str">
        <f>IF('Extraction edi'!B460="","",'Extraction edi'!B460)</f>
        <v/>
      </c>
      <c r="D450" s="1" t="str">
        <f>IF('Extraction edi'!H460="","",'Extraction edi'!H460)</f>
        <v/>
      </c>
      <c r="E450" s="1" t="str">
        <f>IF('Extraction edi'!I460="","",'Extraction edi'!I460)</f>
        <v/>
      </c>
      <c r="F450" t="str">
        <f>IF('Extraction edi'!K460="","",'Extraction edi'!K460)</f>
        <v/>
      </c>
      <c r="G450" t="str">
        <f>IF('Extraction edi'!L453="","",'Extraction edi'!L453)</f>
        <v/>
      </c>
      <c r="H450" t="str">
        <f>IF('Extraction edi'!M453="","",'Extraction edi'!M453)</f>
        <v/>
      </c>
      <c r="I450" s="1" t="str">
        <f>IF('Extraction edi'!N460="","",'Extraction edi'!N460)</f>
        <v/>
      </c>
      <c r="J450" s="1" t="str">
        <f>IF('Extraction edi'!O460="","",'Extraction edi'!O460)</f>
        <v/>
      </c>
      <c r="K450" s="1" t="str">
        <f>IF('Extraction edi'!P460="","",'Extraction edi'!P460)</f>
        <v/>
      </c>
      <c r="L450" s="1" t="str">
        <f>IF('Extraction edi'!Q460="laquage RAL :","OUI","")</f>
        <v/>
      </c>
      <c r="M450" s="1" t="str">
        <f>IF('Extraction edi'!R460&lt;&gt;"",'Extraction edi'!R460,IF(G450="ALU blanc","S9016",""))</f>
        <v/>
      </c>
      <c r="N450" s="1" t="str">
        <f>IF('Extraction edi'!S460&lt;&gt;"",'Extraction edi'!S460,IF(G450="ALU blanc","S9016",""))</f>
        <v/>
      </c>
      <c r="O450" s="11" t="str">
        <f>IF('Extraction edi'!V460&lt;'Feuille commande'!$E$1,"DELAI NON COMPATIBLE",IF('Extraction edi'!V460="","",WORKDAY('Extraction edi'!V460,-10,Paramètrage!$G$2:$G$104)))</f>
        <v/>
      </c>
      <c r="P450" s="1" t="e">
        <f t="shared" si="7"/>
        <v>#VALUE!</v>
      </c>
    </row>
    <row r="451" spans="1:16" x14ac:dyDescent="0.25">
      <c r="A451" s="1" t="str">
        <f>IF(B451="","",CONCATENATE(B451,".",C451,"/Pos ",D451,"/",'Extraction edi'!G461))</f>
        <v/>
      </c>
      <c r="B451" s="1" t="str">
        <f>IF('Extraction edi'!A461="","",'Extraction edi'!A461)</f>
        <v/>
      </c>
      <c r="C451" s="1" t="str">
        <f>IF('Extraction edi'!B461="","",'Extraction edi'!B461)</f>
        <v/>
      </c>
      <c r="D451" s="1" t="str">
        <f>IF('Extraction edi'!H461="","",'Extraction edi'!H461)</f>
        <v/>
      </c>
      <c r="E451" s="1" t="str">
        <f>IF('Extraction edi'!I461="","",'Extraction edi'!I461)</f>
        <v/>
      </c>
      <c r="F451" t="str">
        <f>IF('Extraction edi'!K461="","",'Extraction edi'!K461)</f>
        <v/>
      </c>
      <c r="G451" t="str">
        <f>IF('Extraction edi'!L454="","",'Extraction edi'!L454)</f>
        <v/>
      </c>
      <c r="H451" t="str">
        <f>IF('Extraction edi'!M454="","",'Extraction edi'!M454)</f>
        <v/>
      </c>
      <c r="I451" s="1" t="str">
        <f>IF('Extraction edi'!N461="","",'Extraction edi'!N461)</f>
        <v/>
      </c>
      <c r="J451" s="1" t="str">
        <f>IF('Extraction edi'!O461="","",'Extraction edi'!O461)</f>
        <v/>
      </c>
      <c r="K451" s="1" t="str">
        <f>IF('Extraction edi'!P461="","",'Extraction edi'!P461)</f>
        <v/>
      </c>
      <c r="L451" s="1" t="str">
        <f>IF('Extraction edi'!Q461="laquage RAL :","OUI","")</f>
        <v/>
      </c>
      <c r="M451" s="1" t="str">
        <f>IF('Extraction edi'!R461&lt;&gt;"",'Extraction edi'!R461,IF(G451="ALU blanc","S9016",""))</f>
        <v/>
      </c>
      <c r="N451" s="1" t="str">
        <f>IF('Extraction edi'!S461&lt;&gt;"",'Extraction edi'!S461,IF(G451="ALU blanc","S9016",""))</f>
        <v/>
      </c>
      <c r="O451" s="11" t="str">
        <f>IF('Extraction edi'!V461&lt;'Feuille commande'!$E$1,"DELAI NON COMPATIBLE",IF('Extraction edi'!V461="","",WORKDAY('Extraction edi'!V461,-10,Paramètrage!$G$2:$G$104)))</f>
        <v/>
      </c>
      <c r="P451" s="1" t="e">
        <f t="shared" si="7"/>
        <v>#VALUE!</v>
      </c>
    </row>
    <row r="452" spans="1:16" x14ac:dyDescent="0.25">
      <c r="A452" s="1" t="str">
        <f>IF(B452="","",CONCATENATE(B452,".",C452,"/Pos ",D452,"/",'Extraction edi'!G462))</f>
        <v/>
      </c>
      <c r="B452" s="1" t="str">
        <f>IF('Extraction edi'!A462="","",'Extraction edi'!A462)</f>
        <v/>
      </c>
      <c r="C452" s="1" t="str">
        <f>IF('Extraction edi'!B462="","",'Extraction edi'!B462)</f>
        <v/>
      </c>
      <c r="D452" s="1" t="str">
        <f>IF('Extraction edi'!H462="","",'Extraction edi'!H462)</f>
        <v/>
      </c>
      <c r="E452" s="1" t="str">
        <f>IF('Extraction edi'!I462="","",'Extraction edi'!I462)</f>
        <v/>
      </c>
      <c r="F452" t="str">
        <f>IF('Extraction edi'!K462="","",'Extraction edi'!K462)</f>
        <v/>
      </c>
      <c r="G452" t="str">
        <f>IF('Extraction edi'!L455="","",'Extraction edi'!L455)</f>
        <v/>
      </c>
      <c r="H452" t="str">
        <f>IF('Extraction edi'!M455="","",'Extraction edi'!M455)</f>
        <v/>
      </c>
      <c r="I452" s="1" t="str">
        <f>IF('Extraction edi'!N462="","",'Extraction edi'!N462)</f>
        <v/>
      </c>
      <c r="J452" s="1" t="str">
        <f>IF('Extraction edi'!O462="","",'Extraction edi'!O462)</f>
        <v/>
      </c>
      <c r="K452" s="1" t="str">
        <f>IF('Extraction edi'!P462="","",'Extraction edi'!P462)</f>
        <v/>
      </c>
      <c r="L452" s="1" t="str">
        <f>IF('Extraction edi'!Q462="laquage RAL :","OUI","")</f>
        <v/>
      </c>
      <c r="M452" s="1" t="str">
        <f>IF('Extraction edi'!R462&lt;&gt;"",'Extraction edi'!R462,IF(G452="ALU blanc","S9016",""))</f>
        <v/>
      </c>
      <c r="N452" s="1" t="str">
        <f>IF('Extraction edi'!S462&lt;&gt;"",'Extraction edi'!S462,IF(G452="ALU blanc","S9016",""))</f>
        <v/>
      </c>
      <c r="O452" s="11" t="str">
        <f>IF('Extraction edi'!V462&lt;'Feuille commande'!$E$1,"DELAI NON COMPATIBLE",IF('Extraction edi'!V462="","",WORKDAY('Extraction edi'!V462,-10,Paramètrage!$G$2:$G$104)))</f>
        <v/>
      </c>
      <c r="P452" s="1" t="e">
        <f t="shared" si="7"/>
        <v>#VALUE!</v>
      </c>
    </row>
    <row r="453" spans="1:16" x14ac:dyDescent="0.25">
      <c r="A453" s="1" t="str">
        <f>IF(B453="","",CONCATENATE(B453,".",C453,"/Pos ",D453,"/",'Extraction edi'!G463))</f>
        <v/>
      </c>
      <c r="B453" s="1" t="str">
        <f>IF('Extraction edi'!A463="","",'Extraction edi'!A463)</f>
        <v/>
      </c>
      <c r="C453" s="1" t="str">
        <f>IF('Extraction edi'!B463="","",'Extraction edi'!B463)</f>
        <v/>
      </c>
      <c r="D453" s="1" t="str">
        <f>IF('Extraction edi'!H463="","",'Extraction edi'!H463)</f>
        <v/>
      </c>
      <c r="E453" s="1" t="str">
        <f>IF('Extraction edi'!I463="","",'Extraction edi'!I463)</f>
        <v/>
      </c>
      <c r="F453" t="str">
        <f>IF('Extraction edi'!K463="","",'Extraction edi'!K463)</f>
        <v/>
      </c>
      <c r="G453" t="str">
        <f>IF('Extraction edi'!L456="","",'Extraction edi'!L456)</f>
        <v/>
      </c>
      <c r="H453" t="str">
        <f>IF('Extraction edi'!M456="","",'Extraction edi'!M456)</f>
        <v/>
      </c>
      <c r="I453" s="1" t="str">
        <f>IF('Extraction edi'!N463="","",'Extraction edi'!N463)</f>
        <v/>
      </c>
      <c r="J453" s="1" t="str">
        <f>IF('Extraction edi'!O463="","",'Extraction edi'!O463)</f>
        <v/>
      </c>
      <c r="K453" s="1" t="str">
        <f>IF('Extraction edi'!P463="","",'Extraction edi'!P463)</f>
        <v/>
      </c>
      <c r="L453" s="1" t="str">
        <f>IF('Extraction edi'!Q463="laquage RAL :","OUI","")</f>
        <v/>
      </c>
      <c r="M453" s="1" t="str">
        <f>IF('Extraction edi'!R463&lt;&gt;"",'Extraction edi'!R463,IF(G453="ALU blanc","S9016",""))</f>
        <v/>
      </c>
      <c r="N453" s="1" t="str">
        <f>IF('Extraction edi'!S463&lt;&gt;"",'Extraction edi'!S463,IF(G453="ALU blanc","S9016",""))</f>
        <v/>
      </c>
      <c r="O453" s="11" t="str">
        <f>IF('Extraction edi'!V463&lt;'Feuille commande'!$E$1,"DELAI NON COMPATIBLE",IF('Extraction edi'!V463="","",WORKDAY('Extraction edi'!V463,-10,Paramètrage!$G$2:$G$104)))</f>
        <v/>
      </c>
      <c r="P453" s="1" t="e">
        <f t="shared" si="7"/>
        <v>#VALUE!</v>
      </c>
    </row>
    <row r="454" spans="1:16" x14ac:dyDescent="0.25">
      <c r="A454" s="1" t="str">
        <f>IF(B454="","",CONCATENATE(B454,".",C454,"/Pos ",D454,"/",'Extraction edi'!G464))</f>
        <v/>
      </c>
      <c r="B454" s="1" t="str">
        <f>IF('Extraction edi'!A464="","",'Extraction edi'!A464)</f>
        <v/>
      </c>
      <c r="C454" s="1" t="str">
        <f>IF('Extraction edi'!B464="","",'Extraction edi'!B464)</f>
        <v/>
      </c>
      <c r="D454" s="1" t="str">
        <f>IF('Extraction edi'!H464="","",'Extraction edi'!H464)</f>
        <v/>
      </c>
      <c r="E454" s="1" t="str">
        <f>IF('Extraction edi'!I464="","",'Extraction edi'!I464)</f>
        <v/>
      </c>
      <c r="F454" t="str">
        <f>IF('Extraction edi'!K464="","",'Extraction edi'!K464)</f>
        <v/>
      </c>
      <c r="G454" t="str">
        <f>IF('Extraction edi'!L457="","",'Extraction edi'!L457)</f>
        <v/>
      </c>
      <c r="H454" t="str">
        <f>IF('Extraction edi'!M457="","",'Extraction edi'!M457)</f>
        <v/>
      </c>
      <c r="I454" s="1" t="str">
        <f>IF('Extraction edi'!N464="","",'Extraction edi'!N464)</f>
        <v/>
      </c>
      <c r="J454" s="1" t="str">
        <f>IF('Extraction edi'!O464="","",'Extraction edi'!O464)</f>
        <v/>
      </c>
      <c r="K454" s="1" t="str">
        <f>IF('Extraction edi'!P464="","",'Extraction edi'!P464)</f>
        <v/>
      </c>
      <c r="L454" s="1" t="str">
        <f>IF('Extraction edi'!Q464="laquage RAL :","OUI","")</f>
        <v/>
      </c>
      <c r="M454" s="1" t="str">
        <f>IF('Extraction edi'!R464&lt;&gt;"",'Extraction edi'!R464,IF(G454="ALU blanc","S9016",""))</f>
        <v/>
      </c>
      <c r="N454" s="1" t="str">
        <f>IF('Extraction edi'!S464&lt;&gt;"",'Extraction edi'!S464,IF(G454="ALU blanc","S9016",""))</f>
        <v/>
      </c>
      <c r="O454" s="11" t="str">
        <f>IF('Extraction edi'!V464&lt;'Feuille commande'!$E$1,"DELAI NON COMPATIBLE",IF('Extraction edi'!V464="","",WORKDAY('Extraction edi'!V464,-10,Paramètrage!$G$2:$G$104)))</f>
        <v/>
      </c>
      <c r="P454" s="1" t="e">
        <f t="shared" si="7"/>
        <v>#VALUE!</v>
      </c>
    </row>
    <row r="455" spans="1:16" x14ac:dyDescent="0.25">
      <c r="A455" s="1" t="str">
        <f>IF(B455="","",CONCATENATE(B455,".",C455,"/Pos ",D455,"/",'Extraction edi'!G465))</f>
        <v/>
      </c>
      <c r="B455" s="1" t="str">
        <f>IF('Extraction edi'!A465="","",'Extraction edi'!A465)</f>
        <v/>
      </c>
      <c r="C455" s="1" t="str">
        <f>IF('Extraction edi'!B465="","",'Extraction edi'!B465)</f>
        <v/>
      </c>
      <c r="D455" s="1" t="str">
        <f>IF('Extraction edi'!H465="","",'Extraction edi'!H465)</f>
        <v/>
      </c>
      <c r="E455" s="1" t="str">
        <f>IF('Extraction edi'!I465="","",'Extraction edi'!I465)</f>
        <v/>
      </c>
      <c r="F455" t="str">
        <f>IF('Extraction edi'!K465="","",'Extraction edi'!K465)</f>
        <v/>
      </c>
      <c r="G455" t="str">
        <f>IF('Extraction edi'!L458="","",'Extraction edi'!L458)</f>
        <v/>
      </c>
      <c r="H455" t="str">
        <f>IF('Extraction edi'!M458="","",'Extraction edi'!M458)</f>
        <v/>
      </c>
      <c r="I455" s="1" t="str">
        <f>IF('Extraction edi'!N465="","",'Extraction edi'!N465)</f>
        <v/>
      </c>
      <c r="J455" s="1" t="str">
        <f>IF('Extraction edi'!O465="","",'Extraction edi'!O465)</f>
        <v/>
      </c>
      <c r="K455" s="1" t="str">
        <f>IF('Extraction edi'!P465="","",'Extraction edi'!P465)</f>
        <v/>
      </c>
      <c r="L455" s="1" t="str">
        <f>IF('Extraction edi'!Q465="laquage RAL :","OUI","")</f>
        <v/>
      </c>
      <c r="M455" s="1" t="str">
        <f>IF('Extraction edi'!R465&lt;&gt;"",'Extraction edi'!R465,IF(G455="ALU blanc","S9016",""))</f>
        <v/>
      </c>
      <c r="N455" s="1" t="str">
        <f>IF('Extraction edi'!S465&lt;&gt;"",'Extraction edi'!S465,IF(G455="ALU blanc","S9016",""))</f>
        <v/>
      </c>
      <c r="O455" s="11" t="str">
        <f>IF('Extraction edi'!V465&lt;'Feuille commande'!$E$1,"DELAI NON COMPATIBLE",IF('Extraction edi'!V465="","",WORKDAY('Extraction edi'!V465,-10,Paramètrage!$G$2:$G$104)))</f>
        <v/>
      </c>
      <c r="P455" s="1" t="e">
        <f t="shared" si="7"/>
        <v>#VALUE!</v>
      </c>
    </row>
    <row r="456" spans="1:16" x14ac:dyDescent="0.25">
      <c r="A456" s="1" t="str">
        <f>IF(B456="","",CONCATENATE(B456,".",C456,"/Pos ",D456,"/",'Extraction edi'!G466))</f>
        <v/>
      </c>
      <c r="B456" s="1" t="str">
        <f>IF('Extraction edi'!A466="","",'Extraction edi'!A466)</f>
        <v/>
      </c>
      <c r="C456" s="1" t="str">
        <f>IF('Extraction edi'!B466="","",'Extraction edi'!B466)</f>
        <v/>
      </c>
      <c r="D456" s="1" t="str">
        <f>IF('Extraction edi'!H466="","",'Extraction edi'!H466)</f>
        <v/>
      </c>
      <c r="E456" s="1" t="str">
        <f>IF('Extraction edi'!I466="","",'Extraction edi'!I466)</f>
        <v/>
      </c>
      <c r="F456" t="str">
        <f>IF('Extraction edi'!K466="","",'Extraction edi'!K466)</f>
        <v/>
      </c>
      <c r="G456" t="str">
        <f>IF('Extraction edi'!L459="","",'Extraction edi'!L459)</f>
        <v/>
      </c>
      <c r="H456" t="str">
        <f>IF('Extraction edi'!M459="","",'Extraction edi'!M459)</f>
        <v/>
      </c>
      <c r="I456" s="1" t="str">
        <f>IF('Extraction edi'!N466="","",'Extraction edi'!N466)</f>
        <v/>
      </c>
      <c r="J456" s="1" t="str">
        <f>IF('Extraction edi'!O466="","",'Extraction edi'!O466)</f>
        <v/>
      </c>
      <c r="K456" s="1" t="str">
        <f>IF('Extraction edi'!P466="","",'Extraction edi'!P466)</f>
        <v/>
      </c>
      <c r="L456" s="1" t="str">
        <f>IF('Extraction edi'!Q466="laquage RAL :","OUI","")</f>
        <v/>
      </c>
      <c r="M456" s="1" t="str">
        <f>IF('Extraction edi'!R466&lt;&gt;"",'Extraction edi'!R466,IF(G456="ALU blanc","S9016",""))</f>
        <v/>
      </c>
      <c r="N456" s="1" t="str">
        <f>IF('Extraction edi'!S466&lt;&gt;"",'Extraction edi'!S466,IF(G456="ALU blanc","S9016",""))</f>
        <v/>
      </c>
      <c r="O456" s="11" t="str">
        <f>IF('Extraction edi'!V466&lt;'Feuille commande'!$E$1,"DELAI NON COMPATIBLE",IF('Extraction edi'!V466="","",WORKDAY('Extraction edi'!V466,-10,Paramètrage!$G$2:$G$104)))</f>
        <v/>
      </c>
      <c r="P456" s="1" t="e">
        <f t="shared" si="7"/>
        <v>#VALUE!</v>
      </c>
    </row>
    <row r="457" spans="1:16" x14ac:dyDescent="0.25">
      <c r="A457" s="1" t="str">
        <f>IF(B457="","",CONCATENATE(B457,".",C457,"/Pos ",D457,"/",'Extraction edi'!G467))</f>
        <v/>
      </c>
      <c r="B457" s="1" t="str">
        <f>IF('Extraction edi'!A467="","",'Extraction edi'!A467)</f>
        <v/>
      </c>
      <c r="C457" s="1" t="str">
        <f>IF('Extraction edi'!B467="","",'Extraction edi'!B467)</f>
        <v/>
      </c>
      <c r="D457" s="1" t="str">
        <f>IF('Extraction edi'!H467="","",'Extraction edi'!H467)</f>
        <v/>
      </c>
      <c r="E457" s="1" t="str">
        <f>IF('Extraction edi'!I467="","",'Extraction edi'!I467)</f>
        <v/>
      </c>
      <c r="F457" t="str">
        <f>IF('Extraction edi'!K467="","",'Extraction edi'!K467)</f>
        <v/>
      </c>
      <c r="G457" t="str">
        <f>IF('Extraction edi'!L460="","",'Extraction edi'!L460)</f>
        <v/>
      </c>
      <c r="H457" t="str">
        <f>IF('Extraction edi'!M460="","",'Extraction edi'!M460)</f>
        <v/>
      </c>
      <c r="I457" s="1" t="str">
        <f>IF('Extraction edi'!N467="","",'Extraction edi'!N467)</f>
        <v/>
      </c>
      <c r="J457" s="1" t="str">
        <f>IF('Extraction edi'!O467="","",'Extraction edi'!O467)</f>
        <v/>
      </c>
      <c r="K457" s="1" t="str">
        <f>IF('Extraction edi'!P467="","",'Extraction edi'!P467)</f>
        <v/>
      </c>
      <c r="L457" s="1" t="str">
        <f>IF('Extraction edi'!Q467="laquage RAL :","OUI","")</f>
        <v/>
      </c>
      <c r="M457" s="1" t="str">
        <f>IF('Extraction edi'!R467&lt;&gt;"",'Extraction edi'!R467,IF(G457="ALU blanc","S9016",""))</f>
        <v/>
      </c>
      <c r="N457" s="1" t="str">
        <f>IF('Extraction edi'!S467&lt;&gt;"",'Extraction edi'!S467,IF(G457="ALU blanc","S9016",""))</f>
        <v/>
      </c>
      <c r="O457" s="11" t="str">
        <f>IF('Extraction edi'!V467&lt;'Feuille commande'!$E$1,"DELAI NON COMPATIBLE",IF('Extraction edi'!V467="","",WORKDAY('Extraction edi'!V467,-10,Paramètrage!$G$2:$G$104)))</f>
        <v/>
      </c>
      <c r="P457" s="1" t="e">
        <f t="shared" si="7"/>
        <v>#VALUE!</v>
      </c>
    </row>
    <row r="458" spans="1:16" x14ac:dyDescent="0.25">
      <c r="A458" s="1" t="str">
        <f>IF(B458="","",CONCATENATE(B458,".",C458,"/Pos ",D458,"/",'Extraction edi'!G468))</f>
        <v/>
      </c>
      <c r="B458" s="1" t="str">
        <f>IF('Extraction edi'!A468="","",'Extraction edi'!A468)</f>
        <v/>
      </c>
      <c r="C458" s="1" t="str">
        <f>IF('Extraction edi'!B468="","",'Extraction edi'!B468)</f>
        <v/>
      </c>
      <c r="D458" s="1" t="str">
        <f>IF('Extraction edi'!H468="","",'Extraction edi'!H468)</f>
        <v/>
      </c>
      <c r="E458" s="1" t="str">
        <f>IF('Extraction edi'!I468="","",'Extraction edi'!I468)</f>
        <v/>
      </c>
      <c r="F458" t="str">
        <f>IF('Extraction edi'!K468="","",'Extraction edi'!K468)</f>
        <v/>
      </c>
      <c r="G458" t="str">
        <f>IF('Extraction edi'!L461="","",'Extraction edi'!L461)</f>
        <v/>
      </c>
      <c r="H458" t="str">
        <f>IF('Extraction edi'!M461="","",'Extraction edi'!M461)</f>
        <v/>
      </c>
      <c r="I458" s="1" t="str">
        <f>IF('Extraction edi'!N468="","",'Extraction edi'!N468)</f>
        <v/>
      </c>
      <c r="J458" s="1" t="str">
        <f>IF('Extraction edi'!O468="","",'Extraction edi'!O468)</f>
        <v/>
      </c>
      <c r="K458" s="1" t="str">
        <f>IF('Extraction edi'!P468="","",'Extraction edi'!P468)</f>
        <v/>
      </c>
      <c r="L458" s="1" t="str">
        <f>IF('Extraction edi'!Q468="laquage RAL :","OUI","")</f>
        <v/>
      </c>
      <c r="M458" s="1" t="str">
        <f>IF('Extraction edi'!R468&lt;&gt;"",'Extraction edi'!R468,IF(G458="ALU blanc","S9016",""))</f>
        <v/>
      </c>
      <c r="N458" s="1" t="str">
        <f>IF('Extraction edi'!S468&lt;&gt;"",'Extraction edi'!S468,IF(G458="ALU blanc","S9016",""))</f>
        <v/>
      </c>
      <c r="O458" s="11" t="str">
        <f>IF('Extraction edi'!V468&lt;'Feuille commande'!$E$1,"DELAI NON COMPATIBLE",IF('Extraction edi'!V468="","",WORKDAY('Extraction edi'!V468,-10,Paramètrage!$G$2:$G$104)))</f>
        <v/>
      </c>
      <c r="P458" s="1" t="e">
        <f t="shared" si="7"/>
        <v>#VALUE!</v>
      </c>
    </row>
    <row r="459" spans="1:16" x14ac:dyDescent="0.25">
      <c r="A459" s="1" t="str">
        <f>IF(B459="","",CONCATENATE(B459,".",C459,"/Pos ",D459,"/",'Extraction edi'!G469))</f>
        <v/>
      </c>
      <c r="B459" s="1" t="str">
        <f>IF('Extraction edi'!A469="","",'Extraction edi'!A469)</f>
        <v/>
      </c>
      <c r="C459" s="1" t="str">
        <f>IF('Extraction edi'!B469="","",'Extraction edi'!B469)</f>
        <v/>
      </c>
      <c r="D459" s="1" t="str">
        <f>IF('Extraction edi'!H469="","",'Extraction edi'!H469)</f>
        <v/>
      </c>
      <c r="E459" s="1" t="str">
        <f>IF('Extraction edi'!I469="","",'Extraction edi'!I469)</f>
        <v/>
      </c>
      <c r="F459" t="str">
        <f>IF('Extraction edi'!K469="","",'Extraction edi'!K469)</f>
        <v/>
      </c>
      <c r="G459" t="str">
        <f>IF('Extraction edi'!L462="","",'Extraction edi'!L462)</f>
        <v/>
      </c>
      <c r="H459" t="str">
        <f>IF('Extraction edi'!M462="","",'Extraction edi'!M462)</f>
        <v/>
      </c>
      <c r="I459" s="1" t="str">
        <f>IF('Extraction edi'!N469="","",'Extraction edi'!N469)</f>
        <v/>
      </c>
      <c r="J459" s="1" t="str">
        <f>IF('Extraction edi'!O469="","",'Extraction edi'!O469)</f>
        <v/>
      </c>
      <c r="K459" s="1" t="str">
        <f>IF('Extraction edi'!P469="","",'Extraction edi'!P469)</f>
        <v/>
      </c>
      <c r="L459" s="1" t="str">
        <f>IF('Extraction edi'!Q469="laquage RAL :","OUI","")</f>
        <v/>
      </c>
      <c r="M459" s="1" t="str">
        <f>IF('Extraction edi'!R469&lt;&gt;"",'Extraction edi'!R469,IF(G459="ALU blanc","S9016",""))</f>
        <v/>
      </c>
      <c r="N459" s="1" t="str">
        <f>IF('Extraction edi'!S469&lt;&gt;"",'Extraction edi'!S469,IF(G459="ALU blanc","S9016",""))</f>
        <v/>
      </c>
      <c r="O459" s="11" t="str">
        <f>IF('Extraction edi'!V469&lt;'Feuille commande'!$E$1,"DELAI NON COMPATIBLE",IF('Extraction edi'!V469="","",WORKDAY('Extraction edi'!V469,-10,Paramètrage!$G$2:$G$104)))</f>
        <v/>
      </c>
      <c r="P459" s="1" t="e">
        <f t="shared" si="7"/>
        <v>#VALUE!</v>
      </c>
    </row>
    <row r="460" spans="1:16" x14ac:dyDescent="0.25">
      <c r="A460" s="1" t="str">
        <f>IF(B460="","",CONCATENATE(B460,".",C460,"/Pos ",D460,"/",'Extraction edi'!G470))</f>
        <v/>
      </c>
      <c r="B460" s="1" t="str">
        <f>IF('Extraction edi'!A470="","",'Extraction edi'!A470)</f>
        <v/>
      </c>
      <c r="C460" s="1" t="str">
        <f>IF('Extraction edi'!B470="","",'Extraction edi'!B470)</f>
        <v/>
      </c>
      <c r="D460" s="1" t="str">
        <f>IF('Extraction edi'!H470="","",'Extraction edi'!H470)</f>
        <v/>
      </c>
      <c r="E460" s="1" t="str">
        <f>IF('Extraction edi'!I470="","",'Extraction edi'!I470)</f>
        <v/>
      </c>
      <c r="F460" t="str">
        <f>IF('Extraction edi'!K470="","",'Extraction edi'!K470)</f>
        <v/>
      </c>
      <c r="G460" t="str">
        <f>IF('Extraction edi'!L463="","",'Extraction edi'!L463)</f>
        <v/>
      </c>
      <c r="H460" t="str">
        <f>IF('Extraction edi'!M463="","",'Extraction edi'!M463)</f>
        <v/>
      </c>
      <c r="I460" s="1" t="str">
        <f>IF('Extraction edi'!N470="","",'Extraction edi'!N470)</f>
        <v/>
      </c>
      <c r="J460" s="1" t="str">
        <f>IF('Extraction edi'!O470="","",'Extraction edi'!O470)</f>
        <v/>
      </c>
      <c r="K460" s="1" t="str">
        <f>IF('Extraction edi'!P470="","",'Extraction edi'!P470)</f>
        <v/>
      </c>
      <c r="L460" s="1" t="str">
        <f>IF('Extraction edi'!Q470="laquage RAL :","OUI","")</f>
        <v/>
      </c>
      <c r="M460" s="1" t="str">
        <f>IF('Extraction edi'!R470&lt;&gt;"",'Extraction edi'!R470,IF(G460="ALU blanc","S9016",""))</f>
        <v/>
      </c>
      <c r="N460" s="1" t="str">
        <f>IF('Extraction edi'!S470&lt;&gt;"",'Extraction edi'!S470,IF(G460="ALU blanc","S9016",""))</f>
        <v/>
      </c>
      <c r="O460" s="11" t="str">
        <f>IF('Extraction edi'!V470&lt;'Feuille commande'!$E$1,"DELAI NON COMPATIBLE",IF('Extraction edi'!V470="","",WORKDAY('Extraction edi'!V470,-10,Paramètrage!$G$2:$G$104)))</f>
        <v/>
      </c>
      <c r="P460" s="1" t="e">
        <f t="shared" si="7"/>
        <v>#VALUE!</v>
      </c>
    </row>
    <row r="461" spans="1:16" x14ac:dyDescent="0.25">
      <c r="A461" s="1" t="str">
        <f>IF(B461="","",CONCATENATE(B461,".",C461,"/Pos ",D461,"/",'Extraction edi'!G471))</f>
        <v/>
      </c>
      <c r="B461" s="1" t="str">
        <f>IF('Extraction edi'!A471="","",'Extraction edi'!A471)</f>
        <v/>
      </c>
      <c r="C461" s="1" t="str">
        <f>IF('Extraction edi'!B471="","",'Extraction edi'!B471)</f>
        <v/>
      </c>
      <c r="D461" s="1" t="str">
        <f>IF('Extraction edi'!H471="","",'Extraction edi'!H471)</f>
        <v/>
      </c>
      <c r="E461" s="1" t="str">
        <f>IF('Extraction edi'!I471="","",'Extraction edi'!I471)</f>
        <v/>
      </c>
      <c r="F461" t="str">
        <f>IF('Extraction edi'!K471="","",'Extraction edi'!K471)</f>
        <v/>
      </c>
      <c r="G461" t="str">
        <f>IF('Extraction edi'!L464="","",'Extraction edi'!L464)</f>
        <v/>
      </c>
      <c r="H461" t="str">
        <f>IF('Extraction edi'!M464="","",'Extraction edi'!M464)</f>
        <v/>
      </c>
      <c r="I461" s="1" t="str">
        <f>IF('Extraction edi'!N471="","",'Extraction edi'!N471)</f>
        <v/>
      </c>
      <c r="J461" s="1" t="str">
        <f>IF('Extraction edi'!O471="","",'Extraction edi'!O471)</f>
        <v/>
      </c>
      <c r="K461" s="1" t="str">
        <f>IF('Extraction edi'!P471="","",'Extraction edi'!P471)</f>
        <v/>
      </c>
      <c r="L461" s="1" t="str">
        <f>IF('Extraction edi'!Q471="laquage RAL :","OUI","")</f>
        <v/>
      </c>
      <c r="M461" s="1" t="str">
        <f>IF('Extraction edi'!R471&lt;&gt;"",'Extraction edi'!R471,IF(G461="ALU blanc","S9016",""))</f>
        <v/>
      </c>
      <c r="N461" s="1" t="str">
        <f>IF('Extraction edi'!S471&lt;&gt;"",'Extraction edi'!S471,IF(G461="ALU blanc","S9016",""))</f>
        <v/>
      </c>
      <c r="O461" s="11" t="str">
        <f>IF('Extraction edi'!V471&lt;'Feuille commande'!$E$1,"DELAI NON COMPATIBLE",IF('Extraction edi'!V471="","",WORKDAY('Extraction edi'!V471,-10,Paramètrage!$G$2:$G$104)))</f>
        <v/>
      </c>
      <c r="P461" s="1" t="e">
        <f t="shared" si="7"/>
        <v>#VALUE!</v>
      </c>
    </row>
    <row r="462" spans="1:16" x14ac:dyDescent="0.25">
      <c r="A462" s="1" t="str">
        <f>IF(B462="","",CONCATENATE(B462,".",C462,"/Pos ",D462,"/",'Extraction edi'!G472))</f>
        <v/>
      </c>
      <c r="B462" s="1" t="str">
        <f>IF('Extraction edi'!A472="","",'Extraction edi'!A472)</f>
        <v/>
      </c>
      <c r="C462" s="1" t="str">
        <f>IF('Extraction edi'!B472="","",'Extraction edi'!B472)</f>
        <v/>
      </c>
      <c r="D462" s="1" t="str">
        <f>IF('Extraction edi'!H472="","",'Extraction edi'!H472)</f>
        <v/>
      </c>
      <c r="E462" s="1" t="str">
        <f>IF('Extraction edi'!I472="","",'Extraction edi'!I472)</f>
        <v/>
      </c>
      <c r="F462" t="str">
        <f>IF('Extraction edi'!K472="","",'Extraction edi'!K472)</f>
        <v/>
      </c>
      <c r="G462" t="str">
        <f>IF('Extraction edi'!L465="","",'Extraction edi'!L465)</f>
        <v/>
      </c>
      <c r="H462" t="str">
        <f>IF('Extraction edi'!M465="","",'Extraction edi'!M465)</f>
        <v/>
      </c>
      <c r="I462" s="1" t="str">
        <f>IF('Extraction edi'!N472="","",'Extraction edi'!N472)</f>
        <v/>
      </c>
      <c r="J462" s="1" t="str">
        <f>IF('Extraction edi'!O472="","",'Extraction edi'!O472)</f>
        <v/>
      </c>
      <c r="K462" s="1" t="str">
        <f>IF('Extraction edi'!P472="","",'Extraction edi'!P472)</f>
        <v/>
      </c>
      <c r="L462" s="1" t="str">
        <f>IF('Extraction edi'!Q472="laquage RAL :","OUI","")</f>
        <v/>
      </c>
      <c r="M462" s="1" t="str">
        <f>IF('Extraction edi'!R472&lt;&gt;"",'Extraction edi'!R472,IF(G462="ALU blanc","S9016",""))</f>
        <v/>
      </c>
      <c r="N462" s="1" t="str">
        <f>IF('Extraction edi'!S472&lt;&gt;"",'Extraction edi'!S472,IF(G462="ALU blanc","S9016",""))</f>
        <v/>
      </c>
      <c r="O462" s="11" t="str">
        <f>IF('Extraction edi'!V472&lt;'Feuille commande'!$E$1,"DELAI NON COMPATIBLE",IF('Extraction edi'!V472="","",WORKDAY('Extraction edi'!V472,-10,Paramètrage!$G$2:$G$104)))</f>
        <v/>
      </c>
      <c r="P462" s="1" t="e">
        <f t="shared" si="7"/>
        <v>#VALUE!</v>
      </c>
    </row>
    <row r="463" spans="1:16" x14ac:dyDescent="0.25">
      <c r="A463" s="1" t="str">
        <f>IF(B463="","",CONCATENATE(B463,".",C463,"/Pos ",D463,"/",'Extraction edi'!G473))</f>
        <v/>
      </c>
      <c r="B463" s="1" t="str">
        <f>IF('Extraction edi'!A473="","",'Extraction edi'!A473)</f>
        <v/>
      </c>
      <c r="C463" s="1" t="str">
        <f>IF('Extraction edi'!B473="","",'Extraction edi'!B473)</f>
        <v/>
      </c>
      <c r="D463" s="1" t="str">
        <f>IF('Extraction edi'!H473="","",'Extraction edi'!H473)</f>
        <v/>
      </c>
      <c r="E463" s="1" t="str">
        <f>IF('Extraction edi'!I473="","",'Extraction edi'!I473)</f>
        <v/>
      </c>
      <c r="F463" t="str">
        <f>IF('Extraction edi'!K473="","",'Extraction edi'!K473)</f>
        <v/>
      </c>
      <c r="G463" t="str">
        <f>IF('Extraction edi'!L466="","",'Extraction edi'!L466)</f>
        <v/>
      </c>
      <c r="H463" t="str">
        <f>IF('Extraction edi'!M466="","",'Extraction edi'!M466)</f>
        <v/>
      </c>
      <c r="I463" s="1" t="str">
        <f>IF('Extraction edi'!N473="","",'Extraction edi'!N473)</f>
        <v/>
      </c>
      <c r="J463" s="1" t="str">
        <f>IF('Extraction edi'!O473="","",'Extraction edi'!O473)</f>
        <v/>
      </c>
      <c r="K463" s="1" t="str">
        <f>IF('Extraction edi'!P473="","",'Extraction edi'!P473)</f>
        <v/>
      </c>
      <c r="L463" s="1" t="str">
        <f>IF('Extraction edi'!Q473="laquage RAL :","OUI","")</f>
        <v/>
      </c>
      <c r="M463" s="1" t="str">
        <f>IF('Extraction edi'!R473&lt;&gt;"",'Extraction edi'!R473,IF(G463="ALU blanc","S9016",""))</f>
        <v/>
      </c>
      <c r="N463" s="1" t="str">
        <f>IF('Extraction edi'!S473&lt;&gt;"",'Extraction edi'!S473,IF(G463="ALU blanc","S9016",""))</f>
        <v/>
      </c>
      <c r="O463" s="11" t="str">
        <f>IF('Extraction edi'!V473&lt;'Feuille commande'!$E$1,"DELAI NON COMPATIBLE",IF('Extraction edi'!V473="","",WORKDAY('Extraction edi'!V473,-10,Paramètrage!$G$2:$G$104)))</f>
        <v/>
      </c>
      <c r="P463" s="1" t="e">
        <f t="shared" si="7"/>
        <v>#VALUE!</v>
      </c>
    </row>
    <row r="464" spans="1:16" x14ac:dyDescent="0.25">
      <c r="A464" s="1" t="str">
        <f>IF(B464="","",CONCATENATE(B464,".",C464,"/Pos ",D464,"/",'Extraction edi'!G474))</f>
        <v/>
      </c>
      <c r="B464" s="1" t="str">
        <f>IF('Extraction edi'!A474="","",'Extraction edi'!A474)</f>
        <v/>
      </c>
      <c r="C464" s="1" t="str">
        <f>IF('Extraction edi'!B474="","",'Extraction edi'!B474)</f>
        <v/>
      </c>
      <c r="D464" s="1" t="str">
        <f>IF('Extraction edi'!H474="","",'Extraction edi'!H474)</f>
        <v/>
      </c>
      <c r="E464" s="1" t="str">
        <f>IF('Extraction edi'!I474="","",'Extraction edi'!I474)</f>
        <v/>
      </c>
      <c r="F464" t="str">
        <f>IF('Extraction edi'!K474="","",'Extraction edi'!K474)</f>
        <v/>
      </c>
      <c r="G464" t="str">
        <f>IF('Extraction edi'!L467="","",'Extraction edi'!L467)</f>
        <v/>
      </c>
      <c r="H464" t="str">
        <f>IF('Extraction edi'!M467="","",'Extraction edi'!M467)</f>
        <v/>
      </c>
      <c r="I464" s="1" t="str">
        <f>IF('Extraction edi'!N474="","",'Extraction edi'!N474)</f>
        <v/>
      </c>
      <c r="J464" s="1" t="str">
        <f>IF('Extraction edi'!O474="","",'Extraction edi'!O474)</f>
        <v/>
      </c>
      <c r="K464" s="1" t="str">
        <f>IF('Extraction edi'!P474="","",'Extraction edi'!P474)</f>
        <v/>
      </c>
      <c r="L464" s="1" t="str">
        <f>IF('Extraction edi'!Q474="laquage RAL :","OUI","")</f>
        <v/>
      </c>
      <c r="M464" s="1" t="str">
        <f>IF('Extraction edi'!R474&lt;&gt;"",'Extraction edi'!R474,IF(G464="ALU blanc","S9016",""))</f>
        <v/>
      </c>
      <c r="N464" s="1" t="str">
        <f>IF('Extraction edi'!S474&lt;&gt;"",'Extraction edi'!S474,IF(G464="ALU blanc","S9016",""))</f>
        <v/>
      </c>
      <c r="O464" s="11" t="str">
        <f>IF('Extraction edi'!V474&lt;'Feuille commande'!$E$1,"DELAI NON COMPATIBLE",IF('Extraction edi'!V474="","",WORKDAY('Extraction edi'!V474,-10,Paramètrage!$G$2:$G$104)))</f>
        <v/>
      </c>
      <c r="P464" s="1" t="e">
        <f t="shared" si="7"/>
        <v>#VALUE!</v>
      </c>
    </row>
    <row r="465" spans="1:16" x14ac:dyDescent="0.25">
      <c r="A465" s="1" t="str">
        <f>IF(B465="","",CONCATENATE(B465,".",C465,"/Pos ",D465,"/",'Extraction edi'!G475))</f>
        <v/>
      </c>
      <c r="B465" s="1" t="str">
        <f>IF('Extraction edi'!A475="","",'Extraction edi'!A475)</f>
        <v/>
      </c>
      <c r="C465" s="1" t="str">
        <f>IF('Extraction edi'!B475="","",'Extraction edi'!B475)</f>
        <v/>
      </c>
      <c r="D465" s="1" t="str">
        <f>IF('Extraction edi'!H475="","",'Extraction edi'!H475)</f>
        <v/>
      </c>
      <c r="E465" s="1" t="str">
        <f>IF('Extraction edi'!I475="","",'Extraction edi'!I475)</f>
        <v/>
      </c>
      <c r="F465" t="str">
        <f>IF('Extraction edi'!K475="","",'Extraction edi'!K475)</f>
        <v/>
      </c>
      <c r="G465" t="str">
        <f>IF('Extraction edi'!L468="","",'Extraction edi'!L468)</f>
        <v/>
      </c>
      <c r="H465" t="str">
        <f>IF('Extraction edi'!M468="","",'Extraction edi'!M468)</f>
        <v/>
      </c>
      <c r="I465" s="1" t="str">
        <f>IF('Extraction edi'!N475="","",'Extraction edi'!N475)</f>
        <v/>
      </c>
      <c r="J465" s="1" t="str">
        <f>IF('Extraction edi'!O475="","",'Extraction edi'!O475)</f>
        <v/>
      </c>
      <c r="K465" s="1" t="str">
        <f>IF('Extraction edi'!P475="","",'Extraction edi'!P475)</f>
        <v/>
      </c>
      <c r="L465" s="1" t="str">
        <f>IF('Extraction edi'!Q475="laquage RAL :","OUI","")</f>
        <v/>
      </c>
      <c r="M465" s="1" t="str">
        <f>IF('Extraction edi'!R475&lt;&gt;"",'Extraction edi'!R475,IF(G465="ALU blanc","S9016",""))</f>
        <v/>
      </c>
      <c r="N465" s="1" t="str">
        <f>IF('Extraction edi'!S475&lt;&gt;"",'Extraction edi'!S475,IF(G465="ALU blanc","S9016",""))</f>
        <v/>
      </c>
      <c r="O465" s="11" t="str">
        <f>IF('Extraction edi'!V475&lt;'Feuille commande'!$E$1,"DELAI NON COMPATIBLE",IF('Extraction edi'!V475="","",WORKDAY('Extraction edi'!V475,-10,Paramètrage!$G$2:$G$104)))</f>
        <v/>
      </c>
      <c r="P465" s="1" t="e">
        <f t="shared" si="7"/>
        <v>#VALUE!</v>
      </c>
    </row>
    <row r="466" spans="1:16" x14ac:dyDescent="0.25">
      <c r="A466" s="1" t="str">
        <f>IF(B466="","",CONCATENATE(B466,".",C466,"/Pos ",D466,"/",'Extraction edi'!G476))</f>
        <v/>
      </c>
      <c r="B466" s="1" t="str">
        <f>IF('Extraction edi'!A476="","",'Extraction edi'!A476)</f>
        <v/>
      </c>
      <c r="C466" s="1" t="str">
        <f>IF('Extraction edi'!B476="","",'Extraction edi'!B476)</f>
        <v/>
      </c>
      <c r="D466" s="1" t="str">
        <f>IF('Extraction edi'!H476="","",'Extraction edi'!H476)</f>
        <v/>
      </c>
      <c r="E466" s="1" t="str">
        <f>IF('Extraction edi'!I476="","",'Extraction edi'!I476)</f>
        <v/>
      </c>
      <c r="F466" t="str">
        <f>IF('Extraction edi'!K476="","",'Extraction edi'!K476)</f>
        <v/>
      </c>
      <c r="G466" t="str">
        <f>IF('Extraction edi'!L469="","",'Extraction edi'!L469)</f>
        <v/>
      </c>
      <c r="H466" t="str">
        <f>IF('Extraction edi'!M469="","",'Extraction edi'!M469)</f>
        <v/>
      </c>
      <c r="I466" s="1" t="str">
        <f>IF('Extraction edi'!N476="","",'Extraction edi'!N476)</f>
        <v/>
      </c>
      <c r="J466" s="1" t="str">
        <f>IF('Extraction edi'!O476="","",'Extraction edi'!O476)</f>
        <v/>
      </c>
      <c r="K466" s="1" t="str">
        <f>IF('Extraction edi'!P476="","",'Extraction edi'!P476)</f>
        <v/>
      </c>
      <c r="L466" s="1" t="str">
        <f>IF('Extraction edi'!Q476="laquage RAL :","OUI","")</f>
        <v/>
      </c>
      <c r="M466" s="1" t="str">
        <f>IF('Extraction edi'!R476&lt;&gt;"",'Extraction edi'!R476,IF(G466="ALU blanc","S9016",""))</f>
        <v/>
      </c>
      <c r="N466" s="1" t="str">
        <f>IF('Extraction edi'!S476&lt;&gt;"",'Extraction edi'!S476,IF(G466="ALU blanc","S9016",""))</f>
        <v/>
      </c>
      <c r="O466" s="11" t="str">
        <f>IF('Extraction edi'!V476&lt;'Feuille commande'!$E$1,"DELAI NON COMPATIBLE",IF('Extraction edi'!V476="","",WORKDAY('Extraction edi'!V476,-10,Paramètrage!$G$2:$G$104)))</f>
        <v/>
      </c>
      <c r="P466" s="1" t="e">
        <f t="shared" si="7"/>
        <v>#VALUE!</v>
      </c>
    </row>
    <row r="467" spans="1:16" x14ac:dyDescent="0.25">
      <c r="A467" s="1" t="str">
        <f>IF(B467="","",CONCATENATE(B467,".",C467,"/Pos ",D467,"/",'Extraction edi'!G477))</f>
        <v/>
      </c>
      <c r="B467" s="1" t="str">
        <f>IF('Extraction edi'!A477="","",'Extraction edi'!A477)</f>
        <v/>
      </c>
      <c r="C467" s="1" t="str">
        <f>IF('Extraction edi'!B477="","",'Extraction edi'!B477)</f>
        <v/>
      </c>
      <c r="D467" s="1" t="str">
        <f>IF('Extraction edi'!H477="","",'Extraction edi'!H477)</f>
        <v/>
      </c>
      <c r="E467" s="1" t="str">
        <f>IF('Extraction edi'!I477="","",'Extraction edi'!I477)</f>
        <v/>
      </c>
      <c r="F467" t="str">
        <f>IF('Extraction edi'!K477="","",'Extraction edi'!K477)</f>
        <v/>
      </c>
      <c r="G467" t="str">
        <f>IF('Extraction edi'!L470="","",'Extraction edi'!L470)</f>
        <v/>
      </c>
      <c r="H467" t="str">
        <f>IF('Extraction edi'!M470="","",'Extraction edi'!M470)</f>
        <v/>
      </c>
      <c r="I467" s="1" t="str">
        <f>IF('Extraction edi'!N477="","",'Extraction edi'!N477)</f>
        <v/>
      </c>
      <c r="J467" s="1" t="str">
        <f>IF('Extraction edi'!O477="","",'Extraction edi'!O477)</f>
        <v/>
      </c>
      <c r="K467" s="1" t="str">
        <f>IF('Extraction edi'!P477="","",'Extraction edi'!P477)</f>
        <v/>
      </c>
      <c r="L467" s="1" t="str">
        <f>IF('Extraction edi'!Q477="laquage RAL :","OUI","")</f>
        <v/>
      </c>
      <c r="M467" s="1" t="str">
        <f>IF('Extraction edi'!R477&lt;&gt;"",'Extraction edi'!R477,IF(G467="ALU blanc","S9016",""))</f>
        <v/>
      </c>
      <c r="N467" s="1" t="str">
        <f>IF('Extraction edi'!S477&lt;&gt;"",'Extraction edi'!S477,IF(G467="ALU blanc","S9016",""))</f>
        <v/>
      </c>
      <c r="O467" s="11" t="str">
        <f>IF('Extraction edi'!V477&lt;'Feuille commande'!$E$1,"DELAI NON COMPATIBLE",IF('Extraction edi'!V477="","",WORKDAY('Extraction edi'!V477,-10,Paramètrage!$G$2:$G$104)))</f>
        <v/>
      </c>
      <c r="P467" s="1" t="e">
        <f t="shared" si="7"/>
        <v>#VALUE!</v>
      </c>
    </row>
    <row r="468" spans="1:16" x14ac:dyDescent="0.25">
      <c r="A468" s="1" t="str">
        <f>IF(B468="","",CONCATENATE(B468,".",C468,"/Pos ",D468,"/",'Extraction edi'!G478))</f>
        <v/>
      </c>
      <c r="B468" s="1" t="str">
        <f>IF('Extraction edi'!A478="","",'Extraction edi'!A478)</f>
        <v/>
      </c>
      <c r="C468" s="1" t="str">
        <f>IF('Extraction edi'!B478="","",'Extraction edi'!B478)</f>
        <v/>
      </c>
      <c r="D468" s="1" t="str">
        <f>IF('Extraction edi'!H478="","",'Extraction edi'!H478)</f>
        <v/>
      </c>
      <c r="E468" s="1" t="str">
        <f>IF('Extraction edi'!I478="","",'Extraction edi'!I478)</f>
        <v/>
      </c>
      <c r="F468" t="str">
        <f>IF('Extraction edi'!K478="","",'Extraction edi'!K478)</f>
        <v/>
      </c>
      <c r="G468" t="str">
        <f>IF('Extraction edi'!L471="","",'Extraction edi'!L471)</f>
        <v/>
      </c>
      <c r="H468" t="str">
        <f>IF('Extraction edi'!M471="","",'Extraction edi'!M471)</f>
        <v/>
      </c>
      <c r="I468" s="1" t="str">
        <f>IF('Extraction edi'!N478="","",'Extraction edi'!N478)</f>
        <v/>
      </c>
      <c r="J468" s="1" t="str">
        <f>IF('Extraction edi'!O478="","",'Extraction edi'!O478)</f>
        <v/>
      </c>
      <c r="K468" s="1" t="str">
        <f>IF('Extraction edi'!P478="","",'Extraction edi'!P478)</f>
        <v/>
      </c>
      <c r="L468" s="1" t="str">
        <f>IF('Extraction edi'!Q478="laquage RAL :","OUI","")</f>
        <v/>
      </c>
      <c r="M468" s="1" t="str">
        <f>IF('Extraction edi'!R478&lt;&gt;"",'Extraction edi'!R478,IF(G468="ALU blanc","S9016",""))</f>
        <v/>
      </c>
      <c r="N468" s="1" t="str">
        <f>IF('Extraction edi'!S478&lt;&gt;"",'Extraction edi'!S478,IF(G468="ALU blanc","S9016",""))</f>
        <v/>
      </c>
      <c r="O468" s="11" t="str">
        <f>IF('Extraction edi'!V478&lt;'Feuille commande'!$E$1,"DELAI NON COMPATIBLE",IF('Extraction edi'!V478="","",WORKDAY('Extraction edi'!V478,-10,Paramètrage!$G$2:$G$104)))</f>
        <v/>
      </c>
      <c r="P468" s="1" t="e">
        <f t="shared" si="7"/>
        <v>#VALUE!</v>
      </c>
    </row>
    <row r="469" spans="1:16" x14ac:dyDescent="0.25">
      <c r="A469" s="1" t="str">
        <f>IF(B469="","",CONCATENATE(B469,".",C469,"/Pos ",D469,"/",'Extraction edi'!G479))</f>
        <v/>
      </c>
      <c r="B469" s="1" t="str">
        <f>IF('Extraction edi'!A479="","",'Extraction edi'!A479)</f>
        <v/>
      </c>
      <c r="C469" s="1" t="str">
        <f>IF('Extraction edi'!B479="","",'Extraction edi'!B479)</f>
        <v/>
      </c>
      <c r="D469" s="1" t="str">
        <f>IF('Extraction edi'!H479="","",'Extraction edi'!H479)</f>
        <v/>
      </c>
      <c r="E469" s="1" t="str">
        <f>IF('Extraction edi'!I479="","",'Extraction edi'!I479)</f>
        <v/>
      </c>
      <c r="F469" t="str">
        <f>IF('Extraction edi'!K479="","",'Extraction edi'!K479)</f>
        <v/>
      </c>
      <c r="G469" t="str">
        <f>IF('Extraction edi'!L472="","",'Extraction edi'!L472)</f>
        <v/>
      </c>
      <c r="H469" t="str">
        <f>IF('Extraction edi'!M472="","",'Extraction edi'!M472)</f>
        <v/>
      </c>
      <c r="I469" s="1" t="str">
        <f>IF('Extraction edi'!N479="","",'Extraction edi'!N479)</f>
        <v/>
      </c>
      <c r="J469" s="1" t="str">
        <f>IF('Extraction edi'!O479="","",'Extraction edi'!O479)</f>
        <v/>
      </c>
      <c r="K469" s="1" t="str">
        <f>IF('Extraction edi'!P479="","",'Extraction edi'!P479)</f>
        <v/>
      </c>
      <c r="L469" s="1" t="str">
        <f>IF('Extraction edi'!Q479="laquage RAL :","OUI","")</f>
        <v/>
      </c>
      <c r="M469" s="1" t="str">
        <f>IF('Extraction edi'!R479&lt;&gt;"",'Extraction edi'!R479,IF(G469="ALU blanc","S9016",""))</f>
        <v/>
      </c>
      <c r="N469" s="1" t="str">
        <f>IF('Extraction edi'!S479&lt;&gt;"",'Extraction edi'!S479,IF(G469="ALU blanc","S9016",""))</f>
        <v/>
      </c>
      <c r="O469" s="11" t="str">
        <f>IF('Extraction edi'!V479&lt;'Feuille commande'!$E$1,"DELAI NON COMPATIBLE",IF('Extraction edi'!V479="","",WORKDAY('Extraction edi'!V479,-10,Paramètrage!$G$2:$G$104)))</f>
        <v/>
      </c>
      <c r="P469" s="1" t="e">
        <f t="shared" si="7"/>
        <v>#VALUE!</v>
      </c>
    </row>
    <row r="470" spans="1:16" x14ac:dyDescent="0.25">
      <c r="A470" s="1" t="str">
        <f>IF(B470="","",CONCATENATE(B470,".",C470,"/Pos ",D470,"/",'Extraction edi'!G480))</f>
        <v/>
      </c>
      <c r="B470" s="1" t="str">
        <f>IF('Extraction edi'!A480="","",'Extraction edi'!A480)</f>
        <v/>
      </c>
      <c r="C470" s="1" t="str">
        <f>IF('Extraction edi'!B480="","",'Extraction edi'!B480)</f>
        <v/>
      </c>
      <c r="D470" s="1" t="str">
        <f>IF('Extraction edi'!H480="","",'Extraction edi'!H480)</f>
        <v/>
      </c>
      <c r="E470" s="1" t="str">
        <f>IF('Extraction edi'!I480="","",'Extraction edi'!I480)</f>
        <v/>
      </c>
      <c r="F470" t="str">
        <f>IF('Extraction edi'!K480="","",'Extraction edi'!K480)</f>
        <v/>
      </c>
      <c r="G470" t="str">
        <f>IF('Extraction edi'!L473="","",'Extraction edi'!L473)</f>
        <v/>
      </c>
      <c r="H470" t="str">
        <f>IF('Extraction edi'!M473="","",'Extraction edi'!M473)</f>
        <v/>
      </c>
      <c r="I470" s="1" t="str">
        <f>IF('Extraction edi'!N480="","",'Extraction edi'!N480)</f>
        <v/>
      </c>
      <c r="J470" s="1" t="str">
        <f>IF('Extraction edi'!O480="","",'Extraction edi'!O480)</f>
        <v/>
      </c>
      <c r="K470" s="1" t="str">
        <f>IF('Extraction edi'!P480="","",'Extraction edi'!P480)</f>
        <v/>
      </c>
      <c r="L470" s="1" t="str">
        <f>IF('Extraction edi'!Q480="laquage RAL :","OUI","")</f>
        <v/>
      </c>
      <c r="M470" s="1" t="str">
        <f>IF('Extraction edi'!R480&lt;&gt;"",'Extraction edi'!R480,IF(G470="ALU blanc","S9016",""))</f>
        <v/>
      </c>
      <c r="N470" s="1" t="str">
        <f>IF('Extraction edi'!S480&lt;&gt;"",'Extraction edi'!S480,IF(G470="ALU blanc","S9016",""))</f>
        <v/>
      </c>
      <c r="O470" s="11" t="str">
        <f>IF('Extraction edi'!V480&lt;'Feuille commande'!$E$1,"DELAI NON COMPATIBLE",IF('Extraction edi'!V480="","",WORKDAY('Extraction edi'!V480,-10,Paramètrage!$G$2:$G$104)))</f>
        <v/>
      </c>
      <c r="P470" s="1" t="e">
        <f t="shared" si="7"/>
        <v>#VALUE!</v>
      </c>
    </row>
    <row r="471" spans="1:16" x14ac:dyDescent="0.25">
      <c r="A471" s="1" t="str">
        <f>IF(B471="","",CONCATENATE(B471,".",C471,"/Pos ",D471,"/",'Extraction edi'!G481))</f>
        <v/>
      </c>
      <c r="B471" s="1" t="str">
        <f>IF('Extraction edi'!A481="","",'Extraction edi'!A481)</f>
        <v/>
      </c>
      <c r="C471" s="1" t="str">
        <f>IF('Extraction edi'!B481="","",'Extraction edi'!B481)</f>
        <v/>
      </c>
      <c r="D471" s="1" t="str">
        <f>IF('Extraction edi'!H481="","",'Extraction edi'!H481)</f>
        <v/>
      </c>
      <c r="E471" s="1" t="str">
        <f>IF('Extraction edi'!I481="","",'Extraction edi'!I481)</f>
        <v/>
      </c>
      <c r="F471" t="str">
        <f>IF('Extraction edi'!K481="","",'Extraction edi'!K481)</f>
        <v/>
      </c>
      <c r="G471" t="str">
        <f>IF('Extraction edi'!L474="","",'Extraction edi'!L474)</f>
        <v/>
      </c>
      <c r="H471" t="str">
        <f>IF('Extraction edi'!M474="","",'Extraction edi'!M474)</f>
        <v/>
      </c>
      <c r="I471" s="1" t="str">
        <f>IF('Extraction edi'!N481="","",'Extraction edi'!N481)</f>
        <v/>
      </c>
      <c r="J471" s="1" t="str">
        <f>IF('Extraction edi'!O481="","",'Extraction edi'!O481)</f>
        <v/>
      </c>
      <c r="K471" s="1" t="str">
        <f>IF('Extraction edi'!P481="","",'Extraction edi'!P481)</f>
        <v/>
      </c>
      <c r="L471" s="1" t="str">
        <f>IF('Extraction edi'!Q481="laquage RAL :","OUI","")</f>
        <v/>
      </c>
      <c r="M471" s="1" t="str">
        <f>IF('Extraction edi'!R481&lt;&gt;"",'Extraction edi'!R481,IF(G471="ALU blanc","S9016",""))</f>
        <v/>
      </c>
      <c r="N471" s="1" t="str">
        <f>IF('Extraction edi'!S481&lt;&gt;"",'Extraction edi'!S481,IF(G471="ALU blanc","S9016",""))</f>
        <v/>
      </c>
      <c r="O471" s="11" t="str">
        <f>IF('Extraction edi'!V481&lt;'Feuille commande'!$E$1,"DELAI NON COMPATIBLE",IF('Extraction edi'!V481="","",WORKDAY('Extraction edi'!V481,-10,Paramètrage!$G$2:$G$104)))</f>
        <v/>
      </c>
      <c r="P471" s="1" t="e">
        <f t="shared" si="7"/>
        <v>#VALUE!</v>
      </c>
    </row>
    <row r="472" spans="1:16" x14ac:dyDescent="0.25">
      <c r="A472" s="1" t="str">
        <f>IF(B472="","",CONCATENATE(B472,".",C472,"/Pos ",D472,"/",'Extraction edi'!G482))</f>
        <v/>
      </c>
      <c r="B472" s="1" t="str">
        <f>IF('Extraction edi'!A482="","",'Extraction edi'!A482)</f>
        <v/>
      </c>
      <c r="C472" s="1" t="str">
        <f>IF('Extraction edi'!B482="","",'Extraction edi'!B482)</f>
        <v/>
      </c>
      <c r="D472" s="1" t="str">
        <f>IF('Extraction edi'!H482="","",'Extraction edi'!H482)</f>
        <v/>
      </c>
      <c r="E472" s="1" t="str">
        <f>IF('Extraction edi'!I482="","",'Extraction edi'!I482)</f>
        <v/>
      </c>
      <c r="F472" t="str">
        <f>IF('Extraction edi'!K482="","",'Extraction edi'!K482)</f>
        <v/>
      </c>
      <c r="G472" t="str">
        <f>IF('Extraction edi'!L475="","",'Extraction edi'!L475)</f>
        <v/>
      </c>
      <c r="H472" t="str">
        <f>IF('Extraction edi'!M475="","",'Extraction edi'!M475)</f>
        <v/>
      </c>
      <c r="I472" s="1" t="str">
        <f>IF('Extraction edi'!N482="","",'Extraction edi'!N482)</f>
        <v/>
      </c>
      <c r="J472" s="1" t="str">
        <f>IF('Extraction edi'!O482="","",'Extraction edi'!O482)</f>
        <v/>
      </c>
      <c r="K472" s="1" t="str">
        <f>IF('Extraction edi'!P482="","",'Extraction edi'!P482)</f>
        <v/>
      </c>
      <c r="L472" s="1" t="str">
        <f>IF('Extraction edi'!Q482="laquage RAL :","OUI","")</f>
        <v/>
      </c>
      <c r="M472" s="1" t="str">
        <f>IF('Extraction edi'!R482&lt;&gt;"",'Extraction edi'!R482,IF(G472="ALU blanc","S9016",""))</f>
        <v/>
      </c>
      <c r="N472" s="1" t="str">
        <f>IF('Extraction edi'!S482&lt;&gt;"",'Extraction edi'!S482,IF(G472="ALU blanc","S9016",""))</f>
        <v/>
      </c>
      <c r="O472" s="11" t="str">
        <f>IF('Extraction edi'!V482&lt;'Feuille commande'!$E$1,"DELAI NON COMPATIBLE",IF('Extraction edi'!V482="","",WORKDAY('Extraction edi'!V482,-10,Paramètrage!$G$2:$G$104)))</f>
        <v/>
      </c>
      <c r="P472" s="1" t="e">
        <f t="shared" si="7"/>
        <v>#VALUE!</v>
      </c>
    </row>
    <row r="473" spans="1:16" x14ac:dyDescent="0.25">
      <c r="A473" s="1" t="str">
        <f>IF(B473="","",CONCATENATE(B473,".",C473,"/Pos ",D473,"/",'Extraction edi'!G483))</f>
        <v/>
      </c>
      <c r="B473" s="1" t="str">
        <f>IF('Extraction edi'!A483="","",'Extraction edi'!A483)</f>
        <v/>
      </c>
      <c r="C473" s="1" t="str">
        <f>IF('Extraction edi'!B483="","",'Extraction edi'!B483)</f>
        <v/>
      </c>
      <c r="D473" s="1" t="str">
        <f>IF('Extraction edi'!H483="","",'Extraction edi'!H483)</f>
        <v/>
      </c>
      <c r="E473" s="1" t="str">
        <f>IF('Extraction edi'!I483="","",'Extraction edi'!I483)</f>
        <v/>
      </c>
      <c r="F473" t="str">
        <f>IF('Extraction edi'!K483="","",'Extraction edi'!K483)</f>
        <v/>
      </c>
      <c r="G473" t="str">
        <f>IF('Extraction edi'!L476="","",'Extraction edi'!L476)</f>
        <v/>
      </c>
      <c r="H473" t="str">
        <f>IF('Extraction edi'!M476="","",'Extraction edi'!M476)</f>
        <v/>
      </c>
      <c r="I473" s="1" t="str">
        <f>IF('Extraction edi'!N483="","",'Extraction edi'!N483)</f>
        <v/>
      </c>
      <c r="J473" s="1" t="str">
        <f>IF('Extraction edi'!O483="","",'Extraction edi'!O483)</f>
        <v/>
      </c>
      <c r="K473" s="1" t="str">
        <f>IF('Extraction edi'!P483="","",'Extraction edi'!P483)</f>
        <v/>
      </c>
      <c r="L473" s="1" t="str">
        <f>IF('Extraction edi'!Q483="laquage RAL :","OUI","")</f>
        <v/>
      </c>
      <c r="M473" s="1" t="str">
        <f>IF('Extraction edi'!R483&lt;&gt;"",'Extraction edi'!R483,IF(G473="ALU blanc","S9016",""))</f>
        <v/>
      </c>
      <c r="N473" s="1" t="str">
        <f>IF('Extraction edi'!S483&lt;&gt;"",'Extraction edi'!S483,IF(G473="ALU blanc","S9016",""))</f>
        <v/>
      </c>
      <c r="O473" s="11" t="str">
        <f>IF('Extraction edi'!V483&lt;'Feuille commande'!$E$1,"DELAI NON COMPATIBLE",IF('Extraction edi'!V483="","",WORKDAY('Extraction edi'!V483,-10,Paramètrage!$G$2:$G$104)))</f>
        <v/>
      </c>
      <c r="P473" s="1" t="e">
        <f t="shared" si="7"/>
        <v>#VALUE!</v>
      </c>
    </row>
    <row r="474" spans="1:16" x14ac:dyDescent="0.25">
      <c r="A474" s="1" t="str">
        <f>IF(B474="","",CONCATENATE(B474,".",C474,"/Pos ",D474,"/",'Extraction edi'!G484))</f>
        <v/>
      </c>
      <c r="B474" s="1" t="str">
        <f>IF('Extraction edi'!A484="","",'Extraction edi'!A484)</f>
        <v/>
      </c>
      <c r="C474" s="1" t="str">
        <f>IF('Extraction edi'!B484="","",'Extraction edi'!B484)</f>
        <v/>
      </c>
      <c r="D474" s="1" t="str">
        <f>IF('Extraction edi'!H484="","",'Extraction edi'!H484)</f>
        <v/>
      </c>
      <c r="E474" s="1" t="str">
        <f>IF('Extraction edi'!I484="","",'Extraction edi'!I484)</f>
        <v/>
      </c>
      <c r="F474" t="str">
        <f>IF('Extraction edi'!K484="","",'Extraction edi'!K484)</f>
        <v/>
      </c>
      <c r="G474" t="str">
        <f>IF('Extraction edi'!L477="","",'Extraction edi'!L477)</f>
        <v/>
      </c>
      <c r="H474" t="str">
        <f>IF('Extraction edi'!M477="","",'Extraction edi'!M477)</f>
        <v/>
      </c>
      <c r="I474" s="1" t="str">
        <f>IF('Extraction edi'!N484="","",'Extraction edi'!N484)</f>
        <v/>
      </c>
      <c r="J474" s="1" t="str">
        <f>IF('Extraction edi'!O484="","",'Extraction edi'!O484)</f>
        <v/>
      </c>
      <c r="K474" s="1" t="str">
        <f>IF('Extraction edi'!P484="","",'Extraction edi'!P484)</f>
        <v/>
      </c>
      <c r="L474" s="1" t="str">
        <f>IF('Extraction edi'!Q484="laquage RAL :","OUI","")</f>
        <v/>
      </c>
      <c r="M474" s="1" t="str">
        <f>IF('Extraction edi'!R484&lt;&gt;"",'Extraction edi'!R484,IF(G474="ALU blanc","S9016",""))</f>
        <v/>
      </c>
      <c r="N474" s="1" t="str">
        <f>IF('Extraction edi'!S484&lt;&gt;"",'Extraction edi'!S484,IF(G474="ALU blanc","S9016",""))</f>
        <v/>
      </c>
      <c r="O474" s="11" t="str">
        <f>IF('Extraction edi'!V484&lt;'Feuille commande'!$E$1,"DELAI NON COMPATIBLE",IF('Extraction edi'!V484="","",WORKDAY('Extraction edi'!V484,-10,Paramètrage!$G$2:$G$104)))</f>
        <v/>
      </c>
      <c r="P474" s="1" t="e">
        <f t="shared" si="7"/>
        <v>#VALUE!</v>
      </c>
    </row>
    <row r="475" spans="1:16" x14ac:dyDescent="0.25">
      <c r="A475" s="1" t="str">
        <f>IF(B475="","",CONCATENATE(B475,".",C475,"/Pos ",D475,"/",'Extraction edi'!G485))</f>
        <v/>
      </c>
      <c r="B475" s="1" t="str">
        <f>IF('Extraction edi'!A485="","",'Extraction edi'!A485)</f>
        <v/>
      </c>
      <c r="C475" s="1" t="str">
        <f>IF('Extraction edi'!B485="","",'Extraction edi'!B485)</f>
        <v/>
      </c>
      <c r="D475" s="1" t="str">
        <f>IF('Extraction edi'!H485="","",'Extraction edi'!H485)</f>
        <v/>
      </c>
      <c r="E475" s="1" t="str">
        <f>IF('Extraction edi'!I485="","",'Extraction edi'!I485)</f>
        <v/>
      </c>
      <c r="F475" t="str">
        <f>IF('Extraction edi'!K485="","",'Extraction edi'!K485)</f>
        <v/>
      </c>
      <c r="G475" t="str">
        <f>IF('Extraction edi'!L478="","",'Extraction edi'!L478)</f>
        <v/>
      </c>
      <c r="H475" t="str">
        <f>IF('Extraction edi'!M478="","",'Extraction edi'!M478)</f>
        <v/>
      </c>
      <c r="I475" s="1" t="str">
        <f>IF('Extraction edi'!N485="","",'Extraction edi'!N485)</f>
        <v/>
      </c>
      <c r="J475" s="1" t="str">
        <f>IF('Extraction edi'!O485="","",'Extraction edi'!O485)</f>
        <v/>
      </c>
      <c r="K475" s="1" t="str">
        <f>IF('Extraction edi'!P485="","",'Extraction edi'!P485)</f>
        <v/>
      </c>
      <c r="L475" s="1" t="str">
        <f>IF('Extraction edi'!Q485="laquage RAL :","OUI","")</f>
        <v/>
      </c>
      <c r="M475" s="1" t="str">
        <f>IF('Extraction edi'!R485&lt;&gt;"",'Extraction edi'!R485,IF(G475="ALU blanc","S9016",""))</f>
        <v/>
      </c>
      <c r="N475" s="1" t="str">
        <f>IF('Extraction edi'!S485&lt;&gt;"",'Extraction edi'!S485,IF(G475="ALU blanc","S9016",""))</f>
        <v/>
      </c>
      <c r="O475" s="11" t="str">
        <f>IF('Extraction edi'!V485&lt;'Feuille commande'!$E$1,"DELAI NON COMPATIBLE",IF('Extraction edi'!V485="","",WORKDAY('Extraction edi'!V485,-10,Paramètrage!$G$2:$G$104)))</f>
        <v/>
      </c>
      <c r="P475" s="1" t="e">
        <f t="shared" si="7"/>
        <v>#VALUE!</v>
      </c>
    </row>
    <row r="476" spans="1:16" x14ac:dyDescent="0.25">
      <c r="A476" s="1" t="str">
        <f>IF(B476="","",CONCATENATE(B476,".",C476,"/Pos ",D476,"/",'Extraction edi'!G486))</f>
        <v/>
      </c>
      <c r="B476" s="1" t="str">
        <f>IF('Extraction edi'!A486="","",'Extraction edi'!A486)</f>
        <v/>
      </c>
      <c r="C476" s="1" t="str">
        <f>IF('Extraction edi'!B486="","",'Extraction edi'!B486)</f>
        <v/>
      </c>
      <c r="D476" s="1" t="str">
        <f>IF('Extraction edi'!H486="","",'Extraction edi'!H486)</f>
        <v/>
      </c>
      <c r="E476" s="1" t="str">
        <f>IF('Extraction edi'!I486="","",'Extraction edi'!I486)</f>
        <v/>
      </c>
      <c r="F476" t="str">
        <f>IF('Extraction edi'!K486="","",'Extraction edi'!K486)</f>
        <v/>
      </c>
      <c r="G476" t="str">
        <f>IF('Extraction edi'!L479="","",'Extraction edi'!L479)</f>
        <v/>
      </c>
      <c r="H476" t="str">
        <f>IF('Extraction edi'!M479="","",'Extraction edi'!M479)</f>
        <v/>
      </c>
      <c r="I476" s="1" t="str">
        <f>IF('Extraction edi'!N486="","",'Extraction edi'!N486)</f>
        <v/>
      </c>
      <c r="J476" s="1" t="str">
        <f>IF('Extraction edi'!O486="","",'Extraction edi'!O486)</f>
        <v/>
      </c>
      <c r="K476" s="1" t="str">
        <f>IF('Extraction edi'!P486="","",'Extraction edi'!P486)</f>
        <v/>
      </c>
      <c r="L476" s="1" t="str">
        <f>IF('Extraction edi'!Q486="laquage RAL :","OUI","")</f>
        <v/>
      </c>
      <c r="M476" s="1" t="str">
        <f>IF('Extraction edi'!R486&lt;&gt;"",'Extraction edi'!R486,IF(G476="ALU blanc","S9016",""))</f>
        <v/>
      </c>
      <c r="N476" s="1" t="str">
        <f>IF('Extraction edi'!S486&lt;&gt;"",'Extraction edi'!S486,IF(G476="ALU blanc","S9016",""))</f>
        <v/>
      </c>
      <c r="O476" s="11" t="str">
        <f>IF('Extraction edi'!V486&lt;'Feuille commande'!$E$1,"DELAI NON COMPATIBLE",IF('Extraction edi'!V486="","",WORKDAY('Extraction edi'!V486,-10,Paramètrage!$G$2:$G$104)))</f>
        <v/>
      </c>
      <c r="P476" s="1" t="e">
        <f t="shared" si="7"/>
        <v>#VALUE!</v>
      </c>
    </row>
    <row r="477" spans="1:16" x14ac:dyDescent="0.25">
      <c r="A477" s="1" t="str">
        <f>IF(B477="","",CONCATENATE(B477,".",C477,"/Pos ",D477,"/",'Extraction edi'!G487))</f>
        <v/>
      </c>
      <c r="B477" s="1" t="str">
        <f>IF('Extraction edi'!A487="","",'Extraction edi'!A487)</f>
        <v/>
      </c>
      <c r="C477" s="1" t="str">
        <f>IF('Extraction edi'!B487="","",'Extraction edi'!B487)</f>
        <v/>
      </c>
      <c r="D477" s="1" t="str">
        <f>IF('Extraction edi'!H487="","",'Extraction edi'!H487)</f>
        <v/>
      </c>
      <c r="E477" s="1" t="str">
        <f>IF('Extraction edi'!I487="","",'Extraction edi'!I487)</f>
        <v/>
      </c>
      <c r="F477" t="str">
        <f>IF('Extraction edi'!K487="","",'Extraction edi'!K487)</f>
        <v/>
      </c>
      <c r="G477" t="str">
        <f>IF('Extraction edi'!L480="","",'Extraction edi'!L480)</f>
        <v/>
      </c>
      <c r="H477" t="str">
        <f>IF('Extraction edi'!M480="","",'Extraction edi'!M480)</f>
        <v/>
      </c>
      <c r="I477" s="1" t="str">
        <f>IF('Extraction edi'!N487="","",'Extraction edi'!N487)</f>
        <v/>
      </c>
      <c r="J477" s="1" t="str">
        <f>IF('Extraction edi'!O487="","",'Extraction edi'!O487)</f>
        <v/>
      </c>
      <c r="K477" s="1" t="str">
        <f>IF('Extraction edi'!P487="","",'Extraction edi'!P487)</f>
        <v/>
      </c>
      <c r="L477" s="1" t="str">
        <f>IF('Extraction edi'!Q487="laquage RAL :","OUI","")</f>
        <v/>
      </c>
      <c r="M477" s="1" t="str">
        <f>IF('Extraction edi'!R487&lt;&gt;"",'Extraction edi'!R487,IF(G477="ALU blanc","S9016",""))</f>
        <v/>
      </c>
      <c r="N477" s="1" t="str">
        <f>IF('Extraction edi'!S487&lt;&gt;"",'Extraction edi'!S487,IF(G477="ALU blanc","S9016",""))</f>
        <v/>
      </c>
      <c r="O477" s="11" t="str">
        <f>IF('Extraction edi'!V487&lt;'Feuille commande'!$E$1,"DELAI NON COMPATIBLE",IF('Extraction edi'!V487="","",WORKDAY('Extraction edi'!V487,-10,Paramètrage!$G$2:$G$104)))</f>
        <v/>
      </c>
      <c r="P477" s="1" t="e">
        <f t="shared" si="7"/>
        <v>#VALUE!</v>
      </c>
    </row>
    <row r="478" spans="1:16" x14ac:dyDescent="0.25">
      <c r="A478" s="1" t="str">
        <f>IF(B478="","",CONCATENATE(B478,".",C478,"/Pos ",D478,"/",'Extraction edi'!G488))</f>
        <v/>
      </c>
      <c r="B478" s="1" t="str">
        <f>IF('Extraction edi'!A488="","",'Extraction edi'!A488)</f>
        <v/>
      </c>
      <c r="C478" s="1" t="str">
        <f>IF('Extraction edi'!B488="","",'Extraction edi'!B488)</f>
        <v/>
      </c>
      <c r="D478" s="1" t="str">
        <f>IF('Extraction edi'!H488="","",'Extraction edi'!H488)</f>
        <v/>
      </c>
      <c r="E478" s="1" t="str">
        <f>IF('Extraction edi'!I488="","",'Extraction edi'!I488)</f>
        <v/>
      </c>
      <c r="F478" t="str">
        <f>IF('Extraction edi'!K488="","",'Extraction edi'!K488)</f>
        <v/>
      </c>
      <c r="G478" t="str">
        <f>IF('Extraction edi'!L481="","",'Extraction edi'!L481)</f>
        <v/>
      </c>
      <c r="H478" t="str">
        <f>IF('Extraction edi'!M481="","",'Extraction edi'!M481)</f>
        <v/>
      </c>
      <c r="I478" s="1" t="str">
        <f>IF('Extraction edi'!N488="","",'Extraction edi'!N488)</f>
        <v/>
      </c>
      <c r="J478" s="1" t="str">
        <f>IF('Extraction edi'!O488="","",'Extraction edi'!O488)</f>
        <v/>
      </c>
      <c r="K478" s="1" t="str">
        <f>IF('Extraction edi'!P488="","",'Extraction edi'!P488)</f>
        <v/>
      </c>
      <c r="L478" s="1" t="str">
        <f>IF('Extraction edi'!Q488="laquage RAL :","OUI","")</f>
        <v/>
      </c>
      <c r="M478" s="1" t="str">
        <f>IF('Extraction edi'!R488&lt;&gt;"",'Extraction edi'!R488,IF(G478="ALU blanc","S9016",""))</f>
        <v/>
      </c>
      <c r="N478" s="1" t="str">
        <f>IF('Extraction edi'!S488&lt;&gt;"",'Extraction edi'!S488,IF(G478="ALU blanc","S9016",""))</f>
        <v/>
      </c>
      <c r="O478" s="11" t="str">
        <f>IF('Extraction edi'!V488&lt;'Feuille commande'!$E$1,"DELAI NON COMPATIBLE",IF('Extraction edi'!V488="","",WORKDAY('Extraction edi'!V488,-10,Paramètrage!$G$2:$G$104)))</f>
        <v/>
      </c>
      <c r="P478" s="1" t="e">
        <f t="shared" si="7"/>
        <v>#VALUE!</v>
      </c>
    </row>
    <row r="479" spans="1:16" x14ac:dyDescent="0.25">
      <c r="A479" s="1" t="str">
        <f>IF(B479="","",CONCATENATE(B479,".",C479,"/Pos ",D479,"/",'Extraction edi'!G489))</f>
        <v/>
      </c>
      <c r="B479" s="1" t="str">
        <f>IF('Extraction edi'!A489="","",'Extraction edi'!A489)</f>
        <v/>
      </c>
      <c r="C479" s="1" t="str">
        <f>IF('Extraction edi'!B489="","",'Extraction edi'!B489)</f>
        <v/>
      </c>
      <c r="D479" s="1" t="str">
        <f>IF('Extraction edi'!H489="","",'Extraction edi'!H489)</f>
        <v/>
      </c>
      <c r="E479" s="1" t="str">
        <f>IF('Extraction edi'!I489="","",'Extraction edi'!I489)</f>
        <v/>
      </c>
      <c r="F479" t="str">
        <f>IF('Extraction edi'!K489="","",'Extraction edi'!K489)</f>
        <v/>
      </c>
      <c r="G479" t="str">
        <f>IF('Extraction edi'!L482="","",'Extraction edi'!L482)</f>
        <v/>
      </c>
      <c r="H479" t="str">
        <f>IF('Extraction edi'!M482="","",'Extraction edi'!M482)</f>
        <v/>
      </c>
      <c r="I479" s="1" t="str">
        <f>IF('Extraction edi'!N489="","",'Extraction edi'!N489)</f>
        <v/>
      </c>
      <c r="J479" s="1" t="str">
        <f>IF('Extraction edi'!O489="","",'Extraction edi'!O489)</f>
        <v/>
      </c>
      <c r="K479" s="1" t="str">
        <f>IF('Extraction edi'!P489="","",'Extraction edi'!P489)</f>
        <v/>
      </c>
      <c r="L479" s="1" t="str">
        <f>IF('Extraction edi'!Q489="laquage RAL :","OUI","")</f>
        <v/>
      </c>
      <c r="M479" s="1" t="str">
        <f>IF('Extraction edi'!R489&lt;&gt;"",'Extraction edi'!R489,IF(G479="ALU blanc","S9016",""))</f>
        <v/>
      </c>
      <c r="N479" s="1" t="str">
        <f>IF('Extraction edi'!S489&lt;&gt;"",'Extraction edi'!S489,IF(G479="ALU blanc","S9016",""))</f>
        <v/>
      </c>
      <c r="O479" s="11" t="str">
        <f>IF('Extraction edi'!V489&lt;'Feuille commande'!$E$1,"DELAI NON COMPATIBLE",IF('Extraction edi'!V489="","",WORKDAY('Extraction edi'!V489,-10,Paramètrage!$G$2:$G$104)))</f>
        <v/>
      </c>
      <c r="P479" s="1" t="e">
        <f t="shared" si="7"/>
        <v>#VALUE!</v>
      </c>
    </row>
    <row r="480" spans="1:16" x14ac:dyDescent="0.25">
      <c r="A480" s="1" t="str">
        <f>IF(B480="","",CONCATENATE(B480,".",C480,"/Pos ",D480,"/",'Extraction edi'!G490))</f>
        <v/>
      </c>
      <c r="B480" s="1" t="str">
        <f>IF('Extraction edi'!A490="","",'Extraction edi'!A490)</f>
        <v/>
      </c>
      <c r="C480" s="1" t="str">
        <f>IF('Extraction edi'!B490="","",'Extraction edi'!B490)</f>
        <v/>
      </c>
      <c r="D480" s="1" t="str">
        <f>IF('Extraction edi'!H490="","",'Extraction edi'!H490)</f>
        <v/>
      </c>
      <c r="E480" s="1" t="str">
        <f>IF('Extraction edi'!I490="","",'Extraction edi'!I490)</f>
        <v/>
      </c>
      <c r="F480" t="str">
        <f>IF('Extraction edi'!K490="","",'Extraction edi'!K490)</f>
        <v/>
      </c>
      <c r="G480" t="str">
        <f>IF('Extraction edi'!L483="","",'Extraction edi'!L483)</f>
        <v/>
      </c>
      <c r="H480" t="str">
        <f>IF('Extraction edi'!M483="","",'Extraction edi'!M483)</f>
        <v/>
      </c>
      <c r="I480" s="1" t="str">
        <f>IF('Extraction edi'!N490="","",'Extraction edi'!N490)</f>
        <v/>
      </c>
      <c r="J480" s="1" t="str">
        <f>IF('Extraction edi'!O490="","",'Extraction edi'!O490)</f>
        <v/>
      </c>
      <c r="K480" s="1" t="str">
        <f>IF('Extraction edi'!P490="","",'Extraction edi'!P490)</f>
        <v/>
      </c>
      <c r="L480" s="1" t="str">
        <f>IF('Extraction edi'!Q490="laquage RAL :","OUI","")</f>
        <v/>
      </c>
      <c r="M480" s="1" t="str">
        <f>IF('Extraction edi'!R490&lt;&gt;"",'Extraction edi'!R490,IF(G480="ALU blanc","S9016",""))</f>
        <v/>
      </c>
      <c r="N480" s="1" t="str">
        <f>IF('Extraction edi'!S490&lt;&gt;"",'Extraction edi'!S490,IF(G480="ALU blanc","S9016",""))</f>
        <v/>
      </c>
      <c r="O480" s="11" t="str">
        <f>IF('Extraction edi'!V490&lt;'Feuille commande'!$E$1,"DELAI NON COMPATIBLE",IF('Extraction edi'!V490="","",WORKDAY('Extraction edi'!V490,-10,Paramètrage!$G$2:$G$104)))</f>
        <v/>
      </c>
      <c r="P480" s="1" t="e">
        <f t="shared" si="7"/>
        <v>#VALUE!</v>
      </c>
    </row>
    <row r="481" spans="1:16" x14ac:dyDescent="0.25">
      <c r="A481" s="1" t="str">
        <f>IF(B481="","",CONCATENATE(B481,".",C481,"/Pos ",D481,"/",'Extraction edi'!G491))</f>
        <v/>
      </c>
      <c r="B481" s="1" t="str">
        <f>IF('Extraction edi'!A491="","",'Extraction edi'!A491)</f>
        <v/>
      </c>
      <c r="C481" s="1" t="str">
        <f>IF('Extraction edi'!B491="","",'Extraction edi'!B491)</f>
        <v/>
      </c>
      <c r="D481" s="1" t="str">
        <f>IF('Extraction edi'!H491="","",'Extraction edi'!H491)</f>
        <v/>
      </c>
      <c r="E481" s="1" t="str">
        <f>IF('Extraction edi'!I491="","",'Extraction edi'!I491)</f>
        <v/>
      </c>
      <c r="F481" t="str">
        <f>IF('Extraction edi'!K491="","",'Extraction edi'!K491)</f>
        <v/>
      </c>
      <c r="G481" t="str">
        <f>IF('Extraction edi'!L484="","",'Extraction edi'!L484)</f>
        <v/>
      </c>
      <c r="H481" t="str">
        <f>IF('Extraction edi'!M484="","",'Extraction edi'!M484)</f>
        <v/>
      </c>
      <c r="I481" s="1" t="str">
        <f>IF('Extraction edi'!N491="","",'Extraction edi'!N491)</f>
        <v/>
      </c>
      <c r="J481" s="1" t="str">
        <f>IF('Extraction edi'!O491="","",'Extraction edi'!O491)</f>
        <v/>
      </c>
      <c r="K481" s="1" t="str">
        <f>IF('Extraction edi'!P491="","",'Extraction edi'!P491)</f>
        <v/>
      </c>
      <c r="L481" s="1" t="str">
        <f>IF('Extraction edi'!Q491="laquage RAL :","OUI","")</f>
        <v/>
      </c>
      <c r="M481" s="1" t="str">
        <f>IF('Extraction edi'!R491&lt;&gt;"",'Extraction edi'!R491,IF(G481="ALU blanc","S9016",""))</f>
        <v/>
      </c>
      <c r="N481" s="1" t="str">
        <f>IF('Extraction edi'!S491&lt;&gt;"",'Extraction edi'!S491,IF(G481="ALU blanc","S9016",""))</f>
        <v/>
      </c>
      <c r="O481" s="11" t="str">
        <f>IF('Extraction edi'!V491&lt;'Feuille commande'!$E$1,"DELAI NON COMPATIBLE",IF('Extraction edi'!V491="","",WORKDAY('Extraction edi'!V491,-10,Paramètrage!$G$2:$G$104)))</f>
        <v/>
      </c>
      <c r="P481" s="1" t="e">
        <f t="shared" si="7"/>
        <v>#VALUE!</v>
      </c>
    </row>
    <row r="482" spans="1:16" x14ac:dyDescent="0.25">
      <c r="A482" s="1" t="str">
        <f>IF(B482="","",CONCATENATE(B482,".",C482,"/Pos ",D482,"/",'Extraction edi'!G492))</f>
        <v/>
      </c>
      <c r="B482" s="1" t="str">
        <f>IF('Extraction edi'!A492="","",'Extraction edi'!A492)</f>
        <v/>
      </c>
      <c r="C482" s="1" t="str">
        <f>IF('Extraction edi'!B492="","",'Extraction edi'!B492)</f>
        <v/>
      </c>
      <c r="D482" s="1" t="str">
        <f>IF('Extraction edi'!H492="","",'Extraction edi'!H492)</f>
        <v/>
      </c>
      <c r="E482" s="1" t="str">
        <f>IF('Extraction edi'!I492="","",'Extraction edi'!I492)</f>
        <v/>
      </c>
      <c r="F482" t="str">
        <f>IF('Extraction edi'!K492="","",'Extraction edi'!K492)</f>
        <v/>
      </c>
      <c r="G482" t="str">
        <f>IF('Extraction edi'!L485="","",'Extraction edi'!L485)</f>
        <v/>
      </c>
      <c r="H482" t="str">
        <f>IF('Extraction edi'!M485="","",'Extraction edi'!M485)</f>
        <v/>
      </c>
      <c r="I482" s="1" t="str">
        <f>IF('Extraction edi'!N492="","",'Extraction edi'!N492)</f>
        <v/>
      </c>
      <c r="J482" s="1" t="str">
        <f>IF('Extraction edi'!O492="","",'Extraction edi'!O492)</f>
        <v/>
      </c>
      <c r="K482" s="1" t="str">
        <f>IF('Extraction edi'!P492="","",'Extraction edi'!P492)</f>
        <v/>
      </c>
      <c r="L482" s="1" t="str">
        <f>IF('Extraction edi'!Q492="laquage RAL :","OUI","")</f>
        <v/>
      </c>
      <c r="M482" s="1" t="str">
        <f>IF('Extraction edi'!R492&lt;&gt;"",'Extraction edi'!R492,IF(G482="ALU blanc","S9016",""))</f>
        <v/>
      </c>
      <c r="N482" s="1" t="str">
        <f>IF('Extraction edi'!S492&lt;&gt;"",'Extraction edi'!S492,IF(G482="ALU blanc","S9016",""))</f>
        <v/>
      </c>
      <c r="O482" s="11" t="str">
        <f>IF('Extraction edi'!V492&lt;'Feuille commande'!$E$1,"DELAI NON COMPATIBLE",IF('Extraction edi'!V492="","",WORKDAY('Extraction edi'!V492,-10,Paramètrage!$G$2:$G$104)))</f>
        <v/>
      </c>
      <c r="P482" s="1" t="e">
        <f t="shared" si="7"/>
        <v>#VALUE!</v>
      </c>
    </row>
    <row r="483" spans="1:16" x14ac:dyDescent="0.25">
      <c r="A483" s="1" t="str">
        <f>IF(B483="","",CONCATENATE(B483,".",C483,"/Pos ",D483,"/",'Extraction edi'!G493))</f>
        <v/>
      </c>
      <c r="B483" s="1" t="str">
        <f>IF('Extraction edi'!A493="","",'Extraction edi'!A493)</f>
        <v/>
      </c>
      <c r="C483" s="1" t="str">
        <f>IF('Extraction edi'!B493="","",'Extraction edi'!B493)</f>
        <v/>
      </c>
      <c r="D483" s="1" t="str">
        <f>IF('Extraction edi'!H493="","",'Extraction edi'!H493)</f>
        <v/>
      </c>
      <c r="E483" s="1" t="str">
        <f>IF('Extraction edi'!I493="","",'Extraction edi'!I493)</f>
        <v/>
      </c>
      <c r="F483" t="str">
        <f>IF('Extraction edi'!K493="","",'Extraction edi'!K493)</f>
        <v/>
      </c>
      <c r="G483" t="str">
        <f>IF('Extraction edi'!L486="","",'Extraction edi'!L486)</f>
        <v/>
      </c>
      <c r="H483" t="str">
        <f>IF('Extraction edi'!M486="","",'Extraction edi'!M486)</f>
        <v/>
      </c>
      <c r="I483" s="1" t="str">
        <f>IF('Extraction edi'!N493="","",'Extraction edi'!N493)</f>
        <v/>
      </c>
      <c r="J483" s="1" t="str">
        <f>IF('Extraction edi'!O493="","",'Extraction edi'!O493)</f>
        <v/>
      </c>
      <c r="K483" s="1" t="str">
        <f>IF('Extraction edi'!P493="","",'Extraction edi'!P493)</f>
        <v/>
      </c>
      <c r="L483" s="1" t="str">
        <f>IF('Extraction edi'!Q493="laquage RAL :","OUI","")</f>
        <v/>
      </c>
      <c r="M483" s="1" t="str">
        <f>IF('Extraction edi'!R493&lt;&gt;"",'Extraction edi'!R493,IF(G483="ALU blanc","S9016",""))</f>
        <v/>
      </c>
      <c r="N483" s="1" t="str">
        <f>IF('Extraction edi'!S493&lt;&gt;"",'Extraction edi'!S493,IF(G483="ALU blanc","S9016",""))</f>
        <v/>
      </c>
      <c r="O483" s="11" t="str">
        <f>IF('Extraction edi'!V493&lt;'Feuille commande'!$E$1,"DELAI NON COMPATIBLE",IF('Extraction edi'!V493="","",WORKDAY('Extraction edi'!V493,-10,Paramètrage!$G$2:$G$104)))</f>
        <v/>
      </c>
      <c r="P483" s="1" t="e">
        <f t="shared" si="7"/>
        <v>#VALUE!</v>
      </c>
    </row>
    <row r="484" spans="1:16" x14ac:dyDescent="0.25">
      <c r="A484" s="1" t="str">
        <f>IF(B484="","",CONCATENATE(B484,".",C484,"/Pos ",D484,"/",'Extraction edi'!G494))</f>
        <v/>
      </c>
      <c r="B484" s="1" t="str">
        <f>IF('Extraction edi'!A494="","",'Extraction edi'!A494)</f>
        <v/>
      </c>
      <c r="C484" s="1" t="str">
        <f>IF('Extraction edi'!B494="","",'Extraction edi'!B494)</f>
        <v/>
      </c>
      <c r="D484" s="1" t="str">
        <f>IF('Extraction edi'!H494="","",'Extraction edi'!H494)</f>
        <v/>
      </c>
      <c r="E484" s="1" t="str">
        <f>IF('Extraction edi'!I494="","",'Extraction edi'!I494)</f>
        <v/>
      </c>
      <c r="F484" t="str">
        <f>IF('Extraction edi'!K494="","",'Extraction edi'!K494)</f>
        <v/>
      </c>
      <c r="G484" t="str">
        <f>IF('Extraction edi'!L487="","",'Extraction edi'!L487)</f>
        <v/>
      </c>
      <c r="H484" t="str">
        <f>IF('Extraction edi'!M487="","",'Extraction edi'!M487)</f>
        <v/>
      </c>
      <c r="I484" s="1" t="str">
        <f>IF('Extraction edi'!N494="","",'Extraction edi'!N494)</f>
        <v/>
      </c>
      <c r="J484" s="1" t="str">
        <f>IF('Extraction edi'!O494="","",'Extraction edi'!O494)</f>
        <v/>
      </c>
      <c r="K484" s="1" t="str">
        <f>IF('Extraction edi'!P494="","",'Extraction edi'!P494)</f>
        <v/>
      </c>
      <c r="L484" s="1" t="str">
        <f>IF('Extraction edi'!Q494="laquage RAL :","OUI","")</f>
        <v/>
      </c>
      <c r="M484" s="1" t="str">
        <f>IF('Extraction edi'!R494&lt;&gt;"",'Extraction edi'!R494,IF(G484="ALU blanc","S9016",""))</f>
        <v/>
      </c>
      <c r="N484" s="1" t="str">
        <f>IF('Extraction edi'!S494&lt;&gt;"",'Extraction edi'!S494,IF(G484="ALU blanc","S9016",""))</f>
        <v/>
      </c>
      <c r="O484" s="11" t="str">
        <f>IF('Extraction edi'!V494&lt;'Feuille commande'!$E$1,"DELAI NON COMPATIBLE",IF('Extraction edi'!V494="","",WORKDAY('Extraction edi'!V494,-10,Paramètrage!$G$2:$G$104)))</f>
        <v/>
      </c>
      <c r="P484" s="1" t="e">
        <f t="shared" si="7"/>
        <v>#VALUE!</v>
      </c>
    </row>
    <row r="485" spans="1:16" x14ac:dyDescent="0.25">
      <c r="A485" s="1" t="str">
        <f>IF(B485="","",CONCATENATE(B485,".",C485,"/Pos ",D485,"/",'Extraction edi'!G495))</f>
        <v/>
      </c>
      <c r="B485" s="1" t="str">
        <f>IF('Extraction edi'!A495="","",'Extraction edi'!A495)</f>
        <v/>
      </c>
      <c r="C485" s="1" t="str">
        <f>IF('Extraction edi'!B495="","",'Extraction edi'!B495)</f>
        <v/>
      </c>
      <c r="D485" s="1" t="str">
        <f>IF('Extraction edi'!H495="","",'Extraction edi'!H495)</f>
        <v/>
      </c>
      <c r="E485" s="1" t="str">
        <f>IF('Extraction edi'!I495="","",'Extraction edi'!I495)</f>
        <v/>
      </c>
      <c r="F485" t="str">
        <f>IF('Extraction edi'!K495="","",'Extraction edi'!K495)</f>
        <v/>
      </c>
      <c r="G485" t="str">
        <f>IF('Extraction edi'!L488="","",'Extraction edi'!L488)</f>
        <v/>
      </c>
      <c r="H485" t="str">
        <f>IF('Extraction edi'!M488="","",'Extraction edi'!M488)</f>
        <v/>
      </c>
      <c r="I485" s="1" t="str">
        <f>IF('Extraction edi'!N495="","",'Extraction edi'!N495)</f>
        <v/>
      </c>
      <c r="J485" s="1" t="str">
        <f>IF('Extraction edi'!O495="","",'Extraction edi'!O495)</f>
        <v/>
      </c>
      <c r="K485" s="1" t="str">
        <f>IF('Extraction edi'!P495="","",'Extraction edi'!P495)</f>
        <v/>
      </c>
      <c r="L485" s="1" t="str">
        <f>IF('Extraction edi'!Q495="laquage RAL :","OUI","")</f>
        <v/>
      </c>
      <c r="M485" s="1" t="str">
        <f>IF('Extraction edi'!R495&lt;&gt;"",'Extraction edi'!R495,IF(G485="ALU blanc","S9016",""))</f>
        <v/>
      </c>
      <c r="N485" s="1" t="str">
        <f>IF('Extraction edi'!S495&lt;&gt;"",'Extraction edi'!S495,IF(G485="ALU blanc","S9016",""))</f>
        <v/>
      </c>
      <c r="O485" s="11" t="str">
        <f>IF('Extraction edi'!V495&lt;'Feuille commande'!$E$1,"DELAI NON COMPATIBLE",IF('Extraction edi'!V495="","",WORKDAY('Extraction edi'!V495,-10,Paramètrage!$G$2:$G$104)))</f>
        <v/>
      </c>
      <c r="P485" s="1" t="e">
        <f t="shared" si="7"/>
        <v>#VALUE!</v>
      </c>
    </row>
    <row r="486" spans="1:16" x14ac:dyDescent="0.25">
      <c r="A486" s="1" t="str">
        <f>IF(B486="","",CONCATENATE(B486,".",C486,"/Pos ",D486,"/",'Extraction edi'!G496))</f>
        <v/>
      </c>
      <c r="B486" s="1" t="str">
        <f>IF('Extraction edi'!A496="","",'Extraction edi'!A496)</f>
        <v/>
      </c>
      <c r="C486" s="1" t="str">
        <f>IF('Extraction edi'!B496="","",'Extraction edi'!B496)</f>
        <v/>
      </c>
      <c r="D486" s="1" t="str">
        <f>IF('Extraction edi'!H496="","",'Extraction edi'!H496)</f>
        <v/>
      </c>
      <c r="E486" s="1" t="str">
        <f>IF('Extraction edi'!I496="","",'Extraction edi'!I496)</f>
        <v/>
      </c>
      <c r="F486" t="str">
        <f>IF('Extraction edi'!K496="","",'Extraction edi'!K496)</f>
        <v/>
      </c>
      <c r="G486" t="str">
        <f>IF('Extraction edi'!L489="","",'Extraction edi'!L489)</f>
        <v/>
      </c>
      <c r="H486" t="str">
        <f>IF('Extraction edi'!M489="","",'Extraction edi'!M489)</f>
        <v/>
      </c>
      <c r="I486" s="1" t="str">
        <f>IF('Extraction edi'!N496="","",'Extraction edi'!N496)</f>
        <v/>
      </c>
      <c r="J486" s="1" t="str">
        <f>IF('Extraction edi'!O496="","",'Extraction edi'!O496)</f>
        <v/>
      </c>
      <c r="K486" s="1" t="str">
        <f>IF('Extraction edi'!P496="","",'Extraction edi'!P496)</f>
        <v/>
      </c>
      <c r="L486" s="1" t="str">
        <f>IF('Extraction edi'!Q496="laquage RAL :","OUI","")</f>
        <v/>
      </c>
      <c r="M486" s="1" t="str">
        <f>IF('Extraction edi'!R496&lt;&gt;"",'Extraction edi'!R496,IF(G486="ALU blanc","S9016",""))</f>
        <v/>
      </c>
      <c r="N486" s="1" t="str">
        <f>IF('Extraction edi'!S496&lt;&gt;"",'Extraction edi'!S496,IF(G486="ALU blanc","S9016",""))</f>
        <v/>
      </c>
      <c r="O486" s="11" t="str">
        <f>IF('Extraction edi'!V496&lt;'Feuille commande'!$E$1,"DELAI NON COMPATIBLE",IF('Extraction edi'!V496="","",WORKDAY('Extraction edi'!V496,-10,Paramètrage!$G$2:$G$104)))</f>
        <v/>
      </c>
      <c r="P486" s="1" t="e">
        <f t="shared" si="7"/>
        <v>#VALUE!</v>
      </c>
    </row>
    <row r="487" spans="1:16" x14ac:dyDescent="0.25">
      <c r="A487" s="1" t="str">
        <f>IF(B487="","",CONCATENATE(B487,".",C487,"/Pos ",D487,"/",'Extraction edi'!G497))</f>
        <v/>
      </c>
      <c r="B487" s="1" t="str">
        <f>IF('Extraction edi'!A497="","",'Extraction edi'!A497)</f>
        <v/>
      </c>
      <c r="C487" s="1" t="str">
        <f>IF('Extraction edi'!B497="","",'Extraction edi'!B497)</f>
        <v/>
      </c>
      <c r="D487" s="1" t="str">
        <f>IF('Extraction edi'!H497="","",'Extraction edi'!H497)</f>
        <v/>
      </c>
      <c r="E487" s="1" t="str">
        <f>IF('Extraction edi'!I497="","",'Extraction edi'!I497)</f>
        <v/>
      </c>
      <c r="F487" t="str">
        <f>IF('Extraction edi'!K497="","",'Extraction edi'!K497)</f>
        <v/>
      </c>
      <c r="G487" t="str">
        <f>IF('Extraction edi'!L490="","",'Extraction edi'!L490)</f>
        <v/>
      </c>
      <c r="H487" t="str">
        <f>IF('Extraction edi'!M490="","",'Extraction edi'!M490)</f>
        <v/>
      </c>
      <c r="I487" s="1" t="str">
        <f>IF('Extraction edi'!N497="","",'Extraction edi'!N497)</f>
        <v/>
      </c>
      <c r="J487" s="1" t="str">
        <f>IF('Extraction edi'!O497="","",'Extraction edi'!O497)</f>
        <v/>
      </c>
      <c r="K487" s="1" t="str">
        <f>IF('Extraction edi'!P497="","",'Extraction edi'!P497)</f>
        <v/>
      </c>
      <c r="L487" s="1" t="str">
        <f>IF('Extraction edi'!Q497="laquage RAL :","OUI","")</f>
        <v/>
      </c>
      <c r="M487" s="1" t="str">
        <f>IF('Extraction edi'!R497&lt;&gt;"",'Extraction edi'!R497,IF(G487="ALU blanc","S9016",""))</f>
        <v/>
      </c>
      <c r="N487" s="1" t="str">
        <f>IF('Extraction edi'!S497&lt;&gt;"",'Extraction edi'!S497,IF(G487="ALU blanc","S9016",""))</f>
        <v/>
      </c>
      <c r="O487" s="11" t="str">
        <f>IF('Extraction edi'!V497&lt;'Feuille commande'!$E$1,"DELAI NON COMPATIBLE",IF('Extraction edi'!V497="","",WORKDAY('Extraction edi'!V497,-10,Paramètrage!$G$2:$G$104)))</f>
        <v/>
      </c>
      <c r="P487" s="1" t="e">
        <f t="shared" si="7"/>
        <v>#VALUE!</v>
      </c>
    </row>
    <row r="488" spans="1:16" x14ac:dyDescent="0.25">
      <c r="A488" s="1" t="str">
        <f>IF(B488="","",CONCATENATE(B488,".",C488,"/Pos ",D488,"/",'Extraction edi'!G498))</f>
        <v/>
      </c>
      <c r="B488" s="1" t="str">
        <f>IF('Extraction edi'!A498="","",'Extraction edi'!A498)</f>
        <v/>
      </c>
      <c r="C488" s="1" t="str">
        <f>IF('Extraction edi'!B498="","",'Extraction edi'!B498)</f>
        <v/>
      </c>
      <c r="D488" s="1" t="str">
        <f>IF('Extraction edi'!H498="","",'Extraction edi'!H498)</f>
        <v/>
      </c>
      <c r="E488" s="1" t="str">
        <f>IF('Extraction edi'!I498="","",'Extraction edi'!I498)</f>
        <v/>
      </c>
      <c r="F488" t="str">
        <f>IF('Extraction edi'!K498="","",'Extraction edi'!K498)</f>
        <v/>
      </c>
      <c r="G488" t="str">
        <f>IF('Extraction edi'!L491="","",'Extraction edi'!L491)</f>
        <v/>
      </c>
      <c r="H488" t="str">
        <f>IF('Extraction edi'!M491="","",'Extraction edi'!M491)</f>
        <v/>
      </c>
      <c r="I488" s="1" t="str">
        <f>IF('Extraction edi'!N498="","",'Extraction edi'!N498)</f>
        <v/>
      </c>
      <c r="J488" s="1" t="str">
        <f>IF('Extraction edi'!O498="","",'Extraction edi'!O498)</f>
        <v/>
      </c>
      <c r="K488" s="1" t="str">
        <f>IF('Extraction edi'!P498="","",'Extraction edi'!P498)</f>
        <v/>
      </c>
      <c r="L488" s="1" t="str">
        <f>IF('Extraction edi'!Q498="laquage RAL :","OUI","")</f>
        <v/>
      </c>
      <c r="M488" s="1" t="str">
        <f>IF('Extraction edi'!R498&lt;&gt;"",'Extraction edi'!R498,IF(G488="ALU blanc","S9016",""))</f>
        <v/>
      </c>
      <c r="N488" s="1" t="str">
        <f>IF('Extraction edi'!S498&lt;&gt;"",'Extraction edi'!S498,IF(G488="ALU blanc","S9016",""))</f>
        <v/>
      </c>
      <c r="O488" s="11" t="str">
        <f>IF('Extraction edi'!V498&lt;'Feuille commande'!$E$1,"DELAI NON COMPATIBLE",IF('Extraction edi'!V498="","",WORKDAY('Extraction edi'!V498,-10,Paramètrage!$G$2:$G$104)))</f>
        <v/>
      </c>
      <c r="P488" s="1" t="e">
        <f t="shared" si="7"/>
        <v>#VALUE!</v>
      </c>
    </row>
    <row r="489" spans="1:16" x14ac:dyDescent="0.25">
      <c r="A489" s="1" t="str">
        <f>IF(B489="","",CONCATENATE(B489,".",C489,"/Pos ",D489,"/",'Extraction edi'!G499))</f>
        <v/>
      </c>
      <c r="B489" s="1" t="str">
        <f>IF('Extraction edi'!A499="","",'Extraction edi'!A499)</f>
        <v/>
      </c>
      <c r="C489" s="1" t="str">
        <f>IF('Extraction edi'!B499="","",'Extraction edi'!B499)</f>
        <v/>
      </c>
      <c r="D489" s="1" t="str">
        <f>IF('Extraction edi'!H499="","",'Extraction edi'!H499)</f>
        <v/>
      </c>
      <c r="E489" s="1" t="str">
        <f>IF('Extraction edi'!I499="","",'Extraction edi'!I499)</f>
        <v/>
      </c>
      <c r="F489" t="str">
        <f>IF('Extraction edi'!K499="","",'Extraction edi'!K499)</f>
        <v/>
      </c>
      <c r="G489" t="str">
        <f>IF('Extraction edi'!L492="","",'Extraction edi'!L492)</f>
        <v/>
      </c>
      <c r="H489" t="str">
        <f>IF('Extraction edi'!M492="","",'Extraction edi'!M492)</f>
        <v/>
      </c>
      <c r="I489" s="1" t="str">
        <f>IF('Extraction edi'!N499="","",'Extraction edi'!N499)</f>
        <v/>
      </c>
      <c r="J489" s="1" t="str">
        <f>IF('Extraction edi'!O499="","",'Extraction edi'!O499)</f>
        <v/>
      </c>
      <c r="K489" s="1" t="str">
        <f>IF('Extraction edi'!P499="","",'Extraction edi'!P499)</f>
        <v/>
      </c>
      <c r="L489" s="1" t="str">
        <f>IF('Extraction edi'!Q499="laquage RAL :","OUI","")</f>
        <v/>
      </c>
      <c r="M489" s="1" t="str">
        <f>IF('Extraction edi'!R499&lt;&gt;"",'Extraction edi'!R499,IF(G489="ALU blanc","S9016",""))</f>
        <v/>
      </c>
      <c r="N489" s="1" t="str">
        <f>IF('Extraction edi'!S499&lt;&gt;"",'Extraction edi'!S499,IF(G489="ALU blanc","S9016",""))</f>
        <v/>
      </c>
      <c r="O489" s="11" t="str">
        <f>IF('Extraction edi'!V499&lt;'Feuille commande'!$E$1,"DELAI NON COMPATIBLE",IF('Extraction edi'!V499="","",WORKDAY('Extraction edi'!V499,-10,Paramètrage!$G$2:$G$104)))</f>
        <v/>
      </c>
      <c r="P489" s="1" t="e">
        <f t="shared" si="7"/>
        <v>#VALUE!</v>
      </c>
    </row>
    <row r="490" spans="1:16" x14ac:dyDescent="0.25">
      <c r="A490" s="1" t="str">
        <f>IF(B490="","",CONCATENATE(B490,".",C490,"/Pos ",D490,"/",'Extraction edi'!G500))</f>
        <v/>
      </c>
      <c r="B490" s="1" t="str">
        <f>IF('Extraction edi'!A500="","",'Extraction edi'!A500)</f>
        <v/>
      </c>
      <c r="C490" s="1" t="str">
        <f>IF('Extraction edi'!B500="","",'Extraction edi'!B500)</f>
        <v/>
      </c>
      <c r="D490" s="1" t="str">
        <f>IF('Extraction edi'!H500="","",'Extraction edi'!H500)</f>
        <v/>
      </c>
      <c r="E490" s="1" t="str">
        <f>IF('Extraction edi'!I500="","",'Extraction edi'!I500)</f>
        <v/>
      </c>
      <c r="F490" t="str">
        <f>IF('Extraction edi'!K500="","",'Extraction edi'!K500)</f>
        <v/>
      </c>
      <c r="G490" t="str">
        <f>IF('Extraction edi'!L493="","",'Extraction edi'!L493)</f>
        <v/>
      </c>
      <c r="H490" t="str">
        <f>IF('Extraction edi'!M493="","",'Extraction edi'!M493)</f>
        <v/>
      </c>
      <c r="I490" s="1" t="str">
        <f>IF('Extraction edi'!N500="","",'Extraction edi'!N500)</f>
        <v/>
      </c>
      <c r="J490" s="1" t="str">
        <f>IF('Extraction edi'!O500="","",'Extraction edi'!O500)</f>
        <v/>
      </c>
      <c r="K490" s="1" t="str">
        <f>IF('Extraction edi'!P500="","",'Extraction edi'!P500)</f>
        <v/>
      </c>
      <c r="L490" s="1" t="str">
        <f>IF('Extraction edi'!Q500="laquage RAL :","OUI","")</f>
        <v/>
      </c>
      <c r="M490" s="1" t="str">
        <f>IF('Extraction edi'!R500&lt;&gt;"",'Extraction edi'!R500,IF(G490="ALU blanc","S9016",""))</f>
        <v/>
      </c>
      <c r="N490" s="1" t="str">
        <f>IF('Extraction edi'!S500&lt;&gt;"",'Extraction edi'!S500,IF(G490="ALU blanc","S9016",""))</f>
        <v/>
      </c>
      <c r="O490" s="11" t="str">
        <f>IF('Extraction edi'!V500&lt;'Feuille commande'!$E$1,"DELAI NON COMPATIBLE",IF('Extraction edi'!V500="","",WORKDAY('Extraction edi'!V500,-10,Paramètrage!$G$2:$G$104)))</f>
        <v/>
      </c>
      <c r="P490" s="1" t="e">
        <f t="shared" si="7"/>
        <v>#VALUE!</v>
      </c>
    </row>
    <row r="491" spans="1:16" x14ac:dyDescent="0.25">
      <c r="A491" s="1" t="str">
        <f>IF(B491="","",CONCATENATE(B491,".",C491,"/Pos ",D491,"/",'Extraction edi'!G501))</f>
        <v/>
      </c>
      <c r="B491" s="1" t="str">
        <f>IF('Extraction edi'!A501="","",'Extraction edi'!A501)</f>
        <v/>
      </c>
      <c r="C491" s="1" t="str">
        <f>IF('Extraction edi'!B501="","",'Extraction edi'!B501)</f>
        <v/>
      </c>
      <c r="D491" s="1" t="str">
        <f>IF('Extraction edi'!H501="","",'Extraction edi'!H501)</f>
        <v/>
      </c>
      <c r="E491" s="1" t="str">
        <f>IF('Extraction edi'!I501="","",'Extraction edi'!I501)</f>
        <v/>
      </c>
      <c r="F491" t="str">
        <f>IF('Extraction edi'!K501="","",'Extraction edi'!K501)</f>
        <v/>
      </c>
      <c r="G491" t="str">
        <f>IF('Extraction edi'!L494="","",'Extraction edi'!L494)</f>
        <v/>
      </c>
      <c r="H491" t="str">
        <f>IF('Extraction edi'!M494="","",'Extraction edi'!M494)</f>
        <v/>
      </c>
      <c r="I491" s="1" t="str">
        <f>IF('Extraction edi'!N501="","",'Extraction edi'!N501)</f>
        <v/>
      </c>
      <c r="J491" s="1" t="str">
        <f>IF('Extraction edi'!O501="","",'Extraction edi'!O501)</f>
        <v/>
      </c>
      <c r="K491" s="1" t="str">
        <f>IF('Extraction edi'!P501="","",'Extraction edi'!P501)</f>
        <v/>
      </c>
      <c r="L491" s="1" t="str">
        <f>IF('Extraction edi'!Q501="laquage RAL :","OUI","")</f>
        <v/>
      </c>
      <c r="M491" s="1" t="str">
        <f>IF('Extraction edi'!R501&lt;&gt;"",'Extraction edi'!R501,IF(G491="ALU blanc","S9016",""))</f>
        <v/>
      </c>
      <c r="N491" s="1" t="str">
        <f>IF('Extraction edi'!S501&lt;&gt;"",'Extraction edi'!S501,IF(G491="ALU blanc","S9016",""))</f>
        <v/>
      </c>
      <c r="O491" s="11" t="str">
        <f>IF('Extraction edi'!V501&lt;'Feuille commande'!$E$1,"DELAI NON COMPATIBLE",IF('Extraction edi'!V501="","",WORKDAY('Extraction edi'!V501,-10,Paramètrage!$G$2:$G$104)))</f>
        <v/>
      </c>
      <c r="P491" s="1" t="e">
        <f t="shared" si="7"/>
        <v>#VALUE!</v>
      </c>
    </row>
    <row r="492" spans="1:16" x14ac:dyDescent="0.25">
      <c r="A492" s="1" t="str">
        <f>IF(B492="","",CONCATENATE(B492,".",C492,"/Pos ",D492,"/",'Extraction edi'!G502))</f>
        <v/>
      </c>
      <c r="B492" s="1" t="str">
        <f>IF('Extraction edi'!A502="","",'Extraction edi'!A502)</f>
        <v/>
      </c>
      <c r="C492" s="1" t="str">
        <f>IF('Extraction edi'!B502="","",'Extraction edi'!B502)</f>
        <v/>
      </c>
      <c r="D492" s="1" t="str">
        <f>IF('Extraction edi'!H502="","",'Extraction edi'!H502)</f>
        <v/>
      </c>
      <c r="E492" s="1" t="str">
        <f>IF('Extraction edi'!I502="","",'Extraction edi'!I502)</f>
        <v/>
      </c>
      <c r="F492" t="str">
        <f>IF('Extraction edi'!K502="","",'Extraction edi'!K502)</f>
        <v/>
      </c>
      <c r="G492" t="str">
        <f>IF('Extraction edi'!L495="","",'Extraction edi'!L495)</f>
        <v/>
      </c>
      <c r="H492" t="str">
        <f>IF('Extraction edi'!M495="","",'Extraction edi'!M495)</f>
        <v/>
      </c>
      <c r="I492" s="1" t="str">
        <f>IF('Extraction edi'!N502="","",'Extraction edi'!N502)</f>
        <v/>
      </c>
      <c r="J492" s="1" t="str">
        <f>IF('Extraction edi'!O502="","",'Extraction edi'!O502)</f>
        <v/>
      </c>
      <c r="K492" s="1" t="str">
        <f>IF('Extraction edi'!P502="","",'Extraction edi'!P502)</f>
        <v/>
      </c>
      <c r="L492" s="1" t="str">
        <f>IF('Extraction edi'!Q502="laquage RAL :","OUI","")</f>
        <v/>
      </c>
      <c r="M492" s="1" t="str">
        <f>IF('Extraction edi'!R502&lt;&gt;"",'Extraction edi'!R502,IF(G492="ALU blanc","S9016",""))</f>
        <v/>
      </c>
      <c r="N492" s="1" t="str">
        <f>IF('Extraction edi'!S502&lt;&gt;"",'Extraction edi'!S502,IF(G492="ALU blanc","S9016",""))</f>
        <v/>
      </c>
      <c r="O492" s="11" t="str">
        <f>IF('Extraction edi'!V502&lt;'Feuille commande'!$E$1,"DELAI NON COMPATIBLE",IF('Extraction edi'!V502="","",WORKDAY('Extraction edi'!V502,-10,Paramètrage!$G$2:$G$104)))</f>
        <v/>
      </c>
      <c r="P492" s="1" t="e">
        <f t="shared" si="7"/>
        <v>#VALUE!</v>
      </c>
    </row>
    <row r="493" spans="1:16" x14ac:dyDescent="0.25">
      <c r="A493" s="1" t="str">
        <f>IF(B493="","",CONCATENATE(B493,".",C493,"/Pos ",D493,"/",'Extraction edi'!G503))</f>
        <v/>
      </c>
      <c r="B493" s="1" t="str">
        <f>IF('Extraction edi'!A503="","",'Extraction edi'!A503)</f>
        <v/>
      </c>
      <c r="C493" s="1" t="str">
        <f>IF('Extraction edi'!B503="","",'Extraction edi'!B503)</f>
        <v/>
      </c>
      <c r="D493" s="1" t="str">
        <f>IF('Extraction edi'!H503="","",'Extraction edi'!H503)</f>
        <v/>
      </c>
      <c r="E493" s="1" t="str">
        <f>IF('Extraction edi'!I503="","",'Extraction edi'!I503)</f>
        <v/>
      </c>
      <c r="F493" t="str">
        <f>IF('Extraction edi'!K503="","",'Extraction edi'!K503)</f>
        <v/>
      </c>
      <c r="G493" t="str">
        <f>IF('Extraction edi'!L496="","",'Extraction edi'!L496)</f>
        <v/>
      </c>
      <c r="H493" t="str">
        <f>IF('Extraction edi'!M496="","",'Extraction edi'!M496)</f>
        <v/>
      </c>
      <c r="I493" s="1" t="str">
        <f>IF('Extraction edi'!N503="","",'Extraction edi'!N503)</f>
        <v/>
      </c>
      <c r="J493" s="1" t="str">
        <f>IF('Extraction edi'!O503="","",'Extraction edi'!O503)</f>
        <v/>
      </c>
      <c r="K493" s="1" t="str">
        <f>IF('Extraction edi'!P503="","",'Extraction edi'!P503)</f>
        <v/>
      </c>
      <c r="L493" s="1" t="str">
        <f>IF('Extraction edi'!Q503="laquage RAL :","OUI","")</f>
        <v/>
      </c>
      <c r="M493" s="1" t="str">
        <f>IF('Extraction edi'!R503&lt;&gt;"",'Extraction edi'!R503,IF(G493="ALU blanc","S9016",""))</f>
        <v/>
      </c>
      <c r="N493" s="1" t="str">
        <f>IF('Extraction edi'!S503&lt;&gt;"",'Extraction edi'!S503,IF(G493="ALU blanc","S9016",""))</f>
        <v/>
      </c>
      <c r="O493" s="11" t="str">
        <f>IF('Extraction edi'!V503&lt;'Feuille commande'!$E$1,"DELAI NON COMPATIBLE",IF('Extraction edi'!V503="","",WORKDAY('Extraction edi'!V503,-10,Paramètrage!$G$2:$G$104)))</f>
        <v/>
      </c>
      <c r="P493" s="1" t="e">
        <f t="shared" si="7"/>
        <v>#VALUE!</v>
      </c>
    </row>
    <row r="494" spans="1:16" x14ac:dyDescent="0.25">
      <c r="A494" s="1" t="str">
        <f>IF(B494="","",CONCATENATE(B494,".",C494,"/Pos ",D494,"/",'Extraction edi'!G504))</f>
        <v/>
      </c>
      <c r="B494" s="1" t="str">
        <f>IF('Extraction edi'!A504="","",'Extraction edi'!A504)</f>
        <v/>
      </c>
      <c r="C494" s="1" t="str">
        <f>IF('Extraction edi'!B504="","",'Extraction edi'!B504)</f>
        <v/>
      </c>
      <c r="D494" s="1" t="str">
        <f>IF('Extraction edi'!H504="","",'Extraction edi'!H504)</f>
        <v/>
      </c>
      <c r="E494" s="1" t="str">
        <f>IF('Extraction edi'!I504="","",'Extraction edi'!I504)</f>
        <v/>
      </c>
      <c r="F494" t="str">
        <f>IF('Extraction edi'!K504="","",'Extraction edi'!K504)</f>
        <v/>
      </c>
      <c r="G494" t="str">
        <f>IF('Extraction edi'!L497="","",'Extraction edi'!L497)</f>
        <v/>
      </c>
      <c r="H494" t="str">
        <f>IF('Extraction edi'!M497="","",'Extraction edi'!M497)</f>
        <v/>
      </c>
      <c r="I494" s="1" t="str">
        <f>IF('Extraction edi'!N504="","",'Extraction edi'!N504)</f>
        <v/>
      </c>
      <c r="J494" s="1" t="str">
        <f>IF('Extraction edi'!O504="","",'Extraction edi'!O504)</f>
        <v/>
      </c>
      <c r="K494" s="1" t="str">
        <f>IF('Extraction edi'!P504="","",'Extraction edi'!P504)</f>
        <v/>
      </c>
      <c r="L494" s="1" t="str">
        <f>IF('Extraction edi'!Q504="laquage RAL :","OUI","")</f>
        <v/>
      </c>
      <c r="M494" s="1" t="str">
        <f>IF('Extraction edi'!R504&lt;&gt;"",'Extraction edi'!R504,IF(G494="ALU blanc","S9016",""))</f>
        <v/>
      </c>
      <c r="N494" s="1" t="str">
        <f>IF('Extraction edi'!S504&lt;&gt;"",'Extraction edi'!S504,IF(G494="ALU blanc","S9016",""))</f>
        <v/>
      </c>
      <c r="O494" s="11" t="str">
        <f>IF('Extraction edi'!V504&lt;'Feuille commande'!$E$1,"DELAI NON COMPATIBLE",IF('Extraction edi'!V504="","",WORKDAY('Extraction edi'!V504,-10,Paramètrage!$G$2:$G$104)))</f>
        <v/>
      </c>
      <c r="P494" s="1" t="e">
        <f t="shared" si="7"/>
        <v>#VALUE!</v>
      </c>
    </row>
    <row r="495" spans="1:16" x14ac:dyDescent="0.25">
      <c r="A495" s="1" t="str">
        <f>IF(B495="","",CONCATENATE(B495,".",C495,"/Pos ",D495,"/",'Extraction edi'!G505))</f>
        <v/>
      </c>
      <c r="B495" s="1" t="str">
        <f>IF('Extraction edi'!A505="","",'Extraction edi'!A505)</f>
        <v/>
      </c>
      <c r="C495" s="1" t="str">
        <f>IF('Extraction edi'!B505="","",'Extraction edi'!B505)</f>
        <v/>
      </c>
      <c r="D495" s="1" t="str">
        <f>IF('Extraction edi'!H505="","",'Extraction edi'!H505)</f>
        <v/>
      </c>
      <c r="E495" s="1" t="str">
        <f>IF('Extraction edi'!I505="","",'Extraction edi'!I505)</f>
        <v/>
      </c>
      <c r="F495" t="str">
        <f>IF('Extraction edi'!K505="","",'Extraction edi'!K505)</f>
        <v/>
      </c>
      <c r="G495" t="str">
        <f>IF('Extraction edi'!L498="","",'Extraction edi'!L498)</f>
        <v/>
      </c>
      <c r="H495" t="str">
        <f>IF('Extraction edi'!M498="","",'Extraction edi'!M498)</f>
        <v/>
      </c>
      <c r="I495" s="1" t="str">
        <f>IF('Extraction edi'!N505="","",'Extraction edi'!N505)</f>
        <v/>
      </c>
      <c r="J495" s="1" t="str">
        <f>IF('Extraction edi'!O505="","",'Extraction edi'!O505)</f>
        <v/>
      </c>
      <c r="K495" s="1" t="str">
        <f>IF('Extraction edi'!P505="","",'Extraction edi'!P505)</f>
        <v/>
      </c>
      <c r="L495" s="1" t="str">
        <f>IF('Extraction edi'!Q505="laquage RAL :","OUI","")</f>
        <v/>
      </c>
      <c r="M495" s="1" t="str">
        <f>IF('Extraction edi'!R505&lt;&gt;"",'Extraction edi'!R505,IF(G495="ALU blanc","S9016",""))</f>
        <v/>
      </c>
      <c r="N495" s="1" t="str">
        <f>IF('Extraction edi'!S505&lt;&gt;"",'Extraction edi'!S505,IF(G495="ALU blanc","S9016",""))</f>
        <v/>
      </c>
      <c r="O495" s="11" t="str">
        <f>IF('Extraction edi'!V505&lt;'Feuille commande'!$E$1,"DELAI NON COMPATIBLE",IF('Extraction edi'!V505="","",WORKDAY('Extraction edi'!V505,-10,Paramètrage!$G$2:$G$104)))</f>
        <v/>
      </c>
      <c r="P495" s="1" t="e">
        <f t="shared" si="7"/>
        <v>#VALUE!</v>
      </c>
    </row>
    <row r="496" spans="1:16" x14ac:dyDescent="0.25">
      <c r="A496" s="1" t="str">
        <f>IF(B496="","",CONCATENATE(B496,".",C496,"/Pos ",D496,"/",'Extraction edi'!G506))</f>
        <v/>
      </c>
      <c r="B496" s="1" t="str">
        <f>IF('Extraction edi'!A506="","",'Extraction edi'!A506)</f>
        <v/>
      </c>
      <c r="C496" s="1" t="str">
        <f>IF('Extraction edi'!B506="","",'Extraction edi'!B506)</f>
        <v/>
      </c>
      <c r="D496" s="1" t="str">
        <f>IF('Extraction edi'!H506="","",'Extraction edi'!H506)</f>
        <v/>
      </c>
      <c r="E496" s="1" t="str">
        <f>IF('Extraction edi'!I506="","",'Extraction edi'!I506)</f>
        <v/>
      </c>
      <c r="F496" t="str">
        <f>IF('Extraction edi'!K506="","",'Extraction edi'!K506)</f>
        <v/>
      </c>
      <c r="G496" t="str">
        <f>IF('Extraction edi'!L499="","",'Extraction edi'!L499)</f>
        <v/>
      </c>
      <c r="H496" t="str">
        <f>IF('Extraction edi'!M499="","",'Extraction edi'!M499)</f>
        <v/>
      </c>
      <c r="I496" s="1" t="str">
        <f>IF('Extraction edi'!N506="","",'Extraction edi'!N506)</f>
        <v/>
      </c>
      <c r="J496" s="1" t="str">
        <f>IF('Extraction edi'!O506="","",'Extraction edi'!O506)</f>
        <v/>
      </c>
      <c r="K496" s="1" t="str">
        <f>IF('Extraction edi'!P506="","",'Extraction edi'!P506)</f>
        <v/>
      </c>
      <c r="L496" s="1" t="str">
        <f>IF('Extraction edi'!Q506="laquage RAL :","OUI","")</f>
        <v/>
      </c>
      <c r="M496" s="1" t="str">
        <f>IF('Extraction edi'!R506&lt;&gt;"",'Extraction edi'!R506,IF(G496="ALU blanc","S9016",""))</f>
        <v/>
      </c>
      <c r="N496" s="1" t="str">
        <f>IF('Extraction edi'!S506&lt;&gt;"",'Extraction edi'!S506,IF(G496="ALU blanc","S9016",""))</f>
        <v/>
      </c>
      <c r="O496" s="11" t="str">
        <f>IF('Extraction edi'!V506&lt;'Feuille commande'!$E$1,"DELAI NON COMPATIBLE",IF('Extraction edi'!V506="","",WORKDAY('Extraction edi'!V506,-10,Paramètrage!$G$2:$G$104)))</f>
        <v/>
      </c>
      <c r="P496" s="1" t="e">
        <f t="shared" si="7"/>
        <v>#VALUE!</v>
      </c>
    </row>
    <row r="497" spans="1:16" x14ac:dyDescent="0.25">
      <c r="A497" s="1" t="str">
        <f>IF(B497="","",CONCATENATE(B497,".",C497,"/Pos ",D497,"/",'Extraction edi'!G507))</f>
        <v/>
      </c>
      <c r="B497" s="1" t="str">
        <f>IF('Extraction edi'!A507="","",'Extraction edi'!A507)</f>
        <v/>
      </c>
      <c r="C497" s="1" t="str">
        <f>IF('Extraction edi'!B507="","",'Extraction edi'!B507)</f>
        <v/>
      </c>
      <c r="D497" s="1" t="str">
        <f>IF('Extraction edi'!H507="","",'Extraction edi'!H507)</f>
        <v/>
      </c>
      <c r="E497" s="1" t="str">
        <f>IF('Extraction edi'!I507="","",'Extraction edi'!I507)</f>
        <v/>
      </c>
      <c r="F497" t="str">
        <f>IF('Extraction edi'!K507="","",'Extraction edi'!K507)</f>
        <v/>
      </c>
      <c r="G497" t="str">
        <f>IF('Extraction edi'!L500="","",'Extraction edi'!L500)</f>
        <v/>
      </c>
      <c r="H497" t="str">
        <f>IF('Extraction edi'!M500="","",'Extraction edi'!M500)</f>
        <v/>
      </c>
      <c r="I497" s="1" t="str">
        <f>IF('Extraction edi'!N507="","",'Extraction edi'!N507)</f>
        <v/>
      </c>
      <c r="J497" s="1" t="str">
        <f>IF('Extraction edi'!O507="","",'Extraction edi'!O507)</f>
        <v/>
      </c>
      <c r="K497" s="1" t="str">
        <f>IF('Extraction edi'!P507="","",'Extraction edi'!P507)</f>
        <v/>
      </c>
      <c r="L497" s="1" t="str">
        <f>IF('Extraction edi'!Q507="laquage RAL :","OUI","")</f>
        <v/>
      </c>
      <c r="M497" s="1" t="str">
        <f>IF('Extraction edi'!R507&lt;&gt;"",'Extraction edi'!R507,IF(G497="ALU blanc","S9016",""))</f>
        <v/>
      </c>
      <c r="N497" s="1" t="str">
        <f>IF('Extraction edi'!S507&lt;&gt;"",'Extraction edi'!S507,IF(G497="ALU blanc","S9016",""))</f>
        <v/>
      </c>
      <c r="O497" s="11" t="str">
        <f>IF('Extraction edi'!V507&lt;'Feuille commande'!$E$1,"DELAI NON COMPATIBLE",IF('Extraction edi'!V507="","",WORKDAY('Extraction edi'!V507,-10,Paramètrage!$G$2:$G$104)))</f>
        <v/>
      </c>
      <c r="P497" s="1" t="e">
        <f t="shared" si="7"/>
        <v>#VALUE!</v>
      </c>
    </row>
    <row r="498" spans="1:16" x14ac:dyDescent="0.25">
      <c r="A498" s="1" t="str">
        <f>IF(B498="","",CONCATENATE(B498,".",C498,"/Pos ",D498,"/",'Extraction edi'!G508))</f>
        <v/>
      </c>
      <c r="B498" s="1" t="str">
        <f>IF('Extraction edi'!A508="","",'Extraction edi'!A508)</f>
        <v/>
      </c>
      <c r="C498" s="1" t="str">
        <f>IF('Extraction edi'!B508="","",'Extraction edi'!B508)</f>
        <v/>
      </c>
      <c r="D498" s="1" t="str">
        <f>IF('Extraction edi'!H508="","",'Extraction edi'!H508)</f>
        <v/>
      </c>
      <c r="E498" s="1" t="str">
        <f>IF('Extraction edi'!I508="","",'Extraction edi'!I508)</f>
        <v/>
      </c>
      <c r="F498" t="str">
        <f>IF('Extraction edi'!K508="","",'Extraction edi'!K508)</f>
        <v/>
      </c>
      <c r="G498" t="str">
        <f>IF('Extraction edi'!L501="","",'Extraction edi'!L501)</f>
        <v/>
      </c>
      <c r="H498" t="str">
        <f>IF('Extraction edi'!M501="","",'Extraction edi'!M501)</f>
        <v/>
      </c>
      <c r="I498" s="1" t="str">
        <f>IF('Extraction edi'!N508="","",'Extraction edi'!N508)</f>
        <v/>
      </c>
      <c r="J498" s="1" t="str">
        <f>IF('Extraction edi'!O508="","",'Extraction edi'!O508)</f>
        <v/>
      </c>
      <c r="K498" s="1" t="str">
        <f>IF('Extraction edi'!P508="","",'Extraction edi'!P508)</f>
        <v/>
      </c>
      <c r="L498" s="1" t="str">
        <f>IF('Extraction edi'!Q508="laquage RAL :","OUI","")</f>
        <v/>
      </c>
      <c r="M498" s="1" t="str">
        <f>IF('Extraction edi'!R508&lt;&gt;"",'Extraction edi'!R508,IF(G498="ALU blanc","S9016",""))</f>
        <v/>
      </c>
      <c r="N498" s="1" t="str">
        <f>IF('Extraction edi'!S508&lt;&gt;"",'Extraction edi'!S508,IF(G498="ALU blanc","S9016",""))</f>
        <v/>
      </c>
      <c r="O498" s="11" t="str">
        <f>IF('Extraction edi'!V508&lt;'Feuille commande'!$E$1,"DELAI NON COMPATIBLE",IF('Extraction edi'!V508="","",WORKDAY('Extraction edi'!V508,-10,Paramètrage!$G$2:$G$104)))</f>
        <v/>
      </c>
      <c r="P498" s="1" t="e">
        <f t="shared" si="7"/>
        <v>#VALUE!</v>
      </c>
    </row>
    <row r="499" spans="1:16" x14ac:dyDescent="0.25">
      <c r="A499" s="1" t="str">
        <f>IF(B499="","",CONCATENATE(B499,".",C499,"/Pos ",D499,"/",'Extraction edi'!G509))</f>
        <v/>
      </c>
      <c r="B499" s="1" t="str">
        <f>IF('Extraction edi'!A509="","",'Extraction edi'!A509)</f>
        <v/>
      </c>
      <c r="C499" s="1" t="str">
        <f>IF('Extraction edi'!B509="","",'Extraction edi'!B509)</f>
        <v/>
      </c>
      <c r="D499" s="1" t="str">
        <f>IF('Extraction edi'!H509="","",'Extraction edi'!H509)</f>
        <v/>
      </c>
      <c r="E499" s="1" t="str">
        <f>IF('Extraction edi'!I509="","",'Extraction edi'!I509)</f>
        <v/>
      </c>
      <c r="F499" t="str">
        <f>IF('Extraction edi'!K509="","",'Extraction edi'!K509)</f>
        <v/>
      </c>
      <c r="G499" t="str">
        <f>IF('Extraction edi'!L502="","",'Extraction edi'!L502)</f>
        <v/>
      </c>
      <c r="H499" t="str">
        <f>IF('Extraction edi'!M502="","",'Extraction edi'!M502)</f>
        <v/>
      </c>
      <c r="I499" s="1" t="str">
        <f>IF('Extraction edi'!N509="","",'Extraction edi'!N509)</f>
        <v/>
      </c>
      <c r="J499" s="1" t="str">
        <f>IF('Extraction edi'!O509="","",'Extraction edi'!O509)</f>
        <v/>
      </c>
      <c r="K499" s="1" t="str">
        <f>IF('Extraction edi'!P509="","",'Extraction edi'!P509)</f>
        <v/>
      </c>
      <c r="L499" s="1" t="str">
        <f>IF('Extraction edi'!Q509="laquage RAL :","OUI","")</f>
        <v/>
      </c>
      <c r="M499" s="1" t="str">
        <f>IF('Extraction edi'!R509&lt;&gt;"",'Extraction edi'!R509,IF(G499="ALU blanc","S9016",""))</f>
        <v/>
      </c>
      <c r="N499" s="1" t="str">
        <f>IF('Extraction edi'!S509&lt;&gt;"",'Extraction edi'!S509,IF(G499="ALU blanc","S9016",""))</f>
        <v/>
      </c>
      <c r="O499" s="11" t="str">
        <f>IF('Extraction edi'!V509&lt;'Feuille commande'!$E$1,"DELAI NON COMPATIBLE",IF('Extraction edi'!V509="","",WORKDAY('Extraction edi'!V509,-10,Paramètrage!$G$2:$G$104)))</f>
        <v/>
      </c>
      <c r="P499" s="1" t="e">
        <f t="shared" si="7"/>
        <v>#VALUE!</v>
      </c>
    </row>
    <row r="500" spans="1:16" x14ac:dyDescent="0.25">
      <c r="A500" s="1" t="str">
        <f>IF(B500="","",CONCATENATE(B500,".",C500,"/Pos ",D500,"/",'Extraction edi'!G510))</f>
        <v/>
      </c>
      <c r="B500" s="1" t="str">
        <f>IF('Extraction edi'!A510="","",'Extraction edi'!A510)</f>
        <v/>
      </c>
      <c r="C500" s="1" t="str">
        <f>IF('Extraction edi'!B510="","",'Extraction edi'!B510)</f>
        <v/>
      </c>
      <c r="D500" s="1" t="str">
        <f>IF('Extraction edi'!H510="","",'Extraction edi'!H510)</f>
        <v/>
      </c>
      <c r="E500" s="1" t="str">
        <f>IF('Extraction edi'!I510="","",'Extraction edi'!I510)</f>
        <v/>
      </c>
      <c r="F500" t="str">
        <f>IF('Extraction edi'!K510="","",'Extraction edi'!K510)</f>
        <v/>
      </c>
      <c r="G500" t="str">
        <f>IF('Extraction edi'!L503="","",'Extraction edi'!L503)</f>
        <v/>
      </c>
      <c r="H500" t="str">
        <f>IF('Extraction edi'!M503="","",'Extraction edi'!M503)</f>
        <v/>
      </c>
      <c r="I500" s="1" t="str">
        <f>IF('Extraction edi'!N510="","",'Extraction edi'!N510)</f>
        <v/>
      </c>
      <c r="J500" s="1" t="str">
        <f>IF('Extraction edi'!O510="","",'Extraction edi'!O510)</f>
        <v/>
      </c>
      <c r="K500" s="1" t="str">
        <f>IF('Extraction edi'!P510="","",'Extraction edi'!P510)</f>
        <v/>
      </c>
      <c r="L500" s="1" t="str">
        <f>IF('Extraction edi'!Q510="laquage RAL :","OUI","")</f>
        <v/>
      </c>
      <c r="M500" s="1" t="str">
        <f>IF('Extraction edi'!R510&lt;&gt;"",'Extraction edi'!R510,IF(G500="ALU blanc","S9016",""))</f>
        <v/>
      </c>
      <c r="N500" s="1" t="str">
        <f>IF('Extraction edi'!S510&lt;&gt;"",'Extraction edi'!S510,IF(G500="ALU blanc","S9016",""))</f>
        <v/>
      </c>
      <c r="O500" s="11" t="str">
        <f>IF('Extraction edi'!V510&lt;'Feuille commande'!$E$1,"DELAI NON COMPATIBLE",IF('Extraction edi'!V510="","",WORKDAY('Extraction edi'!V510,-10,Paramètrage!$G$2:$G$104)))</f>
        <v/>
      </c>
      <c r="P500" s="1" t="e">
        <f t="shared" si="7"/>
        <v>#VALUE!</v>
      </c>
    </row>
    <row r="501" spans="1:16" x14ac:dyDescent="0.25">
      <c r="A501" s="1" t="str">
        <f>IF(B501="","",CONCATENATE(B501,".",C501,"/Pos ",D501,"/",'Extraction edi'!G511))</f>
        <v/>
      </c>
      <c r="B501" s="1" t="str">
        <f>IF('Extraction edi'!A511="","",'Extraction edi'!A511)</f>
        <v/>
      </c>
      <c r="C501" s="1" t="str">
        <f>IF('Extraction edi'!B511="","",'Extraction edi'!B511)</f>
        <v/>
      </c>
      <c r="D501" s="1" t="str">
        <f>IF('Extraction edi'!H511="","",'Extraction edi'!H511)</f>
        <v/>
      </c>
      <c r="E501" s="1" t="str">
        <f>IF('Extraction edi'!I511="","",'Extraction edi'!I511)</f>
        <v/>
      </c>
      <c r="F501" t="str">
        <f>IF('Extraction edi'!K511="","",'Extraction edi'!K511)</f>
        <v/>
      </c>
      <c r="G501" t="str">
        <f>IF('Extraction edi'!L504="","",'Extraction edi'!L504)</f>
        <v/>
      </c>
      <c r="H501" t="str">
        <f>IF('Extraction edi'!M504="","",'Extraction edi'!M504)</f>
        <v/>
      </c>
      <c r="I501" s="1" t="str">
        <f>IF('Extraction edi'!N511="","",'Extraction edi'!N511)</f>
        <v/>
      </c>
      <c r="J501" s="1" t="str">
        <f>IF('Extraction edi'!O511="","",'Extraction edi'!O511)</f>
        <v/>
      </c>
      <c r="K501" s="1" t="str">
        <f>IF('Extraction edi'!P511="","",'Extraction edi'!P511)</f>
        <v/>
      </c>
      <c r="L501" s="1" t="str">
        <f>IF('Extraction edi'!Q511="laquage RAL :","OUI","")</f>
        <v/>
      </c>
      <c r="M501" s="1" t="str">
        <f>IF('Extraction edi'!R511&lt;&gt;"",'Extraction edi'!R511,IF(G501="ALU blanc","S9016",""))</f>
        <v/>
      </c>
      <c r="N501" s="1" t="str">
        <f>IF('Extraction edi'!S511&lt;&gt;"",'Extraction edi'!S511,IF(G501="ALU blanc","S9016",""))</f>
        <v/>
      </c>
      <c r="O501" s="11" t="str">
        <f>IF('Extraction edi'!V511&lt;'Feuille commande'!$E$1,"DELAI NON COMPATIBLE",IF('Extraction edi'!V511="","",WORKDAY('Extraction edi'!V511,-10,Paramètrage!$G$2:$G$104)))</f>
        <v/>
      </c>
      <c r="P501" s="1" t="e">
        <f t="shared" si="7"/>
        <v>#VALUE!</v>
      </c>
    </row>
    <row r="502" spans="1:16" x14ac:dyDescent="0.25">
      <c r="A502" s="1" t="str">
        <f>IF(B502="","",CONCATENATE(B502,".",C502,"/Pos ",D502,"/",'Extraction edi'!G512))</f>
        <v/>
      </c>
      <c r="B502" s="1" t="str">
        <f>IF('Extraction edi'!A512="","",'Extraction edi'!A512)</f>
        <v/>
      </c>
      <c r="C502" s="1" t="str">
        <f>IF('Extraction edi'!B512="","",'Extraction edi'!B512)</f>
        <v/>
      </c>
      <c r="D502" s="1" t="str">
        <f>IF('Extraction edi'!H512="","",'Extraction edi'!H512)</f>
        <v/>
      </c>
      <c r="E502" s="1" t="str">
        <f>IF('Extraction edi'!I512="","",'Extraction edi'!I512)</f>
        <v/>
      </c>
      <c r="F502" t="str">
        <f>IF('Extraction edi'!K512="","",'Extraction edi'!K512)</f>
        <v/>
      </c>
      <c r="G502" t="str">
        <f>IF('Extraction edi'!L505="","",'Extraction edi'!L505)</f>
        <v/>
      </c>
      <c r="H502" t="str">
        <f>IF('Extraction edi'!M505="","",'Extraction edi'!M505)</f>
        <v/>
      </c>
      <c r="I502" s="1" t="str">
        <f>IF('Extraction edi'!N512="","",'Extraction edi'!N512)</f>
        <v/>
      </c>
      <c r="J502" s="1" t="str">
        <f>IF('Extraction edi'!O512="","",'Extraction edi'!O512)</f>
        <v/>
      </c>
      <c r="K502" s="1" t="str">
        <f>IF('Extraction edi'!P512="","",'Extraction edi'!P512)</f>
        <v/>
      </c>
      <c r="L502" s="1" t="str">
        <f>IF('Extraction edi'!Q512="laquage RAL :","OUI","")</f>
        <v/>
      </c>
      <c r="M502" s="1" t="str">
        <f>IF('Extraction edi'!R512&lt;&gt;"",'Extraction edi'!R512,IF(G502="ALU blanc","S9016",""))</f>
        <v/>
      </c>
      <c r="N502" s="1" t="str">
        <f>IF('Extraction edi'!S512&lt;&gt;"",'Extraction edi'!S512,IF(G502="ALU blanc","S9016",""))</f>
        <v/>
      </c>
      <c r="O502" s="11" t="str">
        <f>IF('Extraction edi'!V512&lt;'Feuille commande'!$E$1,"DELAI NON COMPATIBLE",IF('Extraction edi'!V512="","",WORKDAY('Extraction edi'!V512,-10,Paramètrage!$G$2:$G$104)))</f>
        <v/>
      </c>
      <c r="P502" s="1" t="e">
        <f t="shared" si="7"/>
        <v>#VALUE!</v>
      </c>
    </row>
    <row r="503" spans="1:16" x14ac:dyDescent="0.25">
      <c r="A503" s="1" t="str">
        <f>IF(B503="","",CONCATENATE(B503,".",C503,"/Pos ",D503,"/",'Extraction edi'!G513))</f>
        <v/>
      </c>
      <c r="B503" s="1" t="str">
        <f>IF('Extraction edi'!A513="","",'Extraction edi'!A513)</f>
        <v/>
      </c>
      <c r="C503" s="1" t="str">
        <f>IF('Extraction edi'!B513="","",'Extraction edi'!B513)</f>
        <v/>
      </c>
      <c r="D503" s="1" t="str">
        <f>IF('Extraction edi'!H513="","",'Extraction edi'!H513)</f>
        <v/>
      </c>
      <c r="E503" s="1" t="str">
        <f>IF('Extraction edi'!I513="","",'Extraction edi'!I513)</f>
        <v/>
      </c>
      <c r="F503" t="str">
        <f>IF('Extraction edi'!K513="","",'Extraction edi'!K513)</f>
        <v/>
      </c>
      <c r="G503" t="str">
        <f>IF('Extraction edi'!L506="","",'Extraction edi'!L506)</f>
        <v/>
      </c>
      <c r="H503" t="str">
        <f>IF('Extraction edi'!M506="","",'Extraction edi'!M506)</f>
        <v/>
      </c>
      <c r="I503" s="1" t="str">
        <f>IF('Extraction edi'!N513="","",'Extraction edi'!N513)</f>
        <v/>
      </c>
      <c r="J503" s="1" t="str">
        <f>IF('Extraction edi'!O513="","",'Extraction edi'!O513)</f>
        <v/>
      </c>
      <c r="K503" s="1" t="str">
        <f>IF('Extraction edi'!P513="","",'Extraction edi'!P513)</f>
        <v/>
      </c>
      <c r="L503" s="1" t="str">
        <f>IF('Extraction edi'!Q513="laquage RAL :","OUI","")</f>
        <v/>
      </c>
      <c r="M503" s="1" t="str">
        <f>IF('Extraction edi'!R513&lt;&gt;"",'Extraction edi'!R513,IF(G503="ALU blanc","S9016",""))</f>
        <v/>
      </c>
      <c r="N503" s="1" t="str">
        <f>IF('Extraction edi'!S513&lt;&gt;"",'Extraction edi'!S513,IF(G503="ALU blanc","S9016",""))</f>
        <v/>
      </c>
      <c r="O503" s="11" t="str">
        <f>IF('Extraction edi'!V513&lt;'Feuille commande'!$E$1,"DELAI NON COMPATIBLE",IF('Extraction edi'!V513="","",WORKDAY('Extraction edi'!V513,-10,Paramètrage!$G$2:$G$104)))</f>
        <v/>
      </c>
      <c r="P503" s="1" t="e">
        <f t="shared" si="7"/>
        <v>#VALUE!</v>
      </c>
    </row>
    <row r="504" spans="1:16" x14ac:dyDescent="0.25">
      <c r="A504" s="1" t="str">
        <f>IF(B504="","",CONCATENATE(B504,".",C504,"/Pos ",D504,"/",'Extraction edi'!G514))</f>
        <v/>
      </c>
      <c r="B504" s="1" t="str">
        <f>IF('Extraction edi'!A514="","",'Extraction edi'!A514)</f>
        <v/>
      </c>
      <c r="C504" s="1" t="str">
        <f>IF('Extraction edi'!B514="","",'Extraction edi'!B514)</f>
        <v/>
      </c>
      <c r="D504" s="1" t="str">
        <f>IF('Extraction edi'!H514="","",'Extraction edi'!H514)</f>
        <v/>
      </c>
      <c r="E504" s="1" t="str">
        <f>IF('Extraction edi'!I514="","",'Extraction edi'!I514)</f>
        <v/>
      </c>
      <c r="F504" t="str">
        <f>IF('Extraction edi'!K514="","",'Extraction edi'!K514)</f>
        <v/>
      </c>
      <c r="G504" t="str">
        <f>IF('Extraction edi'!L507="","",'Extraction edi'!L507)</f>
        <v/>
      </c>
      <c r="H504" t="str">
        <f>IF('Extraction edi'!M507="","",'Extraction edi'!M507)</f>
        <v/>
      </c>
      <c r="I504" s="1" t="str">
        <f>IF('Extraction edi'!N514="","",'Extraction edi'!N514)</f>
        <v/>
      </c>
      <c r="J504" s="1" t="str">
        <f>IF('Extraction edi'!O514="","",'Extraction edi'!O514)</f>
        <v/>
      </c>
      <c r="K504" s="1" t="str">
        <f>IF('Extraction edi'!P514="","",'Extraction edi'!P514)</f>
        <v/>
      </c>
      <c r="L504" s="1" t="str">
        <f>IF('Extraction edi'!Q514="laquage RAL :","OUI","")</f>
        <v/>
      </c>
      <c r="M504" s="1" t="str">
        <f>IF('Extraction edi'!R514&lt;&gt;"",'Extraction edi'!R514,IF(G504="ALU blanc","S9016",""))</f>
        <v/>
      </c>
      <c r="N504" s="1" t="str">
        <f>IF('Extraction edi'!S514&lt;&gt;"",'Extraction edi'!S514,IF(G504="ALU blanc","S9016",""))</f>
        <v/>
      </c>
      <c r="O504" s="11" t="str">
        <f>IF('Extraction edi'!V514&lt;'Feuille commande'!$E$1,"DELAI NON COMPATIBLE",IF('Extraction edi'!V514="","",WORKDAY('Extraction edi'!V514,-10,Paramètrage!$G$2:$G$104)))</f>
        <v/>
      </c>
      <c r="P504" s="1" t="e">
        <f t="shared" si="7"/>
        <v>#VALUE!</v>
      </c>
    </row>
    <row r="505" spans="1:16" x14ac:dyDescent="0.25">
      <c r="A505" s="1" t="str">
        <f>IF(B505="","",CONCATENATE(B505,".",C505,"/Pos ",D505,"/",'Extraction edi'!G515))</f>
        <v/>
      </c>
      <c r="B505" s="1" t="str">
        <f>IF('Extraction edi'!A515="","",'Extraction edi'!A515)</f>
        <v/>
      </c>
      <c r="C505" s="1" t="str">
        <f>IF('Extraction edi'!B515="","",'Extraction edi'!B515)</f>
        <v/>
      </c>
      <c r="D505" s="1" t="str">
        <f>IF('Extraction edi'!H515="","",'Extraction edi'!H515)</f>
        <v/>
      </c>
      <c r="E505" s="1" t="str">
        <f>IF('Extraction edi'!I515="","",'Extraction edi'!I515)</f>
        <v/>
      </c>
      <c r="F505" t="str">
        <f>IF('Extraction edi'!K515="","",'Extraction edi'!K515)</f>
        <v/>
      </c>
      <c r="G505" t="str">
        <f>IF('Extraction edi'!L508="","",'Extraction edi'!L508)</f>
        <v/>
      </c>
      <c r="H505" t="str">
        <f>IF('Extraction edi'!M508="","",'Extraction edi'!M508)</f>
        <v/>
      </c>
      <c r="I505" s="1" t="str">
        <f>IF('Extraction edi'!N515="","",'Extraction edi'!N515)</f>
        <v/>
      </c>
      <c r="J505" s="1" t="str">
        <f>IF('Extraction edi'!O515="","",'Extraction edi'!O515)</f>
        <v/>
      </c>
      <c r="K505" s="1" t="str">
        <f>IF('Extraction edi'!P515="","",'Extraction edi'!P515)</f>
        <v/>
      </c>
      <c r="L505" s="1" t="str">
        <f>IF('Extraction edi'!Q515="laquage RAL :","OUI","")</f>
        <v/>
      </c>
      <c r="M505" s="1" t="str">
        <f>IF('Extraction edi'!R515&lt;&gt;"",'Extraction edi'!R515,IF(G505="ALU blanc","S9016",""))</f>
        <v/>
      </c>
      <c r="N505" s="1" t="str">
        <f>IF('Extraction edi'!S515&lt;&gt;"",'Extraction edi'!S515,IF(G505="ALU blanc","S9016",""))</f>
        <v/>
      </c>
      <c r="O505" s="11" t="str">
        <f>IF('Extraction edi'!V515&lt;'Feuille commande'!$E$1,"DELAI NON COMPATIBLE",IF('Extraction edi'!V515="","",WORKDAY('Extraction edi'!V515,-10,Paramètrage!$G$2:$G$104)))</f>
        <v/>
      </c>
      <c r="P505" s="1" t="e">
        <f t="shared" si="7"/>
        <v>#VALUE!</v>
      </c>
    </row>
    <row r="506" spans="1:16" x14ac:dyDescent="0.25">
      <c r="A506" s="1" t="str">
        <f>IF(B506="","",CONCATENATE(B506,".",C506,"/Pos ",D506,"/",'Extraction edi'!G516))</f>
        <v/>
      </c>
      <c r="B506" s="1" t="str">
        <f>IF('Extraction edi'!A516="","",'Extraction edi'!A516)</f>
        <v/>
      </c>
      <c r="C506" s="1" t="str">
        <f>IF('Extraction edi'!B516="","",'Extraction edi'!B516)</f>
        <v/>
      </c>
      <c r="D506" s="1" t="str">
        <f>IF('Extraction edi'!H516="","",'Extraction edi'!H516)</f>
        <v/>
      </c>
      <c r="E506" s="1" t="str">
        <f>IF('Extraction edi'!I516="","",'Extraction edi'!I516)</f>
        <v/>
      </c>
      <c r="F506" t="str">
        <f>IF('Extraction edi'!K516="","",'Extraction edi'!K516)</f>
        <v/>
      </c>
      <c r="G506" t="str">
        <f>IF('Extraction edi'!L509="","",'Extraction edi'!L509)</f>
        <v/>
      </c>
      <c r="H506" t="str">
        <f>IF('Extraction edi'!M509="","",'Extraction edi'!M509)</f>
        <v/>
      </c>
      <c r="I506" s="1" t="str">
        <f>IF('Extraction edi'!N516="","",'Extraction edi'!N516)</f>
        <v/>
      </c>
      <c r="J506" s="1" t="str">
        <f>IF('Extraction edi'!O516="","",'Extraction edi'!O516)</f>
        <v/>
      </c>
      <c r="K506" s="1" t="str">
        <f>IF('Extraction edi'!P516="","",'Extraction edi'!P516)</f>
        <v/>
      </c>
      <c r="L506" s="1" t="str">
        <f>IF('Extraction edi'!Q516="laquage RAL :","OUI","")</f>
        <v/>
      </c>
      <c r="M506" s="1" t="str">
        <f>IF('Extraction edi'!R516&lt;&gt;"",'Extraction edi'!R516,IF(G506="ALU blanc","S9016",""))</f>
        <v/>
      </c>
      <c r="N506" s="1" t="str">
        <f>IF('Extraction edi'!S516&lt;&gt;"",'Extraction edi'!S516,IF(G506="ALU blanc","S9016",""))</f>
        <v/>
      </c>
      <c r="O506" s="11" t="str">
        <f>IF('Extraction edi'!V516&lt;'Feuille commande'!$E$1,"DELAI NON COMPATIBLE",IF('Extraction edi'!V516="","",WORKDAY('Extraction edi'!V516,-10,Paramètrage!$G$2:$G$104)))</f>
        <v/>
      </c>
      <c r="P506" s="1" t="e">
        <f t="shared" si="7"/>
        <v>#VALUE!</v>
      </c>
    </row>
    <row r="507" spans="1:16" x14ac:dyDescent="0.25">
      <c r="A507" s="1" t="str">
        <f>IF(B507="","",CONCATENATE(B507,".",C507,"/Pos ",D507,"/",'Extraction edi'!G517))</f>
        <v/>
      </c>
      <c r="B507" s="1" t="str">
        <f>IF('Extraction edi'!A517="","",'Extraction edi'!A517)</f>
        <v/>
      </c>
      <c r="C507" s="1" t="str">
        <f>IF('Extraction edi'!B517="","",'Extraction edi'!B517)</f>
        <v/>
      </c>
      <c r="D507" s="1" t="str">
        <f>IF('Extraction edi'!H517="","",'Extraction edi'!H517)</f>
        <v/>
      </c>
      <c r="E507" s="1" t="str">
        <f>IF('Extraction edi'!I517="","",'Extraction edi'!I517)</f>
        <v/>
      </c>
      <c r="F507" t="str">
        <f>IF('Extraction edi'!K517="","",'Extraction edi'!K517)</f>
        <v/>
      </c>
      <c r="G507" t="str">
        <f>IF('Extraction edi'!L510="","",'Extraction edi'!L510)</f>
        <v/>
      </c>
      <c r="H507" t="str">
        <f>IF('Extraction edi'!M510="","",'Extraction edi'!M510)</f>
        <v/>
      </c>
      <c r="I507" s="1" t="str">
        <f>IF('Extraction edi'!N517="","",'Extraction edi'!N517)</f>
        <v/>
      </c>
      <c r="J507" s="1" t="str">
        <f>IF('Extraction edi'!O517="","",'Extraction edi'!O517)</f>
        <v/>
      </c>
      <c r="K507" s="1" t="str">
        <f>IF('Extraction edi'!P517="","",'Extraction edi'!P517)</f>
        <v/>
      </c>
      <c r="L507" s="1" t="str">
        <f>IF('Extraction edi'!Q517="laquage RAL :","OUI","")</f>
        <v/>
      </c>
      <c r="M507" s="1" t="str">
        <f>IF('Extraction edi'!R517&lt;&gt;"",'Extraction edi'!R517,IF(G507="ALU blanc","S9016",""))</f>
        <v/>
      </c>
      <c r="N507" s="1" t="str">
        <f>IF('Extraction edi'!S517&lt;&gt;"",'Extraction edi'!S517,IF(G507="ALU blanc","S9016",""))</f>
        <v/>
      </c>
      <c r="O507" s="11" t="str">
        <f>IF('Extraction edi'!V517&lt;'Feuille commande'!$E$1,"DELAI NON COMPATIBLE",IF('Extraction edi'!V517="","",WORKDAY('Extraction edi'!V517,-10,Paramètrage!$G$2:$G$104)))</f>
        <v/>
      </c>
      <c r="P507" s="1" t="e">
        <f t="shared" si="7"/>
        <v>#VALUE!</v>
      </c>
    </row>
    <row r="508" spans="1:16" x14ac:dyDescent="0.25">
      <c r="A508" s="1" t="str">
        <f>IF(B508="","",CONCATENATE(B508,".",C508,"/Pos ",D508,"/",'Extraction edi'!G518))</f>
        <v/>
      </c>
      <c r="B508" s="1" t="str">
        <f>IF('Extraction edi'!A518="","",'Extraction edi'!A518)</f>
        <v/>
      </c>
      <c r="C508" s="1" t="str">
        <f>IF('Extraction edi'!B518="","",'Extraction edi'!B518)</f>
        <v/>
      </c>
      <c r="D508" s="1" t="str">
        <f>IF('Extraction edi'!H518="","",'Extraction edi'!H518)</f>
        <v/>
      </c>
      <c r="E508" s="1" t="str">
        <f>IF('Extraction edi'!I518="","",'Extraction edi'!I518)</f>
        <v/>
      </c>
      <c r="F508" t="str">
        <f>IF('Extraction edi'!K518="","",'Extraction edi'!K518)</f>
        <v/>
      </c>
      <c r="G508" t="str">
        <f>IF('Extraction edi'!L511="","",'Extraction edi'!L511)</f>
        <v/>
      </c>
      <c r="H508" t="str">
        <f>IF('Extraction edi'!M511="","",'Extraction edi'!M511)</f>
        <v/>
      </c>
      <c r="I508" s="1" t="str">
        <f>IF('Extraction edi'!N518="","",'Extraction edi'!N518)</f>
        <v/>
      </c>
      <c r="J508" s="1" t="str">
        <f>IF('Extraction edi'!O518="","",'Extraction edi'!O518)</f>
        <v/>
      </c>
      <c r="K508" s="1" t="str">
        <f>IF('Extraction edi'!P518="","",'Extraction edi'!P518)</f>
        <v/>
      </c>
      <c r="L508" s="1" t="str">
        <f>IF('Extraction edi'!Q518="laquage RAL :","OUI","")</f>
        <v/>
      </c>
      <c r="M508" s="1" t="str">
        <f>IF('Extraction edi'!R518&lt;&gt;"",'Extraction edi'!R518,IF(G508="ALU blanc","S9016",""))</f>
        <v/>
      </c>
      <c r="N508" s="1" t="str">
        <f>IF('Extraction edi'!S518&lt;&gt;"",'Extraction edi'!S518,IF(G508="ALU blanc","S9016",""))</f>
        <v/>
      </c>
      <c r="O508" s="11" t="str">
        <f>IF('Extraction edi'!V518&lt;'Feuille commande'!$E$1,"DELAI NON COMPATIBLE",IF('Extraction edi'!V518="","",WORKDAY('Extraction edi'!V518,-10,Paramètrage!$G$2:$G$104)))</f>
        <v/>
      </c>
      <c r="P508" s="1" t="e">
        <f t="shared" si="7"/>
        <v>#VALUE!</v>
      </c>
    </row>
    <row r="509" spans="1:16" x14ac:dyDescent="0.25">
      <c r="A509" s="1" t="str">
        <f>IF(B509="","",CONCATENATE(B509,".",C509,"/Pos ",D509,"/",'Extraction edi'!G519))</f>
        <v/>
      </c>
      <c r="B509" s="1" t="str">
        <f>IF('Extraction edi'!A519="","",'Extraction edi'!A519)</f>
        <v/>
      </c>
      <c r="C509" s="1" t="str">
        <f>IF('Extraction edi'!B519="","",'Extraction edi'!B519)</f>
        <v/>
      </c>
      <c r="D509" s="1" t="str">
        <f>IF('Extraction edi'!H519="","",'Extraction edi'!H519)</f>
        <v/>
      </c>
      <c r="E509" s="1" t="str">
        <f>IF('Extraction edi'!I519="","",'Extraction edi'!I519)</f>
        <v/>
      </c>
      <c r="F509" t="str">
        <f>IF('Extraction edi'!K519="","",'Extraction edi'!K519)</f>
        <v/>
      </c>
      <c r="G509" t="str">
        <f>IF('Extraction edi'!L512="","",'Extraction edi'!L512)</f>
        <v/>
      </c>
      <c r="H509" t="str">
        <f>IF('Extraction edi'!M512="","",'Extraction edi'!M512)</f>
        <v/>
      </c>
      <c r="I509" s="1" t="str">
        <f>IF('Extraction edi'!N519="","",'Extraction edi'!N519)</f>
        <v/>
      </c>
      <c r="J509" s="1" t="str">
        <f>IF('Extraction edi'!O519="","",'Extraction edi'!O519)</f>
        <v/>
      </c>
      <c r="K509" s="1" t="str">
        <f>IF('Extraction edi'!P519="","",'Extraction edi'!P519)</f>
        <v/>
      </c>
      <c r="L509" s="1" t="str">
        <f>IF('Extraction edi'!Q519="laquage RAL :","OUI","")</f>
        <v/>
      </c>
      <c r="M509" s="1" t="str">
        <f>IF('Extraction edi'!R519&lt;&gt;"",'Extraction edi'!R519,IF(G509="ALU blanc","S9016",""))</f>
        <v/>
      </c>
      <c r="N509" s="1" t="str">
        <f>IF('Extraction edi'!S519&lt;&gt;"",'Extraction edi'!S519,IF(G509="ALU blanc","S9016",""))</f>
        <v/>
      </c>
      <c r="O509" s="11" t="str">
        <f>IF('Extraction edi'!V519&lt;'Feuille commande'!$E$1,"DELAI NON COMPATIBLE",IF('Extraction edi'!V519="","",WORKDAY('Extraction edi'!V519,-10,Paramètrage!$G$2:$G$104)))</f>
        <v/>
      </c>
      <c r="P509" s="1" t="e">
        <f t="shared" si="7"/>
        <v>#VALUE!</v>
      </c>
    </row>
    <row r="510" spans="1:16" x14ac:dyDescent="0.25">
      <c r="A510" s="1" t="str">
        <f>IF(B510="","",CONCATENATE(B510,".",C510,"/Pos ",D510,"/",'Extraction edi'!G520))</f>
        <v/>
      </c>
      <c r="B510" s="1" t="str">
        <f>IF('Extraction edi'!A520="","",'Extraction edi'!A520)</f>
        <v/>
      </c>
      <c r="C510" s="1" t="str">
        <f>IF('Extraction edi'!B520="","",'Extraction edi'!B520)</f>
        <v/>
      </c>
      <c r="D510" s="1" t="str">
        <f>IF('Extraction edi'!H520="","",'Extraction edi'!H520)</f>
        <v/>
      </c>
      <c r="E510" s="1" t="str">
        <f>IF('Extraction edi'!I520="","",'Extraction edi'!I520)</f>
        <v/>
      </c>
      <c r="F510" t="str">
        <f>IF('Extraction edi'!K520="","",'Extraction edi'!K520)</f>
        <v/>
      </c>
      <c r="G510" t="str">
        <f>IF('Extraction edi'!L513="","",'Extraction edi'!L513)</f>
        <v/>
      </c>
      <c r="H510" t="str">
        <f>IF('Extraction edi'!M513="","",'Extraction edi'!M513)</f>
        <v/>
      </c>
      <c r="I510" s="1" t="str">
        <f>IF('Extraction edi'!N520="","",'Extraction edi'!N520)</f>
        <v/>
      </c>
      <c r="J510" s="1" t="str">
        <f>IF('Extraction edi'!O520="","",'Extraction edi'!O520)</f>
        <v/>
      </c>
      <c r="K510" s="1" t="str">
        <f>IF('Extraction edi'!P520="","",'Extraction edi'!P520)</f>
        <v/>
      </c>
      <c r="L510" s="1" t="str">
        <f>IF('Extraction edi'!Q520="laquage RAL :","OUI","")</f>
        <v/>
      </c>
      <c r="M510" s="1" t="str">
        <f>IF('Extraction edi'!R520&lt;&gt;"",'Extraction edi'!R520,IF(G510="ALU blanc","S9016",""))</f>
        <v/>
      </c>
      <c r="N510" s="1" t="str">
        <f>IF('Extraction edi'!S520&lt;&gt;"",'Extraction edi'!S520,IF(G510="ALU blanc","S9016",""))</f>
        <v/>
      </c>
      <c r="O510" s="11" t="str">
        <f>IF('Extraction edi'!V520&lt;'Feuille commande'!$E$1,"DELAI NON COMPATIBLE",IF('Extraction edi'!V520="","",WORKDAY('Extraction edi'!V520,-10,Paramètrage!$G$2:$G$104)))</f>
        <v/>
      </c>
      <c r="P510" s="1" t="e">
        <f t="shared" ref="P510:P573" si="8">WEEKDAY(O510,2)</f>
        <v>#VALUE!</v>
      </c>
    </row>
    <row r="511" spans="1:16" x14ac:dyDescent="0.25">
      <c r="A511" s="1" t="str">
        <f>IF(B511="","",CONCATENATE(B511,".",C511,"/Pos ",D511,"/",'Extraction edi'!G521))</f>
        <v/>
      </c>
      <c r="B511" s="1" t="str">
        <f>IF('Extraction edi'!A521="","",'Extraction edi'!A521)</f>
        <v/>
      </c>
      <c r="C511" s="1" t="str">
        <f>IF('Extraction edi'!B521="","",'Extraction edi'!B521)</f>
        <v/>
      </c>
      <c r="D511" s="1" t="str">
        <f>IF('Extraction edi'!H521="","",'Extraction edi'!H521)</f>
        <v/>
      </c>
      <c r="E511" s="1" t="str">
        <f>IF('Extraction edi'!I521="","",'Extraction edi'!I521)</f>
        <v/>
      </c>
      <c r="F511" t="str">
        <f>IF('Extraction edi'!K521="","",'Extraction edi'!K521)</f>
        <v/>
      </c>
      <c r="G511" t="str">
        <f>IF('Extraction edi'!L514="","",'Extraction edi'!L514)</f>
        <v/>
      </c>
      <c r="H511" t="str">
        <f>IF('Extraction edi'!M514="","",'Extraction edi'!M514)</f>
        <v/>
      </c>
      <c r="I511" s="1" t="str">
        <f>IF('Extraction edi'!N521="","",'Extraction edi'!N521)</f>
        <v/>
      </c>
      <c r="J511" s="1" t="str">
        <f>IF('Extraction edi'!O521="","",'Extraction edi'!O521)</f>
        <v/>
      </c>
      <c r="K511" s="1" t="str">
        <f>IF('Extraction edi'!P521="","",'Extraction edi'!P521)</f>
        <v/>
      </c>
      <c r="L511" s="1" t="str">
        <f>IF('Extraction edi'!Q521="laquage RAL :","OUI","")</f>
        <v/>
      </c>
      <c r="M511" s="1" t="str">
        <f>IF('Extraction edi'!R521&lt;&gt;"",'Extraction edi'!R521,IF(G511="ALU blanc","S9016",""))</f>
        <v/>
      </c>
      <c r="N511" s="1" t="str">
        <f>IF('Extraction edi'!S521&lt;&gt;"",'Extraction edi'!S521,IF(G511="ALU blanc","S9016",""))</f>
        <v/>
      </c>
      <c r="O511" s="11" t="str">
        <f>IF('Extraction edi'!V521&lt;'Feuille commande'!$E$1,"DELAI NON COMPATIBLE",IF('Extraction edi'!V521="","",WORKDAY('Extraction edi'!V521,-10,Paramètrage!$G$2:$G$104)))</f>
        <v/>
      </c>
      <c r="P511" s="1" t="e">
        <f t="shared" si="8"/>
        <v>#VALUE!</v>
      </c>
    </row>
    <row r="512" spans="1:16" x14ac:dyDescent="0.25">
      <c r="A512" s="1" t="str">
        <f>IF(B512="","",CONCATENATE(B512,".",C512,"/Pos ",D512,"/",'Extraction edi'!G522))</f>
        <v/>
      </c>
      <c r="B512" s="1" t="str">
        <f>IF('Extraction edi'!A522="","",'Extraction edi'!A522)</f>
        <v/>
      </c>
      <c r="C512" s="1" t="str">
        <f>IF('Extraction edi'!B522="","",'Extraction edi'!B522)</f>
        <v/>
      </c>
      <c r="D512" s="1" t="str">
        <f>IF('Extraction edi'!H522="","",'Extraction edi'!H522)</f>
        <v/>
      </c>
      <c r="E512" s="1" t="str">
        <f>IF('Extraction edi'!I522="","",'Extraction edi'!I522)</f>
        <v/>
      </c>
      <c r="F512" t="str">
        <f>IF('Extraction edi'!K522="","",'Extraction edi'!K522)</f>
        <v/>
      </c>
      <c r="G512" t="str">
        <f>IF('Extraction edi'!L515="","",'Extraction edi'!L515)</f>
        <v/>
      </c>
      <c r="H512" t="str">
        <f>IF('Extraction edi'!M515="","",'Extraction edi'!M515)</f>
        <v/>
      </c>
      <c r="I512" s="1" t="str">
        <f>IF('Extraction edi'!N522="","",'Extraction edi'!N522)</f>
        <v/>
      </c>
      <c r="J512" s="1" t="str">
        <f>IF('Extraction edi'!O522="","",'Extraction edi'!O522)</f>
        <v/>
      </c>
      <c r="K512" s="1" t="str">
        <f>IF('Extraction edi'!P522="","",'Extraction edi'!P522)</f>
        <v/>
      </c>
      <c r="L512" s="1" t="str">
        <f>IF('Extraction edi'!Q522="laquage RAL :","OUI","")</f>
        <v/>
      </c>
      <c r="M512" s="1" t="str">
        <f>IF('Extraction edi'!R522&lt;&gt;"",'Extraction edi'!R522,IF(G512="ALU blanc","S9016",""))</f>
        <v/>
      </c>
      <c r="N512" s="1" t="str">
        <f>IF('Extraction edi'!S522&lt;&gt;"",'Extraction edi'!S522,IF(G512="ALU blanc","S9016",""))</f>
        <v/>
      </c>
      <c r="O512" s="11" t="str">
        <f>IF('Extraction edi'!V522&lt;'Feuille commande'!$E$1,"DELAI NON COMPATIBLE",IF('Extraction edi'!V522="","",WORKDAY('Extraction edi'!V522,-10,Paramètrage!$G$2:$G$104)))</f>
        <v/>
      </c>
      <c r="P512" s="1" t="e">
        <f t="shared" si="8"/>
        <v>#VALUE!</v>
      </c>
    </row>
    <row r="513" spans="1:16" x14ac:dyDescent="0.25">
      <c r="A513" s="1" t="str">
        <f>IF(B513="","",CONCATENATE(B513,".",C513,"/Pos ",D513,"/",'Extraction edi'!G523))</f>
        <v/>
      </c>
      <c r="B513" s="1" t="str">
        <f>IF('Extraction edi'!A523="","",'Extraction edi'!A523)</f>
        <v/>
      </c>
      <c r="C513" s="1" t="str">
        <f>IF('Extraction edi'!B523="","",'Extraction edi'!B523)</f>
        <v/>
      </c>
      <c r="D513" s="1" t="str">
        <f>IF('Extraction edi'!H523="","",'Extraction edi'!H523)</f>
        <v/>
      </c>
      <c r="E513" s="1" t="str">
        <f>IF('Extraction edi'!I523="","",'Extraction edi'!I523)</f>
        <v/>
      </c>
      <c r="F513" t="str">
        <f>IF('Extraction edi'!K523="","",'Extraction edi'!K523)</f>
        <v/>
      </c>
      <c r="G513" t="str">
        <f>IF('Extraction edi'!L516="","",'Extraction edi'!L516)</f>
        <v/>
      </c>
      <c r="H513" t="str">
        <f>IF('Extraction edi'!M516="","",'Extraction edi'!M516)</f>
        <v/>
      </c>
      <c r="I513" s="1" t="str">
        <f>IF('Extraction edi'!N523="","",'Extraction edi'!N523)</f>
        <v/>
      </c>
      <c r="J513" s="1" t="str">
        <f>IF('Extraction edi'!O523="","",'Extraction edi'!O523)</f>
        <v/>
      </c>
      <c r="K513" s="1" t="str">
        <f>IF('Extraction edi'!P523="","",'Extraction edi'!P523)</f>
        <v/>
      </c>
      <c r="L513" s="1" t="str">
        <f>IF('Extraction edi'!Q523="laquage RAL :","OUI","")</f>
        <v/>
      </c>
      <c r="M513" s="1" t="str">
        <f>IF('Extraction edi'!R523&lt;&gt;"",'Extraction edi'!R523,IF(G513="ALU blanc","S9016",""))</f>
        <v/>
      </c>
      <c r="N513" s="1" t="str">
        <f>IF('Extraction edi'!S523&lt;&gt;"",'Extraction edi'!S523,IF(G513="ALU blanc","S9016",""))</f>
        <v/>
      </c>
      <c r="O513" s="11" t="str">
        <f>IF('Extraction edi'!V523&lt;'Feuille commande'!$E$1,"DELAI NON COMPATIBLE",IF('Extraction edi'!V523="","",WORKDAY('Extraction edi'!V523,-10,Paramètrage!$G$2:$G$104)))</f>
        <v/>
      </c>
      <c r="P513" s="1" t="e">
        <f t="shared" si="8"/>
        <v>#VALUE!</v>
      </c>
    </row>
    <row r="514" spans="1:16" x14ac:dyDescent="0.25">
      <c r="A514" s="1" t="str">
        <f>IF(B514="","",CONCATENATE(B514,".",C514,"/Pos ",D514,"/",'Extraction edi'!G524))</f>
        <v/>
      </c>
      <c r="B514" s="1" t="str">
        <f>IF('Extraction edi'!A524="","",'Extraction edi'!A524)</f>
        <v/>
      </c>
      <c r="C514" s="1" t="str">
        <f>IF('Extraction edi'!B524="","",'Extraction edi'!B524)</f>
        <v/>
      </c>
      <c r="D514" s="1" t="str">
        <f>IF('Extraction edi'!H524="","",'Extraction edi'!H524)</f>
        <v/>
      </c>
      <c r="E514" s="1" t="str">
        <f>IF('Extraction edi'!I524="","",'Extraction edi'!I524)</f>
        <v/>
      </c>
      <c r="F514" t="str">
        <f>IF('Extraction edi'!K524="","",'Extraction edi'!K524)</f>
        <v/>
      </c>
      <c r="G514" t="str">
        <f>IF('Extraction edi'!L517="","",'Extraction edi'!L517)</f>
        <v/>
      </c>
      <c r="H514" t="str">
        <f>IF('Extraction edi'!M517="","",'Extraction edi'!M517)</f>
        <v/>
      </c>
      <c r="I514" s="1" t="str">
        <f>IF('Extraction edi'!N524="","",'Extraction edi'!N524)</f>
        <v/>
      </c>
      <c r="J514" s="1" t="str">
        <f>IF('Extraction edi'!O524="","",'Extraction edi'!O524)</f>
        <v/>
      </c>
      <c r="K514" s="1" t="str">
        <f>IF('Extraction edi'!P524="","",'Extraction edi'!P524)</f>
        <v/>
      </c>
      <c r="L514" s="1" t="str">
        <f>IF('Extraction edi'!Q524="laquage RAL :","OUI","")</f>
        <v/>
      </c>
      <c r="M514" s="1" t="str">
        <f>IF('Extraction edi'!R524&lt;&gt;"",'Extraction edi'!R524,IF(G514="ALU blanc","S9016",""))</f>
        <v/>
      </c>
      <c r="N514" s="1" t="str">
        <f>IF('Extraction edi'!S524&lt;&gt;"",'Extraction edi'!S524,IF(G514="ALU blanc","S9016",""))</f>
        <v/>
      </c>
      <c r="O514" s="11" t="str">
        <f>IF('Extraction edi'!V524&lt;'Feuille commande'!$E$1,"DELAI NON COMPATIBLE",IF('Extraction edi'!V524="","",WORKDAY('Extraction edi'!V524,-10,Paramètrage!$G$2:$G$104)))</f>
        <v/>
      </c>
      <c r="P514" s="1" t="e">
        <f t="shared" si="8"/>
        <v>#VALUE!</v>
      </c>
    </row>
    <row r="515" spans="1:16" x14ac:dyDescent="0.25">
      <c r="A515" s="1" t="str">
        <f>IF(B515="","",CONCATENATE(B515,".",C515,"/Pos ",D515,"/",'Extraction edi'!G525))</f>
        <v/>
      </c>
      <c r="B515" s="1" t="str">
        <f>IF('Extraction edi'!A525="","",'Extraction edi'!A525)</f>
        <v/>
      </c>
      <c r="C515" s="1" t="str">
        <f>IF('Extraction edi'!B525="","",'Extraction edi'!B525)</f>
        <v/>
      </c>
      <c r="D515" s="1" t="str">
        <f>IF('Extraction edi'!H525="","",'Extraction edi'!H525)</f>
        <v/>
      </c>
      <c r="E515" s="1" t="str">
        <f>IF('Extraction edi'!I525="","",'Extraction edi'!I525)</f>
        <v/>
      </c>
      <c r="F515" t="str">
        <f>IF('Extraction edi'!K525="","",'Extraction edi'!K525)</f>
        <v/>
      </c>
      <c r="G515" t="str">
        <f>IF('Extraction edi'!L518="","",'Extraction edi'!L518)</f>
        <v/>
      </c>
      <c r="H515" t="str">
        <f>IF('Extraction edi'!M518="","",'Extraction edi'!M518)</f>
        <v/>
      </c>
      <c r="I515" s="1" t="str">
        <f>IF('Extraction edi'!N525="","",'Extraction edi'!N525)</f>
        <v/>
      </c>
      <c r="J515" s="1" t="str">
        <f>IF('Extraction edi'!O525="","",'Extraction edi'!O525)</f>
        <v/>
      </c>
      <c r="K515" s="1" t="str">
        <f>IF('Extraction edi'!P525="","",'Extraction edi'!P525)</f>
        <v/>
      </c>
      <c r="L515" s="1" t="str">
        <f>IF('Extraction edi'!Q525="laquage RAL :","OUI","")</f>
        <v/>
      </c>
      <c r="M515" s="1" t="str">
        <f>IF('Extraction edi'!R525&lt;&gt;"",'Extraction edi'!R525,IF(G515="ALU blanc","S9016",""))</f>
        <v/>
      </c>
      <c r="N515" s="1" t="str">
        <f>IF('Extraction edi'!S525&lt;&gt;"",'Extraction edi'!S525,IF(G515="ALU blanc","S9016",""))</f>
        <v/>
      </c>
      <c r="O515" s="11" t="str">
        <f>IF('Extraction edi'!V525&lt;'Feuille commande'!$E$1,"DELAI NON COMPATIBLE",IF('Extraction edi'!V525="","",WORKDAY('Extraction edi'!V525,-10,Paramètrage!$G$2:$G$104)))</f>
        <v/>
      </c>
      <c r="P515" s="1" t="e">
        <f t="shared" si="8"/>
        <v>#VALUE!</v>
      </c>
    </row>
    <row r="516" spans="1:16" x14ac:dyDescent="0.25">
      <c r="A516" s="1" t="str">
        <f>IF(B516="","",CONCATENATE(B516,".",C516,"/Pos ",D516,"/",'Extraction edi'!G526))</f>
        <v/>
      </c>
      <c r="B516" s="1" t="str">
        <f>IF('Extraction edi'!A526="","",'Extraction edi'!A526)</f>
        <v/>
      </c>
      <c r="C516" s="1" t="str">
        <f>IF('Extraction edi'!B526="","",'Extraction edi'!B526)</f>
        <v/>
      </c>
      <c r="D516" s="1" t="str">
        <f>IF('Extraction edi'!H526="","",'Extraction edi'!H526)</f>
        <v/>
      </c>
      <c r="E516" s="1" t="str">
        <f>IF('Extraction edi'!I526="","",'Extraction edi'!I526)</f>
        <v/>
      </c>
      <c r="F516" t="str">
        <f>IF('Extraction edi'!K526="","",'Extraction edi'!K526)</f>
        <v/>
      </c>
      <c r="G516" t="str">
        <f>IF('Extraction edi'!L519="","",'Extraction edi'!L519)</f>
        <v/>
      </c>
      <c r="H516" t="str">
        <f>IF('Extraction edi'!M519="","",'Extraction edi'!M519)</f>
        <v/>
      </c>
      <c r="I516" s="1" t="str">
        <f>IF('Extraction edi'!N526="","",'Extraction edi'!N526)</f>
        <v/>
      </c>
      <c r="J516" s="1" t="str">
        <f>IF('Extraction edi'!O526="","",'Extraction edi'!O526)</f>
        <v/>
      </c>
      <c r="K516" s="1" t="str">
        <f>IF('Extraction edi'!P526="","",'Extraction edi'!P526)</f>
        <v/>
      </c>
      <c r="L516" s="1" t="str">
        <f>IF('Extraction edi'!Q526="laquage RAL :","OUI","")</f>
        <v/>
      </c>
      <c r="M516" s="1" t="str">
        <f>IF('Extraction edi'!R526&lt;&gt;"",'Extraction edi'!R526,IF(G516="ALU blanc","S9016",""))</f>
        <v/>
      </c>
      <c r="N516" s="1" t="str">
        <f>IF('Extraction edi'!S526&lt;&gt;"",'Extraction edi'!S526,IF(G516="ALU blanc","S9016",""))</f>
        <v/>
      </c>
      <c r="O516" s="11" t="str">
        <f>IF('Extraction edi'!V526&lt;'Feuille commande'!$E$1,"DELAI NON COMPATIBLE",IF('Extraction edi'!V526="","",WORKDAY('Extraction edi'!V526,-10,Paramètrage!$G$2:$G$104)))</f>
        <v/>
      </c>
      <c r="P516" s="1" t="e">
        <f t="shared" si="8"/>
        <v>#VALUE!</v>
      </c>
    </row>
    <row r="517" spans="1:16" x14ac:dyDescent="0.25">
      <c r="A517" s="1" t="str">
        <f>IF(B517="","",CONCATENATE(B517,".",C517,"/Pos ",D517,"/",'Extraction edi'!G527))</f>
        <v/>
      </c>
      <c r="B517" s="1" t="str">
        <f>IF('Extraction edi'!A527="","",'Extraction edi'!A527)</f>
        <v/>
      </c>
      <c r="C517" s="1" t="str">
        <f>IF('Extraction edi'!B527="","",'Extraction edi'!B527)</f>
        <v/>
      </c>
      <c r="D517" s="1" t="str">
        <f>IF('Extraction edi'!H527="","",'Extraction edi'!H527)</f>
        <v/>
      </c>
      <c r="E517" s="1" t="str">
        <f>IF('Extraction edi'!I527="","",'Extraction edi'!I527)</f>
        <v/>
      </c>
      <c r="F517" t="str">
        <f>IF('Extraction edi'!K527="","",'Extraction edi'!K527)</f>
        <v/>
      </c>
      <c r="G517" t="str">
        <f>IF('Extraction edi'!L520="","",'Extraction edi'!L520)</f>
        <v/>
      </c>
      <c r="H517" t="str">
        <f>IF('Extraction edi'!M520="","",'Extraction edi'!M520)</f>
        <v/>
      </c>
      <c r="I517" s="1" t="str">
        <f>IF('Extraction edi'!N527="","",'Extraction edi'!N527)</f>
        <v/>
      </c>
      <c r="J517" s="1" t="str">
        <f>IF('Extraction edi'!O527="","",'Extraction edi'!O527)</f>
        <v/>
      </c>
      <c r="K517" s="1" t="str">
        <f>IF('Extraction edi'!P527="","",'Extraction edi'!P527)</f>
        <v/>
      </c>
      <c r="L517" s="1" t="str">
        <f>IF('Extraction edi'!Q527="laquage RAL :","OUI","")</f>
        <v/>
      </c>
      <c r="M517" s="1" t="str">
        <f>IF('Extraction edi'!R527&lt;&gt;"",'Extraction edi'!R527,IF(G517="ALU blanc","S9016",""))</f>
        <v/>
      </c>
      <c r="N517" s="1" t="str">
        <f>IF('Extraction edi'!S527&lt;&gt;"",'Extraction edi'!S527,IF(G517="ALU blanc","S9016",""))</f>
        <v/>
      </c>
      <c r="O517" s="11" t="str">
        <f>IF('Extraction edi'!V527&lt;'Feuille commande'!$E$1,"DELAI NON COMPATIBLE",IF('Extraction edi'!V527="","",WORKDAY('Extraction edi'!V527,-10,Paramètrage!$G$2:$G$104)))</f>
        <v/>
      </c>
      <c r="P517" s="1" t="e">
        <f t="shared" si="8"/>
        <v>#VALUE!</v>
      </c>
    </row>
    <row r="518" spans="1:16" x14ac:dyDescent="0.25">
      <c r="A518" s="1" t="str">
        <f>IF(B518="","",CONCATENATE(B518,".",C518,"/Pos ",D518,"/",'Extraction edi'!G528))</f>
        <v/>
      </c>
      <c r="B518" s="1" t="str">
        <f>IF('Extraction edi'!A528="","",'Extraction edi'!A528)</f>
        <v/>
      </c>
      <c r="C518" s="1" t="str">
        <f>IF('Extraction edi'!B528="","",'Extraction edi'!B528)</f>
        <v/>
      </c>
      <c r="D518" s="1" t="str">
        <f>IF('Extraction edi'!H528="","",'Extraction edi'!H528)</f>
        <v/>
      </c>
      <c r="E518" s="1" t="str">
        <f>IF('Extraction edi'!I528="","",'Extraction edi'!I528)</f>
        <v/>
      </c>
      <c r="F518" t="str">
        <f>IF('Extraction edi'!K528="","",'Extraction edi'!K528)</f>
        <v/>
      </c>
      <c r="G518" t="str">
        <f>IF('Extraction edi'!L521="","",'Extraction edi'!L521)</f>
        <v/>
      </c>
      <c r="H518" t="str">
        <f>IF('Extraction edi'!M521="","",'Extraction edi'!M521)</f>
        <v/>
      </c>
      <c r="I518" s="1" t="str">
        <f>IF('Extraction edi'!N528="","",'Extraction edi'!N528)</f>
        <v/>
      </c>
      <c r="J518" s="1" t="str">
        <f>IF('Extraction edi'!O528="","",'Extraction edi'!O528)</f>
        <v/>
      </c>
      <c r="K518" s="1" t="str">
        <f>IF('Extraction edi'!P528="","",'Extraction edi'!P528)</f>
        <v/>
      </c>
      <c r="L518" s="1" t="str">
        <f>IF('Extraction edi'!Q528="laquage RAL :","OUI","")</f>
        <v/>
      </c>
      <c r="M518" s="1" t="str">
        <f>IF('Extraction edi'!R528&lt;&gt;"",'Extraction edi'!R528,IF(G518="ALU blanc","S9016",""))</f>
        <v/>
      </c>
      <c r="N518" s="1" t="str">
        <f>IF('Extraction edi'!S528&lt;&gt;"",'Extraction edi'!S528,IF(G518="ALU blanc","S9016",""))</f>
        <v/>
      </c>
      <c r="O518" s="11" t="str">
        <f>IF('Extraction edi'!V528&lt;'Feuille commande'!$E$1,"DELAI NON COMPATIBLE",IF('Extraction edi'!V528="","",WORKDAY('Extraction edi'!V528,-10,Paramètrage!$G$2:$G$104)))</f>
        <v/>
      </c>
      <c r="P518" s="1" t="e">
        <f t="shared" si="8"/>
        <v>#VALUE!</v>
      </c>
    </row>
    <row r="519" spans="1:16" x14ac:dyDescent="0.25">
      <c r="A519" s="1" t="str">
        <f>IF(B519="","",CONCATENATE(B519,".",C519,"/Pos ",D519,"/",'Extraction edi'!G529))</f>
        <v/>
      </c>
      <c r="B519" s="1" t="str">
        <f>IF('Extraction edi'!A529="","",'Extraction edi'!A529)</f>
        <v/>
      </c>
      <c r="C519" s="1" t="str">
        <f>IF('Extraction edi'!B529="","",'Extraction edi'!B529)</f>
        <v/>
      </c>
      <c r="D519" s="1" t="str">
        <f>IF('Extraction edi'!H529="","",'Extraction edi'!H529)</f>
        <v/>
      </c>
      <c r="E519" s="1" t="str">
        <f>IF('Extraction edi'!I529="","",'Extraction edi'!I529)</f>
        <v/>
      </c>
      <c r="F519" t="str">
        <f>IF('Extraction edi'!K529="","",'Extraction edi'!K529)</f>
        <v/>
      </c>
      <c r="G519" t="str">
        <f>IF('Extraction edi'!L522="","",'Extraction edi'!L522)</f>
        <v/>
      </c>
      <c r="H519" t="str">
        <f>IF('Extraction edi'!M522="","",'Extraction edi'!M522)</f>
        <v/>
      </c>
      <c r="I519" s="1" t="str">
        <f>IF('Extraction edi'!N529="","",'Extraction edi'!N529)</f>
        <v/>
      </c>
      <c r="J519" s="1" t="str">
        <f>IF('Extraction edi'!O529="","",'Extraction edi'!O529)</f>
        <v/>
      </c>
      <c r="K519" s="1" t="str">
        <f>IF('Extraction edi'!P529="","",'Extraction edi'!P529)</f>
        <v/>
      </c>
      <c r="L519" s="1" t="str">
        <f>IF('Extraction edi'!Q529="laquage RAL :","OUI","")</f>
        <v/>
      </c>
      <c r="M519" s="1" t="str">
        <f>IF('Extraction edi'!R529&lt;&gt;"",'Extraction edi'!R529,IF(G519="ALU blanc","S9016",""))</f>
        <v/>
      </c>
      <c r="N519" s="1" t="str">
        <f>IF('Extraction edi'!S529&lt;&gt;"",'Extraction edi'!S529,IF(G519="ALU blanc","S9016",""))</f>
        <v/>
      </c>
      <c r="O519" s="11" t="str">
        <f>IF('Extraction edi'!V529&lt;'Feuille commande'!$E$1,"DELAI NON COMPATIBLE",IF('Extraction edi'!V529="","",WORKDAY('Extraction edi'!V529,-10,Paramètrage!$G$2:$G$104)))</f>
        <v/>
      </c>
      <c r="P519" s="1" t="e">
        <f t="shared" si="8"/>
        <v>#VALUE!</v>
      </c>
    </row>
    <row r="520" spans="1:16" x14ac:dyDescent="0.25">
      <c r="A520" s="1" t="str">
        <f>IF(B520="","",CONCATENATE(B520,".",C520,"/Pos ",D520,"/",'Extraction edi'!G530))</f>
        <v/>
      </c>
      <c r="B520" s="1" t="str">
        <f>IF('Extraction edi'!A530="","",'Extraction edi'!A530)</f>
        <v/>
      </c>
      <c r="C520" s="1" t="str">
        <f>IF('Extraction edi'!B530="","",'Extraction edi'!B530)</f>
        <v/>
      </c>
      <c r="D520" s="1" t="str">
        <f>IF('Extraction edi'!H530="","",'Extraction edi'!H530)</f>
        <v/>
      </c>
      <c r="E520" s="1" t="str">
        <f>IF('Extraction edi'!I530="","",'Extraction edi'!I530)</f>
        <v/>
      </c>
      <c r="F520" t="str">
        <f>IF('Extraction edi'!K530="","",'Extraction edi'!K530)</f>
        <v/>
      </c>
      <c r="G520" t="str">
        <f>IF('Extraction edi'!L523="","",'Extraction edi'!L523)</f>
        <v/>
      </c>
      <c r="H520" t="str">
        <f>IF('Extraction edi'!M523="","",'Extraction edi'!M523)</f>
        <v/>
      </c>
      <c r="I520" s="1" t="str">
        <f>IF('Extraction edi'!N530="","",'Extraction edi'!N530)</f>
        <v/>
      </c>
      <c r="J520" s="1" t="str">
        <f>IF('Extraction edi'!O530="","",'Extraction edi'!O530)</f>
        <v/>
      </c>
      <c r="K520" s="1" t="str">
        <f>IF('Extraction edi'!P530="","",'Extraction edi'!P530)</f>
        <v/>
      </c>
      <c r="L520" s="1" t="str">
        <f>IF('Extraction edi'!Q530="laquage RAL :","OUI","")</f>
        <v/>
      </c>
      <c r="M520" s="1" t="str">
        <f>IF('Extraction edi'!R530&lt;&gt;"",'Extraction edi'!R530,IF(G520="ALU blanc","S9016",""))</f>
        <v/>
      </c>
      <c r="N520" s="1" t="str">
        <f>IF('Extraction edi'!S530&lt;&gt;"",'Extraction edi'!S530,IF(G520="ALU blanc","S9016",""))</f>
        <v/>
      </c>
      <c r="O520" s="11" t="str">
        <f>IF('Extraction edi'!V530&lt;'Feuille commande'!$E$1,"DELAI NON COMPATIBLE",IF('Extraction edi'!V530="","",WORKDAY('Extraction edi'!V530,-10,Paramètrage!$G$2:$G$104)))</f>
        <v/>
      </c>
      <c r="P520" s="1" t="e">
        <f t="shared" si="8"/>
        <v>#VALUE!</v>
      </c>
    </row>
    <row r="521" spans="1:16" x14ac:dyDescent="0.25">
      <c r="A521" s="1" t="str">
        <f>IF(B521="","",CONCATENATE(B521,".",C521,"/Pos ",D521,"/",'Extraction edi'!G531))</f>
        <v/>
      </c>
      <c r="B521" s="1" t="str">
        <f>IF('Extraction edi'!A531="","",'Extraction edi'!A531)</f>
        <v/>
      </c>
      <c r="C521" s="1" t="str">
        <f>IF('Extraction edi'!B531="","",'Extraction edi'!B531)</f>
        <v/>
      </c>
      <c r="D521" s="1" t="str">
        <f>IF('Extraction edi'!H531="","",'Extraction edi'!H531)</f>
        <v/>
      </c>
      <c r="E521" s="1" t="str">
        <f>IF('Extraction edi'!I531="","",'Extraction edi'!I531)</f>
        <v/>
      </c>
      <c r="F521" t="str">
        <f>IF('Extraction edi'!K531="","",'Extraction edi'!K531)</f>
        <v/>
      </c>
      <c r="G521" t="str">
        <f>IF('Extraction edi'!L524="","",'Extraction edi'!L524)</f>
        <v/>
      </c>
      <c r="H521" t="str">
        <f>IF('Extraction edi'!M524="","",'Extraction edi'!M524)</f>
        <v/>
      </c>
      <c r="I521" s="1" t="str">
        <f>IF('Extraction edi'!N531="","",'Extraction edi'!N531)</f>
        <v/>
      </c>
      <c r="J521" s="1" t="str">
        <f>IF('Extraction edi'!O531="","",'Extraction edi'!O531)</f>
        <v/>
      </c>
      <c r="K521" s="1" t="str">
        <f>IF('Extraction edi'!P531="","",'Extraction edi'!P531)</f>
        <v/>
      </c>
      <c r="L521" s="1" t="str">
        <f>IF('Extraction edi'!Q531="laquage RAL :","OUI","")</f>
        <v/>
      </c>
      <c r="M521" s="1" t="str">
        <f>IF('Extraction edi'!R531&lt;&gt;"",'Extraction edi'!R531,IF(G521="ALU blanc","S9016",""))</f>
        <v/>
      </c>
      <c r="N521" s="1" t="str">
        <f>IF('Extraction edi'!S531&lt;&gt;"",'Extraction edi'!S531,IF(G521="ALU blanc","S9016",""))</f>
        <v/>
      </c>
      <c r="O521" s="11" t="str">
        <f>IF('Extraction edi'!V531&lt;'Feuille commande'!$E$1,"DELAI NON COMPATIBLE",IF('Extraction edi'!V531="","",WORKDAY('Extraction edi'!V531,-10,Paramètrage!$G$2:$G$104)))</f>
        <v/>
      </c>
      <c r="P521" s="1" t="e">
        <f t="shared" si="8"/>
        <v>#VALUE!</v>
      </c>
    </row>
    <row r="522" spans="1:16" x14ac:dyDescent="0.25">
      <c r="A522" s="1" t="str">
        <f>IF(B522="","",CONCATENATE(B522,".",C522,"/Pos ",D522,"/",'Extraction edi'!G532))</f>
        <v/>
      </c>
      <c r="B522" s="1" t="str">
        <f>IF('Extraction edi'!A532="","",'Extraction edi'!A532)</f>
        <v/>
      </c>
      <c r="C522" s="1" t="str">
        <f>IF('Extraction edi'!B532="","",'Extraction edi'!B532)</f>
        <v/>
      </c>
      <c r="D522" s="1" t="str">
        <f>IF('Extraction edi'!H532="","",'Extraction edi'!H532)</f>
        <v/>
      </c>
      <c r="E522" s="1" t="str">
        <f>IF('Extraction edi'!I532="","",'Extraction edi'!I532)</f>
        <v/>
      </c>
      <c r="F522" t="str">
        <f>IF('Extraction edi'!K532="","",'Extraction edi'!K532)</f>
        <v/>
      </c>
      <c r="G522" t="str">
        <f>IF('Extraction edi'!L525="","",'Extraction edi'!L525)</f>
        <v/>
      </c>
      <c r="H522" t="str">
        <f>IF('Extraction edi'!M525="","",'Extraction edi'!M525)</f>
        <v/>
      </c>
      <c r="I522" s="1" t="str">
        <f>IF('Extraction edi'!N532="","",'Extraction edi'!N532)</f>
        <v/>
      </c>
      <c r="J522" s="1" t="str">
        <f>IF('Extraction edi'!O532="","",'Extraction edi'!O532)</f>
        <v/>
      </c>
      <c r="K522" s="1" t="str">
        <f>IF('Extraction edi'!P532="","",'Extraction edi'!P532)</f>
        <v/>
      </c>
      <c r="L522" s="1" t="str">
        <f>IF('Extraction edi'!Q532="laquage RAL :","OUI","")</f>
        <v/>
      </c>
      <c r="M522" s="1" t="str">
        <f>IF('Extraction edi'!R532&lt;&gt;"",'Extraction edi'!R532,IF(G522="ALU blanc","S9016",""))</f>
        <v/>
      </c>
      <c r="N522" s="1" t="str">
        <f>IF('Extraction edi'!S532&lt;&gt;"",'Extraction edi'!S532,IF(G522="ALU blanc","S9016",""))</f>
        <v/>
      </c>
      <c r="O522" s="11" t="str">
        <f>IF('Extraction edi'!V532&lt;'Feuille commande'!$E$1,"DELAI NON COMPATIBLE",IF('Extraction edi'!V532="","",WORKDAY('Extraction edi'!V532,-10,Paramètrage!$G$2:$G$104)))</f>
        <v/>
      </c>
      <c r="P522" s="1" t="e">
        <f t="shared" si="8"/>
        <v>#VALUE!</v>
      </c>
    </row>
    <row r="523" spans="1:16" x14ac:dyDescent="0.25">
      <c r="A523" s="1" t="str">
        <f>IF(B523="","",CONCATENATE(B523,".",C523,"/Pos ",D523,"/",'Extraction edi'!G533))</f>
        <v/>
      </c>
      <c r="B523" s="1" t="str">
        <f>IF('Extraction edi'!A533="","",'Extraction edi'!A533)</f>
        <v/>
      </c>
      <c r="C523" s="1" t="str">
        <f>IF('Extraction edi'!B533="","",'Extraction edi'!B533)</f>
        <v/>
      </c>
      <c r="D523" s="1" t="str">
        <f>IF('Extraction edi'!H533="","",'Extraction edi'!H533)</f>
        <v/>
      </c>
      <c r="E523" s="1" t="str">
        <f>IF('Extraction edi'!I533="","",'Extraction edi'!I533)</f>
        <v/>
      </c>
      <c r="F523" t="str">
        <f>IF('Extraction edi'!K533="","",'Extraction edi'!K533)</f>
        <v/>
      </c>
      <c r="G523" t="str">
        <f>IF('Extraction edi'!L526="","",'Extraction edi'!L526)</f>
        <v/>
      </c>
      <c r="H523" t="str">
        <f>IF('Extraction edi'!M526="","",'Extraction edi'!M526)</f>
        <v/>
      </c>
      <c r="I523" s="1" t="str">
        <f>IF('Extraction edi'!N533="","",'Extraction edi'!N533)</f>
        <v/>
      </c>
      <c r="J523" s="1" t="str">
        <f>IF('Extraction edi'!O533="","",'Extraction edi'!O533)</f>
        <v/>
      </c>
      <c r="K523" s="1" t="str">
        <f>IF('Extraction edi'!P533="","",'Extraction edi'!P533)</f>
        <v/>
      </c>
      <c r="L523" s="1" t="str">
        <f>IF('Extraction edi'!Q533="laquage RAL :","OUI","")</f>
        <v/>
      </c>
      <c r="M523" s="1" t="str">
        <f>IF('Extraction edi'!R533&lt;&gt;"",'Extraction edi'!R533,IF(G523="ALU blanc","S9016",""))</f>
        <v/>
      </c>
      <c r="N523" s="1" t="str">
        <f>IF('Extraction edi'!S533&lt;&gt;"",'Extraction edi'!S533,IF(G523="ALU blanc","S9016",""))</f>
        <v/>
      </c>
      <c r="O523" s="11" t="str">
        <f>IF('Extraction edi'!V533&lt;'Feuille commande'!$E$1,"DELAI NON COMPATIBLE",IF('Extraction edi'!V533="","",WORKDAY('Extraction edi'!V533,-10,Paramètrage!$G$2:$G$104)))</f>
        <v/>
      </c>
      <c r="P523" s="1" t="e">
        <f t="shared" si="8"/>
        <v>#VALUE!</v>
      </c>
    </row>
    <row r="524" spans="1:16" x14ac:dyDescent="0.25">
      <c r="A524" s="1" t="str">
        <f>IF(B524="","",CONCATENATE(B524,".",C524,"/Pos ",D524,"/",'Extraction edi'!G534))</f>
        <v/>
      </c>
      <c r="B524" s="1" t="str">
        <f>IF('Extraction edi'!A534="","",'Extraction edi'!A534)</f>
        <v/>
      </c>
      <c r="C524" s="1" t="str">
        <f>IF('Extraction edi'!B534="","",'Extraction edi'!B534)</f>
        <v/>
      </c>
      <c r="D524" s="1" t="str">
        <f>IF('Extraction edi'!H534="","",'Extraction edi'!H534)</f>
        <v/>
      </c>
      <c r="E524" s="1" t="str">
        <f>IF('Extraction edi'!I534="","",'Extraction edi'!I534)</f>
        <v/>
      </c>
      <c r="F524" t="str">
        <f>IF('Extraction edi'!K534="","",'Extraction edi'!K534)</f>
        <v/>
      </c>
      <c r="G524" t="str">
        <f>IF('Extraction edi'!L527="","",'Extraction edi'!L527)</f>
        <v/>
      </c>
      <c r="H524" t="str">
        <f>IF('Extraction edi'!M527="","",'Extraction edi'!M527)</f>
        <v/>
      </c>
      <c r="I524" s="1" t="str">
        <f>IF('Extraction edi'!N534="","",'Extraction edi'!N534)</f>
        <v/>
      </c>
      <c r="J524" s="1" t="str">
        <f>IF('Extraction edi'!O534="","",'Extraction edi'!O534)</f>
        <v/>
      </c>
      <c r="K524" s="1" t="str">
        <f>IF('Extraction edi'!P534="","",'Extraction edi'!P534)</f>
        <v/>
      </c>
      <c r="L524" s="1" t="str">
        <f>IF('Extraction edi'!Q534="laquage RAL :","OUI","")</f>
        <v/>
      </c>
      <c r="M524" s="1" t="str">
        <f>IF('Extraction edi'!R534&lt;&gt;"",'Extraction edi'!R534,IF(G524="ALU blanc","S9016",""))</f>
        <v/>
      </c>
      <c r="N524" s="1" t="str">
        <f>IF('Extraction edi'!S534&lt;&gt;"",'Extraction edi'!S534,IF(G524="ALU blanc","S9016",""))</f>
        <v/>
      </c>
      <c r="O524" s="11" t="str">
        <f>IF('Extraction edi'!V534&lt;'Feuille commande'!$E$1,"DELAI NON COMPATIBLE",IF('Extraction edi'!V534="","",WORKDAY('Extraction edi'!V534,-10,Paramètrage!$G$2:$G$104)))</f>
        <v/>
      </c>
      <c r="P524" s="1" t="e">
        <f t="shared" si="8"/>
        <v>#VALUE!</v>
      </c>
    </row>
    <row r="525" spans="1:16" x14ac:dyDescent="0.25">
      <c r="A525" s="1" t="str">
        <f>IF(B525="","",CONCATENATE(B525,".",C525,"/Pos ",D525,"/",'Extraction edi'!G535))</f>
        <v/>
      </c>
      <c r="B525" s="1" t="str">
        <f>IF('Extraction edi'!A535="","",'Extraction edi'!A535)</f>
        <v/>
      </c>
      <c r="C525" s="1" t="str">
        <f>IF('Extraction edi'!B535="","",'Extraction edi'!B535)</f>
        <v/>
      </c>
      <c r="D525" s="1" t="str">
        <f>IF('Extraction edi'!H535="","",'Extraction edi'!H535)</f>
        <v/>
      </c>
      <c r="E525" s="1" t="str">
        <f>IF('Extraction edi'!I535="","",'Extraction edi'!I535)</f>
        <v/>
      </c>
      <c r="F525" t="str">
        <f>IF('Extraction edi'!K535="","",'Extraction edi'!K535)</f>
        <v/>
      </c>
      <c r="G525" t="str">
        <f>IF('Extraction edi'!L528="","",'Extraction edi'!L528)</f>
        <v/>
      </c>
      <c r="H525" t="str">
        <f>IF('Extraction edi'!M528="","",'Extraction edi'!M528)</f>
        <v/>
      </c>
      <c r="I525" s="1" t="str">
        <f>IF('Extraction edi'!N535="","",'Extraction edi'!N535)</f>
        <v/>
      </c>
      <c r="J525" s="1" t="str">
        <f>IF('Extraction edi'!O535="","",'Extraction edi'!O535)</f>
        <v/>
      </c>
      <c r="K525" s="1" t="str">
        <f>IF('Extraction edi'!P535="","",'Extraction edi'!P535)</f>
        <v/>
      </c>
      <c r="L525" s="1" t="str">
        <f>IF('Extraction edi'!Q535="laquage RAL :","OUI","")</f>
        <v/>
      </c>
      <c r="M525" s="1" t="str">
        <f>IF('Extraction edi'!R535&lt;&gt;"",'Extraction edi'!R535,IF(G525="ALU blanc","S9016",""))</f>
        <v/>
      </c>
      <c r="N525" s="1" t="str">
        <f>IF('Extraction edi'!S535&lt;&gt;"",'Extraction edi'!S535,IF(G525="ALU blanc","S9016",""))</f>
        <v/>
      </c>
      <c r="O525" s="11" t="str">
        <f>IF('Extraction edi'!V535&lt;'Feuille commande'!$E$1,"DELAI NON COMPATIBLE",IF('Extraction edi'!V535="","",WORKDAY('Extraction edi'!V535,-10,Paramètrage!$G$2:$G$104)))</f>
        <v/>
      </c>
      <c r="P525" s="1" t="e">
        <f t="shared" si="8"/>
        <v>#VALUE!</v>
      </c>
    </row>
    <row r="526" spans="1:16" x14ac:dyDescent="0.25">
      <c r="A526" s="1" t="str">
        <f>IF(B526="","",CONCATENATE(B526,".",C526,"/Pos ",D526,"/",'Extraction edi'!G536))</f>
        <v/>
      </c>
      <c r="B526" s="1" t="str">
        <f>IF('Extraction edi'!A536="","",'Extraction edi'!A536)</f>
        <v/>
      </c>
      <c r="C526" s="1" t="str">
        <f>IF('Extraction edi'!B536="","",'Extraction edi'!B536)</f>
        <v/>
      </c>
      <c r="D526" s="1" t="str">
        <f>IF('Extraction edi'!H536="","",'Extraction edi'!H536)</f>
        <v/>
      </c>
      <c r="E526" s="1" t="str">
        <f>IF('Extraction edi'!I536="","",'Extraction edi'!I536)</f>
        <v/>
      </c>
      <c r="F526" t="str">
        <f>IF('Extraction edi'!K536="","",'Extraction edi'!K536)</f>
        <v/>
      </c>
      <c r="G526" t="str">
        <f>IF('Extraction edi'!L529="","",'Extraction edi'!L529)</f>
        <v/>
      </c>
      <c r="H526" t="str">
        <f>IF('Extraction edi'!M529="","",'Extraction edi'!M529)</f>
        <v/>
      </c>
      <c r="I526" s="1" t="str">
        <f>IF('Extraction edi'!N536="","",'Extraction edi'!N536)</f>
        <v/>
      </c>
      <c r="J526" s="1" t="str">
        <f>IF('Extraction edi'!O536="","",'Extraction edi'!O536)</f>
        <v/>
      </c>
      <c r="K526" s="1" t="str">
        <f>IF('Extraction edi'!P536="","",'Extraction edi'!P536)</f>
        <v/>
      </c>
      <c r="L526" s="1" t="str">
        <f>IF('Extraction edi'!Q536="laquage RAL :","OUI","")</f>
        <v/>
      </c>
      <c r="M526" s="1" t="str">
        <f>IF('Extraction edi'!R536&lt;&gt;"",'Extraction edi'!R536,IF(G526="ALU blanc","S9016",""))</f>
        <v/>
      </c>
      <c r="N526" s="1" t="str">
        <f>IF('Extraction edi'!S536&lt;&gt;"",'Extraction edi'!S536,IF(G526="ALU blanc","S9016",""))</f>
        <v/>
      </c>
      <c r="O526" s="11" t="str">
        <f>IF('Extraction edi'!V536&lt;'Feuille commande'!$E$1,"DELAI NON COMPATIBLE",IF('Extraction edi'!V536="","",WORKDAY('Extraction edi'!V536,-10,Paramètrage!$G$2:$G$104)))</f>
        <v/>
      </c>
      <c r="P526" s="1" t="e">
        <f t="shared" si="8"/>
        <v>#VALUE!</v>
      </c>
    </row>
    <row r="527" spans="1:16" x14ac:dyDescent="0.25">
      <c r="A527" s="1" t="str">
        <f>IF(B527="","",CONCATENATE(B527,".",C527,"/Pos ",D527,"/",'Extraction edi'!G537))</f>
        <v/>
      </c>
      <c r="B527" s="1" t="str">
        <f>IF('Extraction edi'!A537="","",'Extraction edi'!A537)</f>
        <v/>
      </c>
      <c r="C527" s="1" t="str">
        <f>IF('Extraction edi'!B537="","",'Extraction edi'!B537)</f>
        <v/>
      </c>
      <c r="D527" s="1" t="str">
        <f>IF('Extraction edi'!H537="","",'Extraction edi'!H537)</f>
        <v/>
      </c>
      <c r="E527" s="1" t="str">
        <f>IF('Extraction edi'!I537="","",'Extraction edi'!I537)</f>
        <v/>
      </c>
      <c r="F527" t="str">
        <f>IF('Extraction edi'!K537="","",'Extraction edi'!K537)</f>
        <v/>
      </c>
      <c r="G527" t="str">
        <f>IF('Extraction edi'!L530="","",'Extraction edi'!L530)</f>
        <v/>
      </c>
      <c r="H527" t="str">
        <f>IF('Extraction edi'!M530="","",'Extraction edi'!M530)</f>
        <v/>
      </c>
      <c r="I527" s="1" t="str">
        <f>IF('Extraction edi'!N537="","",'Extraction edi'!N537)</f>
        <v/>
      </c>
      <c r="J527" s="1" t="str">
        <f>IF('Extraction edi'!O537="","",'Extraction edi'!O537)</f>
        <v/>
      </c>
      <c r="K527" s="1" t="str">
        <f>IF('Extraction edi'!P537="","",'Extraction edi'!P537)</f>
        <v/>
      </c>
      <c r="L527" s="1" t="str">
        <f>IF('Extraction edi'!Q537="laquage RAL :","OUI","")</f>
        <v/>
      </c>
      <c r="M527" s="1" t="str">
        <f>IF('Extraction edi'!R537&lt;&gt;"",'Extraction edi'!R537,IF(G527="ALU blanc","S9016",""))</f>
        <v/>
      </c>
      <c r="N527" s="1" t="str">
        <f>IF('Extraction edi'!S537&lt;&gt;"",'Extraction edi'!S537,IF(G527="ALU blanc","S9016",""))</f>
        <v/>
      </c>
      <c r="O527" s="11" t="str">
        <f>IF('Extraction edi'!V537&lt;'Feuille commande'!$E$1,"DELAI NON COMPATIBLE",IF('Extraction edi'!V537="","",WORKDAY('Extraction edi'!V537,-10,Paramètrage!$G$2:$G$104)))</f>
        <v/>
      </c>
      <c r="P527" s="1" t="e">
        <f t="shared" si="8"/>
        <v>#VALUE!</v>
      </c>
    </row>
    <row r="528" spans="1:16" x14ac:dyDescent="0.25">
      <c r="A528" s="1" t="str">
        <f>IF(B528="","",CONCATENATE(B528,".",C528,"/Pos ",D528,"/",'Extraction edi'!G538))</f>
        <v/>
      </c>
      <c r="B528" s="1" t="str">
        <f>IF('Extraction edi'!A538="","",'Extraction edi'!A538)</f>
        <v/>
      </c>
      <c r="C528" s="1" t="str">
        <f>IF('Extraction edi'!B538="","",'Extraction edi'!B538)</f>
        <v/>
      </c>
      <c r="D528" s="1" t="str">
        <f>IF('Extraction edi'!H538="","",'Extraction edi'!H538)</f>
        <v/>
      </c>
      <c r="E528" s="1" t="str">
        <f>IF('Extraction edi'!I538="","",'Extraction edi'!I538)</f>
        <v/>
      </c>
      <c r="F528" t="str">
        <f>IF('Extraction edi'!K538="","",'Extraction edi'!K538)</f>
        <v/>
      </c>
      <c r="G528" t="str">
        <f>IF('Extraction edi'!L531="","",'Extraction edi'!L531)</f>
        <v/>
      </c>
      <c r="H528" t="str">
        <f>IF('Extraction edi'!M531="","",'Extraction edi'!M531)</f>
        <v/>
      </c>
      <c r="I528" s="1" t="str">
        <f>IF('Extraction edi'!N538="","",'Extraction edi'!N538)</f>
        <v/>
      </c>
      <c r="J528" s="1" t="str">
        <f>IF('Extraction edi'!O538="","",'Extraction edi'!O538)</f>
        <v/>
      </c>
      <c r="K528" s="1" t="str">
        <f>IF('Extraction edi'!P538="","",'Extraction edi'!P538)</f>
        <v/>
      </c>
      <c r="L528" s="1" t="str">
        <f>IF('Extraction edi'!Q538="laquage RAL :","OUI","")</f>
        <v/>
      </c>
      <c r="M528" s="1" t="str">
        <f>IF('Extraction edi'!R538&lt;&gt;"",'Extraction edi'!R538,IF(G528="ALU blanc","S9016",""))</f>
        <v/>
      </c>
      <c r="N528" s="1" t="str">
        <f>IF('Extraction edi'!S538&lt;&gt;"",'Extraction edi'!S538,IF(G528="ALU blanc","S9016",""))</f>
        <v/>
      </c>
      <c r="O528" s="11" t="str">
        <f>IF('Extraction edi'!V538&lt;'Feuille commande'!$E$1,"DELAI NON COMPATIBLE",IF('Extraction edi'!V538="","",WORKDAY('Extraction edi'!V538,-10,Paramètrage!$G$2:$G$104)))</f>
        <v/>
      </c>
      <c r="P528" s="1" t="e">
        <f t="shared" si="8"/>
        <v>#VALUE!</v>
      </c>
    </row>
    <row r="529" spans="1:16" x14ac:dyDescent="0.25">
      <c r="A529" s="1" t="str">
        <f>IF(B529="","",CONCATENATE(B529,".",C529,"/Pos ",D529,"/",'Extraction edi'!G539))</f>
        <v/>
      </c>
      <c r="B529" s="1" t="str">
        <f>IF('Extraction edi'!A539="","",'Extraction edi'!A539)</f>
        <v/>
      </c>
      <c r="C529" s="1" t="str">
        <f>IF('Extraction edi'!B539="","",'Extraction edi'!B539)</f>
        <v/>
      </c>
      <c r="D529" s="1" t="str">
        <f>IF('Extraction edi'!H539="","",'Extraction edi'!H539)</f>
        <v/>
      </c>
      <c r="E529" s="1" t="str">
        <f>IF('Extraction edi'!I539="","",'Extraction edi'!I539)</f>
        <v/>
      </c>
      <c r="F529" t="str">
        <f>IF('Extraction edi'!K539="","",'Extraction edi'!K539)</f>
        <v/>
      </c>
      <c r="G529" t="str">
        <f>IF('Extraction edi'!L532="","",'Extraction edi'!L532)</f>
        <v/>
      </c>
      <c r="H529" t="str">
        <f>IF('Extraction edi'!M532="","",'Extraction edi'!M532)</f>
        <v/>
      </c>
      <c r="I529" s="1" t="str">
        <f>IF('Extraction edi'!N539="","",'Extraction edi'!N539)</f>
        <v/>
      </c>
      <c r="J529" s="1" t="str">
        <f>IF('Extraction edi'!O539="","",'Extraction edi'!O539)</f>
        <v/>
      </c>
      <c r="K529" s="1" t="str">
        <f>IF('Extraction edi'!P539="","",'Extraction edi'!P539)</f>
        <v/>
      </c>
      <c r="L529" s="1" t="str">
        <f>IF('Extraction edi'!Q539="laquage RAL :","OUI","")</f>
        <v/>
      </c>
      <c r="M529" s="1" t="str">
        <f>IF('Extraction edi'!R539&lt;&gt;"",'Extraction edi'!R539,IF(G529="ALU blanc","S9016",""))</f>
        <v/>
      </c>
      <c r="N529" s="1" t="str">
        <f>IF('Extraction edi'!S539&lt;&gt;"",'Extraction edi'!S539,IF(G529="ALU blanc","S9016",""))</f>
        <v/>
      </c>
      <c r="O529" s="11" t="str">
        <f>IF('Extraction edi'!V539&lt;'Feuille commande'!$E$1,"DELAI NON COMPATIBLE",IF('Extraction edi'!V539="","",WORKDAY('Extraction edi'!V539,-10,Paramètrage!$G$2:$G$104)))</f>
        <v/>
      </c>
      <c r="P529" s="1" t="e">
        <f t="shared" si="8"/>
        <v>#VALUE!</v>
      </c>
    </row>
    <row r="530" spans="1:16" x14ac:dyDescent="0.25">
      <c r="A530" s="1" t="str">
        <f>IF(B530="","",CONCATENATE(B530,".",C530,"/Pos ",D530,"/",'Extraction edi'!G540))</f>
        <v/>
      </c>
      <c r="B530" s="1" t="str">
        <f>IF('Extraction edi'!A540="","",'Extraction edi'!A540)</f>
        <v/>
      </c>
      <c r="C530" s="1" t="str">
        <f>IF('Extraction edi'!B540="","",'Extraction edi'!B540)</f>
        <v/>
      </c>
      <c r="D530" s="1" t="str">
        <f>IF('Extraction edi'!H540="","",'Extraction edi'!H540)</f>
        <v/>
      </c>
      <c r="E530" s="1" t="str">
        <f>IF('Extraction edi'!I540="","",'Extraction edi'!I540)</f>
        <v/>
      </c>
      <c r="F530" t="str">
        <f>IF('Extraction edi'!K540="","",'Extraction edi'!K540)</f>
        <v/>
      </c>
      <c r="G530" t="str">
        <f>IF('Extraction edi'!L533="","",'Extraction edi'!L533)</f>
        <v/>
      </c>
      <c r="H530" t="str">
        <f>IF('Extraction edi'!M533="","",'Extraction edi'!M533)</f>
        <v/>
      </c>
      <c r="I530" s="1" t="str">
        <f>IF('Extraction edi'!N540="","",'Extraction edi'!N540)</f>
        <v/>
      </c>
      <c r="J530" s="1" t="str">
        <f>IF('Extraction edi'!O540="","",'Extraction edi'!O540)</f>
        <v/>
      </c>
      <c r="K530" s="1" t="str">
        <f>IF('Extraction edi'!P540="","",'Extraction edi'!P540)</f>
        <v/>
      </c>
      <c r="L530" s="1" t="str">
        <f>IF('Extraction edi'!Q540="laquage RAL :","OUI","")</f>
        <v/>
      </c>
      <c r="M530" s="1" t="str">
        <f>IF('Extraction edi'!R540&lt;&gt;"",'Extraction edi'!R540,IF(G530="ALU blanc","S9016",""))</f>
        <v/>
      </c>
      <c r="N530" s="1" t="str">
        <f>IF('Extraction edi'!S540&lt;&gt;"",'Extraction edi'!S540,IF(G530="ALU blanc","S9016",""))</f>
        <v/>
      </c>
      <c r="O530" s="11" t="str">
        <f>IF('Extraction edi'!V540&lt;'Feuille commande'!$E$1,"DELAI NON COMPATIBLE",IF('Extraction edi'!V540="","",WORKDAY('Extraction edi'!V540,-10,Paramètrage!$G$2:$G$104)))</f>
        <v/>
      </c>
      <c r="P530" s="1" t="e">
        <f t="shared" si="8"/>
        <v>#VALUE!</v>
      </c>
    </row>
    <row r="531" spans="1:16" x14ac:dyDescent="0.25">
      <c r="A531" s="1" t="str">
        <f>IF(B531="","",CONCATENATE(B531,".",C531,"/Pos ",D531,"/",'Extraction edi'!G541))</f>
        <v/>
      </c>
      <c r="B531" s="1" t="str">
        <f>IF('Extraction edi'!A541="","",'Extraction edi'!A541)</f>
        <v/>
      </c>
      <c r="C531" s="1" t="str">
        <f>IF('Extraction edi'!B541="","",'Extraction edi'!B541)</f>
        <v/>
      </c>
      <c r="D531" s="1" t="str">
        <f>IF('Extraction edi'!H541="","",'Extraction edi'!H541)</f>
        <v/>
      </c>
      <c r="E531" s="1" t="str">
        <f>IF('Extraction edi'!I541="","",'Extraction edi'!I541)</f>
        <v/>
      </c>
      <c r="F531" t="str">
        <f>IF('Extraction edi'!K541="","",'Extraction edi'!K541)</f>
        <v/>
      </c>
      <c r="G531" t="str">
        <f>IF('Extraction edi'!L534="","",'Extraction edi'!L534)</f>
        <v/>
      </c>
      <c r="H531" t="str">
        <f>IF('Extraction edi'!M534="","",'Extraction edi'!M534)</f>
        <v/>
      </c>
      <c r="I531" s="1" t="str">
        <f>IF('Extraction edi'!N541="","",'Extraction edi'!N541)</f>
        <v/>
      </c>
      <c r="J531" s="1" t="str">
        <f>IF('Extraction edi'!O541="","",'Extraction edi'!O541)</f>
        <v/>
      </c>
      <c r="K531" s="1" t="str">
        <f>IF('Extraction edi'!P541="","",'Extraction edi'!P541)</f>
        <v/>
      </c>
      <c r="L531" s="1" t="str">
        <f>IF('Extraction edi'!Q541="laquage RAL :","OUI","")</f>
        <v/>
      </c>
      <c r="M531" s="1" t="str">
        <f>IF('Extraction edi'!R541&lt;&gt;"",'Extraction edi'!R541,IF(G531="ALU blanc","S9016",""))</f>
        <v/>
      </c>
      <c r="N531" s="1" t="str">
        <f>IF('Extraction edi'!S541&lt;&gt;"",'Extraction edi'!S541,IF(G531="ALU blanc","S9016",""))</f>
        <v/>
      </c>
      <c r="O531" s="11" t="str">
        <f>IF('Extraction edi'!V541&lt;'Feuille commande'!$E$1,"DELAI NON COMPATIBLE",IF('Extraction edi'!V541="","",WORKDAY('Extraction edi'!V541,-10,Paramètrage!$G$2:$G$104)))</f>
        <v/>
      </c>
      <c r="P531" s="1" t="e">
        <f t="shared" si="8"/>
        <v>#VALUE!</v>
      </c>
    </row>
    <row r="532" spans="1:16" x14ac:dyDescent="0.25">
      <c r="A532" s="1" t="str">
        <f>IF(B532="","",CONCATENATE(B532,".",C532,"/Pos ",D532,"/",'Extraction edi'!G542))</f>
        <v/>
      </c>
      <c r="B532" s="1" t="str">
        <f>IF('Extraction edi'!A542="","",'Extraction edi'!A542)</f>
        <v/>
      </c>
      <c r="C532" s="1" t="str">
        <f>IF('Extraction edi'!B542="","",'Extraction edi'!B542)</f>
        <v/>
      </c>
      <c r="D532" s="1" t="str">
        <f>IF('Extraction edi'!H542="","",'Extraction edi'!H542)</f>
        <v/>
      </c>
      <c r="E532" s="1" t="str">
        <f>IF('Extraction edi'!I542="","",'Extraction edi'!I542)</f>
        <v/>
      </c>
      <c r="F532" t="str">
        <f>IF('Extraction edi'!K542="","",'Extraction edi'!K542)</f>
        <v/>
      </c>
      <c r="G532" t="str">
        <f>IF('Extraction edi'!L535="","",'Extraction edi'!L535)</f>
        <v/>
      </c>
      <c r="H532" t="str">
        <f>IF('Extraction edi'!M535="","",'Extraction edi'!M535)</f>
        <v/>
      </c>
      <c r="I532" s="1" t="str">
        <f>IF('Extraction edi'!N542="","",'Extraction edi'!N542)</f>
        <v/>
      </c>
      <c r="J532" s="1" t="str">
        <f>IF('Extraction edi'!O542="","",'Extraction edi'!O542)</f>
        <v/>
      </c>
      <c r="K532" s="1" t="str">
        <f>IF('Extraction edi'!P542="","",'Extraction edi'!P542)</f>
        <v/>
      </c>
      <c r="L532" s="1" t="str">
        <f>IF('Extraction edi'!Q542="laquage RAL :","OUI","")</f>
        <v/>
      </c>
      <c r="M532" s="1" t="str">
        <f>IF('Extraction edi'!R542&lt;&gt;"",'Extraction edi'!R542,IF(G532="ALU blanc","S9016",""))</f>
        <v/>
      </c>
      <c r="N532" s="1" t="str">
        <f>IF('Extraction edi'!S542&lt;&gt;"",'Extraction edi'!S542,IF(G532="ALU blanc","S9016",""))</f>
        <v/>
      </c>
      <c r="O532" s="11" t="str">
        <f>IF('Extraction edi'!V542&lt;'Feuille commande'!$E$1,"DELAI NON COMPATIBLE",IF('Extraction edi'!V542="","",WORKDAY('Extraction edi'!V542,-10,Paramètrage!$G$2:$G$104)))</f>
        <v/>
      </c>
      <c r="P532" s="1" t="e">
        <f t="shared" si="8"/>
        <v>#VALUE!</v>
      </c>
    </row>
    <row r="533" spans="1:16" x14ac:dyDescent="0.25">
      <c r="A533" s="1" t="str">
        <f>IF(B533="","",CONCATENATE(B533,".",C533,"/Pos ",D533,"/",'Extraction edi'!G543))</f>
        <v/>
      </c>
      <c r="B533" s="1" t="str">
        <f>IF('Extraction edi'!A543="","",'Extraction edi'!A543)</f>
        <v/>
      </c>
      <c r="C533" s="1" t="str">
        <f>IF('Extraction edi'!B543="","",'Extraction edi'!B543)</f>
        <v/>
      </c>
      <c r="D533" s="1" t="str">
        <f>IF('Extraction edi'!H543="","",'Extraction edi'!H543)</f>
        <v/>
      </c>
      <c r="E533" s="1" t="str">
        <f>IF('Extraction edi'!I543="","",'Extraction edi'!I543)</f>
        <v/>
      </c>
      <c r="F533" t="str">
        <f>IF('Extraction edi'!K543="","",'Extraction edi'!K543)</f>
        <v/>
      </c>
      <c r="G533" t="str">
        <f>IF('Extraction edi'!L536="","",'Extraction edi'!L536)</f>
        <v/>
      </c>
      <c r="H533" t="str">
        <f>IF('Extraction edi'!M536="","",'Extraction edi'!M536)</f>
        <v/>
      </c>
      <c r="I533" s="1" t="str">
        <f>IF('Extraction edi'!N543="","",'Extraction edi'!N543)</f>
        <v/>
      </c>
      <c r="J533" s="1" t="str">
        <f>IF('Extraction edi'!O543="","",'Extraction edi'!O543)</f>
        <v/>
      </c>
      <c r="K533" s="1" t="str">
        <f>IF('Extraction edi'!P543="","",'Extraction edi'!P543)</f>
        <v/>
      </c>
      <c r="L533" s="1" t="str">
        <f>IF('Extraction edi'!Q543="laquage RAL :","OUI","")</f>
        <v/>
      </c>
      <c r="M533" s="1" t="str">
        <f>IF('Extraction edi'!R543&lt;&gt;"",'Extraction edi'!R543,IF(G533="ALU blanc","S9016",""))</f>
        <v/>
      </c>
      <c r="N533" s="1" t="str">
        <f>IF('Extraction edi'!S543&lt;&gt;"",'Extraction edi'!S543,IF(G533="ALU blanc","S9016",""))</f>
        <v/>
      </c>
      <c r="O533" s="11" t="str">
        <f>IF('Extraction edi'!V543&lt;'Feuille commande'!$E$1,"DELAI NON COMPATIBLE",IF('Extraction edi'!V543="","",WORKDAY('Extraction edi'!V543,-10,Paramètrage!$G$2:$G$104)))</f>
        <v/>
      </c>
      <c r="P533" s="1" t="e">
        <f t="shared" si="8"/>
        <v>#VALUE!</v>
      </c>
    </row>
    <row r="534" spans="1:16" x14ac:dyDescent="0.25">
      <c r="A534" s="1" t="str">
        <f>IF(B534="","",CONCATENATE(B534,".",C534,"/Pos ",D534,"/",'Extraction edi'!G544))</f>
        <v/>
      </c>
      <c r="B534" s="1" t="str">
        <f>IF('Extraction edi'!A544="","",'Extraction edi'!A544)</f>
        <v/>
      </c>
      <c r="C534" s="1" t="str">
        <f>IF('Extraction edi'!B544="","",'Extraction edi'!B544)</f>
        <v/>
      </c>
      <c r="D534" s="1" t="str">
        <f>IF('Extraction edi'!H544="","",'Extraction edi'!H544)</f>
        <v/>
      </c>
      <c r="E534" s="1" t="str">
        <f>IF('Extraction edi'!I544="","",'Extraction edi'!I544)</f>
        <v/>
      </c>
      <c r="F534" t="str">
        <f>IF('Extraction edi'!K544="","",'Extraction edi'!K544)</f>
        <v/>
      </c>
      <c r="G534" t="str">
        <f>IF('Extraction edi'!L537="","",'Extraction edi'!L537)</f>
        <v/>
      </c>
      <c r="H534" t="str">
        <f>IF('Extraction edi'!M537="","",'Extraction edi'!M537)</f>
        <v/>
      </c>
      <c r="I534" s="1" t="str">
        <f>IF('Extraction edi'!N544="","",'Extraction edi'!N544)</f>
        <v/>
      </c>
      <c r="J534" s="1" t="str">
        <f>IF('Extraction edi'!O544="","",'Extraction edi'!O544)</f>
        <v/>
      </c>
      <c r="K534" s="1" t="str">
        <f>IF('Extraction edi'!P544="","",'Extraction edi'!P544)</f>
        <v/>
      </c>
      <c r="L534" s="1" t="str">
        <f>IF('Extraction edi'!Q544="laquage RAL :","OUI","")</f>
        <v/>
      </c>
      <c r="M534" s="1" t="str">
        <f>IF('Extraction edi'!R544&lt;&gt;"",'Extraction edi'!R544,IF(G534="ALU blanc","S9016",""))</f>
        <v/>
      </c>
      <c r="N534" s="1" t="str">
        <f>IF('Extraction edi'!S544&lt;&gt;"",'Extraction edi'!S544,IF(G534="ALU blanc","S9016",""))</f>
        <v/>
      </c>
      <c r="O534" s="11" t="str">
        <f>IF('Extraction edi'!V544&lt;'Feuille commande'!$E$1,"DELAI NON COMPATIBLE",IF('Extraction edi'!V544="","",WORKDAY('Extraction edi'!V544,-10,Paramètrage!$G$2:$G$104)))</f>
        <v/>
      </c>
      <c r="P534" s="1" t="e">
        <f t="shared" si="8"/>
        <v>#VALUE!</v>
      </c>
    </row>
    <row r="535" spans="1:16" x14ac:dyDescent="0.25">
      <c r="A535" s="1" t="str">
        <f>IF(B535="","",CONCATENATE(B535,".",C535,"/Pos ",D535,"/",'Extraction edi'!G545))</f>
        <v/>
      </c>
      <c r="B535" s="1" t="str">
        <f>IF('Extraction edi'!A545="","",'Extraction edi'!A545)</f>
        <v/>
      </c>
      <c r="C535" s="1" t="str">
        <f>IF('Extraction edi'!B545="","",'Extraction edi'!B545)</f>
        <v/>
      </c>
      <c r="D535" s="1" t="str">
        <f>IF('Extraction edi'!H545="","",'Extraction edi'!H545)</f>
        <v/>
      </c>
      <c r="E535" s="1" t="str">
        <f>IF('Extraction edi'!I545="","",'Extraction edi'!I545)</f>
        <v/>
      </c>
      <c r="F535" t="str">
        <f>IF('Extraction edi'!K545="","",'Extraction edi'!K545)</f>
        <v/>
      </c>
      <c r="G535" t="str">
        <f>IF('Extraction edi'!L538="","",'Extraction edi'!L538)</f>
        <v/>
      </c>
      <c r="H535" t="str">
        <f>IF('Extraction edi'!M538="","",'Extraction edi'!M538)</f>
        <v/>
      </c>
      <c r="I535" s="1" t="str">
        <f>IF('Extraction edi'!N545="","",'Extraction edi'!N545)</f>
        <v/>
      </c>
      <c r="J535" s="1" t="str">
        <f>IF('Extraction edi'!O545="","",'Extraction edi'!O545)</f>
        <v/>
      </c>
      <c r="K535" s="1" t="str">
        <f>IF('Extraction edi'!P545="","",'Extraction edi'!P545)</f>
        <v/>
      </c>
      <c r="L535" s="1" t="str">
        <f>IF('Extraction edi'!Q545="laquage RAL :","OUI","")</f>
        <v/>
      </c>
      <c r="M535" s="1" t="str">
        <f>IF('Extraction edi'!R545&lt;&gt;"",'Extraction edi'!R545,IF(G535="ALU blanc","S9016",""))</f>
        <v/>
      </c>
      <c r="N535" s="1" t="str">
        <f>IF('Extraction edi'!S545&lt;&gt;"",'Extraction edi'!S545,IF(G535="ALU blanc","S9016",""))</f>
        <v/>
      </c>
      <c r="O535" s="11" t="str">
        <f>IF('Extraction edi'!V545&lt;'Feuille commande'!$E$1,"DELAI NON COMPATIBLE",IF('Extraction edi'!V545="","",WORKDAY('Extraction edi'!V545,-10,Paramètrage!$G$2:$G$104)))</f>
        <v/>
      </c>
      <c r="P535" s="1" t="e">
        <f t="shared" si="8"/>
        <v>#VALUE!</v>
      </c>
    </row>
    <row r="536" spans="1:16" x14ac:dyDescent="0.25">
      <c r="A536" s="1" t="str">
        <f>IF(B536="","",CONCATENATE(B536,".",C536,"/Pos ",D536,"/",'Extraction edi'!G546))</f>
        <v/>
      </c>
      <c r="B536" s="1" t="str">
        <f>IF('Extraction edi'!A546="","",'Extraction edi'!A546)</f>
        <v/>
      </c>
      <c r="C536" s="1" t="str">
        <f>IF('Extraction edi'!B546="","",'Extraction edi'!B546)</f>
        <v/>
      </c>
      <c r="D536" s="1" t="str">
        <f>IF('Extraction edi'!H546="","",'Extraction edi'!H546)</f>
        <v/>
      </c>
      <c r="E536" s="1" t="str">
        <f>IF('Extraction edi'!I546="","",'Extraction edi'!I546)</f>
        <v/>
      </c>
      <c r="F536" t="str">
        <f>IF('Extraction edi'!K546="","",'Extraction edi'!K546)</f>
        <v/>
      </c>
      <c r="G536" t="str">
        <f>IF('Extraction edi'!L539="","",'Extraction edi'!L539)</f>
        <v/>
      </c>
      <c r="H536" t="str">
        <f>IF('Extraction edi'!M539="","",'Extraction edi'!M539)</f>
        <v/>
      </c>
      <c r="I536" s="1" t="str">
        <f>IF('Extraction edi'!N546="","",'Extraction edi'!N546)</f>
        <v/>
      </c>
      <c r="J536" s="1" t="str">
        <f>IF('Extraction edi'!O546="","",'Extraction edi'!O546)</f>
        <v/>
      </c>
      <c r="K536" s="1" t="str">
        <f>IF('Extraction edi'!P546="","",'Extraction edi'!P546)</f>
        <v/>
      </c>
      <c r="L536" s="1" t="str">
        <f>IF('Extraction edi'!Q546="laquage RAL :","OUI","")</f>
        <v/>
      </c>
      <c r="M536" s="1" t="str">
        <f>IF('Extraction edi'!R546&lt;&gt;"",'Extraction edi'!R546,IF(G536="ALU blanc","S9016",""))</f>
        <v/>
      </c>
      <c r="N536" s="1" t="str">
        <f>IF('Extraction edi'!S546&lt;&gt;"",'Extraction edi'!S546,IF(G536="ALU blanc","S9016",""))</f>
        <v/>
      </c>
      <c r="O536" s="11" t="str">
        <f>IF('Extraction edi'!V546&lt;'Feuille commande'!$E$1,"DELAI NON COMPATIBLE",IF('Extraction edi'!V546="","",WORKDAY('Extraction edi'!V546,-10,Paramètrage!$G$2:$G$104)))</f>
        <v/>
      </c>
      <c r="P536" s="1" t="e">
        <f t="shared" si="8"/>
        <v>#VALUE!</v>
      </c>
    </row>
    <row r="537" spans="1:16" x14ac:dyDescent="0.25">
      <c r="A537" s="1" t="str">
        <f>IF(B537="","",CONCATENATE(B537,".",C537,"/Pos ",D537,"/",'Extraction edi'!G547))</f>
        <v/>
      </c>
      <c r="B537" s="1" t="str">
        <f>IF('Extraction edi'!A547="","",'Extraction edi'!A547)</f>
        <v/>
      </c>
      <c r="C537" s="1" t="str">
        <f>IF('Extraction edi'!B547="","",'Extraction edi'!B547)</f>
        <v/>
      </c>
      <c r="D537" s="1" t="str">
        <f>IF('Extraction edi'!H547="","",'Extraction edi'!H547)</f>
        <v/>
      </c>
      <c r="E537" s="1" t="str">
        <f>IF('Extraction edi'!I547="","",'Extraction edi'!I547)</f>
        <v/>
      </c>
      <c r="F537" t="str">
        <f>IF('Extraction edi'!K547="","",'Extraction edi'!K547)</f>
        <v/>
      </c>
      <c r="G537" t="str">
        <f>IF('Extraction edi'!L540="","",'Extraction edi'!L540)</f>
        <v/>
      </c>
      <c r="H537" t="str">
        <f>IF('Extraction edi'!M540="","",'Extraction edi'!M540)</f>
        <v/>
      </c>
      <c r="I537" s="1" t="str">
        <f>IF('Extraction edi'!N547="","",'Extraction edi'!N547)</f>
        <v/>
      </c>
      <c r="J537" s="1" t="str">
        <f>IF('Extraction edi'!O547="","",'Extraction edi'!O547)</f>
        <v/>
      </c>
      <c r="K537" s="1" t="str">
        <f>IF('Extraction edi'!P547="","",'Extraction edi'!P547)</f>
        <v/>
      </c>
      <c r="L537" s="1" t="str">
        <f>IF('Extraction edi'!Q547="laquage RAL :","OUI","")</f>
        <v/>
      </c>
      <c r="M537" s="1" t="str">
        <f>IF('Extraction edi'!R547&lt;&gt;"",'Extraction edi'!R547,IF(G537="ALU blanc","S9016",""))</f>
        <v/>
      </c>
      <c r="N537" s="1" t="str">
        <f>IF('Extraction edi'!S547&lt;&gt;"",'Extraction edi'!S547,IF(G537="ALU blanc","S9016",""))</f>
        <v/>
      </c>
      <c r="O537" s="11" t="str">
        <f>IF('Extraction edi'!V547&lt;'Feuille commande'!$E$1,"DELAI NON COMPATIBLE",IF('Extraction edi'!V547="","",WORKDAY('Extraction edi'!V547,-10,Paramètrage!$G$2:$G$104)))</f>
        <v/>
      </c>
      <c r="P537" s="1" t="e">
        <f t="shared" si="8"/>
        <v>#VALUE!</v>
      </c>
    </row>
    <row r="538" spans="1:16" x14ac:dyDescent="0.25">
      <c r="A538" s="1" t="str">
        <f>IF(B538="","",CONCATENATE(B538,".",C538,"/Pos ",D538,"/",'Extraction edi'!G548))</f>
        <v/>
      </c>
      <c r="B538" s="1" t="str">
        <f>IF('Extraction edi'!A548="","",'Extraction edi'!A548)</f>
        <v/>
      </c>
      <c r="C538" s="1" t="str">
        <f>IF('Extraction edi'!B548="","",'Extraction edi'!B548)</f>
        <v/>
      </c>
      <c r="D538" s="1" t="str">
        <f>IF('Extraction edi'!H548="","",'Extraction edi'!H548)</f>
        <v/>
      </c>
      <c r="E538" s="1" t="str">
        <f>IF('Extraction edi'!I548="","",'Extraction edi'!I548)</f>
        <v/>
      </c>
      <c r="F538" t="str">
        <f>IF('Extraction edi'!K548="","",'Extraction edi'!K548)</f>
        <v/>
      </c>
      <c r="G538" t="str">
        <f>IF('Extraction edi'!L541="","",'Extraction edi'!L541)</f>
        <v/>
      </c>
      <c r="H538" t="str">
        <f>IF('Extraction edi'!M541="","",'Extraction edi'!M541)</f>
        <v/>
      </c>
      <c r="I538" s="1" t="str">
        <f>IF('Extraction edi'!N548="","",'Extraction edi'!N548)</f>
        <v/>
      </c>
      <c r="J538" s="1" t="str">
        <f>IF('Extraction edi'!O548="","",'Extraction edi'!O548)</f>
        <v/>
      </c>
      <c r="K538" s="1" t="str">
        <f>IF('Extraction edi'!P548="","",'Extraction edi'!P548)</f>
        <v/>
      </c>
      <c r="L538" s="1" t="str">
        <f>IF('Extraction edi'!Q548="laquage RAL :","OUI","")</f>
        <v/>
      </c>
      <c r="M538" s="1" t="str">
        <f>IF('Extraction edi'!R548&lt;&gt;"",'Extraction edi'!R548,IF(G538="ALU blanc","S9016",""))</f>
        <v/>
      </c>
      <c r="N538" s="1" t="str">
        <f>IF('Extraction edi'!S548&lt;&gt;"",'Extraction edi'!S548,IF(G538="ALU blanc","S9016",""))</f>
        <v/>
      </c>
      <c r="O538" s="11" t="str">
        <f>IF('Extraction edi'!V548&lt;'Feuille commande'!$E$1,"DELAI NON COMPATIBLE",IF('Extraction edi'!V548="","",WORKDAY('Extraction edi'!V548,-10,Paramètrage!$G$2:$G$104)))</f>
        <v/>
      </c>
      <c r="P538" s="1" t="e">
        <f t="shared" si="8"/>
        <v>#VALUE!</v>
      </c>
    </row>
    <row r="539" spans="1:16" x14ac:dyDescent="0.25">
      <c r="A539" s="1" t="str">
        <f>IF(B539="","",CONCATENATE(B539,".",C539,"/Pos ",D539,"/",'Extraction edi'!G549))</f>
        <v/>
      </c>
      <c r="B539" s="1" t="str">
        <f>IF('Extraction edi'!A549="","",'Extraction edi'!A549)</f>
        <v/>
      </c>
      <c r="C539" s="1" t="str">
        <f>IF('Extraction edi'!B549="","",'Extraction edi'!B549)</f>
        <v/>
      </c>
      <c r="D539" s="1" t="str">
        <f>IF('Extraction edi'!H549="","",'Extraction edi'!H549)</f>
        <v/>
      </c>
      <c r="E539" s="1" t="str">
        <f>IF('Extraction edi'!I549="","",'Extraction edi'!I549)</f>
        <v/>
      </c>
      <c r="F539" t="str">
        <f>IF('Extraction edi'!K549="","",'Extraction edi'!K549)</f>
        <v/>
      </c>
      <c r="G539" t="str">
        <f>IF('Extraction edi'!L542="","",'Extraction edi'!L542)</f>
        <v/>
      </c>
      <c r="H539" t="str">
        <f>IF('Extraction edi'!M542="","",'Extraction edi'!M542)</f>
        <v/>
      </c>
      <c r="I539" s="1" t="str">
        <f>IF('Extraction edi'!N549="","",'Extraction edi'!N549)</f>
        <v/>
      </c>
      <c r="J539" s="1" t="str">
        <f>IF('Extraction edi'!O549="","",'Extraction edi'!O549)</f>
        <v/>
      </c>
      <c r="K539" s="1" t="str">
        <f>IF('Extraction edi'!P549="","",'Extraction edi'!P549)</f>
        <v/>
      </c>
      <c r="L539" s="1" t="str">
        <f>IF('Extraction edi'!Q549="laquage RAL :","OUI","")</f>
        <v/>
      </c>
      <c r="M539" s="1" t="str">
        <f>IF('Extraction edi'!R549&lt;&gt;"",'Extraction edi'!R549,IF(G539="ALU blanc","S9016",""))</f>
        <v/>
      </c>
      <c r="N539" s="1" t="str">
        <f>IF('Extraction edi'!S549&lt;&gt;"",'Extraction edi'!S549,IF(G539="ALU blanc","S9016",""))</f>
        <v/>
      </c>
      <c r="O539" s="11" t="str">
        <f>IF('Extraction edi'!V549&lt;'Feuille commande'!$E$1,"DELAI NON COMPATIBLE",IF('Extraction edi'!V549="","",WORKDAY('Extraction edi'!V549,-10,Paramètrage!$G$2:$G$104)))</f>
        <v/>
      </c>
      <c r="P539" s="1" t="e">
        <f t="shared" si="8"/>
        <v>#VALUE!</v>
      </c>
    </row>
    <row r="540" spans="1:16" x14ac:dyDescent="0.25">
      <c r="A540" s="1" t="str">
        <f>IF(B540="","",CONCATENATE(B540,".",C540,"/Pos ",D540,"/",'Extraction edi'!G550))</f>
        <v/>
      </c>
      <c r="B540" s="1" t="str">
        <f>IF('Extraction edi'!A550="","",'Extraction edi'!A550)</f>
        <v/>
      </c>
      <c r="C540" s="1" t="str">
        <f>IF('Extraction edi'!B550="","",'Extraction edi'!B550)</f>
        <v/>
      </c>
      <c r="D540" s="1" t="str">
        <f>IF('Extraction edi'!H550="","",'Extraction edi'!H550)</f>
        <v/>
      </c>
      <c r="E540" s="1" t="str">
        <f>IF('Extraction edi'!I550="","",'Extraction edi'!I550)</f>
        <v/>
      </c>
      <c r="F540" t="str">
        <f>IF('Extraction edi'!K550="","",'Extraction edi'!K550)</f>
        <v/>
      </c>
      <c r="G540" t="str">
        <f>IF('Extraction edi'!L543="","",'Extraction edi'!L543)</f>
        <v/>
      </c>
      <c r="H540" t="str">
        <f>IF('Extraction edi'!M543="","",'Extraction edi'!M543)</f>
        <v/>
      </c>
      <c r="I540" s="1" t="str">
        <f>IF('Extraction edi'!N550="","",'Extraction edi'!N550)</f>
        <v/>
      </c>
      <c r="J540" s="1" t="str">
        <f>IF('Extraction edi'!O550="","",'Extraction edi'!O550)</f>
        <v/>
      </c>
      <c r="K540" s="1" t="str">
        <f>IF('Extraction edi'!P550="","",'Extraction edi'!P550)</f>
        <v/>
      </c>
      <c r="L540" s="1" t="str">
        <f>IF('Extraction edi'!Q550="laquage RAL :","OUI","")</f>
        <v/>
      </c>
      <c r="M540" s="1" t="str">
        <f>IF('Extraction edi'!R550&lt;&gt;"",'Extraction edi'!R550,IF(G540="ALU blanc","S9016",""))</f>
        <v/>
      </c>
      <c r="N540" s="1" t="str">
        <f>IF('Extraction edi'!S550&lt;&gt;"",'Extraction edi'!S550,IF(G540="ALU blanc","S9016",""))</f>
        <v/>
      </c>
      <c r="O540" s="11" t="str">
        <f>IF('Extraction edi'!V550&lt;'Feuille commande'!$E$1,"DELAI NON COMPATIBLE",IF('Extraction edi'!V550="","",WORKDAY('Extraction edi'!V550,-10,Paramètrage!$G$2:$G$104)))</f>
        <v/>
      </c>
      <c r="P540" s="1" t="e">
        <f t="shared" si="8"/>
        <v>#VALUE!</v>
      </c>
    </row>
    <row r="541" spans="1:16" x14ac:dyDescent="0.25">
      <c r="A541" s="1" t="str">
        <f>IF(B541="","",CONCATENATE(B541,".",C541,"/Pos ",D541,"/",'Extraction edi'!G551))</f>
        <v/>
      </c>
      <c r="B541" s="1" t="str">
        <f>IF('Extraction edi'!A551="","",'Extraction edi'!A551)</f>
        <v/>
      </c>
      <c r="C541" s="1" t="str">
        <f>IF('Extraction edi'!B551="","",'Extraction edi'!B551)</f>
        <v/>
      </c>
      <c r="D541" s="1" t="str">
        <f>IF('Extraction edi'!H551="","",'Extraction edi'!H551)</f>
        <v/>
      </c>
      <c r="E541" s="1" t="str">
        <f>IF('Extraction edi'!I551="","",'Extraction edi'!I551)</f>
        <v/>
      </c>
      <c r="F541" t="str">
        <f>IF('Extraction edi'!K551="","",'Extraction edi'!K551)</f>
        <v/>
      </c>
      <c r="G541" t="str">
        <f>IF('Extraction edi'!L544="","",'Extraction edi'!L544)</f>
        <v/>
      </c>
      <c r="H541" t="str">
        <f>IF('Extraction edi'!M544="","",'Extraction edi'!M544)</f>
        <v/>
      </c>
      <c r="I541" s="1" t="str">
        <f>IF('Extraction edi'!N551="","",'Extraction edi'!N551)</f>
        <v/>
      </c>
      <c r="J541" s="1" t="str">
        <f>IF('Extraction edi'!O551="","",'Extraction edi'!O551)</f>
        <v/>
      </c>
      <c r="K541" s="1" t="str">
        <f>IF('Extraction edi'!P551="","",'Extraction edi'!P551)</f>
        <v/>
      </c>
      <c r="L541" s="1" t="str">
        <f>IF('Extraction edi'!Q551="laquage RAL :","OUI","")</f>
        <v/>
      </c>
      <c r="M541" s="1" t="str">
        <f>IF('Extraction edi'!R551&lt;&gt;"",'Extraction edi'!R551,IF(G541="ALU blanc","S9016",""))</f>
        <v/>
      </c>
      <c r="N541" s="1" t="str">
        <f>IF('Extraction edi'!S551&lt;&gt;"",'Extraction edi'!S551,IF(G541="ALU blanc","S9016",""))</f>
        <v/>
      </c>
      <c r="O541" s="11" t="str">
        <f>IF('Extraction edi'!V551&lt;'Feuille commande'!$E$1,"DELAI NON COMPATIBLE",IF('Extraction edi'!V551="","",WORKDAY('Extraction edi'!V551,-10,Paramètrage!$G$2:$G$104)))</f>
        <v/>
      </c>
      <c r="P541" s="1" t="e">
        <f t="shared" si="8"/>
        <v>#VALUE!</v>
      </c>
    </row>
    <row r="542" spans="1:16" x14ac:dyDescent="0.25">
      <c r="A542" s="1" t="str">
        <f>IF(B542="","",CONCATENATE(B542,".",C542,"/Pos ",D542,"/",'Extraction edi'!G552))</f>
        <v/>
      </c>
      <c r="B542" s="1" t="str">
        <f>IF('Extraction edi'!A552="","",'Extraction edi'!A552)</f>
        <v/>
      </c>
      <c r="C542" s="1" t="str">
        <f>IF('Extraction edi'!B552="","",'Extraction edi'!B552)</f>
        <v/>
      </c>
      <c r="D542" s="1" t="str">
        <f>IF('Extraction edi'!H552="","",'Extraction edi'!H552)</f>
        <v/>
      </c>
      <c r="E542" s="1" t="str">
        <f>IF('Extraction edi'!I552="","",'Extraction edi'!I552)</f>
        <v/>
      </c>
      <c r="F542" t="str">
        <f>IF('Extraction edi'!K552="","",'Extraction edi'!K552)</f>
        <v/>
      </c>
      <c r="G542" t="str">
        <f>IF('Extraction edi'!L545="","",'Extraction edi'!L545)</f>
        <v/>
      </c>
      <c r="H542" t="str">
        <f>IF('Extraction edi'!M545="","",'Extraction edi'!M545)</f>
        <v/>
      </c>
      <c r="I542" s="1" t="str">
        <f>IF('Extraction edi'!N552="","",'Extraction edi'!N552)</f>
        <v/>
      </c>
      <c r="J542" s="1" t="str">
        <f>IF('Extraction edi'!O552="","",'Extraction edi'!O552)</f>
        <v/>
      </c>
      <c r="K542" s="1" t="str">
        <f>IF('Extraction edi'!P552="","",'Extraction edi'!P552)</f>
        <v/>
      </c>
      <c r="L542" s="1" t="str">
        <f>IF('Extraction edi'!Q552="laquage RAL :","OUI","")</f>
        <v/>
      </c>
      <c r="M542" s="1" t="str">
        <f>IF('Extraction edi'!R552&lt;&gt;"",'Extraction edi'!R552,IF(G542="ALU blanc","S9016",""))</f>
        <v/>
      </c>
      <c r="N542" s="1" t="str">
        <f>IF('Extraction edi'!S552&lt;&gt;"",'Extraction edi'!S552,IF(G542="ALU blanc","S9016",""))</f>
        <v/>
      </c>
      <c r="O542" s="11" t="str">
        <f>IF('Extraction edi'!V552&lt;'Feuille commande'!$E$1,"DELAI NON COMPATIBLE",IF('Extraction edi'!V552="","",WORKDAY('Extraction edi'!V552,-10,Paramètrage!$G$2:$G$104)))</f>
        <v/>
      </c>
      <c r="P542" s="1" t="e">
        <f t="shared" si="8"/>
        <v>#VALUE!</v>
      </c>
    </row>
    <row r="543" spans="1:16" x14ac:dyDescent="0.25">
      <c r="A543" s="1" t="str">
        <f>IF(B543="","",CONCATENATE(B543,".",C543,"/Pos ",D543,"/",'Extraction edi'!G553))</f>
        <v/>
      </c>
      <c r="B543" s="1" t="str">
        <f>IF('Extraction edi'!A553="","",'Extraction edi'!A553)</f>
        <v/>
      </c>
      <c r="C543" s="1" t="str">
        <f>IF('Extraction edi'!B553="","",'Extraction edi'!B553)</f>
        <v/>
      </c>
      <c r="D543" s="1" t="str">
        <f>IF('Extraction edi'!H553="","",'Extraction edi'!H553)</f>
        <v/>
      </c>
      <c r="E543" s="1" t="str">
        <f>IF('Extraction edi'!I553="","",'Extraction edi'!I553)</f>
        <v/>
      </c>
      <c r="F543" t="str">
        <f>IF('Extraction edi'!K553="","",'Extraction edi'!K553)</f>
        <v/>
      </c>
      <c r="G543" t="str">
        <f>IF('Extraction edi'!L546="","",'Extraction edi'!L546)</f>
        <v/>
      </c>
      <c r="H543" t="str">
        <f>IF('Extraction edi'!M546="","",'Extraction edi'!M546)</f>
        <v/>
      </c>
      <c r="I543" s="1" t="str">
        <f>IF('Extraction edi'!N553="","",'Extraction edi'!N553)</f>
        <v/>
      </c>
      <c r="J543" s="1" t="str">
        <f>IF('Extraction edi'!O553="","",'Extraction edi'!O553)</f>
        <v/>
      </c>
      <c r="K543" s="1" t="str">
        <f>IF('Extraction edi'!P553="","",'Extraction edi'!P553)</f>
        <v/>
      </c>
      <c r="L543" s="1" t="str">
        <f>IF('Extraction edi'!Q553="laquage RAL :","OUI","")</f>
        <v/>
      </c>
      <c r="M543" s="1" t="str">
        <f>IF('Extraction edi'!R553&lt;&gt;"",'Extraction edi'!R553,IF(G543="ALU blanc","S9016",""))</f>
        <v/>
      </c>
      <c r="N543" s="1" t="str">
        <f>IF('Extraction edi'!S553&lt;&gt;"",'Extraction edi'!S553,IF(G543="ALU blanc","S9016",""))</f>
        <v/>
      </c>
      <c r="O543" s="11" t="str">
        <f>IF('Extraction edi'!V553&lt;'Feuille commande'!$E$1,"DELAI NON COMPATIBLE",IF('Extraction edi'!V553="","",WORKDAY('Extraction edi'!V553,-10,Paramètrage!$G$2:$G$104)))</f>
        <v/>
      </c>
      <c r="P543" s="1" t="e">
        <f t="shared" si="8"/>
        <v>#VALUE!</v>
      </c>
    </row>
    <row r="544" spans="1:16" x14ac:dyDescent="0.25">
      <c r="A544" s="1" t="str">
        <f>IF(B544="","",CONCATENATE(B544,".",C544,"/Pos ",D544,"/",'Extraction edi'!G554))</f>
        <v/>
      </c>
      <c r="B544" s="1" t="str">
        <f>IF('Extraction edi'!A554="","",'Extraction edi'!A554)</f>
        <v/>
      </c>
      <c r="C544" s="1" t="str">
        <f>IF('Extraction edi'!B554="","",'Extraction edi'!B554)</f>
        <v/>
      </c>
      <c r="D544" s="1" t="str">
        <f>IF('Extraction edi'!H554="","",'Extraction edi'!H554)</f>
        <v/>
      </c>
      <c r="E544" s="1" t="str">
        <f>IF('Extraction edi'!I554="","",'Extraction edi'!I554)</f>
        <v/>
      </c>
      <c r="F544" t="str">
        <f>IF('Extraction edi'!K554="","",'Extraction edi'!K554)</f>
        <v/>
      </c>
      <c r="G544" t="str">
        <f>IF('Extraction edi'!L547="","",'Extraction edi'!L547)</f>
        <v/>
      </c>
      <c r="H544" t="str">
        <f>IF('Extraction edi'!M547="","",'Extraction edi'!M547)</f>
        <v/>
      </c>
      <c r="I544" s="1" t="str">
        <f>IF('Extraction edi'!N554="","",'Extraction edi'!N554)</f>
        <v/>
      </c>
      <c r="J544" s="1" t="str">
        <f>IF('Extraction edi'!O554="","",'Extraction edi'!O554)</f>
        <v/>
      </c>
      <c r="K544" s="1" t="str">
        <f>IF('Extraction edi'!P554="","",'Extraction edi'!P554)</f>
        <v/>
      </c>
      <c r="L544" s="1" t="str">
        <f>IF('Extraction edi'!Q554="laquage RAL :","OUI","")</f>
        <v/>
      </c>
      <c r="M544" s="1" t="str">
        <f>IF('Extraction edi'!R554&lt;&gt;"",'Extraction edi'!R554,IF(G544="ALU blanc","S9016",""))</f>
        <v/>
      </c>
      <c r="N544" s="1" t="str">
        <f>IF('Extraction edi'!S554&lt;&gt;"",'Extraction edi'!S554,IF(G544="ALU blanc","S9016",""))</f>
        <v/>
      </c>
      <c r="O544" s="11" t="str">
        <f>IF('Extraction edi'!V554&lt;'Feuille commande'!$E$1,"DELAI NON COMPATIBLE",IF('Extraction edi'!V554="","",WORKDAY('Extraction edi'!V554,-10,Paramètrage!$G$2:$G$104)))</f>
        <v/>
      </c>
      <c r="P544" s="1" t="e">
        <f t="shared" si="8"/>
        <v>#VALUE!</v>
      </c>
    </row>
    <row r="545" spans="1:16" x14ac:dyDescent="0.25">
      <c r="A545" s="1" t="str">
        <f>IF(B545="","",CONCATENATE(B545,".",C545,"/Pos ",D545,"/",'Extraction edi'!G555))</f>
        <v/>
      </c>
      <c r="B545" s="1" t="str">
        <f>IF('Extraction edi'!A555="","",'Extraction edi'!A555)</f>
        <v/>
      </c>
      <c r="C545" s="1" t="str">
        <f>IF('Extraction edi'!B555="","",'Extraction edi'!B555)</f>
        <v/>
      </c>
      <c r="D545" s="1" t="str">
        <f>IF('Extraction edi'!H555="","",'Extraction edi'!H555)</f>
        <v/>
      </c>
      <c r="E545" s="1" t="str">
        <f>IF('Extraction edi'!I555="","",'Extraction edi'!I555)</f>
        <v/>
      </c>
      <c r="F545" t="str">
        <f>IF('Extraction edi'!K555="","",'Extraction edi'!K555)</f>
        <v/>
      </c>
      <c r="G545" t="str">
        <f>IF('Extraction edi'!L548="","",'Extraction edi'!L548)</f>
        <v/>
      </c>
      <c r="H545" t="str">
        <f>IF('Extraction edi'!M548="","",'Extraction edi'!M548)</f>
        <v/>
      </c>
      <c r="I545" s="1" t="str">
        <f>IF('Extraction edi'!N555="","",'Extraction edi'!N555)</f>
        <v/>
      </c>
      <c r="J545" s="1" t="str">
        <f>IF('Extraction edi'!O555="","",'Extraction edi'!O555)</f>
        <v/>
      </c>
      <c r="K545" s="1" t="str">
        <f>IF('Extraction edi'!P555="","",'Extraction edi'!P555)</f>
        <v/>
      </c>
      <c r="L545" s="1" t="str">
        <f>IF('Extraction edi'!Q555="laquage RAL :","OUI","")</f>
        <v/>
      </c>
      <c r="M545" s="1" t="str">
        <f>IF('Extraction edi'!R555&lt;&gt;"",'Extraction edi'!R555,IF(G545="ALU blanc","S9016",""))</f>
        <v/>
      </c>
      <c r="N545" s="1" t="str">
        <f>IF('Extraction edi'!S555&lt;&gt;"",'Extraction edi'!S555,IF(G545="ALU blanc","S9016",""))</f>
        <v/>
      </c>
      <c r="O545" s="11" t="str">
        <f>IF('Extraction edi'!V555&lt;'Feuille commande'!$E$1,"DELAI NON COMPATIBLE",IF('Extraction edi'!V555="","",WORKDAY('Extraction edi'!V555,-10,Paramètrage!$G$2:$G$104)))</f>
        <v/>
      </c>
      <c r="P545" s="1" t="e">
        <f t="shared" si="8"/>
        <v>#VALUE!</v>
      </c>
    </row>
    <row r="546" spans="1:16" x14ac:dyDescent="0.25">
      <c r="A546" s="1" t="str">
        <f>IF(B546="","",CONCATENATE(B546,".",C546,"/Pos ",D546,"/",'Extraction edi'!G556))</f>
        <v/>
      </c>
      <c r="B546" s="1" t="str">
        <f>IF('Extraction edi'!A556="","",'Extraction edi'!A556)</f>
        <v/>
      </c>
      <c r="C546" s="1" t="str">
        <f>IF('Extraction edi'!B556="","",'Extraction edi'!B556)</f>
        <v/>
      </c>
      <c r="D546" s="1" t="str">
        <f>IF('Extraction edi'!H556="","",'Extraction edi'!H556)</f>
        <v/>
      </c>
      <c r="E546" s="1" t="str">
        <f>IF('Extraction edi'!I556="","",'Extraction edi'!I556)</f>
        <v/>
      </c>
      <c r="F546" t="str">
        <f>IF('Extraction edi'!K556="","",'Extraction edi'!K556)</f>
        <v/>
      </c>
      <c r="G546" t="str">
        <f>IF('Extraction edi'!L549="","",'Extraction edi'!L549)</f>
        <v/>
      </c>
      <c r="H546" t="str">
        <f>IF('Extraction edi'!M549="","",'Extraction edi'!M549)</f>
        <v/>
      </c>
      <c r="I546" s="1" t="str">
        <f>IF('Extraction edi'!N556="","",'Extraction edi'!N556)</f>
        <v/>
      </c>
      <c r="J546" s="1" t="str">
        <f>IF('Extraction edi'!O556="","",'Extraction edi'!O556)</f>
        <v/>
      </c>
      <c r="K546" s="1" t="str">
        <f>IF('Extraction edi'!P556="","",'Extraction edi'!P556)</f>
        <v/>
      </c>
      <c r="L546" s="1" t="str">
        <f>IF('Extraction edi'!Q556="laquage RAL :","OUI","")</f>
        <v/>
      </c>
      <c r="M546" s="1" t="str">
        <f>IF('Extraction edi'!R556&lt;&gt;"",'Extraction edi'!R556,IF(G546="ALU blanc","S9016",""))</f>
        <v/>
      </c>
      <c r="N546" s="1" t="str">
        <f>IF('Extraction edi'!S556&lt;&gt;"",'Extraction edi'!S556,IF(G546="ALU blanc","S9016",""))</f>
        <v/>
      </c>
      <c r="O546" s="11" t="str">
        <f>IF('Extraction edi'!V556&lt;'Feuille commande'!$E$1,"DELAI NON COMPATIBLE",IF('Extraction edi'!V556="","",WORKDAY('Extraction edi'!V556,-10,Paramètrage!$G$2:$G$104)))</f>
        <v/>
      </c>
      <c r="P546" s="1" t="e">
        <f t="shared" si="8"/>
        <v>#VALUE!</v>
      </c>
    </row>
    <row r="547" spans="1:16" x14ac:dyDescent="0.25">
      <c r="A547" s="1" t="str">
        <f>IF(B547="","",CONCATENATE(B547,".",C547,"/Pos ",D547,"/",'Extraction edi'!G557))</f>
        <v/>
      </c>
      <c r="B547" s="1" t="str">
        <f>IF('Extraction edi'!A557="","",'Extraction edi'!A557)</f>
        <v/>
      </c>
      <c r="C547" s="1" t="str">
        <f>IF('Extraction edi'!B557="","",'Extraction edi'!B557)</f>
        <v/>
      </c>
      <c r="D547" s="1" t="str">
        <f>IF('Extraction edi'!H557="","",'Extraction edi'!H557)</f>
        <v/>
      </c>
      <c r="E547" s="1" t="str">
        <f>IF('Extraction edi'!I557="","",'Extraction edi'!I557)</f>
        <v/>
      </c>
      <c r="F547" t="str">
        <f>IF('Extraction edi'!K557="","",'Extraction edi'!K557)</f>
        <v/>
      </c>
      <c r="G547" t="str">
        <f>IF('Extraction edi'!L550="","",'Extraction edi'!L550)</f>
        <v/>
      </c>
      <c r="H547" t="str">
        <f>IF('Extraction edi'!M550="","",'Extraction edi'!M550)</f>
        <v/>
      </c>
      <c r="I547" s="1" t="str">
        <f>IF('Extraction edi'!N557="","",'Extraction edi'!N557)</f>
        <v/>
      </c>
      <c r="J547" s="1" t="str">
        <f>IF('Extraction edi'!O557="","",'Extraction edi'!O557)</f>
        <v/>
      </c>
      <c r="K547" s="1" t="str">
        <f>IF('Extraction edi'!P557="","",'Extraction edi'!P557)</f>
        <v/>
      </c>
      <c r="L547" s="1" t="str">
        <f>IF('Extraction edi'!Q557="laquage RAL :","OUI","")</f>
        <v/>
      </c>
      <c r="M547" s="1" t="str">
        <f>IF('Extraction edi'!R557&lt;&gt;"",'Extraction edi'!R557,IF(G547="ALU blanc","S9016",""))</f>
        <v/>
      </c>
      <c r="N547" s="1" t="str">
        <f>IF('Extraction edi'!S557&lt;&gt;"",'Extraction edi'!S557,IF(G547="ALU blanc","S9016",""))</f>
        <v/>
      </c>
      <c r="O547" s="11" t="str">
        <f>IF('Extraction edi'!V557&lt;'Feuille commande'!$E$1,"DELAI NON COMPATIBLE",IF('Extraction edi'!V557="","",WORKDAY('Extraction edi'!V557,-10,Paramètrage!$G$2:$G$104)))</f>
        <v/>
      </c>
      <c r="P547" s="1" t="e">
        <f t="shared" si="8"/>
        <v>#VALUE!</v>
      </c>
    </row>
    <row r="548" spans="1:16" x14ac:dyDescent="0.25">
      <c r="A548" s="1" t="str">
        <f>IF(B548="","",CONCATENATE(B548,".",C548,"/Pos ",D548,"/",'Extraction edi'!G558))</f>
        <v/>
      </c>
      <c r="B548" s="1" t="str">
        <f>IF('Extraction edi'!A558="","",'Extraction edi'!A558)</f>
        <v/>
      </c>
      <c r="C548" s="1" t="str">
        <f>IF('Extraction edi'!B558="","",'Extraction edi'!B558)</f>
        <v/>
      </c>
      <c r="D548" s="1" t="str">
        <f>IF('Extraction edi'!H558="","",'Extraction edi'!H558)</f>
        <v/>
      </c>
      <c r="E548" s="1" t="str">
        <f>IF('Extraction edi'!I558="","",'Extraction edi'!I558)</f>
        <v/>
      </c>
      <c r="F548" t="str">
        <f>IF('Extraction edi'!K558="","",'Extraction edi'!K558)</f>
        <v/>
      </c>
      <c r="G548" t="str">
        <f>IF('Extraction edi'!L551="","",'Extraction edi'!L551)</f>
        <v/>
      </c>
      <c r="H548" t="str">
        <f>IF('Extraction edi'!M551="","",'Extraction edi'!M551)</f>
        <v/>
      </c>
      <c r="I548" s="1" t="str">
        <f>IF('Extraction edi'!N558="","",'Extraction edi'!N558)</f>
        <v/>
      </c>
      <c r="J548" s="1" t="str">
        <f>IF('Extraction edi'!O558="","",'Extraction edi'!O558)</f>
        <v/>
      </c>
      <c r="K548" s="1" t="str">
        <f>IF('Extraction edi'!P558="","",'Extraction edi'!P558)</f>
        <v/>
      </c>
      <c r="L548" s="1" t="str">
        <f>IF('Extraction edi'!Q558="laquage RAL :","OUI","")</f>
        <v/>
      </c>
      <c r="M548" s="1" t="str">
        <f>IF('Extraction edi'!R558&lt;&gt;"",'Extraction edi'!R558,IF(G548="ALU blanc","S9016",""))</f>
        <v/>
      </c>
      <c r="N548" s="1" t="str">
        <f>IF('Extraction edi'!S558&lt;&gt;"",'Extraction edi'!S558,IF(G548="ALU blanc","S9016",""))</f>
        <v/>
      </c>
      <c r="O548" s="11" t="str">
        <f>IF('Extraction edi'!V558&lt;'Feuille commande'!$E$1,"DELAI NON COMPATIBLE",IF('Extraction edi'!V558="","",WORKDAY('Extraction edi'!V558,-10,Paramètrage!$G$2:$G$104)))</f>
        <v/>
      </c>
      <c r="P548" s="1" t="e">
        <f t="shared" si="8"/>
        <v>#VALUE!</v>
      </c>
    </row>
    <row r="549" spans="1:16" x14ac:dyDescent="0.25">
      <c r="A549" s="1" t="str">
        <f>IF(B549="","",CONCATENATE(B549,".",C549,"/Pos ",D549,"/",'Extraction edi'!G559))</f>
        <v/>
      </c>
      <c r="B549" s="1" t="str">
        <f>IF('Extraction edi'!A559="","",'Extraction edi'!A559)</f>
        <v/>
      </c>
      <c r="C549" s="1" t="str">
        <f>IF('Extraction edi'!B559="","",'Extraction edi'!B559)</f>
        <v/>
      </c>
      <c r="D549" s="1" t="str">
        <f>IF('Extraction edi'!H559="","",'Extraction edi'!H559)</f>
        <v/>
      </c>
      <c r="E549" s="1" t="str">
        <f>IF('Extraction edi'!I559="","",'Extraction edi'!I559)</f>
        <v/>
      </c>
      <c r="F549" t="str">
        <f>IF('Extraction edi'!K559="","",'Extraction edi'!K559)</f>
        <v/>
      </c>
      <c r="G549" t="str">
        <f>IF('Extraction edi'!L552="","",'Extraction edi'!L552)</f>
        <v/>
      </c>
      <c r="H549" t="str">
        <f>IF('Extraction edi'!M552="","",'Extraction edi'!M552)</f>
        <v/>
      </c>
      <c r="I549" s="1" t="str">
        <f>IF('Extraction edi'!N559="","",'Extraction edi'!N559)</f>
        <v/>
      </c>
      <c r="J549" s="1" t="str">
        <f>IF('Extraction edi'!O559="","",'Extraction edi'!O559)</f>
        <v/>
      </c>
      <c r="K549" s="1" t="str">
        <f>IF('Extraction edi'!P559="","",'Extraction edi'!P559)</f>
        <v/>
      </c>
      <c r="L549" s="1" t="str">
        <f>IF('Extraction edi'!Q559="laquage RAL :","OUI","")</f>
        <v/>
      </c>
      <c r="M549" s="1" t="str">
        <f>IF('Extraction edi'!R559&lt;&gt;"",'Extraction edi'!R559,IF(G549="ALU blanc","S9016",""))</f>
        <v/>
      </c>
      <c r="N549" s="1" t="str">
        <f>IF('Extraction edi'!S559&lt;&gt;"",'Extraction edi'!S559,IF(G549="ALU blanc","S9016",""))</f>
        <v/>
      </c>
      <c r="O549" s="11" t="str">
        <f>IF('Extraction edi'!V559&lt;'Feuille commande'!$E$1,"DELAI NON COMPATIBLE",IF('Extraction edi'!V559="","",WORKDAY('Extraction edi'!V559,-10,Paramètrage!$G$2:$G$104)))</f>
        <v/>
      </c>
      <c r="P549" s="1" t="e">
        <f t="shared" si="8"/>
        <v>#VALUE!</v>
      </c>
    </row>
    <row r="550" spans="1:16" x14ac:dyDescent="0.25">
      <c r="A550" s="1" t="str">
        <f>IF(B550="","",CONCATENATE(B550,".",C550,"/Pos ",D550,"/",'Extraction edi'!G560))</f>
        <v/>
      </c>
      <c r="B550" s="1" t="str">
        <f>IF('Extraction edi'!A560="","",'Extraction edi'!A560)</f>
        <v/>
      </c>
      <c r="C550" s="1" t="str">
        <f>IF('Extraction edi'!B560="","",'Extraction edi'!B560)</f>
        <v/>
      </c>
      <c r="D550" s="1" t="str">
        <f>IF('Extraction edi'!H560="","",'Extraction edi'!H560)</f>
        <v/>
      </c>
      <c r="E550" s="1" t="str">
        <f>IF('Extraction edi'!I560="","",'Extraction edi'!I560)</f>
        <v/>
      </c>
      <c r="F550" t="str">
        <f>IF('Extraction edi'!K560="","",'Extraction edi'!K560)</f>
        <v/>
      </c>
      <c r="G550" t="str">
        <f>IF('Extraction edi'!L553="","",'Extraction edi'!L553)</f>
        <v/>
      </c>
      <c r="H550" t="str">
        <f>IF('Extraction edi'!M553="","",'Extraction edi'!M553)</f>
        <v/>
      </c>
      <c r="I550" s="1" t="str">
        <f>IF('Extraction edi'!N560="","",'Extraction edi'!N560)</f>
        <v/>
      </c>
      <c r="J550" s="1" t="str">
        <f>IF('Extraction edi'!O560="","",'Extraction edi'!O560)</f>
        <v/>
      </c>
      <c r="K550" s="1" t="str">
        <f>IF('Extraction edi'!P560="","",'Extraction edi'!P560)</f>
        <v/>
      </c>
      <c r="L550" s="1" t="str">
        <f>IF('Extraction edi'!Q560="laquage RAL :","OUI","")</f>
        <v/>
      </c>
      <c r="M550" s="1" t="str">
        <f>IF('Extraction edi'!R560&lt;&gt;"",'Extraction edi'!R560,IF(G550="ALU blanc","S9016",""))</f>
        <v/>
      </c>
      <c r="N550" s="1" t="str">
        <f>IF('Extraction edi'!S560&lt;&gt;"",'Extraction edi'!S560,IF(G550="ALU blanc","S9016",""))</f>
        <v/>
      </c>
      <c r="O550" s="11" t="str">
        <f>IF('Extraction edi'!V560&lt;'Feuille commande'!$E$1,"DELAI NON COMPATIBLE",IF('Extraction edi'!V560="","",WORKDAY('Extraction edi'!V560,-10,Paramètrage!$G$2:$G$104)))</f>
        <v/>
      </c>
      <c r="P550" s="1" t="e">
        <f t="shared" si="8"/>
        <v>#VALUE!</v>
      </c>
    </row>
    <row r="551" spans="1:16" x14ac:dyDescent="0.25">
      <c r="A551" s="1" t="str">
        <f>IF(B551="","",CONCATENATE(B551,".",C551,"/Pos ",D551,"/",'Extraction edi'!G561))</f>
        <v/>
      </c>
      <c r="B551" s="1" t="str">
        <f>IF('Extraction edi'!A561="","",'Extraction edi'!A561)</f>
        <v/>
      </c>
      <c r="C551" s="1" t="str">
        <f>IF('Extraction edi'!B561="","",'Extraction edi'!B561)</f>
        <v/>
      </c>
      <c r="D551" s="1" t="str">
        <f>IF('Extraction edi'!H561="","",'Extraction edi'!H561)</f>
        <v/>
      </c>
      <c r="E551" s="1" t="str">
        <f>IF('Extraction edi'!I561="","",'Extraction edi'!I561)</f>
        <v/>
      </c>
      <c r="F551" t="str">
        <f>IF('Extraction edi'!K561="","",'Extraction edi'!K561)</f>
        <v/>
      </c>
      <c r="G551" t="str">
        <f>IF('Extraction edi'!L554="","",'Extraction edi'!L554)</f>
        <v/>
      </c>
      <c r="H551" t="str">
        <f>IF('Extraction edi'!M554="","",'Extraction edi'!M554)</f>
        <v/>
      </c>
      <c r="I551" s="1" t="str">
        <f>IF('Extraction edi'!N561="","",'Extraction edi'!N561)</f>
        <v/>
      </c>
      <c r="J551" s="1" t="str">
        <f>IF('Extraction edi'!O561="","",'Extraction edi'!O561)</f>
        <v/>
      </c>
      <c r="K551" s="1" t="str">
        <f>IF('Extraction edi'!P561="","",'Extraction edi'!P561)</f>
        <v/>
      </c>
      <c r="L551" s="1" t="str">
        <f>IF('Extraction edi'!Q561="laquage RAL :","OUI","")</f>
        <v/>
      </c>
      <c r="M551" s="1" t="str">
        <f>IF('Extraction edi'!R561&lt;&gt;"",'Extraction edi'!R561,IF(G551="ALU blanc","S9016",""))</f>
        <v/>
      </c>
      <c r="N551" s="1" t="str">
        <f>IF('Extraction edi'!S561&lt;&gt;"",'Extraction edi'!S561,IF(G551="ALU blanc","S9016",""))</f>
        <v/>
      </c>
      <c r="O551" s="11" t="str">
        <f>IF('Extraction edi'!V561&lt;'Feuille commande'!$E$1,"DELAI NON COMPATIBLE",IF('Extraction edi'!V561="","",WORKDAY('Extraction edi'!V561,-10,Paramètrage!$G$2:$G$104)))</f>
        <v/>
      </c>
      <c r="P551" s="1" t="e">
        <f t="shared" si="8"/>
        <v>#VALUE!</v>
      </c>
    </row>
    <row r="552" spans="1:16" x14ac:dyDescent="0.25">
      <c r="A552" s="1" t="str">
        <f>IF(B552="","",CONCATENATE(B552,".",C552,"/Pos ",D552,"/",'Extraction edi'!G562))</f>
        <v/>
      </c>
      <c r="B552" s="1" t="str">
        <f>IF('Extraction edi'!A562="","",'Extraction edi'!A562)</f>
        <v/>
      </c>
      <c r="C552" s="1" t="str">
        <f>IF('Extraction edi'!B562="","",'Extraction edi'!B562)</f>
        <v/>
      </c>
      <c r="D552" s="1" t="str">
        <f>IF('Extraction edi'!H562="","",'Extraction edi'!H562)</f>
        <v/>
      </c>
      <c r="E552" s="1" t="str">
        <f>IF('Extraction edi'!I562="","",'Extraction edi'!I562)</f>
        <v/>
      </c>
      <c r="F552" t="str">
        <f>IF('Extraction edi'!K562="","",'Extraction edi'!K562)</f>
        <v/>
      </c>
      <c r="G552" t="str">
        <f>IF('Extraction edi'!L555="","",'Extraction edi'!L555)</f>
        <v/>
      </c>
      <c r="H552" t="str">
        <f>IF('Extraction edi'!M555="","",'Extraction edi'!M555)</f>
        <v/>
      </c>
      <c r="I552" s="1" t="str">
        <f>IF('Extraction edi'!N562="","",'Extraction edi'!N562)</f>
        <v/>
      </c>
      <c r="J552" s="1" t="str">
        <f>IF('Extraction edi'!O562="","",'Extraction edi'!O562)</f>
        <v/>
      </c>
      <c r="K552" s="1" t="str">
        <f>IF('Extraction edi'!P562="","",'Extraction edi'!P562)</f>
        <v/>
      </c>
      <c r="L552" s="1" t="str">
        <f>IF('Extraction edi'!Q562="laquage RAL :","OUI","")</f>
        <v/>
      </c>
      <c r="M552" s="1" t="str">
        <f>IF('Extraction edi'!R562&lt;&gt;"",'Extraction edi'!R562,IF(G552="ALU blanc","S9016",""))</f>
        <v/>
      </c>
      <c r="N552" s="1" t="str">
        <f>IF('Extraction edi'!S562&lt;&gt;"",'Extraction edi'!S562,IF(G552="ALU blanc","S9016",""))</f>
        <v/>
      </c>
      <c r="O552" s="11" t="str">
        <f>IF('Extraction edi'!V562&lt;'Feuille commande'!$E$1,"DELAI NON COMPATIBLE",IF('Extraction edi'!V562="","",WORKDAY('Extraction edi'!V562,-10,Paramètrage!$G$2:$G$104)))</f>
        <v/>
      </c>
      <c r="P552" s="1" t="e">
        <f t="shared" si="8"/>
        <v>#VALUE!</v>
      </c>
    </row>
    <row r="553" spans="1:16" x14ac:dyDescent="0.25">
      <c r="A553" s="1" t="str">
        <f>IF(B553="","",CONCATENATE(B553,".",C553,"/Pos ",D553,"/",'Extraction edi'!G563))</f>
        <v/>
      </c>
      <c r="B553" s="1" t="str">
        <f>IF('Extraction edi'!A563="","",'Extraction edi'!A563)</f>
        <v/>
      </c>
      <c r="C553" s="1" t="str">
        <f>IF('Extraction edi'!B563="","",'Extraction edi'!B563)</f>
        <v/>
      </c>
      <c r="D553" s="1" t="str">
        <f>IF('Extraction edi'!H563="","",'Extraction edi'!H563)</f>
        <v/>
      </c>
      <c r="E553" s="1" t="str">
        <f>IF('Extraction edi'!I563="","",'Extraction edi'!I563)</f>
        <v/>
      </c>
      <c r="F553" t="str">
        <f>IF('Extraction edi'!K563="","",'Extraction edi'!K563)</f>
        <v/>
      </c>
      <c r="G553" t="str">
        <f>IF('Extraction edi'!L556="","",'Extraction edi'!L556)</f>
        <v/>
      </c>
      <c r="H553" t="str">
        <f>IF('Extraction edi'!M556="","",'Extraction edi'!M556)</f>
        <v/>
      </c>
      <c r="I553" s="1" t="str">
        <f>IF('Extraction edi'!N563="","",'Extraction edi'!N563)</f>
        <v/>
      </c>
      <c r="J553" s="1" t="str">
        <f>IF('Extraction edi'!O563="","",'Extraction edi'!O563)</f>
        <v/>
      </c>
      <c r="K553" s="1" t="str">
        <f>IF('Extraction edi'!P563="","",'Extraction edi'!P563)</f>
        <v/>
      </c>
      <c r="L553" s="1" t="str">
        <f>IF('Extraction edi'!Q563="laquage RAL :","OUI","")</f>
        <v/>
      </c>
      <c r="M553" s="1" t="str">
        <f>IF('Extraction edi'!R563&lt;&gt;"",'Extraction edi'!R563,IF(G553="ALU blanc","S9016",""))</f>
        <v/>
      </c>
      <c r="N553" s="1" t="str">
        <f>IF('Extraction edi'!S563&lt;&gt;"",'Extraction edi'!S563,IF(G553="ALU blanc","S9016",""))</f>
        <v/>
      </c>
      <c r="O553" s="11" t="str">
        <f>IF('Extraction edi'!V563&lt;'Feuille commande'!$E$1,"DELAI NON COMPATIBLE",IF('Extraction edi'!V563="","",WORKDAY('Extraction edi'!V563,-10,Paramètrage!$G$2:$G$104)))</f>
        <v/>
      </c>
      <c r="P553" s="1" t="e">
        <f t="shared" si="8"/>
        <v>#VALUE!</v>
      </c>
    </row>
    <row r="554" spans="1:16" x14ac:dyDescent="0.25">
      <c r="A554" s="1" t="str">
        <f>IF(B554="","",CONCATENATE(B554,".",C554,"/Pos ",D554,"/",'Extraction edi'!G564))</f>
        <v/>
      </c>
      <c r="B554" s="1" t="str">
        <f>IF('Extraction edi'!A564="","",'Extraction edi'!A564)</f>
        <v/>
      </c>
      <c r="C554" s="1" t="str">
        <f>IF('Extraction edi'!B564="","",'Extraction edi'!B564)</f>
        <v/>
      </c>
      <c r="D554" s="1" t="str">
        <f>IF('Extraction edi'!H564="","",'Extraction edi'!H564)</f>
        <v/>
      </c>
      <c r="E554" s="1" t="str">
        <f>IF('Extraction edi'!I564="","",'Extraction edi'!I564)</f>
        <v/>
      </c>
      <c r="F554" t="str">
        <f>IF('Extraction edi'!K564="","",'Extraction edi'!K564)</f>
        <v/>
      </c>
      <c r="G554" t="str">
        <f>IF('Extraction edi'!L557="","",'Extraction edi'!L557)</f>
        <v/>
      </c>
      <c r="H554" t="str">
        <f>IF('Extraction edi'!M557="","",'Extraction edi'!M557)</f>
        <v/>
      </c>
      <c r="I554" s="1" t="str">
        <f>IF('Extraction edi'!N564="","",'Extraction edi'!N564)</f>
        <v/>
      </c>
      <c r="J554" s="1" t="str">
        <f>IF('Extraction edi'!O564="","",'Extraction edi'!O564)</f>
        <v/>
      </c>
      <c r="K554" s="1" t="str">
        <f>IF('Extraction edi'!P564="","",'Extraction edi'!P564)</f>
        <v/>
      </c>
      <c r="L554" s="1" t="str">
        <f>IF('Extraction edi'!Q564="laquage RAL :","OUI","")</f>
        <v/>
      </c>
      <c r="M554" s="1" t="str">
        <f>IF('Extraction edi'!R564&lt;&gt;"",'Extraction edi'!R564,IF(G554="ALU blanc","S9016",""))</f>
        <v/>
      </c>
      <c r="N554" s="1" t="str">
        <f>IF('Extraction edi'!S564&lt;&gt;"",'Extraction edi'!S564,IF(G554="ALU blanc","S9016",""))</f>
        <v/>
      </c>
      <c r="O554" s="11" t="str">
        <f>IF('Extraction edi'!V564&lt;'Feuille commande'!$E$1,"DELAI NON COMPATIBLE",IF('Extraction edi'!V564="","",WORKDAY('Extraction edi'!V564,-10,Paramètrage!$G$2:$G$104)))</f>
        <v/>
      </c>
      <c r="P554" s="1" t="e">
        <f t="shared" si="8"/>
        <v>#VALUE!</v>
      </c>
    </row>
    <row r="555" spans="1:16" x14ac:dyDescent="0.25">
      <c r="A555" s="1" t="str">
        <f>IF(B555="","",CONCATENATE(B555,".",C555,"/Pos ",D555,"/",'Extraction edi'!G565))</f>
        <v/>
      </c>
      <c r="B555" s="1" t="str">
        <f>IF('Extraction edi'!A565="","",'Extraction edi'!A565)</f>
        <v/>
      </c>
      <c r="C555" s="1" t="str">
        <f>IF('Extraction edi'!B565="","",'Extraction edi'!B565)</f>
        <v/>
      </c>
      <c r="D555" s="1" t="str">
        <f>IF('Extraction edi'!H565="","",'Extraction edi'!H565)</f>
        <v/>
      </c>
      <c r="E555" s="1" t="str">
        <f>IF('Extraction edi'!I565="","",'Extraction edi'!I565)</f>
        <v/>
      </c>
      <c r="F555" t="str">
        <f>IF('Extraction edi'!K565="","",'Extraction edi'!K565)</f>
        <v/>
      </c>
      <c r="G555" t="str">
        <f>IF('Extraction edi'!L558="","",'Extraction edi'!L558)</f>
        <v/>
      </c>
      <c r="H555" t="str">
        <f>IF('Extraction edi'!M558="","",'Extraction edi'!M558)</f>
        <v/>
      </c>
      <c r="I555" s="1" t="str">
        <f>IF('Extraction edi'!N565="","",'Extraction edi'!N565)</f>
        <v/>
      </c>
      <c r="J555" s="1" t="str">
        <f>IF('Extraction edi'!O565="","",'Extraction edi'!O565)</f>
        <v/>
      </c>
      <c r="K555" s="1" t="str">
        <f>IF('Extraction edi'!P565="","",'Extraction edi'!P565)</f>
        <v/>
      </c>
      <c r="L555" s="1" t="str">
        <f>IF('Extraction edi'!Q565="laquage RAL :","OUI","")</f>
        <v/>
      </c>
      <c r="M555" s="1" t="str">
        <f>IF('Extraction edi'!R565&lt;&gt;"",'Extraction edi'!R565,IF(G555="ALU blanc","S9016",""))</f>
        <v/>
      </c>
      <c r="N555" s="1" t="str">
        <f>IF('Extraction edi'!S565&lt;&gt;"",'Extraction edi'!S565,IF(G555="ALU blanc","S9016",""))</f>
        <v/>
      </c>
      <c r="O555" s="11" t="str">
        <f>IF('Extraction edi'!V565&lt;'Feuille commande'!$E$1,"DELAI NON COMPATIBLE",IF('Extraction edi'!V565="","",WORKDAY('Extraction edi'!V565,-10,Paramètrage!$G$2:$G$104)))</f>
        <v/>
      </c>
      <c r="P555" s="1" t="e">
        <f t="shared" si="8"/>
        <v>#VALUE!</v>
      </c>
    </row>
    <row r="556" spans="1:16" x14ac:dyDescent="0.25">
      <c r="A556" s="1" t="str">
        <f>IF(B556="","",CONCATENATE(B556,".",C556,"/Pos ",D556,"/",'Extraction edi'!G566))</f>
        <v/>
      </c>
      <c r="B556" s="1" t="str">
        <f>IF('Extraction edi'!A566="","",'Extraction edi'!A566)</f>
        <v/>
      </c>
      <c r="C556" s="1" t="str">
        <f>IF('Extraction edi'!B566="","",'Extraction edi'!B566)</f>
        <v/>
      </c>
      <c r="D556" s="1" t="str">
        <f>IF('Extraction edi'!H566="","",'Extraction edi'!H566)</f>
        <v/>
      </c>
      <c r="E556" s="1" t="str">
        <f>IF('Extraction edi'!I566="","",'Extraction edi'!I566)</f>
        <v/>
      </c>
      <c r="F556" t="str">
        <f>IF('Extraction edi'!K566="","",'Extraction edi'!K566)</f>
        <v/>
      </c>
      <c r="G556" t="str">
        <f>IF('Extraction edi'!L559="","",'Extraction edi'!L559)</f>
        <v/>
      </c>
      <c r="H556" t="str">
        <f>IF('Extraction edi'!M559="","",'Extraction edi'!M559)</f>
        <v/>
      </c>
      <c r="I556" s="1" t="str">
        <f>IF('Extraction edi'!N566="","",'Extraction edi'!N566)</f>
        <v/>
      </c>
      <c r="J556" s="1" t="str">
        <f>IF('Extraction edi'!O566="","",'Extraction edi'!O566)</f>
        <v/>
      </c>
      <c r="K556" s="1" t="str">
        <f>IF('Extraction edi'!P566="","",'Extraction edi'!P566)</f>
        <v/>
      </c>
      <c r="L556" s="1" t="str">
        <f>IF('Extraction edi'!Q566="laquage RAL :","OUI","")</f>
        <v/>
      </c>
      <c r="M556" s="1" t="str">
        <f>IF('Extraction edi'!R566&lt;&gt;"",'Extraction edi'!R566,IF(G556="ALU blanc","S9016",""))</f>
        <v/>
      </c>
      <c r="N556" s="1" t="str">
        <f>IF('Extraction edi'!S566&lt;&gt;"",'Extraction edi'!S566,IF(G556="ALU blanc","S9016",""))</f>
        <v/>
      </c>
      <c r="O556" s="11" t="str">
        <f>IF('Extraction edi'!V566&lt;'Feuille commande'!$E$1,"DELAI NON COMPATIBLE",IF('Extraction edi'!V566="","",WORKDAY('Extraction edi'!V566,-10,Paramètrage!$G$2:$G$104)))</f>
        <v/>
      </c>
      <c r="P556" s="1" t="e">
        <f t="shared" si="8"/>
        <v>#VALUE!</v>
      </c>
    </row>
    <row r="557" spans="1:16" x14ac:dyDescent="0.25">
      <c r="A557" s="1" t="str">
        <f>IF(B557="","",CONCATENATE(B557,".",C557,"/Pos ",D557,"/",'Extraction edi'!G567))</f>
        <v/>
      </c>
      <c r="B557" s="1" t="str">
        <f>IF('Extraction edi'!A567="","",'Extraction edi'!A567)</f>
        <v/>
      </c>
      <c r="C557" s="1" t="str">
        <f>IF('Extraction edi'!B567="","",'Extraction edi'!B567)</f>
        <v/>
      </c>
      <c r="D557" s="1" t="str">
        <f>IF('Extraction edi'!H567="","",'Extraction edi'!H567)</f>
        <v/>
      </c>
      <c r="E557" s="1" t="str">
        <f>IF('Extraction edi'!I567="","",'Extraction edi'!I567)</f>
        <v/>
      </c>
      <c r="F557" t="str">
        <f>IF('Extraction edi'!K567="","",'Extraction edi'!K567)</f>
        <v/>
      </c>
      <c r="G557" t="str">
        <f>IF('Extraction edi'!L560="","",'Extraction edi'!L560)</f>
        <v/>
      </c>
      <c r="H557" t="str">
        <f>IF('Extraction edi'!M560="","",'Extraction edi'!M560)</f>
        <v/>
      </c>
      <c r="I557" s="1" t="str">
        <f>IF('Extraction edi'!N567="","",'Extraction edi'!N567)</f>
        <v/>
      </c>
      <c r="J557" s="1" t="str">
        <f>IF('Extraction edi'!O567="","",'Extraction edi'!O567)</f>
        <v/>
      </c>
      <c r="K557" s="1" t="str">
        <f>IF('Extraction edi'!P567="","",'Extraction edi'!P567)</f>
        <v/>
      </c>
      <c r="L557" s="1" t="str">
        <f>IF('Extraction edi'!Q567="laquage RAL :","OUI","")</f>
        <v/>
      </c>
      <c r="M557" s="1" t="str">
        <f>IF('Extraction edi'!R567&lt;&gt;"",'Extraction edi'!R567,IF(G557="ALU blanc","S9016",""))</f>
        <v/>
      </c>
      <c r="N557" s="1" t="str">
        <f>IF('Extraction edi'!S567&lt;&gt;"",'Extraction edi'!S567,IF(G557="ALU blanc","S9016",""))</f>
        <v/>
      </c>
      <c r="O557" s="11" t="str">
        <f>IF('Extraction edi'!V567&lt;'Feuille commande'!$E$1,"DELAI NON COMPATIBLE",IF('Extraction edi'!V567="","",WORKDAY('Extraction edi'!V567,-10,Paramètrage!$G$2:$G$104)))</f>
        <v/>
      </c>
      <c r="P557" s="1" t="e">
        <f t="shared" si="8"/>
        <v>#VALUE!</v>
      </c>
    </row>
    <row r="558" spans="1:16" x14ac:dyDescent="0.25">
      <c r="A558" s="1" t="str">
        <f>IF(B558="","",CONCATENATE(B558,".",C558,"/Pos ",D558,"/",'Extraction edi'!G568))</f>
        <v/>
      </c>
      <c r="B558" s="1" t="str">
        <f>IF('Extraction edi'!A568="","",'Extraction edi'!A568)</f>
        <v/>
      </c>
      <c r="C558" s="1" t="str">
        <f>IF('Extraction edi'!B568="","",'Extraction edi'!B568)</f>
        <v/>
      </c>
      <c r="D558" s="1" t="str">
        <f>IF('Extraction edi'!H568="","",'Extraction edi'!H568)</f>
        <v/>
      </c>
      <c r="E558" s="1" t="str">
        <f>IF('Extraction edi'!I568="","",'Extraction edi'!I568)</f>
        <v/>
      </c>
      <c r="F558" t="str">
        <f>IF('Extraction edi'!K568="","",'Extraction edi'!K568)</f>
        <v/>
      </c>
      <c r="G558" t="str">
        <f>IF('Extraction edi'!L561="","",'Extraction edi'!L561)</f>
        <v/>
      </c>
      <c r="H558" t="str">
        <f>IF('Extraction edi'!M561="","",'Extraction edi'!M561)</f>
        <v/>
      </c>
      <c r="I558" s="1" t="str">
        <f>IF('Extraction edi'!N568="","",'Extraction edi'!N568)</f>
        <v/>
      </c>
      <c r="J558" s="1" t="str">
        <f>IF('Extraction edi'!O568="","",'Extraction edi'!O568)</f>
        <v/>
      </c>
      <c r="K558" s="1" t="str">
        <f>IF('Extraction edi'!P568="","",'Extraction edi'!P568)</f>
        <v/>
      </c>
      <c r="L558" s="1" t="str">
        <f>IF('Extraction edi'!Q568="laquage RAL :","OUI","")</f>
        <v/>
      </c>
      <c r="M558" s="1" t="str">
        <f>IF('Extraction edi'!R568&lt;&gt;"",'Extraction edi'!R568,IF(G558="ALU blanc","S9016",""))</f>
        <v/>
      </c>
      <c r="N558" s="1" t="str">
        <f>IF('Extraction edi'!S568&lt;&gt;"",'Extraction edi'!S568,IF(G558="ALU blanc","S9016",""))</f>
        <v/>
      </c>
      <c r="O558" s="11" t="str">
        <f>IF('Extraction edi'!V568&lt;'Feuille commande'!$E$1,"DELAI NON COMPATIBLE",IF('Extraction edi'!V568="","",WORKDAY('Extraction edi'!V568,-10,Paramètrage!$G$2:$G$104)))</f>
        <v/>
      </c>
      <c r="P558" s="1" t="e">
        <f t="shared" si="8"/>
        <v>#VALUE!</v>
      </c>
    </row>
    <row r="559" spans="1:16" x14ac:dyDescent="0.25">
      <c r="A559" s="1" t="str">
        <f>IF(B559="","",CONCATENATE(B559,".",C559,"/Pos ",D559,"/",'Extraction edi'!G569))</f>
        <v/>
      </c>
      <c r="B559" s="1" t="str">
        <f>IF('Extraction edi'!A569="","",'Extraction edi'!A569)</f>
        <v/>
      </c>
      <c r="C559" s="1" t="str">
        <f>IF('Extraction edi'!B569="","",'Extraction edi'!B569)</f>
        <v/>
      </c>
      <c r="D559" s="1" t="str">
        <f>IF('Extraction edi'!H569="","",'Extraction edi'!H569)</f>
        <v/>
      </c>
      <c r="E559" s="1" t="str">
        <f>IF('Extraction edi'!I569="","",'Extraction edi'!I569)</f>
        <v/>
      </c>
      <c r="F559" t="str">
        <f>IF('Extraction edi'!K569="","",'Extraction edi'!K569)</f>
        <v/>
      </c>
      <c r="G559" t="str">
        <f>IF('Extraction edi'!L562="","",'Extraction edi'!L562)</f>
        <v/>
      </c>
      <c r="H559" t="str">
        <f>IF('Extraction edi'!M562="","",'Extraction edi'!M562)</f>
        <v/>
      </c>
      <c r="I559" s="1" t="str">
        <f>IF('Extraction edi'!N569="","",'Extraction edi'!N569)</f>
        <v/>
      </c>
      <c r="J559" s="1" t="str">
        <f>IF('Extraction edi'!O569="","",'Extraction edi'!O569)</f>
        <v/>
      </c>
      <c r="K559" s="1" t="str">
        <f>IF('Extraction edi'!P569="","",'Extraction edi'!P569)</f>
        <v/>
      </c>
      <c r="L559" s="1" t="str">
        <f>IF('Extraction edi'!Q569="laquage RAL :","OUI","")</f>
        <v/>
      </c>
      <c r="M559" s="1" t="str">
        <f>IF('Extraction edi'!R569&lt;&gt;"",'Extraction edi'!R569,IF(G559="ALU blanc","S9016",""))</f>
        <v/>
      </c>
      <c r="N559" s="1" t="str">
        <f>IF('Extraction edi'!S569&lt;&gt;"",'Extraction edi'!S569,IF(G559="ALU blanc","S9016",""))</f>
        <v/>
      </c>
      <c r="O559" s="11" t="str">
        <f>IF('Extraction edi'!V569&lt;'Feuille commande'!$E$1,"DELAI NON COMPATIBLE",IF('Extraction edi'!V569="","",WORKDAY('Extraction edi'!V569,-10,Paramètrage!$G$2:$G$104)))</f>
        <v/>
      </c>
      <c r="P559" s="1" t="e">
        <f t="shared" si="8"/>
        <v>#VALUE!</v>
      </c>
    </row>
    <row r="560" spans="1:16" x14ac:dyDescent="0.25">
      <c r="A560" s="1" t="str">
        <f>IF(B560="","",CONCATENATE(B560,".",C560,"/Pos ",D560,"/",'Extraction edi'!G570))</f>
        <v/>
      </c>
      <c r="B560" s="1" t="str">
        <f>IF('Extraction edi'!A570="","",'Extraction edi'!A570)</f>
        <v/>
      </c>
      <c r="C560" s="1" t="str">
        <f>IF('Extraction edi'!B570="","",'Extraction edi'!B570)</f>
        <v/>
      </c>
      <c r="D560" s="1" t="str">
        <f>IF('Extraction edi'!H570="","",'Extraction edi'!H570)</f>
        <v/>
      </c>
      <c r="E560" s="1" t="str">
        <f>IF('Extraction edi'!I570="","",'Extraction edi'!I570)</f>
        <v/>
      </c>
      <c r="F560" t="str">
        <f>IF('Extraction edi'!K570="","",'Extraction edi'!K570)</f>
        <v/>
      </c>
      <c r="G560" t="str">
        <f>IF('Extraction edi'!L563="","",'Extraction edi'!L563)</f>
        <v/>
      </c>
      <c r="H560" t="str">
        <f>IF('Extraction edi'!M563="","",'Extraction edi'!M563)</f>
        <v/>
      </c>
      <c r="I560" s="1" t="str">
        <f>IF('Extraction edi'!N570="","",'Extraction edi'!N570)</f>
        <v/>
      </c>
      <c r="J560" s="1" t="str">
        <f>IF('Extraction edi'!O570="","",'Extraction edi'!O570)</f>
        <v/>
      </c>
      <c r="K560" s="1" t="str">
        <f>IF('Extraction edi'!P570="","",'Extraction edi'!P570)</f>
        <v/>
      </c>
      <c r="L560" s="1" t="str">
        <f>IF('Extraction edi'!Q570="laquage RAL :","OUI","")</f>
        <v/>
      </c>
      <c r="M560" s="1" t="str">
        <f>IF('Extraction edi'!R570&lt;&gt;"",'Extraction edi'!R570,IF(G560="ALU blanc","S9016",""))</f>
        <v/>
      </c>
      <c r="N560" s="1" t="str">
        <f>IF('Extraction edi'!S570&lt;&gt;"",'Extraction edi'!S570,IF(G560="ALU blanc","S9016",""))</f>
        <v/>
      </c>
      <c r="O560" s="11" t="str">
        <f>IF('Extraction edi'!V570&lt;'Feuille commande'!$E$1,"DELAI NON COMPATIBLE",IF('Extraction edi'!V570="","",WORKDAY('Extraction edi'!V570,-10,Paramètrage!$G$2:$G$104)))</f>
        <v/>
      </c>
      <c r="P560" s="1" t="e">
        <f t="shared" si="8"/>
        <v>#VALUE!</v>
      </c>
    </row>
    <row r="561" spans="1:16" x14ac:dyDescent="0.25">
      <c r="A561" s="1" t="str">
        <f>IF(B561="","",CONCATENATE(B561,".",C561,"/Pos ",D561,"/",'Extraction edi'!G571))</f>
        <v/>
      </c>
      <c r="B561" s="1" t="str">
        <f>IF('Extraction edi'!A571="","",'Extraction edi'!A571)</f>
        <v/>
      </c>
      <c r="C561" s="1" t="str">
        <f>IF('Extraction edi'!B571="","",'Extraction edi'!B571)</f>
        <v/>
      </c>
      <c r="D561" s="1" t="str">
        <f>IF('Extraction edi'!H571="","",'Extraction edi'!H571)</f>
        <v/>
      </c>
      <c r="E561" s="1" t="str">
        <f>IF('Extraction edi'!I571="","",'Extraction edi'!I571)</f>
        <v/>
      </c>
      <c r="F561" t="str">
        <f>IF('Extraction edi'!K571="","",'Extraction edi'!K571)</f>
        <v/>
      </c>
      <c r="G561" t="str">
        <f>IF('Extraction edi'!L564="","",'Extraction edi'!L564)</f>
        <v/>
      </c>
      <c r="H561" t="str">
        <f>IF('Extraction edi'!M564="","",'Extraction edi'!M564)</f>
        <v/>
      </c>
      <c r="I561" s="1" t="str">
        <f>IF('Extraction edi'!N571="","",'Extraction edi'!N571)</f>
        <v/>
      </c>
      <c r="J561" s="1" t="str">
        <f>IF('Extraction edi'!O571="","",'Extraction edi'!O571)</f>
        <v/>
      </c>
      <c r="K561" s="1" t="str">
        <f>IF('Extraction edi'!P571="","",'Extraction edi'!P571)</f>
        <v/>
      </c>
      <c r="L561" s="1" t="str">
        <f>IF('Extraction edi'!Q571="laquage RAL :","OUI","")</f>
        <v/>
      </c>
      <c r="M561" s="1" t="str">
        <f>IF('Extraction edi'!R571&lt;&gt;"",'Extraction edi'!R571,IF(G561="ALU blanc","S9016",""))</f>
        <v/>
      </c>
      <c r="N561" s="1" t="str">
        <f>IF('Extraction edi'!S571&lt;&gt;"",'Extraction edi'!S571,IF(G561="ALU blanc","S9016",""))</f>
        <v/>
      </c>
      <c r="O561" s="11" t="str">
        <f>IF('Extraction edi'!V571&lt;'Feuille commande'!$E$1,"DELAI NON COMPATIBLE",IF('Extraction edi'!V571="","",WORKDAY('Extraction edi'!V571,-10,Paramètrage!$G$2:$G$104)))</f>
        <v/>
      </c>
      <c r="P561" s="1" t="e">
        <f t="shared" si="8"/>
        <v>#VALUE!</v>
      </c>
    </row>
    <row r="562" spans="1:16" x14ac:dyDescent="0.25">
      <c r="A562" s="1" t="str">
        <f>IF(B562="","",CONCATENATE(B562,".",C562,"/Pos ",D562,"/",'Extraction edi'!G572))</f>
        <v/>
      </c>
      <c r="B562" s="1" t="str">
        <f>IF('Extraction edi'!A572="","",'Extraction edi'!A572)</f>
        <v/>
      </c>
      <c r="C562" s="1" t="str">
        <f>IF('Extraction edi'!B572="","",'Extraction edi'!B572)</f>
        <v/>
      </c>
      <c r="D562" s="1" t="str">
        <f>IF('Extraction edi'!H572="","",'Extraction edi'!H572)</f>
        <v/>
      </c>
      <c r="E562" s="1" t="str">
        <f>IF('Extraction edi'!I572="","",'Extraction edi'!I572)</f>
        <v/>
      </c>
      <c r="F562" t="str">
        <f>IF('Extraction edi'!K572="","",'Extraction edi'!K572)</f>
        <v/>
      </c>
      <c r="G562" t="str">
        <f>IF('Extraction edi'!L565="","",'Extraction edi'!L565)</f>
        <v/>
      </c>
      <c r="H562" t="str">
        <f>IF('Extraction edi'!M565="","",'Extraction edi'!M565)</f>
        <v/>
      </c>
      <c r="I562" s="1" t="str">
        <f>IF('Extraction edi'!N572="","",'Extraction edi'!N572)</f>
        <v/>
      </c>
      <c r="J562" s="1" t="str">
        <f>IF('Extraction edi'!O572="","",'Extraction edi'!O572)</f>
        <v/>
      </c>
      <c r="K562" s="1" t="str">
        <f>IF('Extraction edi'!P572="","",'Extraction edi'!P572)</f>
        <v/>
      </c>
      <c r="L562" s="1" t="str">
        <f>IF('Extraction edi'!Q572="laquage RAL :","OUI","")</f>
        <v/>
      </c>
      <c r="M562" s="1" t="str">
        <f>IF('Extraction edi'!R572&lt;&gt;"",'Extraction edi'!R572,IF(G562="ALU blanc","S9016",""))</f>
        <v/>
      </c>
      <c r="N562" s="1" t="str">
        <f>IF('Extraction edi'!S572&lt;&gt;"",'Extraction edi'!S572,IF(G562="ALU blanc","S9016",""))</f>
        <v/>
      </c>
      <c r="O562" s="11" t="str">
        <f>IF('Extraction edi'!V572&lt;'Feuille commande'!$E$1,"DELAI NON COMPATIBLE",IF('Extraction edi'!V572="","",WORKDAY('Extraction edi'!V572,-10,Paramètrage!$G$2:$G$104)))</f>
        <v/>
      </c>
      <c r="P562" s="1" t="e">
        <f t="shared" si="8"/>
        <v>#VALUE!</v>
      </c>
    </row>
    <row r="563" spans="1:16" x14ac:dyDescent="0.25">
      <c r="A563" s="1" t="str">
        <f>IF(B563="","",CONCATENATE(B563,".",C563,"/Pos ",D563,"/",'Extraction edi'!G573))</f>
        <v/>
      </c>
      <c r="B563" s="1" t="str">
        <f>IF('Extraction edi'!A573="","",'Extraction edi'!A573)</f>
        <v/>
      </c>
      <c r="C563" s="1" t="str">
        <f>IF('Extraction edi'!B573="","",'Extraction edi'!B573)</f>
        <v/>
      </c>
      <c r="D563" s="1" t="str">
        <f>IF('Extraction edi'!H573="","",'Extraction edi'!H573)</f>
        <v/>
      </c>
      <c r="E563" s="1" t="str">
        <f>IF('Extraction edi'!I573="","",'Extraction edi'!I573)</f>
        <v/>
      </c>
      <c r="F563" t="str">
        <f>IF('Extraction edi'!K573="","",'Extraction edi'!K573)</f>
        <v/>
      </c>
      <c r="G563" t="str">
        <f>IF('Extraction edi'!L566="","",'Extraction edi'!L566)</f>
        <v/>
      </c>
      <c r="H563" t="str">
        <f>IF('Extraction edi'!M566="","",'Extraction edi'!M566)</f>
        <v/>
      </c>
      <c r="I563" s="1" t="str">
        <f>IF('Extraction edi'!N573="","",'Extraction edi'!N573)</f>
        <v/>
      </c>
      <c r="J563" s="1" t="str">
        <f>IF('Extraction edi'!O573="","",'Extraction edi'!O573)</f>
        <v/>
      </c>
      <c r="K563" s="1" t="str">
        <f>IF('Extraction edi'!P573="","",'Extraction edi'!P573)</f>
        <v/>
      </c>
      <c r="L563" s="1" t="str">
        <f>IF('Extraction edi'!Q573="laquage RAL :","OUI","")</f>
        <v/>
      </c>
      <c r="M563" s="1" t="str">
        <f>IF('Extraction edi'!R573&lt;&gt;"",'Extraction edi'!R573,IF(G563="ALU blanc","S9016",""))</f>
        <v/>
      </c>
      <c r="N563" s="1" t="str">
        <f>IF('Extraction edi'!S573&lt;&gt;"",'Extraction edi'!S573,IF(G563="ALU blanc","S9016",""))</f>
        <v/>
      </c>
      <c r="O563" s="11" t="str">
        <f>IF('Extraction edi'!V573&lt;'Feuille commande'!$E$1,"DELAI NON COMPATIBLE",IF('Extraction edi'!V573="","",WORKDAY('Extraction edi'!V573,-10,Paramètrage!$G$2:$G$104)))</f>
        <v/>
      </c>
      <c r="P563" s="1" t="e">
        <f t="shared" si="8"/>
        <v>#VALUE!</v>
      </c>
    </row>
    <row r="564" spans="1:16" x14ac:dyDescent="0.25">
      <c r="A564" s="1" t="str">
        <f>IF(B564="","",CONCATENATE(B564,".",C564,"/Pos ",D564,"/",'Extraction edi'!G574))</f>
        <v/>
      </c>
      <c r="B564" s="1" t="str">
        <f>IF('Extraction edi'!A574="","",'Extraction edi'!A574)</f>
        <v/>
      </c>
      <c r="C564" s="1" t="str">
        <f>IF('Extraction edi'!B574="","",'Extraction edi'!B574)</f>
        <v/>
      </c>
      <c r="D564" s="1" t="str">
        <f>IF('Extraction edi'!H574="","",'Extraction edi'!H574)</f>
        <v/>
      </c>
      <c r="E564" s="1" t="str">
        <f>IF('Extraction edi'!I574="","",'Extraction edi'!I574)</f>
        <v/>
      </c>
      <c r="F564" t="str">
        <f>IF('Extraction edi'!K574="","",'Extraction edi'!K574)</f>
        <v/>
      </c>
      <c r="G564" t="str">
        <f>IF('Extraction edi'!L567="","",'Extraction edi'!L567)</f>
        <v/>
      </c>
      <c r="H564" t="str">
        <f>IF('Extraction edi'!M567="","",'Extraction edi'!M567)</f>
        <v/>
      </c>
      <c r="I564" s="1" t="str">
        <f>IF('Extraction edi'!N574="","",'Extraction edi'!N574)</f>
        <v/>
      </c>
      <c r="J564" s="1" t="str">
        <f>IF('Extraction edi'!O574="","",'Extraction edi'!O574)</f>
        <v/>
      </c>
      <c r="K564" s="1" t="str">
        <f>IF('Extraction edi'!P574="","",'Extraction edi'!P574)</f>
        <v/>
      </c>
      <c r="L564" s="1" t="str">
        <f>IF('Extraction edi'!Q574="laquage RAL :","OUI","")</f>
        <v/>
      </c>
      <c r="M564" s="1" t="str">
        <f>IF('Extraction edi'!R574&lt;&gt;"",'Extraction edi'!R574,IF(G564="ALU blanc","S9016",""))</f>
        <v/>
      </c>
      <c r="N564" s="1" t="str">
        <f>IF('Extraction edi'!S574&lt;&gt;"",'Extraction edi'!S574,IF(G564="ALU blanc","S9016",""))</f>
        <v/>
      </c>
      <c r="O564" s="11" t="str">
        <f>IF('Extraction edi'!V574&lt;'Feuille commande'!$E$1,"DELAI NON COMPATIBLE",IF('Extraction edi'!V574="","",WORKDAY('Extraction edi'!V574,-10,Paramètrage!$G$2:$G$104)))</f>
        <v/>
      </c>
      <c r="P564" s="1" t="e">
        <f t="shared" si="8"/>
        <v>#VALUE!</v>
      </c>
    </row>
    <row r="565" spans="1:16" x14ac:dyDescent="0.25">
      <c r="A565" s="1" t="str">
        <f>IF(B565="","",CONCATENATE(B565,".",C565,"/Pos ",D565,"/",'Extraction edi'!G575))</f>
        <v/>
      </c>
      <c r="B565" s="1" t="str">
        <f>IF('Extraction edi'!A575="","",'Extraction edi'!A575)</f>
        <v/>
      </c>
      <c r="C565" s="1" t="str">
        <f>IF('Extraction edi'!B575="","",'Extraction edi'!B575)</f>
        <v/>
      </c>
      <c r="D565" s="1" t="str">
        <f>IF('Extraction edi'!H575="","",'Extraction edi'!H575)</f>
        <v/>
      </c>
      <c r="E565" s="1" t="str">
        <f>IF('Extraction edi'!I575="","",'Extraction edi'!I575)</f>
        <v/>
      </c>
      <c r="F565" t="str">
        <f>IF('Extraction edi'!K575="","",'Extraction edi'!K575)</f>
        <v/>
      </c>
      <c r="G565" t="str">
        <f>IF('Extraction edi'!L568="","",'Extraction edi'!L568)</f>
        <v/>
      </c>
      <c r="H565" t="str">
        <f>IF('Extraction edi'!M568="","",'Extraction edi'!M568)</f>
        <v/>
      </c>
      <c r="I565" s="1" t="str">
        <f>IF('Extraction edi'!N575="","",'Extraction edi'!N575)</f>
        <v/>
      </c>
      <c r="J565" s="1" t="str">
        <f>IF('Extraction edi'!O575="","",'Extraction edi'!O575)</f>
        <v/>
      </c>
      <c r="K565" s="1" t="str">
        <f>IF('Extraction edi'!P575="","",'Extraction edi'!P575)</f>
        <v/>
      </c>
      <c r="L565" s="1" t="str">
        <f>IF('Extraction edi'!Q575="laquage RAL :","OUI","")</f>
        <v/>
      </c>
      <c r="M565" s="1" t="str">
        <f>IF('Extraction edi'!R575&lt;&gt;"",'Extraction edi'!R575,IF(G565="ALU blanc","S9016",""))</f>
        <v/>
      </c>
      <c r="N565" s="1" t="str">
        <f>IF('Extraction edi'!S575&lt;&gt;"",'Extraction edi'!S575,IF(G565="ALU blanc","S9016",""))</f>
        <v/>
      </c>
      <c r="O565" s="11" t="str">
        <f>IF('Extraction edi'!V575&lt;'Feuille commande'!$E$1,"DELAI NON COMPATIBLE",IF('Extraction edi'!V575="","",WORKDAY('Extraction edi'!V575,-10,Paramètrage!$G$2:$G$104)))</f>
        <v/>
      </c>
      <c r="P565" s="1" t="e">
        <f t="shared" si="8"/>
        <v>#VALUE!</v>
      </c>
    </row>
    <row r="566" spans="1:16" x14ac:dyDescent="0.25">
      <c r="A566" s="1" t="str">
        <f>IF(B566="","",CONCATENATE(B566,".",C566,"/Pos ",D566,"/",'Extraction edi'!G576))</f>
        <v/>
      </c>
      <c r="B566" s="1" t="str">
        <f>IF('Extraction edi'!A576="","",'Extraction edi'!A576)</f>
        <v/>
      </c>
      <c r="C566" s="1" t="str">
        <f>IF('Extraction edi'!B576="","",'Extraction edi'!B576)</f>
        <v/>
      </c>
      <c r="D566" s="1" t="str">
        <f>IF('Extraction edi'!H576="","",'Extraction edi'!H576)</f>
        <v/>
      </c>
      <c r="E566" s="1" t="str">
        <f>IF('Extraction edi'!I576="","",'Extraction edi'!I576)</f>
        <v/>
      </c>
      <c r="F566" t="str">
        <f>IF('Extraction edi'!K576="","",'Extraction edi'!K576)</f>
        <v/>
      </c>
      <c r="G566" t="str">
        <f>IF('Extraction edi'!L569="","",'Extraction edi'!L569)</f>
        <v/>
      </c>
      <c r="H566" t="str">
        <f>IF('Extraction edi'!M569="","",'Extraction edi'!M569)</f>
        <v/>
      </c>
      <c r="I566" s="1" t="str">
        <f>IF('Extraction edi'!N576="","",'Extraction edi'!N576)</f>
        <v/>
      </c>
      <c r="J566" s="1" t="str">
        <f>IF('Extraction edi'!O576="","",'Extraction edi'!O576)</f>
        <v/>
      </c>
      <c r="K566" s="1" t="str">
        <f>IF('Extraction edi'!P576="","",'Extraction edi'!P576)</f>
        <v/>
      </c>
      <c r="L566" s="1" t="str">
        <f>IF('Extraction edi'!Q576="laquage RAL :","OUI","")</f>
        <v/>
      </c>
      <c r="M566" s="1" t="str">
        <f>IF('Extraction edi'!R576&lt;&gt;"",'Extraction edi'!R576,IF(G566="ALU blanc","S9016",""))</f>
        <v/>
      </c>
      <c r="N566" s="1" t="str">
        <f>IF('Extraction edi'!S576&lt;&gt;"",'Extraction edi'!S576,IF(G566="ALU blanc","S9016",""))</f>
        <v/>
      </c>
      <c r="O566" s="11" t="str">
        <f>IF('Extraction edi'!V576&lt;'Feuille commande'!$E$1,"DELAI NON COMPATIBLE",IF('Extraction edi'!V576="","",WORKDAY('Extraction edi'!V576,-10,Paramètrage!$G$2:$G$104)))</f>
        <v/>
      </c>
      <c r="P566" s="1" t="e">
        <f t="shared" si="8"/>
        <v>#VALUE!</v>
      </c>
    </row>
    <row r="567" spans="1:16" x14ac:dyDescent="0.25">
      <c r="A567" s="1" t="str">
        <f>IF(B567="","",CONCATENATE(B567,".",C567,"/Pos ",D567,"/",'Extraction edi'!G577))</f>
        <v/>
      </c>
      <c r="B567" s="1" t="str">
        <f>IF('Extraction edi'!A577="","",'Extraction edi'!A577)</f>
        <v/>
      </c>
      <c r="C567" s="1" t="str">
        <f>IF('Extraction edi'!B577="","",'Extraction edi'!B577)</f>
        <v/>
      </c>
      <c r="D567" s="1" t="str">
        <f>IF('Extraction edi'!H577="","",'Extraction edi'!H577)</f>
        <v/>
      </c>
      <c r="E567" s="1" t="str">
        <f>IF('Extraction edi'!I577="","",'Extraction edi'!I577)</f>
        <v/>
      </c>
      <c r="F567" t="str">
        <f>IF('Extraction edi'!K577="","",'Extraction edi'!K577)</f>
        <v/>
      </c>
      <c r="G567" t="str">
        <f>IF('Extraction edi'!L570="","",'Extraction edi'!L570)</f>
        <v/>
      </c>
      <c r="H567" t="str">
        <f>IF('Extraction edi'!M570="","",'Extraction edi'!M570)</f>
        <v/>
      </c>
      <c r="I567" s="1" t="str">
        <f>IF('Extraction edi'!N577="","",'Extraction edi'!N577)</f>
        <v/>
      </c>
      <c r="J567" s="1" t="str">
        <f>IF('Extraction edi'!O577="","",'Extraction edi'!O577)</f>
        <v/>
      </c>
      <c r="K567" s="1" t="str">
        <f>IF('Extraction edi'!P577="","",'Extraction edi'!P577)</f>
        <v/>
      </c>
      <c r="L567" s="1" t="str">
        <f>IF('Extraction edi'!Q577="laquage RAL :","OUI","")</f>
        <v/>
      </c>
      <c r="M567" s="1" t="str">
        <f>IF('Extraction edi'!R577&lt;&gt;"",'Extraction edi'!R577,IF(G567="ALU blanc","S9016",""))</f>
        <v/>
      </c>
      <c r="N567" s="1" t="str">
        <f>IF('Extraction edi'!S577&lt;&gt;"",'Extraction edi'!S577,IF(G567="ALU blanc","S9016",""))</f>
        <v/>
      </c>
      <c r="O567" s="11" t="str">
        <f>IF('Extraction edi'!V577&lt;'Feuille commande'!$E$1,"DELAI NON COMPATIBLE",IF('Extraction edi'!V577="","",WORKDAY('Extraction edi'!V577,-10,Paramètrage!$G$2:$G$104)))</f>
        <v/>
      </c>
      <c r="P567" s="1" t="e">
        <f t="shared" si="8"/>
        <v>#VALUE!</v>
      </c>
    </row>
    <row r="568" spans="1:16" x14ac:dyDescent="0.25">
      <c r="A568" s="1" t="str">
        <f>IF(B568="","",CONCATENATE(B568,".",C568,"/Pos ",D568,"/",'Extraction edi'!G578))</f>
        <v/>
      </c>
      <c r="B568" s="1" t="str">
        <f>IF('Extraction edi'!A578="","",'Extraction edi'!A578)</f>
        <v/>
      </c>
      <c r="C568" s="1" t="str">
        <f>IF('Extraction edi'!B578="","",'Extraction edi'!B578)</f>
        <v/>
      </c>
      <c r="D568" s="1" t="str">
        <f>IF('Extraction edi'!H578="","",'Extraction edi'!H578)</f>
        <v/>
      </c>
      <c r="E568" s="1" t="str">
        <f>IF('Extraction edi'!I578="","",'Extraction edi'!I578)</f>
        <v/>
      </c>
      <c r="F568" t="str">
        <f>IF('Extraction edi'!K578="","",'Extraction edi'!K578)</f>
        <v/>
      </c>
      <c r="G568" t="str">
        <f>IF('Extraction edi'!L571="","",'Extraction edi'!L571)</f>
        <v/>
      </c>
      <c r="H568" t="str">
        <f>IF('Extraction edi'!M571="","",'Extraction edi'!M571)</f>
        <v/>
      </c>
      <c r="I568" s="1" t="str">
        <f>IF('Extraction edi'!N578="","",'Extraction edi'!N578)</f>
        <v/>
      </c>
      <c r="J568" s="1" t="str">
        <f>IF('Extraction edi'!O578="","",'Extraction edi'!O578)</f>
        <v/>
      </c>
      <c r="K568" s="1" t="str">
        <f>IF('Extraction edi'!P578="","",'Extraction edi'!P578)</f>
        <v/>
      </c>
      <c r="L568" s="1" t="str">
        <f>IF('Extraction edi'!Q578="laquage RAL :","OUI","")</f>
        <v/>
      </c>
      <c r="M568" s="1" t="str">
        <f>IF('Extraction edi'!R578&lt;&gt;"",'Extraction edi'!R578,IF(G568="ALU blanc","S9016",""))</f>
        <v/>
      </c>
      <c r="N568" s="1" t="str">
        <f>IF('Extraction edi'!S578&lt;&gt;"",'Extraction edi'!S578,IF(G568="ALU blanc","S9016",""))</f>
        <v/>
      </c>
      <c r="O568" s="11" t="str">
        <f>IF('Extraction edi'!V578&lt;'Feuille commande'!$E$1,"DELAI NON COMPATIBLE",IF('Extraction edi'!V578="","",WORKDAY('Extraction edi'!V578,-10,Paramètrage!$G$2:$G$104)))</f>
        <v/>
      </c>
      <c r="P568" s="1" t="e">
        <f t="shared" si="8"/>
        <v>#VALUE!</v>
      </c>
    </row>
    <row r="569" spans="1:16" x14ac:dyDescent="0.25">
      <c r="A569" s="1" t="str">
        <f>IF(B569="","",CONCATENATE(B569,".",C569,"/Pos ",D569,"/",'Extraction edi'!G579))</f>
        <v/>
      </c>
      <c r="B569" s="1" t="str">
        <f>IF('Extraction edi'!A579="","",'Extraction edi'!A579)</f>
        <v/>
      </c>
      <c r="C569" s="1" t="str">
        <f>IF('Extraction edi'!B579="","",'Extraction edi'!B579)</f>
        <v/>
      </c>
      <c r="D569" s="1" t="str">
        <f>IF('Extraction edi'!H579="","",'Extraction edi'!H579)</f>
        <v/>
      </c>
      <c r="E569" s="1" t="str">
        <f>IF('Extraction edi'!I579="","",'Extraction edi'!I579)</f>
        <v/>
      </c>
      <c r="F569" t="str">
        <f>IF('Extraction edi'!K579="","",'Extraction edi'!K579)</f>
        <v/>
      </c>
      <c r="G569" t="str">
        <f>IF('Extraction edi'!L572="","",'Extraction edi'!L572)</f>
        <v/>
      </c>
      <c r="H569" t="str">
        <f>IF('Extraction edi'!M572="","",'Extraction edi'!M572)</f>
        <v/>
      </c>
      <c r="I569" s="1" t="str">
        <f>IF('Extraction edi'!N579="","",'Extraction edi'!N579)</f>
        <v/>
      </c>
      <c r="J569" s="1" t="str">
        <f>IF('Extraction edi'!O579="","",'Extraction edi'!O579)</f>
        <v/>
      </c>
      <c r="K569" s="1" t="str">
        <f>IF('Extraction edi'!P579="","",'Extraction edi'!P579)</f>
        <v/>
      </c>
      <c r="L569" s="1" t="str">
        <f>IF('Extraction edi'!Q579="laquage RAL :","OUI","")</f>
        <v/>
      </c>
      <c r="M569" s="1" t="str">
        <f>IF('Extraction edi'!R579&lt;&gt;"",'Extraction edi'!R579,IF(G569="ALU blanc","S9016",""))</f>
        <v/>
      </c>
      <c r="N569" s="1" t="str">
        <f>IF('Extraction edi'!S579&lt;&gt;"",'Extraction edi'!S579,IF(G569="ALU blanc","S9016",""))</f>
        <v/>
      </c>
      <c r="O569" s="11" t="str">
        <f>IF('Extraction edi'!V579&lt;'Feuille commande'!$E$1,"DELAI NON COMPATIBLE",IF('Extraction edi'!V579="","",WORKDAY('Extraction edi'!V579,-10,Paramètrage!$G$2:$G$104)))</f>
        <v/>
      </c>
      <c r="P569" s="1" t="e">
        <f t="shared" si="8"/>
        <v>#VALUE!</v>
      </c>
    </row>
    <row r="570" spans="1:16" x14ac:dyDescent="0.25">
      <c r="A570" s="1" t="str">
        <f>IF(B570="","",CONCATENATE(B570,".",C570,"/Pos ",D570,"/",'Extraction edi'!G580))</f>
        <v/>
      </c>
      <c r="B570" s="1" t="str">
        <f>IF('Extraction edi'!A580="","",'Extraction edi'!A580)</f>
        <v/>
      </c>
      <c r="C570" s="1" t="str">
        <f>IF('Extraction edi'!B580="","",'Extraction edi'!B580)</f>
        <v/>
      </c>
      <c r="D570" s="1" t="str">
        <f>IF('Extraction edi'!H580="","",'Extraction edi'!H580)</f>
        <v/>
      </c>
      <c r="E570" s="1" t="str">
        <f>IF('Extraction edi'!I580="","",'Extraction edi'!I580)</f>
        <v/>
      </c>
      <c r="F570" t="str">
        <f>IF('Extraction edi'!K580="","",'Extraction edi'!K580)</f>
        <v/>
      </c>
      <c r="G570" t="str">
        <f>IF('Extraction edi'!L573="","",'Extraction edi'!L573)</f>
        <v/>
      </c>
      <c r="H570" t="str">
        <f>IF('Extraction edi'!M573="","",'Extraction edi'!M573)</f>
        <v/>
      </c>
      <c r="I570" s="1" t="str">
        <f>IF('Extraction edi'!N580="","",'Extraction edi'!N580)</f>
        <v/>
      </c>
      <c r="J570" s="1" t="str">
        <f>IF('Extraction edi'!O580="","",'Extraction edi'!O580)</f>
        <v/>
      </c>
      <c r="K570" s="1" t="str">
        <f>IF('Extraction edi'!P580="","",'Extraction edi'!P580)</f>
        <v/>
      </c>
      <c r="L570" s="1" t="str">
        <f>IF('Extraction edi'!Q580="laquage RAL :","OUI","")</f>
        <v/>
      </c>
      <c r="M570" s="1" t="str">
        <f>IF('Extraction edi'!R580&lt;&gt;"",'Extraction edi'!R580,IF(G570="ALU blanc","S9016",""))</f>
        <v/>
      </c>
      <c r="N570" s="1" t="str">
        <f>IF('Extraction edi'!S580&lt;&gt;"",'Extraction edi'!S580,IF(G570="ALU blanc","S9016",""))</f>
        <v/>
      </c>
      <c r="O570" s="11" t="str">
        <f>IF('Extraction edi'!V580&lt;'Feuille commande'!$E$1,"DELAI NON COMPATIBLE",IF('Extraction edi'!V580="","",WORKDAY('Extraction edi'!V580,-10,Paramètrage!$G$2:$G$104)))</f>
        <v/>
      </c>
      <c r="P570" s="1" t="e">
        <f t="shared" si="8"/>
        <v>#VALUE!</v>
      </c>
    </row>
    <row r="571" spans="1:16" x14ac:dyDescent="0.25">
      <c r="A571" s="1" t="str">
        <f>IF(B571="","",CONCATENATE(B571,".",C571,"/Pos ",D571,"/",'Extraction edi'!G581))</f>
        <v/>
      </c>
      <c r="B571" s="1" t="str">
        <f>IF('Extraction edi'!A581="","",'Extraction edi'!A581)</f>
        <v/>
      </c>
      <c r="C571" s="1" t="str">
        <f>IF('Extraction edi'!B581="","",'Extraction edi'!B581)</f>
        <v/>
      </c>
      <c r="D571" s="1" t="str">
        <f>IF('Extraction edi'!H581="","",'Extraction edi'!H581)</f>
        <v/>
      </c>
      <c r="E571" s="1" t="str">
        <f>IF('Extraction edi'!I581="","",'Extraction edi'!I581)</f>
        <v/>
      </c>
      <c r="F571" t="str">
        <f>IF('Extraction edi'!K581="","",'Extraction edi'!K581)</f>
        <v/>
      </c>
      <c r="G571" t="str">
        <f>IF('Extraction edi'!L574="","",'Extraction edi'!L574)</f>
        <v/>
      </c>
      <c r="H571" t="str">
        <f>IF('Extraction edi'!M574="","",'Extraction edi'!M574)</f>
        <v/>
      </c>
      <c r="I571" s="1" t="str">
        <f>IF('Extraction edi'!N581="","",'Extraction edi'!N581)</f>
        <v/>
      </c>
      <c r="J571" s="1" t="str">
        <f>IF('Extraction edi'!O581="","",'Extraction edi'!O581)</f>
        <v/>
      </c>
      <c r="K571" s="1" t="str">
        <f>IF('Extraction edi'!P581="","",'Extraction edi'!P581)</f>
        <v/>
      </c>
      <c r="L571" s="1" t="str">
        <f>IF('Extraction edi'!Q581="laquage RAL :","OUI","")</f>
        <v/>
      </c>
      <c r="M571" s="1" t="str">
        <f>IF('Extraction edi'!R581&lt;&gt;"",'Extraction edi'!R581,IF(G571="ALU blanc","S9016",""))</f>
        <v/>
      </c>
      <c r="N571" s="1" t="str">
        <f>IF('Extraction edi'!S581&lt;&gt;"",'Extraction edi'!S581,IF(G571="ALU blanc","S9016",""))</f>
        <v/>
      </c>
      <c r="O571" s="11" t="str">
        <f>IF('Extraction edi'!V581&lt;'Feuille commande'!$E$1,"DELAI NON COMPATIBLE",IF('Extraction edi'!V581="","",WORKDAY('Extraction edi'!V581,-10,Paramètrage!$G$2:$G$104)))</f>
        <v/>
      </c>
      <c r="P571" s="1" t="e">
        <f t="shared" si="8"/>
        <v>#VALUE!</v>
      </c>
    </row>
    <row r="572" spans="1:16" x14ac:dyDescent="0.25">
      <c r="A572" s="1" t="str">
        <f>IF(B572="","",CONCATENATE(B572,".",C572,"/Pos ",D572,"/",'Extraction edi'!G582))</f>
        <v/>
      </c>
      <c r="B572" s="1" t="str">
        <f>IF('Extraction edi'!A582="","",'Extraction edi'!A582)</f>
        <v/>
      </c>
      <c r="C572" s="1" t="str">
        <f>IF('Extraction edi'!B582="","",'Extraction edi'!B582)</f>
        <v/>
      </c>
      <c r="D572" s="1" t="str">
        <f>IF('Extraction edi'!H582="","",'Extraction edi'!H582)</f>
        <v/>
      </c>
      <c r="E572" s="1" t="str">
        <f>IF('Extraction edi'!I582="","",'Extraction edi'!I582)</f>
        <v/>
      </c>
      <c r="F572" t="str">
        <f>IF('Extraction edi'!K582="","",'Extraction edi'!K582)</f>
        <v/>
      </c>
      <c r="G572" t="str">
        <f>IF('Extraction edi'!L575="","",'Extraction edi'!L575)</f>
        <v/>
      </c>
      <c r="H572" t="str">
        <f>IF('Extraction edi'!M575="","",'Extraction edi'!M575)</f>
        <v/>
      </c>
      <c r="I572" s="1" t="str">
        <f>IF('Extraction edi'!N582="","",'Extraction edi'!N582)</f>
        <v/>
      </c>
      <c r="J572" s="1" t="str">
        <f>IF('Extraction edi'!O582="","",'Extraction edi'!O582)</f>
        <v/>
      </c>
      <c r="K572" s="1" t="str">
        <f>IF('Extraction edi'!P582="","",'Extraction edi'!P582)</f>
        <v/>
      </c>
      <c r="L572" s="1" t="str">
        <f>IF('Extraction edi'!Q582="laquage RAL :","OUI","")</f>
        <v/>
      </c>
      <c r="M572" s="1" t="str">
        <f>IF('Extraction edi'!R582&lt;&gt;"",'Extraction edi'!R582,IF(G572="ALU blanc","S9016",""))</f>
        <v/>
      </c>
      <c r="N572" s="1" t="str">
        <f>IF('Extraction edi'!S582&lt;&gt;"",'Extraction edi'!S582,IF(G572="ALU blanc","S9016",""))</f>
        <v/>
      </c>
      <c r="O572" s="11" t="str">
        <f>IF('Extraction edi'!V582&lt;'Feuille commande'!$E$1,"DELAI NON COMPATIBLE",IF('Extraction edi'!V582="","",WORKDAY('Extraction edi'!V582,-10,Paramètrage!$G$2:$G$104)))</f>
        <v/>
      </c>
      <c r="P572" s="1" t="e">
        <f t="shared" si="8"/>
        <v>#VALUE!</v>
      </c>
    </row>
    <row r="573" spans="1:16" x14ac:dyDescent="0.25">
      <c r="A573" s="1" t="str">
        <f>IF(B573="","",CONCATENATE(B573,".",C573,"/Pos ",D573,"/",'Extraction edi'!G583))</f>
        <v/>
      </c>
      <c r="B573" s="1" t="str">
        <f>IF('Extraction edi'!A583="","",'Extraction edi'!A583)</f>
        <v/>
      </c>
      <c r="C573" s="1" t="str">
        <f>IF('Extraction edi'!B583="","",'Extraction edi'!B583)</f>
        <v/>
      </c>
      <c r="D573" s="1" t="str">
        <f>IF('Extraction edi'!H583="","",'Extraction edi'!H583)</f>
        <v/>
      </c>
      <c r="E573" s="1" t="str">
        <f>IF('Extraction edi'!I583="","",'Extraction edi'!I583)</f>
        <v/>
      </c>
      <c r="F573" t="str">
        <f>IF('Extraction edi'!K583="","",'Extraction edi'!K583)</f>
        <v/>
      </c>
      <c r="G573" t="str">
        <f>IF('Extraction edi'!L576="","",'Extraction edi'!L576)</f>
        <v/>
      </c>
      <c r="H573" t="str">
        <f>IF('Extraction edi'!M576="","",'Extraction edi'!M576)</f>
        <v/>
      </c>
      <c r="I573" s="1" t="str">
        <f>IF('Extraction edi'!N583="","",'Extraction edi'!N583)</f>
        <v/>
      </c>
      <c r="J573" s="1" t="str">
        <f>IF('Extraction edi'!O583="","",'Extraction edi'!O583)</f>
        <v/>
      </c>
      <c r="K573" s="1" t="str">
        <f>IF('Extraction edi'!P583="","",'Extraction edi'!P583)</f>
        <v/>
      </c>
      <c r="L573" s="1" t="str">
        <f>IF('Extraction edi'!Q583="laquage RAL :","OUI","")</f>
        <v/>
      </c>
      <c r="M573" s="1" t="str">
        <f>IF('Extraction edi'!R583&lt;&gt;"",'Extraction edi'!R583,IF(G573="ALU blanc","S9016",""))</f>
        <v/>
      </c>
      <c r="N573" s="1" t="str">
        <f>IF('Extraction edi'!S583&lt;&gt;"",'Extraction edi'!S583,IF(G573="ALU blanc","S9016",""))</f>
        <v/>
      </c>
      <c r="O573" s="11" t="str">
        <f>IF('Extraction edi'!V583&lt;'Feuille commande'!$E$1,"DELAI NON COMPATIBLE",IF('Extraction edi'!V583="","",WORKDAY('Extraction edi'!V583,-10,Paramètrage!$G$2:$G$104)))</f>
        <v/>
      </c>
      <c r="P573" s="1" t="e">
        <f t="shared" si="8"/>
        <v>#VALUE!</v>
      </c>
    </row>
    <row r="574" spans="1:16" x14ac:dyDescent="0.25">
      <c r="A574" s="1" t="str">
        <f>IF(B574="","",CONCATENATE(B574,".",C574,"/Pos ",D574,"/",'Extraction edi'!G584))</f>
        <v/>
      </c>
      <c r="B574" s="1" t="str">
        <f>IF('Extraction edi'!A584="","",'Extraction edi'!A584)</f>
        <v/>
      </c>
      <c r="C574" s="1" t="str">
        <f>IF('Extraction edi'!B584="","",'Extraction edi'!B584)</f>
        <v/>
      </c>
      <c r="D574" s="1" t="str">
        <f>IF('Extraction edi'!H584="","",'Extraction edi'!H584)</f>
        <v/>
      </c>
      <c r="E574" s="1" t="str">
        <f>IF('Extraction edi'!I584="","",'Extraction edi'!I584)</f>
        <v/>
      </c>
      <c r="F574" t="str">
        <f>IF('Extraction edi'!K584="","",'Extraction edi'!K584)</f>
        <v/>
      </c>
      <c r="G574" t="str">
        <f>IF('Extraction edi'!L577="","",'Extraction edi'!L577)</f>
        <v/>
      </c>
      <c r="H574" t="str">
        <f>IF('Extraction edi'!M577="","",'Extraction edi'!M577)</f>
        <v/>
      </c>
      <c r="I574" s="1" t="str">
        <f>IF('Extraction edi'!N584="","",'Extraction edi'!N584)</f>
        <v/>
      </c>
      <c r="J574" s="1" t="str">
        <f>IF('Extraction edi'!O584="","",'Extraction edi'!O584)</f>
        <v/>
      </c>
      <c r="K574" s="1" t="str">
        <f>IF('Extraction edi'!P584="","",'Extraction edi'!P584)</f>
        <v/>
      </c>
      <c r="L574" s="1" t="str">
        <f>IF('Extraction edi'!Q584="laquage RAL :","OUI","")</f>
        <v/>
      </c>
      <c r="M574" s="1" t="str">
        <f>IF('Extraction edi'!R584&lt;&gt;"",'Extraction edi'!R584,IF(G574="ALU blanc","S9016",""))</f>
        <v/>
      </c>
      <c r="N574" s="1" t="str">
        <f>IF('Extraction edi'!S584&lt;&gt;"",'Extraction edi'!S584,IF(G574="ALU blanc","S9016",""))</f>
        <v/>
      </c>
      <c r="O574" s="11" t="str">
        <f>IF('Extraction edi'!V584&lt;'Feuille commande'!$E$1,"DELAI NON COMPATIBLE",IF('Extraction edi'!V584="","",WORKDAY('Extraction edi'!V584,-10,Paramètrage!$G$2:$G$104)))</f>
        <v/>
      </c>
      <c r="P574" s="1" t="e">
        <f t="shared" ref="P574:P637" si="9">WEEKDAY(O574,2)</f>
        <v>#VALUE!</v>
      </c>
    </row>
    <row r="575" spans="1:16" x14ac:dyDescent="0.25">
      <c r="A575" s="1" t="str">
        <f>IF(B575="","",CONCATENATE(B575,".",C575,"/Pos ",D575,"/",'Extraction edi'!G585))</f>
        <v/>
      </c>
      <c r="B575" s="1" t="str">
        <f>IF('Extraction edi'!A585="","",'Extraction edi'!A585)</f>
        <v/>
      </c>
      <c r="C575" s="1" t="str">
        <f>IF('Extraction edi'!B585="","",'Extraction edi'!B585)</f>
        <v/>
      </c>
      <c r="D575" s="1" t="str">
        <f>IF('Extraction edi'!H585="","",'Extraction edi'!H585)</f>
        <v/>
      </c>
      <c r="E575" s="1" t="str">
        <f>IF('Extraction edi'!I585="","",'Extraction edi'!I585)</f>
        <v/>
      </c>
      <c r="F575" t="str">
        <f>IF('Extraction edi'!K585="","",'Extraction edi'!K585)</f>
        <v/>
      </c>
      <c r="G575" t="str">
        <f>IF('Extraction edi'!L578="","",'Extraction edi'!L578)</f>
        <v/>
      </c>
      <c r="H575" t="str">
        <f>IF('Extraction edi'!M578="","",'Extraction edi'!M578)</f>
        <v/>
      </c>
      <c r="I575" s="1" t="str">
        <f>IF('Extraction edi'!N585="","",'Extraction edi'!N585)</f>
        <v/>
      </c>
      <c r="J575" s="1" t="str">
        <f>IF('Extraction edi'!O585="","",'Extraction edi'!O585)</f>
        <v/>
      </c>
      <c r="K575" s="1" t="str">
        <f>IF('Extraction edi'!P585="","",'Extraction edi'!P585)</f>
        <v/>
      </c>
      <c r="L575" s="1" t="str">
        <f>IF('Extraction edi'!Q585="laquage RAL :","OUI","")</f>
        <v/>
      </c>
      <c r="M575" s="1" t="str">
        <f>IF('Extraction edi'!R585&lt;&gt;"",'Extraction edi'!R585,IF(G575="ALU blanc","S9016",""))</f>
        <v/>
      </c>
      <c r="N575" s="1" t="str">
        <f>IF('Extraction edi'!S585&lt;&gt;"",'Extraction edi'!S585,IF(G575="ALU blanc","S9016",""))</f>
        <v/>
      </c>
      <c r="O575" s="11" t="str">
        <f>IF('Extraction edi'!V585&lt;'Feuille commande'!$E$1,"DELAI NON COMPATIBLE",IF('Extraction edi'!V585="","",WORKDAY('Extraction edi'!V585,-10,Paramètrage!$G$2:$G$104)))</f>
        <v/>
      </c>
      <c r="P575" s="1" t="e">
        <f t="shared" si="9"/>
        <v>#VALUE!</v>
      </c>
    </row>
    <row r="576" spans="1:16" x14ac:dyDescent="0.25">
      <c r="A576" s="1" t="str">
        <f>IF(B576="","",CONCATENATE(B576,".",C576,"/Pos ",D576,"/",'Extraction edi'!G586))</f>
        <v/>
      </c>
      <c r="B576" s="1" t="str">
        <f>IF('Extraction edi'!A586="","",'Extraction edi'!A586)</f>
        <v/>
      </c>
      <c r="C576" s="1" t="str">
        <f>IF('Extraction edi'!B586="","",'Extraction edi'!B586)</f>
        <v/>
      </c>
      <c r="D576" s="1" t="str">
        <f>IF('Extraction edi'!H586="","",'Extraction edi'!H586)</f>
        <v/>
      </c>
      <c r="E576" s="1" t="str">
        <f>IF('Extraction edi'!I586="","",'Extraction edi'!I586)</f>
        <v/>
      </c>
      <c r="F576" t="str">
        <f>IF('Extraction edi'!K586="","",'Extraction edi'!K586)</f>
        <v/>
      </c>
      <c r="G576" t="str">
        <f>IF('Extraction edi'!L579="","",'Extraction edi'!L579)</f>
        <v/>
      </c>
      <c r="H576" t="str">
        <f>IF('Extraction edi'!M579="","",'Extraction edi'!M579)</f>
        <v/>
      </c>
      <c r="I576" s="1" t="str">
        <f>IF('Extraction edi'!N586="","",'Extraction edi'!N586)</f>
        <v/>
      </c>
      <c r="J576" s="1" t="str">
        <f>IF('Extraction edi'!O586="","",'Extraction edi'!O586)</f>
        <v/>
      </c>
      <c r="K576" s="1" t="str">
        <f>IF('Extraction edi'!P586="","",'Extraction edi'!P586)</f>
        <v/>
      </c>
      <c r="L576" s="1" t="str">
        <f>IF('Extraction edi'!Q586="laquage RAL :","OUI","")</f>
        <v/>
      </c>
      <c r="M576" s="1" t="str">
        <f>IF('Extraction edi'!R586&lt;&gt;"",'Extraction edi'!R586,IF(G576="ALU blanc","S9016",""))</f>
        <v/>
      </c>
      <c r="N576" s="1" t="str">
        <f>IF('Extraction edi'!S586&lt;&gt;"",'Extraction edi'!S586,IF(G576="ALU blanc","S9016",""))</f>
        <v/>
      </c>
      <c r="O576" s="11" t="str">
        <f>IF('Extraction edi'!V586&lt;'Feuille commande'!$E$1,"DELAI NON COMPATIBLE",IF('Extraction edi'!V586="","",WORKDAY('Extraction edi'!V586,-10,Paramètrage!$G$2:$G$104)))</f>
        <v/>
      </c>
      <c r="P576" s="1" t="e">
        <f t="shared" si="9"/>
        <v>#VALUE!</v>
      </c>
    </row>
    <row r="577" spans="1:16" x14ac:dyDescent="0.25">
      <c r="A577" s="1" t="str">
        <f>IF(B577="","",CONCATENATE(B577,".",C577,"/Pos ",D577,"/",'Extraction edi'!G587))</f>
        <v/>
      </c>
      <c r="B577" s="1" t="str">
        <f>IF('Extraction edi'!A587="","",'Extraction edi'!A587)</f>
        <v/>
      </c>
      <c r="C577" s="1" t="str">
        <f>IF('Extraction edi'!B587="","",'Extraction edi'!B587)</f>
        <v/>
      </c>
      <c r="D577" s="1" t="str">
        <f>IF('Extraction edi'!H587="","",'Extraction edi'!H587)</f>
        <v/>
      </c>
      <c r="E577" s="1" t="str">
        <f>IF('Extraction edi'!I587="","",'Extraction edi'!I587)</f>
        <v/>
      </c>
      <c r="F577" t="str">
        <f>IF('Extraction edi'!K587="","",'Extraction edi'!K587)</f>
        <v/>
      </c>
      <c r="G577" t="str">
        <f>IF('Extraction edi'!L580="","",'Extraction edi'!L580)</f>
        <v/>
      </c>
      <c r="H577" t="str">
        <f>IF('Extraction edi'!M580="","",'Extraction edi'!M580)</f>
        <v/>
      </c>
      <c r="I577" s="1" t="str">
        <f>IF('Extraction edi'!N587="","",'Extraction edi'!N587)</f>
        <v/>
      </c>
      <c r="J577" s="1" t="str">
        <f>IF('Extraction edi'!O587="","",'Extraction edi'!O587)</f>
        <v/>
      </c>
      <c r="K577" s="1" t="str">
        <f>IF('Extraction edi'!P587="","",'Extraction edi'!P587)</f>
        <v/>
      </c>
      <c r="L577" s="1" t="str">
        <f>IF('Extraction edi'!Q587="laquage RAL :","OUI","")</f>
        <v/>
      </c>
      <c r="M577" s="1" t="str">
        <f>IF('Extraction edi'!R587&lt;&gt;"",'Extraction edi'!R587,IF(G577="ALU blanc","S9016",""))</f>
        <v/>
      </c>
      <c r="N577" s="1" t="str">
        <f>IF('Extraction edi'!S587&lt;&gt;"",'Extraction edi'!S587,IF(G577="ALU blanc","S9016",""))</f>
        <v/>
      </c>
      <c r="O577" s="11" t="str">
        <f>IF('Extraction edi'!V587&lt;'Feuille commande'!$E$1,"DELAI NON COMPATIBLE",IF('Extraction edi'!V587="","",WORKDAY('Extraction edi'!V587,-10,Paramètrage!$G$2:$G$104)))</f>
        <v/>
      </c>
      <c r="P577" s="1" t="e">
        <f t="shared" si="9"/>
        <v>#VALUE!</v>
      </c>
    </row>
    <row r="578" spans="1:16" x14ac:dyDescent="0.25">
      <c r="A578" s="1" t="str">
        <f>IF(B578="","",CONCATENATE(B578,".",C578,"/Pos ",D578,"/",'Extraction edi'!G588))</f>
        <v/>
      </c>
      <c r="B578" s="1" t="str">
        <f>IF('Extraction edi'!A588="","",'Extraction edi'!A588)</f>
        <v/>
      </c>
      <c r="C578" s="1" t="str">
        <f>IF('Extraction edi'!B588="","",'Extraction edi'!B588)</f>
        <v/>
      </c>
      <c r="D578" s="1" t="str">
        <f>IF('Extraction edi'!H588="","",'Extraction edi'!H588)</f>
        <v/>
      </c>
      <c r="E578" s="1" t="str">
        <f>IF('Extraction edi'!I588="","",'Extraction edi'!I588)</f>
        <v/>
      </c>
      <c r="F578" t="str">
        <f>IF('Extraction edi'!K588="","",'Extraction edi'!K588)</f>
        <v/>
      </c>
      <c r="G578" t="str">
        <f>IF('Extraction edi'!L581="","",'Extraction edi'!L581)</f>
        <v/>
      </c>
      <c r="H578" t="str">
        <f>IF('Extraction edi'!M581="","",'Extraction edi'!M581)</f>
        <v/>
      </c>
      <c r="I578" s="1" t="str">
        <f>IF('Extraction edi'!N588="","",'Extraction edi'!N588)</f>
        <v/>
      </c>
      <c r="J578" s="1" t="str">
        <f>IF('Extraction edi'!O588="","",'Extraction edi'!O588)</f>
        <v/>
      </c>
      <c r="K578" s="1" t="str">
        <f>IF('Extraction edi'!P588="","",'Extraction edi'!P588)</f>
        <v/>
      </c>
      <c r="L578" s="1" t="str">
        <f>IF('Extraction edi'!Q588="laquage RAL :","OUI","")</f>
        <v/>
      </c>
      <c r="M578" s="1" t="str">
        <f>IF('Extraction edi'!R588&lt;&gt;"",'Extraction edi'!R588,IF(G578="ALU blanc","S9016",""))</f>
        <v/>
      </c>
      <c r="N578" s="1" t="str">
        <f>IF('Extraction edi'!S588&lt;&gt;"",'Extraction edi'!S588,IF(G578="ALU blanc","S9016",""))</f>
        <v/>
      </c>
      <c r="O578" s="11" t="str">
        <f>IF('Extraction edi'!V588&lt;'Feuille commande'!$E$1,"DELAI NON COMPATIBLE",IF('Extraction edi'!V588="","",WORKDAY('Extraction edi'!V588,-10,Paramètrage!$G$2:$G$104)))</f>
        <v/>
      </c>
      <c r="P578" s="1" t="e">
        <f t="shared" si="9"/>
        <v>#VALUE!</v>
      </c>
    </row>
    <row r="579" spans="1:16" x14ac:dyDescent="0.25">
      <c r="A579" s="1" t="str">
        <f>IF(B579="","",CONCATENATE(B579,".",C579,"/Pos ",D579,"/",'Extraction edi'!G589))</f>
        <v/>
      </c>
      <c r="B579" s="1" t="str">
        <f>IF('Extraction edi'!A589="","",'Extraction edi'!A589)</f>
        <v/>
      </c>
      <c r="C579" s="1" t="str">
        <f>IF('Extraction edi'!B589="","",'Extraction edi'!B589)</f>
        <v/>
      </c>
      <c r="D579" s="1" t="str">
        <f>IF('Extraction edi'!H589="","",'Extraction edi'!H589)</f>
        <v/>
      </c>
      <c r="E579" s="1" t="str">
        <f>IF('Extraction edi'!I589="","",'Extraction edi'!I589)</f>
        <v/>
      </c>
      <c r="F579" t="str">
        <f>IF('Extraction edi'!K589="","",'Extraction edi'!K589)</f>
        <v/>
      </c>
      <c r="G579" t="str">
        <f>IF('Extraction edi'!L582="","",'Extraction edi'!L582)</f>
        <v/>
      </c>
      <c r="H579" t="str">
        <f>IF('Extraction edi'!M582="","",'Extraction edi'!M582)</f>
        <v/>
      </c>
      <c r="I579" s="1" t="str">
        <f>IF('Extraction edi'!N589="","",'Extraction edi'!N589)</f>
        <v/>
      </c>
      <c r="J579" s="1" t="str">
        <f>IF('Extraction edi'!O589="","",'Extraction edi'!O589)</f>
        <v/>
      </c>
      <c r="K579" s="1" t="str">
        <f>IF('Extraction edi'!P589="","",'Extraction edi'!P589)</f>
        <v/>
      </c>
      <c r="L579" s="1" t="str">
        <f>IF('Extraction edi'!Q589="laquage RAL :","OUI","")</f>
        <v/>
      </c>
      <c r="M579" s="1" t="str">
        <f>IF('Extraction edi'!R589&lt;&gt;"",'Extraction edi'!R589,IF(G579="ALU blanc","S9016",""))</f>
        <v/>
      </c>
      <c r="N579" s="1" t="str">
        <f>IF('Extraction edi'!S589&lt;&gt;"",'Extraction edi'!S589,IF(G579="ALU blanc","S9016",""))</f>
        <v/>
      </c>
      <c r="O579" s="11" t="str">
        <f>IF('Extraction edi'!V589&lt;'Feuille commande'!$E$1,"DELAI NON COMPATIBLE",IF('Extraction edi'!V589="","",WORKDAY('Extraction edi'!V589,-10,Paramètrage!$G$2:$G$104)))</f>
        <v/>
      </c>
      <c r="P579" s="1" t="e">
        <f t="shared" si="9"/>
        <v>#VALUE!</v>
      </c>
    </row>
    <row r="580" spans="1:16" x14ac:dyDescent="0.25">
      <c r="A580" s="1" t="str">
        <f>IF(B580="","",CONCATENATE(B580,".",C580,"/Pos ",D580,"/",'Extraction edi'!G590))</f>
        <v/>
      </c>
      <c r="B580" s="1" t="str">
        <f>IF('Extraction edi'!A590="","",'Extraction edi'!A590)</f>
        <v/>
      </c>
      <c r="C580" s="1" t="str">
        <f>IF('Extraction edi'!B590="","",'Extraction edi'!B590)</f>
        <v/>
      </c>
      <c r="D580" s="1" t="str">
        <f>IF('Extraction edi'!H590="","",'Extraction edi'!H590)</f>
        <v/>
      </c>
      <c r="E580" s="1" t="str">
        <f>IF('Extraction edi'!I590="","",'Extraction edi'!I590)</f>
        <v/>
      </c>
      <c r="F580" t="str">
        <f>IF('Extraction edi'!K590="","",'Extraction edi'!K590)</f>
        <v/>
      </c>
      <c r="G580" t="str">
        <f>IF('Extraction edi'!L583="","",'Extraction edi'!L583)</f>
        <v/>
      </c>
      <c r="H580" t="str">
        <f>IF('Extraction edi'!M583="","",'Extraction edi'!M583)</f>
        <v/>
      </c>
      <c r="I580" s="1" t="str">
        <f>IF('Extraction edi'!N590="","",'Extraction edi'!N590)</f>
        <v/>
      </c>
      <c r="J580" s="1" t="str">
        <f>IF('Extraction edi'!O590="","",'Extraction edi'!O590)</f>
        <v/>
      </c>
      <c r="K580" s="1" t="str">
        <f>IF('Extraction edi'!P590="","",'Extraction edi'!P590)</f>
        <v/>
      </c>
      <c r="L580" s="1" t="str">
        <f>IF('Extraction edi'!Q590="laquage RAL :","OUI","")</f>
        <v/>
      </c>
      <c r="M580" s="1" t="str">
        <f>IF('Extraction edi'!R590&lt;&gt;"",'Extraction edi'!R590,IF(G580="ALU blanc","S9016",""))</f>
        <v/>
      </c>
      <c r="N580" s="1" t="str">
        <f>IF('Extraction edi'!S590&lt;&gt;"",'Extraction edi'!S590,IF(G580="ALU blanc","S9016",""))</f>
        <v/>
      </c>
      <c r="O580" s="11" t="str">
        <f>IF('Extraction edi'!V590&lt;'Feuille commande'!$E$1,"DELAI NON COMPATIBLE",IF('Extraction edi'!V590="","",WORKDAY('Extraction edi'!V590,-10,Paramètrage!$G$2:$G$104)))</f>
        <v/>
      </c>
      <c r="P580" s="1" t="e">
        <f t="shared" si="9"/>
        <v>#VALUE!</v>
      </c>
    </row>
    <row r="581" spans="1:16" x14ac:dyDescent="0.25">
      <c r="A581" s="1" t="str">
        <f>IF(B581="","",CONCATENATE(B581,".",C581,"/Pos ",D581,"/",'Extraction edi'!G591))</f>
        <v/>
      </c>
      <c r="B581" s="1" t="str">
        <f>IF('Extraction edi'!A591="","",'Extraction edi'!A591)</f>
        <v/>
      </c>
      <c r="C581" s="1" t="str">
        <f>IF('Extraction edi'!B591="","",'Extraction edi'!B591)</f>
        <v/>
      </c>
      <c r="D581" s="1" t="str">
        <f>IF('Extraction edi'!H591="","",'Extraction edi'!H591)</f>
        <v/>
      </c>
      <c r="E581" s="1" t="str">
        <f>IF('Extraction edi'!I591="","",'Extraction edi'!I591)</f>
        <v/>
      </c>
      <c r="F581" t="str">
        <f>IF('Extraction edi'!K591="","",'Extraction edi'!K591)</f>
        <v/>
      </c>
      <c r="G581" t="str">
        <f>IF('Extraction edi'!L584="","",'Extraction edi'!L584)</f>
        <v/>
      </c>
      <c r="H581" t="str">
        <f>IF('Extraction edi'!M584="","",'Extraction edi'!M584)</f>
        <v/>
      </c>
      <c r="I581" s="1" t="str">
        <f>IF('Extraction edi'!N591="","",'Extraction edi'!N591)</f>
        <v/>
      </c>
      <c r="J581" s="1" t="str">
        <f>IF('Extraction edi'!O591="","",'Extraction edi'!O591)</f>
        <v/>
      </c>
      <c r="K581" s="1" t="str">
        <f>IF('Extraction edi'!P591="","",'Extraction edi'!P591)</f>
        <v/>
      </c>
      <c r="L581" s="1" t="str">
        <f>IF('Extraction edi'!Q591="laquage RAL :","OUI","")</f>
        <v/>
      </c>
      <c r="M581" s="1" t="str">
        <f>IF('Extraction edi'!R591&lt;&gt;"",'Extraction edi'!R591,IF(G581="ALU blanc","S9016",""))</f>
        <v/>
      </c>
      <c r="N581" s="1" t="str">
        <f>IF('Extraction edi'!S591&lt;&gt;"",'Extraction edi'!S591,IF(G581="ALU blanc","S9016",""))</f>
        <v/>
      </c>
      <c r="O581" s="11" t="str">
        <f>IF('Extraction edi'!V591&lt;'Feuille commande'!$E$1,"DELAI NON COMPATIBLE",IF('Extraction edi'!V591="","",WORKDAY('Extraction edi'!V591,-10,Paramètrage!$G$2:$G$104)))</f>
        <v/>
      </c>
      <c r="P581" s="1" t="e">
        <f t="shared" si="9"/>
        <v>#VALUE!</v>
      </c>
    </row>
    <row r="582" spans="1:16" x14ac:dyDescent="0.25">
      <c r="A582" s="1" t="str">
        <f>IF(B582="","",CONCATENATE(B582,".",C582,"/Pos ",D582,"/",'Extraction edi'!G592))</f>
        <v/>
      </c>
      <c r="B582" s="1" t="str">
        <f>IF('Extraction edi'!A592="","",'Extraction edi'!A592)</f>
        <v/>
      </c>
      <c r="C582" s="1" t="str">
        <f>IF('Extraction edi'!B592="","",'Extraction edi'!B592)</f>
        <v/>
      </c>
      <c r="D582" s="1" t="str">
        <f>IF('Extraction edi'!H592="","",'Extraction edi'!H592)</f>
        <v/>
      </c>
      <c r="E582" s="1" t="str">
        <f>IF('Extraction edi'!I592="","",'Extraction edi'!I592)</f>
        <v/>
      </c>
      <c r="F582" t="str">
        <f>IF('Extraction edi'!K592="","",'Extraction edi'!K592)</f>
        <v/>
      </c>
      <c r="G582" t="str">
        <f>IF('Extraction edi'!L585="","",'Extraction edi'!L585)</f>
        <v/>
      </c>
      <c r="H582" t="str">
        <f>IF('Extraction edi'!M585="","",'Extraction edi'!M585)</f>
        <v/>
      </c>
      <c r="I582" s="1" t="str">
        <f>IF('Extraction edi'!N592="","",'Extraction edi'!N592)</f>
        <v/>
      </c>
      <c r="J582" s="1" t="str">
        <f>IF('Extraction edi'!O592="","",'Extraction edi'!O592)</f>
        <v/>
      </c>
      <c r="K582" s="1" t="str">
        <f>IF('Extraction edi'!P592="","",'Extraction edi'!P592)</f>
        <v/>
      </c>
      <c r="L582" s="1" t="str">
        <f>IF('Extraction edi'!Q592="laquage RAL :","OUI","")</f>
        <v/>
      </c>
      <c r="M582" s="1" t="str">
        <f>IF('Extraction edi'!R592&lt;&gt;"",'Extraction edi'!R592,IF(G582="ALU blanc","S9016",""))</f>
        <v/>
      </c>
      <c r="N582" s="1" t="str">
        <f>IF('Extraction edi'!S592&lt;&gt;"",'Extraction edi'!S592,IF(G582="ALU blanc","S9016",""))</f>
        <v/>
      </c>
      <c r="O582" s="11" t="str">
        <f>IF('Extraction edi'!V592&lt;'Feuille commande'!$E$1,"DELAI NON COMPATIBLE",IF('Extraction edi'!V592="","",WORKDAY('Extraction edi'!V592,-10,Paramètrage!$G$2:$G$104)))</f>
        <v/>
      </c>
      <c r="P582" s="1" t="e">
        <f t="shared" si="9"/>
        <v>#VALUE!</v>
      </c>
    </row>
    <row r="583" spans="1:16" x14ac:dyDescent="0.25">
      <c r="A583" s="1" t="str">
        <f>IF(B583="","",CONCATENATE(B583,".",C583,"/Pos ",D583,"/",'Extraction edi'!G593))</f>
        <v/>
      </c>
      <c r="B583" s="1" t="str">
        <f>IF('Extraction edi'!A593="","",'Extraction edi'!A593)</f>
        <v/>
      </c>
      <c r="C583" s="1" t="str">
        <f>IF('Extraction edi'!B593="","",'Extraction edi'!B593)</f>
        <v/>
      </c>
      <c r="D583" s="1" t="str">
        <f>IF('Extraction edi'!H593="","",'Extraction edi'!H593)</f>
        <v/>
      </c>
      <c r="E583" s="1" t="str">
        <f>IF('Extraction edi'!I593="","",'Extraction edi'!I593)</f>
        <v/>
      </c>
      <c r="F583" t="str">
        <f>IF('Extraction edi'!K593="","",'Extraction edi'!K593)</f>
        <v/>
      </c>
      <c r="G583" t="str">
        <f>IF('Extraction edi'!L586="","",'Extraction edi'!L586)</f>
        <v/>
      </c>
      <c r="H583" t="str">
        <f>IF('Extraction edi'!M586="","",'Extraction edi'!M586)</f>
        <v/>
      </c>
      <c r="I583" s="1" t="str">
        <f>IF('Extraction edi'!N593="","",'Extraction edi'!N593)</f>
        <v/>
      </c>
      <c r="J583" s="1" t="str">
        <f>IF('Extraction edi'!O593="","",'Extraction edi'!O593)</f>
        <v/>
      </c>
      <c r="K583" s="1" t="str">
        <f>IF('Extraction edi'!P593="","",'Extraction edi'!P593)</f>
        <v/>
      </c>
      <c r="L583" s="1" t="str">
        <f>IF('Extraction edi'!Q593="laquage RAL :","OUI","")</f>
        <v/>
      </c>
      <c r="M583" s="1" t="str">
        <f>IF('Extraction edi'!R593&lt;&gt;"",'Extraction edi'!R593,IF(G583="ALU blanc","S9016",""))</f>
        <v/>
      </c>
      <c r="N583" s="1" t="str">
        <f>IF('Extraction edi'!S593&lt;&gt;"",'Extraction edi'!S593,IF(G583="ALU blanc","S9016",""))</f>
        <v/>
      </c>
      <c r="O583" s="11" t="str">
        <f>IF('Extraction edi'!V593&lt;'Feuille commande'!$E$1,"DELAI NON COMPATIBLE",IF('Extraction edi'!V593="","",WORKDAY('Extraction edi'!V593,-10,Paramètrage!$G$2:$G$104)))</f>
        <v/>
      </c>
      <c r="P583" s="1" t="e">
        <f t="shared" si="9"/>
        <v>#VALUE!</v>
      </c>
    </row>
    <row r="584" spans="1:16" x14ac:dyDescent="0.25">
      <c r="A584" s="1" t="str">
        <f>IF(B584="","",CONCATENATE(B584,".",C584,"/Pos ",D584,"/",'Extraction edi'!G594))</f>
        <v/>
      </c>
      <c r="B584" s="1" t="str">
        <f>IF('Extraction edi'!A594="","",'Extraction edi'!A594)</f>
        <v/>
      </c>
      <c r="C584" s="1" t="str">
        <f>IF('Extraction edi'!B594="","",'Extraction edi'!B594)</f>
        <v/>
      </c>
      <c r="D584" s="1" t="str">
        <f>IF('Extraction edi'!H594="","",'Extraction edi'!H594)</f>
        <v/>
      </c>
      <c r="E584" s="1" t="str">
        <f>IF('Extraction edi'!I594="","",'Extraction edi'!I594)</f>
        <v/>
      </c>
      <c r="F584" t="str">
        <f>IF('Extraction edi'!K594="","",'Extraction edi'!K594)</f>
        <v/>
      </c>
      <c r="G584" t="str">
        <f>IF('Extraction edi'!L587="","",'Extraction edi'!L587)</f>
        <v/>
      </c>
      <c r="H584" t="str">
        <f>IF('Extraction edi'!M587="","",'Extraction edi'!M587)</f>
        <v/>
      </c>
      <c r="I584" s="1" t="str">
        <f>IF('Extraction edi'!N594="","",'Extraction edi'!N594)</f>
        <v/>
      </c>
      <c r="J584" s="1" t="str">
        <f>IF('Extraction edi'!O594="","",'Extraction edi'!O594)</f>
        <v/>
      </c>
      <c r="K584" s="1" t="str">
        <f>IF('Extraction edi'!P594="","",'Extraction edi'!P594)</f>
        <v/>
      </c>
      <c r="L584" s="1" t="str">
        <f>IF('Extraction edi'!Q594="laquage RAL :","OUI","")</f>
        <v/>
      </c>
      <c r="M584" s="1" t="str">
        <f>IF('Extraction edi'!R594&lt;&gt;"",'Extraction edi'!R594,IF(G584="ALU blanc","S9016",""))</f>
        <v/>
      </c>
      <c r="N584" s="1" t="str">
        <f>IF('Extraction edi'!S594&lt;&gt;"",'Extraction edi'!S594,IF(G584="ALU blanc","S9016",""))</f>
        <v/>
      </c>
      <c r="O584" s="11" t="str">
        <f>IF('Extraction edi'!V594&lt;'Feuille commande'!$E$1,"DELAI NON COMPATIBLE",IF('Extraction edi'!V594="","",WORKDAY('Extraction edi'!V594,-10,Paramètrage!$G$2:$G$104)))</f>
        <v/>
      </c>
      <c r="P584" s="1" t="e">
        <f t="shared" si="9"/>
        <v>#VALUE!</v>
      </c>
    </row>
    <row r="585" spans="1:16" x14ac:dyDescent="0.25">
      <c r="A585" s="1" t="str">
        <f>IF(B585="","",CONCATENATE(B585,".",C585,"/Pos ",D585,"/",'Extraction edi'!G595))</f>
        <v/>
      </c>
      <c r="B585" s="1" t="str">
        <f>IF('Extraction edi'!A595="","",'Extraction edi'!A595)</f>
        <v/>
      </c>
      <c r="C585" s="1" t="str">
        <f>IF('Extraction edi'!B595="","",'Extraction edi'!B595)</f>
        <v/>
      </c>
      <c r="D585" s="1" t="str">
        <f>IF('Extraction edi'!H595="","",'Extraction edi'!H595)</f>
        <v/>
      </c>
      <c r="E585" s="1" t="str">
        <f>IF('Extraction edi'!I595="","",'Extraction edi'!I595)</f>
        <v/>
      </c>
      <c r="F585" t="str">
        <f>IF('Extraction edi'!K595="","",'Extraction edi'!K595)</f>
        <v/>
      </c>
      <c r="G585" t="str">
        <f>IF('Extraction edi'!L588="","",'Extraction edi'!L588)</f>
        <v/>
      </c>
      <c r="H585" t="str">
        <f>IF('Extraction edi'!M588="","",'Extraction edi'!M588)</f>
        <v/>
      </c>
      <c r="I585" s="1" t="str">
        <f>IF('Extraction edi'!N595="","",'Extraction edi'!N595)</f>
        <v/>
      </c>
      <c r="J585" s="1" t="str">
        <f>IF('Extraction edi'!O595="","",'Extraction edi'!O595)</f>
        <v/>
      </c>
      <c r="K585" s="1" t="str">
        <f>IF('Extraction edi'!P595="","",'Extraction edi'!P595)</f>
        <v/>
      </c>
      <c r="L585" s="1" t="str">
        <f>IF('Extraction edi'!Q595="laquage RAL :","OUI","")</f>
        <v/>
      </c>
      <c r="M585" s="1" t="str">
        <f>IF('Extraction edi'!R595&lt;&gt;"",'Extraction edi'!R595,IF(G585="ALU blanc","S9016",""))</f>
        <v/>
      </c>
      <c r="N585" s="1" t="str">
        <f>IF('Extraction edi'!S595&lt;&gt;"",'Extraction edi'!S595,IF(G585="ALU blanc","S9016",""))</f>
        <v/>
      </c>
      <c r="O585" s="11" t="str">
        <f>IF('Extraction edi'!V595&lt;'Feuille commande'!$E$1,"DELAI NON COMPATIBLE",IF('Extraction edi'!V595="","",WORKDAY('Extraction edi'!V595,-10,Paramètrage!$G$2:$G$104)))</f>
        <v/>
      </c>
      <c r="P585" s="1" t="e">
        <f t="shared" si="9"/>
        <v>#VALUE!</v>
      </c>
    </row>
    <row r="586" spans="1:16" x14ac:dyDescent="0.25">
      <c r="A586" s="1" t="str">
        <f>IF(B586="","",CONCATENATE(B586,".",C586,"/Pos ",D586,"/",'Extraction edi'!G596))</f>
        <v/>
      </c>
      <c r="B586" s="1" t="str">
        <f>IF('Extraction edi'!A596="","",'Extraction edi'!A596)</f>
        <v/>
      </c>
      <c r="C586" s="1" t="str">
        <f>IF('Extraction edi'!B596="","",'Extraction edi'!B596)</f>
        <v/>
      </c>
      <c r="D586" s="1" t="str">
        <f>IF('Extraction edi'!H596="","",'Extraction edi'!H596)</f>
        <v/>
      </c>
      <c r="E586" s="1" t="str">
        <f>IF('Extraction edi'!I596="","",'Extraction edi'!I596)</f>
        <v/>
      </c>
      <c r="F586" t="str">
        <f>IF('Extraction edi'!K596="","",'Extraction edi'!K596)</f>
        <v/>
      </c>
      <c r="G586" t="str">
        <f>IF('Extraction edi'!L589="","",'Extraction edi'!L589)</f>
        <v/>
      </c>
      <c r="H586" t="str">
        <f>IF('Extraction edi'!M589="","",'Extraction edi'!M589)</f>
        <v/>
      </c>
      <c r="I586" s="1" t="str">
        <f>IF('Extraction edi'!N596="","",'Extraction edi'!N596)</f>
        <v/>
      </c>
      <c r="J586" s="1" t="str">
        <f>IF('Extraction edi'!O596="","",'Extraction edi'!O596)</f>
        <v/>
      </c>
      <c r="K586" s="1" t="str">
        <f>IF('Extraction edi'!P596="","",'Extraction edi'!P596)</f>
        <v/>
      </c>
      <c r="L586" s="1" t="str">
        <f>IF('Extraction edi'!Q596="laquage RAL :","OUI","")</f>
        <v/>
      </c>
      <c r="M586" s="1" t="str">
        <f>IF('Extraction edi'!R596&lt;&gt;"",'Extraction edi'!R596,IF(G586="ALU blanc","S9016",""))</f>
        <v/>
      </c>
      <c r="N586" s="1" t="str">
        <f>IF('Extraction edi'!S596&lt;&gt;"",'Extraction edi'!S596,IF(G586="ALU blanc","S9016",""))</f>
        <v/>
      </c>
      <c r="O586" s="11" t="str">
        <f>IF('Extraction edi'!V596&lt;'Feuille commande'!$E$1,"DELAI NON COMPATIBLE",IF('Extraction edi'!V596="","",WORKDAY('Extraction edi'!V596,-10,Paramètrage!$G$2:$G$104)))</f>
        <v/>
      </c>
      <c r="P586" s="1" t="e">
        <f t="shared" si="9"/>
        <v>#VALUE!</v>
      </c>
    </row>
    <row r="587" spans="1:16" x14ac:dyDescent="0.25">
      <c r="A587" s="1" t="str">
        <f>IF(B587="","",CONCATENATE(B587,".",C587,"/Pos ",D587,"/",'Extraction edi'!G597))</f>
        <v/>
      </c>
      <c r="B587" s="1" t="str">
        <f>IF('Extraction edi'!A597="","",'Extraction edi'!A597)</f>
        <v/>
      </c>
      <c r="C587" s="1" t="str">
        <f>IF('Extraction edi'!B597="","",'Extraction edi'!B597)</f>
        <v/>
      </c>
      <c r="D587" s="1" t="str">
        <f>IF('Extraction edi'!H597="","",'Extraction edi'!H597)</f>
        <v/>
      </c>
      <c r="E587" s="1" t="str">
        <f>IF('Extraction edi'!I597="","",'Extraction edi'!I597)</f>
        <v/>
      </c>
      <c r="F587" t="str">
        <f>IF('Extraction edi'!K597="","",'Extraction edi'!K597)</f>
        <v/>
      </c>
      <c r="G587" t="str">
        <f>IF('Extraction edi'!L590="","",'Extraction edi'!L590)</f>
        <v/>
      </c>
      <c r="H587" t="str">
        <f>IF('Extraction edi'!M590="","",'Extraction edi'!M590)</f>
        <v/>
      </c>
      <c r="I587" s="1" t="str">
        <f>IF('Extraction edi'!N597="","",'Extraction edi'!N597)</f>
        <v/>
      </c>
      <c r="J587" s="1" t="str">
        <f>IF('Extraction edi'!O597="","",'Extraction edi'!O597)</f>
        <v/>
      </c>
      <c r="K587" s="1" t="str">
        <f>IF('Extraction edi'!P597="","",'Extraction edi'!P597)</f>
        <v/>
      </c>
      <c r="L587" s="1" t="str">
        <f>IF('Extraction edi'!Q597="laquage RAL :","OUI","")</f>
        <v/>
      </c>
      <c r="M587" s="1" t="str">
        <f>IF('Extraction edi'!R597&lt;&gt;"",'Extraction edi'!R597,IF(G587="ALU blanc","S9016",""))</f>
        <v/>
      </c>
      <c r="N587" s="1" t="str">
        <f>IF('Extraction edi'!S597&lt;&gt;"",'Extraction edi'!S597,IF(G587="ALU blanc","S9016",""))</f>
        <v/>
      </c>
      <c r="O587" s="11" t="str">
        <f>IF('Extraction edi'!V597&lt;'Feuille commande'!$E$1,"DELAI NON COMPATIBLE",IF('Extraction edi'!V597="","",WORKDAY('Extraction edi'!V597,-10,Paramètrage!$G$2:$G$104)))</f>
        <v/>
      </c>
      <c r="P587" s="1" t="e">
        <f t="shared" si="9"/>
        <v>#VALUE!</v>
      </c>
    </row>
    <row r="588" spans="1:16" x14ac:dyDescent="0.25">
      <c r="A588" s="1" t="str">
        <f>IF(B588="","",CONCATENATE(B588,".",C588,"/Pos ",D588,"/",'Extraction edi'!G598))</f>
        <v/>
      </c>
      <c r="B588" s="1" t="str">
        <f>IF('Extraction edi'!A598="","",'Extraction edi'!A598)</f>
        <v/>
      </c>
      <c r="C588" s="1" t="str">
        <f>IF('Extraction edi'!B598="","",'Extraction edi'!B598)</f>
        <v/>
      </c>
      <c r="D588" s="1" t="str">
        <f>IF('Extraction edi'!H598="","",'Extraction edi'!H598)</f>
        <v/>
      </c>
      <c r="E588" s="1" t="str">
        <f>IF('Extraction edi'!I598="","",'Extraction edi'!I598)</f>
        <v/>
      </c>
      <c r="F588" t="str">
        <f>IF('Extraction edi'!K598="","",'Extraction edi'!K598)</f>
        <v/>
      </c>
      <c r="G588" t="str">
        <f>IF('Extraction edi'!L591="","",'Extraction edi'!L591)</f>
        <v/>
      </c>
      <c r="H588" t="str">
        <f>IF('Extraction edi'!M591="","",'Extraction edi'!M591)</f>
        <v/>
      </c>
      <c r="I588" s="1" t="str">
        <f>IF('Extraction edi'!N598="","",'Extraction edi'!N598)</f>
        <v/>
      </c>
      <c r="J588" s="1" t="str">
        <f>IF('Extraction edi'!O598="","",'Extraction edi'!O598)</f>
        <v/>
      </c>
      <c r="K588" s="1" t="str">
        <f>IF('Extraction edi'!P598="","",'Extraction edi'!P598)</f>
        <v/>
      </c>
      <c r="L588" s="1" t="str">
        <f>IF('Extraction edi'!Q598="laquage RAL :","OUI","")</f>
        <v/>
      </c>
      <c r="M588" s="1" t="str">
        <f>IF('Extraction edi'!R598&lt;&gt;"",'Extraction edi'!R598,IF(G588="ALU blanc","S9016",""))</f>
        <v/>
      </c>
      <c r="N588" s="1" t="str">
        <f>IF('Extraction edi'!S598&lt;&gt;"",'Extraction edi'!S598,IF(G588="ALU blanc","S9016",""))</f>
        <v/>
      </c>
      <c r="O588" s="11" t="str">
        <f>IF('Extraction edi'!V598&lt;'Feuille commande'!$E$1,"DELAI NON COMPATIBLE",IF('Extraction edi'!V598="","",WORKDAY('Extraction edi'!V598,-10,Paramètrage!$G$2:$G$104)))</f>
        <v/>
      </c>
      <c r="P588" s="1" t="e">
        <f t="shared" si="9"/>
        <v>#VALUE!</v>
      </c>
    </row>
    <row r="589" spans="1:16" x14ac:dyDescent="0.25">
      <c r="A589" s="1" t="str">
        <f>IF(B589="","",CONCATENATE(B589,".",C589,"/Pos ",D589,"/",'Extraction edi'!G599))</f>
        <v/>
      </c>
      <c r="B589" s="1" t="str">
        <f>IF('Extraction edi'!A599="","",'Extraction edi'!A599)</f>
        <v/>
      </c>
      <c r="C589" s="1" t="str">
        <f>IF('Extraction edi'!B599="","",'Extraction edi'!B599)</f>
        <v/>
      </c>
      <c r="D589" s="1" t="str">
        <f>IF('Extraction edi'!H599="","",'Extraction edi'!H599)</f>
        <v/>
      </c>
      <c r="E589" s="1" t="str">
        <f>IF('Extraction edi'!I599="","",'Extraction edi'!I599)</f>
        <v/>
      </c>
      <c r="F589" t="str">
        <f>IF('Extraction edi'!K599="","",'Extraction edi'!K599)</f>
        <v/>
      </c>
      <c r="G589" t="str">
        <f>IF('Extraction edi'!L592="","",'Extraction edi'!L592)</f>
        <v/>
      </c>
      <c r="H589" t="str">
        <f>IF('Extraction edi'!M592="","",'Extraction edi'!M592)</f>
        <v/>
      </c>
      <c r="I589" s="1" t="str">
        <f>IF('Extraction edi'!N599="","",'Extraction edi'!N599)</f>
        <v/>
      </c>
      <c r="J589" s="1" t="str">
        <f>IF('Extraction edi'!O599="","",'Extraction edi'!O599)</f>
        <v/>
      </c>
      <c r="K589" s="1" t="str">
        <f>IF('Extraction edi'!P599="","",'Extraction edi'!P599)</f>
        <v/>
      </c>
      <c r="L589" s="1" t="str">
        <f>IF('Extraction edi'!Q599="laquage RAL :","OUI","")</f>
        <v/>
      </c>
      <c r="M589" s="1" t="str">
        <f>IF('Extraction edi'!R599&lt;&gt;"",'Extraction edi'!R599,IF(G589="ALU blanc","S9016",""))</f>
        <v/>
      </c>
      <c r="N589" s="1" t="str">
        <f>IF('Extraction edi'!S599&lt;&gt;"",'Extraction edi'!S599,IF(G589="ALU blanc","S9016",""))</f>
        <v/>
      </c>
      <c r="O589" s="11" t="str">
        <f>IF('Extraction edi'!V599&lt;'Feuille commande'!$E$1,"DELAI NON COMPATIBLE",IF('Extraction edi'!V599="","",WORKDAY('Extraction edi'!V599,-10,Paramètrage!$G$2:$G$104)))</f>
        <v/>
      </c>
      <c r="P589" s="1" t="e">
        <f t="shared" si="9"/>
        <v>#VALUE!</v>
      </c>
    </row>
    <row r="590" spans="1:16" x14ac:dyDescent="0.25">
      <c r="A590" s="1" t="str">
        <f>IF(B590="","",CONCATENATE(B590,".",C590,"/Pos ",D590,"/",'Extraction edi'!G600))</f>
        <v/>
      </c>
      <c r="B590" s="1" t="str">
        <f>IF('Extraction edi'!A600="","",'Extraction edi'!A600)</f>
        <v/>
      </c>
      <c r="C590" s="1" t="str">
        <f>IF('Extraction edi'!B600="","",'Extraction edi'!B600)</f>
        <v/>
      </c>
      <c r="D590" s="1" t="str">
        <f>IF('Extraction edi'!H600="","",'Extraction edi'!H600)</f>
        <v/>
      </c>
      <c r="E590" s="1" t="str">
        <f>IF('Extraction edi'!I600="","",'Extraction edi'!I600)</f>
        <v/>
      </c>
      <c r="F590" t="str">
        <f>IF('Extraction edi'!K600="","",'Extraction edi'!K600)</f>
        <v/>
      </c>
      <c r="G590" t="str">
        <f>IF('Extraction edi'!L593="","",'Extraction edi'!L593)</f>
        <v/>
      </c>
      <c r="H590" t="str">
        <f>IF('Extraction edi'!M593="","",'Extraction edi'!M593)</f>
        <v/>
      </c>
      <c r="I590" s="1" t="str">
        <f>IF('Extraction edi'!N600="","",'Extraction edi'!N600)</f>
        <v/>
      </c>
      <c r="J590" s="1" t="str">
        <f>IF('Extraction edi'!O600="","",'Extraction edi'!O600)</f>
        <v/>
      </c>
      <c r="K590" s="1" t="str">
        <f>IF('Extraction edi'!P600="","",'Extraction edi'!P600)</f>
        <v/>
      </c>
      <c r="L590" s="1" t="str">
        <f>IF('Extraction edi'!Q600="laquage RAL :","OUI","")</f>
        <v/>
      </c>
      <c r="M590" s="1" t="str">
        <f>IF('Extraction edi'!R600&lt;&gt;"",'Extraction edi'!R600,IF(G590="ALU blanc","S9016",""))</f>
        <v/>
      </c>
      <c r="N590" s="1" t="str">
        <f>IF('Extraction edi'!S600&lt;&gt;"",'Extraction edi'!S600,IF(G590="ALU blanc","S9016",""))</f>
        <v/>
      </c>
      <c r="O590" s="11" t="str">
        <f>IF('Extraction edi'!V600&lt;'Feuille commande'!$E$1,"DELAI NON COMPATIBLE",IF('Extraction edi'!V600="","",WORKDAY('Extraction edi'!V600,-10,Paramètrage!$G$2:$G$104)))</f>
        <v/>
      </c>
      <c r="P590" s="1" t="e">
        <f t="shared" si="9"/>
        <v>#VALUE!</v>
      </c>
    </row>
    <row r="591" spans="1:16" x14ac:dyDescent="0.25">
      <c r="A591" s="1" t="str">
        <f>IF(B591="","",CONCATENATE(B591,".",C591,"/Pos ",D591,"/",'Extraction edi'!G601))</f>
        <v/>
      </c>
      <c r="B591" s="1" t="str">
        <f>IF('Extraction edi'!A601="","",'Extraction edi'!A601)</f>
        <v/>
      </c>
      <c r="C591" s="1" t="str">
        <f>IF('Extraction edi'!B601="","",'Extraction edi'!B601)</f>
        <v/>
      </c>
      <c r="D591" s="1" t="str">
        <f>IF('Extraction edi'!H601="","",'Extraction edi'!H601)</f>
        <v/>
      </c>
      <c r="E591" s="1" t="str">
        <f>IF('Extraction edi'!I601="","",'Extraction edi'!I601)</f>
        <v/>
      </c>
      <c r="F591" t="str">
        <f>IF('Extraction edi'!K601="","",'Extraction edi'!K601)</f>
        <v/>
      </c>
      <c r="G591" t="str">
        <f>IF('Extraction edi'!L594="","",'Extraction edi'!L594)</f>
        <v/>
      </c>
      <c r="H591" t="str">
        <f>IF('Extraction edi'!M594="","",'Extraction edi'!M594)</f>
        <v/>
      </c>
      <c r="I591" s="1" t="str">
        <f>IF('Extraction edi'!N601="","",'Extraction edi'!N601)</f>
        <v/>
      </c>
      <c r="J591" s="1" t="str">
        <f>IF('Extraction edi'!O601="","",'Extraction edi'!O601)</f>
        <v/>
      </c>
      <c r="K591" s="1" t="str">
        <f>IF('Extraction edi'!P601="","",'Extraction edi'!P601)</f>
        <v/>
      </c>
      <c r="L591" s="1" t="str">
        <f>IF('Extraction edi'!Q601="laquage RAL :","OUI","")</f>
        <v/>
      </c>
      <c r="M591" s="1" t="str">
        <f>IF('Extraction edi'!R601&lt;&gt;"",'Extraction edi'!R601,IF(G591="ALU blanc","S9016",""))</f>
        <v/>
      </c>
      <c r="N591" s="1" t="str">
        <f>IF('Extraction edi'!S601&lt;&gt;"",'Extraction edi'!S601,IF(G591="ALU blanc","S9016",""))</f>
        <v/>
      </c>
      <c r="O591" s="11" t="str">
        <f>IF('Extraction edi'!V601&lt;'Feuille commande'!$E$1,"DELAI NON COMPATIBLE",IF('Extraction edi'!V601="","",WORKDAY('Extraction edi'!V601,-10,Paramètrage!$G$2:$G$104)))</f>
        <v/>
      </c>
      <c r="P591" s="1" t="e">
        <f t="shared" si="9"/>
        <v>#VALUE!</v>
      </c>
    </row>
    <row r="592" spans="1:16" x14ac:dyDescent="0.25">
      <c r="A592" s="1" t="str">
        <f>IF(B592="","",CONCATENATE(B592,".",C592,"/Pos ",D592,"/",'Extraction edi'!G602))</f>
        <v/>
      </c>
      <c r="B592" s="1" t="str">
        <f>IF('Extraction edi'!A602="","",'Extraction edi'!A602)</f>
        <v/>
      </c>
      <c r="C592" s="1" t="str">
        <f>IF('Extraction edi'!B602="","",'Extraction edi'!B602)</f>
        <v/>
      </c>
      <c r="D592" s="1" t="str">
        <f>IF('Extraction edi'!H602="","",'Extraction edi'!H602)</f>
        <v/>
      </c>
      <c r="E592" s="1" t="str">
        <f>IF('Extraction edi'!I602="","",'Extraction edi'!I602)</f>
        <v/>
      </c>
      <c r="F592" t="str">
        <f>IF('Extraction edi'!K602="","",'Extraction edi'!K602)</f>
        <v/>
      </c>
      <c r="G592" t="str">
        <f>IF('Extraction edi'!L595="","",'Extraction edi'!L595)</f>
        <v/>
      </c>
      <c r="H592" t="str">
        <f>IF('Extraction edi'!M595="","",'Extraction edi'!M595)</f>
        <v/>
      </c>
      <c r="I592" s="1" t="str">
        <f>IF('Extraction edi'!N602="","",'Extraction edi'!N602)</f>
        <v/>
      </c>
      <c r="J592" s="1" t="str">
        <f>IF('Extraction edi'!O602="","",'Extraction edi'!O602)</f>
        <v/>
      </c>
      <c r="K592" s="1" t="str">
        <f>IF('Extraction edi'!P602="","",'Extraction edi'!P602)</f>
        <v/>
      </c>
      <c r="L592" s="1" t="str">
        <f>IF('Extraction edi'!Q602="laquage RAL :","OUI","")</f>
        <v/>
      </c>
      <c r="M592" s="1" t="str">
        <f>IF('Extraction edi'!R602&lt;&gt;"",'Extraction edi'!R602,IF(G592="ALU blanc","S9016",""))</f>
        <v/>
      </c>
      <c r="N592" s="1" t="str">
        <f>IF('Extraction edi'!S602&lt;&gt;"",'Extraction edi'!S602,IF(G592="ALU blanc","S9016",""))</f>
        <v/>
      </c>
      <c r="O592" s="11" t="str">
        <f>IF('Extraction edi'!V602&lt;'Feuille commande'!$E$1,"DELAI NON COMPATIBLE",IF('Extraction edi'!V602="","",WORKDAY('Extraction edi'!V602,-10,Paramètrage!$G$2:$G$104)))</f>
        <v/>
      </c>
      <c r="P592" s="1" t="e">
        <f t="shared" si="9"/>
        <v>#VALUE!</v>
      </c>
    </row>
    <row r="593" spans="1:16" x14ac:dyDescent="0.25">
      <c r="A593" s="1" t="str">
        <f>IF(B593="","",CONCATENATE(B593,".",C593,"/Pos ",D593,"/",'Extraction edi'!G603))</f>
        <v/>
      </c>
      <c r="B593" s="1" t="str">
        <f>IF('Extraction edi'!A603="","",'Extraction edi'!A603)</f>
        <v/>
      </c>
      <c r="C593" s="1" t="str">
        <f>IF('Extraction edi'!B603="","",'Extraction edi'!B603)</f>
        <v/>
      </c>
      <c r="D593" s="1" t="str">
        <f>IF('Extraction edi'!H603="","",'Extraction edi'!H603)</f>
        <v/>
      </c>
      <c r="E593" s="1" t="str">
        <f>IF('Extraction edi'!I603="","",'Extraction edi'!I603)</f>
        <v/>
      </c>
      <c r="F593" t="str">
        <f>IF('Extraction edi'!K603="","",'Extraction edi'!K603)</f>
        <v/>
      </c>
      <c r="G593" t="str">
        <f>IF('Extraction edi'!L596="","",'Extraction edi'!L596)</f>
        <v/>
      </c>
      <c r="H593" t="str">
        <f>IF('Extraction edi'!M596="","",'Extraction edi'!M596)</f>
        <v/>
      </c>
      <c r="I593" s="1" t="str">
        <f>IF('Extraction edi'!N603="","",'Extraction edi'!N603)</f>
        <v/>
      </c>
      <c r="J593" s="1" t="str">
        <f>IF('Extraction edi'!O603="","",'Extraction edi'!O603)</f>
        <v/>
      </c>
      <c r="K593" s="1" t="str">
        <f>IF('Extraction edi'!P603="","",'Extraction edi'!P603)</f>
        <v/>
      </c>
      <c r="L593" s="1" t="str">
        <f>IF('Extraction edi'!Q603="laquage RAL :","OUI","")</f>
        <v/>
      </c>
      <c r="M593" s="1" t="str">
        <f>IF('Extraction edi'!R603&lt;&gt;"",'Extraction edi'!R603,IF(G593="ALU blanc","S9016",""))</f>
        <v/>
      </c>
      <c r="N593" s="1" t="str">
        <f>IF('Extraction edi'!S603&lt;&gt;"",'Extraction edi'!S603,IF(G593="ALU blanc","S9016",""))</f>
        <v/>
      </c>
      <c r="O593" s="11" t="str">
        <f>IF('Extraction edi'!V603&lt;'Feuille commande'!$E$1,"DELAI NON COMPATIBLE",IF('Extraction edi'!V603="","",WORKDAY('Extraction edi'!V603,-10,Paramètrage!$G$2:$G$104)))</f>
        <v/>
      </c>
      <c r="P593" s="1" t="e">
        <f t="shared" si="9"/>
        <v>#VALUE!</v>
      </c>
    </row>
    <row r="594" spans="1:16" x14ac:dyDescent="0.25">
      <c r="A594" s="1" t="str">
        <f>IF(B594="","",CONCATENATE(B594,".",C594,"/Pos ",D594,"/",'Extraction edi'!G604))</f>
        <v/>
      </c>
      <c r="B594" s="1" t="str">
        <f>IF('Extraction edi'!A604="","",'Extraction edi'!A604)</f>
        <v/>
      </c>
      <c r="C594" s="1" t="str">
        <f>IF('Extraction edi'!B604="","",'Extraction edi'!B604)</f>
        <v/>
      </c>
      <c r="D594" s="1" t="str">
        <f>IF('Extraction edi'!H604="","",'Extraction edi'!H604)</f>
        <v/>
      </c>
      <c r="E594" s="1" t="str">
        <f>IF('Extraction edi'!I604="","",'Extraction edi'!I604)</f>
        <v/>
      </c>
      <c r="F594" t="str">
        <f>IF('Extraction edi'!K604="","",'Extraction edi'!K604)</f>
        <v/>
      </c>
      <c r="G594" t="str">
        <f>IF('Extraction edi'!L597="","",'Extraction edi'!L597)</f>
        <v/>
      </c>
      <c r="H594" t="str">
        <f>IF('Extraction edi'!M597="","",'Extraction edi'!M597)</f>
        <v/>
      </c>
      <c r="I594" s="1" t="str">
        <f>IF('Extraction edi'!N604="","",'Extraction edi'!N604)</f>
        <v/>
      </c>
      <c r="J594" s="1" t="str">
        <f>IF('Extraction edi'!O604="","",'Extraction edi'!O604)</f>
        <v/>
      </c>
      <c r="K594" s="1" t="str">
        <f>IF('Extraction edi'!P604="","",'Extraction edi'!P604)</f>
        <v/>
      </c>
      <c r="L594" s="1" t="str">
        <f>IF('Extraction edi'!Q604="laquage RAL :","OUI","")</f>
        <v/>
      </c>
      <c r="M594" s="1" t="str">
        <f>IF('Extraction edi'!R604&lt;&gt;"",'Extraction edi'!R604,IF(G594="ALU blanc","S9016",""))</f>
        <v/>
      </c>
      <c r="N594" s="1" t="str">
        <f>IF('Extraction edi'!S604&lt;&gt;"",'Extraction edi'!S604,IF(G594="ALU blanc","S9016",""))</f>
        <v/>
      </c>
      <c r="O594" s="11" t="str">
        <f>IF('Extraction edi'!V604&lt;'Feuille commande'!$E$1,"DELAI NON COMPATIBLE",IF('Extraction edi'!V604="","",WORKDAY('Extraction edi'!V604,-10,Paramètrage!$G$2:$G$104)))</f>
        <v/>
      </c>
      <c r="P594" s="1" t="e">
        <f t="shared" si="9"/>
        <v>#VALUE!</v>
      </c>
    </row>
    <row r="595" spans="1:16" x14ac:dyDescent="0.25">
      <c r="A595" s="1" t="str">
        <f>IF(B595="","",CONCATENATE(B595,".",C595,"/Pos ",D595,"/",'Extraction edi'!G605))</f>
        <v/>
      </c>
      <c r="B595" s="1" t="str">
        <f>IF('Extraction edi'!A605="","",'Extraction edi'!A605)</f>
        <v/>
      </c>
      <c r="C595" s="1" t="str">
        <f>IF('Extraction edi'!B605="","",'Extraction edi'!B605)</f>
        <v/>
      </c>
      <c r="D595" s="1" t="str">
        <f>IF('Extraction edi'!H605="","",'Extraction edi'!H605)</f>
        <v/>
      </c>
      <c r="E595" s="1" t="str">
        <f>IF('Extraction edi'!I605="","",'Extraction edi'!I605)</f>
        <v/>
      </c>
      <c r="F595" t="str">
        <f>IF('Extraction edi'!K605="","",'Extraction edi'!K605)</f>
        <v/>
      </c>
      <c r="G595" t="str">
        <f>IF('Extraction edi'!L598="","",'Extraction edi'!L598)</f>
        <v/>
      </c>
      <c r="H595" t="str">
        <f>IF('Extraction edi'!M598="","",'Extraction edi'!M598)</f>
        <v/>
      </c>
      <c r="I595" s="1" t="str">
        <f>IF('Extraction edi'!N605="","",'Extraction edi'!N605)</f>
        <v/>
      </c>
      <c r="J595" s="1" t="str">
        <f>IF('Extraction edi'!O605="","",'Extraction edi'!O605)</f>
        <v/>
      </c>
      <c r="K595" s="1" t="str">
        <f>IF('Extraction edi'!P605="","",'Extraction edi'!P605)</f>
        <v/>
      </c>
      <c r="L595" s="1" t="str">
        <f>IF('Extraction edi'!Q605="laquage RAL :","OUI","")</f>
        <v/>
      </c>
      <c r="M595" s="1" t="str">
        <f>IF('Extraction edi'!R605&lt;&gt;"",'Extraction edi'!R605,IF(G595="ALU blanc","S9016",""))</f>
        <v/>
      </c>
      <c r="N595" s="1" t="str">
        <f>IF('Extraction edi'!S605&lt;&gt;"",'Extraction edi'!S605,IF(G595="ALU blanc","S9016",""))</f>
        <v/>
      </c>
      <c r="O595" s="11" t="str">
        <f>IF('Extraction edi'!V605&lt;'Feuille commande'!$E$1,"DELAI NON COMPATIBLE",IF('Extraction edi'!V605="","",WORKDAY('Extraction edi'!V605,-10,Paramètrage!$G$2:$G$104)))</f>
        <v/>
      </c>
      <c r="P595" s="1" t="e">
        <f t="shared" si="9"/>
        <v>#VALUE!</v>
      </c>
    </row>
    <row r="596" spans="1:16" x14ac:dyDescent="0.25">
      <c r="A596" s="1" t="str">
        <f>IF(B596="","",CONCATENATE(B596,".",C596,"/Pos ",D596,"/",'Extraction edi'!G606))</f>
        <v/>
      </c>
      <c r="B596" s="1" t="str">
        <f>IF('Extraction edi'!A606="","",'Extraction edi'!A606)</f>
        <v/>
      </c>
      <c r="C596" s="1" t="str">
        <f>IF('Extraction edi'!B606="","",'Extraction edi'!B606)</f>
        <v/>
      </c>
      <c r="D596" s="1" t="str">
        <f>IF('Extraction edi'!H606="","",'Extraction edi'!H606)</f>
        <v/>
      </c>
      <c r="E596" s="1" t="str">
        <f>IF('Extraction edi'!I606="","",'Extraction edi'!I606)</f>
        <v/>
      </c>
      <c r="F596" t="str">
        <f>IF('Extraction edi'!K606="","",'Extraction edi'!K606)</f>
        <v/>
      </c>
      <c r="G596" t="str">
        <f>IF('Extraction edi'!L599="","",'Extraction edi'!L599)</f>
        <v/>
      </c>
      <c r="H596" t="str">
        <f>IF('Extraction edi'!M599="","",'Extraction edi'!M599)</f>
        <v/>
      </c>
      <c r="I596" s="1" t="str">
        <f>IF('Extraction edi'!N606="","",'Extraction edi'!N606)</f>
        <v/>
      </c>
      <c r="J596" s="1" t="str">
        <f>IF('Extraction edi'!O606="","",'Extraction edi'!O606)</f>
        <v/>
      </c>
      <c r="K596" s="1" t="str">
        <f>IF('Extraction edi'!P606="","",'Extraction edi'!P606)</f>
        <v/>
      </c>
      <c r="L596" s="1" t="str">
        <f>IF('Extraction edi'!Q606="laquage RAL :","OUI","")</f>
        <v/>
      </c>
      <c r="M596" s="1" t="str">
        <f>IF('Extraction edi'!R606&lt;&gt;"",'Extraction edi'!R606,IF(G596="ALU blanc","S9016",""))</f>
        <v/>
      </c>
      <c r="N596" s="1" t="str">
        <f>IF('Extraction edi'!S606&lt;&gt;"",'Extraction edi'!S606,IF(G596="ALU blanc","S9016",""))</f>
        <v/>
      </c>
      <c r="O596" s="11" t="str">
        <f>IF('Extraction edi'!V606&lt;'Feuille commande'!$E$1,"DELAI NON COMPATIBLE",IF('Extraction edi'!V606="","",WORKDAY('Extraction edi'!V606,-10,Paramètrage!$G$2:$G$104)))</f>
        <v/>
      </c>
      <c r="P596" s="1" t="e">
        <f t="shared" si="9"/>
        <v>#VALUE!</v>
      </c>
    </row>
    <row r="597" spans="1:16" x14ac:dyDescent="0.25">
      <c r="A597" s="1" t="str">
        <f>IF(B597="","",CONCATENATE(B597,".",C597,"/Pos ",D597,"/",'Extraction edi'!G607))</f>
        <v/>
      </c>
      <c r="B597" s="1" t="str">
        <f>IF('Extraction edi'!A607="","",'Extraction edi'!A607)</f>
        <v/>
      </c>
      <c r="C597" s="1" t="str">
        <f>IF('Extraction edi'!B607="","",'Extraction edi'!B607)</f>
        <v/>
      </c>
      <c r="D597" s="1" t="str">
        <f>IF('Extraction edi'!H607="","",'Extraction edi'!H607)</f>
        <v/>
      </c>
      <c r="E597" s="1" t="str">
        <f>IF('Extraction edi'!I607="","",'Extraction edi'!I607)</f>
        <v/>
      </c>
      <c r="F597" t="str">
        <f>IF('Extraction edi'!K607="","",'Extraction edi'!K607)</f>
        <v/>
      </c>
      <c r="G597" t="str">
        <f>IF('Extraction edi'!L600="","",'Extraction edi'!L600)</f>
        <v/>
      </c>
      <c r="H597" t="str">
        <f>IF('Extraction edi'!M600="","",'Extraction edi'!M600)</f>
        <v/>
      </c>
      <c r="I597" s="1" t="str">
        <f>IF('Extraction edi'!N607="","",'Extraction edi'!N607)</f>
        <v/>
      </c>
      <c r="J597" s="1" t="str">
        <f>IF('Extraction edi'!O607="","",'Extraction edi'!O607)</f>
        <v/>
      </c>
      <c r="K597" s="1" t="str">
        <f>IF('Extraction edi'!P607="","",'Extraction edi'!P607)</f>
        <v/>
      </c>
      <c r="L597" s="1" t="str">
        <f>IF('Extraction edi'!Q607="laquage RAL :","OUI","")</f>
        <v/>
      </c>
      <c r="M597" s="1" t="str">
        <f>IF('Extraction edi'!R607&lt;&gt;"",'Extraction edi'!R607,IF(G597="ALU blanc","S9016",""))</f>
        <v/>
      </c>
      <c r="N597" s="1" t="str">
        <f>IF('Extraction edi'!S607&lt;&gt;"",'Extraction edi'!S607,IF(G597="ALU blanc","S9016",""))</f>
        <v/>
      </c>
      <c r="O597" s="11" t="str">
        <f>IF('Extraction edi'!V607&lt;'Feuille commande'!$E$1,"DELAI NON COMPATIBLE",IF('Extraction edi'!V607="","",WORKDAY('Extraction edi'!V607,-10,Paramètrage!$G$2:$G$104)))</f>
        <v/>
      </c>
      <c r="P597" s="1" t="e">
        <f t="shared" si="9"/>
        <v>#VALUE!</v>
      </c>
    </row>
    <row r="598" spans="1:16" x14ac:dyDescent="0.25">
      <c r="A598" s="1" t="str">
        <f>IF(B598="","",CONCATENATE(B598,".",C598,"/Pos ",D598,"/",'Extraction edi'!G608))</f>
        <v/>
      </c>
      <c r="B598" s="1" t="str">
        <f>IF('Extraction edi'!A608="","",'Extraction edi'!A608)</f>
        <v/>
      </c>
      <c r="C598" s="1" t="str">
        <f>IF('Extraction edi'!B608="","",'Extraction edi'!B608)</f>
        <v/>
      </c>
      <c r="D598" s="1" t="str">
        <f>IF('Extraction edi'!H608="","",'Extraction edi'!H608)</f>
        <v/>
      </c>
      <c r="E598" s="1" t="str">
        <f>IF('Extraction edi'!I608="","",'Extraction edi'!I608)</f>
        <v/>
      </c>
      <c r="F598" t="str">
        <f>IF('Extraction edi'!K608="","",'Extraction edi'!K608)</f>
        <v/>
      </c>
      <c r="G598" t="str">
        <f>IF('Extraction edi'!L601="","",'Extraction edi'!L601)</f>
        <v/>
      </c>
      <c r="H598" t="str">
        <f>IF('Extraction edi'!M601="","",'Extraction edi'!M601)</f>
        <v/>
      </c>
      <c r="I598" s="1" t="str">
        <f>IF('Extraction edi'!N608="","",'Extraction edi'!N608)</f>
        <v/>
      </c>
      <c r="J598" s="1" t="str">
        <f>IF('Extraction edi'!O608="","",'Extraction edi'!O608)</f>
        <v/>
      </c>
      <c r="K598" s="1" t="str">
        <f>IF('Extraction edi'!P608="","",'Extraction edi'!P608)</f>
        <v/>
      </c>
      <c r="L598" s="1" t="str">
        <f>IF('Extraction edi'!Q608="laquage RAL :","OUI","")</f>
        <v/>
      </c>
      <c r="M598" s="1" t="str">
        <f>IF('Extraction edi'!R608&lt;&gt;"",'Extraction edi'!R608,IF(G598="ALU blanc","S9016",""))</f>
        <v/>
      </c>
      <c r="N598" s="1" t="str">
        <f>IF('Extraction edi'!S608&lt;&gt;"",'Extraction edi'!S608,IF(G598="ALU blanc","S9016",""))</f>
        <v/>
      </c>
      <c r="O598" s="11" t="str">
        <f>IF('Extraction edi'!V608&lt;'Feuille commande'!$E$1,"DELAI NON COMPATIBLE",IF('Extraction edi'!V608="","",WORKDAY('Extraction edi'!V608,-10,Paramètrage!$G$2:$G$104)))</f>
        <v/>
      </c>
      <c r="P598" s="1" t="e">
        <f t="shared" si="9"/>
        <v>#VALUE!</v>
      </c>
    </row>
    <row r="599" spans="1:16" x14ac:dyDescent="0.25">
      <c r="A599" s="1" t="str">
        <f>IF(B599="","",CONCATENATE(B599,".",C599,"/Pos ",D599,"/",'Extraction edi'!G609))</f>
        <v/>
      </c>
      <c r="B599" s="1" t="str">
        <f>IF('Extraction edi'!A609="","",'Extraction edi'!A609)</f>
        <v/>
      </c>
      <c r="C599" s="1" t="str">
        <f>IF('Extraction edi'!B609="","",'Extraction edi'!B609)</f>
        <v/>
      </c>
      <c r="D599" s="1" t="str">
        <f>IF('Extraction edi'!H609="","",'Extraction edi'!H609)</f>
        <v/>
      </c>
      <c r="E599" s="1" t="str">
        <f>IF('Extraction edi'!I609="","",'Extraction edi'!I609)</f>
        <v/>
      </c>
      <c r="F599" t="str">
        <f>IF('Extraction edi'!K609="","",'Extraction edi'!K609)</f>
        <v/>
      </c>
      <c r="G599" t="str">
        <f>IF('Extraction edi'!L602="","",'Extraction edi'!L602)</f>
        <v/>
      </c>
      <c r="H599" t="str">
        <f>IF('Extraction edi'!M602="","",'Extraction edi'!M602)</f>
        <v/>
      </c>
      <c r="I599" s="1" t="str">
        <f>IF('Extraction edi'!N609="","",'Extraction edi'!N609)</f>
        <v/>
      </c>
      <c r="J599" s="1" t="str">
        <f>IF('Extraction edi'!O609="","",'Extraction edi'!O609)</f>
        <v/>
      </c>
      <c r="K599" s="1" t="str">
        <f>IF('Extraction edi'!P609="","",'Extraction edi'!P609)</f>
        <v/>
      </c>
      <c r="L599" s="1" t="str">
        <f>IF('Extraction edi'!Q609="laquage RAL :","OUI","")</f>
        <v/>
      </c>
      <c r="M599" s="1" t="str">
        <f>IF('Extraction edi'!R609&lt;&gt;"",'Extraction edi'!R609,IF(G599="ALU blanc","S9016",""))</f>
        <v/>
      </c>
      <c r="N599" s="1" t="str">
        <f>IF('Extraction edi'!S609&lt;&gt;"",'Extraction edi'!S609,IF(G599="ALU blanc","S9016",""))</f>
        <v/>
      </c>
      <c r="O599" s="11" t="str">
        <f>IF('Extraction edi'!V609&lt;'Feuille commande'!$E$1,"DELAI NON COMPATIBLE",IF('Extraction edi'!V609="","",WORKDAY('Extraction edi'!V609,-10,Paramètrage!$G$2:$G$104)))</f>
        <v/>
      </c>
      <c r="P599" s="1" t="e">
        <f t="shared" si="9"/>
        <v>#VALUE!</v>
      </c>
    </row>
    <row r="600" spans="1:16" x14ac:dyDescent="0.25">
      <c r="A600" s="1" t="str">
        <f>IF(B600="","",CONCATENATE(B600,".",C600,"/Pos ",D600,"/",'Extraction edi'!G610))</f>
        <v/>
      </c>
      <c r="B600" s="1" t="str">
        <f>IF('Extraction edi'!A610="","",'Extraction edi'!A610)</f>
        <v/>
      </c>
      <c r="C600" s="1" t="str">
        <f>IF('Extraction edi'!B610="","",'Extraction edi'!B610)</f>
        <v/>
      </c>
      <c r="D600" s="1" t="str">
        <f>IF('Extraction edi'!H610="","",'Extraction edi'!H610)</f>
        <v/>
      </c>
      <c r="E600" s="1" t="str">
        <f>IF('Extraction edi'!I610="","",'Extraction edi'!I610)</f>
        <v/>
      </c>
      <c r="F600" t="str">
        <f>IF('Extraction edi'!K610="","",'Extraction edi'!K610)</f>
        <v/>
      </c>
      <c r="G600" t="str">
        <f>IF('Extraction edi'!L603="","",'Extraction edi'!L603)</f>
        <v/>
      </c>
      <c r="H600" t="str">
        <f>IF('Extraction edi'!M603="","",'Extraction edi'!M603)</f>
        <v/>
      </c>
      <c r="I600" s="1" t="str">
        <f>IF('Extraction edi'!N610="","",'Extraction edi'!N610)</f>
        <v/>
      </c>
      <c r="J600" s="1" t="str">
        <f>IF('Extraction edi'!O610="","",'Extraction edi'!O610)</f>
        <v/>
      </c>
      <c r="K600" s="1" t="str">
        <f>IF('Extraction edi'!P610="","",'Extraction edi'!P610)</f>
        <v/>
      </c>
      <c r="L600" s="1" t="str">
        <f>IF('Extraction edi'!Q610="laquage RAL :","OUI","")</f>
        <v/>
      </c>
      <c r="M600" s="1" t="str">
        <f>IF('Extraction edi'!R610&lt;&gt;"",'Extraction edi'!R610,IF(G600="ALU blanc","S9016",""))</f>
        <v/>
      </c>
      <c r="N600" s="1" t="str">
        <f>IF('Extraction edi'!S610&lt;&gt;"",'Extraction edi'!S610,IF(G600="ALU blanc","S9016",""))</f>
        <v/>
      </c>
      <c r="O600" s="11" t="str">
        <f>IF('Extraction edi'!V610&lt;'Feuille commande'!$E$1,"DELAI NON COMPATIBLE",IF('Extraction edi'!V610="","",WORKDAY('Extraction edi'!V610,-10,Paramètrage!$G$2:$G$104)))</f>
        <v/>
      </c>
      <c r="P600" s="1" t="e">
        <f t="shared" si="9"/>
        <v>#VALUE!</v>
      </c>
    </row>
    <row r="601" spans="1:16" x14ac:dyDescent="0.25">
      <c r="A601" s="1" t="str">
        <f>IF(B601="","",CONCATENATE(B601,".",C601,"/Pos ",D601,"/",'Extraction edi'!G611))</f>
        <v/>
      </c>
      <c r="B601" s="1" t="str">
        <f>IF('Extraction edi'!A611="","",'Extraction edi'!A611)</f>
        <v/>
      </c>
      <c r="C601" s="1" t="str">
        <f>IF('Extraction edi'!B611="","",'Extraction edi'!B611)</f>
        <v/>
      </c>
      <c r="D601" s="1" t="str">
        <f>IF('Extraction edi'!H611="","",'Extraction edi'!H611)</f>
        <v/>
      </c>
      <c r="E601" s="1" t="str">
        <f>IF('Extraction edi'!I611="","",'Extraction edi'!I611)</f>
        <v/>
      </c>
      <c r="F601" t="str">
        <f>IF('Extraction edi'!K611="","",'Extraction edi'!K611)</f>
        <v/>
      </c>
      <c r="G601" t="str">
        <f>IF('Extraction edi'!L604="","",'Extraction edi'!L604)</f>
        <v/>
      </c>
      <c r="H601" t="str">
        <f>IF('Extraction edi'!M604="","",'Extraction edi'!M604)</f>
        <v/>
      </c>
      <c r="I601" s="1" t="str">
        <f>IF('Extraction edi'!N611="","",'Extraction edi'!N611)</f>
        <v/>
      </c>
      <c r="J601" s="1" t="str">
        <f>IF('Extraction edi'!O611="","",'Extraction edi'!O611)</f>
        <v/>
      </c>
      <c r="K601" s="1" t="str">
        <f>IF('Extraction edi'!P611="","",'Extraction edi'!P611)</f>
        <v/>
      </c>
      <c r="L601" s="1" t="str">
        <f>IF('Extraction edi'!Q611="laquage RAL :","OUI","")</f>
        <v/>
      </c>
      <c r="M601" s="1" t="str">
        <f>IF('Extraction edi'!R611&lt;&gt;"",'Extraction edi'!R611,IF(G601="ALU blanc","S9016",""))</f>
        <v/>
      </c>
      <c r="N601" s="1" t="str">
        <f>IF('Extraction edi'!S611&lt;&gt;"",'Extraction edi'!S611,IF(G601="ALU blanc","S9016",""))</f>
        <v/>
      </c>
      <c r="O601" s="11" t="str">
        <f>IF('Extraction edi'!V611&lt;'Feuille commande'!$E$1,"DELAI NON COMPATIBLE",IF('Extraction edi'!V611="","",WORKDAY('Extraction edi'!V611,-10,Paramètrage!$G$2:$G$104)))</f>
        <v/>
      </c>
      <c r="P601" s="1" t="e">
        <f t="shared" si="9"/>
        <v>#VALUE!</v>
      </c>
    </row>
    <row r="602" spans="1:16" x14ac:dyDescent="0.25">
      <c r="A602" s="1" t="str">
        <f>IF(B602="","",CONCATENATE(B602,".",C602,"/Pos ",D602,"/",'Extraction edi'!G612))</f>
        <v/>
      </c>
      <c r="B602" s="1" t="str">
        <f>IF('Extraction edi'!A612="","",'Extraction edi'!A612)</f>
        <v/>
      </c>
      <c r="C602" s="1" t="str">
        <f>IF('Extraction edi'!B612="","",'Extraction edi'!B612)</f>
        <v/>
      </c>
      <c r="D602" s="1" t="str">
        <f>IF('Extraction edi'!H612="","",'Extraction edi'!H612)</f>
        <v/>
      </c>
      <c r="E602" s="1" t="str">
        <f>IF('Extraction edi'!I612="","",'Extraction edi'!I612)</f>
        <v/>
      </c>
      <c r="F602" t="str">
        <f>IF('Extraction edi'!K612="","",'Extraction edi'!K612)</f>
        <v/>
      </c>
      <c r="G602" t="str">
        <f>IF('Extraction edi'!L605="","",'Extraction edi'!L605)</f>
        <v/>
      </c>
      <c r="H602" t="str">
        <f>IF('Extraction edi'!M605="","",'Extraction edi'!M605)</f>
        <v/>
      </c>
      <c r="I602" s="1" t="str">
        <f>IF('Extraction edi'!N612="","",'Extraction edi'!N612)</f>
        <v/>
      </c>
      <c r="J602" s="1" t="str">
        <f>IF('Extraction edi'!O612="","",'Extraction edi'!O612)</f>
        <v/>
      </c>
      <c r="K602" s="1" t="str">
        <f>IF('Extraction edi'!P612="","",'Extraction edi'!P612)</f>
        <v/>
      </c>
      <c r="L602" s="1" t="str">
        <f>IF('Extraction edi'!Q612="laquage RAL :","OUI","")</f>
        <v/>
      </c>
      <c r="M602" s="1" t="str">
        <f>IF('Extraction edi'!R612&lt;&gt;"",'Extraction edi'!R612,IF(G602="ALU blanc","S9016",""))</f>
        <v/>
      </c>
      <c r="N602" s="1" t="str">
        <f>IF('Extraction edi'!S612&lt;&gt;"",'Extraction edi'!S612,IF(G602="ALU blanc","S9016",""))</f>
        <v/>
      </c>
      <c r="O602" s="11" t="str">
        <f>IF('Extraction edi'!V612&lt;'Feuille commande'!$E$1,"DELAI NON COMPATIBLE",IF('Extraction edi'!V612="","",WORKDAY('Extraction edi'!V612,-10,Paramètrage!$G$2:$G$104)))</f>
        <v/>
      </c>
      <c r="P602" s="1" t="e">
        <f t="shared" si="9"/>
        <v>#VALUE!</v>
      </c>
    </row>
    <row r="603" spans="1:16" x14ac:dyDescent="0.25">
      <c r="A603" s="1" t="str">
        <f>IF(B603="","",CONCATENATE(B603,".",C603,"/Pos ",D603,"/",'Extraction edi'!G613))</f>
        <v/>
      </c>
      <c r="B603" s="1" t="str">
        <f>IF('Extraction edi'!A613="","",'Extraction edi'!A613)</f>
        <v/>
      </c>
      <c r="C603" s="1" t="str">
        <f>IF('Extraction edi'!B613="","",'Extraction edi'!B613)</f>
        <v/>
      </c>
      <c r="D603" s="1" t="str">
        <f>IF('Extraction edi'!H613="","",'Extraction edi'!H613)</f>
        <v/>
      </c>
      <c r="E603" s="1" t="str">
        <f>IF('Extraction edi'!I613="","",'Extraction edi'!I613)</f>
        <v/>
      </c>
      <c r="F603" t="str">
        <f>IF('Extraction edi'!K613="","",'Extraction edi'!K613)</f>
        <v/>
      </c>
      <c r="G603" t="str">
        <f>IF('Extraction edi'!L606="","",'Extraction edi'!L606)</f>
        <v/>
      </c>
      <c r="H603" t="str">
        <f>IF('Extraction edi'!M606="","",'Extraction edi'!M606)</f>
        <v/>
      </c>
      <c r="I603" s="1" t="str">
        <f>IF('Extraction edi'!N613="","",'Extraction edi'!N613)</f>
        <v/>
      </c>
      <c r="J603" s="1" t="str">
        <f>IF('Extraction edi'!O613="","",'Extraction edi'!O613)</f>
        <v/>
      </c>
      <c r="K603" s="1" t="str">
        <f>IF('Extraction edi'!P613="","",'Extraction edi'!P613)</f>
        <v/>
      </c>
      <c r="L603" s="1" t="str">
        <f>IF('Extraction edi'!Q613="laquage RAL :","OUI","")</f>
        <v/>
      </c>
      <c r="M603" s="1" t="str">
        <f>IF('Extraction edi'!R613&lt;&gt;"",'Extraction edi'!R613,IF(G603="ALU blanc","S9016",""))</f>
        <v/>
      </c>
      <c r="N603" s="1" t="str">
        <f>IF('Extraction edi'!S613&lt;&gt;"",'Extraction edi'!S613,IF(G603="ALU blanc","S9016",""))</f>
        <v/>
      </c>
      <c r="O603" s="11" t="str">
        <f>IF('Extraction edi'!V613&lt;'Feuille commande'!$E$1,"DELAI NON COMPATIBLE",IF('Extraction edi'!V613="","",WORKDAY('Extraction edi'!V613,-10,Paramètrage!$G$2:$G$104)))</f>
        <v/>
      </c>
      <c r="P603" s="1" t="e">
        <f t="shared" si="9"/>
        <v>#VALUE!</v>
      </c>
    </row>
    <row r="604" spans="1:16" x14ac:dyDescent="0.25">
      <c r="A604" s="1" t="str">
        <f>IF(B604="","",CONCATENATE(B604,".",C604,"/Pos ",D604,"/",'Extraction edi'!G614))</f>
        <v/>
      </c>
      <c r="B604" s="1" t="str">
        <f>IF('Extraction edi'!A614="","",'Extraction edi'!A614)</f>
        <v/>
      </c>
      <c r="C604" s="1" t="str">
        <f>IF('Extraction edi'!B614="","",'Extraction edi'!B614)</f>
        <v/>
      </c>
      <c r="D604" s="1" t="str">
        <f>IF('Extraction edi'!H614="","",'Extraction edi'!H614)</f>
        <v/>
      </c>
      <c r="E604" s="1" t="str">
        <f>IF('Extraction edi'!I614="","",'Extraction edi'!I614)</f>
        <v/>
      </c>
      <c r="F604" t="str">
        <f>IF('Extraction edi'!K614="","",'Extraction edi'!K614)</f>
        <v/>
      </c>
      <c r="G604" t="str">
        <f>IF('Extraction edi'!L607="","",'Extraction edi'!L607)</f>
        <v/>
      </c>
      <c r="H604" t="str">
        <f>IF('Extraction edi'!M607="","",'Extraction edi'!M607)</f>
        <v/>
      </c>
      <c r="I604" s="1" t="str">
        <f>IF('Extraction edi'!N614="","",'Extraction edi'!N614)</f>
        <v/>
      </c>
      <c r="J604" s="1" t="str">
        <f>IF('Extraction edi'!O614="","",'Extraction edi'!O614)</f>
        <v/>
      </c>
      <c r="K604" s="1" t="str">
        <f>IF('Extraction edi'!P614="","",'Extraction edi'!P614)</f>
        <v/>
      </c>
      <c r="L604" s="1" t="str">
        <f>IF('Extraction edi'!Q614="laquage RAL :","OUI","")</f>
        <v/>
      </c>
      <c r="M604" s="1" t="str">
        <f>IF('Extraction edi'!R614&lt;&gt;"",'Extraction edi'!R614,IF(G604="ALU blanc","S9016",""))</f>
        <v/>
      </c>
      <c r="N604" s="1" t="str">
        <f>IF('Extraction edi'!S614&lt;&gt;"",'Extraction edi'!S614,IF(G604="ALU blanc","S9016",""))</f>
        <v/>
      </c>
      <c r="O604" s="11" t="str">
        <f>IF('Extraction edi'!V614&lt;'Feuille commande'!$E$1,"DELAI NON COMPATIBLE",IF('Extraction edi'!V614="","",WORKDAY('Extraction edi'!V614,-10,Paramètrage!$G$2:$G$104)))</f>
        <v/>
      </c>
      <c r="P604" s="1" t="e">
        <f t="shared" si="9"/>
        <v>#VALUE!</v>
      </c>
    </row>
    <row r="605" spans="1:16" x14ac:dyDescent="0.25">
      <c r="A605" s="1" t="str">
        <f>IF(B605="","",CONCATENATE(B605,".",C605,"/Pos ",D605,"/",'Extraction edi'!G615))</f>
        <v/>
      </c>
      <c r="B605" s="1" t="str">
        <f>IF('Extraction edi'!A615="","",'Extraction edi'!A615)</f>
        <v/>
      </c>
      <c r="C605" s="1" t="str">
        <f>IF('Extraction edi'!B615="","",'Extraction edi'!B615)</f>
        <v/>
      </c>
      <c r="D605" s="1" t="str">
        <f>IF('Extraction edi'!H615="","",'Extraction edi'!H615)</f>
        <v/>
      </c>
      <c r="E605" s="1" t="str">
        <f>IF('Extraction edi'!I615="","",'Extraction edi'!I615)</f>
        <v/>
      </c>
      <c r="F605" t="str">
        <f>IF('Extraction edi'!K615="","",'Extraction edi'!K615)</f>
        <v/>
      </c>
      <c r="G605" t="str">
        <f>IF('Extraction edi'!L608="","",'Extraction edi'!L608)</f>
        <v/>
      </c>
      <c r="H605" t="str">
        <f>IF('Extraction edi'!M608="","",'Extraction edi'!M608)</f>
        <v/>
      </c>
      <c r="I605" s="1" t="str">
        <f>IF('Extraction edi'!N615="","",'Extraction edi'!N615)</f>
        <v/>
      </c>
      <c r="J605" s="1" t="str">
        <f>IF('Extraction edi'!O615="","",'Extraction edi'!O615)</f>
        <v/>
      </c>
      <c r="K605" s="1" t="str">
        <f>IF('Extraction edi'!P615="","",'Extraction edi'!P615)</f>
        <v/>
      </c>
      <c r="L605" s="1" t="str">
        <f>IF('Extraction edi'!Q615="laquage RAL :","OUI","")</f>
        <v/>
      </c>
      <c r="M605" s="1" t="str">
        <f>IF('Extraction edi'!R615&lt;&gt;"",'Extraction edi'!R615,IF(G605="ALU blanc","S9016",""))</f>
        <v/>
      </c>
      <c r="N605" s="1" t="str">
        <f>IF('Extraction edi'!S615&lt;&gt;"",'Extraction edi'!S615,IF(G605="ALU blanc","S9016",""))</f>
        <v/>
      </c>
      <c r="O605" s="11" t="str">
        <f>IF('Extraction edi'!V615&lt;'Feuille commande'!$E$1,"DELAI NON COMPATIBLE",IF('Extraction edi'!V615="","",WORKDAY('Extraction edi'!V615,-10,Paramètrage!$G$2:$G$104)))</f>
        <v/>
      </c>
      <c r="P605" s="1" t="e">
        <f t="shared" si="9"/>
        <v>#VALUE!</v>
      </c>
    </row>
    <row r="606" spans="1:16" x14ac:dyDescent="0.25">
      <c r="A606" s="1" t="str">
        <f>IF(B606="","",CONCATENATE(B606,".",C606,"/Pos ",D606,"/",'Extraction edi'!G616))</f>
        <v/>
      </c>
      <c r="B606" s="1" t="str">
        <f>IF('Extraction edi'!A616="","",'Extraction edi'!A616)</f>
        <v/>
      </c>
      <c r="C606" s="1" t="str">
        <f>IF('Extraction edi'!B616="","",'Extraction edi'!B616)</f>
        <v/>
      </c>
      <c r="D606" s="1" t="str">
        <f>IF('Extraction edi'!H616="","",'Extraction edi'!H616)</f>
        <v/>
      </c>
      <c r="E606" s="1" t="str">
        <f>IF('Extraction edi'!I616="","",'Extraction edi'!I616)</f>
        <v/>
      </c>
      <c r="F606" t="str">
        <f>IF('Extraction edi'!K616="","",'Extraction edi'!K616)</f>
        <v/>
      </c>
      <c r="G606" t="str">
        <f>IF('Extraction edi'!L609="","",'Extraction edi'!L609)</f>
        <v/>
      </c>
      <c r="H606" t="str">
        <f>IF('Extraction edi'!M609="","",'Extraction edi'!M609)</f>
        <v/>
      </c>
      <c r="I606" s="1" t="str">
        <f>IF('Extraction edi'!N616="","",'Extraction edi'!N616)</f>
        <v/>
      </c>
      <c r="J606" s="1" t="str">
        <f>IF('Extraction edi'!O616="","",'Extraction edi'!O616)</f>
        <v/>
      </c>
      <c r="K606" s="1" t="str">
        <f>IF('Extraction edi'!P616="","",'Extraction edi'!P616)</f>
        <v/>
      </c>
      <c r="L606" s="1" t="str">
        <f>IF('Extraction edi'!Q616="laquage RAL :","OUI","")</f>
        <v/>
      </c>
      <c r="M606" s="1" t="str">
        <f>IF('Extraction edi'!R616&lt;&gt;"",'Extraction edi'!R616,IF(G606="ALU blanc","S9016",""))</f>
        <v/>
      </c>
      <c r="N606" s="1" t="str">
        <f>IF('Extraction edi'!S616&lt;&gt;"",'Extraction edi'!S616,IF(G606="ALU blanc","S9016",""))</f>
        <v/>
      </c>
      <c r="O606" s="11" t="str">
        <f>IF('Extraction edi'!V616&lt;'Feuille commande'!$E$1,"DELAI NON COMPATIBLE",IF('Extraction edi'!V616="","",WORKDAY('Extraction edi'!V616,-10,Paramètrage!$G$2:$G$104)))</f>
        <v/>
      </c>
      <c r="P606" s="1" t="e">
        <f t="shared" si="9"/>
        <v>#VALUE!</v>
      </c>
    </row>
    <row r="607" spans="1:16" x14ac:dyDescent="0.25">
      <c r="A607" s="1" t="str">
        <f>IF(B607="","",CONCATENATE(B607,".",C607,"/Pos ",D607,"/",'Extraction edi'!G617))</f>
        <v/>
      </c>
      <c r="B607" s="1" t="str">
        <f>IF('Extraction edi'!A617="","",'Extraction edi'!A617)</f>
        <v/>
      </c>
      <c r="C607" s="1" t="str">
        <f>IF('Extraction edi'!B617="","",'Extraction edi'!B617)</f>
        <v/>
      </c>
      <c r="D607" s="1" t="str">
        <f>IF('Extraction edi'!H617="","",'Extraction edi'!H617)</f>
        <v/>
      </c>
      <c r="E607" s="1" t="str">
        <f>IF('Extraction edi'!I617="","",'Extraction edi'!I617)</f>
        <v/>
      </c>
      <c r="F607" t="str">
        <f>IF('Extraction edi'!K617="","",'Extraction edi'!K617)</f>
        <v/>
      </c>
      <c r="G607" t="str">
        <f>IF('Extraction edi'!L610="","",'Extraction edi'!L610)</f>
        <v/>
      </c>
      <c r="H607" t="str">
        <f>IF('Extraction edi'!M610="","",'Extraction edi'!M610)</f>
        <v/>
      </c>
      <c r="I607" s="1" t="str">
        <f>IF('Extraction edi'!N617="","",'Extraction edi'!N617)</f>
        <v/>
      </c>
      <c r="J607" s="1" t="str">
        <f>IF('Extraction edi'!O617="","",'Extraction edi'!O617)</f>
        <v/>
      </c>
      <c r="K607" s="1" t="str">
        <f>IF('Extraction edi'!P617="","",'Extraction edi'!P617)</f>
        <v/>
      </c>
      <c r="L607" s="1" t="str">
        <f>IF('Extraction edi'!Q617="laquage RAL :","OUI","")</f>
        <v/>
      </c>
      <c r="M607" s="1" t="str">
        <f>IF('Extraction edi'!R617&lt;&gt;"",'Extraction edi'!R617,IF(G607="ALU blanc","S9016",""))</f>
        <v/>
      </c>
      <c r="N607" s="1" t="str">
        <f>IF('Extraction edi'!S617&lt;&gt;"",'Extraction edi'!S617,IF(G607="ALU blanc","S9016",""))</f>
        <v/>
      </c>
      <c r="O607" s="11" t="str">
        <f>IF('Extraction edi'!V617&lt;'Feuille commande'!$E$1,"DELAI NON COMPATIBLE",IF('Extraction edi'!V617="","",WORKDAY('Extraction edi'!V617,-10,Paramètrage!$G$2:$G$104)))</f>
        <v/>
      </c>
      <c r="P607" s="1" t="e">
        <f t="shared" si="9"/>
        <v>#VALUE!</v>
      </c>
    </row>
    <row r="608" spans="1:16" x14ac:dyDescent="0.25">
      <c r="A608" s="1" t="str">
        <f>IF(B608="","",CONCATENATE(B608,".",C608,"/Pos ",D608,"/",'Extraction edi'!G618))</f>
        <v/>
      </c>
      <c r="B608" s="1" t="str">
        <f>IF('Extraction edi'!A618="","",'Extraction edi'!A618)</f>
        <v/>
      </c>
      <c r="C608" s="1" t="str">
        <f>IF('Extraction edi'!B618="","",'Extraction edi'!B618)</f>
        <v/>
      </c>
      <c r="D608" s="1" t="str">
        <f>IF('Extraction edi'!H618="","",'Extraction edi'!H618)</f>
        <v/>
      </c>
      <c r="E608" s="1" t="str">
        <f>IF('Extraction edi'!I618="","",'Extraction edi'!I618)</f>
        <v/>
      </c>
      <c r="F608" t="str">
        <f>IF('Extraction edi'!K618="","",'Extraction edi'!K618)</f>
        <v/>
      </c>
      <c r="G608" t="str">
        <f>IF('Extraction edi'!L611="","",'Extraction edi'!L611)</f>
        <v/>
      </c>
      <c r="H608" t="str">
        <f>IF('Extraction edi'!M611="","",'Extraction edi'!M611)</f>
        <v/>
      </c>
      <c r="I608" s="1" t="str">
        <f>IF('Extraction edi'!N618="","",'Extraction edi'!N618)</f>
        <v/>
      </c>
      <c r="J608" s="1" t="str">
        <f>IF('Extraction edi'!O618="","",'Extraction edi'!O618)</f>
        <v/>
      </c>
      <c r="K608" s="1" t="str">
        <f>IF('Extraction edi'!P618="","",'Extraction edi'!P618)</f>
        <v/>
      </c>
      <c r="L608" s="1" t="str">
        <f>IF('Extraction edi'!Q618="laquage RAL :","OUI","")</f>
        <v/>
      </c>
      <c r="M608" s="1" t="str">
        <f>IF('Extraction edi'!R618&lt;&gt;"",'Extraction edi'!R618,IF(G608="ALU blanc","S9016",""))</f>
        <v/>
      </c>
      <c r="N608" s="1" t="str">
        <f>IF('Extraction edi'!S618&lt;&gt;"",'Extraction edi'!S618,IF(G608="ALU blanc","S9016",""))</f>
        <v/>
      </c>
      <c r="O608" s="11" t="str">
        <f>IF('Extraction edi'!V618&lt;'Feuille commande'!$E$1,"DELAI NON COMPATIBLE",IF('Extraction edi'!V618="","",WORKDAY('Extraction edi'!V618,-10,Paramètrage!$G$2:$G$104)))</f>
        <v/>
      </c>
      <c r="P608" s="1" t="e">
        <f t="shared" si="9"/>
        <v>#VALUE!</v>
      </c>
    </row>
    <row r="609" spans="1:16" x14ac:dyDescent="0.25">
      <c r="A609" s="1" t="str">
        <f>IF(B609="","",CONCATENATE(B609,".",C609,"/Pos ",D609,"/",'Extraction edi'!G619))</f>
        <v/>
      </c>
      <c r="B609" s="1" t="str">
        <f>IF('Extraction edi'!A619="","",'Extraction edi'!A619)</f>
        <v/>
      </c>
      <c r="C609" s="1" t="str">
        <f>IF('Extraction edi'!B619="","",'Extraction edi'!B619)</f>
        <v/>
      </c>
      <c r="D609" s="1" t="str">
        <f>IF('Extraction edi'!H619="","",'Extraction edi'!H619)</f>
        <v/>
      </c>
      <c r="E609" s="1" t="str">
        <f>IF('Extraction edi'!I619="","",'Extraction edi'!I619)</f>
        <v/>
      </c>
      <c r="F609" t="str">
        <f>IF('Extraction edi'!K619="","",'Extraction edi'!K619)</f>
        <v/>
      </c>
      <c r="G609" t="str">
        <f>IF('Extraction edi'!L612="","",'Extraction edi'!L612)</f>
        <v/>
      </c>
      <c r="H609" t="str">
        <f>IF('Extraction edi'!M612="","",'Extraction edi'!M612)</f>
        <v/>
      </c>
      <c r="I609" s="1" t="str">
        <f>IF('Extraction edi'!N619="","",'Extraction edi'!N619)</f>
        <v/>
      </c>
      <c r="J609" s="1" t="str">
        <f>IF('Extraction edi'!O619="","",'Extraction edi'!O619)</f>
        <v/>
      </c>
      <c r="K609" s="1" t="str">
        <f>IF('Extraction edi'!P619="","",'Extraction edi'!P619)</f>
        <v/>
      </c>
      <c r="L609" s="1" t="str">
        <f>IF('Extraction edi'!Q619="laquage RAL :","OUI","")</f>
        <v/>
      </c>
      <c r="M609" s="1" t="str">
        <f>IF('Extraction edi'!R619&lt;&gt;"",'Extraction edi'!R619,IF(G609="ALU blanc","S9016",""))</f>
        <v/>
      </c>
      <c r="N609" s="1" t="str">
        <f>IF('Extraction edi'!S619&lt;&gt;"",'Extraction edi'!S619,IF(G609="ALU blanc","S9016",""))</f>
        <v/>
      </c>
      <c r="O609" s="11" t="str">
        <f>IF('Extraction edi'!V619&lt;'Feuille commande'!$E$1,"DELAI NON COMPATIBLE",IF('Extraction edi'!V619="","",WORKDAY('Extraction edi'!V619,-10,Paramètrage!$G$2:$G$104)))</f>
        <v/>
      </c>
      <c r="P609" s="1" t="e">
        <f t="shared" si="9"/>
        <v>#VALUE!</v>
      </c>
    </row>
    <row r="610" spans="1:16" x14ac:dyDescent="0.25">
      <c r="A610" s="1" t="str">
        <f>IF(B610="","",CONCATENATE(B610,".",C610,"/Pos ",D610,"/",'Extraction edi'!G620))</f>
        <v/>
      </c>
      <c r="B610" s="1" t="str">
        <f>IF('Extraction edi'!A620="","",'Extraction edi'!A620)</f>
        <v/>
      </c>
      <c r="C610" s="1" t="str">
        <f>IF('Extraction edi'!B620="","",'Extraction edi'!B620)</f>
        <v/>
      </c>
      <c r="D610" s="1" t="str">
        <f>IF('Extraction edi'!H620="","",'Extraction edi'!H620)</f>
        <v/>
      </c>
      <c r="E610" s="1" t="str">
        <f>IF('Extraction edi'!I620="","",'Extraction edi'!I620)</f>
        <v/>
      </c>
      <c r="F610" t="str">
        <f>IF('Extraction edi'!K620="","",'Extraction edi'!K620)</f>
        <v/>
      </c>
      <c r="G610" t="str">
        <f>IF('Extraction edi'!L613="","",'Extraction edi'!L613)</f>
        <v/>
      </c>
      <c r="H610" t="str">
        <f>IF('Extraction edi'!M613="","",'Extraction edi'!M613)</f>
        <v/>
      </c>
      <c r="I610" s="1" t="str">
        <f>IF('Extraction edi'!N620="","",'Extraction edi'!N620)</f>
        <v/>
      </c>
      <c r="J610" s="1" t="str">
        <f>IF('Extraction edi'!O620="","",'Extraction edi'!O620)</f>
        <v/>
      </c>
      <c r="K610" s="1" t="str">
        <f>IF('Extraction edi'!P620="","",'Extraction edi'!P620)</f>
        <v/>
      </c>
      <c r="L610" s="1" t="str">
        <f>IF('Extraction edi'!Q620="laquage RAL :","OUI","")</f>
        <v/>
      </c>
      <c r="M610" s="1" t="str">
        <f>IF('Extraction edi'!R620&lt;&gt;"",'Extraction edi'!R620,IF(G610="ALU blanc","S9016",""))</f>
        <v/>
      </c>
      <c r="N610" s="1" t="str">
        <f>IF('Extraction edi'!S620&lt;&gt;"",'Extraction edi'!S620,IF(G610="ALU blanc","S9016",""))</f>
        <v/>
      </c>
      <c r="O610" s="11" t="str">
        <f>IF('Extraction edi'!V620&lt;'Feuille commande'!$E$1,"DELAI NON COMPATIBLE",IF('Extraction edi'!V620="","",WORKDAY('Extraction edi'!V620,-10,Paramètrage!$G$2:$G$104)))</f>
        <v/>
      </c>
      <c r="P610" s="1" t="e">
        <f t="shared" si="9"/>
        <v>#VALUE!</v>
      </c>
    </row>
    <row r="611" spans="1:16" x14ac:dyDescent="0.25">
      <c r="A611" s="1" t="str">
        <f>IF(B611="","",CONCATENATE(B611,".",C611,"/Pos ",D611,"/",'Extraction edi'!G621))</f>
        <v/>
      </c>
      <c r="B611" s="1" t="str">
        <f>IF('Extraction edi'!A621="","",'Extraction edi'!A621)</f>
        <v/>
      </c>
      <c r="C611" s="1" t="str">
        <f>IF('Extraction edi'!B621="","",'Extraction edi'!B621)</f>
        <v/>
      </c>
      <c r="D611" s="1" t="str">
        <f>IF('Extraction edi'!H621="","",'Extraction edi'!H621)</f>
        <v/>
      </c>
      <c r="E611" s="1" t="str">
        <f>IF('Extraction edi'!I621="","",'Extraction edi'!I621)</f>
        <v/>
      </c>
      <c r="F611" t="str">
        <f>IF('Extraction edi'!K621="","",'Extraction edi'!K621)</f>
        <v/>
      </c>
      <c r="G611" t="str">
        <f>IF('Extraction edi'!L614="","",'Extraction edi'!L614)</f>
        <v/>
      </c>
      <c r="H611" t="str">
        <f>IF('Extraction edi'!M614="","",'Extraction edi'!M614)</f>
        <v/>
      </c>
      <c r="I611" s="1" t="str">
        <f>IF('Extraction edi'!N621="","",'Extraction edi'!N621)</f>
        <v/>
      </c>
      <c r="J611" s="1" t="str">
        <f>IF('Extraction edi'!O621="","",'Extraction edi'!O621)</f>
        <v/>
      </c>
      <c r="K611" s="1" t="str">
        <f>IF('Extraction edi'!P621="","",'Extraction edi'!P621)</f>
        <v/>
      </c>
      <c r="L611" s="1" t="str">
        <f>IF('Extraction edi'!Q621="laquage RAL :","OUI","")</f>
        <v/>
      </c>
      <c r="M611" s="1" t="str">
        <f>IF('Extraction edi'!R621&lt;&gt;"",'Extraction edi'!R621,IF(G611="ALU blanc","S9016",""))</f>
        <v/>
      </c>
      <c r="N611" s="1" t="str">
        <f>IF('Extraction edi'!S621&lt;&gt;"",'Extraction edi'!S621,IF(G611="ALU blanc","S9016",""))</f>
        <v/>
      </c>
      <c r="O611" s="11" t="str">
        <f>IF('Extraction edi'!V621&lt;'Feuille commande'!$E$1,"DELAI NON COMPATIBLE",IF('Extraction edi'!V621="","",WORKDAY('Extraction edi'!V621,-10,Paramètrage!$G$2:$G$104)))</f>
        <v/>
      </c>
      <c r="P611" s="1" t="e">
        <f t="shared" si="9"/>
        <v>#VALUE!</v>
      </c>
    </row>
    <row r="612" spans="1:16" x14ac:dyDescent="0.25">
      <c r="A612" s="1" t="str">
        <f>IF(B612="","",CONCATENATE(B612,".",C612,"/Pos ",D612,"/",'Extraction edi'!G622))</f>
        <v/>
      </c>
      <c r="B612" s="1" t="str">
        <f>IF('Extraction edi'!A622="","",'Extraction edi'!A622)</f>
        <v/>
      </c>
      <c r="C612" s="1" t="str">
        <f>IF('Extraction edi'!B622="","",'Extraction edi'!B622)</f>
        <v/>
      </c>
      <c r="D612" s="1" t="str">
        <f>IF('Extraction edi'!H622="","",'Extraction edi'!H622)</f>
        <v/>
      </c>
      <c r="E612" s="1" t="str">
        <f>IF('Extraction edi'!I622="","",'Extraction edi'!I622)</f>
        <v/>
      </c>
      <c r="F612" t="str">
        <f>IF('Extraction edi'!K622="","",'Extraction edi'!K622)</f>
        <v/>
      </c>
      <c r="G612" t="str">
        <f>IF('Extraction edi'!L615="","",'Extraction edi'!L615)</f>
        <v/>
      </c>
      <c r="H612" t="str">
        <f>IF('Extraction edi'!M615="","",'Extraction edi'!M615)</f>
        <v/>
      </c>
      <c r="I612" s="1" t="str">
        <f>IF('Extraction edi'!N622="","",'Extraction edi'!N622)</f>
        <v/>
      </c>
      <c r="J612" s="1" t="str">
        <f>IF('Extraction edi'!O622="","",'Extraction edi'!O622)</f>
        <v/>
      </c>
      <c r="K612" s="1" t="str">
        <f>IF('Extraction edi'!P622="","",'Extraction edi'!P622)</f>
        <v/>
      </c>
      <c r="L612" s="1" t="str">
        <f>IF('Extraction edi'!Q622="laquage RAL :","OUI","")</f>
        <v/>
      </c>
      <c r="M612" s="1" t="str">
        <f>IF('Extraction edi'!R622&lt;&gt;"",'Extraction edi'!R622,IF(G612="ALU blanc","S9016",""))</f>
        <v/>
      </c>
      <c r="N612" s="1" t="str">
        <f>IF('Extraction edi'!S622&lt;&gt;"",'Extraction edi'!S622,IF(G612="ALU blanc","S9016",""))</f>
        <v/>
      </c>
      <c r="O612" s="11" t="str">
        <f>IF('Extraction edi'!V622&lt;'Feuille commande'!$E$1,"DELAI NON COMPATIBLE",IF('Extraction edi'!V622="","",WORKDAY('Extraction edi'!V622,-10,Paramètrage!$G$2:$G$104)))</f>
        <v/>
      </c>
      <c r="P612" s="1" t="e">
        <f t="shared" si="9"/>
        <v>#VALUE!</v>
      </c>
    </row>
    <row r="613" spans="1:16" x14ac:dyDescent="0.25">
      <c r="A613" s="1" t="str">
        <f>IF(B613="","",CONCATENATE(B613,".",C613,"/Pos ",D613,"/",'Extraction edi'!G623))</f>
        <v/>
      </c>
      <c r="B613" s="1" t="str">
        <f>IF('Extraction edi'!A623="","",'Extraction edi'!A623)</f>
        <v/>
      </c>
      <c r="C613" s="1" t="str">
        <f>IF('Extraction edi'!B623="","",'Extraction edi'!B623)</f>
        <v/>
      </c>
      <c r="D613" s="1" t="str">
        <f>IF('Extraction edi'!H623="","",'Extraction edi'!H623)</f>
        <v/>
      </c>
      <c r="E613" s="1" t="str">
        <f>IF('Extraction edi'!I623="","",'Extraction edi'!I623)</f>
        <v/>
      </c>
      <c r="F613" t="str">
        <f>IF('Extraction edi'!K623="","",'Extraction edi'!K623)</f>
        <v/>
      </c>
      <c r="G613" t="str">
        <f>IF('Extraction edi'!L616="","",'Extraction edi'!L616)</f>
        <v/>
      </c>
      <c r="H613" t="str">
        <f>IF('Extraction edi'!M616="","",'Extraction edi'!M616)</f>
        <v/>
      </c>
      <c r="I613" s="1" t="str">
        <f>IF('Extraction edi'!N623="","",'Extraction edi'!N623)</f>
        <v/>
      </c>
      <c r="J613" s="1" t="str">
        <f>IF('Extraction edi'!O623="","",'Extraction edi'!O623)</f>
        <v/>
      </c>
      <c r="K613" s="1" t="str">
        <f>IF('Extraction edi'!P623="","",'Extraction edi'!P623)</f>
        <v/>
      </c>
      <c r="L613" s="1" t="str">
        <f>IF('Extraction edi'!Q623="laquage RAL :","OUI","")</f>
        <v/>
      </c>
      <c r="M613" s="1" t="str">
        <f>IF('Extraction edi'!R623&lt;&gt;"",'Extraction edi'!R623,IF(G613="ALU blanc","S9016",""))</f>
        <v/>
      </c>
      <c r="N613" s="1" t="str">
        <f>IF('Extraction edi'!S623&lt;&gt;"",'Extraction edi'!S623,IF(G613="ALU blanc","S9016",""))</f>
        <v/>
      </c>
      <c r="O613" s="11" t="str">
        <f>IF('Extraction edi'!V623&lt;'Feuille commande'!$E$1,"DELAI NON COMPATIBLE",IF('Extraction edi'!V623="","",WORKDAY('Extraction edi'!V623,-10,Paramètrage!$G$2:$G$104)))</f>
        <v/>
      </c>
      <c r="P613" s="1" t="e">
        <f t="shared" si="9"/>
        <v>#VALUE!</v>
      </c>
    </row>
    <row r="614" spans="1:16" x14ac:dyDescent="0.25">
      <c r="A614" s="1" t="str">
        <f>IF(B614="","",CONCATENATE(B614,".",C614,"/Pos ",D614,"/",'Extraction edi'!G624))</f>
        <v/>
      </c>
      <c r="B614" s="1" t="str">
        <f>IF('Extraction edi'!A624="","",'Extraction edi'!A624)</f>
        <v/>
      </c>
      <c r="C614" s="1" t="str">
        <f>IF('Extraction edi'!B624="","",'Extraction edi'!B624)</f>
        <v/>
      </c>
      <c r="D614" s="1" t="str">
        <f>IF('Extraction edi'!H624="","",'Extraction edi'!H624)</f>
        <v/>
      </c>
      <c r="E614" s="1" t="str">
        <f>IF('Extraction edi'!I624="","",'Extraction edi'!I624)</f>
        <v/>
      </c>
      <c r="F614" t="str">
        <f>IF('Extraction edi'!K624="","",'Extraction edi'!K624)</f>
        <v/>
      </c>
      <c r="G614" t="str">
        <f>IF('Extraction edi'!L617="","",'Extraction edi'!L617)</f>
        <v/>
      </c>
      <c r="H614" t="str">
        <f>IF('Extraction edi'!M617="","",'Extraction edi'!M617)</f>
        <v/>
      </c>
      <c r="I614" s="1" t="str">
        <f>IF('Extraction edi'!N624="","",'Extraction edi'!N624)</f>
        <v/>
      </c>
      <c r="J614" s="1" t="str">
        <f>IF('Extraction edi'!O624="","",'Extraction edi'!O624)</f>
        <v/>
      </c>
      <c r="K614" s="1" t="str">
        <f>IF('Extraction edi'!P624="","",'Extraction edi'!P624)</f>
        <v/>
      </c>
      <c r="L614" s="1" t="str">
        <f>IF('Extraction edi'!Q624="laquage RAL :","OUI","")</f>
        <v/>
      </c>
      <c r="M614" s="1" t="str">
        <f>IF('Extraction edi'!R624&lt;&gt;"",'Extraction edi'!R624,IF(G614="ALU blanc","S9016",""))</f>
        <v/>
      </c>
      <c r="N614" s="1" t="str">
        <f>IF('Extraction edi'!S624&lt;&gt;"",'Extraction edi'!S624,IF(G614="ALU blanc","S9016",""))</f>
        <v/>
      </c>
      <c r="O614" s="11" t="str">
        <f>IF('Extraction edi'!V624&lt;'Feuille commande'!$E$1,"DELAI NON COMPATIBLE",IF('Extraction edi'!V624="","",WORKDAY('Extraction edi'!V624,-10,Paramètrage!$G$2:$G$104)))</f>
        <v/>
      </c>
      <c r="P614" s="1" t="e">
        <f t="shared" si="9"/>
        <v>#VALUE!</v>
      </c>
    </row>
    <row r="615" spans="1:16" x14ac:dyDescent="0.25">
      <c r="A615" s="1" t="str">
        <f>IF(B615="","",CONCATENATE(B615,".",C615,"/Pos ",D615,"/",'Extraction edi'!G625))</f>
        <v/>
      </c>
      <c r="B615" s="1" t="str">
        <f>IF('Extraction edi'!A625="","",'Extraction edi'!A625)</f>
        <v/>
      </c>
      <c r="C615" s="1" t="str">
        <f>IF('Extraction edi'!B625="","",'Extraction edi'!B625)</f>
        <v/>
      </c>
      <c r="D615" s="1" t="str">
        <f>IF('Extraction edi'!H625="","",'Extraction edi'!H625)</f>
        <v/>
      </c>
      <c r="E615" s="1" t="str">
        <f>IF('Extraction edi'!I625="","",'Extraction edi'!I625)</f>
        <v/>
      </c>
      <c r="F615" t="str">
        <f>IF('Extraction edi'!K625="","",'Extraction edi'!K625)</f>
        <v/>
      </c>
      <c r="G615" t="str">
        <f>IF('Extraction edi'!L618="","",'Extraction edi'!L618)</f>
        <v/>
      </c>
      <c r="H615" t="str">
        <f>IF('Extraction edi'!M618="","",'Extraction edi'!M618)</f>
        <v/>
      </c>
      <c r="I615" s="1" t="str">
        <f>IF('Extraction edi'!N625="","",'Extraction edi'!N625)</f>
        <v/>
      </c>
      <c r="J615" s="1" t="str">
        <f>IF('Extraction edi'!O625="","",'Extraction edi'!O625)</f>
        <v/>
      </c>
      <c r="K615" s="1" t="str">
        <f>IF('Extraction edi'!P625="","",'Extraction edi'!P625)</f>
        <v/>
      </c>
      <c r="L615" s="1" t="str">
        <f>IF('Extraction edi'!Q625="laquage RAL :","OUI","")</f>
        <v/>
      </c>
      <c r="M615" s="1" t="str">
        <f>IF('Extraction edi'!R625&lt;&gt;"",'Extraction edi'!R625,IF(G615="ALU blanc","S9016",""))</f>
        <v/>
      </c>
      <c r="N615" s="1" t="str">
        <f>IF('Extraction edi'!S625&lt;&gt;"",'Extraction edi'!S625,IF(G615="ALU blanc","S9016",""))</f>
        <v/>
      </c>
      <c r="O615" s="11" t="str">
        <f>IF('Extraction edi'!V625&lt;'Feuille commande'!$E$1,"DELAI NON COMPATIBLE",IF('Extraction edi'!V625="","",WORKDAY('Extraction edi'!V625,-10,Paramètrage!$G$2:$G$104)))</f>
        <v/>
      </c>
      <c r="P615" s="1" t="e">
        <f t="shared" si="9"/>
        <v>#VALUE!</v>
      </c>
    </row>
    <row r="616" spans="1:16" x14ac:dyDescent="0.25">
      <c r="A616" s="1" t="str">
        <f>IF(B616="","",CONCATENATE(B616,".",C616,"/Pos ",D616,"/",'Extraction edi'!G626))</f>
        <v/>
      </c>
      <c r="B616" s="1" t="str">
        <f>IF('Extraction edi'!A626="","",'Extraction edi'!A626)</f>
        <v/>
      </c>
      <c r="C616" s="1" t="str">
        <f>IF('Extraction edi'!B626="","",'Extraction edi'!B626)</f>
        <v/>
      </c>
      <c r="D616" s="1" t="str">
        <f>IF('Extraction edi'!H626="","",'Extraction edi'!H626)</f>
        <v/>
      </c>
      <c r="E616" s="1" t="str">
        <f>IF('Extraction edi'!I626="","",'Extraction edi'!I626)</f>
        <v/>
      </c>
      <c r="F616" t="str">
        <f>IF('Extraction edi'!K626="","",'Extraction edi'!K626)</f>
        <v/>
      </c>
      <c r="G616" t="str">
        <f>IF('Extraction edi'!L619="","",'Extraction edi'!L619)</f>
        <v/>
      </c>
      <c r="H616" t="str">
        <f>IF('Extraction edi'!M619="","",'Extraction edi'!M619)</f>
        <v/>
      </c>
      <c r="I616" s="1" t="str">
        <f>IF('Extraction edi'!N626="","",'Extraction edi'!N626)</f>
        <v/>
      </c>
      <c r="J616" s="1" t="str">
        <f>IF('Extraction edi'!O626="","",'Extraction edi'!O626)</f>
        <v/>
      </c>
      <c r="K616" s="1" t="str">
        <f>IF('Extraction edi'!P626="","",'Extraction edi'!P626)</f>
        <v/>
      </c>
      <c r="L616" s="1" t="str">
        <f>IF('Extraction edi'!Q626="laquage RAL :","OUI","")</f>
        <v/>
      </c>
      <c r="M616" s="1" t="str">
        <f>IF('Extraction edi'!R626&lt;&gt;"",'Extraction edi'!R626,IF(G616="ALU blanc","S9016",""))</f>
        <v/>
      </c>
      <c r="N616" s="1" t="str">
        <f>IF('Extraction edi'!S626&lt;&gt;"",'Extraction edi'!S626,IF(G616="ALU blanc","S9016",""))</f>
        <v/>
      </c>
      <c r="O616" s="11" t="str">
        <f>IF('Extraction edi'!V626&lt;'Feuille commande'!$E$1,"DELAI NON COMPATIBLE",IF('Extraction edi'!V626="","",WORKDAY('Extraction edi'!V626,-10,Paramètrage!$G$2:$G$104)))</f>
        <v/>
      </c>
      <c r="P616" s="1" t="e">
        <f t="shared" si="9"/>
        <v>#VALUE!</v>
      </c>
    </row>
    <row r="617" spans="1:16" x14ac:dyDescent="0.25">
      <c r="A617" s="1" t="str">
        <f>IF(B617="","",CONCATENATE(B617,".",C617,"/Pos ",D617,"/",'Extraction edi'!G627))</f>
        <v/>
      </c>
      <c r="B617" s="1" t="str">
        <f>IF('Extraction edi'!A627="","",'Extraction edi'!A627)</f>
        <v/>
      </c>
      <c r="C617" s="1" t="str">
        <f>IF('Extraction edi'!B627="","",'Extraction edi'!B627)</f>
        <v/>
      </c>
      <c r="D617" s="1" t="str">
        <f>IF('Extraction edi'!H627="","",'Extraction edi'!H627)</f>
        <v/>
      </c>
      <c r="E617" s="1" t="str">
        <f>IF('Extraction edi'!I627="","",'Extraction edi'!I627)</f>
        <v/>
      </c>
      <c r="F617" t="str">
        <f>IF('Extraction edi'!K627="","",'Extraction edi'!K627)</f>
        <v/>
      </c>
      <c r="G617" t="str">
        <f>IF('Extraction edi'!L620="","",'Extraction edi'!L620)</f>
        <v/>
      </c>
      <c r="H617" t="str">
        <f>IF('Extraction edi'!M620="","",'Extraction edi'!M620)</f>
        <v/>
      </c>
      <c r="I617" s="1" t="str">
        <f>IF('Extraction edi'!N627="","",'Extraction edi'!N627)</f>
        <v/>
      </c>
      <c r="J617" s="1" t="str">
        <f>IF('Extraction edi'!O627="","",'Extraction edi'!O627)</f>
        <v/>
      </c>
      <c r="K617" s="1" t="str">
        <f>IF('Extraction edi'!P627="","",'Extraction edi'!P627)</f>
        <v/>
      </c>
      <c r="L617" s="1" t="str">
        <f>IF('Extraction edi'!Q627="laquage RAL :","OUI","")</f>
        <v/>
      </c>
      <c r="M617" s="1" t="str">
        <f>IF('Extraction edi'!R627&lt;&gt;"",'Extraction edi'!R627,IF(G617="ALU blanc","S9016",""))</f>
        <v/>
      </c>
      <c r="N617" s="1" t="str">
        <f>IF('Extraction edi'!S627&lt;&gt;"",'Extraction edi'!S627,IF(G617="ALU blanc","S9016",""))</f>
        <v/>
      </c>
      <c r="O617" s="11" t="str">
        <f>IF('Extraction edi'!V627&lt;'Feuille commande'!$E$1,"DELAI NON COMPATIBLE",IF('Extraction edi'!V627="","",WORKDAY('Extraction edi'!V627,-10,Paramètrage!$G$2:$G$104)))</f>
        <v/>
      </c>
      <c r="P617" s="1" t="e">
        <f t="shared" si="9"/>
        <v>#VALUE!</v>
      </c>
    </row>
    <row r="618" spans="1:16" x14ac:dyDescent="0.25">
      <c r="A618" s="1" t="str">
        <f>IF(B618="","",CONCATENATE(B618,".",C618,"/Pos ",D618,"/",'Extraction edi'!G628))</f>
        <v/>
      </c>
      <c r="B618" s="1" t="str">
        <f>IF('Extraction edi'!A628="","",'Extraction edi'!A628)</f>
        <v/>
      </c>
      <c r="C618" s="1" t="str">
        <f>IF('Extraction edi'!B628="","",'Extraction edi'!B628)</f>
        <v/>
      </c>
      <c r="D618" s="1" t="str">
        <f>IF('Extraction edi'!H628="","",'Extraction edi'!H628)</f>
        <v/>
      </c>
      <c r="E618" s="1" t="str">
        <f>IF('Extraction edi'!I628="","",'Extraction edi'!I628)</f>
        <v/>
      </c>
      <c r="F618" t="str">
        <f>IF('Extraction edi'!K628="","",'Extraction edi'!K628)</f>
        <v/>
      </c>
      <c r="G618" t="str">
        <f>IF('Extraction edi'!L621="","",'Extraction edi'!L621)</f>
        <v/>
      </c>
      <c r="H618" t="str">
        <f>IF('Extraction edi'!M621="","",'Extraction edi'!M621)</f>
        <v/>
      </c>
      <c r="I618" s="1" t="str">
        <f>IF('Extraction edi'!N628="","",'Extraction edi'!N628)</f>
        <v/>
      </c>
      <c r="J618" s="1" t="str">
        <f>IF('Extraction edi'!O628="","",'Extraction edi'!O628)</f>
        <v/>
      </c>
      <c r="K618" s="1" t="str">
        <f>IF('Extraction edi'!P628="","",'Extraction edi'!P628)</f>
        <v/>
      </c>
      <c r="L618" s="1" t="str">
        <f>IF('Extraction edi'!Q628="laquage RAL :","OUI","")</f>
        <v/>
      </c>
      <c r="M618" s="1" t="str">
        <f>IF('Extraction edi'!R628&lt;&gt;"",'Extraction edi'!R628,IF(G618="ALU blanc","S9016",""))</f>
        <v/>
      </c>
      <c r="N618" s="1" t="str">
        <f>IF('Extraction edi'!S628&lt;&gt;"",'Extraction edi'!S628,IF(G618="ALU blanc","S9016",""))</f>
        <v/>
      </c>
      <c r="O618" s="11" t="str">
        <f>IF('Extraction edi'!V628&lt;'Feuille commande'!$E$1,"DELAI NON COMPATIBLE",IF('Extraction edi'!V628="","",WORKDAY('Extraction edi'!V628,-10,Paramètrage!$G$2:$G$104)))</f>
        <v/>
      </c>
      <c r="P618" s="1" t="e">
        <f t="shared" si="9"/>
        <v>#VALUE!</v>
      </c>
    </row>
    <row r="619" spans="1:16" x14ac:dyDescent="0.25">
      <c r="A619" s="1" t="str">
        <f>IF(B619="","",CONCATENATE(B619,".",C619,"/Pos ",D619,"/",'Extraction edi'!G629))</f>
        <v/>
      </c>
      <c r="B619" s="1" t="str">
        <f>IF('Extraction edi'!A629="","",'Extraction edi'!A629)</f>
        <v/>
      </c>
      <c r="C619" s="1" t="str">
        <f>IF('Extraction edi'!B629="","",'Extraction edi'!B629)</f>
        <v/>
      </c>
      <c r="D619" s="1" t="str">
        <f>IF('Extraction edi'!H629="","",'Extraction edi'!H629)</f>
        <v/>
      </c>
      <c r="E619" s="1" t="str">
        <f>IF('Extraction edi'!I629="","",'Extraction edi'!I629)</f>
        <v/>
      </c>
      <c r="F619" t="str">
        <f>IF('Extraction edi'!K629="","",'Extraction edi'!K629)</f>
        <v/>
      </c>
      <c r="G619" t="str">
        <f>IF('Extraction edi'!L622="","",'Extraction edi'!L622)</f>
        <v/>
      </c>
      <c r="H619" t="str">
        <f>IF('Extraction edi'!M622="","",'Extraction edi'!M622)</f>
        <v/>
      </c>
      <c r="I619" s="1" t="str">
        <f>IF('Extraction edi'!N629="","",'Extraction edi'!N629)</f>
        <v/>
      </c>
      <c r="J619" s="1" t="str">
        <f>IF('Extraction edi'!O629="","",'Extraction edi'!O629)</f>
        <v/>
      </c>
      <c r="K619" s="1" t="str">
        <f>IF('Extraction edi'!P629="","",'Extraction edi'!P629)</f>
        <v/>
      </c>
      <c r="L619" s="1" t="str">
        <f>IF('Extraction edi'!Q629="laquage RAL :","OUI","")</f>
        <v/>
      </c>
      <c r="M619" s="1" t="str">
        <f>IF('Extraction edi'!R629&lt;&gt;"",'Extraction edi'!R629,IF(G619="ALU blanc","S9016",""))</f>
        <v/>
      </c>
      <c r="N619" s="1" t="str">
        <f>IF('Extraction edi'!S629&lt;&gt;"",'Extraction edi'!S629,IF(G619="ALU blanc","S9016",""))</f>
        <v/>
      </c>
      <c r="O619" s="11" t="str">
        <f>IF('Extraction edi'!V629&lt;'Feuille commande'!$E$1,"DELAI NON COMPATIBLE",IF('Extraction edi'!V629="","",WORKDAY('Extraction edi'!V629,-10,Paramètrage!$G$2:$G$104)))</f>
        <v/>
      </c>
      <c r="P619" s="1" t="e">
        <f t="shared" si="9"/>
        <v>#VALUE!</v>
      </c>
    </row>
    <row r="620" spans="1:16" x14ac:dyDescent="0.25">
      <c r="A620" s="1" t="str">
        <f>IF(B620="","",CONCATENATE(B620,".",C620,"/Pos ",D620,"/",'Extraction edi'!G630))</f>
        <v/>
      </c>
      <c r="B620" s="1" t="str">
        <f>IF('Extraction edi'!A630="","",'Extraction edi'!A630)</f>
        <v/>
      </c>
      <c r="C620" s="1" t="str">
        <f>IF('Extraction edi'!B630="","",'Extraction edi'!B630)</f>
        <v/>
      </c>
      <c r="D620" s="1" t="str">
        <f>IF('Extraction edi'!H630="","",'Extraction edi'!H630)</f>
        <v/>
      </c>
      <c r="E620" s="1" t="str">
        <f>IF('Extraction edi'!I630="","",'Extraction edi'!I630)</f>
        <v/>
      </c>
      <c r="F620" t="str">
        <f>IF('Extraction edi'!K630="","",'Extraction edi'!K630)</f>
        <v/>
      </c>
      <c r="G620" t="str">
        <f>IF('Extraction edi'!L623="","",'Extraction edi'!L623)</f>
        <v/>
      </c>
      <c r="H620" t="str">
        <f>IF('Extraction edi'!M623="","",'Extraction edi'!M623)</f>
        <v/>
      </c>
      <c r="I620" s="1" t="str">
        <f>IF('Extraction edi'!N630="","",'Extraction edi'!N630)</f>
        <v/>
      </c>
      <c r="J620" s="1" t="str">
        <f>IF('Extraction edi'!O630="","",'Extraction edi'!O630)</f>
        <v/>
      </c>
      <c r="K620" s="1" t="str">
        <f>IF('Extraction edi'!P630="","",'Extraction edi'!P630)</f>
        <v/>
      </c>
      <c r="L620" s="1" t="str">
        <f>IF('Extraction edi'!Q630="laquage RAL :","OUI","")</f>
        <v/>
      </c>
      <c r="M620" s="1" t="str">
        <f>IF('Extraction edi'!R630&lt;&gt;"",'Extraction edi'!R630,IF(G620="ALU blanc","S9016",""))</f>
        <v/>
      </c>
      <c r="N620" s="1" t="str">
        <f>IF('Extraction edi'!S630&lt;&gt;"",'Extraction edi'!S630,IF(G620="ALU blanc","S9016",""))</f>
        <v/>
      </c>
      <c r="O620" s="11" t="str">
        <f>IF('Extraction edi'!V630&lt;'Feuille commande'!$E$1,"DELAI NON COMPATIBLE",IF('Extraction edi'!V630="","",WORKDAY('Extraction edi'!V630,-10,Paramètrage!$G$2:$G$104)))</f>
        <v/>
      </c>
      <c r="P620" s="1" t="e">
        <f t="shared" si="9"/>
        <v>#VALUE!</v>
      </c>
    </row>
    <row r="621" spans="1:16" x14ac:dyDescent="0.25">
      <c r="A621" s="1" t="str">
        <f>IF(B621="","",CONCATENATE(B621,".",C621,"/Pos ",D621,"/",'Extraction edi'!G631))</f>
        <v/>
      </c>
      <c r="B621" s="1" t="str">
        <f>IF('Extraction edi'!A631="","",'Extraction edi'!A631)</f>
        <v/>
      </c>
      <c r="C621" s="1" t="str">
        <f>IF('Extraction edi'!B631="","",'Extraction edi'!B631)</f>
        <v/>
      </c>
      <c r="D621" s="1" t="str">
        <f>IF('Extraction edi'!H631="","",'Extraction edi'!H631)</f>
        <v/>
      </c>
      <c r="E621" s="1" t="str">
        <f>IF('Extraction edi'!I631="","",'Extraction edi'!I631)</f>
        <v/>
      </c>
      <c r="F621" t="str">
        <f>IF('Extraction edi'!K631="","",'Extraction edi'!K631)</f>
        <v/>
      </c>
      <c r="G621" t="str">
        <f>IF('Extraction edi'!L624="","",'Extraction edi'!L624)</f>
        <v/>
      </c>
      <c r="H621" t="str">
        <f>IF('Extraction edi'!M624="","",'Extraction edi'!M624)</f>
        <v/>
      </c>
      <c r="I621" s="1" t="str">
        <f>IF('Extraction edi'!N631="","",'Extraction edi'!N631)</f>
        <v/>
      </c>
      <c r="J621" s="1" t="str">
        <f>IF('Extraction edi'!O631="","",'Extraction edi'!O631)</f>
        <v/>
      </c>
      <c r="K621" s="1" t="str">
        <f>IF('Extraction edi'!P631="","",'Extraction edi'!P631)</f>
        <v/>
      </c>
      <c r="L621" s="1" t="str">
        <f>IF('Extraction edi'!Q631="laquage RAL :","OUI","")</f>
        <v/>
      </c>
      <c r="M621" s="1" t="str">
        <f>IF('Extraction edi'!R631&lt;&gt;"",'Extraction edi'!R631,IF(G621="ALU blanc","S9016",""))</f>
        <v/>
      </c>
      <c r="N621" s="1" t="str">
        <f>IF('Extraction edi'!S631&lt;&gt;"",'Extraction edi'!S631,IF(G621="ALU blanc","S9016",""))</f>
        <v/>
      </c>
      <c r="O621" s="11" t="str">
        <f>IF('Extraction edi'!V631&lt;'Feuille commande'!$E$1,"DELAI NON COMPATIBLE",IF('Extraction edi'!V631="","",WORKDAY('Extraction edi'!V631,-10,Paramètrage!$G$2:$G$104)))</f>
        <v/>
      </c>
      <c r="P621" s="1" t="e">
        <f t="shared" si="9"/>
        <v>#VALUE!</v>
      </c>
    </row>
    <row r="622" spans="1:16" x14ac:dyDescent="0.25">
      <c r="A622" s="1" t="str">
        <f>IF(B622="","",CONCATENATE(B622,".",C622,"/Pos ",D622,"/",'Extraction edi'!G632))</f>
        <v/>
      </c>
      <c r="B622" s="1" t="str">
        <f>IF('Extraction edi'!A632="","",'Extraction edi'!A632)</f>
        <v/>
      </c>
      <c r="C622" s="1" t="str">
        <f>IF('Extraction edi'!B632="","",'Extraction edi'!B632)</f>
        <v/>
      </c>
      <c r="D622" s="1" t="str">
        <f>IF('Extraction edi'!H632="","",'Extraction edi'!H632)</f>
        <v/>
      </c>
      <c r="E622" s="1" t="str">
        <f>IF('Extraction edi'!I632="","",'Extraction edi'!I632)</f>
        <v/>
      </c>
      <c r="F622" t="str">
        <f>IF('Extraction edi'!K632="","",'Extraction edi'!K632)</f>
        <v/>
      </c>
      <c r="G622" t="str">
        <f>IF('Extraction edi'!L625="","",'Extraction edi'!L625)</f>
        <v/>
      </c>
      <c r="H622" t="str">
        <f>IF('Extraction edi'!M625="","",'Extraction edi'!M625)</f>
        <v/>
      </c>
      <c r="I622" s="1" t="str">
        <f>IF('Extraction edi'!N632="","",'Extraction edi'!N632)</f>
        <v/>
      </c>
      <c r="J622" s="1" t="str">
        <f>IF('Extraction edi'!O632="","",'Extraction edi'!O632)</f>
        <v/>
      </c>
      <c r="K622" s="1" t="str">
        <f>IF('Extraction edi'!P632="","",'Extraction edi'!P632)</f>
        <v/>
      </c>
      <c r="L622" s="1" t="str">
        <f>IF('Extraction edi'!Q632="laquage RAL :","OUI","")</f>
        <v/>
      </c>
      <c r="M622" s="1" t="str">
        <f>IF('Extraction edi'!R632&lt;&gt;"",'Extraction edi'!R632,IF(G622="ALU blanc","S9016",""))</f>
        <v/>
      </c>
      <c r="N622" s="1" t="str">
        <f>IF('Extraction edi'!S632&lt;&gt;"",'Extraction edi'!S632,IF(G622="ALU blanc","S9016",""))</f>
        <v/>
      </c>
      <c r="O622" s="11" t="str">
        <f>IF('Extraction edi'!V632&lt;'Feuille commande'!$E$1,"DELAI NON COMPATIBLE",IF('Extraction edi'!V632="","",WORKDAY('Extraction edi'!V632,-10,Paramètrage!$G$2:$G$104)))</f>
        <v/>
      </c>
      <c r="P622" s="1" t="e">
        <f t="shared" si="9"/>
        <v>#VALUE!</v>
      </c>
    </row>
    <row r="623" spans="1:16" x14ac:dyDescent="0.25">
      <c r="A623" s="1" t="str">
        <f>IF(B623="","",CONCATENATE(B623,".",C623,"/Pos ",D623,"/",'Extraction edi'!G633))</f>
        <v/>
      </c>
      <c r="B623" s="1" t="str">
        <f>IF('Extraction edi'!A633="","",'Extraction edi'!A633)</f>
        <v/>
      </c>
      <c r="C623" s="1" t="str">
        <f>IF('Extraction edi'!B633="","",'Extraction edi'!B633)</f>
        <v/>
      </c>
      <c r="D623" s="1" t="str">
        <f>IF('Extraction edi'!H633="","",'Extraction edi'!H633)</f>
        <v/>
      </c>
      <c r="E623" s="1" t="str">
        <f>IF('Extraction edi'!I633="","",'Extraction edi'!I633)</f>
        <v/>
      </c>
      <c r="F623" t="str">
        <f>IF('Extraction edi'!K633="","",'Extraction edi'!K633)</f>
        <v/>
      </c>
      <c r="G623" t="str">
        <f>IF('Extraction edi'!L626="","",'Extraction edi'!L626)</f>
        <v/>
      </c>
      <c r="H623" t="str">
        <f>IF('Extraction edi'!M626="","",'Extraction edi'!M626)</f>
        <v/>
      </c>
      <c r="I623" s="1" t="str">
        <f>IF('Extraction edi'!N633="","",'Extraction edi'!N633)</f>
        <v/>
      </c>
      <c r="J623" s="1" t="str">
        <f>IF('Extraction edi'!O633="","",'Extraction edi'!O633)</f>
        <v/>
      </c>
      <c r="K623" s="1" t="str">
        <f>IF('Extraction edi'!P633="","",'Extraction edi'!P633)</f>
        <v/>
      </c>
      <c r="L623" s="1" t="str">
        <f>IF('Extraction edi'!Q633="laquage RAL :","OUI","")</f>
        <v/>
      </c>
      <c r="M623" s="1" t="str">
        <f>IF('Extraction edi'!R633&lt;&gt;"",'Extraction edi'!R633,IF(G623="ALU blanc","S9016",""))</f>
        <v/>
      </c>
      <c r="N623" s="1" t="str">
        <f>IF('Extraction edi'!S633&lt;&gt;"",'Extraction edi'!S633,IF(G623="ALU blanc","S9016",""))</f>
        <v/>
      </c>
      <c r="O623" s="11" t="str">
        <f>IF('Extraction edi'!V633&lt;'Feuille commande'!$E$1,"DELAI NON COMPATIBLE",IF('Extraction edi'!V633="","",WORKDAY('Extraction edi'!V633,-10,Paramètrage!$G$2:$G$104)))</f>
        <v/>
      </c>
      <c r="P623" s="1" t="e">
        <f t="shared" si="9"/>
        <v>#VALUE!</v>
      </c>
    </row>
    <row r="624" spans="1:16" x14ac:dyDescent="0.25">
      <c r="A624" s="1" t="str">
        <f>IF(B624="","",CONCATENATE(B624,".",C624,"/Pos ",D624,"/",'Extraction edi'!G634))</f>
        <v/>
      </c>
      <c r="B624" s="1" t="str">
        <f>IF('Extraction edi'!A634="","",'Extraction edi'!A634)</f>
        <v/>
      </c>
      <c r="C624" s="1" t="str">
        <f>IF('Extraction edi'!B634="","",'Extraction edi'!B634)</f>
        <v/>
      </c>
      <c r="D624" s="1" t="str">
        <f>IF('Extraction edi'!H634="","",'Extraction edi'!H634)</f>
        <v/>
      </c>
      <c r="E624" s="1" t="str">
        <f>IF('Extraction edi'!I634="","",'Extraction edi'!I634)</f>
        <v/>
      </c>
      <c r="F624" t="str">
        <f>IF('Extraction edi'!K634="","",'Extraction edi'!K634)</f>
        <v/>
      </c>
      <c r="G624" t="str">
        <f>IF('Extraction edi'!L627="","",'Extraction edi'!L627)</f>
        <v/>
      </c>
      <c r="H624" t="str">
        <f>IF('Extraction edi'!M627="","",'Extraction edi'!M627)</f>
        <v/>
      </c>
      <c r="I624" s="1" t="str">
        <f>IF('Extraction edi'!N634="","",'Extraction edi'!N634)</f>
        <v/>
      </c>
      <c r="J624" s="1" t="str">
        <f>IF('Extraction edi'!O634="","",'Extraction edi'!O634)</f>
        <v/>
      </c>
      <c r="K624" s="1" t="str">
        <f>IF('Extraction edi'!P634="","",'Extraction edi'!P634)</f>
        <v/>
      </c>
      <c r="L624" s="1" t="str">
        <f>IF('Extraction edi'!Q634="laquage RAL :","OUI","")</f>
        <v/>
      </c>
      <c r="M624" s="1" t="str">
        <f>IF('Extraction edi'!R634&lt;&gt;"",'Extraction edi'!R634,IF(G624="ALU blanc","S9016",""))</f>
        <v/>
      </c>
      <c r="N624" s="1" t="str">
        <f>IF('Extraction edi'!S634&lt;&gt;"",'Extraction edi'!S634,IF(G624="ALU blanc","S9016",""))</f>
        <v/>
      </c>
      <c r="O624" s="11" t="str">
        <f>IF('Extraction edi'!V634&lt;'Feuille commande'!$E$1,"DELAI NON COMPATIBLE",IF('Extraction edi'!V634="","",WORKDAY('Extraction edi'!V634,-10,Paramètrage!$G$2:$G$104)))</f>
        <v/>
      </c>
      <c r="P624" s="1" t="e">
        <f t="shared" si="9"/>
        <v>#VALUE!</v>
      </c>
    </row>
    <row r="625" spans="1:16" x14ac:dyDescent="0.25">
      <c r="A625" s="1" t="str">
        <f>IF(B625="","",CONCATENATE(B625,".",C625,"/Pos ",D625,"/",'Extraction edi'!G635))</f>
        <v/>
      </c>
      <c r="B625" s="1" t="str">
        <f>IF('Extraction edi'!A635="","",'Extraction edi'!A635)</f>
        <v/>
      </c>
      <c r="C625" s="1" t="str">
        <f>IF('Extraction edi'!B635="","",'Extraction edi'!B635)</f>
        <v/>
      </c>
      <c r="D625" s="1" t="str">
        <f>IF('Extraction edi'!H635="","",'Extraction edi'!H635)</f>
        <v/>
      </c>
      <c r="E625" s="1" t="str">
        <f>IF('Extraction edi'!I635="","",'Extraction edi'!I635)</f>
        <v/>
      </c>
      <c r="F625" t="str">
        <f>IF('Extraction edi'!K635="","",'Extraction edi'!K635)</f>
        <v/>
      </c>
      <c r="G625" t="str">
        <f>IF('Extraction edi'!L628="","",'Extraction edi'!L628)</f>
        <v/>
      </c>
      <c r="H625" t="str">
        <f>IF('Extraction edi'!M628="","",'Extraction edi'!M628)</f>
        <v/>
      </c>
      <c r="I625" s="1" t="str">
        <f>IF('Extraction edi'!N635="","",'Extraction edi'!N635)</f>
        <v/>
      </c>
      <c r="J625" s="1" t="str">
        <f>IF('Extraction edi'!O635="","",'Extraction edi'!O635)</f>
        <v/>
      </c>
      <c r="K625" s="1" t="str">
        <f>IF('Extraction edi'!P635="","",'Extraction edi'!P635)</f>
        <v/>
      </c>
      <c r="L625" s="1" t="str">
        <f>IF('Extraction edi'!Q635="laquage RAL :","OUI","")</f>
        <v/>
      </c>
      <c r="M625" s="1" t="str">
        <f>IF('Extraction edi'!R635&lt;&gt;"",'Extraction edi'!R635,IF(G625="ALU blanc","S9016",""))</f>
        <v/>
      </c>
      <c r="N625" s="1" t="str">
        <f>IF('Extraction edi'!S635&lt;&gt;"",'Extraction edi'!S635,IF(G625="ALU blanc","S9016",""))</f>
        <v/>
      </c>
      <c r="O625" s="11" t="str">
        <f>IF('Extraction edi'!V635&lt;'Feuille commande'!$E$1,"DELAI NON COMPATIBLE",IF('Extraction edi'!V635="","",WORKDAY('Extraction edi'!V635,-10,Paramètrage!$G$2:$G$104)))</f>
        <v/>
      </c>
      <c r="P625" s="1" t="e">
        <f t="shared" si="9"/>
        <v>#VALUE!</v>
      </c>
    </row>
    <row r="626" spans="1:16" x14ac:dyDescent="0.25">
      <c r="A626" s="1" t="str">
        <f>IF(B626="","",CONCATENATE(B626,".",C626,"/Pos ",D626,"/",'Extraction edi'!G636))</f>
        <v/>
      </c>
      <c r="B626" s="1" t="str">
        <f>IF('Extraction edi'!A636="","",'Extraction edi'!A636)</f>
        <v/>
      </c>
      <c r="C626" s="1" t="str">
        <f>IF('Extraction edi'!B636="","",'Extraction edi'!B636)</f>
        <v/>
      </c>
      <c r="D626" s="1" t="str">
        <f>IF('Extraction edi'!H636="","",'Extraction edi'!H636)</f>
        <v/>
      </c>
      <c r="E626" s="1" t="str">
        <f>IF('Extraction edi'!I636="","",'Extraction edi'!I636)</f>
        <v/>
      </c>
      <c r="F626" t="str">
        <f>IF('Extraction edi'!K636="","",'Extraction edi'!K636)</f>
        <v/>
      </c>
      <c r="G626" t="str">
        <f>IF('Extraction edi'!L629="","",'Extraction edi'!L629)</f>
        <v/>
      </c>
      <c r="H626" t="str">
        <f>IF('Extraction edi'!M629="","",'Extraction edi'!M629)</f>
        <v/>
      </c>
      <c r="I626" s="1" t="str">
        <f>IF('Extraction edi'!N636="","",'Extraction edi'!N636)</f>
        <v/>
      </c>
      <c r="J626" s="1" t="str">
        <f>IF('Extraction edi'!O636="","",'Extraction edi'!O636)</f>
        <v/>
      </c>
      <c r="K626" s="1" t="str">
        <f>IF('Extraction edi'!P636="","",'Extraction edi'!P636)</f>
        <v/>
      </c>
      <c r="L626" s="1" t="str">
        <f>IF('Extraction edi'!Q636="laquage RAL :","OUI","")</f>
        <v/>
      </c>
      <c r="M626" s="1" t="str">
        <f>IF('Extraction edi'!R636&lt;&gt;"",'Extraction edi'!R636,IF(G626="ALU blanc","S9016",""))</f>
        <v/>
      </c>
      <c r="N626" s="1" t="str">
        <f>IF('Extraction edi'!S636&lt;&gt;"",'Extraction edi'!S636,IF(G626="ALU blanc","S9016",""))</f>
        <v/>
      </c>
      <c r="O626" s="11" t="str">
        <f>IF('Extraction edi'!V636&lt;'Feuille commande'!$E$1,"DELAI NON COMPATIBLE",IF('Extraction edi'!V636="","",WORKDAY('Extraction edi'!V636,-10,Paramètrage!$G$2:$G$104)))</f>
        <v/>
      </c>
      <c r="P626" s="1" t="e">
        <f t="shared" si="9"/>
        <v>#VALUE!</v>
      </c>
    </row>
    <row r="627" spans="1:16" x14ac:dyDescent="0.25">
      <c r="A627" s="1" t="str">
        <f>IF(B627="","",CONCATENATE(B627,".",C627,"/Pos ",D627,"/",'Extraction edi'!G637))</f>
        <v/>
      </c>
      <c r="B627" s="1" t="str">
        <f>IF('Extraction edi'!A637="","",'Extraction edi'!A637)</f>
        <v/>
      </c>
      <c r="C627" s="1" t="str">
        <f>IF('Extraction edi'!B637="","",'Extraction edi'!B637)</f>
        <v/>
      </c>
      <c r="D627" s="1" t="str">
        <f>IF('Extraction edi'!H637="","",'Extraction edi'!H637)</f>
        <v/>
      </c>
      <c r="E627" s="1" t="str">
        <f>IF('Extraction edi'!I637="","",'Extraction edi'!I637)</f>
        <v/>
      </c>
      <c r="F627" t="str">
        <f>IF('Extraction edi'!K637="","",'Extraction edi'!K637)</f>
        <v/>
      </c>
      <c r="G627" t="str">
        <f>IF('Extraction edi'!L630="","",'Extraction edi'!L630)</f>
        <v/>
      </c>
      <c r="H627" t="str">
        <f>IF('Extraction edi'!M630="","",'Extraction edi'!M630)</f>
        <v/>
      </c>
      <c r="I627" s="1" t="str">
        <f>IF('Extraction edi'!N637="","",'Extraction edi'!N637)</f>
        <v/>
      </c>
      <c r="J627" s="1" t="str">
        <f>IF('Extraction edi'!O637="","",'Extraction edi'!O637)</f>
        <v/>
      </c>
      <c r="K627" s="1" t="str">
        <f>IF('Extraction edi'!P637="","",'Extraction edi'!P637)</f>
        <v/>
      </c>
      <c r="L627" s="1" t="str">
        <f>IF('Extraction edi'!Q637="laquage RAL :","OUI","")</f>
        <v/>
      </c>
      <c r="M627" s="1" t="str">
        <f>IF('Extraction edi'!R637&lt;&gt;"",'Extraction edi'!R637,IF(G627="ALU blanc","S9016",""))</f>
        <v/>
      </c>
      <c r="N627" s="1" t="str">
        <f>IF('Extraction edi'!S637&lt;&gt;"",'Extraction edi'!S637,IF(G627="ALU blanc","S9016",""))</f>
        <v/>
      </c>
      <c r="O627" s="11" t="str">
        <f>IF('Extraction edi'!V637&lt;'Feuille commande'!$E$1,"DELAI NON COMPATIBLE",IF('Extraction edi'!V637="","",WORKDAY('Extraction edi'!V637,-10,Paramètrage!$G$2:$G$104)))</f>
        <v/>
      </c>
      <c r="P627" s="1" t="e">
        <f t="shared" si="9"/>
        <v>#VALUE!</v>
      </c>
    </row>
    <row r="628" spans="1:16" x14ac:dyDescent="0.25">
      <c r="A628" s="1" t="str">
        <f>IF(B628="","",CONCATENATE(B628,".",C628,"/Pos ",D628,"/",'Extraction edi'!G638))</f>
        <v/>
      </c>
      <c r="B628" s="1" t="str">
        <f>IF('Extraction edi'!A638="","",'Extraction edi'!A638)</f>
        <v/>
      </c>
      <c r="C628" s="1" t="str">
        <f>IF('Extraction edi'!B638="","",'Extraction edi'!B638)</f>
        <v/>
      </c>
      <c r="D628" s="1" t="str">
        <f>IF('Extraction edi'!H638="","",'Extraction edi'!H638)</f>
        <v/>
      </c>
      <c r="E628" s="1" t="str">
        <f>IF('Extraction edi'!I638="","",'Extraction edi'!I638)</f>
        <v/>
      </c>
      <c r="F628" t="str">
        <f>IF('Extraction edi'!K638="","",'Extraction edi'!K638)</f>
        <v/>
      </c>
      <c r="G628" t="str">
        <f>IF('Extraction edi'!L631="","",'Extraction edi'!L631)</f>
        <v/>
      </c>
      <c r="H628" t="str">
        <f>IF('Extraction edi'!M631="","",'Extraction edi'!M631)</f>
        <v/>
      </c>
      <c r="I628" s="1" t="str">
        <f>IF('Extraction edi'!N638="","",'Extraction edi'!N638)</f>
        <v/>
      </c>
      <c r="J628" s="1" t="str">
        <f>IF('Extraction edi'!O638="","",'Extraction edi'!O638)</f>
        <v/>
      </c>
      <c r="K628" s="1" t="str">
        <f>IF('Extraction edi'!P638="","",'Extraction edi'!P638)</f>
        <v/>
      </c>
      <c r="L628" s="1" t="str">
        <f>IF('Extraction edi'!Q638="laquage RAL :","OUI","")</f>
        <v/>
      </c>
      <c r="M628" s="1" t="str">
        <f>IF('Extraction edi'!R638&lt;&gt;"",'Extraction edi'!R638,IF(G628="ALU blanc","S9016",""))</f>
        <v/>
      </c>
      <c r="N628" s="1" t="str">
        <f>IF('Extraction edi'!S638&lt;&gt;"",'Extraction edi'!S638,IF(G628="ALU blanc","S9016",""))</f>
        <v/>
      </c>
      <c r="O628" s="11" t="str">
        <f>IF('Extraction edi'!V638&lt;'Feuille commande'!$E$1,"DELAI NON COMPATIBLE",IF('Extraction edi'!V638="","",WORKDAY('Extraction edi'!V638,-10,Paramètrage!$G$2:$G$104)))</f>
        <v/>
      </c>
      <c r="P628" s="1" t="e">
        <f t="shared" si="9"/>
        <v>#VALUE!</v>
      </c>
    </row>
    <row r="629" spans="1:16" x14ac:dyDescent="0.25">
      <c r="A629" s="1" t="str">
        <f>IF(B629="","",CONCATENATE(B629,".",C629,"/Pos ",D629,"/",'Extraction edi'!G639))</f>
        <v/>
      </c>
      <c r="B629" s="1" t="str">
        <f>IF('Extraction edi'!A639="","",'Extraction edi'!A639)</f>
        <v/>
      </c>
      <c r="C629" s="1" t="str">
        <f>IF('Extraction edi'!B639="","",'Extraction edi'!B639)</f>
        <v/>
      </c>
      <c r="D629" s="1" t="str">
        <f>IF('Extraction edi'!H639="","",'Extraction edi'!H639)</f>
        <v/>
      </c>
      <c r="E629" s="1" t="str">
        <f>IF('Extraction edi'!I639="","",'Extraction edi'!I639)</f>
        <v/>
      </c>
      <c r="F629" t="str">
        <f>IF('Extraction edi'!K639="","",'Extraction edi'!K639)</f>
        <v/>
      </c>
      <c r="G629" t="str">
        <f>IF('Extraction edi'!L632="","",'Extraction edi'!L632)</f>
        <v/>
      </c>
      <c r="H629" t="str">
        <f>IF('Extraction edi'!M632="","",'Extraction edi'!M632)</f>
        <v/>
      </c>
      <c r="I629" s="1" t="str">
        <f>IF('Extraction edi'!N639="","",'Extraction edi'!N639)</f>
        <v/>
      </c>
      <c r="J629" s="1" t="str">
        <f>IF('Extraction edi'!O639="","",'Extraction edi'!O639)</f>
        <v/>
      </c>
      <c r="K629" s="1" t="str">
        <f>IF('Extraction edi'!P639="","",'Extraction edi'!P639)</f>
        <v/>
      </c>
      <c r="L629" s="1" t="str">
        <f>IF('Extraction edi'!Q639="laquage RAL :","OUI","")</f>
        <v/>
      </c>
      <c r="M629" s="1" t="str">
        <f>IF('Extraction edi'!R639&lt;&gt;"",'Extraction edi'!R639,IF(G629="ALU blanc","S9016",""))</f>
        <v/>
      </c>
      <c r="N629" s="1" t="str">
        <f>IF('Extraction edi'!S639&lt;&gt;"",'Extraction edi'!S639,IF(G629="ALU blanc","S9016",""))</f>
        <v/>
      </c>
      <c r="O629" s="11" t="str">
        <f>IF('Extraction edi'!V639&lt;'Feuille commande'!$E$1,"DELAI NON COMPATIBLE",IF('Extraction edi'!V639="","",WORKDAY('Extraction edi'!V639,-10,Paramètrage!$G$2:$G$104)))</f>
        <v/>
      </c>
      <c r="P629" s="1" t="e">
        <f t="shared" si="9"/>
        <v>#VALUE!</v>
      </c>
    </row>
    <row r="630" spans="1:16" x14ac:dyDescent="0.25">
      <c r="A630" s="1" t="str">
        <f>IF(B630="","",CONCATENATE(B630,".",C630,"/Pos ",D630,"/",'Extraction edi'!G640))</f>
        <v/>
      </c>
      <c r="B630" s="1" t="str">
        <f>IF('Extraction edi'!A640="","",'Extraction edi'!A640)</f>
        <v/>
      </c>
      <c r="C630" s="1" t="str">
        <f>IF('Extraction edi'!B640="","",'Extraction edi'!B640)</f>
        <v/>
      </c>
      <c r="D630" s="1" t="str">
        <f>IF('Extraction edi'!H640="","",'Extraction edi'!H640)</f>
        <v/>
      </c>
      <c r="E630" s="1" t="str">
        <f>IF('Extraction edi'!I640="","",'Extraction edi'!I640)</f>
        <v/>
      </c>
      <c r="F630" t="str">
        <f>IF('Extraction edi'!K640="","",'Extraction edi'!K640)</f>
        <v/>
      </c>
      <c r="G630" t="str">
        <f>IF('Extraction edi'!L633="","",'Extraction edi'!L633)</f>
        <v/>
      </c>
      <c r="H630" t="str">
        <f>IF('Extraction edi'!M633="","",'Extraction edi'!M633)</f>
        <v/>
      </c>
      <c r="I630" s="1" t="str">
        <f>IF('Extraction edi'!N640="","",'Extraction edi'!N640)</f>
        <v/>
      </c>
      <c r="J630" s="1" t="str">
        <f>IF('Extraction edi'!O640="","",'Extraction edi'!O640)</f>
        <v/>
      </c>
      <c r="K630" s="1" t="str">
        <f>IF('Extraction edi'!P640="","",'Extraction edi'!P640)</f>
        <v/>
      </c>
      <c r="L630" s="1" t="str">
        <f>IF('Extraction edi'!Q640="laquage RAL :","OUI","")</f>
        <v/>
      </c>
      <c r="M630" s="1" t="str">
        <f>IF('Extraction edi'!R640&lt;&gt;"",'Extraction edi'!R640,IF(G630="ALU blanc","S9016",""))</f>
        <v/>
      </c>
      <c r="N630" s="1" t="str">
        <f>IF('Extraction edi'!S640&lt;&gt;"",'Extraction edi'!S640,IF(G630="ALU blanc","S9016",""))</f>
        <v/>
      </c>
      <c r="O630" s="11" t="str">
        <f>IF('Extraction edi'!V640&lt;'Feuille commande'!$E$1,"DELAI NON COMPATIBLE",IF('Extraction edi'!V640="","",WORKDAY('Extraction edi'!V640,-10,Paramètrage!$G$2:$G$104)))</f>
        <v/>
      </c>
      <c r="P630" s="1" t="e">
        <f t="shared" si="9"/>
        <v>#VALUE!</v>
      </c>
    </row>
    <row r="631" spans="1:16" x14ac:dyDescent="0.25">
      <c r="A631" s="1" t="str">
        <f>IF(B631="","",CONCATENATE(B631,".",C631,"/Pos ",D631,"/",'Extraction edi'!G641))</f>
        <v/>
      </c>
      <c r="B631" s="1" t="str">
        <f>IF('Extraction edi'!A641="","",'Extraction edi'!A641)</f>
        <v/>
      </c>
      <c r="C631" s="1" t="str">
        <f>IF('Extraction edi'!B641="","",'Extraction edi'!B641)</f>
        <v/>
      </c>
      <c r="D631" s="1" t="str">
        <f>IF('Extraction edi'!H641="","",'Extraction edi'!H641)</f>
        <v/>
      </c>
      <c r="E631" s="1" t="str">
        <f>IF('Extraction edi'!I641="","",'Extraction edi'!I641)</f>
        <v/>
      </c>
      <c r="F631" t="str">
        <f>IF('Extraction edi'!K641="","",'Extraction edi'!K641)</f>
        <v/>
      </c>
      <c r="G631" t="str">
        <f>IF('Extraction edi'!L634="","",'Extraction edi'!L634)</f>
        <v/>
      </c>
      <c r="H631" t="str">
        <f>IF('Extraction edi'!M634="","",'Extraction edi'!M634)</f>
        <v/>
      </c>
      <c r="I631" s="1" t="str">
        <f>IF('Extraction edi'!N641="","",'Extraction edi'!N641)</f>
        <v/>
      </c>
      <c r="J631" s="1" t="str">
        <f>IF('Extraction edi'!O641="","",'Extraction edi'!O641)</f>
        <v/>
      </c>
      <c r="K631" s="1" t="str">
        <f>IF('Extraction edi'!P641="","",'Extraction edi'!P641)</f>
        <v/>
      </c>
      <c r="L631" s="1" t="str">
        <f>IF('Extraction edi'!Q641="laquage RAL :","OUI","")</f>
        <v/>
      </c>
      <c r="M631" s="1" t="str">
        <f>IF('Extraction edi'!R641&lt;&gt;"",'Extraction edi'!R641,IF(G631="ALU blanc","S9016",""))</f>
        <v/>
      </c>
      <c r="N631" s="1" t="str">
        <f>IF('Extraction edi'!S641&lt;&gt;"",'Extraction edi'!S641,IF(G631="ALU blanc","S9016",""))</f>
        <v/>
      </c>
      <c r="O631" s="11" t="str">
        <f>IF('Extraction edi'!V641&lt;'Feuille commande'!$E$1,"DELAI NON COMPATIBLE",IF('Extraction edi'!V641="","",WORKDAY('Extraction edi'!V641,-10,Paramètrage!$G$2:$G$104)))</f>
        <v/>
      </c>
      <c r="P631" s="1" t="e">
        <f t="shared" si="9"/>
        <v>#VALUE!</v>
      </c>
    </row>
    <row r="632" spans="1:16" x14ac:dyDescent="0.25">
      <c r="A632" s="1" t="str">
        <f>IF(B632="","",CONCATENATE(B632,".",C632,"/Pos ",D632,"/",'Extraction edi'!G642))</f>
        <v/>
      </c>
      <c r="B632" s="1" t="str">
        <f>IF('Extraction edi'!A642="","",'Extraction edi'!A642)</f>
        <v/>
      </c>
      <c r="C632" s="1" t="str">
        <f>IF('Extraction edi'!B642="","",'Extraction edi'!B642)</f>
        <v/>
      </c>
      <c r="D632" s="1" t="str">
        <f>IF('Extraction edi'!H642="","",'Extraction edi'!H642)</f>
        <v/>
      </c>
      <c r="E632" s="1" t="str">
        <f>IF('Extraction edi'!I642="","",'Extraction edi'!I642)</f>
        <v/>
      </c>
      <c r="F632" t="str">
        <f>IF('Extraction edi'!K642="","",'Extraction edi'!K642)</f>
        <v/>
      </c>
      <c r="G632" t="str">
        <f>IF('Extraction edi'!L635="","",'Extraction edi'!L635)</f>
        <v/>
      </c>
      <c r="H632" t="str">
        <f>IF('Extraction edi'!M635="","",'Extraction edi'!M635)</f>
        <v/>
      </c>
      <c r="I632" s="1" t="str">
        <f>IF('Extraction edi'!N642="","",'Extraction edi'!N642)</f>
        <v/>
      </c>
      <c r="J632" s="1" t="str">
        <f>IF('Extraction edi'!O642="","",'Extraction edi'!O642)</f>
        <v/>
      </c>
      <c r="K632" s="1" t="str">
        <f>IF('Extraction edi'!P642="","",'Extraction edi'!P642)</f>
        <v/>
      </c>
      <c r="L632" s="1" t="str">
        <f>IF('Extraction edi'!Q642="laquage RAL :","OUI","")</f>
        <v/>
      </c>
      <c r="M632" s="1" t="str">
        <f>IF('Extraction edi'!R642&lt;&gt;"",'Extraction edi'!R642,IF(G632="ALU blanc","S9016",""))</f>
        <v/>
      </c>
      <c r="N632" s="1" t="str">
        <f>IF('Extraction edi'!S642&lt;&gt;"",'Extraction edi'!S642,IF(G632="ALU blanc","S9016",""))</f>
        <v/>
      </c>
      <c r="O632" s="11" t="str">
        <f>IF('Extraction edi'!V642&lt;'Feuille commande'!$E$1,"DELAI NON COMPATIBLE",IF('Extraction edi'!V642="","",WORKDAY('Extraction edi'!V642,-10,Paramètrage!$G$2:$G$104)))</f>
        <v/>
      </c>
      <c r="P632" s="1" t="e">
        <f t="shared" si="9"/>
        <v>#VALUE!</v>
      </c>
    </row>
    <row r="633" spans="1:16" x14ac:dyDescent="0.25">
      <c r="A633" s="1" t="str">
        <f>IF(B633="","",CONCATENATE(B633,".",C633,"/Pos ",D633,"/",'Extraction edi'!G643))</f>
        <v/>
      </c>
      <c r="B633" s="1" t="str">
        <f>IF('Extraction edi'!A643="","",'Extraction edi'!A643)</f>
        <v/>
      </c>
      <c r="C633" s="1" t="str">
        <f>IF('Extraction edi'!B643="","",'Extraction edi'!B643)</f>
        <v/>
      </c>
      <c r="D633" s="1" t="str">
        <f>IF('Extraction edi'!H643="","",'Extraction edi'!H643)</f>
        <v/>
      </c>
      <c r="E633" s="1" t="str">
        <f>IF('Extraction edi'!I643="","",'Extraction edi'!I643)</f>
        <v/>
      </c>
      <c r="F633" t="str">
        <f>IF('Extraction edi'!K643="","",'Extraction edi'!K643)</f>
        <v/>
      </c>
      <c r="G633" t="str">
        <f>IF('Extraction edi'!L636="","",'Extraction edi'!L636)</f>
        <v/>
      </c>
      <c r="H633" t="str">
        <f>IF('Extraction edi'!M636="","",'Extraction edi'!M636)</f>
        <v/>
      </c>
      <c r="I633" s="1" t="str">
        <f>IF('Extraction edi'!N643="","",'Extraction edi'!N643)</f>
        <v/>
      </c>
      <c r="J633" s="1" t="str">
        <f>IF('Extraction edi'!O643="","",'Extraction edi'!O643)</f>
        <v/>
      </c>
      <c r="K633" s="1" t="str">
        <f>IF('Extraction edi'!P643="","",'Extraction edi'!P643)</f>
        <v/>
      </c>
      <c r="L633" s="1" t="str">
        <f>IF('Extraction edi'!Q643="laquage RAL :","OUI","")</f>
        <v/>
      </c>
      <c r="M633" s="1" t="str">
        <f>IF('Extraction edi'!R643&lt;&gt;"",'Extraction edi'!R643,IF(G633="ALU blanc","S9016",""))</f>
        <v/>
      </c>
      <c r="N633" s="1" t="str">
        <f>IF('Extraction edi'!S643&lt;&gt;"",'Extraction edi'!S643,IF(G633="ALU blanc","S9016",""))</f>
        <v/>
      </c>
      <c r="O633" s="11" t="str">
        <f>IF('Extraction edi'!V643&lt;'Feuille commande'!$E$1,"DELAI NON COMPATIBLE",IF('Extraction edi'!V643="","",WORKDAY('Extraction edi'!V643,-10,Paramètrage!$G$2:$G$104)))</f>
        <v/>
      </c>
      <c r="P633" s="1" t="e">
        <f t="shared" si="9"/>
        <v>#VALUE!</v>
      </c>
    </row>
    <row r="634" spans="1:16" x14ac:dyDescent="0.25">
      <c r="A634" s="1" t="str">
        <f>IF(B634="","",CONCATENATE(B634,".",C634,"/Pos ",D634,"/",'Extraction edi'!G644))</f>
        <v/>
      </c>
      <c r="B634" s="1" t="str">
        <f>IF('Extraction edi'!A644="","",'Extraction edi'!A644)</f>
        <v/>
      </c>
      <c r="C634" s="1" t="str">
        <f>IF('Extraction edi'!B644="","",'Extraction edi'!B644)</f>
        <v/>
      </c>
      <c r="D634" s="1" t="str">
        <f>IF('Extraction edi'!H644="","",'Extraction edi'!H644)</f>
        <v/>
      </c>
      <c r="E634" s="1" t="str">
        <f>IF('Extraction edi'!I644="","",'Extraction edi'!I644)</f>
        <v/>
      </c>
      <c r="F634" t="str">
        <f>IF('Extraction edi'!K644="","",'Extraction edi'!K644)</f>
        <v/>
      </c>
      <c r="G634" t="str">
        <f>IF('Extraction edi'!L637="","",'Extraction edi'!L637)</f>
        <v/>
      </c>
      <c r="H634" t="str">
        <f>IF('Extraction edi'!M637="","",'Extraction edi'!M637)</f>
        <v/>
      </c>
      <c r="I634" s="1" t="str">
        <f>IF('Extraction edi'!N644="","",'Extraction edi'!N644)</f>
        <v/>
      </c>
      <c r="J634" s="1" t="str">
        <f>IF('Extraction edi'!O644="","",'Extraction edi'!O644)</f>
        <v/>
      </c>
      <c r="K634" s="1" t="str">
        <f>IF('Extraction edi'!P644="","",'Extraction edi'!P644)</f>
        <v/>
      </c>
      <c r="L634" s="1" t="str">
        <f>IF('Extraction edi'!Q644="laquage RAL :","OUI","")</f>
        <v/>
      </c>
      <c r="M634" s="1" t="str">
        <f>IF('Extraction edi'!R644&lt;&gt;"",'Extraction edi'!R644,IF(G634="ALU blanc","S9016",""))</f>
        <v/>
      </c>
      <c r="N634" s="1" t="str">
        <f>IF('Extraction edi'!S644&lt;&gt;"",'Extraction edi'!S644,IF(G634="ALU blanc","S9016",""))</f>
        <v/>
      </c>
      <c r="O634" s="11" t="str">
        <f>IF('Extraction edi'!V644&lt;'Feuille commande'!$E$1,"DELAI NON COMPATIBLE",IF('Extraction edi'!V644="","",WORKDAY('Extraction edi'!V644,-10,Paramètrage!$G$2:$G$104)))</f>
        <v/>
      </c>
      <c r="P634" s="1" t="e">
        <f t="shared" si="9"/>
        <v>#VALUE!</v>
      </c>
    </row>
    <row r="635" spans="1:16" x14ac:dyDescent="0.25">
      <c r="A635" s="1" t="str">
        <f>IF(B635="","",CONCATENATE(B635,".",C635,"/Pos ",D635,"/",'Extraction edi'!G645))</f>
        <v/>
      </c>
      <c r="B635" s="1" t="str">
        <f>IF('Extraction edi'!A645="","",'Extraction edi'!A645)</f>
        <v/>
      </c>
      <c r="C635" s="1" t="str">
        <f>IF('Extraction edi'!B645="","",'Extraction edi'!B645)</f>
        <v/>
      </c>
      <c r="D635" s="1" t="str">
        <f>IF('Extraction edi'!H645="","",'Extraction edi'!H645)</f>
        <v/>
      </c>
      <c r="E635" s="1" t="str">
        <f>IF('Extraction edi'!I645="","",'Extraction edi'!I645)</f>
        <v/>
      </c>
      <c r="F635" t="str">
        <f>IF('Extraction edi'!K645="","",'Extraction edi'!K645)</f>
        <v/>
      </c>
      <c r="G635" t="str">
        <f>IF('Extraction edi'!L638="","",'Extraction edi'!L638)</f>
        <v/>
      </c>
      <c r="H635" t="str">
        <f>IF('Extraction edi'!M638="","",'Extraction edi'!M638)</f>
        <v/>
      </c>
      <c r="I635" s="1" t="str">
        <f>IF('Extraction edi'!N645="","",'Extraction edi'!N645)</f>
        <v/>
      </c>
      <c r="J635" s="1" t="str">
        <f>IF('Extraction edi'!O645="","",'Extraction edi'!O645)</f>
        <v/>
      </c>
      <c r="K635" s="1" t="str">
        <f>IF('Extraction edi'!P645="","",'Extraction edi'!P645)</f>
        <v/>
      </c>
      <c r="L635" s="1" t="str">
        <f>IF('Extraction edi'!Q645="laquage RAL :","OUI","")</f>
        <v/>
      </c>
      <c r="M635" s="1" t="str">
        <f>IF('Extraction edi'!R645&lt;&gt;"",'Extraction edi'!R645,IF(G635="ALU blanc","S9016",""))</f>
        <v/>
      </c>
      <c r="N635" s="1" t="str">
        <f>IF('Extraction edi'!S645&lt;&gt;"",'Extraction edi'!S645,IF(G635="ALU blanc","S9016",""))</f>
        <v/>
      </c>
      <c r="O635" s="11" t="str">
        <f>IF('Extraction edi'!V645&lt;'Feuille commande'!$E$1,"DELAI NON COMPATIBLE",IF('Extraction edi'!V645="","",WORKDAY('Extraction edi'!V645,-10,Paramètrage!$G$2:$G$104)))</f>
        <v/>
      </c>
      <c r="P635" s="1" t="e">
        <f t="shared" si="9"/>
        <v>#VALUE!</v>
      </c>
    </row>
    <row r="636" spans="1:16" x14ac:dyDescent="0.25">
      <c r="A636" s="1" t="str">
        <f>IF(B636="","",CONCATENATE(B636,".",C636,"/Pos ",D636,"/",'Extraction edi'!G646))</f>
        <v/>
      </c>
      <c r="B636" s="1" t="str">
        <f>IF('Extraction edi'!A646="","",'Extraction edi'!A646)</f>
        <v/>
      </c>
      <c r="C636" s="1" t="str">
        <f>IF('Extraction edi'!B646="","",'Extraction edi'!B646)</f>
        <v/>
      </c>
      <c r="D636" s="1" t="str">
        <f>IF('Extraction edi'!H646="","",'Extraction edi'!H646)</f>
        <v/>
      </c>
      <c r="E636" s="1" t="str">
        <f>IF('Extraction edi'!I646="","",'Extraction edi'!I646)</f>
        <v/>
      </c>
      <c r="F636" t="str">
        <f>IF('Extraction edi'!K646="","",'Extraction edi'!K646)</f>
        <v/>
      </c>
      <c r="G636" t="str">
        <f>IF('Extraction edi'!L639="","",'Extraction edi'!L639)</f>
        <v/>
      </c>
      <c r="H636" t="str">
        <f>IF('Extraction edi'!M639="","",'Extraction edi'!M639)</f>
        <v/>
      </c>
      <c r="I636" s="1" t="str">
        <f>IF('Extraction edi'!N646="","",'Extraction edi'!N646)</f>
        <v/>
      </c>
      <c r="J636" s="1" t="str">
        <f>IF('Extraction edi'!O646="","",'Extraction edi'!O646)</f>
        <v/>
      </c>
      <c r="K636" s="1" t="str">
        <f>IF('Extraction edi'!P646="","",'Extraction edi'!P646)</f>
        <v/>
      </c>
      <c r="L636" s="1" t="str">
        <f>IF('Extraction edi'!Q646="laquage RAL :","OUI","")</f>
        <v/>
      </c>
      <c r="M636" s="1" t="str">
        <f>IF('Extraction edi'!R646&lt;&gt;"",'Extraction edi'!R646,IF(G636="ALU blanc","S9016",""))</f>
        <v/>
      </c>
      <c r="N636" s="1" t="str">
        <f>IF('Extraction edi'!S646&lt;&gt;"",'Extraction edi'!S646,IF(G636="ALU blanc","S9016",""))</f>
        <v/>
      </c>
      <c r="O636" s="11" t="str">
        <f>IF('Extraction edi'!V646&lt;'Feuille commande'!$E$1,"DELAI NON COMPATIBLE",IF('Extraction edi'!V646="","",WORKDAY('Extraction edi'!V646,-10,Paramètrage!$G$2:$G$104)))</f>
        <v/>
      </c>
      <c r="P636" s="1" t="e">
        <f t="shared" si="9"/>
        <v>#VALUE!</v>
      </c>
    </row>
    <row r="637" spans="1:16" x14ac:dyDescent="0.25">
      <c r="A637" s="1" t="str">
        <f>IF(B637="","",CONCATENATE(B637,".",C637,"/Pos ",D637,"/",'Extraction edi'!G647))</f>
        <v/>
      </c>
      <c r="B637" s="1" t="str">
        <f>IF('Extraction edi'!A647="","",'Extraction edi'!A647)</f>
        <v/>
      </c>
      <c r="C637" s="1" t="str">
        <f>IF('Extraction edi'!B647="","",'Extraction edi'!B647)</f>
        <v/>
      </c>
      <c r="D637" s="1" t="str">
        <f>IF('Extraction edi'!H647="","",'Extraction edi'!H647)</f>
        <v/>
      </c>
      <c r="E637" s="1" t="str">
        <f>IF('Extraction edi'!I647="","",'Extraction edi'!I647)</f>
        <v/>
      </c>
      <c r="F637" t="str">
        <f>IF('Extraction edi'!K647="","",'Extraction edi'!K647)</f>
        <v/>
      </c>
      <c r="G637" t="str">
        <f>IF('Extraction edi'!L640="","",'Extraction edi'!L640)</f>
        <v/>
      </c>
      <c r="H637" t="str">
        <f>IF('Extraction edi'!M640="","",'Extraction edi'!M640)</f>
        <v/>
      </c>
      <c r="I637" s="1" t="str">
        <f>IF('Extraction edi'!N647="","",'Extraction edi'!N647)</f>
        <v/>
      </c>
      <c r="J637" s="1" t="str">
        <f>IF('Extraction edi'!O647="","",'Extraction edi'!O647)</f>
        <v/>
      </c>
      <c r="K637" s="1" t="str">
        <f>IF('Extraction edi'!P647="","",'Extraction edi'!P647)</f>
        <v/>
      </c>
      <c r="L637" s="1" t="str">
        <f>IF('Extraction edi'!Q647="laquage RAL :","OUI","")</f>
        <v/>
      </c>
      <c r="M637" s="1" t="str">
        <f>IF('Extraction edi'!R647&lt;&gt;"",'Extraction edi'!R647,IF(G637="ALU blanc","S9016",""))</f>
        <v/>
      </c>
      <c r="N637" s="1" t="str">
        <f>IF('Extraction edi'!S647&lt;&gt;"",'Extraction edi'!S647,IF(G637="ALU blanc","S9016",""))</f>
        <v/>
      </c>
      <c r="O637" s="11" t="str">
        <f>IF('Extraction edi'!V647&lt;'Feuille commande'!$E$1,"DELAI NON COMPATIBLE",IF('Extraction edi'!V647="","",WORKDAY('Extraction edi'!V647,-10,Paramètrage!$G$2:$G$104)))</f>
        <v/>
      </c>
      <c r="P637" s="1" t="e">
        <f t="shared" si="9"/>
        <v>#VALUE!</v>
      </c>
    </row>
    <row r="638" spans="1:16" x14ac:dyDescent="0.25">
      <c r="A638" s="1" t="str">
        <f>IF(B638="","",CONCATENATE(B638,".",C638,"/Pos ",D638,"/",'Extraction edi'!G648))</f>
        <v/>
      </c>
      <c r="B638" s="1" t="str">
        <f>IF('Extraction edi'!A648="","",'Extraction edi'!A648)</f>
        <v/>
      </c>
      <c r="C638" s="1" t="str">
        <f>IF('Extraction edi'!B648="","",'Extraction edi'!B648)</f>
        <v/>
      </c>
      <c r="D638" s="1" t="str">
        <f>IF('Extraction edi'!H648="","",'Extraction edi'!H648)</f>
        <v/>
      </c>
      <c r="E638" s="1" t="str">
        <f>IF('Extraction edi'!I648="","",'Extraction edi'!I648)</f>
        <v/>
      </c>
      <c r="F638" t="str">
        <f>IF('Extraction edi'!K648="","",'Extraction edi'!K648)</f>
        <v/>
      </c>
      <c r="G638" t="str">
        <f>IF('Extraction edi'!L641="","",'Extraction edi'!L641)</f>
        <v/>
      </c>
      <c r="H638" t="str">
        <f>IF('Extraction edi'!M641="","",'Extraction edi'!M641)</f>
        <v/>
      </c>
      <c r="I638" s="1" t="str">
        <f>IF('Extraction edi'!N648="","",'Extraction edi'!N648)</f>
        <v/>
      </c>
      <c r="J638" s="1" t="str">
        <f>IF('Extraction edi'!O648="","",'Extraction edi'!O648)</f>
        <v/>
      </c>
      <c r="K638" s="1" t="str">
        <f>IF('Extraction edi'!P648="","",'Extraction edi'!P648)</f>
        <v/>
      </c>
      <c r="L638" s="1" t="str">
        <f>IF('Extraction edi'!Q648="laquage RAL :","OUI","")</f>
        <v/>
      </c>
      <c r="M638" s="1" t="str">
        <f>IF('Extraction edi'!R648&lt;&gt;"",'Extraction edi'!R648,IF(G638="ALU blanc","S9016",""))</f>
        <v/>
      </c>
      <c r="N638" s="1" t="str">
        <f>IF('Extraction edi'!S648&lt;&gt;"",'Extraction edi'!S648,IF(G638="ALU blanc","S9016",""))</f>
        <v/>
      </c>
      <c r="O638" s="11" t="str">
        <f>IF('Extraction edi'!V648&lt;'Feuille commande'!$E$1,"DELAI NON COMPATIBLE",IF('Extraction edi'!V648="","",WORKDAY('Extraction edi'!V648,-10,Paramètrage!$G$2:$G$104)))</f>
        <v/>
      </c>
      <c r="P638" s="1" t="e">
        <f t="shared" ref="P638:P701" si="10">WEEKDAY(O638,2)</f>
        <v>#VALUE!</v>
      </c>
    </row>
    <row r="639" spans="1:16" x14ac:dyDescent="0.25">
      <c r="A639" s="1" t="str">
        <f>IF(B639="","",CONCATENATE(B639,".",C639,"/Pos ",D639,"/",'Extraction edi'!G649))</f>
        <v/>
      </c>
      <c r="B639" s="1" t="str">
        <f>IF('Extraction edi'!A649="","",'Extraction edi'!A649)</f>
        <v/>
      </c>
      <c r="C639" s="1" t="str">
        <f>IF('Extraction edi'!B649="","",'Extraction edi'!B649)</f>
        <v/>
      </c>
      <c r="D639" s="1" t="str">
        <f>IF('Extraction edi'!H649="","",'Extraction edi'!H649)</f>
        <v/>
      </c>
      <c r="E639" s="1" t="str">
        <f>IF('Extraction edi'!I649="","",'Extraction edi'!I649)</f>
        <v/>
      </c>
      <c r="F639" t="str">
        <f>IF('Extraction edi'!K649="","",'Extraction edi'!K649)</f>
        <v/>
      </c>
      <c r="G639" t="str">
        <f>IF('Extraction edi'!L642="","",'Extraction edi'!L642)</f>
        <v/>
      </c>
      <c r="H639" t="str">
        <f>IF('Extraction edi'!M642="","",'Extraction edi'!M642)</f>
        <v/>
      </c>
      <c r="I639" s="1" t="str">
        <f>IF('Extraction edi'!N649="","",'Extraction edi'!N649)</f>
        <v/>
      </c>
      <c r="J639" s="1" t="str">
        <f>IF('Extraction edi'!O649="","",'Extraction edi'!O649)</f>
        <v/>
      </c>
      <c r="K639" s="1" t="str">
        <f>IF('Extraction edi'!P649="","",'Extraction edi'!P649)</f>
        <v/>
      </c>
      <c r="L639" s="1" t="str">
        <f>IF('Extraction edi'!Q649="laquage RAL :","OUI","")</f>
        <v/>
      </c>
      <c r="M639" s="1" t="str">
        <f>IF('Extraction edi'!R649&lt;&gt;"",'Extraction edi'!R649,IF(G639="ALU blanc","S9016",""))</f>
        <v/>
      </c>
      <c r="N639" s="1" t="str">
        <f>IF('Extraction edi'!S649&lt;&gt;"",'Extraction edi'!S649,IF(G639="ALU blanc","S9016",""))</f>
        <v/>
      </c>
      <c r="O639" s="11" t="str">
        <f>IF('Extraction edi'!V649&lt;'Feuille commande'!$E$1,"DELAI NON COMPATIBLE",IF('Extraction edi'!V649="","",WORKDAY('Extraction edi'!V649,-10,Paramètrage!$G$2:$G$104)))</f>
        <v/>
      </c>
      <c r="P639" s="1" t="e">
        <f t="shared" si="10"/>
        <v>#VALUE!</v>
      </c>
    </row>
    <row r="640" spans="1:16" x14ac:dyDescent="0.25">
      <c r="A640" s="1" t="str">
        <f>IF(B640="","",CONCATENATE(B640,".",C640,"/Pos ",D640,"/",'Extraction edi'!G650))</f>
        <v/>
      </c>
      <c r="B640" s="1" t="str">
        <f>IF('Extraction edi'!A650="","",'Extraction edi'!A650)</f>
        <v/>
      </c>
      <c r="C640" s="1" t="str">
        <f>IF('Extraction edi'!B650="","",'Extraction edi'!B650)</f>
        <v/>
      </c>
      <c r="D640" s="1" t="str">
        <f>IF('Extraction edi'!H650="","",'Extraction edi'!H650)</f>
        <v/>
      </c>
      <c r="E640" s="1" t="str">
        <f>IF('Extraction edi'!I650="","",'Extraction edi'!I650)</f>
        <v/>
      </c>
      <c r="F640" t="str">
        <f>IF('Extraction edi'!K650="","",'Extraction edi'!K650)</f>
        <v/>
      </c>
      <c r="G640" t="str">
        <f>IF('Extraction edi'!L643="","",'Extraction edi'!L643)</f>
        <v/>
      </c>
      <c r="H640" t="str">
        <f>IF('Extraction edi'!M643="","",'Extraction edi'!M643)</f>
        <v/>
      </c>
      <c r="I640" s="1" t="str">
        <f>IF('Extraction edi'!N650="","",'Extraction edi'!N650)</f>
        <v/>
      </c>
      <c r="J640" s="1" t="str">
        <f>IF('Extraction edi'!O650="","",'Extraction edi'!O650)</f>
        <v/>
      </c>
      <c r="K640" s="1" t="str">
        <f>IF('Extraction edi'!P650="","",'Extraction edi'!P650)</f>
        <v/>
      </c>
      <c r="L640" s="1" t="str">
        <f>IF('Extraction edi'!Q650="laquage RAL :","OUI","")</f>
        <v/>
      </c>
      <c r="M640" s="1" t="str">
        <f>IF('Extraction edi'!R650&lt;&gt;"",'Extraction edi'!R650,IF(G640="ALU blanc","S9016",""))</f>
        <v/>
      </c>
      <c r="N640" s="1" t="str">
        <f>IF('Extraction edi'!S650&lt;&gt;"",'Extraction edi'!S650,IF(G640="ALU blanc","S9016",""))</f>
        <v/>
      </c>
      <c r="O640" s="11" t="str">
        <f>IF('Extraction edi'!V650&lt;'Feuille commande'!$E$1,"DELAI NON COMPATIBLE",IF('Extraction edi'!V650="","",WORKDAY('Extraction edi'!V650,-10,Paramètrage!$G$2:$G$104)))</f>
        <v/>
      </c>
      <c r="P640" s="1" t="e">
        <f t="shared" si="10"/>
        <v>#VALUE!</v>
      </c>
    </row>
    <row r="641" spans="1:16" x14ac:dyDescent="0.25">
      <c r="A641" s="1" t="str">
        <f>IF(B641="","",CONCATENATE(B641,".",C641,"/Pos ",D641,"/",'Extraction edi'!G651))</f>
        <v/>
      </c>
      <c r="B641" s="1" t="str">
        <f>IF('Extraction edi'!A651="","",'Extraction edi'!A651)</f>
        <v/>
      </c>
      <c r="C641" s="1" t="str">
        <f>IF('Extraction edi'!B651="","",'Extraction edi'!B651)</f>
        <v/>
      </c>
      <c r="D641" s="1" t="str">
        <f>IF('Extraction edi'!H651="","",'Extraction edi'!H651)</f>
        <v/>
      </c>
      <c r="E641" s="1" t="str">
        <f>IF('Extraction edi'!I651="","",'Extraction edi'!I651)</f>
        <v/>
      </c>
      <c r="F641" t="str">
        <f>IF('Extraction edi'!K651="","",'Extraction edi'!K651)</f>
        <v/>
      </c>
      <c r="G641" t="str">
        <f>IF('Extraction edi'!L644="","",'Extraction edi'!L644)</f>
        <v/>
      </c>
      <c r="H641" t="str">
        <f>IF('Extraction edi'!M644="","",'Extraction edi'!M644)</f>
        <v/>
      </c>
      <c r="I641" s="1" t="str">
        <f>IF('Extraction edi'!N651="","",'Extraction edi'!N651)</f>
        <v/>
      </c>
      <c r="J641" s="1" t="str">
        <f>IF('Extraction edi'!O651="","",'Extraction edi'!O651)</f>
        <v/>
      </c>
      <c r="K641" s="1" t="str">
        <f>IF('Extraction edi'!P651="","",'Extraction edi'!P651)</f>
        <v/>
      </c>
      <c r="L641" s="1" t="str">
        <f>IF('Extraction edi'!Q651="laquage RAL :","OUI","")</f>
        <v/>
      </c>
      <c r="M641" s="1" t="str">
        <f>IF('Extraction edi'!R651&lt;&gt;"",'Extraction edi'!R651,IF(G641="ALU blanc","S9016",""))</f>
        <v/>
      </c>
      <c r="N641" s="1" t="str">
        <f>IF('Extraction edi'!S651&lt;&gt;"",'Extraction edi'!S651,IF(G641="ALU blanc","S9016",""))</f>
        <v/>
      </c>
      <c r="O641" s="11" t="str">
        <f>IF('Extraction edi'!V651&lt;'Feuille commande'!$E$1,"DELAI NON COMPATIBLE",IF('Extraction edi'!V651="","",WORKDAY('Extraction edi'!V651,-10,Paramètrage!$G$2:$G$104)))</f>
        <v/>
      </c>
      <c r="P641" s="1" t="e">
        <f t="shared" si="10"/>
        <v>#VALUE!</v>
      </c>
    </row>
    <row r="642" spans="1:16" x14ac:dyDescent="0.25">
      <c r="A642" s="1" t="str">
        <f>IF(B642="","",CONCATENATE(B642,".",C642,"/Pos ",D642,"/",'Extraction edi'!G652))</f>
        <v/>
      </c>
      <c r="B642" s="1" t="str">
        <f>IF('Extraction edi'!A652="","",'Extraction edi'!A652)</f>
        <v/>
      </c>
      <c r="C642" s="1" t="str">
        <f>IF('Extraction edi'!B652="","",'Extraction edi'!B652)</f>
        <v/>
      </c>
      <c r="D642" s="1" t="str">
        <f>IF('Extraction edi'!H652="","",'Extraction edi'!H652)</f>
        <v/>
      </c>
      <c r="E642" s="1" t="str">
        <f>IF('Extraction edi'!I652="","",'Extraction edi'!I652)</f>
        <v/>
      </c>
      <c r="F642" t="str">
        <f>IF('Extraction edi'!K652="","",'Extraction edi'!K652)</f>
        <v/>
      </c>
      <c r="G642" t="str">
        <f>IF('Extraction edi'!L645="","",'Extraction edi'!L645)</f>
        <v/>
      </c>
      <c r="H642" t="str">
        <f>IF('Extraction edi'!M645="","",'Extraction edi'!M645)</f>
        <v/>
      </c>
      <c r="I642" s="1" t="str">
        <f>IF('Extraction edi'!N652="","",'Extraction edi'!N652)</f>
        <v/>
      </c>
      <c r="J642" s="1" t="str">
        <f>IF('Extraction edi'!O652="","",'Extraction edi'!O652)</f>
        <v/>
      </c>
      <c r="K642" s="1" t="str">
        <f>IF('Extraction edi'!P652="","",'Extraction edi'!P652)</f>
        <v/>
      </c>
      <c r="L642" s="1" t="str">
        <f>IF('Extraction edi'!Q652="laquage RAL :","OUI","")</f>
        <v/>
      </c>
      <c r="M642" s="1" t="str">
        <f>IF('Extraction edi'!R652&lt;&gt;"",'Extraction edi'!R652,IF(G642="ALU blanc","S9016",""))</f>
        <v/>
      </c>
      <c r="N642" s="1" t="str">
        <f>IF('Extraction edi'!S652&lt;&gt;"",'Extraction edi'!S652,IF(G642="ALU blanc","S9016",""))</f>
        <v/>
      </c>
      <c r="O642" s="11" t="str">
        <f>IF('Extraction edi'!V652&lt;'Feuille commande'!$E$1,"DELAI NON COMPATIBLE",IF('Extraction edi'!V652="","",WORKDAY('Extraction edi'!V652,-10,Paramètrage!$G$2:$G$104)))</f>
        <v/>
      </c>
      <c r="P642" s="1" t="e">
        <f t="shared" si="10"/>
        <v>#VALUE!</v>
      </c>
    </row>
    <row r="643" spans="1:16" x14ac:dyDescent="0.25">
      <c r="A643" s="1" t="str">
        <f>IF(B643="","",CONCATENATE(B643,".",C643,"/Pos ",D643,"/",'Extraction edi'!G653))</f>
        <v/>
      </c>
      <c r="B643" s="1" t="str">
        <f>IF('Extraction edi'!A653="","",'Extraction edi'!A653)</f>
        <v/>
      </c>
      <c r="C643" s="1" t="str">
        <f>IF('Extraction edi'!B653="","",'Extraction edi'!B653)</f>
        <v/>
      </c>
      <c r="D643" s="1" t="str">
        <f>IF('Extraction edi'!H653="","",'Extraction edi'!H653)</f>
        <v/>
      </c>
      <c r="E643" s="1" t="str">
        <f>IF('Extraction edi'!I653="","",'Extraction edi'!I653)</f>
        <v/>
      </c>
      <c r="F643" t="str">
        <f>IF('Extraction edi'!K653="","",'Extraction edi'!K653)</f>
        <v/>
      </c>
      <c r="G643" t="str">
        <f>IF('Extraction edi'!L646="","",'Extraction edi'!L646)</f>
        <v/>
      </c>
      <c r="H643" t="str">
        <f>IF('Extraction edi'!M646="","",'Extraction edi'!M646)</f>
        <v/>
      </c>
      <c r="I643" s="1" t="str">
        <f>IF('Extraction edi'!N653="","",'Extraction edi'!N653)</f>
        <v/>
      </c>
      <c r="J643" s="1" t="str">
        <f>IF('Extraction edi'!O653="","",'Extraction edi'!O653)</f>
        <v/>
      </c>
      <c r="K643" s="1" t="str">
        <f>IF('Extraction edi'!P653="","",'Extraction edi'!P653)</f>
        <v/>
      </c>
      <c r="L643" s="1" t="str">
        <f>IF('Extraction edi'!Q653="laquage RAL :","OUI","")</f>
        <v/>
      </c>
      <c r="M643" s="1" t="str">
        <f>IF('Extraction edi'!R653&lt;&gt;"",'Extraction edi'!R653,IF(G643="ALU blanc","S9016",""))</f>
        <v/>
      </c>
      <c r="N643" s="1" t="str">
        <f>IF('Extraction edi'!S653&lt;&gt;"",'Extraction edi'!S653,IF(G643="ALU blanc","S9016",""))</f>
        <v/>
      </c>
      <c r="O643" s="11" t="str">
        <f>IF('Extraction edi'!V653&lt;'Feuille commande'!$E$1,"DELAI NON COMPATIBLE",IF('Extraction edi'!V653="","",WORKDAY('Extraction edi'!V653,-10,Paramètrage!$G$2:$G$104)))</f>
        <v/>
      </c>
      <c r="P643" s="1" t="e">
        <f t="shared" si="10"/>
        <v>#VALUE!</v>
      </c>
    </row>
    <row r="644" spans="1:16" x14ac:dyDescent="0.25">
      <c r="A644" s="1" t="str">
        <f>IF(B644="","",CONCATENATE(B644,".",C644,"/Pos ",D644,"/",'Extraction edi'!G654))</f>
        <v/>
      </c>
      <c r="B644" s="1" t="str">
        <f>IF('Extraction edi'!A654="","",'Extraction edi'!A654)</f>
        <v/>
      </c>
      <c r="C644" s="1" t="str">
        <f>IF('Extraction edi'!B654="","",'Extraction edi'!B654)</f>
        <v/>
      </c>
      <c r="D644" s="1" t="str">
        <f>IF('Extraction edi'!H654="","",'Extraction edi'!H654)</f>
        <v/>
      </c>
      <c r="E644" s="1" t="str">
        <f>IF('Extraction edi'!I654="","",'Extraction edi'!I654)</f>
        <v/>
      </c>
      <c r="F644" t="str">
        <f>IF('Extraction edi'!K654="","",'Extraction edi'!K654)</f>
        <v/>
      </c>
      <c r="G644" t="str">
        <f>IF('Extraction edi'!L647="","",'Extraction edi'!L647)</f>
        <v/>
      </c>
      <c r="H644" t="str">
        <f>IF('Extraction edi'!M647="","",'Extraction edi'!M647)</f>
        <v/>
      </c>
      <c r="I644" s="1" t="str">
        <f>IF('Extraction edi'!N654="","",'Extraction edi'!N654)</f>
        <v/>
      </c>
      <c r="J644" s="1" t="str">
        <f>IF('Extraction edi'!O654="","",'Extraction edi'!O654)</f>
        <v/>
      </c>
      <c r="K644" s="1" t="str">
        <f>IF('Extraction edi'!P654="","",'Extraction edi'!P654)</f>
        <v/>
      </c>
      <c r="L644" s="1" t="str">
        <f>IF('Extraction edi'!Q654="laquage RAL :","OUI","")</f>
        <v/>
      </c>
      <c r="M644" s="1" t="str">
        <f>IF('Extraction edi'!R654&lt;&gt;"",'Extraction edi'!R654,IF(G644="ALU blanc","S9016",""))</f>
        <v/>
      </c>
      <c r="N644" s="1" t="str">
        <f>IF('Extraction edi'!S654&lt;&gt;"",'Extraction edi'!S654,IF(G644="ALU blanc","S9016",""))</f>
        <v/>
      </c>
      <c r="O644" s="11" t="str">
        <f>IF('Extraction edi'!V654&lt;'Feuille commande'!$E$1,"DELAI NON COMPATIBLE",IF('Extraction edi'!V654="","",WORKDAY('Extraction edi'!V654,-10,Paramètrage!$G$2:$G$104)))</f>
        <v/>
      </c>
      <c r="P644" s="1" t="e">
        <f t="shared" si="10"/>
        <v>#VALUE!</v>
      </c>
    </row>
    <row r="645" spans="1:16" x14ac:dyDescent="0.25">
      <c r="A645" s="1" t="str">
        <f>IF(B645="","",CONCATENATE(B645,".",C645,"/Pos ",D645,"/",'Extraction edi'!G655))</f>
        <v/>
      </c>
      <c r="B645" s="1" t="str">
        <f>IF('Extraction edi'!A655="","",'Extraction edi'!A655)</f>
        <v/>
      </c>
      <c r="C645" s="1" t="str">
        <f>IF('Extraction edi'!B655="","",'Extraction edi'!B655)</f>
        <v/>
      </c>
      <c r="D645" s="1" t="str">
        <f>IF('Extraction edi'!H655="","",'Extraction edi'!H655)</f>
        <v/>
      </c>
      <c r="E645" s="1" t="str">
        <f>IF('Extraction edi'!I655="","",'Extraction edi'!I655)</f>
        <v/>
      </c>
      <c r="F645" t="str">
        <f>IF('Extraction edi'!K655="","",'Extraction edi'!K655)</f>
        <v/>
      </c>
      <c r="G645" t="str">
        <f>IF('Extraction edi'!L648="","",'Extraction edi'!L648)</f>
        <v/>
      </c>
      <c r="H645" t="str">
        <f>IF('Extraction edi'!M648="","",'Extraction edi'!M648)</f>
        <v/>
      </c>
      <c r="I645" s="1" t="str">
        <f>IF('Extraction edi'!N655="","",'Extraction edi'!N655)</f>
        <v/>
      </c>
      <c r="J645" s="1" t="str">
        <f>IF('Extraction edi'!O655="","",'Extraction edi'!O655)</f>
        <v/>
      </c>
      <c r="K645" s="1" t="str">
        <f>IF('Extraction edi'!P655="","",'Extraction edi'!P655)</f>
        <v/>
      </c>
      <c r="L645" s="1" t="str">
        <f>IF('Extraction edi'!Q655="laquage RAL :","OUI","")</f>
        <v/>
      </c>
      <c r="M645" s="1" t="str">
        <f>IF('Extraction edi'!R655&lt;&gt;"",'Extraction edi'!R655,IF(G645="ALU blanc","S9016",""))</f>
        <v/>
      </c>
      <c r="N645" s="1" t="str">
        <f>IF('Extraction edi'!S655&lt;&gt;"",'Extraction edi'!S655,IF(G645="ALU blanc","S9016",""))</f>
        <v/>
      </c>
      <c r="O645" s="11" t="str">
        <f>IF('Extraction edi'!V655&lt;'Feuille commande'!$E$1,"DELAI NON COMPATIBLE",IF('Extraction edi'!V655="","",WORKDAY('Extraction edi'!V655,-10,Paramètrage!$G$2:$G$104)))</f>
        <v/>
      </c>
      <c r="P645" s="1" t="e">
        <f t="shared" si="10"/>
        <v>#VALUE!</v>
      </c>
    </row>
    <row r="646" spans="1:16" x14ac:dyDescent="0.25">
      <c r="A646" s="1" t="str">
        <f>IF(B646="","",CONCATENATE(B646,".",C646,"/Pos ",D646,"/",'Extraction edi'!G656))</f>
        <v/>
      </c>
      <c r="B646" s="1" t="str">
        <f>IF('Extraction edi'!A656="","",'Extraction edi'!A656)</f>
        <v/>
      </c>
      <c r="C646" s="1" t="str">
        <f>IF('Extraction edi'!B656="","",'Extraction edi'!B656)</f>
        <v/>
      </c>
      <c r="D646" s="1" t="str">
        <f>IF('Extraction edi'!H656="","",'Extraction edi'!H656)</f>
        <v/>
      </c>
      <c r="E646" s="1" t="str">
        <f>IF('Extraction edi'!I656="","",'Extraction edi'!I656)</f>
        <v/>
      </c>
      <c r="F646" t="str">
        <f>IF('Extraction edi'!K656="","",'Extraction edi'!K656)</f>
        <v/>
      </c>
      <c r="G646" t="str">
        <f>IF('Extraction edi'!L649="","",'Extraction edi'!L649)</f>
        <v/>
      </c>
      <c r="H646" t="str">
        <f>IF('Extraction edi'!M649="","",'Extraction edi'!M649)</f>
        <v/>
      </c>
      <c r="I646" s="1" t="str">
        <f>IF('Extraction edi'!N656="","",'Extraction edi'!N656)</f>
        <v/>
      </c>
      <c r="J646" s="1" t="str">
        <f>IF('Extraction edi'!O656="","",'Extraction edi'!O656)</f>
        <v/>
      </c>
      <c r="K646" s="1" t="str">
        <f>IF('Extraction edi'!P656="","",'Extraction edi'!P656)</f>
        <v/>
      </c>
      <c r="L646" s="1" t="str">
        <f>IF('Extraction edi'!Q656="laquage RAL :","OUI","")</f>
        <v/>
      </c>
      <c r="M646" s="1" t="str">
        <f>IF('Extraction edi'!R656&lt;&gt;"",'Extraction edi'!R656,IF(G646="ALU blanc","S9016",""))</f>
        <v/>
      </c>
      <c r="N646" s="1" t="str">
        <f>IF('Extraction edi'!S656&lt;&gt;"",'Extraction edi'!S656,IF(G646="ALU blanc","S9016",""))</f>
        <v/>
      </c>
      <c r="O646" s="11" t="str">
        <f>IF('Extraction edi'!V656&lt;'Feuille commande'!$E$1,"DELAI NON COMPATIBLE",IF('Extraction edi'!V656="","",WORKDAY('Extraction edi'!V656,-10,Paramètrage!$G$2:$G$104)))</f>
        <v/>
      </c>
      <c r="P646" s="1" t="e">
        <f t="shared" si="10"/>
        <v>#VALUE!</v>
      </c>
    </row>
    <row r="647" spans="1:16" x14ac:dyDescent="0.25">
      <c r="A647" s="1" t="str">
        <f>IF(B647="","",CONCATENATE(B647,".",C647,"/Pos ",D647,"/",'Extraction edi'!G657))</f>
        <v/>
      </c>
      <c r="B647" s="1" t="str">
        <f>IF('Extraction edi'!A657="","",'Extraction edi'!A657)</f>
        <v/>
      </c>
      <c r="C647" s="1" t="str">
        <f>IF('Extraction edi'!B657="","",'Extraction edi'!B657)</f>
        <v/>
      </c>
      <c r="D647" s="1" t="str">
        <f>IF('Extraction edi'!H657="","",'Extraction edi'!H657)</f>
        <v/>
      </c>
      <c r="E647" s="1" t="str">
        <f>IF('Extraction edi'!I657="","",'Extraction edi'!I657)</f>
        <v/>
      </c>
      <c r="F647" t="str">
        <f>IF('Extraction edi'!K657="","",'Extraction edi'!K657)</f>
        <v/>
      </c>
      <c r="G647" t="str">
        <f>IF('Extraction edi'!L650="","",'Extraction edi'!L650)</f>
        <v/>
      </c>
      <c r="H647" t="str">
        <f>IF('Extraction edi'!M650="","",'Extraction edi'!M650)</f>
        <v/>
      </c>
      <c r="I647" s="1" t="str">
        <f>IF('Extraction edi'!N657="","",'Extraction edi'!N657)</f>
        <v/>
      </c>
      <c r="J647" s="1" t="str">
        <f>IF('Extraction edi'!O657="","",'Extraction edi'!O657)</f>
        <v/>
      </c>
      <c r="K647" s="1" t="str">
        <f>IF('Extraction edi'!P657="","",'Extraction edi'!P657)</f>
        <v/>
      </c>
      <c r="L647" s="1" t="str">
        <f>IF('Extraction edi'!Q657="laquage RAL :","OUI","")</f>
        <v/>
      </c>
      <c r="M647" s="1" t="str">
        <f>IF('Extraction edi'!R657&lt;&gt;"",'Extraction edi'!R657,IF(G647="ALU blanc","S9016",""))</f>
        <v/>
      </c>
      <c r="N647" s="1" t="str">
        <f>IF('Extraction edi'!S657&lt;&gt;"",'Extraction edi'!S657,IF(G647="ALU blanc","S9016",""))</f>
        <v/>
      </c>
      <c r="O647" s="11" t="str">
        <f>IF('Extraction edi'!V657&lt;'Feuille commande'!$E$1,"DELAI NON COMPATIBLE",IF('Extraction edi'!V657="","",WORKDAY('Extraction edi'!V657,-10,Paramètrage!$G$2:$G$104)))</f>
        <v/>
      </c>
      <c r="P647" s="1" t="e">
        <f t="shared" si="10"/>
        <v>#VALUE!</v>
      </c>
    </row>
    <row r="648" spans="1:16" x14ac:dyDescent="0.25">
      <c r="A648" s="1" t="str">
        <f>IF(B648="","",CONCATENATE(B648,".",C648,"/Pos ",D648,"/",'Extraction edi'!G658))</f>
        <v/>
      </c>
      <c r="B648" s="1" t="str">
        <f>IF('Extraction edi'!A658="","",'Extraction edi'!A658)</f>
        <v/>
      </c>
      <c r="C648" s="1" t="str">
        <f>IF('Extraction edi'!B658="","",'Extraction edi'!B658)</f>
        <v/>
      </c>
      <c r="D648" s="1" t="str">
        <f>IF('Extraction edi'!H658="","",'Extraction edi'!H658)</f>
        <v/>
      </c>
      <c r="E648" s="1" t="str">
        <f>IF('Extraction edi'!I658="","",'Extraction edi'!I658)</f>
        <v/>
      </c>
      <c r="F648" t="str">
        <f>IF('Extraction edi'!K658="","",'Extraction edi'!K658)</f>
        <v/>
      </c>
      <c r="G648" t="str">
        <f>IF('Extraction edi'!L651="","",'Extraction edi'!L651)</f>
        <v/>
      </c>
      <c r="H648" t="str">
        <f>IF('Extraction edi'!M651="","",'Extraction edi'!M651)</f>
        <v/>
      </c>
      <c r="I648" s="1" t="str">
        <f>IF('Extraction edi'!N658="","",'Extraction edi'!N658)</f>
        <v/>
      </c>
      <c r="J648" s="1" t="str">
        <f>IF('Extraction edi'!O658="","",'Extraction edi'!O658)</f>
        <v/>
      </c>
      <c r="K648" s="1" t="str">
        <f>IF('Extraction edi'!P658="","",'Extraction edi'!P658)</f>
        <v/>
      </c>
      <c r="L648" s="1" t="str">
        <f>IF('Extraction edi'!Q658="laquage RAL :","OUI","")</f>
        <v/>
      </c>
      <c r="M648" s="1" t="str">
        <f>IF('Extraction edi'!R658&lt;&gt;"",'Extraction edi'!R658,IF(G648="ALU blanc","S9016",""))</f>
        <v/>
      </c>
      <c r="N648" s="1" t="str">
        <f>IF('Extraction edi'!S658&lt;&gt;"",'Extraction edi'!S658,IF(G648="ALU blanc","S9016",""))</f>
        <v/>
      </c>
      <c r="O648" s="11" t="str">
        <f>IF('Extraction edi'!V658&lt;'Feuille commande'!$E$1,"DELAI NON COMPATIBLE",IF('Extraction edi'!V658="","",WORKDAY('Extraction edi'!V658,-10,Paramètrage!$G$2:$G$104)))</f>
        <v/>
      </c>
      <c r="P648" s="1" t="e">
        <f t="shared" si="10"/>
        <v>#VALUE!</v>
      </c>
    </row>
    <row r="649" spans="1:16" x14ac:dyDescent="0.25">
      <c r="A649" s="1" t="str">
        <f>IF(B649="","",CONCATENATE(B649,".",C649,"/Pos ",D649,"/",'Extraction edi'!G659))</f>
        <v/>
      </c>
      <c r="B649" s="1" t="str">
        <f>IF('Extraction edi'!A659="","",'Extraction edi'!A659)</f>
        <v/>
      </c>
      <c r="C649" s="1" t="str">
        <f>IF('Extraction edi'!B659="","",'Extraction edi'!B659)</f>
        <v/>
      </c>
      <c r="D649" s="1" t="str">
        <f>IF('Extraction edi'!H659="","",'Extraction edi'!H659)</f>
        <v/>
      </c>
      <c r="E649" s="1" t="str">
        <f>IF('Extraction edi'!I659="","",'Extraction edi'!I659)</f>
        <v/>
      </c>
      <c r="F649" t="str">
        <f>IF('Extraction edi'!K659="","",'Extraction edi'!K659)</f>
        <v/>
      </c>
      <c r="G649" t="str">
        <f>IF('Extraction edi'!L652="","",'Extraction edi'!L652)</f>
        <v/>
      </c>
      <c r="H649" t="str">
        <f>IF('Extraction edi'!M652="","",'Extraction edi'!M652)</f>
        <v/>
      </c>
      <c r="I649" s="1" t="str">
        <f>IF('Extraction edi'!N659="","",'Extraction edi'!N659)</f>
        <v/>
      </c>
      <c r="J649" s="1" t="str">
        <f>IF('Extraction edi'!O659="","",'Extraction edi'!O659)</f>
        <v/>
      </c>
      <c r="K649" s="1" t="str">
        <f>IF('Extraction edi'!P659="","",'Extraction edi'!P659)</f>
        <v/>
      </c>
      <c r="L649" s="1" t="str">
        <f>IF('Extraction edi'!Q659="laquage RAL :","OUI","")</f>
        <v/>
      </c>
      <c r="M649" s="1" t="str">
        <f>IF('Extraction edi'!R659&lt;&gt;"",'Extraction edi'!R659,IF(G649="ALU blanc","S9016",""))</f>
        <v/>
      </c>
      <c r="N649" s="1" t="str">
        <f>IF('Extraction edi'!S659&lt;&gt;"",'Extraction edi'!S659,IF(G649="ALU blanc","S9016",""))</f>
        <v/>
      </c>
      <c r="O649" s="11" t="str">
        <f>IF('Extraction edi'!V659&lt;'Feuille commande'!$E$1,"DELAI NON COMPATIBLE",IF('Extraction edi'!V659="","",WORKDAY('Extraction edi'!V659,-10,Paramètrage!$G$2:$G$104)))</f>
        <v/>
      </c>
      <c r="P649" s="1" t="e">
        <f t="shared" si="10"/>
        <v>#VALUE!</v>
      </c>
    </row>
    <row r="650" spans="1:16" x14ac:dyDescent="0.25">
      <c r="A650" s="1" t="str">
        <f>IF(B650="","",CONCATENATE(B650,".",C650,"/Pos ",D650,"/",'Extraction edi'!G660))</f>
        <v/>
      </c>
      <c r="B650" s="1" t="str">
        <f>IF('Extraction edi'!A660="","",'Extraction edi'!A660)</f>
        <v/>
      </c>
      <c r="C650" s="1" t="str">
        <f>IF('Extraction edi'!B660="","",'Extraction edi'!B660)</f>
        <v/>
      </c>
      <c r="D650" s="1" t="str">
        <f>IF('Extraction edi'!H660="","",'Extraction edi'!H660)</f>
        <v/>
      </c>
      <c r="E650" s="1" t="str">
        <f>IF('Extraction edi'!I660="","",'Extraction edi'!I660)</f>
        <v/>
      </c>
      <c r="F650" t="str">
        <f>IF('Extraction edi'!K660="","",'Extraction edi'!K660)</f>
        <v/>
      </c>
      <c r="G650" t="str">
        <f>IF('Extraction edi'!L653="","",'Extraction edi'!L653)</f>
        <v/>
      </c>
      <c r="H650" t="str">
        <f>IF('Extraction edi'!M653="","",'Extraction edi'!M653)</f>
        <v/>
      </c>
      <c r="I650" s="1" t="str">
        <f>IF('Extraction edi'!N660="","",'Extraction edi'!N660)</f>
        <v/>
      </c>
      <c r="J650" s="1" t="str">
        <f>IF('Extraction edi'!O660="","",'Extraction edi'!O660)</f>
        <v/>
      </c>
      <c r="K650" s="1" t="str">
        <f>IF('Extraction edi'!P660="","",'Extraction edi'!P660)</f>
        <v/>
      </c>
      <c r="L650" s="1" t="str">
        <f>IF('Extraction edi'!Q660="laquage RAL :","OUI","")</f>
        <v/>
      </c>
      <c r="M650" s="1" t="str">
        <f>IF('Extraction edi'!R660&lt;&gt;"",'Extraction edi'!R660,IF(G650="ALU blanc","S9016",""))</f>
        <v/>
      </c>
      <c r="N650" s="1" t="str">
        <f>IF('Extraction edi'!S660&lt;&gt;"",'Extraction edi'!S660,IF(G650="ALU blanc","S9016",""))</f>
        <v/>
      </c>
      <c r="O650" s="11" t="str">
        <f>IF('Extraction edi'!V660&lt;'Feuille commande'!$E$1,"DELAI NON COMPATIBLE",IF('Extraction edi'!V660="","",WORKDAY('Extraction edi'!V660,-10,Paramètrage!$G$2:$G$104)))</f>
        <v/>
      </c>
      <c r="P650" s="1" t="e">
        <f t="shared" si="10"/>
        <v>#VALUE!</v>
      </c>
    </row>
    <row r="651" spans="1:16" x14ac:dyDescent="0.25">
      <c r="A651" s="1" t="str">
        <f>IF(B651="","",CONCATENATE(B651,".",C651,"/Pos ",D651,"/",'Extraction edi'!G661))</f>
        <v/>
      </c>
      <c r="B651" s="1" t="str">
        <f>IF('Extraction edi'!A661="","",'Extraction edi'!A661)</f>
        <v/>
      </c>
      <c r="C651" s="1" t="str">
        <f>IF('Extraction edi'!B661="","",'Extraction edi'!B661)</f>
        <v/>
      </c>
      <c r="D651" s="1" t="str">
        <f>IF('Extraction edi'!H661="","",'Extraction edi'!H661)</f>
        <v/>
      </c>
      <c r="E651" s="1" t="str">
        <f>IF('Extraction edi'!I661="","",'Extraction edi'!I661)</f>
        <v/>
      </c>
      <c r="F651" t="str">
        <f>IF('Extraction edi'!K661="","",'Extraction edi'!K661)</f>
        <v/>
      </c>
      <c r="G651" t="str">
        <f>IF('Extraction edi'!L654="","",'Extraction edi'!L654)</f>
        <v/>
      </c>
      <c r="H651" t="str">
        <f>IF('Extraction edi'!M654="","",'Extraction edi'!M654)</f>
        <v/>
      </c>
      <c r="I651" s="1" t="str">
        <f>IF('Extraction edi'!N661="","",'Extraction edi'!N661)</f>
        <v/>
      </c>
      <c r="J651" s="1" t="str">
        <f>IF('Extraction edi'!O661="","",'Extraction edi'!O661)</f>
        <v/>
      </c>
      <c r="K651" s="1" t="str">
        <f>IF('Extraction edi'!P661="","",'Extraction edi'!P661)</f>
        <v/>
      </c>
      <c r="L651" s="1" t="str">
        <f>IF('Extraction edi'!Q661="laquage RAL :","OUI","")</f>
        <v/>
      </c>
      <c r="M651" s="1" t="str">
        <f>IF('Extraction edi'!R661&lt;&gt;"",'Extraction edi'!R661,IF(G651="ALU blanc","S9016",""))</f>
        <v/>
      </c>
      <c r="N651" s="1" t="str">
        <f>IF('Extraction edi'!S661&lt;&gt;"",'Extraction edi'!S661,IF(G651="ALU blanc","S9016",""))</f>
        <v/>
      </c>
      <c r="O651" s="11" t="str">
        <f>IF('Extraction edi'!V661&lt;'Feuille commande'!$E$1,"DELAI NON COMPATIBLE",IF('Extraction edi'!V661="","",WORKDAY('Extraction edi'!V661,-10,Paramètrage!$G$2:$G$104)))</f>
        <v/>
      </c>
      <c r="P651" s="1" t="e">
        <f t="shared" si="10"/>
        <v>#VALUE!</v>
      </c>
    </row>
    <row r="652" spans="1:16" x14ac:dyDescent="0.25">
      <c r="A652" s="1" t="str">
        <f>IF(B652="","",CONCATENATE(B652,".",C652,"/Pos ",D652,"/",'Extraction edi'!G662))</f>
        <v/>
      </c>
      <c r="B652" s="1" t="str">
        <f>IF('Extraction edi'!A662="","",'Extraction edi'!A662)</f>
        <v/>
      </c>
      <c r="C652" s="1" t="str">
        <f>IF('Extraction edi'!B662="","",'Extraction edi'!B662)</f>
        <v/>
      </c>
      <c r="D652" s="1" t="str">
        <f>IF('Extraction edi'!H662="","",'Extraction edi'!H662)</f>
        <v/>
      </c>
      <c r="E652" s="1" t="str">
        <f>IF('Extraction edi'!I662="","",'Extraction edi'!I662)</f>
        <v/>
      </c>
      <c r="F652" t="str">
        <f>IF('Extraction edi'!K662="","",'Extraction edi'!K662)</f>
        <v/>
      </c>
      <c r="G652" t="str">
        <f>IF('Extraction edi'!L655="","",'Extraction edi'!L655)</f>
        <v/>
      </c>
      <c r="H652" t="str">
        <f>IF('Extraction edi'!M655="","",'Extraction edi'!M655)</f>
        <v/>
      </c>
      <c r="I652" s="1" t="str">
        <f>IF('Extraction edi'!N662="","",'Extraction edi'!N662)</f>
        <v/>
      </c>
      <c r="J652" s="1" t="str">
        <f>IF('Extraction edi'!O662="","",'Extraction edi'!O662)</f>
        <v/>
      </c>
      <c r="K652" s="1" t="str">
        <f>IF('Extraction edi'!P662="","",'Extraction edi'!P662)</f>
        <v/>
      </c>
      <c r="L652" s="1" t="str">
        <f>IF('Extraction edi'!Q662="laquage RAL :","OUI","")</f>
        <v/>
      </c>
      <c r="M652" s="1" t="str">
        <f>IF('Extraction edi'!R662&lt;&gt;"",'Extraction edi'!R662,IF(G652="ALU blanc","S9016",""))</f>
        <v/>
      </c>
      <c r="N652" s="1" t="str">
        <f>IF('Extraction edi'!S662&lt;&gt;"",'Extraction edi'!S662,IF(G652="ALU blanc","S9016",""))</f>
        <v/>
      </c>
      <c r="O652" s="11" t="str">
        <f>IF('Extraction edi'!V662&lt;'Feuille commande'!$E$1,"DELAI NON COMPATIBLE",IF('Extraction edi'!V662="","",WORKDAY('Extraction edi'!V662,-10,Paramètrage!$G$2:$G$104)))</f>
        <v/>
      </c>
      <c r="P652" s="1" t="e">
        <f t="shared" si="10"/>
        <v>#VALUE!</v>
      </c>
    </row>
    <row r="653" spans="1:16" x14ac:dyDescent="0.25">
      <c r="A653" s="1" t="str">
        <f>IF(B653="","",CONCATENATE(B653,".",C653,"/Pos ",D653,"/",'Extraction edi'!G663))</f>
        <v/>
      </c>
      <c r="B653" s="1" t="str">
        <f>IF('Extraction edi'!A663="","",'Extraction edi'!A663)</f>
        <v/>
      </c>
      <c r="C653" s="1" t="str">
        <f>IF('Extraction edi'!B663="","",'Extraction edi'!B663)</f>
        <v/>
      </c>
      <c r="D653" s="1" t="str">
        <f>IF('Extraction edi'!H663="","",'Extraction edi'!H663)</f>
        <v/>
      </c>
      <c r="E653" s="1" t="str">
        <f>IF('Extraction edi'!I663="","",'Extraction edi'!I663)</f>
        <v/>
      </c>
      <c r="F653" t="str">
        <f>IF('Extraction edi'!K663="","",'Extraction edi'!K663)</f>
        <v/>
      </c>
      <c r="G653" t="str">
        <f>IF('Extraction edi'!L656="","",'Extraction edi'!L656)</f>
        <v/>
      </c>
      <c r="H653" t="str">
        <f>IF('Extraction edi'!M656="","",'Extraction edi'!M656)</f>
        <v/>
      </c>
      <c r="I653" s="1" t="str">
        <f>IF('Extraction edi'!N663="","",'Extraction edi'!N663)</f>
        <v/>
      </c>
      <c r="J653" s="1" t="str">
        <f>IF('Extraction edi'!O663="","",'Extraction edi'!O663)</f>
        <v/>
      </c>
      <c r="K653" s="1" t="str">
        <f>IF('Extraction edi'!P663="","",'Extraction edi'!P663)</f>
        <v/>
      </c>
      <c r="L653" s="1" t="str">
        <f>IF('Extraction edi'!Q663="laquage RAL :","OUI","")</f>
        <v/>
      </c>
      <c r="M653" s="1" t="str">
        <f>IF('Extraction edi'!R663&lt;&gt;"",'Extraction edi'!R663,IF(G653="ALU blanc","S9016",""))</f>
        <v/>
      </c>
      <c r="N653" s="1" t="str">
        <f>IF('Extraction edi'!S663&lt;&gt;"",'Extraction edi'!S663,IF(G653="ALU blanc","S9016",""))</f>
        <v/>
      </c>
      <c r="O653" s="11" t="str">
        <f>IF('Extraction edi'!V663&lt;'Feuille commande'!$E$1,"DELAI NON COMPATIBLE",IF('Extraction edi'!V663="","",WORKDAY('Extraction edi'!V663,-10,Paramètrage!$G$2:$G$104)))</f>
        <v/>
      </c>
      <c r="P653" s="1" t="e">
        <f t="shared" si="10"/>
        <v>#VALUE!</v>
      </c>
    </row>
    <row r="654" spans="1:16" x14ac:dyDescent="0.25">
      <c r="A654" s="1" t="str">
        <f>IF(B654="","",CONCATENATE(B654,".",C654,"/Pos ",D654,"/",'Extraction edi'!G664))</f>
        <v/>
      </c>
      <c r="B654" s="1" t="str">
        <f>IF('Extraction edi'!A664="","",'Extraction edi'!A664)</f>
        <v/>
      </c>
      <c r="C654" s="1" t="str">
        <f>IF('Extraction edi'!B664="","",'Extraction edi'!B664)</f>
        <v/>
      </c>
      <c r="D654" s="1" t="str">
        <f>IF('Extraction edi'!H664="","",'Extraction edi'!H664)</f>
        <v/>
      </c>
      <c r="E654" s="1" t="str">
        <f>IF('Extraction edi'!I664="","",'Extraction edi'!I664)</f>
        <v/>
      </c>
      <c r="F654" t="str">
        <f>IF('Extraction edi'!K664="","",'Extraction edi'!K664)</f>
        <v/>
      </c>
      <c r="G654" t="str">
        <f>IF('Extraction edi'!L657="","",'Extraction edi'!L657)</f>
        <v/>
      </c>
      <c r="H654" t="str">
        <f>IF('Extraction edi'!M657="","",'Extraction edi'!M657)</f>
        <v/>
      </c>
      <c r="I654" s="1" t="str">
        <f>IF('Extraction edi'!N664="","",'Extraction edi'!N664)</f>
        <v/>
      </c>
      <c r="J654" s="1" t="str">
        <f>IF('Extraction edi'!O664="","",'Extraction edi'!O664)</f>
        <v/>
      </c>
      <c r="K654" s="1" t="str">
        <f>IF('Extraction edi'!P664="","",'Extraction edi'!P664)</f>
        <v/>
      </c>
      <c r="L654" s="1" t="str">
        <f>IF('Extraction edi'!Q664="laquage RAL :","OUI","")</f>
        <v/>
      </c>
      <c r="M654" s="1" t="str">
        <f>IF('Extraction edi'!R664&lt;&gt;"",'Extraction edi'!R664,IF(G654="ALU blanc","S9016",""))</f>
        <v/>
      </c>
      <c r="N654" s="1" t="str">
        <f>IF('Extraction edi'!S664&lt;&gt;"",'Extraction edi'!S664,IF(G654="ALU blanc","S9016",""))</f>
        <v/>
      </c>
      <c r="O654" s="11" t="str">
        <f>IF('Extraction edi'!V664&lt;'Feuille commande'!$E$1,"DELAI NON COMPATIBLE",IF('Extraction edi'!V664="","",WORKDAY('Extraction edi'!V664,-10,Paramètrage!$G$2:$G$104)))</f>
        <v/>
      </c>
      <c r="P654" s="1" t="e">
        <f t="shared" si="10"/>
        <v>#VALUE!</v>
      </c>
    </row>
    <row r="655" spans="1:16" x14ac:dyDescent="0.25">
      <c r="A655" s="1" t="str">
        <f>IF(B655="","",CONCATENATE(B655,".",C655,"/Pos ",D655,"/",'Extraction edi'!G665))</f>
        <v/>
      </c>
      <c r="B655" s="1" t="str">
        <f>IF('Extraction edi'!A665="","",'Extraction edi'!A665)</f>
        <v/>
      </c>
      <c r="C655" s="1" t="str">
        <f>IF('Extraction edi'!B665="","",'Extraction edi'!B665)</f>
        <v/>
      </c>
      <c r="D655" s="1" t="str">
        <f>IF('Extraction edi'!H665="","",'Extraction edi'!H665)</f>
        <v/>
      </c>
      <c r="E655" s="1" t="str">
        <f>IF('Extraction edi'!I665="","",'Extraction edi'!I665)</f>
        <v/>
      </c>
      <c r="F655" t="str">
        <f>IF('Extraction edi'!K665="","",'Extraction edi'!K665)</f>
        <v/>
      </c>
      <c r="G655" t="str">
        <f>IF('Extraction edi'!L658="","",'Extraction edi'!L658)</f>
        <v/>
      </c>
      <c r="H655" t="str">
        <f>IF('Extraction edi'!M658="","",'Extraction edi'!M658)</f>
        <v/>
      </c>
      <c r="I655" s="1" t="str">
        <f>IF('Extraction edi'!N665="","",'Extraction edi'!N665)</f>
        <v/>
      </c>
      <c r="J655" s="1" t="str">
        <f>IF('Extraction edi'!O665="","",'Extraction edi'!O665)</f>
        <v/>
      </c>
      <c r="K655" s="1" t="str">
        <f>IF('Extraction edi'!P665="","",'Extraction edi'!P665)</f>
        <v/>
      </c>
      <c r="L655" s="1" t="str">
        <f>IF('Extraction edi'!Q665="laquage RAL :","OUI","")</f>
        <v/>
      </c>
      <c r="M655" s="1" t="str">
        <f>IF('Extraction edi'!R665&lt;&gt;"",'Extraction edi'!R665,IF(G655="ALU blanc","S9016",""))</f>
        <v/>
      </c>
      <c r="N655" s="1" t="str">
        <f>IF('Extraction edi'!S665&lt;&gt;"",'Extraction edi'!S665,IF(G655="ALU blanc","S9016",""))</f>
        <v/>
      </c>
      <c r="O655" s="11" t="str">
        <f>IF('Extraction edi'!V665&lt;'Feuille commande'!$E$1,"DELAI NON COMPATIBLE",IF('Extraction edi'!V665="","",WORKDAY('Extraction edi'!V665,-10,Paramètrage!$G$2:$G$104)))</f>
        <v/>
      </c>
      <c r="P655" s="1" t="e">
        <f t="shared" si="10"/>
        <v>#VALUE!</v>
      </c>
    </row>
    <row r="656" spans="1:16" x14ac:dyDescent="0.25">
      <c r="A656" s="1" t="str">
        <f>IF(B656="","",CONCATENATE(B656,".",C656,"/Pos ",D656,"/",'Extraction edi'!G666))</f>
        <v/>
      </c>
      <c r="B656" s="1" t="str">
        <f>IF('Extraction edi'!A666="","",'Extraction edi'!A666)</f>
        <v/>
      </c>
      <c r="C656" s="1" t="str">
        <f>IF('Extraction edi'!B666="","",'Extraction edi'!B666)</f>
        <v/>
      </c>
      <c r="D656" s="1" t="str">
        <f>IF('Extraction edi'!H666="","",'Extraction edi'!H666)</f>
        <v/>
      </c>
      <c r="E656" s="1" t="str">
        <f>IF('Extraction edi'!I666="","",'Extraction edi'!I666)</f>
        <v/>
      </c>
      <c r="F656" t="str">
        <f>IF('Extraction edi'!K666="","",'Extraction edi'!K666)</f>
        <v/>
      </c>
      <c r="G656" t="str">
        <f>IF('Extraction edi'!L659="","",'Extraction edi'!L659)</f>
        <v/>
      </c>
      <c r="H656" t="str">
        <f>IF('Extraction edi'!M659="","",'Extraction edi'!M659)</f>
        <v/>
      </c>
      <c r="I656" s="1" t="str">
        <f>IF('Extraction edi'!N666="","",'Extraction edi'!N666)</f>
        <v/>
      </c>
      <c r="J656" s="1" t="str">
        <f>IF('Extraction edi'!O666="","",'Extraction edi'!O666)</f>
        <v/>
      </c>
      <c r="K656" s="1" t="str">
        <f>IF('Extraction edi'!P666="","",'Extraction edi'!P666)</f>
        <v/>
      </c>
      <c r="L656" s="1" t="str">
        <f>IF('Extraction edi'!Q666="laquage RAL :","OUI","")</f>
        <v/>
      </c>
      <c r="M656" s="1" t="str">
        <f>IF('Extraction edi'!R666&lt;&gt;"",'Extraction edi'!R666,IF(G656="ALU blanc","S9016",""))</f>
        <v/>
      </c>
      <c r="N656" s="1" t="str">
        <f>IF('Extraction edi'!S666&lt;&gt;"",'Extraction edi'!S666,IF(G656="ALU blanc","S9016",""))</f>
        <v/>
      </c>
      <c r="O656" s="11" t="str">
        <f>IF('Extraction edi'!V666&lt;'Feuille commande'!$E$1,"DELAI NON COMPATIBLE",IF('Extraction edi'!V666="","",WORKDAY('Extraction edi'!V666,-10,Paramètrage!$G$2:$G$104)))</f>
        <v/>
      </c>
      <c r="P656" s="1" t="e">
        <f t="shared" si="10"/>
        <v>#VALUE!</v>
      </c>
    </row>
    <row r="657" spans="1:16" x14ac:dyDescent="0.25">
      <c r="A657" s="1" t="str">
        <f>IF(B657="","",CONCATENATE(B657,".",C657,"/Pos ",D657,"/",'Extraction edi'!G667))</f>
        <v/>
      </c>
      <c r="B657" s="1" t="str">
        <f>IF('Extraction edi'!A667="","",'Extraction edi'!A667)</f>
        <v/>
      </c>
      <c r="C657" s="1" t="str">
        <f>IF('Extraction edi'!B667="","",'Extraction edi'!B667)</f>
        <v/>
      </c>
      <c r="D657" s="1" t="str">
        <f>IF('Extraction edi'!H667="","",'Extraction edi'!H667)</f>
        <v/>
      </c>
      <c r="E657" s="1" t="str">
        <f>IF('Extraction edi'!I667="","",'Extraction edi'!I667)</f>
        <v/>
      </c>
      <c r="F657" t="str">
        <f>IF('Extraction edi'!K667="","",'Extraction edi'!K667)</f>
        <v/>
      </c>
      <c r="G657" t="str">
        <f>IF('Extraction edi'!L660="","",'Extraction edi'!L660)</f>
        <v/>
      </c>
      <c r="H657" t="str">
        <f>IF('Extraction edi'!M660="","",'Extraction edi'!M660)</f>
        <v/>
      </c>
      <c r="I657" s="1" t="str">
        <f>IF('Extraction edi'!N667="","",'Extraction edi'!N667)</f>
        <v/>
      </c>
      <c r="J657" s="1" t="str">
        <f>IF('Extraction edi'!O667="","",'Extraction edi'!O667)</f>
        <v/>
      </c>
      <c r="K657" s="1" t="str">
        <f>IF('Extraction edi'!P667="","",'Extraction edi'!P667)</f>
        <v/>
      </c>
      <c r="L657" s="1" t="str">
        <f>IF('Extraction edi'!Q667="laquage RAL :","OUI","")</f>
        <v/>
      </c>
      <c r="M657" s="1" t="str">
        <f>IF('Extraction edi'!R667&lt;&gt;"",'Extraction edi'!R667,IF(G657="ALU blanc","S9016",""))</f>
        <v/>
      </c>
      <c r="N657" s="1" t="str">
        <f>IF('Extraction edi'!S667&lt;&gt;"",'Extraction edi'!S667,IF(G657="ALU blanc","S9016",""))</f>
        <v/>
      </c>
      <c r="O657" s="11" t="str">
        <f>IF('Extraction edi'!V667&lt;'Feuille commande'!$E$1,"DELAI NON COMPATIBLE",IF('Extraction edi'!V667="","",WORKDAY('Extraction edi'!V667,-10,Paramètrage!$G$2:$G$104)))</f>
        <v/>
      </c>
      <c r="P657" s="1" t="e">
        <f t="shared" si="10"/>
        <v>#VALUE!</v>
      </c>
    </row>
    <row r="658" spans="1:16" x14ac:dyDescent="0.25">
      <c r="A658" s="1" t="str">
        <f>IF(B658="","",CONCATENATE(B658,".",C658,"/Pos ",D658,"/",'Extraction edi'!G668))</f>
        <v/>
      </c>
      <c r="B658" s="1" t="str">
        <f>IF('Extraction edi'!A668="","",'Extraction edi'!A668)</f>
        <v/>
      </c>
      <c r="C658" s="1" t="str">
        <f>IF('Extraction edi'!B668="","",'Extraction edi'!B668)</f>
        <v/>
      </c>
      <c r="D658" s="1" t="str">
        <f>IF('Extraction edi'!H668="","",'Extraction edi'!H668)</f>
        <v/>
      </c>
      <c r="E658" s="1" t="str">
        <f>IF('Extraction edi'!I668="","",'Extraction edi'!I668)</f>
        <v/>
      </c>
      <c r="F658" t="str">
        <f>IF('Extraction edi'!K668="","",'Extraction edi'!K668)</f>
        <v/>
      </c>
      <c r="G658" t="str">
        <f>IF('Extraction edi'!L661="","",'Extraction edi'!L661)</f>
        <v/>
      </c>
      <c r="H658" t="str">
        <f>IF('Extraction edi'!M661="","",'Extraction edi'!M661)</f>
        <v/>
      </c>
      <c r="I658" s="1" t="str">
        <f>IF('Extraction edi'!N668="","",'Extraction edi'!N668)</f>
        <v/>
      </c>
      <c r="J658" s="1" t="str">
        <f>IF('Extraction edi'!O668="","",'Extraction edi'!O668)</f>
        <v/>
      </c>
      <c r="K658" s="1" t="str">
        <f>IF('Extraction edi'!P668="","",'Extraction edi'!P668)</f>
        <v/>
      </c>
      <c r="L658" s="1" t="str">
        <f>IF('Extraction edi'!Q668="laquage RAL :","OUI","")</f>
        <v/>
      </c>
      <c r="M658" s="1" t="str">
        <f>IF('Extraction edi'!R668&lt;&gt;"",'Extraction edi'!R668,IF(G658="ALU blanc","S9016",""))</f>
        <v/>
      </c>
      <c r="N658" s="1" t="str">
        <f>IF('Extraction edi'!S668&lt;&gt;"",'Extraction edi'!S668,IF(G658="ALU blanc","S9016",""))</f>
        <v/>
      </c>
      <c r="O658" s="11" t="str">
        <f>IF('Extraction edi'!V668&lt;'Feuille commande'!$E$1,"DELAI NON COMPATIBLE",IF('Extraction edi'!V668="","",WORKDAY('Extraction edi'!V668,-10,Paramètrage!$G$2:$G$104)))</f>
        <v/>
      </c>
      <c r="P658" s="1" t="e">
        <f t="shared" si="10"/>
        <v>#VALUE!</v>
      </c>
    </row>
    <row r="659" spans="1:16" x14ac:dyDescent="0.25">
      <c r="A659" s="1" t="str">
        <f>IF(B659="","",CONCATENATE(B659,".",C659,"/Pos ",D659,"/",'Extraction edi'!G669))</f>
        <v/>
      </c>
      <c r="B659" s="1" t="str">
        <f>IF('Extraction edi'!A669="","",'Extraction edi'!A669)</f>
        <v/>
      </c>
      <c r="C659" s="1" t="str">
        <f>IF('Extraction edi'!B669="","",'Extraction edi'!B669)</f>
        <v/>
      </c>
      <c r="D659" s="1" t="str">
        <f>IF('Extraction edi'!H669="","",'Extraction edi'!H669)</f>
        <v/>
      </c>
      <c r="E659" s="1" t="str">
        <f>IF('Extraction edi'!I669="","",'Extraction edi'!I669)</f>
        <v/>
      </c>
      <c r="F659" t="str">
        <f>IF('Extraction edi'!K669="","",'Extraction edi'!K669)</f>
        <v/>
      </c>
      <c r="G659" t="str">
        <f>IF('Extraction edi'!L662="","",'Extraction edi'!L662)</f>
        <v/>
      </c>
      <c r="H659" t="str">
        <f>IF('Extraction edi'!M662="","",'Extraction edi'!M662)</f>
        <v/>
      </c>
      <c r="I659" s="1" t="str">
        <f>IF('Extraction edi'!N669="","",'Extraction edi'!N669)</f>
        <v/>
      </c>
      <c r="J659" s="1" t="str">
        <f>IF('Extraction edi'!O669="","",'Extraction edi'!O669)</f>
        <v/>
      </c>
      <c r="K659" s="1" t="str">
        <f>IF('Extraction edi'!P669="","",'Extraction edi'!P669)</f>
        <v/>
      </c>
      <c r="L659" s="1" t="str">
        <f>IF('Extraction edi'!Q669="laquage RAL :","OUI","")</f>
        <v/>
      </c>
      <c r="M659" s="1" t="str">
        <f>IF('Extraction edi'!R669&lt;&gt;"",'Extraction edi'!R669,IF(G659="ALU blanc","S9016",""))</f>
        <v/>
      </c>
      <c r="N659" s="1" t="str">
        <f>IF('Extraction edi'!S669&lt;&gt;"",'Extraction edi'!S669,IF(G659="ALU blanc","S9016",""))</f>
        <v/>
      </c>
      <c r="O659" s="11" t="str">
        <f>IF('Extraction edi'!V669&lt;'Feuille commande'!$E$1,"DELAI NON COMPATIBLE",IF('Extraction edi'!V669="","",WORKDAY('Extraction edi'!V669,-10,Paramètrage!$G$2:$G$104)))</f>
        <v/>
      </c>
      <c r="P659" s="1" t="e">
        <f t="shared" si="10"/>
        <v>#VALUE!</v>
      </c>
    </row>
    <row r="660" spans="1:16" x14ac:dyDescent="0.25">
      <c r="A660" s="1" t="str">
        <f>IF(B660="","",CONCATENATE(B660,".",C660,"/Pos ",D660,"/",'Extraction edi'!G670))</f>
        <v/>
      </c>
      <c r="B660" s="1" t="str">
        <f>IF('Extraction edi'!A670="","",'Extraction edi'!A670)</f>
        <v/>
      </c>
      <c r="C660" s="1" t="str">
        <f>IF('Extraction edi'!B670="","",'Extraction edi'!B670)</f>
        <v/>
      </c>
      <c r="D660" s="1" t="str">
        <f>IF('Extraction edi'!H670="","",'Extraction edi'!H670)</f>
        <v/>
      </c>
      <c r="E660" s="1" t="str">
        <f>IF('Extraction edi'!I670="","",'Extraction edi'!I670)</f>
        <v/>
      </c>
      <c r="F660" t="str">
        <f>IF('Extraction edi'!K670="","",'Extraction edi'!K670)</f>
        <v/>
      </c>
      <c r="G660" t="str">
        <f>IF('Extraction edi'!L663="","",'Extraction edi'!L663)</f>
        <v/>
      </c>
      <c r="H660" t="str">
        <f>IF('Extraction edi'!M663="","",'Extraction edi'!M663)</f>
        <v/>
      </c>
      <c r="I660" s="1" t="str">
        <f>IF('Extraction edi'!N670="","",'Extraction edi'!N670)</f>
        <v/>
      </c>
      <c r="J660" s="1" t="str">
        <f>IF('Extraction edi'!O670="","",'Extraction edi'!O670)</f>
        <v/>
      </c>
      <c r="K660" s="1" t="str">
        <f>IF('Extraction edi'!P670="","",'Extraction edi'!P670)</f>
        <v/>
      </c>
      <c r="L660" s="1" t="str">
        <f>IF('Extraction edi'!Q670="laquage RAL :","OUI","")</f>
        <v/>
      </c>
      <c r="M660" s="1" t="str">
        <f>IF('Extraction edi'!R670&lt;&gt;"",'Extraction edi'!R670,IF(G660="ALU blanc","S9016",""))</f>
        <v/>
      </c>
      <c r="N660" s="1" t="str">
        <f>IF('Extraction edi'!S670&lt;&gt;"",'Extraction edi'!S670,IF(G660="ALU blanc","S9016",""))</f>
        <v/>
      </c>
      <c r="O660" s="11" t="str">
        <f>IF('Extraction edi'!V670&lt;'Feuille commande'!$E$1,"DELAI NON COMPATIBLE",IF('Extraction edi'!V670="","",WORKDAY('Extraction edi'!V670,-10,Paramètrage!$G$2:$G$104)))</f>
        <v/>
      </c>
      <c r="P660" s="1" t="e">
        <f t="shared" si="10"/>
        <v>#VALUE!</v>
      </c>
    </row>
    <row r="661" spans="1:16" x14ac:dyDescent="0.25">
      <c r="A661" s="1" t="str">
        <f>IF(B661="","",CONCATENATE(B661,".",C661,"/Pos ",D661,"/",'Extraction edi'!G671))</f>
        <v/>
      </c>
      <c r="B661" s="1" t="str">
        <f>IF('Extraction edi'!A671="","",'Extraction edi'!A671)</f>
        <v/>
      </c>
      <c r="C661" s="1" t="str">
        <f>IF('Extraction edi'!B671="","",'Extraction edi'!B671)</f>
        <v/>
      </c>
      <c r="D661" s="1" t="str">
        <f>IF('Extraction edi'!H671="","",'Extraction edi'!H671)</f>
        <v/>
      </c>
      <c r="E661" s="1" t="str">
        <f>IF('Extraction edi'!I671="","",'Extraction edi'!I671)</f>
        <v/>
      </c>
      <c r="F661" t="str">
        <f>IF('Extraction edi'!K671="","",'Extraction edi'!K671)</f>
        <v/>
      </c>
      <c r="G661" t="str">
        <f>IF('Extraction edi'!L664="","",'Extraction edi'!L664)</f>
        <v/>
      </c>
      <c r="H661" t="str">
        <f>IF('Extraction edi'!M664="","",'Extraction edi'!M664)</f>
        <v/>
      </c>
      <c r="I661" s="1" t="str">
        <f>IF('Extraction edi'!N671="","",'Extraction edi'!N671)</f>
        <v/>
      </c>
      <c r="J661" s="1" t="str">
        <f>IF('Extraction edi'!O671="","",'Extraction edi'!O671)</f>
        <v/>
      </c>
      <c r="K661" s="1" t="str">
        <f>IF('Extraction edi'!P671="","",'Extraction edi'!P671)</f>
        <v/>
      </c>
      <c r="L661" s="1" t="str">
        <f>IF('Extraction edi'!Q671="laquage RAL :","OUI","")</f>
        <v/>
      </c>
      <c r="M661" s="1" t="str">
        <f>IF('Extraction edi'!R671&lt;&gt;"",'Extraction edi'!R671,IF(G661="ALU blanc","S9016",""))</f>
        <v/>
      </c>
      <c r="N661" s="1" t="str">
        <f>IF('Extraction edi'!S671&lt;&gt;"",'Extraction edi'!S671,IF(G661="ALU blanc","S9016",""))</f>
        <v/>
      </c>
      <c r="O661" s="11" t="str">
        <f>IF('Extraction edi'!V671&lt;'Feuille commande'!$E$1,"DELAI NON COMPATIBLE",IF('Extraction edi'!V671="","",WORKDAY('Extraction edi'!V671,-10,Paramètrage!$G$2:$G$104)))</f>
        <v/>
      </c>
      <c r="P661" s="1" t="e">
        <f t="shared" si="10"/>
        <v>#VALUE!</v>
      </c>
    </row>
    <row r="662" spans="1:16" x14ac:dyDescent="0.25">
      <c r="A662" s="1" t="str">
        <f>IF(B662="","",CONCATENATE(B662,".",C662,"/Pos ",D662,"/",'Extraction edi'!G672))</f>
        <v/>
      </c>
      <c r="B662" s="1" t="str">
        <f>IF('Extraction edi'!A672="","",'Extraction edi'!A672)</f>
        <v/>
      </c>
      <c r="C662" s="1" t="str">
        <f>IF('Extraction edi'!B672="","",'Extraction edi'!B672)</f>
        <v/>
      </c>
      <c r="D662" s="1" t="str">
        <f>IF('Extraction edi'!H672="","",'Extraction edi'!H672)</f>
        <v/>
      </c>
      <c r="E662" s="1" t="str">
        <f>IF('Extraction edi'!I672="","",'Extraction edi'!I672)</f>
        <v/>
      </c>
      <c r="F662" t="str">
        <f>IF('Extraction edi'!K672="","",'Extraction edi'!K672)</f>
        <v/>
      </c>
      <c r="G662" t="str">
        <f>IF('Extraction edi'!L665="","",'Extraction edi'!L665)</f>
        <v/>
      </c>
      <c r="H662" t="str">
        <f>IF('Extraction edi'!M665="","",'Extraction edi'!M665)</f>
        <v/>
      </c>
      <c r="I662" s="1" t="str">
        <f>IF('Extraction edi'!N672="","",'Extraction edi'!N672)</f>
        <v/>
      </c>
      <c r="J662" s="1" t="str">
        <f>IF('Extraction edi'!O672="","",'Extraction edi'!O672)</f>
        <v/>
      </c>
      <c r="K662" s="1" t="str">
        <f>IF('Extraction edi'!P672="","",'Extraction edi'!P672)</f>
        <v/>
      </c>
      <c r="L662" s="1" t="str">
        <f>IF('Extraction edi'!Q672="laquage RAL :","OUI","")</f>
        <v/>
      </c>
      <c r="M662" s="1" t="str">
        <f>IF('Extraction edi'!R672&lt;&gt;"",'Extraction edi'!R672,IF(G662="ALU blanc","S9016",""))</f>
        <v/>
      </c>
      <c r="N662" s="1" t="str">
        <f>IF('Extraction edi'!S672&lt;&gt;"",'Extraction edi'!S672,IF(G662="ALU blanc","S9016",""))</f>
        <v/>
      </c>
      <c r="O662" s="11" t="str">
        <f>IF('Extraction edi'!V672&lt;'Feuille commande'!$E$1,"DELAI NON COMPATIBLE",IF('Extraction edi'!V672="","",WORKDAY('Extraction edi'!V672,-10,Paramètrage!$G$2:$G$104)))</f>
        <v/>
      </c>
      <c r="P662" s="1" t="e">
        <f t="shared" si="10"/>
        <v>#VALUE!</v>
      </c>
    </row>
    <row r="663" spans="1:16" x14ac:dyDescent="0.25">
      <c r="A663" s="1" t="str">
        <f>IF(B663="","",CONCATENATE(B663,".",C663,"/Pos ",D663,"/",'Extraction edi'!G673))</f>
        <v/>
      </c>
      <c r="B663" s="1" t="str">
        <f>IF('Extraction edi'!A673="","",'Extraction edi'!A673)</f>
        <v/>
      </c>
      <c r="C663" s="1" t="str">
        <f>IF('Extraction edi'!B673="","",'Extraction edi'!B673)</f>
        <v/>
      </c>
      <c r="D663" s="1" t="str">
        <f>IF('Extraction edi'!H673="","",'Extraction edi'!H673)</f>
        <v/>
      </c>
      <c r="E663" s="1" t="str">
        <f>IF('Extraction edi'!I673="","",'Extraction edi'!I673)</f>
        <v/>
      </c>
      <c r="F663" t="str">
        <f>IF('Extraction edi'!K673="","",'Extraction edi'!K673)</f>
        <v/>
      </c>
      <c r="G663" t="str">
        <f>IF('Extraction edi'!L666="","",'Extraction edi'!L666)</f>
        <v/>
      </c>
      <c r="H663" t="str">
        <f>IF('Extraction edi'!M666="","",'Extraction edi'!M666)</f>
        <v/>
      </c>
      <c r="I663" s="1" t="str">
        <f>IF('Extraction edi'!N673="","",'Extraction edi'!N673)</f>
        <v/>
      </c>
      <c r="J663" s="1" t="str">
        <f>IF('Extraction edi'!O673="","",'Extraction edi'!O673)</f>
        <v/>
      </c>
      <c r="K663" s="1" t="str">
        <f>IF('Extraction edi'!P673="","",'Extraction edi'!P673)</f>
        <v/>
      </c>
      <c r="L663" s="1" t="str">
        <f>IF('Extraction edi'!Q673="laquage RAL :","OUI","")</f>
        <v/>
      </c>
      <c r="M663" s="1" t="str">
        <f>IF('Extraction edi'!R673&lt;&gt;"",'Extraction edi'!R673,IF(G663="ALU blanc","S9016",""))</f>
        <v/>
      </c>
      <c r="N663" s="1" t="str">
        <f>IF('Extraction edi'!S673&lt;&gt;"",'Extraction edi'!S673,IF(G663="ALU blanc","S9016",""))</f>
        <v/>
      </c>
      <c r="O663" s="11" t="str">
        <f>IF('Extraction edi'!V673&lt;'Feuille commande'!$E$1,"DELAI NON COMPATIBLE",IF('Extraction edi'!V673="","",WORKDAY('Extraction edi'!V673,-10,Paramètrage!$G$2:$G$104)))</f>
        <v/>
      </c>
      <c r="P663" s="1" t="e">
        <f t="shared" si="10"/>
        <v>#VALUE!</v>
      </c>
    </row>
    <row r="664" spans="1:16" x14ac:dyDescent="0.25">
      <c r="A664" s="1" t="str">
        <f>IF(B664="","",CONCATENATE(B664,".",C664,"/Pos ",D664,"/",'Extraction edi'!G674))</f>
        <v/>
      </c>
      <c r="B664" s="1" t="str">
        <f>IF('Extraction edi'!A674="","",'Extraction edi'!A674)</f>
        <v/>
      </c>
      <c r="C664" s="1" t="str">
        <f>IF('Extraction edi'!B674="","",'Extraction edi'!B674)</f>
        <v/>
      </c>
      <c r="D664" s="1" t="str">
        <f>IF('Extraction edi'!H674="","",'Extraction edi'!H674)</f>
        <v/>
      </c>
      <c r="E664" s="1" t="str">
        <f>IF('Extraction edi'!I674="","",'Extraction edi'!I674)</f>
        <v/>
      </c>
      <c r="F664" t="str">
        <f>IF('Extraction edi'!K674="","",'Extraction edi'!K674)</f>
        <v/>
      </c>
      <c r="G664" t="str">
        <f>IF('Extraction edi'!L667="","",'Extraction edi'!L667)</f>
        <v/>
      </c>
      <c r="H664" t="str">
        <f>IF('Extraction edi'!M667="","",'Extraction edi'!M667)</f>
        <v/>
      </c>
      <c r="I664" s="1" t="str">
        <f>IF('Extraction edi'!N674="","",'Extraction edi'!N674)</f>
        <v/>
      </c>
      <c r="J664" s="1" t="str">
        <f>IF('Extraction edi'!O674="","",'Extraction edi'!O674)</f>
        <v/>
      </c>
      <c r="K664" s="1" t="str">
        <f>IF('Extraction edi'!P674="","",'Extraction edi'!P674)</f>
        <v/>
      </c>
      <c r="L664" s="1" t="str">
        <f>IF('Extraction edi'!Q674="laquage RAL :","OUI","")</f>
        <v/>
      </c>
      <c r="M664" s="1" t="str">
        <f>IF('Extraction edi'!R674&lt;&gt;"",'Extraction edi'!R674,IF(G664="ALU blanc","S9016",""))</f>
        <v/>
      </c>
      <c r="N664" s="1" t="str">
        <f>IF('Extraction edi'!S674&lt;&gt;"",'Extraction edi'!S674,IF(G664="ALU blanc","S9016",""))</f>
        <v/>
      </c>
      <c r="O664" s="11" t="str">
        <f>IF('Extraction edi'!V674&lt;'Feuille commande'!$E$1,"DELAI NON COMPATIBLE",IF('Extraction edi'!V674="","",WORKDAY('Extraction edi'!V674,-10,Paramètrage!$G$2:$G$104)))</f>
        <v/>
      </c>
      <c r="P664" s="1" t="e">
        <f t="shared" si="10"/>
        <v>#VALUE!</v>
      </c>
    </row>
    <row r="665" spans="1:16" x14ac:dyDescent="0.25">
      <c r="A665" s="1" t="str">
        <f>IF(B665="","",CONCATENATE(B665,".",C665,"/Pos ",D665,"/",'Extraction edi'!G675))</f>
        <v/>
      </c>
      <c r="B665" s="1" t="str">
        <f>IF('Extraction edi'!A675="","",'Extraction edi'!A675)</f>
        <v/>
      </c>
      <c r="C665" s="1" t="str">
        <f>IF('Extraction edi'!B675="","",'Extraction edi'!B675)</f>
        <v/>
      </c>
      <c r="D665" s="1" t="str">
        <f>IF('Extraction edi'!H675="","",'Extraction edi'!H675)</f>
        <v/>
      </c>
      <c r="E665" s="1" t="str">
        <f>IF('Extraction edi'!I675="","",'Extraction edi'!I675)</f>
        <v/>
      </c>
      <c r="F665" t="str">
        <f>IF('Extraction edi'!K675="","",'Extraction edi'!K675)</f>
        <v/>
      </c>
      <c r="G665" t="str">
        <f>IF('Extraction edi'!L668="","",'Extraction edi'!L668)</f>
        <v/>
      </c>
      <c r="H665" t="str">
        <f>IF('Extraction edi'!M668="","",'Extraction edi'!M668)</f>
        <v/>
      </c>
      <c r="I665" s="1" t="str">
        <f>IF('Extraction edi'!N675="","",'Extraction edi'!N675)</f>
        <v/>
      </c>
      <c r="J665" s="1" t="str">
        <f>IF('Extraction edi'!O675="","",'Extraction edi'!O675)</f>
        <v/>
      </c>
      <c r="K665" s="1" t="str">
        <f>IF('Extraction edi'!P675="","",'Extraction edi'!P675)</f>
        <v/>
      </c>
      <c r="L665" s="1" t="str">
        <f>IF('Extraction edi'!Q675="laquage RAL :","OUI","")</f>
        <v/>
      </c>
      <c r="M665" s="1" t="str">
        <f>IF('Extraction edi'!R675&lt;&gt;"",'Extraction edi'!R675,IF(G665="ALU blanc","S9016",""))</f>
        <v/>
      </c>
      <c r="N665" s="1" t="str">
        <f>IF('Extraction edi'!S675&lt;&gt;"",'Extraction edi'!S675,IF(G665="ALU blanc","S9016",""))</f>
        <v/>
      </c>
      <c r="O665" s="11" t="str">
        <f>IF('Extraction edi'!V675&lt;'Feuille commande'!$E$1,"DELAI NON COMPATIBLE",IF('Extraction edi'!V675="","",WORKDAY('Extraction edi'!V675,-10,Paramètrage!$G$2:$G$104)))</f>
        <v/>
      </c>
      <c r="P665" s="1" t="e">
        <f t="shared" si="10"/>
        <v>#VALUE!</v>
      </c>
    </row>
    <row r="666" spans="1:16" x14ac:dyDescent="0.25">
      <c r="A666" s="1" t="str">
        <f>IF(B666="","",CONCATENATE(B666,".",C666,"/Pos ",D666,"/",'Extraction edi'!G676))</f>
        <v/>
      </c>
      <c r="B666" s="1" t="str">
        <f>IF('Extraction edi'!A676="","",'Extraction edi'!A676)</f>
        <v/>
      </c>
      <c r="C666" s="1" t="str">
        <f>IF('Extraction edi'!B676="","",'Extraction edi'!B676)</f>
        <v/>
      </c>
      <c r="D666" s="1" t="str">
        <f>IF('Extraction edi'!H676="","",'Extraction edi'!H676)</f>
        <v/>
      </c>
      <c r="E666" s="1" t="str">
        <f>IF('Extraction edi'!I676="","",'Extraction edi'!I676)</f>
        <v/>
      </c>
      <c r="F666" t="str">
        <f>IF('Extraction edi'!K676="","",'Extraction edi'!K676)</f>
        <v/>
      </c>
      <c r="G666" t="str">
        <f>IF('Extraction edi'!L669="","",'Extraction edi'!L669)</f>
        <v/>
      </c>
      <c r="H666" t="str">
        <f>IF('Extraction edi'!M669="","",'Extraction edi'!M669)</f>
        <v/>
      </c>
      <c r="I666" s="1" t="str">
        <f>IF('Extraction edi'!N676="","",'Extraction edi'!N676)</f>
        <v/>
      </c>
      <c r="J666" s="1" t="str">
        <f>IF('Extraction edi'!O676="","",'Extraction edi'!O676)</f>
        <v/>
      </c>
      <c r="K666" s="1" t="str">
        <f>IF('Extraction edi'!P676="","",'Extraction edi'!P676)</f>
        <v/>
      </c>
      <c r="L666" s="1" t="str">
        <f>IF('Extraction edi'!Q676="laquage RAL :","OUI","")</f>
        <v/>
      </c>
      <c r="M666" s="1" t="str">
        <f>IF('Extraction edi'!R676&lt;&gt;"",'Extraction edi'!R676,IF(G666="ALU blanc","S9016",""))</f>
        <v/>
      </c>
      <c r="N666" s="1" t="str">
        <f>IF('Extraction edi'!S676&lt;&gt;"",'Extraction edi'!S676,IF(G666="ALU blanc","S9016",""))</f>
        <v/>
      </c>
      <c r="O666" s="11" t="str">
        <f>IF('Extraction edi'!V676&lt;'Feuille commande'!$E$1,"DELAI NON COMPATIBLE",IF('Extraction edi'!V676="","",WORKDAY('Extraction edi'!V676,-10,Paramètrage!$G$2:$G$104)))</f>
        <v/>
      </c>
      <c r="P666" s="1" t="e">
        <f t="shared" si="10"/>
        <v>#VALUE!</v>
      </c>
    </row>
    <row r="667" spans="1:16" x14ac:dyDescent="0.25">
      <c r="A667" s="1" t="str">
        <f>IF(B667="","",CONCATENATE(B667,".",C667,"/Pos ",D667,"/",'Extraction edi'!G677))</f>
        <v/>
      </c>
      <c r="B667" s="1" t="str">
        <f>IF('Extraction edi'!A677="","",'Extraction edi'!A677)</f>
        <v/>
      </c>
      <c r="C667" s="1" t="str">
        <f>IF('Extraction edi'!B677="","",'Extraction edi'!B677)</f>
        <v/>
      </c>
      <c r="D667" s="1" t="str">
        <f>IF('Extraction edi'!H677="","",'Extraction edi'!H677)</f>
        <v/>
      </c>
      <c r="E667" s="1" t="str">
        <f>IF('Extraction edi'!I677="","",'Extraction edi'!I677)</f>
        <v/>
      </c>
      <c r="F667" t="str">
        <f>IF('Extraction edi'!K677="","",'Extraction edi'!K677)</f>
        <v/>
      </c>
      <c r="G667" t="str">
        <f>IF('Extraction edi'!L670="","",'Extraction edi'!L670)</f>
        <v/>
      </c>
      <c r="H667" t="str">
        <f>IF('Extraction edi'!M670="","",'Extraction edi'!M670)</f>
        <v/>
      </c>
      <c r="I667" s="1" t="str">
        <f>IF('Extraction edi'!N677="","",'Extraction edi'!N677)</f>
        <v/>
      </c>
      <c r="J667" s="1" t="str">
        <f>IF('Extraction edi'!O677="","",'Extraction edi'!O677)</f>
        <v/>
      </c>
      <c r="K667" s="1" t="str">
        <f>IF('Extraction edi'!P677="","",'Extraction edi'!P677)</f>
        <v/>
      </c>
      <c r="L667" s="1" t="str">
        <f>IF('Extraction edi'!Q677="laquage RAL :","OUI","")</f>
        <v/>
      </c>
      <c r="M667" s="1" t="str">
        <f>IF('Extraction edi'!R677&lt;&gt;"",'Extraction edi'!R677,IF(G667="ALU blanc","S9016",""))</f>
        <v/>
      </c>
      <c r="N667" s="1" t="str">
        <f>IF('Extraction edi'!S677&lt;&gt;"",'Extraction edi'!S677,IF(G667="ALU blanc","S9016",""))</f>
        <v/>
      </c>
      <c r="O667" s="11" t="str">
        <f>IF('Extraction edi'!V677&lt;'Feuille commande'!$E$1,"DELAI NON COMPATIBLE",IF('Extraction edi'!V677="","",WORKDAY('Extraction edi'!V677,-10,Paramètrage!$G$2:$G$104)))</f>
        <v/>
      </c>
      <c r="P667" s="1" t="e">
        <f t="shared" si="10"/>
        <v>#VALUE!</v>
      </c>
    </row>
    <row r="668" spans="1:16" x14ac:dyDescent="0.25">
      <c r="A668" s="1" t="str">
        <f>IF(B668="","",CONCATENATE(B668,".",C668,"/Pos ",D668,"/",'Extraction edi'!G678))</f>
        <v/>
      </c>
      <c r="B668" s="1" t="str">
        <f>IF('Extraction edi'!A678="","",'Extraction edi'!A678)</f>
        <v/>
      </c>
      <c r="C668" s="1" t="str">
        <f>IF('Extraction edi'!B678="","",'Extraction edi'!B678)</f>
        <v/>
      </c>
      <c r="D668" s="1" t="str">
        <f>IF('Extraction edi'!H678="","",'Extraction edi'!H678)</f>
        <v/>
      </c>
      <c r="E668" s="1" t="str">
        <f>IF('Extraction edi'!I678="","",'Extraction edi'!I678)</f>
        <v/>
      </c>
      <c r="F668" t="str">
        <f>IF('Extraction edi'!K678="","",'Extraction edi'!K678)</f>
        <v/>
      </c>
      <c r="G668" t="str">
        <f>IF('Extraction edi'!L671="","",'Extraction edi'!L671)</f>
        <v/>
      </c>
      <c r="H668" t="str">
        <f>IF('Extraction edi'!M671="","",'Extraction edi'!M671)</f>
        <v/>
      </c>
      <c r="I668" s="1" t="str">
        <f>IF('Extraction edi'!N678="","",'Extraction edi'!N678)</f>
        <v/>
      </c>
      <c r="J668" s="1" t="str">
        <f>IF('Extraction edi'!O678="","",'Extraction edi'!O678)</f>
        <v/>
      </c>
      <c r="K668" s="1" t="str">
        <f>IF('Extraction edi'!P678="","",'Extraction edi'!P678)</f>
        <v/>
      </c>
      <c r="L668" s="1" t="str">
        <f>IF('Extraction edi'!Q678="laquage RAL :","OUI","")</f>
        <v/>
      </c>
      <c r="M668" s="1" t="str">
        <f>IF('Extraction edi'!R678&lt;&gt;"",'Extraction edi'!R678,IF(G668="ALU blanc","S9016",""))</f>
        <v/>
      </c>
      <c r="N668" s="1" t="str">
        <f>IF('Extraction edi'!S678&lt;&gt;"",'Extraction edi'!S678,IF(G668="ALU blanc","S9016",""))</f>
        <v/>
      </c>
      <c r="O668" s="11" t="str">
        <f>IF('Extraction edi'!V678&lt;'Feuille commande'!$E$1,"DELAI NON COMPATIBLE",IF('Extraction edi'!V678="","",WORKDAY('Extraction edi'!V678,-10,Paramètrage!$G$2:$G$104)))</f>
        <v/>
      </c>
      <c r="P668" s="1" t="e">
        <f t="shared" si="10"/>
        <v>#VALUE!</v>
      </c>
    </row>
    <row r="669" spans="1:16" x14ac:dyDescent="0.25">
      <c r="A669" s="1" t="str">
        <f>IF(B669="","",CONCATENATE(B669,".",C669,"/Pos ",D669,"/",'Extraction edi'!G679))</f>
        <v/>
      </c>
      <c r="B669" s="1" t="str">
        <f>IF('Extraction edi'!A679="","",'Extraction edi'!A679)</f>
        <v/>
      </c>
      <c r="C669" s="1" t="str">
        <f>IF('Extraction edi'!B679="","",'Extraction edi'!B679)</f>
        <v/>
      </c>
      <c r="D669" s="1" t="str">
        <f>IF('Extraction edi'!H679="","",'Extraction edi'!H679)</f>
        <v/>
      </c>
      <c r="E669" s="1" t="str">
        <f>IF('Extraction edi'!I679="","",'Extraction edi'!I679)</f>
        <v/>
      </c>
      <c r="F669" t="str">
        <f>IF('Extraction edi'!K679="","",'Extraction edi'!K679)</f>
        <v/>
      </c>
      <c r="G669" t="str">
        <f>IF('Extraction edi'!L672="","",'Extraction edi'!L672)</f>
        <v/>
      </c>
      <c r="H669" t="str">
        <f>IF('Extraction edi'!M672="","",'Extraction edi'!M672)</f>
        <v/>
      </c>
      <c r="I669" s="1" t="str">
        <f>IF('Extraction edi'!N679="","",'Extraction edi'!N679)</f>
        <v/>
      </c>
      <c r="J669" s="1" t="str">
        <f>IF('Extraction edi'!O679="","",'Extraction edi'!O679)</f>
        <v/>
      </c>
      <c r="K669" s="1" t="str">
        <f>IF('Extraction edi'!P679="","",'Extraction edi'!P679)</f>
        <v/>
      </c>
      <c r="L669" s="1" t="str">
        <f>IF('Extraction edi'!Q679="laquage RAL :","OUI","")</f>
        <v/>
      </c>
      <c r="M669" s="1" t="str">
        <f>IF('Extraction edi'!R679&lt;&gt;"",'Extraction edi'!R679,IF(G669="ALU blanc","S9016",""))</f>
        <v/>
      </c>
      <c r="N669" s="1" t="str">
        <f>IF('Extraction edi'!S679&lt;&gt;"",'Extraction edi'!S679,IF(G669="ALU blanc","S9016",""))</f>
        <v/>
      </c>
      <c r="O669" s="11" t="str">
        <f>IF('Extraction edi'!V679&lt;'Feuille commande'!$E$1,"DELAI NON COMPATIBLE",IF('Extraction edi'!V679="","",WORKDAY('Extraction edi'!V679,-10,Paramètrage!$G$2:$G$104)))</f>
        <v/>
      </c>
      <c r="P669" s="1" t="e">
        <f t="shared" si="10"/>
        <v>#VALUE!</v>
      </c>
    </row>
    <row r="670" spans="1:16" x14ac:dyDescent="0.25">
      <c r="A670" s="1" t="str">
        <f>IF(B670="","",CONCATENATE(B670,".",C670,"/Pos ",D670,"/",'Extraction edi'!G680))</f>
        <v/>
      </c>
      <c r="B670" s="1" t="str">
        <f>IF('Extraction edi'!A680="","",'Extraction edi'!A680)</f>
        <v/>
      </c>
      <c r="C670" s="1" t="str">
        <f>IF('Extraction edi'!B680="","",'Extraction edi'!B680)</f>
        <v/>
      </c>
      <c r="D670" s="1" t="str">
        <f>IF('Extraction edi'!H680="","",'Extraction edi'!H680)</f>
        <v/>
      </c>
      <c r="E670" s="1" t="str">
        <f>IF('Extraction edi'!I680="","",'Extraction edi'!I680)</f>
        <v/>
      </c>
      <c r="F670" t="str">
        <f>IF('Extraction edi'!K680="","",'Extraction edi'!K680)</f>
        <v/>
      </c>
      <c r="G670" t="str">
        <f>IF('Extraction edi'!L673="","",'Extraction edi'!L673)</f>
        <v/>
      </c>
      <c r="H670" t="str">
        <f>IF('Extraction edi'!M673="","",'Extraction edi'!M673)</f>
        <v/>
      </c>
      <c r="I670" s="1" t="str">
        <f>IF('Extraction edi'!N680="","",'Extraction edi'!N680)</f>
        <v/>
      </c>
      <c r="J670" s="1" t="str">
        <f>IF('Extraction edi'!O680="","",'Extraction edi'!O680)</f>
        <v/>
      </c>
      <c r="K670" s="1" t="str">
        <f>IF('Extraction edi'!P680="","",'Extraction edi'!P680)</f>
        <v/>
      </c>
      <c r="L670" s="1" t="str">
        <f>IF('Extraction edi'!Q680="laquage RAL :","OUI","")</f>
        <v/>
      </c>
      <c r="M670" s="1" t="str">
        <f>IF('Extraction edi'!R680&lt;&gt;"",'Extraction edi'!R680,IF(G670="ALU blanc","S9016",""))</f>
        <v/>
      </c>
      <c r="N670" s="1" t="str">
        <f>IF('Extraction edi'!S680&lt;&gt;"",'Extraction edi'!S680,IF(G670="ALU blanc","S9016",""))</f>
        <v/>
      </c>
      <c r="O670" s="11" t="str">
        <f>IF('Extraction edi'!V680&lt;'Feuille commande'!$E$1,"DELAI NON COMPATIBLE",IF('Extraction edi'!V680="","",WORKDAY('Extraction edi'!V680,-10,Paramètrage!$G$2:$G$104)))</f>
        <v/>
      </c>
      <c r="P670" s="1" t="e">
        <f t="shared" si="10"/>
        <v>#VALUE!</v>
      </c>
    </row>
    <row r="671" spans="1:16" x14ac:dyDescent="0.25">
      <c r="A671" s="1" t="str">
        <f>IF(B671="","",CONCATENATE(B671,".",C671,"/Pos ",D671,"/",'Extraction edi'!G681))</f>
        <v/>
      </c>
      <c r="B671" s="1" t="str">
        <f>IF('Extraction edi'!A681="","",'Extraction edi'!A681)</f>
        <v/>
      </c>
      <c r="C671" s="1" t="str">
        <f>IF('Extraction edi'!B681="","",'Extraction edi'!B681)</f>
        <v/>
      </c>
      <c r="D671" s="1" t="str">
        <f>IF('Extraction edi'!H681="","",'Extraction edi'!H681)</f>
        <v/>
      </c>
      <c r="E671" s="1" t="str">
        <f>IF('Extraction edi'!I681="","",'Extraction edi'!I681)</f>
        <v/>
      </c>
      <c r="F671" t="str">
        <f>IF('Extraction edi'!K681="","",'Extraction edi'!K681)</f>
        <v/>
      </c>
      <c r="G671" t="str">
        <f>IF('Extraction edi'!L674="","",'Extraction edi'!L674)</f>
        <v/>
      </c>
      <c r="H671" t="str">
        <f>IF('Extraction edi'!M674="","",'Extraction edi'!M674)</f>
        <v/>
      </c>
      <c r="I671" s="1" t="str">
        <f>IF('Extraction edi'!N681="","",'Extraction edi'!N681)</f>
        <v/>
      </c>
      <c r="J671" s="1" t="str">
        <f>IF('Extraction edi'!O681="","",'Extraction edi'!O681)</f>
        <v/>
      </c>
      <c r="K671" s="1" t="str">
        <f>IF('Extraction edi'!P681="","",'Extraction edi'!P681)</f>
        <v/>
      </c>
      <c r="L671" s="1" t="str">
        <f>IF('Extraction edi'!Q681="laquage RAL :","OUI","")</f>
        <v/>
      </c>
      <c r="M671" s="1" t="str">
        <f>IF('Extraction edi'!R681&lt;&gt;"",'Extraction edi'!R681,IF(G671="ALU blanc","S9016",""))</f>
        <v/>
      </c>
      <c r="N671" s="1" t="str">
        <f>IF('Extraction edi'!S681&lt;&gt;"",'Extraction edi'!S681,IF(G671="ALU blanc","S9016",""))</f>
        <v/>
      </c>
      <c r="O671" s="11" t="str">
        <f>IF('Extraction edi'!V681&lt;'Feuille commande'!$E$1,"DELAI NON COMPATIBLE",IF('Extraction edi'!V681="","",WORKDAY('Extraction edi'!V681,-10,Paramètrage!$G$2:$G$104)))</f>
        <v/>
      </c>
      <c r="P671" s="1" t="e">
        <f t="shared" si="10"/>
        <v>#VALUE!</v>
      </c>
    </row>
    <row r="672" spans="1:16" x14ac:dyDescent="0.25">
      <c r="A672" s="1" t="str">
        <f>IF(B672="","",CONCATENATE(B672,".",C672,"/Pos ",D672,"/",'Extraction edi'!G682))</f>
        <v/>
      </c>
      <c r="B672" s="1" t="str">
        <f>IF('Extraction edi'!A682="","",'Extraction edi'!A682)</f>
        <v/>
      </c>
      <c r="C672" s="1" t="str">
        <f>IF('Extraction edi'!B682="","",'Extraction edi'!B682)</f>
        <v/>
      </c>
      <c r="D672" s="1" t="str">
        <f>IF('Extraction edi'!H682="","",'Extraction edi'!H682)</f>
        <v/>
      </c>
      <c r="E672" s="1" t="str">
        <f>IF('Extraction edi'!I682="","",'Extraction edi'!I682)</f>
        <v/>
      </c>
      <c r="F672" t="str">
        <f>IF('Extraction edi'!K682="","",'Extraction edi'!K682)</f>
        <v/>
      </c>
      <c r="G672" t="str">
        <f>IF('Extraction edi'!L675="","",'Extraction edi'!L675)</f>
        <v/>
      </c>
      <c r="H672" t="str">
        <f>IF('Extraction edi'!M675="","",'Extraction edi'!M675)</f>
        <v/>
      </c>
      <c r="I672" s="1" t="str">
        <f>IF('Extraction edi'!N682="","",'Extraction edi'!N682)</f>
        <v/>
      </c>
      <c r="J672" s="1" t="str">
        <f>IF('Extraction edi'!O682="","",'Extraction edi'!O682)</f>
        <v/>
      </c>
      <c r="K672" s="1" t="str">
        <f>IF('Extraction edi'!P682="","",'Extraction edi'!P682)</f>
        <v/>
      </c>
      <c r="L672" s="1" t="str">
        <f>IF('Extraction edi'!Q682="laquage RAL :","OUI","")</f>
        <v/>
      </c>
      <c r="M672" s="1" t="str">
        <f>IF('Extraction edi'!R682&lt;&gt;"",'Extraction edi'!R682,IF(G672="ALU blanc","S9016",""))</f>
        <v/>
      </c>
      <c r="N672" s="1" t="str">
        <f>IF('Extraction edi'!S682&lt;&gt;"",'Extraction edi'!S682,IF(G672="ALU blanc","S9016",""))</f>
        <v/>
      </c>
      <c r="O672" s="11" t="str">
        <f>IF('Extraction edi'!V682&lt;'Feuille commande'!$E$1,"DELAI NON COMPATIBLE",IF('Extraction edi'!V682="","",WORKDAY('Extraction edi'!V682,-10,Paramètrage!$G$2:$G$104)))</f>
        <v/>
      </c>
      <c r="P672" s="1" t="e">
        <f t="shared" si="10"/>
        <v>#VALUE!</v>
      </c>
    </row>
    <row r="673" spans="1:16" x14ac:dyDescent="0.25">
      <c r="A673" s="1" t="str">
        <f>IF(B673="","",CONCATENATE(B673,".",C673,"/Pos ",D673,"/",'Extraction edi'!G683))</f>
        <v/>
      </c>
      <c r="B673" s="1" t="str">
        <f>IF('Extraction edi'!A683="","",'Extraction edi'!A683)</f>
        <v/>
      </c>
      <c r="C673" s="1" t="str">
        <f>IF('Extraction edi'!B683="","",'Extraction edi'!B683)</f>
        <v/>
      </c>
      <c r="D673" s="1" t="str">
        <f>IF('Extraction edi'!H683="","",'Extraction edi'!H683)</f>
        <v/>
      </c>
      <c r="E673" s="1" t="str">
        <f>IF('Extraction edi'!I683="","",'Extraction edi'!I683)</f>
        <v/>
      </c>
      <c r="F673" t="str">
        <f>IF('Extraction edi'!K683="","",'Extraction edi'!K683)</f>
        <v/>
      </c>
      <c r="G673" t="str">
        <f>IF('Extraction edi'!L676="","",'Extraction edi'!L676)</f>
        <v/>
      </c>
      <c r="H673" t="str">
        <f>IF('Extraction edi'!M676="","",'Extraction edi'!M676)</f>
        <v/>
      </c>
      <c r="I673" s="1" t="str">
        <f>IF('Extraction edi'!N683="","",'Extraction edi'!N683)</f>
        <v/>
      </c>
      <c r="J673" s="1" t="str">
        <f>IF('Extraction edi'!O683="","",'Extraction edi'!O683)</f>
        <v/>
      </c>
      <c r="K673" s="1" t="str">
        <f>IF('Extraction edi'!P683="","",'Extraction edi'!P683)</f>
        <v/>
      </c>
      <c r="L673" s="1" t="str">
        <f>IF('Extraction edi'!Q683="laquage RAL :","OUI","")</f>
        <v/>
      </c>
      <c r="M673" s="1" t="str">
        <f>IF('Extraction edi'!R683&lt;&gt;"",'Extraction edi'!R683,IF(G673="ALU blanc","S9016",""))</f>
        <v/>
      </c>
      <c r="N673" s="1" t="str">
        <f>IF('Extraction edi'!S683&lt;&gt;"",'Extraction edi'!S683,IF(G673="ALU blanc","S9016",""))</f>
        <v/>
      </c>
      <c r="O673" s="11" t="str">
        <f>IF('Extraction edi'!V683&lt;'Feuille commande'!$E$1,"DELAI NON COMPATIBLE",IF('Extraction edi'!V683="","",WORKDAY('Extraction edi'!V683,-10,Paramètrage!$G$2:$G$104)))</f>
        <v/>
      </c>
      <c r="P673" s="1" t="e">
        <f t="shared" si="10"/>
        <v>#VALUE!</v>
      </c>
    </row>
    <row r="674" spans="1:16" x14ac:dyDescent="0.25">
      <c r="A674" s="1" t="str">
        <f>IF(B674="","",CONCATENATE(B674,".",C674,"/Pos ",D674,"/",'Extraction edi'!G684))</f>
        <v/>
      </c>
      <c r="B674" s="1" t="str">
        <f>IF('Extraction edi'!A684="","",'Extraction edi'!A684)</f>
        <v/>
      </c>
      <c r="C674" s="1" t="str">
        <f>IF('Extraction edi'!B684="","",'Extraction edi'!B684)</f>
        <v/>
      </c>
      <c r="D674" s="1" t="str">
        <f>IF('Extraction edi'!H684="","",'Extraction edi'!H684)</f>
        <v/>
      </c>
      <c r="E674" s="1" t="str">
        <f>IF('Extraction edi'!I684="","",'Extraction edi'!I684)</f>
        <v/>
      </c>
      <c r="F674" t="str">
        <f>IF('Extraction edi'!K684="","",'Extraction edi'!K684)</f>
        <v/>
      </c>
      <c r="G674" t="str">
        <f>IF('Extraction edi'!L677="","",'Extraction edi'!L677)</f>
        <v/>
      </c>
      <c r="H674" t="str">
        <f>IF('Extraction edi'!M677="","",'Extraction edi'!M677)</f>
        <v/>
      </c>
      <c r="I674" s="1" t="str">
        <f>IF('Extraction edi'!N684="","",'Extraction edi'!N684)</f>
        <v/>
      </c>
      <c r="J674" s="1" t="str">
        <f>IF('Extraction edi'!O684="","",'Extraction edi'!O684)</f>
        <v/>
      </c>
      <c r="K674" s="1" t="str">
        <f>IF('Extraction edi'!P684="","",'Extraction edi'!P684)</f>
        <v/>
      </c>
      <c r="L674" s="1" t="str">
        <f>IF('Extraction edi'!Q684="laquage RAL :","OUI","")</f>
        <v/>
      </c>
      <c r="M674" s="1" t="str">
        <f>IF('Extraction edi'!R684&lt;&gt;"",'Extraction edi'!R684,IF(G674="ALU blanc","S9016",""))</f>
        <v/>
      </c>
      <c r="N674" s="1" t="str">
        <f>IF('Extraction edi'!S684&lt;&gt;"",'Extraction edi'!S684,IF(G674="ALU blanc","S9016",""))</f>
        <v/>
      </c>
      <c r="O674" s="11" t="str">
        <f>IF('Extraction edi'!V684&lt;'Feuille commande'!$E$1,"DELAI NON COMPATIBLE",IF('Extraction edi'!V684="","",WORKDAY('Extraction edi'!V684,-10,Paramètrage!$G$2:$G$104)))</f>
        <v/>
      </c>
      <c r="P674" s="1" t="e">
        <f t="shared" si="10"/>
        <v>#VALUE!</v>
      </c>
    </row>
    <row r="675" spans="1:16" x14ac:dyDescent="0.25">
      <c r="A675" s="1" t="str">
        <f>IF(B675="","",CONCATENATE(B675,".",C675,"/Pos ",D675,"/",'Extraction edi'!G685))</f>
        <v/>
      </c>
      <c r="B675" s="1" t="str">
        <f>IF('Extraction edi'!A685="","",'Extraction edi'!A685)</f>
        <v/>
      </c>
      <c r="C675" s="1" t="str">
        <f>IF('Extraction edi'!B685="","",'Extraction edi'!B685)</f>
        <v/>
      </c>
      <c r="D675" s="1" t="str">
        <f>IF('Extraction edi'!H685="","",'Extraction edi'!H685)</f>
        <v/>
      </c>
      <c r="E675" s="1" t="str">
        <f>IF('Extraction edi'!I685="","",'Extraction edi'!I685)</f>
        <v/>
      </c>
      <c r="F675" t="str">
        <f>IF('Extraction edi'!K685="","",'Extraction edi'!K685)</f>
        <v/>
      </c>
      <c r="G675" t="str">
        <f>IF('Extraction edi'!L678="","",'Extraction edi'!L678)</f>
        <v/>
      </c>
      <c r="H675" t="str">
        <f>IF('Extraction edi'!M678="","",'Extraction edi'!M678)</f>
        <v/>
      </c>
      <c r="I675" s="1" t="str">
        <f>IF('Extraction edi'!N685="","",'Extraction edi'!N685)</f>
        <v/>
      </c>
      <c r="J675" s="1" t="str">
        <f>IF('Extraction edi'!O685="","",'Extraction edi'!O685)</f>
        <v/>
      </c>
      <c r="K675" s="1" t="str">
        <f>IF('Extraction edi'!P685="","",'Extraction edi'!P685)</f>
        <v/>
      </c>
      <c r="L675" s="1" t="str">
        <f>IF('Extraction edi'!Q685="laquage RAL :","OUI","")</f>
        <v/>
      </c>
      <c r="M675" s="1" t="str">
        <f>IF('Extraction edi'!R685&lt;&gt;"",'Extraction edi'!R685,IF(G675="ALU blanc","S9016",""))</f>
        <v/>
      </c>
      <c r="N675" s="1" t="str">
        <f>IF('Extraction edi'!S685&lt;&gt;"",'Extraction edi'!S685,IF(G675="ALU blanc","S9016",""))</f>
        <v/>
      </c>
      <c r="O675" s="11" t="str">
        <f>IF('Extraction edi'!V685&lt;'Feuille commande'!$E$1,"DELAI NON COMPATIBLE",IF('Extraction edi'!V685="","",WORKDAY('Extraction edi'!V685,-10,Paramètrage!$G$2:$G$104)))</f>
        <v/>
      </c>
      <c r="P675" s="1" t="e">
        <f t="shared" si="10"/>
        <v>#VALUE!</v>
      </c>
    </row>
    <row r="676" spans="1:16" x14ac:dyDescent="0.25">
      <c r="A676" s="1" t="str">
        <f>IF(B676="","",CONCATENATE(B676,".",C676,"/Pos ",D676,"/",'Extraction edi'!G686))</f>
        <v/>
      </c>
      <c r="B676" s="1" t="str">
        <f>IF('Extraction edi'!A686="","",'Extraction edi'!A686)</f>
        <v/>
      </c>
      <c r="C676" s="1" t="str">
        <f>IF('Extraction edi'!B686="","",'Extraction edi'!B686)</f>
        <v/>
      </c>
      <c r="D676" s="1" t="str">
        <f>IF('Extraction edi'!H686="","",'Extraction edi'!H686)</f>
        <v/>
      </c>
      <c r="E676" s="1" t="str">
        <f>IF('Extraction edi'!I686="","",'Extraction edi'!I686)</f>
        <v/>
      </c>
      <c r="F676" t="str">
        <f>IF('Extraction edi'!K686="","",'Extraction edi'!K686)</f>
        <v/>
      </c>
      <c r="G676" t="str">
        <f>IF('Extraction edi'!L679="","",'Extraction edi'!L679)</f>
        <v/>
      </c>
      <c r="H676" t="str">
        <f>IF('Extraction edi'!M679="","",'Extraction edi'!M679)</f>
        <v/>
      </c>
      <c r="I676" s="1" t="str">
        <f>IF('Extraction edi'!N686="","",'Extraction edi'!N686)</f>
        <v/>
      </c>
      <c r="J676" s="1" t="str">
        <f>IF('Extraction edi'!O686="","",'Extraction edi'!O686)</f>
        <v/>
      </c>
      <c r="K676" s="1" t="str">
        <f>IF('Extraction edi'!P686="","",'Extraction edi'!P686)</f>
        <v/>
      </c>
      <c r="L676" s="1" t="str">
        <f>IF('Extraction edi'!Q686="laquage RAL :","OUI","")</f>
        <v/>
      </c>
      <c r="M676" s="1" t="str">
        <f>IF('Extraction edi'!R686&lt;&gt;"",'Extraction edi'!R686,IF(G676="ALU blanc","S9016",""))</f>
        <v/>
      </c>
      <c r="N676" s="1" t="str">
        <f>IF('Extraction edi'!S686&lt;&gt;"",'Extraction edi'!S686,IF(G676="ALU blanc","S9016",""))</f>
        <v/>
      </c>
      <c r="O676" s="11" t="str">
        <f>IF('Extraction edi'!V686&lt;'Feuille commande'!$E$1,"DELAI NON COMPATIBLE",IF('Extraction edi'!V686="","",WORKDAY('Extraction edi'!V686,-10,Paramètrage!$G$2:$G$104)))</f>
        <v/>
      </c>
      <c r="P676" s="1" t="e">
        <f t="shared" si="10"/>
        <v>#VALUE!</v>
      </c>
    </row>
    <row r="677" spans="1:16" x14ac:dyDescent="0.25">
      <c r="A677" s="1" t="str">
        <f>IF(B677="","",CONCATENATE(B677,".",C677,"/Pos ",D677,"/",'Extraction edi'!G687))</f>
        <v/>
      </c>
      <c r="B677" s="1" t="str">
        <f>IF('Extraction edi'!A687="","",'Extraction edi'!A687)</f>
        <v/>
      </c>
      <c r="C677" s="1" t="str">
        <f>IF('Extraction edi'!B687="","",'Extraction edi'!B687)</f>
        <v/>
      </c>
      <c r="D677" s="1" t="str">
        <f>IF('Extraction edi'!H687="","",'Extraction edi'!H687)</f>
        <v/>
      </c>
      <c r="E677" s="1" t="str">
        <f>IF('Extraction edi'!I687="","",'Extraction edi'!I687)</f>
        <v/>
      </c>
      <c r="F677" t="str">
        <f>IF('Extraction edi'!K687="","",'Extraction edi'!K687)</f>
        <v/>
      </c>
      <c r="G677" t="str">
        <f>IF('Extraction edi'!L680="","",'Extraction edi'!L680)</f>
        <v/>
      </c>
      <c r="H677" t="str">
        <f>IF('Extraction edi'!M680="","",'Extraction edi'!M680)</f>
        <v/>
      </c>
      <c r="I677" s="1" t="str">
        <f>IF('Extraction edi'!N687="","",'Extraction edi'!N687)</f>
        <v/>
      </c>
      <c r="J677" s="1" t="str">
        <f>IF('Extraction edi'!O687="","",'Extraction edi'!O687)</f>
        <v/>
      </c>
      <c r="K677" s="1" t="str">
        <f>IF('Extraction edi'!P687="","",'Extraction edi'!P687)</f>
        <v/>
      </c>
      <c r="L677" s="1" t="str">
        <f>IF('Extraction edi'!Q687="laquage RAL :","OUI","")</f>
        <v/>
      </c>
      <c r="M677" s="1" t="str">
        <f>IF('Extraction edi'!R687&lt;&gt;"",'Extraction edi'!R687,IF(G677="ALU blanc","S9016",""))</f>
        <v/>
      </c>
      <c r="N677" s="1" t="str">
        <f>IF('Extraction edi'!S687&lt;&gt;"",'Extraction edi'!S687,IF(G677="ALU blanc","S9016",""))</f>
        <v/>
      </c>
      <c r="O677" s="11" t="str">
        <f>IF('Extraction edi'!V687&lt;'Feuille commande'!$E$1,"DELAI NON COMPATIBLE",IF('Extraction edi'!V687="","",WORKDAY('Extraction edi'!V687,-10,Paramètrage!$G$2:$G$104)))</f>
        <v/>
      </c>
      <c r="P677" s="1" t="e">
        <f t="shared" si="10"/>
        <v>#VALUE!</v>
      </c>
    </row>
    <row r="678" spans="1:16" x14ac:dyDescent="0.25">
      <c r="A678" s="1" t="str">
        <f>IF(B678="","",CONCATENATE(B678,".",C678,"/Pos ",D678,"/",'Extraction edi'!G688))</f>
        <v/>
      </c>
      <c r="B678" s="1" t="str">
        <f>IF('Extraction edi'!A688="","",'Extraction edi'!A688)</f>
        <v/>
      </c>
      <c r="C678" s="1" t="str">
        <f>IF('Extraction edi'!B688="","",'Extraction edi'!B688)</f>
        <v/>
      </c>
      <c r="D678" s="1" t="str">
        <f>IF('Extraction edi'!H688="","",'Extraction edi'!H688)</f>
        <v/>
      </c>
      <c r="E678" s="1" t="str">
        <f>IF('Extraction edi'!I688="","",'Extraction edi'!I688)</f>
        <v/>
      </c>
      <c r="F678" t="str">
        <f>IF('Extraction edi'!K688="","",'Extraction edi'!K688)</f>
        <v/>
      </c>
      <c r="G678" t="str">
        <f>IF('Extraction edi'!L681="","",'Extraction edi'!L681)</f>
        <v/>
      </c>
      <c r="H678" t="str">
        <f>IF('Extraction edi'!M681="","",'Extraction edi'!M681)</f>
        <v/>
      </c>
      <c r="I678" s="1" t="str">
        <f>IF('Extraction edi'!N688="","",'Extraction edi'!N688)</f>
        <v/>
      </c>
      <c r="J678" s="1" t="str">
        <f>IF('Extraction edi'!O688="","",'Extraction edi'!O688)</f>
        <v/>
      </c>
      <c r="K678" s="1" t="str">
        <f>IF('Extraction edi'!P688="","",'Extraction edi'!P688)</f>
        <v/>
      </c>
      <c r="L678" s="1" t="str">
        <f>IF('Extraction edi'!Q688="laquage RAL :","OUI","")</f>
        <v/>
      </c>
      <c r="M678" s="1" t="str">
        <f>IF('Extraction edi'!R688&lt;&gt;"",'Extraction edi'!R688,IF(G678="ALU blanc","S9016",""))</f>
        <v/>
      </c>
      <c r="N678" s="1" t="str">
        <f>IF('Extraction edi'!S688&lt;&gt;"",'Extraction edi'!S688,IF(G678="ALU blanc","S9016",""))</f>
        <v/>
      </c>
      <c r="O678" s="11" t="str">
        <f>IF('Extraction edi'!V688&lt;'Feuille commande'!$E$1,"DELAI NON COMPATIBLE",IF('Extraction edi'!V688="","",WORKDAY('Extraction edi'!V688,-10,Paramètrage!$G$2:$G$104)))</f>
        <v/>
      </c>
      <c r="P678" s="1" t="e">
        <f t="shared" si="10"/>
        <v>#VALUE!</v>
      </c>
    </row>
    <row r="679" spans="1:16" x14ac:dyDescent="0.25">
      <c r="A679" s="1" t="str">
        <f>IF(B679="","",CONCATENATE(B679,".",C679,"/Pos ",D679,"/",'Extraction edi'!G689))</f>
        <v/>
      </c>
      <c r="B679" s="1" t="str">
        <f>IF('Extraction edi'!A689="","",'Extraction edi'!A689)</f>
        <v/>
      </c>
      <c r="C679" s="1" t="str">
        <f>IF('Extraction edi'!B689="","",'Extraction edi'!B689)</f>
        <v/>
      </c>
      <c r="D679" s="1" t="str">
        <f>IF('Extraction edi'!H689="","",'Extraction edi'!H689)</f>
        <v/>
      </c>
      <c r="E679" s="1" t="str">
        <f>IF('Extraction edi'!I689="","",'Extraction edi'!I689)</f>
        <v/>
      </c>
      <c r="F679" t="str">
        <f>IF('Extraction edi'!K689="","",'Extraction edi'!K689)</f>
        <v/>
      </c>
      <c r="G679" t="str">
        <f>IF('Extraction edi'!L682="","",'Extraction edi'!L682)</f>
        <v/>
      </c>
      <c r="H679" t="str">
        <f>IF('Extraction edi'!M682="","",'Extraction edi'!M682)</f>
        <v/>
      </c>
      <c r="I679" s="1" t="str">
        <f>IF('Extraction edi'!N689="","",'Extraction edi'!N689)</f>
        <v/>
      </c>
      <c r="J679" s="1" t="str">
        <f>IF('Extraction edi'!O689="","",'Extraction edi'!O689)</f>
        <v/>
      </c>
      <c r="K679" s="1" t="str">
        <f>IF('Extraction edi'!P689="","",'Extraction edi'!P689)</f>
        <v/>
      </c>
      <c r="L679" s="1" t="str">
        <f>IF('Extraction edi'!Q689="laquage RAL :","OUI","")</f>
        <v/>
      </c>
      <c r="M679" s="1" t="str">
        <f>IF('Extraction edi'!R689&lt;&gt;"",'Extraction edi'!R689,IF(G679="ALU blanc","S9016",""))</f>
        <v/>
      </c>
      <c r="N679" s="1" t="str">
        <f>IF('Extraction edi'!S689&lt;&gt;"",'Extraction edi'!S689,IF(G679="ALU blanc","S9016",""))</f>
        <v/>
      </c>
      <c r="O679" s="11" t="str">
        <f>IF('Extraction edi'!V689&lt;'Feuille commande'!$E$1,"DELAI NON COMPATIBLE",IF('Extraction edi'!V689="","",WORKDAY('Extraction edi'!V689,-10,Paramètrage!$G$2:$G$104)))</f>
        <v/>
      </c>
      <c r="P679" s="1" t="e">
        <f t="shared" si="10"/>
        <v>#VALUE!</v>
      </c>
    </row>
    <row r="680" spans="1:16" x14ac:dyDescent="0.25">
      <c r="A680" s="1" t="str">
        <f>IF(B680="","",CONCATENATE(B680,".",C680,"/Pos ",D680,"/",'Extraction edi'!G690))</f>
        <v/>
      </c>
      <c r="B680" s="1" t="str">
        <f>IF('Extraction edi'!A690="","",'Extraction edi'!A690)</f>
        <v/>
      </c>
      <c r="C680" s="1" t="str">
        <f>IF('Extraction edi'!B690="","",'Extraction edi'!B690)</f>
        <v/>
      </c>
      <c r="D680" s="1" t="str">
        <f>IF('Extraction edi'!H690="","",'Extraction edi'!H690)</f>
        <v/>
      </c>
      <c r="E680" s="1" t="str">
        <f>IF('Extraction edi'!I690="","",'Extraction edi'!I690)</f>
        <v/>
      </c>
      <c r="F680" t="str">
        <f>IF('Extraction edi'!K690="","",'Extraction edi'!K690)</f>
        <v/>
      </c>
      <c r="G680" t="str">
        <f>IF('Extraction edi'!L683="","",'Extraction edi'!L683)</f>
        <v/>
      </c>
      <c r="H680" t="str">
        <f>IF('Extraction edi'!M683="","",'Extraction edi'!M683)</f>
        <v/>
      </c>
      <c r="I680" s="1" t="str">
        <f>IF('Extraction edi'!N690="","",'Extraction edi'!N690)</f>
        <v/>
      </c>
      <c r="J680" s="1" t="str">
        <f>IF('Extraction edi'!O690="","",'Extraction edi'!O690)</f>
        <v/>
      </c>
      <c r="K680" s="1" t="str">
        <f>IF('Extraction edi'!P690="","",'Extraction edi'!P690)</f>
        <v/>
      </c>
      <c r="L680" s="1" t="str">
        <f>IF('Extraction edi'!Q690="laquage RAL :","OUI","")</f>
        <v/>
      </c>
      <c r="M680" s="1" t="str">
        <f>IF('Extraction edi'!R690&lt;&gt;"",'Extraction edi'!R690,IF(G680="ALU blanc","S9016",""))</f>
        <v/>
      </c>
      <c r="N680" s="1" t="str">
        <f>IF('Extraction edi'!S690&lt;&gt;"",'Extraction edi'!S690,IF(G680="ALU blanc","S9016",""))</f>
        <v/>
      </c>
      <c r="O680" s="11" t="str">
        <f>IF('Extraction edi'!V690&lt;'Feuille commande'!$E$1,"DELAI NON COMPATIBLE",IF('Extraction edi'!V690="","",WORKDAY('Extraction edi'!V690,-10,Paramètrage!$G$2:$G$104)))</f>
        <v/>
      </c>
      <c r="P680" s="1" t="e">
        <f t="shared" si="10"/>
        <v>#VALUE!</v>
      </c>
    </row>
    <row r="681" spans="1:16" x14ac:dyDescent="0.25">
      <c r="A681" s="1" t="str">
        <f>IF(B681="","",CONCATENATE(B681,".",C681,"/Pos ",D681,"/",'Extraction edi'!G691))</f>
        <v/>
      </c>
      <c r="B681" s="1" t="str">
        <f>IF('Extraction edi'!A691="","",'Extraction edi'!A691)</f>
        <v/>
      </c>
      <c r="C681" s="1" t="str">
        <f>IF('Extraction edi'!B691="","",'Extraction edi'!B691)</f>
        <v/>
      </c>
      <c r="D681" s="1" t="str">
        <f>IF('Extraction edi'!H691="","",'Extraction edi'!H691)</f>
        <v/>
      </c>
      <c r="E681" s="1" t="str">
        <f>IF('Extraction edi'!I691="","",'Extraction edi'!I691)</f>
        <v/>
      </c>
      <c r="F681" t="str">
        <f>IF('Extraction edi'!K691="","",'Extraction edi'!K691)</f>
        <v/>
      </c>
      <c r="G681" t="str">
        <f>IF('Extraction edi'!L684="","",'Extraction edi'!L684)</f>
        <v/>
      </c>
      <c r="H681" t="str">
        <f>IF('Extraction edi'!M684="","",'Extraction edi'!M684)</f>
        <v/>
      </c>
      <c r="I681" s="1" t="str">
        <f>IF('Extraction edi'!N691="","",'Extraction edi'!N691)</f>
        <v/>
      </c>
      <c r="J681" s="1" t="str">
        <f>IF('Extraction edi'!O691="","",'Extraction edi'!O691)</f>
        <v/>
      </c>
      <c r="K681" s="1" t="str">
        <f>IF('Extraction edi'!P691="","",'Extraction edi'!P691)</f>
        <v/>
      </c>
      <c r="L681" s="1" t="str">
        <f>IF('Extraction edi'!Q691="laquage RAL :","OUI","")</f>
        <v/>
      </c>
      <c r="M681" s="1" t="str">
        <f>IF('Extraction edi'!R691&lt;&gt;"",'Extraction edi'!R691,IF(G681="ALU blanc","S9016",""))</f>
        <v/>
      </c>
      <c r="N681" s="1" t="str">
        <f>IF('Extraction edi'!S691&lt;&gt;"",'Extraction edi'!S691,IF(G681="ALU blanc","S9016",""))</f>
        <v/>
      </c>
      <c r="O681" s="11" t="str">
        <f>IF('Extraction edi'!V691&lt;'Feuille commande'!$E$1,"DELAI NON COMPATIBLE",IF('Extraction edi'!V691="","",WORKDAY('Extraction edi'!V691,-10,Paramètrage!$G$2:$G$104)))</f>
        <v/>
      </c>
      <c r="P681" s="1" t="e">
        <f t="shared" si="10"/>
        <v>#VALUE!</v>
      </c>
    </row>
    <row r="682" spans="1:16" x14ac:dyDescent="0.25">
      <c r="A682" s="1" t="str">
        <f>IF(B682="","",CONCATENATE(B682,".",C682,"/Pos ",D682,"/",'Extraction edi'!G692))</f>
        <v/>
      </c>
      <c r="B682" s="1" t="str">
        <f>IF('Extraction edi'!A692="","",'Extraction edi'!A692)</f>
        <v/>
      </c>
      <c r="C682" s="1" t="str">
        <f>IF('Extraction edi'!B692="","",'Extraction edi'!B692)</f>
        <v/>
      </c>
      <c r="D682" s="1" t="str">
        <f>IF('Extraction edi'!H692="","",'Extraction edi'!H692)</f>
        <v/>
      </c>
      <c r="E682" s="1" t="str">
        <f>IF('Extraction edi'!I692="","",'Extraction edi'!I692)</f>
        <v/>
      </c>
      <c r="F682" t="str">
        <f>IF('Extraction edi'!K692="","",'Extraction edi'!K692)</f>
        <v/>
      </c>
      <c r="G682" t="str">
        <f>IF('Extraction edi'!L685="","",'Extraction edi'!L685)</f>
        <v/>
      </c>
      <c r="H682" t="str">
        <f>IF('Extraction edi'!M685="","",'Extraction edi'!M685)</f>
        <v/>
      </c>
      <c r="I682" s="1" t="str">
        <f>IF('Extraction edi'!N692="","",'Extraction edi'!N692)</f>
        <v/>
      </c>
      <c r="J682" s="1" t="str">
        <f>IF('Extraction edi'!O692="","",'Extraction edi'!O692)</f>
        <v/>
      </c>
      <c r="K682" s="1" t="str">
        <f>IF('Extraction edi'!P692="","",'Extraction edi'!P692)</f>
        <v/>
      </c>
      <c r="L682" s="1" t="str">
        <f>IF('Extraction edi'!Q692="laquage RAL :","OUI","")</f>
        <v/>
      </c>
      <c r="M682" s="1" t="str">
        <f>IF('Extraction edi'!R692&lt;&gt;"",'Extraction edi'!R692,IF(G682="ALU blanc","S9016",""))</f>
        <v/>
      </c>
      <c r="N682" s="1" t="str">
        <f>IF('Extraction edi'!S692&lt;&gt;"",'Extraction edi'!S692,IF(G682="ALU blanc","S9016",""))</f>
        <v/>
      </c>
      <c r="O682" s="11" t="str">
        <f>IF('Extraction edi'!V692&lt;'Feuille commande'!$E$1,"DELAI NON COMPATIBLE",IF('Extraction edi'!V692="","",WORKDAY('Extraction edi'!V692,-10,Paramètrage!$G$2:$G$104)))</f>
        <v/>
      </c>
      <c r="P682" s="1" t="e">
        <f t="shared" si="10"/>
        <v>#VALUE!</v>
      </c>
    </row>
    <row r="683" spans="1:16" x14ac:dyDescent="0.25">
      <c r="A683" s="1" t="str">
        <f>IF(B683="","",CONCATENATE(B683,".",C683,"/Pos ",D683,"/",'Extraction edi'!G693))</f>
        <v/>
      </c>
      <c r="B683" s="1" t="str">
        <f>IF('Extraction edi'!A693="","",'Extraction edi'!A693)</f>
        <v/>
      </c>
      <c r="C683" s="1" t="str">
        <f>IF('Extraction edi'!B693="","",'Extraction edi'!B693)</f>
        <v/>
      </c>
      <c r="D683" s="1" t="str">
        <f>IF('Extraction edi'!H693="","",'Extraction edi'!H693)</f>
        <v/>
      </c>
      <c r="E683" s="1" t="str">
        <f>IF('Extraction edi'!I693="","",'Extraction edi'!I693)</f>
        <v/>
      </c>
      <c r="F683" t="str">
        <f>IF('Extraction edi'!K693="","",'Extraction edi'!K693)</f>
        <v/>
      </c>
      <c r="G683" t="str">
        <f>IF('Extraction edi'!L686="","",'Extraction edi'!L686)</f>
        <v/>
      </c>
      <c r="H683" t="str">
        <f>IF('Extraction edi'!M686="","",'Extraction edi'!M686)</f>
        <v/>
      </c>
      <c r="I683" s="1" t="str">
        <f>IF('Extraction edi'!N693="","",'Extraction edi'!N693)</f>
        <v/>
      </c>
      <c r="J683" s="1" t="str">
        <f>IF('Extraction edi'!O693="","",'Extraction edi'!O693)</f>
        <v/>
      </c>
      <c r="K683" s="1" t="str">
        <f>IF('Extraction edi'!P693="","",'Extraction edi'!P693)</f>
        <v/>
      </c>
      <c r="L683" s="1" t="str">
        <f>IF('Extraction edi'!Q693="laquage RAL :","OUI","")</f>
        <v/>
      </c>
      <c r="M683" s="1" t="str">
        <f>IF('Extraction edi'!R693&lt;&gt;"",'Extraction edi'!R693,IF(G683="ALU blanc","S9016",""))</f>
        <v/>
      </c>
      <c r="N683" s="1" t="str">
        <f>IF('Extraction edi'!S693&lt;&gt;"",'Extraction edi'!S693,IF(G683="ALU blanc","S9016",""))</f>
        <v/>
      </c>
      <c r="O683" s="11" t="str">
        <f>IF('Extraction edi'!V693&lt;'Feuille commande'!$E$1,"DELAI NON COMPATIBLE",IF('Extraction edi'!V693="","",WORKDAY('Extraction edi'!V693,-10,Paramètrage!$G$2:$G$104)))</f>
        <v/>
      </c>
      <c r="P683" s="1" t="e">
        <f t="shared" si="10"/>
        <v>#VALUE!</v>
      </c>
    </row>
    <row r="684" spans="1:16" x14ac:dyDescent="0.25">
      <c r="A684" s="1" t="str">
        <f>IF(B684="","",CONCATENATE(B684,".",C684,"/Pos ",D684,"/",'Extraction edi'!G694))</f>
        <v/>
      </c>
      <c r="B684" s="1" t="str">
        <f>IF('Extraction edi'!A694="","",'Extraction edi'!A694)</f>
        <v/>
      </c>
      <c r="C684" s="1" t="str">
        <f>IF('Extraction edi'!B694="","",'Extraction edi'!B694)</f>
        <v/>
      </c>
      <c r="D684" s="1" t="str">
        <f>IF('Extraction edi'!H694="","",'Extraction edi'!H694)</f>
        <v/>
      </c>
      <c r="E684" s="1" t="str">
        <f>IF('Extraction edi'!I694="","",'Extraction edi'!I694)</f>
        <v/>
      </c>
      <c r="F684" t="str">
        <f>IF('Extraction edi'!K694="","",'Extraction edi'!K694)</f>
        <v/>
      </c>
      <c r="G684" t="str">
        <f>IF('Extraction edi'!L687="","",'Extraction edi'!L687)</f>
        <v/>
      </c>
      <c r="H684" t="str">
        <f>IF('Extraction edi'!M687="","",'Extraction edi'!M687)</f>
        <v/>
      </c>
      <c r="I684" s="1" t="str">
        <f>IF('Extraction edi'!N694="","",'Extraction edi'!N694)</f>
        <v/>
      </c>
      <c r="J684" s="1" t="str">
        <f>IF('Extraction edi'!O694="","",'Extraction edi'!O694)</f>
        <v/>
      </c>
      <c r="K684" s="1" t="str">
        <f>IF('Extraction edi'!P694="","",'Extraction edi'!P694)</f>
        <v/>
      </c>
      <c r="L684" s="1" t="str">
        <f>IF('Extraction edi'!Q694="laquage RAL :","OUI","")</f>
        <v/>
      </c>
      <c r="M684" s="1" t="str">
        <f>IF('Extraction edi'!R694&lt;&gt;"",'Extraction edi'!R694,IF(G684="ALU blanc","S9016",""))</f>
        <v/>
      </c>
      <c r="N684" s="1" t="str">
        <f>IF('Extraction edi'!S694&lt;&gt;"",'Extraction edi'!S694,IF(G684="ALU blanc","S9016",""))</f>
        <v/>
      </c>
      <c r="O684" s="11" t="str">
        <f>IF('Extraction edi'!V694&lt;'Feuille commande'!$E$1,"DELAI NON COMPATIBLE",IF('Extraction edi'!V694="","",WORKDAY('Extraction edi'!V694,-10,Paramètrage!$G$2:$G$104)))</f>
        <v/>
      </c>
      <c r="P684" s="1" t="e">
        <f t="shared" si="10"/>
        <v>#VALUE!</v>
      </c>
    </row>
    <row r="685" spans="1:16" x14ac:dyDescent="0.25">
      <c r="A685" s="1" t="str">
        <f>IF(B685="","",CONCATENATE(B685,".",C685,"/Pos ",D685,"/",'Extraction edi'!G695))</f>
        <v/>
      </c>
      <c r="B685" s="1" t="str">
        <f>IF('Extraction edi'!A695="","",'Extraction edi'!A695)</f>
        <v/>
      </c>
      <c r="C685" s="1" t="str">
        <f>IF('Extraction edi'!B695="","",'Extraction edi'!B695)</f>
        <v/>
      </c>
      <c r="D685" s="1" t="str">
        <f>IF('Extraction edi'!H695="","",'Extraction edi'!H695)</f>
        <v/>
      </c>
      <c r="E685" s="1" t="str">
        <f>IF('Extraction edi'!I695="","",'Extraction edi'!I695)</f>
        <v/>
      </c>
      <c r="F685" t="str">
        <f>IF('Extraction edi'!K695="","",'Extraction edi'!K695)</f>
        <v/>
      </c>
      <c r="G685" t="str">
        <f>IF('Extraction edi'!L688="","",'Extraction edi'!L688)</f>
        <v/>
      </c>
      <c r="H685" t="str">
        <f>IF('Extraction edi'!M688="","",'Extraction edi'!M688)</f>
        <v/>
      </c>
      <c r="I685" s="1" t="str">
        <f>IF('Extraction edi'!N695="","",'Extraction edi'!N695)</f>
        <v/>
      </c>
      <c r="J685" s="1" t="str">
        <f>IF('Extraction edi'!O695="","",'Extraction edi'!O695)</f>
        <v/>
      </c>
      <c r="K685" s="1" t="str">
        <f>IF('Extraction edi'!P695="","",'Extraction edi'!P695)</f>
        <v/>
      </c>
      <c r="L685" s="1" t="str">
        <f>IF('Extraction edi'!Q695="laquage RAL :","OUI","")</f>
        <v/>
      </c>
      <c r="M685" s="1" t="str">
        <f>IF('Extraction edi'!R695&lt;&gt;"",'Extraction edi'!R695,IF(G685="ALU blanc","S9016",""))</f>
        <v/>
      </c>
      <c r="N685" s="1" t="str">
        <f>IF('Extraction edi'!S695&lt;&gt;"",'Extraction edi'!S695,IF(G685="ALU blanc","S9016",""))</f>
        <v/>
      </c>
      <c r="O685" s="11" t="str">
        <f>IF('Extraction edi'!V695&lt;'Feuille commande'!$E$1,"DELAI NON COMPATIBLE",IF('Extraction edi'!V695="","",WORKDAY('Extraction edi'!V695,-10,Paramètrage!$G$2:$G$104)))</f>
        <v/>
      </c>
      <c r="P685" s="1" t="e">
        <f t="shared" si="10"/>
        <v>#VALUE!</v>
      </c>
    </row>
    <row r="686" spans="1:16" x14ac:dyDescent="0.25">
      <c r="A686" s="1" t="str">
        <f>IF(B686="","",CONCATENATE(B686,".",C686,"/Pos ",D686,"/",'Extraction edi'!G696))</f>
        <v/>
      </c>
      <c r="B686" s="1" t="str">
        <f>IF('Extraction edi'!A696="","",'Extraction edi'!A696)</f>
        <v/>
      </c>
      <c r="C686" s="1" t="str">
        <f>IF('Extraction edi'!B696="","",'Extraction edi'!B696)</f>
        <v/>
      </c>
      <c r="D686" s="1" t="str">
        <f>IF('Extraction edi'!H696="","",'Extraction edi'!H696)</f>
        <v/>
      </c>
      <c r="E686" s="1" t="str">
        <f>IF('Extraction edi'!I696="","",'Extraction edi'!I696)</f>
        <v/>
      </c>
      <c r="F686" t="str">
        <f>IF('Extraction edi'!K696="","",'Extraction edi'!K696)</f>
        <v/>
      </c>
      <c r="G686" t="str">
        <f>IF('Extraction edi'!L689="","",'Extraction edi'!L689)</f>
        <v/>
      </c>
      <c r="H686" t="str">
        <f>IF('Extraction edi'!M689="","",'Extraction edi'!M689)</f>
        <v/>
      </c>
      <c r="I686" s="1" t="str">
        <f>IF('Extraction edi'!N696="","",'Extraction edi'!N696)</f>
        <v/>
      </c>
      <c r="J686" s="1" t="str">
        <f>IF('Extraction edi'!O696="","",'Extraction edi'!O696)</f>
        <v/>
      </c>
      <c r="K686" s="1" t="str">
        <f>IF('Extraction edi'!P696="","",'Extraction edi'!P696)</f>
        <v/>
      </c>
      <c r="L686" s="1" t="str">
        <f>IF('Extraction edi'!Q696="laquage RAL :","OUI","")</f>
        <v/>
      </c>
      <c r="M686" s="1" t="str">
        <f>IF('Extraction edi'!R696&lt;&gt;"",'Extraction edi'!R696,IF(G686="ALU blanc","S9016",""))</f>
        <v/>
      </c>
      <c r="N686" s="1" t="str">
        <f>IF('Extraction edi'!S696&lt;&gt;"",'Extraction edi'!S696,IF(G686="ALU blanc","S9016",""))</f>
        <v/>
      </c>
      <c r="O686" s="11" t="str">
        <f>IF('Extraction edi'!V696&lt;'Feuille commande'!$E$1,"DELAI NON COMPATIBLE",IF('Extraction edi'!V696="","",WORKDAY('Extraction edi'!V696,-10,Paramètrage!$G$2:$G$104)))</f>
        <v/>
      </c>
      <c r="P686" s="1" t="e">
        <f t="shared" si="10"/>
        <v>#VALUE!</v>
      </c>
    </row>
    <row r="687" spans="1:16" x14ac:dyDescent="0.25">
      <c r="A687" s="1" t="str">
        <f>IF(B687="","",CONCATENATE(B687,".",C687,"/Pos ",D687,"/",'Extraction edi'!G697))</f>
        <v/>
      </c>
      <c r="B687" s="1" t="str">
        <f>IF('Extraction edi'!A697="","",'Extraction edi'!A697)</f>
        <v/>
      </c>
      <c r="C687" s="1" t="str">
        <f>IF('Extraction edi'!B697="","",'Extraction edi'!B697)</f>
        <v/>
      </c>
      <c r="D687" s="1" t="str">
        <f>IF('Extraction edi'!H697="","",'Extraction edi'!H697)</f>
        <v/>
      </c>
      <c r="E687" s="1" t="str">
        <f>IF('Extraction edi'!I697="","",'Extraction edi'!I697)</f>
        <v/>
      </c>
      <c r="F687" t="str">
        <f>IF('Extraction edi'!K697="","",'Extraction edi'!K697)</f>
        <v/>
      </c>
      <c r="G687" t="str">
        <f>IF('Extraction edi'!L690="","",'Extraction edi'!L690)</f>
        <v/>
      </c>
      <c r="H687" t="str">
        <f>IF('Extraction edi'!M690="","",'Extraction edi'!M690)</f>
        <v/>
      </c>
      <c r="I687" s="1" t="str">
        <f>IF('Extraction edi'!N697="","",'Extraction edi'!N697)</f>
        <v/>
      </c>
      <c r="J687" s="1" t="str">
        <f>IF('Extraction edi'!O697="","",'Extraction edi'!O697)</f>
        <v/>
      </c>
      <c r="K687" s="1" t="str">
        <f>IF('Extraction edi'!P697="","",'Extraction edi'!P697)</f>
        <v/>
      </c>
      <c r="L687" s="1" t="str">
        <f>IF('Extraction edi'!Q697="laquage RAL :","OUI","")</f>
        <v/>
      </c>
      <c r="M687" s="1" t="str">
        <f>IF('Extraction edi'!R697&lt;&gt;"",'Extraction edi'!R697,IF(G687="ALU blanc","S9016",""))</f>
        <v/>
      </c>
      <c r="N687" s="1" t="str">
        <f>IF('Extraction edi'!S697&lt;&gt;"",'Extraction edi'!S697,IF(G687="ALU blanc","S9016",""))</f>
        <v/>
      </c>
      <c r="O687" s="11" t="str">
        <f>IF('Extraction edi'!V697&lt;'Feuille commande'!$E$1,"DELAI NON COMPATIBLE",IF('Extraction edi'!V697="","",WORKDAY('Extraction edi'!V697,-10,Paramètrage!$G$2:$G$104)))</f>
        <v/>
      </c>
      <c r="P687" s="1" t="e">
        <f t="shared" si="10"/>
        <v>#VALUE!</v>
      </c>
    </row>
    <row r="688" spans="1:16" x14ac:dyDescent="0.25">
      <c r="A688" s="1" t="str">
        <f>IF(B688="","",CONCATENATE(B688,".",C688,"/Pos ",D688,"/",'Extraction edi'!G698))</f>
        <v/>
      </c>
      <c r="B688" s="1" t="str">
        <f>IF('Extraction edi'!A698="","",'Extraction edi'!A698)</f>
        <v/>
      </c>
      <c r="C688" s="1" t="str">
        <f>IF('Extraction edi'!B698="","",'Extraction edi'!B698)</f>
        <v/>
      </c>
      <c r="D688" s="1" t="str">
        <f>IF('Extraction edi'!H698="","",'Extraction edi'!H698)</f>
        <v/>
      </c>
      <c r="E688" s="1" t="str">
        <f>IF('Extraction edi'!I698="","",'Extraction edi'!I698)</f>
        <v/>
      </c>
      <c r="F688" t="str">
        <f>IF('Extraction edi'!K698="","",'Extraction edi'!K698)</f>
        <v/>
      </c>
      <c r="G688" t="str">
        <f>IF('Extraction edi'!L691="","",'Extraction edi'!L691)</f>
        <v/>
      </c>
      <c r="H688" t="str">
        <f>IF('Extraction edi'!M691="","",'Extraction edi'!M691)</f>
        <v/>
      </c>
      <c r="I688" s="1" t="str">
        <f>IF('Extraction edi'!N698="","",'Extraction edi'!N698)</f>
        <v/>
      </c>
      <c r="J688" s="1" t="str">
        <f>IF('Extraction edi'!O698="","",'Extraction edi'!O698)</f>
        <v/>
      </c>
      <c r="K688" s="1" t="str">
        <f>IF('Extraction edi'!P698="","",'Extraction edi'!P698)</f>
        <v/>
      </c>
      <c r="L688" s="1" t="str">
        <f>IF('Extraction edi'!Q698="laquage RAL :","OUI","")</f>
        <v/>
      </c>
      <c r="M688" s="1" t="str">
        <f>IF('Extraction edi'!R698&lt;&gt;"",'Extraction edi'!R698,IF(G688="ALU blanc","S9016",""))</f>
        <v/>
      </c>
      <c r="N688" s="1" t="str">
        <f>IF('Extraction edi'!S698&lt;&gt;"",'Extraction edi'!S698,IF(G688="ALU blanc","S9016",""))</f>
        <v/>
      </c>
      <c r="O688" s="11" t="str">
        <f>IF('Extraction edi'!V698&lt;'Feuille commande'!$E$1,"DELAI NON COMPATIBLE",IF('Extraction edi'!V698="","",WORKDAY('Extraction edi'!V698,-10,Paramètrage!$G$2:$G$104)))</f>
        <v/>
      </c>
      <c r="P688" s="1" t="e">
        <f t="shared" si="10"/>
        <v>#VALUE!</v>
      </c>
    </row>
    <row r="689" spans="1:16" x14ac:dyDescent="0.25">
      <c r="A689" s="1" t="str">
        <f>IF(B689="","",CONCATENATE(B689,".",C689,"/Pos ",D689,"/",'Extraction edi'!G699))</f>
        <v/>
      </c>
      <c r="B689" s="1" t="str">
        <f>IF('Extraction edi'!A699="","",'Extraction edi'!A699)</f>
        <v/>
      </c>
      <c r="C689" s="1" t="str">
        <f>IF('Extraction edi'!B699="","",'Extraction edi'!B699)</f>
        <v/>
      </c>
      <c r="D689" s="1" t="str">
        <f>IF('Extraction edi'!H699="","",'Extraction edi'!H699)</f>
        <v/>
      </c>
      <c r="E689" s="1" t="str">
        <f>IF('Extraction edi'!I699="","",'Extraction edi'!I699)</f>
        <v/>
      </c>
      <c r="F689" t="str">
        <f>IF('Extraction edi'!K699="","",'Extraction edi'!K699)</f>
        <v/>
      </c>
      <c r="G689" t="str">
        <f>IF('Extraction edi'!L692="","",'Extraction edi'!L692)</f>
        <v/>
      </c>
      <c r="H689" t="str">
        <f>IF('Extraction edi'!M692="","",'Extraction edi'!M692)</f>
        <v/>
      </c>
      <c r="I689" s="1" t="str">
        <f>IF('Extraction edi'!N699="","",'Extraction edi'!N699)</f>
        <v/>
      </c>
      <c r="J689" s="1" t="str">
        <f>IF('Extraction edi'!O699="","",'Extraction edi'!O699)</f>
        <v/>
      </c>
      <c r="K689" s="1" t="str">
        <f>IF('Extraction edi'!P699="","",'Extraction edi'!P699)</f>
        <v/>
      </c>
      <c r="L689" s="1" t="str">
        <f>IF('Extraction edi'!Q699="laquage RAL :","OUI","")</f>
        <v/>
      </c>
      <c r="M689" s="1" t="str">
        <f>IF('Extraction edi'!R699&lt;&gt;"",'Extraction edi'!R699,IF(G689="ALU blanc","S9016",""))</f>
        <v/>
      </c>
      <c r="N689" s="1" t="str">
        <f>IF('Extraction edi'!S699&lt;&gt;"",'Extraction edi'!S699,IF(G689="ALU blanc","S9016",""))</f>
        <v/>
      </c>
      <c r="O689" s="11" t="str">
        <f>IF('Extraction edi'!V699&lt;'Feuille commande'!$E$1,"DELAI NON COMPATIBLE",IF('Extraction edi'!V699="","",WORKDAY('Extraction edi'!V699,-10,Paramètrage!$G$2:$G$104)))</f>
        <v/>
      </c>
      <c r="P689" s="1" t="e">
        <f t="shared" si="10"/>
        <v>#VALUE!</v>
      </c>
    </row>
    <row r="690" spans="1:16" x14ac:dyDescent="0.25">
      <c r="A690" s="1" t="str">
        <f>IF(B690="","",CONCATENATE(B690,".",C690,"/Pos ",D690,"/",'Extraction edi'!G700))</f>
        <v/>
      </c>
      <c r="B690" s="1" t="str">
        <f>IF('Extraction edi'!A700="","",'Extraction edi'!A700)</f>
        <v/>
      </c>
      <c r="C690" s="1" t="str">
        <f>IF('Extraction edi'!B700="","",'Extraction edi'!B700)</f>
        <v/>
      </c>
      <c r="D690" s="1" t="str">
        <f>IF('Extraction edi'!H700="","",'Extraction edi'!H700)</f>
        <v/>
      </c>
      <c r="E690" s="1" t="str">
        <f>IF('Extraction edi'!I700="","",'Extraction edi'!I700)</f>
        <v/>
      </c>
      <c r="F690" t="str">
        <f>IF('Extraction edi'!K700="","",'Extraction edi'!K700)</f>
        <v/>
      </c>
      <c r="G690" t="str">
        <f>IF('Extraction edi'!L693="","",'Extraction edi'!L693)</f>
        <v/>
      </c>
      <c r="H690" t="str">
        <f>IF('Extraction edi'!M693="","",'Extraction edi'!M693)</f>
        <v/>
      </c>
      <c r="I690" s="1" t="str">
        <f>IF('Extraction edi'!N700="","",'Extraction edi'!N700)</f>
        <v/>
      </c>
      <c r="J690" s="1" t="str">
        <f>IF('Extraction edi'!O700="","",'Extraction edi'!O700)</f>
        <v/>
      </c>
      <c r="K690" s="1" t="str">
        <f>IF('Extraction edi'!P700="","",'Extraction edi'!P700)</f>
        <v/>
      </c>
      <c r="L690" s="1" t="str">
        <f>IF('Extraction edi'!Q700="laquage RAL :","OUI","")</f>
        <v/>
      </c>
      <c r="M690" s="1" t="str">
        <f>IF('Extraction edi'!R700&lt;&gt;"",'Extraction edi'!R700,IF(G690="ALU blanc","S9016",""))</f>
        <v/>
      </c>
      <c r="N690" s="1" t="str">
        <f>IF('Extraction edi'!S700&lt;&gt;"",'Extraction edi'!S700,IF(G690="ALU blanc","S9016",""))</f>
        <v/>
      </c>
      <c r="O690" s="11" t="str">
        <f>IF('Extraction edi'!V700&lt;'Feuille commande'!$E$1,"DELAI NON COMPATIBLE",IF('Extraction edi'!V700="","",WORKDAY('Extraction edi'!V700,-10,Paramètrage!$G$2:$G$104)))</f>
        <v/>
      </c>
      <c r="P690" s="1" t="e">
        <f t="shared" si="10"/>
        <v>#VALUE!</v>
      </c>
    </row>
    <row r="691" spans="1:16" x14ac:dyDescent="0.25">
      <c r="A691" s="1" t="str">
        <f>IF(B691="","",CONCATENATE(B691,".",C691,"/Pos ",D691,"/",'Extraction edi'!G701))</f>
        <v/>
      </c>
      <c r="B691" s="1" t="str">
        <f>IF('Extraction edi'!A701="","",'Extraction edi'!A701)</f>
        <v/>
      </c>
      <c r="C691" s="1" t="str">
        <f>IF('Extraction edi'!B701="","",'Extraction edi'!B701)</f>
        <v/>
      </c>
      <c r="D691" s="1" t="str">
        <f>IF('Extraction edi'!H701="","",'Extraction edi'!H701)</f>
        <v/>
      </c>
      <c r="E691" s="1" t="str">
        <f>IF('Extraction edi'!I701="","",'Extraction edi'!I701)</f>
        <v/>
      </c>
      <c r="F691" t="str">
        <f>IF('Extraction edi'!K701="","",'Extraction edi'!K701)</f>
        <v/>
      </c>
      <c r="G691" t="str">
        <f>IF('Extraction edi'!L694="","",'Extraction edi'!L694)</f>
        <v/>
      </c>
      <c r="H691" t="str">
        <f>IF('Extraction edi'!M694="","",'Extraction edi'!M694)</f>
        <v/>
      </c>
      <c r="I691" s="1" t="str">
        <f>IF('Extraction edi'!N701="","",'Extraction edi'!N701)</f>
        <v/>
      </c>
      <c r="J691" s="1" t="str">
        <f>IF('Extraction edi'!O701="","",'Extraction edi'!O701)</f>
        <v/>
      </c>
      <c r="K691" s="1" t="str">
        <f>IF('Extraction edi'!P701="","",'Extraction edi'!P701)</f>
        <v/>
      </c>
      <c r="L691" s="1" t="str">
        <f>IF('Extraction edi'!Q701="laquage RAL :","OUI","")</f>
        <v/>
      </c>
      <c r="M691" s="1" t="str">
        <f>IF('Extraction edi'!R701&lt;&gt;"",'Extraction edi'!R701,IF(G691="ALU blanc","S9016",""))</f>
        <v/>
      </c>
      <c r="N691" s="1" t="str">
        <f>IF('Extraction edi'!S701&lt;&gt;"",'Extraction edi'!S701,IF(G691="ALU blanc","S9016",""))</f>
        <v/>
      </c>
      <c r="O691" s="11" t="str">
        <f>IF('Extraction edi'!V701&lt;'Feuille commande'!$E$1,"DELAI NON COMPATIBLE",IF('Extraction edi'!V701="","",WORKDAY('Extraction edi'!V701,-10,Paramètrage!$G$2:$G$104)))</f>
        <v/>
      </c>
      <c r="P691" s="1" t="e">
        <f t="shared" si="10"/>
        <v>#VALUE!</v>
      </c>
    </row>
    <row r="692" spans="1:16" x14ac:dyDescent="0.25">
      <c r="A692" s="1" t="str">
        <f>IF(B692="","",CONCATENATE(B692,".",C692,"/Pos ",D692,"/",'Extraction edi'!G702))</f>
        <v/>
      </c>
      <c r="B692" s="1" t="str">
        <f>IF('Extraction edi'!A702="","",'Extraction edi'!A702)</f>
        <v/>
      </c>
      <c r="C692" s="1" t="str">
        <f>IF('Extraction edi'!B702="","",'Extraction edi'!B702)</f>
        <v/>
      </c>
      <c r="D692" s="1" t="str">
        <f>IF('Extraction edi'!H702="","",'Extraction edi'!H702)</f>
        <v/>
      </c>
      <c r="E692" s="1" t="str">
        <f>IF('Extraction edi'!I702="","",'Extraction edi'!I702)</f>
        <v/>
      </c>
      <c r="F692" t="str">
        <f>IF('Extraction edi'!K702="","",'Extraction edi'!K702)</f>
        <v/>
      </c>
      <c r="G692" t="str">
        <f>IF('Extraction edi'!L695="","",'Extraction edi'!L695)</f>
        <v/>
      </c>
      <c r="H692" t="str">
        <f>IF('Extraction edi'!M695="","",'Extraction edi'!M695)</f>
        <v/>
      </c>
      <c r="I692" s="1" t="str">
        <f>IF('Extraction edi'!N702="","",'Extraction edi'!N702)</f>
        <v/>
      </c>
      <c r="J692" s="1" t="str">
        <f>IF('Extraction edi'!O702="","",'Extraction edi'!O702)</f>
        <v/>
      </c>
      <c r="K692" s="1" t="str">
        <f>IF('Extraction edi'!P702="","",'Extraction edi'!P702)</f>
        <v/>
      </c>
      <c r="L692" s="1" t="str">
        <f>IF('Extraction edi'!Q702="laquage RAL :","OUI","")</f>
        <v/>
      </c>
      <c r="M692" s="1" t="str">
        <f>IF('Extraction edi'!R702&lt;&gt;"",'Extraction edi'!R702,IF(G692="ALU blanc","S9016",""))</f>
        <v/>
      </c>
      <c r="N692" s="1" t="str">
        <f>IF('Extraction edi'!S702&lt;&gt;"",'Extraction edi'!S702,IF(G692="ALU blanc","S9016",""))</f>
        <v/>
      </c>
      <c r="O692" s="11" t="str">
        <f>IF('Extraction edi'!V702&lt;'Feuille commande'!$E$1,"DELAI NON COMPATIBLE",IF('Extraction edi'!V702="","",WORKDAY('Extraction edi'!V702,-10,Paramètrage!$G$2:$G$104)))</f>
        <v/>
      </c>
      <c r="P692" s="1" t="e">
        <f t="shared" si="10"/>
        <v>#VALUE!</v>
      </c>
    </row>
    <row r="693" spans="1:16" x14ac:dyDescent="0.25">
      <c r="A693" s="1" t="str">
        <f>IF(B693="","",CONCATENATE(B693,".",C693,"/Pos ",D693,"/",'Extraction edi'!G703))</f>
        <v/>
      </c>
      <c r="B693" s="1" t="str">
        <f>IF('Extraction edi'!A703="","",'Extraction edi'!A703)</f>
        <v/>
      </c>
      <c r="C693" s="1" t="str">
        <f>IF('Extraction edi'!B703="","",'Extraction edi'!B703)</f>
        <v/>
      </c>
      <c r="D693" s="1" t="str">
        <f>IF('Extraction edi'!H703="","",'Extraction edi'!H703)</f>
        <v/>
      </c>
      <c r="E693" s="1" t="str">
        <f>IF('Extraction edi'!I703="","",'Extraction edi'!I703)</f>
        <v/>
      </c>
      <c r="F693" t="str">
        <f>IF('Extraction edi'!K703="","",'Extraction edi'!K703)</f>
        <v/>
      </c>
      <c r="G693" t="str">
        <f>IF('Extraction edi'!L696="","",'Extraction edi'!L696)</f>
        <v/>
      </c>
      <c r="H693" t="str">
        <f>IF('Extraction edi'!M696="","",'Extraction edi'!M696)</f>
        <v/>
      </c>
      <c r="I693" s="1" t="str">
        <f>IF('Extraction edi'!N703="","",'Extraction edi'!N703)</f>
        <v/>
      </c>
      <c r="J693" s="1" t="str">
        <f>IF('Extraction edi'!O703="","",'Extraction edi'!O703)</f>
        <v/>
      </c>
      <c r="K693" s="1" t="str">
        <f>IF('Extraction edi'!P703="","",'Extraction edi'!P703)</f>
        <v/>
      </c>
      <c r="L693" s="1" t="str">
        <f>IF('Extraction edi'!Q703="laquage RAL :","OUI","")</f>
        <v/>
      </c>
      <c r="M693" s="1" t="str">
        <f>IF('Extraction edi'!R703&lt;&gt;"",'Extraction edi'!R703,IF(G693="ALU blanc","S9016",""))</f>
        <v/>
      </c>
      <c r="N693" s="1" t="str">
        <f>IF('Extraction edi'!S703&lt;&gt;"",'Extraction edi'!S703,IF(G693="ALU blanc","S9016",""))</f>
        <v/>
      </c>
      <c r="O693" s="11" t="str">
        <f>IF('Extraction edi'!V703&lt;'Feuille commande'!$E$1,"DELAI NON COMPATIBLE",IF('Extraction edi'!V703="","",WORKDAY('Extraction edi'!V703,-10,Paramètrage!$G$2:$G$104)))</f>
        <v/>
      </c>
      <c r="P693" s="1" t="e">
        <f t="shared" si="10"/>
        <v>#VALUE!</v>
      </c>
    </row>
    <row r="694" spans="1:16" x14ac:dyDescent="0.25">
      <c r="A694" s="1" t="str">
        <f>IF(B694="","",CONCATENATE(B694,".",C694,"/Pos ",D694,"/",'Extraction edi'!G704))</f>
        <v/>
      </c>
      <c r="B694" s="1" t="str">
        <f>IF('Extraction edi'!A704="","",'Extraction edi'!A704)</f>
        <v/>
      </c>
      <c r="C694" s="1" t="str">
        <f>IF('Extraction edi'!B704="","",'Extraction edi'!B704)</f>
        <v/>
      </c>
      <c r="D694" s="1" t="str">
        <f>IF('Extraction edi'!H704="","",'Extraction edi'!H704)</f>
        <v/>
      </c>
      <c r="E694" s="1" t="str">
        <f>IF('Extraction edi'!I704="","",'Extraction edi'!I704)</f>
        <v/>
      </c>
      <c r="F694" t="str">
        <f>IF('Extraction edi'!K704="","",'Extraction edi'!K704)</f>
        <v/>
      </c>
      <c r="G694" t="str">
        <f>IF('Extraction edi'!L697="","",'Extraction edi'!L697)</f>
        <v/>
      </c>
      <c r="H694" t="str">
        <f>IF('Extraction edi'!M697="","",'Extraction edi'!M697)</f>
        <v/>
      </c>
      <c r="I694" s="1" t="str">
        <f>IF('Extraction edi'!N704="","",'Extraction edi'!N704)</f>
        <v/>
      </c>
      <c r="J694" s="1" t="str">
        <f>IF('Extraction edi'!O704="","",'Extraction edi'!O704)</f>
        <v/>
      </c>
      <c r="K694" s="1" t="str">
        <f>IF('Extraction edi'!P704="","",'Extraction edi'!P704)</f>
        <v/>
      </c>
      <c r="L694" s="1" t="str">
        <f>IF('Extraction edi'!Q704="laquage RAL :","OUI","")</f>
        <v/>
      </c>
      <c r="M694" s="1" t="str">
        <f>IF('Extraction edi'!R704&lt;&gt;"",'Extraction edi'!R704,IF(G694="ALU blanc","S9016",""))</f>
        <v/>
      </c>
      <c r="N694" s="1" t="str">
        <f>IF('Extraction edi'!S704&lt;&gt;"",'Extraction edi'!S704,IF(G694="ALU blanc","S9016",""))</f>
        <v/>
      </c>
      <c r="O694" s="11" t="str">
        <f>IF('Extraction edi'!V704&lt;'Feuille commande'!$E$1,"DELAI NON COMPATIBLE",IF('Extraction edi'!V704="","",WORKDAY('Extraction edi'!V704,-10,Paramètrage!$G$2:$G$104)))</f>
        <v/>
      </c>
      <c r="P694" s="1" t="e">
        <f t="shared" si="10"/>
        <v>#VALUE!</v>
      </c>
    </row>
    <row r="695" spans="1:16" x14ac:dyDescent="0.25">
      <c r="A695" s="1" t="str">
        <f>IF(B695="","",CONCATENATE(B695,".",C695,"/Pos ",D695,"/",'Extraction edi'!G705))</f>
        <v/>
      </c>
      <c r="B695" s="1" t="str">
        <f>IF('Extraction edi'!A705="","",'Extraction edi'!A705)</f>
        <v/>
      </c>
      <c r="C695" s="1" t="str">
        <f>IF('Extraction edi'!B705="","",'Extraction edi'!B705)</f>
        <v/>
      </c>
      <c r="D695" s="1" t="str">
        <f>IF('Extraction edi'!H705="","",'Extraction edi'!H705)</f>
        <v/>
      </c>
      <c r="E695" s="1" t="str">
        <f>IF('Extraction edi'!I705="","",'Extraction edi'!I705)</f>
        <v/>
      </c>
      <c r="F695" t="str">
        <f>IF('Extraction edi'!K705="","",'Extraction edi'!K705)</f>
        <v/>
      </c>
      <c r="G695" t="str">
        <f>IF('Extraction edi'!L698="","",'Extraction edi'!L698)</f>
        <v/>
      </c>
      <c r="H695" t="str">
        <f>IF('Extraction edi'!M698="","",'Extraction edi'!M698)</f>
        <v/>
      </c>
      <c r="I695" s="1" t="str">
        <f>IF('Extraction edi'!N705="","",'Extraction edi'!N705)</f>
        <v/>
      </c>
      <c r="J695" s="1" t="str">
        <f>IF('Extraction edi'!O705="","",'Extraction edi'!O705)</f>
        <v/>
      </c>
      <c r="K695" s="1" t="str">
        <f>IF('Extraction edi'!P705="","",'Extraction edi'!P705)</f>
        <v/>
      </c>
      <c r="L695" s="1" t="str">
        <f>IF('Extraction edi'!Q705="laquage RAL :","OUI","")</f>
        <v/>
      </c>
      <c r="M695" s="1" t="str">
        <f>IF('Extraction edi'!R705&lt;&gt;"",'Extraction edi'!R705,IF(G695="ALU blanc","S9016",""))</f>
        <v/>
      </c>
      <c r="N695" s="1" t="str">
        <f>IF('Extraction edi'!S705&lt;&gt;"",'Extraction edi'!S705,IF(G695="ALU blanc","S9016",""))</f>
        <v/>
      </c>
      <c r="O695" s="11" t="str">
        <f>IF('Extraction edi'!V705&lt;'Feuille commande'!$E$1,"DELAI NON COMPATIBLE",IF('Extraction edi'!V705="","",WORKDAY('Extraction edi'!V705,-10,Paramètrage!$G$2:$G$104)))</f>
        <v/>
      </c>
      <c r="P695" s="1" t="e">
        <f t="shared" si="10"/>
        <v>#VALUE!</v>
      </c>
    </row>
    <row r="696" spans="1:16" x14ac:dyDescent="0.25">
      <c r="A696" s="1" t="str">
        <f>IF(B696="","",CONCATENATE(B696,".",C696,"/Pos ",D696,"/",'Extraction edi'!G706))</f>
        <v/>
      </c>
      <c r="B696" s="1" t="str">
        <f>IF('Extraction edi'!A706="","",'Extraction edi'!A706)</f>
        <v/>
      </c>
      <c r="C696" s="1" t="str">
        <f>IF('Extraction edi'!B706="","",'Extraction edi'!B706)</f>
        <v/>
      </c>
      <c r="D696" s="1" t="str">
        <f>IF('Extraction edi'!H706="","",'Extraction edi'!H706)</f>
        <v/>
      </c>
      <c r="E696" s="1" t="str">
        <f>IF('Extraction edi'!I706="","",'Extraction edi'!I706)</f>
        <v/>
      </c>
      <c r="F696" t="str">
        <f>IF('Extraction edi'!K706="","",'Extraction edi'!K706)</f>
        <v/>
      </c>
      <c r="G696" t="str">
        <f>IF('Extraction edi'!L699="","",'Extraction edi'!L699)</f>
        <v/>
      </c>
      <c r="H696" t="str">
        <f>IF('Extraction edi'!M699="","",'Extraction edi'!M699)</f>
        <v/>
      </c>
      <c r="I696" s="1" t="str">
        <f>IF('Extraction edi'!N706="","",'Extraction edi'!N706)</f>
        <v/>
      </c>
      <c r="J696" s="1" t="str">
        <f>IF('Extraction edi'!O706="","",'Extraction edi'!O706)</f>
        <v/>
      </c>
      <c r="K696" s="1" t="str">
        <f>IF('Extraction edi'!P706="","",'Extraction edi'!P706)</f>
        <v/>
      </c>
      <c r="L696" s="1" t="str">
        <f>IF('Extraction edi'!Q706="laquage RAL :","OUI","")</f>
        <v/>
      </c>
      <c r="M696" s="1" t="str">
        <f>IF('Extraction edi'!R706&lt;&gt;"",'Extraction edi'!R706,IF(G696="ALU blanc","S9016",""))</f>
        <v/>
      </c>
      <c r="N696" s="1" t="str">
        <f>IF('Extraction edi'!S706&lt;&gt;"",'Extraction edi'!S706,IF(G696="ALU blanc","S9016",""))</f>
        <v/>
      </c>
      <c r="O696" s="11" t="str">
        <f>IF('Extraction edi'!V706&lt;'Feuille commande'!$E$1,"DELAI NON COMPATIBLE",IF('Extraction edi'!V706="","",WORKDAY('Extraction edi'!V706,-10,Paramètrage!$G$2:$G$104)))</f>
        <v/>
      </c>
      <c r="P696" s="1" t="e">
        <f t="shared" si="10"/>
        <v>#VALUE!</v>
      </c>
    </row>
    <row r="697" spans="1:16" x14ac:dyDescent="0.25">
      <c r="A697" s="1" t="str">
        <f>IF(B697="","",CONCATENATE(B697,".",C697,"/Pos ",D697,"/",'Extraction edi'!G707))</f>
        <v/>
      </c>
      <c r="B697" s="1" t="str">
        <f>IF('Extraction edi'!A707="","",'Extraction edi'!A707)</f>
        <v/>
      </c>
      <c r="C697" s="1" t="str">
        <f>IF('Extraction edi'!B707="","",'Extraction edi'!B707)</f>
        <v/>
      </c>
      <c r="D697" s="1" t="str">
        <f>IF('Extraction edi'!H707="","",'Extraction edi'!H707)</f>
        <v/>
      </c>
      <c r="E697" s="1" t="str">
        <f>IF('Extraction edi'!I707="","",'Extraction edi'!I707)</f>
        <v/>
      </c>
      <c r="F697" t="str">
        <f>IF('Extraction edi'!K707="","",'Extraction edi'!K707)</f>
        <v/>
      </c>
      <c r="G697" t="str">
        <f>IF('Extraction edi'!L700="","",'Extraction edi'!L700)</f>
        <v/>
      </c>
      <c r="H697" t="str">
        <f>IF('Extraction edi'!M700="","",'Extraction edi'!M700)</f>
        <v/>
      </c>
      <c r="I697" s="1" t="str">
        <f>IF('Extraction edi'!N707="","",'Extraction edi'!N707)</f>
        <v/>
      </c>
      <c r="J697" s="1" t="str">
        <f>IF('Extraction edi'!O707="","",'Extraction edi'!O707)</f>
        <v/>
      </c>
      <c r="K697" s="1" t="str">
        <f>IF('Extraction edi'!P707="","",'Extraction edi'!P707)</f>
        <v/>
      </c>
      <c r="L697" s="1" t="str">
        <f>IF('Extraction edi'!Q707="laquage RAL :","OUI","")</f>
        <v/>
      </c>
      <c r="M697" s="1" t="str">
        <f>IF('Extraction edi'!R707&lt;&gt;"",'Extraction edi'!R707,IF(G697="ALU blanc","S9016",""))</f>
        <v/>
      </c>
      <c r="N697" s="1" t="str">
        <f>IF('Extraction edi'!S707&lt;&gt;"",'Extraction edi'!S707,IF(G697="ALU blanc","S9016",""))</f>
        <v/>
      </c>
      <c r="O697" s="11" t="str">
        <f>IF('Extraction edi'!V707&lt;'Feuille commande'!$E$1,"DELAI NON COMPATIBLE",IF('Extraction edi'!V707="","",WORKDAY('Extraction edi'!V707,-10,Paramètrage!$G$2:$G$104)))</f>
        <v/>
      </c>
      <c r="P697" s="1" t="e">
        <f t="shared" si="10"/>
        <v>#VALUE!</v>
      </c>
    </row>
    <row r="698" spans="1:16" x14ac:dyDescent="0.25">
      <c r="A698" s="1" t="str">
        <f>IF(B698="","",CONCATENATE(B698,".",C698,"/Pos ",D698,"/",'Extraction edi'!G708))</f>
        <v/>
      </c>
      <c r="B698" s="1" t="str">
        <f>IF('Extraction edi'!A708="","",'Extraction edi'!A708)</f>
        <v/>
      </c>
      <c r="C698" s="1" t="str">
        <f>IF('Extraction edi'!B708="","",'Extraction edi'!B708)</f>
        <v/>
      </c>
      <c r="D698" s="1" t="str">
        <f>IF('Extraction edi'!H708="","",'Extraction edi'!H708)</f>
        <v/>
      </c>
      <c r="E698" s="1" t="str">
        <f>IF('Extraction edi'!I708="","",'Extraction edi'!I708)</f>
        <v/>
      </c>
      <c r="F698" t="str">
        <f>IF('Extraction edi'!K708="","",'Extraction edi'!K708)</f>
        <v/>
      </c>
      <c r="G698" t="str">
        <f>IF('Extraction edi'!L701="","",'Extraction edi'!L701)</f>
        <v/>
      </c>
      <c r="H698" t="str">
        <f>IF('Extraction edi'!M701="","",'Extraction edi'!M701)</f>
        <v/>
      </c>
      <c r="I698" s="1" t="str">
        <f>IF('Extraction edi'!N708="","",'Extraction edi'!N708)</f>
        <v/>
      </c>
      <c r="J698" s="1" t="str">
        <f>IF('Extraction edi'!O708="","",'Extraction edi'!O708)</f>
        <v/>
      </c>
      <c r="K698" s="1" t="str">
        <f>IF('Extraction edi'!P708="","",'Extraction edi'!P708)</f>
        <v/>
      </c>
      <c r="L698" s="1" t="str">
        <f>IF('Extraction edi'!Q708="laquage RAL :","OUI","")</f>
        <v/>
      </c>
      <c r="M698" s="1" t="str">
        <f>IF('Extraction edi'!R708&lt;&gt;"",'Extraction edi'!R708,IF(G698="ALU blanc","S9016",""))</f>
        <v/>
      </c>
      <c r="N698" s="1" t="str">
        <f>IF('Extraction edi'!S708&lt;&gt;"",'Extraction edi'!S708,IF(G698="ALU blanc","S9016",""))</f>
        <v/>
      </c>
      <c r="O698" s="11" t="str">
        <f>IF('Extraction edi'!V708&lt;'Feuille commande'!$E$1,"DELAI NON COMPATIBLE",IF('Extraction edi'!V708="","",WORKDAY('Extraction edi'!V708,-10,Paramètrage!$G$2:$G$104)))</f>
        <v/>
      </c>
      <c r="P698" s="1" t="e">
        <f t="shared" si="10"/>
        <v>#VALUE!</v>
      </c>
    </row>
    <row r="699" spans="1:16" x14ac:dyDescent="0.25">
      <c r="A699" s="1" t="str">
        <f>IF(B699="","",CONCATENATE(B699,".",C699,"/Pos ",D699,"/",'Extraction edi'!G709))</f>
        <v/>
      </c>
      <c r="B699" s="1" t="str">
        <f>IF('Extraction edi'!A709="","",'Extraction edi'!A709)</f>
        <v/>
      </c>
      <c r="C699" s="1" t="str">
        <f>IF('Extraction edi'!B709="","",'Extraction edi'!B709)</f>
        <v/>
      </c>
      <c r="D699" s="1" t="str">
        <f>IF('Extraction edi'!H709="","",'Extraction edi'!H709)</f>
        <v/>
      </c>
      <c r="E699" s="1" t="str">
        <f>IF('Extraction edi'!I709="","",'Extraction edi'!I709)</f>
        <v/>
      </c>
      <c r="F699" t="str">
        <f>IF('Extraction edi'!K709="","",'Extraction edi'!K709)</f>
        <v/>
      </c>
      <c r="G699" t="str">
        <f>IF('Extraction edi'!L702="","",'Extraction edi'!L702)</f>
        <v/>
      </c>
      <c r="H699" t="str">
        <f>IF('Extraction edi'!M702="","",'Extraction edi'!M702)</f>
        <v/>
      </c>
      <c r="I699" s="1" t="str">
        <f>IF('Extraction edi'!N709="","",'Extraction edi'!N709)</f>
        <v/>
      </c>
      <c r="J699" s="1" t="str">
        <f>IF('Extraction edi'!O709="","",'Extraction edi'!O709)</f>
        <v/>
      </c>
      <c r="K699" s="1" t="str">
        <f>IF('Extraction edi'!P709="","",'Extraction edi'!P709)</f>
        <v/>
      </c>
      <c r="L699" s="1" t="str">
        <f>IF('Extraction edi'!Q709="laquage RAL :","OUI","")</f>
        <v/>
      </c>
      <c r="M699" s="1" t="str">
        <f>IF('Extraction edi'!R709&lt;&gt;"",'Extraction edi'!R709,IF(G699="ALU blanc","S9016",""))</f>
        <v/>
      </c>
      <c r="N699" s="1" t="str">
        <f>IF('Extraction edi'!S709&lt;&gt;"",'Extraction edi'!S709,IF(G699="ALU blanc","S9016",""))</f>
        <v/>
      </c>
      <c r="O699" s="11" t="str">
        <f>IF('Extraction edi'!V709&lt;'Feuille commande'!$E$1,"DELAI NON COMPATIBLE",IF('Extraction edi'!V709="","",WORKDAY('Extraction edi'!V709,-10,Paramètrage!$G$2:$G$104)))</f>
        <v/>
      </c>
      <c r="P699" s="1" t="e">
        <f t="shared" si="10"/>
        <v>#VALUE!</v>
      </c>
    </row>
    <row r="700" spans="1:16" x14ac:dyDescent="0.25">
      <c r="A700" s="1" t="str">
        <f>IF(B700="","",CONCATENATE(B700,".",C700,"/Pos ",D700,"/",'Extraction edi'!G710))</f>
        <v/>
      </c>
      <c r="B700" s="1" t="str">
        <f>IF('Extraction edi'!A710="","",'Extraction edi'!A710)</f>
        <v/>
      </c>
      <c r="C700" s="1" t="str">
        <f>IF('Extraction edi'!B710="","",'Extraction edi'!B710)</f>
        <v/>
      </c>
      <c r="D700" s="1" t="str">
        <f>IF('Extraction edi'!H710="","",'Extraction edi'!H710)</f>
        <v/>
      </c>
      <c r="E700" s="1" t="str">
        <f>IF('Extraction edi'!I710="","",'Extraction edi'!I710)</f>
        <v/>
      </c>
      <c r="F700" t="str">
        <f>IF('Extraction edi'!K710="","",'Extraction edi'!K710)</f>
        <v/>
      </c>
      <c r="G700" t="str">
        <f>IF('Extraction edi'!L703="","",'Extraction edi'!L703)</f>
        <v/>
      </c>
      <c r="H700" t="str">
        <f>IF('Extraction edi'!M703="","",'Extraction edi'!M703)</f>
        <v/>
      </c>
      <c r="I700" s="1" t="str">
        <f>IF('Extraction edi'!N710="","",'Extraction edi'!N710)</f>
        <v/>
      </c>
      <c r="J700" s="1" t="str">
        <f>IF('Extraction edi'!O710="","",'Extraction edi'!O710)</f>
        <v/>
      </c>
      <c r="K700" s="1" t="str">
        <f>IF('Extraction edi'!P710="","",'Extraction edi'!P710)</f>
        <v/>
      </c>
      <c r="L700" s="1" t="str">
        <f>IF('Extraction edi'!Q710="laquage RAL :","OUI","")</f>
        <v/>
      </c>
      <c r="M700" s="1" t="str">
        <f>IF('Extraction edi'!R710&lt;&gt;"",'Extraction edi'!R710,IF(G700="ALU blanc","S9016",""))</f>
        <v/>
      </c>
      <c r="N700" s="1" t="str">
        <f>IF('Extraction edi'!S710&lt;&gt;"",'Extraction edi'!S710,IF(G700="ALU blanc","S9016",""))</f>
        <v/>
      </c>
      <c r="O700" s="11" t="str">
        <f>IF('Extraction edi'!V710&lt;'Feuille commande'!$E$1,"DELAI NON COMPATIBLE",IF('Extraction edi'!V710="","",WORKDAY('Extraction edi'!V710,-10,Paramètrage!$G$2:$G$104)))</f>
        <v/>
      </c>
      <c r="P700" s="1" t="e">
        <f t="shared" si="10"/>
        <v>#VALUE!</v>
      </c>
    </row>
    <row r="701" spans="1:16" x14ac:dyDescent="0.25">
      <c r="A701" s="1" t="str">
        <f>IF(B701="","",CONCATENATE(B701,".",C701,"/Pos ",D701,"/",'Extraction edi'!G711))</f>
        <v/>
      </c>
      <c r="B701" s="1" t="str">
        <f>IF('Extraction edi'!A711="","",'Extraction edi'!A711)</f>
        <v/>
      </c>
      <c r="C701" s="1" t="str">
        <f>IF('Extraction edi'!B711="","",'Extraction edi'!B711)</f>
        <v/>
      </c>
      <c r="D701" s="1" t="str">
        <f>IF('Extraction edi'!H711="","",'Extraction edi'!H711)</f>
        <v/>
      </c>
      <c r="E701" s="1" t="str">
        <f>IF('Extraction edi'!I711="","",'Extraction edi'!I711)</f>
        <v/>
      </c>
      <c r="F701" t="str">
        <f>IF('Extraction edi'!K711="","",'Extraction edi'!K711)</f>
        <v/>
      </c>
      <c r="G701" t="str">
        <f>IF('Extraction edi'!L704="","",'Extraction edi'!L704)</f>
        <v/>
      </c>
      <c r="H701" t="str">
        <f>IF('Extraction edi'!M704="","",'Extraction edi'!M704)</f>
        <v/>
      </c>
      <c r="I701" s="1" t="str">
        <f>IF('Extraction edi'!N711="","",'Extraction edi'!N711)</f>
        <v/>
      </c>
      <c r="J701" s="1" t="str">
        <f>IF('Extraction edi'!O711="","",'Extraction edi'!O711)</f>
        <v/>
      </c>
      <c r="K701" s="1" t="str">
        <f>IF('Extraction edi'!P711="","",'Extraction edi'!P711)</f>
        <v/>
      </c>
      <c r="L701" s="1" t="str">
        <f>IF('Extraction edi'!Q711="laquage RAL :","OUI","")</f>
        <v/>
      </c>
      <c r="M701" s="1" t="str">
        <f>IF('Extraction edi'!R711&lt;&gt;"",'Extraction edi'!R711,IF(G701="ALU blanc","S9016",""))</f>
        <v/>
      </c>
      <c r="N701" s="1" t="str">
        <f>IF('Extraction edi'!S711&lt;&gt;"",'Extraction edi'!S711,IF(G701="ALU blanc","S9016",""))</f>
        <v/>
      </c>
      <c r="O701" s="11" t="str">
        <f>IF('Extraction edi'!V711&lt;'Feuille commande'!$E$1,"DELAI NON COMPATIBLE",IF('Extraction edi'!V711="","",WORKDAY('Extraction edi'!V711,-10,Paramètrage!$G$2:$G$104)))</f>
        <v/>
      </c>
      <c r="P701" s="1" t="e">
        <f t="shared" si="10"/>
        <v>#VALUE!</v>
      </c>
    </row>
    <row r="702" spans="1:16" x14ac:dyDescent="0.25">
      <c r="A702" s="1" t="str">
        <f>IF(B702="","",CONCATENATE(B702,".",C702,"/Pos ",D702,"/",'Extraction edi'!G712))</f>
        <v/>
      </c>
      <c r="B702" s="1" t="str">
        <f>IF('Extraction edi'!A712="","",'Extraction edi'!A712)</f>
        <v/>
      </c>
      <c r="C702" s="1" t="str">
        <f>IF('Extraction edi'!B712="","",'Extraction edi'!B712)</f>
        <v/>
      </c>
      <c r="D702" s="1" t="str">
        <f>IF('Extraction edi'!H712="","",'Extraction edi'!H712)</f>
        <v/>
      </c>
      <c r="E702" s="1" t="str">
        <f>IF('Extraction edi'!I712="","",'Extraction edi'!I712)</f>
        <v/>
      </c>
      <c r="F702" t="str">
        <f>IF('Extraction edi'!K712="","",'Extraction edi'!K712)</f>
        <v/>
      </c>
      <c r="G702" t="str">
        <f>IF('Extraction edi'!L705="","",'Extraction edi'!L705)</f>
        <v/>
      </c>
      <c r="H702" t="str">
        <f>IF('Extraction edi'!M705="","",'Extraction edi'!M705)</f>
        <v/>
      </c>
      <c r="I702" s="1" t="str">
        <f>IF('Extraction edi'!N712="","",'Extraction edi'!N712)</f>
        <v/>
      </c>
      <c r="J702" s="1" t="str">
        <f>IF('Extraction edi'!O712="","",'Extraction edi'!O712)</f>
        <v/>
      </c>
      <c r="K702" s="1" t="str">
        <f>IF('Extraction edi'!P712="","",'Extraction edi'!P712)</f>
        <v/>
      </c>
      <c r="L702" s="1" t="str">
        <f>IF('Extraction edi'!Q712="laquage RAL :","OUI","")</f>
        <v/>
      </c>
      <c r="M702" s="1" t="str">
        <f>IF('Extraction edi'!R712&lt;&gt;"",'Extraction edi'!R712,IF(G702="ALU blanc","S9016",""))</f>
        <v/>
      </c>
      <c r="N702" s="1" t="str">
        <f>IF('Extraction edi'!S712&lt;&gt;"",'Extraction edi'!S712,IF(G702="ALU blanc","S9016",""))</f>
        <v/>
      </c>
      <c r="O702" s="11" t="str">
        <f>IF('Extraction edi'!V712&lt;'Feuille commande'!$E$1,"DELAI NON COMPATIBLE",IF('Extraction edi'!V712="","",WORKDAY('Extraction edi'!V712,-10,Paramètrage!$G$2:$G$104)))</f>
        <v/>
      </c>
      <c r="P702" s="1" t="e">
        <f t="shared" ref="P702:P765" si="11">WEEKDAY(O702,2)</f>
        <v>#VALUE!</v>
      </c>
    </row>
    <row r="703" spans="1:16" x14ac:dyDescent="0.25">
      <c r="A703" s="1" t="str">
        <f>IF(B703="","",CONCATENATE(B703,".",C703,"/Pos ",D703,"/",'Extraction edi'!G713))</f>
        <v/>
      </c>
      <c r="B703" s="1" t="str">
        <f>IF('Extraction edi'!A713="","",'Extraction edi'!A713)</f>
        <v/>
      </c>
      <c r="C703" s="1" t="str">
        <f>IF('Extraction edi'!B713="","",'Extraction edi'!B713)</f>
        <v/>
      </c>
      <c r="D703" s="1" t="str">
        <f>IF('Extraction edi'!H713="","",'Extraction edi'!H713)</f>
        <v/>
      </c>
      <c r="E703" s="1" t="str">
        <f>IF('Extraction edi'!I713="","",'Extraction edi'!I713)</f>
        <v/>
      </c>
      <c r="F703" t="str">
        <f>IF('Extraction edi'!K713="","",'Extraction edi'!K713)</f>
        <v/>
      </c>
      <c r="G703" t="str">
        <f>IF('Extraction edi'!L706="","",'Extraction edi'!L706)</f>
        <v/>
      </c>
      <c r="H703" t="str">
        <f>IF('Extraction edi'!M706="","",'Extraction edi'!M706)</f>
        <v/>
      </c>
      <c r="I703" s="1" t="str">
        <f>IF('Extraction edi'!N713="","",'Extraction edi'!N713)</f>
        <v/>
      </c>
      <c r="J703" s="1" t="str">
        <f>IF('Extraction edi'!O713="","",'Extraction edi'!O713)</f>
        <v/>
      </c>
      <c r="K703" s="1" t="str">
        <f>IF('Extraction edi'!P713="","",'Extraction edi'!P713)</f>
        <v/>
      </c>
      <c r="L703" s="1" t="str">
        <f>IF('Extraction edi'!Q713="laquage RAL :","OUI","")</f>
        <v/>
      </c>
      <c r="M703" s="1" t="str">
        <f>IF('Extraction edi'!R713&lt;&gt;"",'Extraction edi'!R713,IF(G703="ALU blanc","S9016",""))</f>
        <v/>
      </c>
      <c r="N703" s="1" t="str">
        <f>IF('Extraction edi'!S713&lt;&gt;"",'Extraction edi'!S713,IF(G703="ALU blanc","S9016",""))</f>
        <v/>
      </c>
      <c r="O703" s="11" t="str">
        <f>IF('Extraction edi'!V713&lt;'Feuille commande'!$E$1,"DELAI NON COMPATIBLE",IF('Extraction edi'!V713="","",WORKDAY('Extraction edi'!V713,-10,Paramètrage!$G$2:$G$104)))</f>
        <v/>
      </c>
      <c r="P703" s="1" t="e">
        <f t="shared" si="11"/>
        <v>#VALUE!</v>
      </c>
    </row>
    <row r="704" spans="1:16" x14ac:dyDescent="0.25">
      <c r="A704" s="1" t="str">
        <f>IF(B704="","",CONCATENATE(B704,".",C704,"/Pos ",D704,"/",'Extraction edi'!G714))</f>
        <v/>
      </c>
      <c r="B704" s="1" t="str">
        <f>IF('Extraction edi'!A714="","",'Extraction edi'!A714)</f>
        <v/>
      </c>
      <c r="C704" s="1" t="str">
        <f>IF('Extraction edi'!B714="","",'Extraction edi'!B714)</f>
        <v/>
      </c>
      <c r="D704" s="1" t="str">
        <f>IF('Extraction edi'!H714="","",'Extraction edi'!H714)</f>
        <v/>
      </c>
      <c r="E704" s="1" t="str">
        <f>IF('Extraction edi'!I714="","",'Extraction edi'!I714)</f>
        <v/>
      </c>
      <c r="F704" t="str">
        <f>IF('Extraction edi'!K714="","",'Extraction edi'!K714)</f>
        <v/>
      </c>
      <c r="G704" t="str">
        <f>IF('Extraction edi'!L707="","",'Extraction edi'!L707)</f>
        <v/>
      </c>
      <c r="H704" t="str">
        <f>IF('Extraction edi'!M707="","",'Extraction edi'!M707)</f>
        <v/>
      </c>
      <c r="I704" s="1" t="str">
        <f>IF('Extraction edi'!N714="","",'Extraction edi'!N714)</f>
        <v/>
      </c>
      <c r="J704" s="1" t="str">
        <f>IF('Extraction edi'!O714="","",'Extraction edi'!O714)</f>
        <v/>
      </c>
      <c r="K704" s="1" t="str">
        <f>IF('Extraction edi'!P714="","",'Extraction edi'!P714)</f>
        <v/>
      </c>
      <c r="L704" s="1" t="str">
        <f>IF('Extraction edi'!Q714="laquage RAL :","OUI","")</f>
        <v/>
      </c>
      <c r="M704" s="1" t="str">
        <f>IF('Extraction edi'!R714&lt;&gt;"",'Extraction edi'!R714,IF(G704="ALU blanc","S9016",""))</f>
        <v/>
      </c>
      <c r="N704" s="1" t="str">
        <f>IF('Extraction edi'!S714&lt;&gt;"",'Extraction edi'!S714,IF(G704="ALU blanc","S9016",""))</f>
        <v/>
      </c>
      <c r="O704" s="11" t="str">
        <f>IF('Extraction edi'!V714&lt;'Feuille commande'!$E$1,"DELAI NON COMPATIBLE",IF('Extraction edi'!V714="","",WORKDAY('Extraction edi'!V714,-10,Paramètrage!$G$2:$G$104)))</f>
        <v/>
      </c>
      <c r="P704" s="1" t="e">
        <f t="shared" si="11"/>
        <v>#VALUE!</v>
      </c>
    </row>
    <row r="705" spans="1:16" x14ac:dyDescent="0.25">
      <c r="A705" s="1" t="str">
        <f>IF(B705="","",CONCATENATE(B705,".",C705,"/Pos ",D705,"/",'Extraction edi'!G715))</f>
        <v/>
      </c>
      <c r="B705" s="1" t="str">
        <f>IF('Extraction edi'!A715="","",'Extraction edi'!A715)</f>
        <v/>
      </c>
      <c r="C705" s="1" t="str">
        <f>IF('Extraction edi'!B715="","",'Extraction edi'!B715)</f>
        <v/>
      </c>
      <c r="D705" s="1" t="str">
        <f>IF('Extraction edi'!H715="","",'Extraction edi'!H715)</f>
        <v/>
      </c>
      <c r="E705" s="1" t="str">
        <f>IF('Extraction edi'!I715="","",'Extraction edi'!I715)</f>
        <v/>
      </c>
      <c r="F705" t="str">
        <f>IF('Extraction edi'!K715="","",'Extraction edi'!K715)</f>
        <v/>
      </c>
      <c r="G705" t="str">
        <f>IF('Extraction edi'!L708="","",'Extraction edi'!L708)</f>
        <v/>
      </c>
      <c r="H705" t="str">
        <f>IF('Extraction edi'!M708="","",'Extraction edi'!M708)</f>
        <v/>
      </c>
      <c r="I705" s="1" t="str">
        <f>IF('Extraction edi'!N715="","",'Extraction edi'!N715)</f>
        <v/>
      </c>
      <c r="J705" s="1" t="str">
        <f>IF('Extraction edi'!O715="","",'Extraction edi'!O715)</f>
        <v/>
      </c>
      <c r="K705" s="1" t="str">
        <f>IF('Extraction edi'!P715="","",'Extraction edi'!P715)</f>
        <v/>
      </c>
      <c r="L705" s="1" t="str">
        <f>IF('Extraction edi'!Q715="laquage RAL :","OUI","")</f>
        <v/>
      </c>
      <c r="M705" s="1" t="str">
        <f>IF('Extraction edi'!R715&lt;&gt;"",'Extraction edi'!R715,IF(G705="ALU blanc","S9016",""))</f>
        <v/>
      </c>
      <c r="N705" s="1" t="str">
        <f>IF('Extraction edi'!S715&lt;&gt;"",'Extraction edi'!S715,IF(G705="ALU blanc","S9016",""))</f>
        <v/>
      </c>
      <c r="O705" s="11" t="str">
        <f>IF('Extraction edi'!V715&lt;'Feuille commande'!$E$1,"DELAI NON COMPATIBLE",IF('Extraction edi'!V715="","",WORKDAY('Extraction edi'!V715,-10,Paramètrage!$G$2:$G$104)))</f>
        <v/>
      </c>
      <c r="P705" s="1" t="e">
        <f t="shared" si="11"/>
        <v>#VALUE!</v>
      </c>
    </row>
    <row r="706" spans="1:16" x14ac:dyDescent="0.25">
      <c r="A706" s="1" t="str">
        <f>IF(B706="","",CONCATENATE(B706,".",C706,"/Pos ",D706,"/",'Extraction edi'!G716))</f>
        <v/>
      </c>
      <c r="B706" s="1" t="str">
        <f>IF('Extraction edi'!A716="","",'Extraction edi'!A716)</f>
        <v/>
      </c>
      <c r="C706" s="1" t="str">
        <f>IF('Extraction edi'!B716="","",'Extraction edi'!B716)</f>
        <v/>
      </c>
      <c r="D706" s="1" t="str">
        <f>IF('Extraction edi'!H716="","",'Extraction edi'!H716)</f>
        <v/>
      </c>
      <c r="E706" s="1" t="str">
        <f>IF('Extraction edi'!I716="","",'Extraction edi'!I716)</f>
        <v/>
      </c>
      <c r="F706" t="str">
        <f>IF('Extraction edi'!K716="","",'Extraction edi'!K716)</f>
        <v/>
      </c>
      <c r="G706" t="str">
        <f>IF('Extraction edi'!L709="","",'Extraction edi'!L709)</f>
        <v/>
      </c>
      <c r="H706" t="str">
        <f>IF('Extraction edi'!M709="","",'Extraction edi'!M709)</f>
        <v/>
      </c>
      <c r="I706" s="1" t="str">
        <f>IF('Extraction edi'!N716="","",'Extraction edi'!N716)</f>
        <v/>
      </c>
      <c r="J706" s="1" t="str">
        <f>IF('Extraction edi'!O716="","",'Extraction edi'!O716)</f>
        <v/>
      </c>
      <c r="K706" s="1" t="str">
        <f>IF('Extraction edi'!P716="","",'Extraction edi'!P716)</f>
        <v/>
      </c>
      <c r="L706" s="1" t="str">
        <f>IF('Extraction edi'!Q716="laquage RAL :","OUI","")</f>
        <v/>
      </c>
      <c r="M706" s="1" t="str">
        <f>IF('Extraction edi'!R716&lt;&gt;"",'Extraction edi'!R716,IF(G706="ALU blanc","S9016",""))</f>
        <v/>
      </c>
      <c r="N706" s="1" t="str">
        <f>IF('Extraction edi'!S716&lt;&gt;"",'Extraction edi'!S716,IF(G706="ALU blanc","S9016",""))</f>
        <v/>
      </c>
      <c r="O706" s="11" t="str">
        <f>IF('Extraction edi'!V716&lt;'Feuille commande'!$E$1,"DELAI NON COMPATIBLE",IF('Extraction edi'!V716="","",WORKDAY('Extraction edi'!V716,-10,Paramètrage!$G$2:$G$104)))</f>
        <v/>
      </c>
      <c r="P706" s="1" t="e">
        <f t="shared" si="11"/>
        <v>#VALUE!</v>
      </c>
    </row>
    <row r="707" spans="1:16" x14ac:dyDescent="0.25">
      <c r="A707" s="1" t="str">
        <f>IF(B707="","",CONCATENATE(B707,".",C707,"/Pos ",D707,"/",'Extraction edi'!G717))</f>
        <v/>
      </c>
      <c r="B707" s="1" t="str">
        <f>IF('Extraction edi'!A717="","",'Extraction edi'!A717)</f>
        <v/>
      </c>
      <c r="C707" s="1" t="str">
        <f>IF('Extraction edi'!B717="","",'Extraction edi'!B717)</f>
        <v/>
      </c>
      <c r="D707" s="1" t="str">
        <f>IF('Extraction edi'!H717="","",'Extraction edi'!H717)</f>
        <v/>
      </c>
      <c r="E707" s="1" t="str">
        <f>IF('Extraction edi'!I717="","",'Extraction edi'!I717)</f>
        <v/>
      </c>
      <c r="F707" t="str">
        <f>IF('Extraction edi'!K717="","",'Extraction edi'!K717)</f>
        <v/>
      </c>
      <c r="G707" t="str">
        <f>IF('Extraction edi'!L710="","",'Extraction edi'!L710)</f>
        <v/>
      </c>
      <c r="H707" t="str">
        <f>IF('Extraction edi'!M710="","",'Extraction edi'!M710)</f>
        <v/>
      </c>
      <c r="I707" s="1" t="str">
        <f>IF('Extraction edi'!N717="","",'Extraction edi'!N717)</f>
        <v/>
      </c>
      <c r="J707" s="1" t="str">
        <f>IF('Extraction edi'!O717="","",'Extraction edi'!O717)</f>
        <v/>
      </c>
      <c r="K707" s="1" t="str">
        <f>IF('Extraction edi'!P717="","",'Extraction edi'!P717)</f>
        <v/>
      </c>
      <c r="L707" s="1" t="str">
        <f>IF('Extraction edi'!Q717="laquage RAL :","OUI","")</f>
        <v/>
      </c>
      <c r="M707" s="1" t="str">
        <f>IF('Extraction edi'!R717&lt;&gt;"",'Extraction edi'!R717,IF(G707="ALU blanc","S9016",""))</f>
        <v/>
      </c>
      <c r="N707" s="1" t="str">
        <f>IF('Extraction edi'!S717&lt;&gt;"",'Extraction edi'!S717,IF(G707="ALU blanc","S9016",""))</f>
        <v/>
      </c>
      <c r="O707" s="11" t="str">
        <f>IF('Extraction edi'!V717&lt;'Feuille commande'!$E$1,"DELAI NON COMPATIBLE",IF('Extraction edi'!V717="","",WORKDAY('Extraction edi'!V717,-10,Paramètrage!$G$2:$G$104)))</f>
        <v/>
      </c>
      <c r="P707" s="1" t="e">
        <f t="shared" si="11"/>
        <v>#VALUE!</v>
      </c>
    </row>
    <row r="708" spans="1:16" x14ac:dyDescent="0.25">
      <c r="A708" s="1" t="str">
        <f>IF(B708="","",CONCATENATE(B708,".",C708,"/Pos ",D708,"/",'Extraction edi'!G718))</f>
        <v/>
      </c>
      <c r="B708" s="1" t="str">
        <f>IF('Extraction edi'!A718="","",'Extraction edi'!A718)</f>
        <v/>
      </c>
      <c r="C708" s="1" t="str">
        <f>IF('Extraction edi'!B718="","",'Extraction edi'!B718)</f>
        <v/>
      </c>
      <c r="D708" s="1" t="str">
        <f>IF('Extraction edi'!H718="","",'Extraction edi'!H718)</f>
        <v/>
      </c>
      <c r="E708" s="1" t="str">
        <f>IF('Extraction edi'!I718="","",'Extraction edi'!I718)</f>
        <v/>
      </c>
      <c r="F708" t="str">
        <f>IF('Extraction edi'!K718="","",'Extraction edi'!K718)</f>
        <v/>
      </c>
      <c r="G708" t="str">
        <f>IF('Extraction edi'!L711="","",'Extraction edi'!L711)</f>
        <v/>
      </c>
      <c r="H708" t="str">
        <f>IF('Extraction edi'!M711="","",'Extraction edi'!M711)</f>
        <v/>
      </c>
      <c r="I708" s="1" t="str">
        <f>IF('Extraction edi'!N718="","",'Extraction edi'!N718)</f>
        <v/>
      </c>
      <c r="J708" s="1" t="str">
        <f>IF('Extraction edi'!O718="","",'Extraction edi'!O718)</f>
        <v/>
      </c>
      <c r="K708" s="1" t="str">
        <f>IF('Extraction edi'!P718="","",'Extraction edi'!P718)</f>
        <v/>
      </c>
      <c r="L708" s="1" t="str">
        <f>IF('Extraction edi'!Q718="laquage RAL :","OUI","")</f>
        <v/>
      </c>
      <c r="M708" s="1" t="str">
        <f>IF('Extraction edi'!R718&lt;&gt;"",'Extraction edi'!R718,IF(G708="ALU blanc","S9016",""))</f>
        <v/>
      </c>
      <c r="N708" s="1" t="str">
        <f>IF('Extraction edi'!S718&lt;&gt;"",'Extraction edi'!S718,IF(G708="ALU blanc","S9016",""))</f>
        <v/>
      </c>
      <c r="O708" s="11" t="str">
        <f>IF('Extraction edi'!V718&lt;'Feuille commande'!$E$1,"DELAI NON COMPATIBLE",IF('Extraction edi'!V718="","",WORKDAY('Extraction edi'!V718,-10,Paramètrage!$G$2:$G$104)))</f>
        <v/>
      </c>
      <c r="P708" s="1" t="e">
        <f t="shared" si="11"/>
        <v>#VALUE!</v>
      </c>
    </row>
    <row r="709" spans="1:16" x14ac:dyDescent="0.25">
      <c r="A709" s="1" t="str">
        <f>IF(B709="","",CONCATENATE(B709,".",C709,"/Pos ",D709,"/",'Extraction edi'!G719))</f>
        <v/>
      </c>
      <c r="B709" s="1" t="str">
        <f>IF('Extraction edi'!A719="","",'Extraction edi'!A719)</f>
        <v/>
      </c>
      <c r="C709" s="1" t="str">
        <f>IF('Extraction edi'!B719="","",'Extraction edi'!B719)</f>
        <v/>
      </c>
      <c r="D709" s="1" t="str">
        <f>IF('Extraction edi'!H719="","",'Extraction edi'!H719)</f>
        <v/>
      </c>
      <c r="E709" s="1" t="str">
        <f>IF('Extraction edi'!I719="","",'Extraction edi'!I719)</f>
        <v/>
      </c>
      <c r="F709" t="str">
        <f>IF('Extraction edi'!K719="","",'Extraction edi'!K719)</f>
        <v/>
      </c>
      <c r="G709" t="str">
        <f>IF('Extraction edi'!L712="","",'Extraction edi'!L712)</f>
        <v/>
      </c>
      <c r="H709" t="str">
        <f>IF('Extraction edi'!M712="","",'Extraction edi'!M712)</f>
        <v/>
      </c>
      <c r="I709" s="1" t="str">
        <f>IF('Extraction edi'!N719="","",'Extraction edi'!N719)</f>
        <v/>
      </c>
      <c r="J709" s="1" t="str">
        <f>IF('Extraction edi'!O719="","",'Extraction edi'!O719)</f>
        <v/>
      </c>
      <c r="K709" s="1" t="str">
        <f>IF('Extraction edi'!P719="","",'Extraction edi'!P719)</f>
        <v/>
      </c>
      <c r="L709" s="1" t="str">
        <f>IF('Extraction edi'!Q719="laquage RAL :","OUI","")</f>
        <v/>
      </c>
      <c r="M709" s="1" t="str">
        <f>IF('Extraction edi'!R719&lt;&gt;"",'Extraction edi'!R719,IF(G709="ALU blanc","S9016",""))</f>
        <v/>
      </c>
      <c r="N709" s="1" t="str">
        <f>IF('Extraction edi'!S719&lt;&gt;"",'Extraction edi'!S719,IF(G709="ALU blanc","S9016",""))</f>
        <v/>
      </c>
      <c r="O709" s="11" t="str">
        <f>IF('Extraction edi'!V719&lt;'Feuille commande'!$E$1,"DELAI NON COMPATIBLE",IF('Extraction edi'!V719="","",WORKDAY('Extraction edi'!V719,-10,Paramètrage!$G$2:$G$104)))</f>
        <v/>
      </c>
      <c r="P709" s="1" t="e">
        <f t="shared" si="11"/>
        <v>#VALUE!</v>
      </c>
    </row>
    <row r="710" spans="1:16" x14ac:dyDescent="0.25">
      <c r="A710" s="1" t="str">
        <f>IF(B710="","",CONCATENATE(B710,".",C710,"/Pos ",D710,"/",'Extraction edi'!G720))</f>
        <v/>
      </c>
      <c r="B710" s="1" t="str">
        <f>IF('Extraction edi'!A720="","",'Extraction edi'!A720)</f>
        <v/>
      </c>
      <c r="C710" s="1" t="str">
        <f>IF('Extraction edi'!B720="","",'Extraction edi'!B720)</f>
        <v/>
      </c>
      <c r="D710" s="1" t="str">
        <f>IF('Extraction edi'!H720="","",'Extraction edi'!H720)</f>
        <v/>
      </c>
      <c r="E710" s="1" t="str">
        <f>IF('Extraction edi'!I720="","",'Extraction edi'!I720)</f>
        <v/>
      </c>
      <c r="F710" t="str">
        <f>IF('Extraction edi'!K720="","",'Extraction edi'!K720)</f>
        <v/>
      </c>
      <c r="G710" t="str">
        <f>IF('Extraction edi'!L713="","",'Extraction edi'!L713)</f>
        <v/>
      </c>
      <c r="H710" t="str">
        <f>IF('Extraction edi'!M713="","",'Extraction edi'!M713)</f>
        <v/>
      </c>
      <c r="I710" s="1" t="str">
        <f>IF('Extraction edi'!N720="","",'Extraction edi'!N720)</f>
        <v/>
      </c>
      <c r="J710" s="1" t="str">
        <f>IF('Extraction edi'!O720="","",'Extraction edi'!O720)</f>
        <v/>
      </c>
      <c r="K710" s="1" t="str">
        <f>IF('Extraction edi'!P720="","",'Extraction edi'!P720)</f>
        <v/>
      </c>
      <c r="L710" s="1" t="str">
        <f>IF('Extraction edi'!Q720="laquage RAL :","OUI","")</f>
        <v/>
      </c>
      <c r="M710" s="1" t="str">
        <f>IF('Extraction edi'!R720&lt;&gt;"",'Extraction edi'!R720,IF(G710="ALU blanc","S9016",""))</f>
        <v/>
      </c>
      <c r="N710" s="1" t="str">
        <f>IF('Extraction edi'!S720&lt;&gt;"",'Extraction edi'!S720,IF(G710="ALU blanc","S9016",""))</f>
        <v/>
      </c>
      <c r="O710" s="11" t="str">
        <f>IF('Extraction edi'!V720&lt;'Feuille commande'!$E$1,"DELAI NON COMPATIBLE",IF('Extraction edi'!V720="","",WORKDAY('Extraction edi'!V720,-10,Paramètrage!$G$2:$G$104)))</f>
        <v/>
      </c>
      <c r="P710" s="1" t="e">
        <f t="shared" si="11"/>
        <v>#VALUE!</v>
      </c>
    </row>
    <row r="711" spans="1:16" x14ac:dyDescent="0.25">
      <c r="A711" s="1" t="str">
        <f>IF(B711="","",CONCATENATE(B711,".",C711,"/Pos ",D711,"/",'Extraction edi'!G721))</f>
        <v/>
      </c>
      <c r="B711" s="1" t="str">
        <f>IF('Extraction edi'!A721="","",'Extraction edi'!A721)</f>
        <v/>
      </c>
      <c r="C711" s="1" t="str">
        <f>IF('Extraction edi'!B721="","",'Extraction edi'!B721)</f>
        <v/>
      </c>
      <c r="D711" s="1" t="str">
        <f>IF('Extraction edi'!H721="","",'Extraction edi'!H721)</f>
        <v/>
      </c>
      <c r="E711" s="1" t="str">
        <f>IF('Extraction edi'!I721="","",'Extraction edi'!I721)</f>
        <v/>
      </c>
      <c r="F711" t="str">
        <f>IF('Extraction edi'!K721="","",'Extraction edi'!K721)</f>
        <v/>
      </c>
      <c r="G711" t="str">
        <f>IF('Extraction edi'!L714="","",'Extraction edi'!L714)</f>
        <v/>
      </c>
      <c r="H711" t="str">
        <f>IF('Extraction edi'!M714="","",'Extraction edi'!M714)</f>
        <v/>
      </c>
      <c r="I711" s="1" t="str">
        <f>IF('Extraction edi'!N721="","",'Extraction edi'!N721)</f>
        <v/>
      </c>
      <c r="J711" s="1" t="str">
        <f>IF('Extraction edi'!O721="","",'Extraction edi'!O721)</f>
        <v/>
      </c>
      <c r="K711" s="1" t="str">
        <f>IF('Extraction edi'!P721="","",'Extraction edi'!P721)</f>
        <v/>
      </c>
      <c r="L711" s="1" t="str">
        <f>IF('Extraction edi'!Q721="laquage RAL :","OUI","")</f>
        <v/>
      </c>
      <c r="M711" s="1" t="str">
        <f>IF('Extraction edi'!R721&lt;&gt;"",'Extraction edi'!R721,IF(G711="ALU blanc","S9016",""))</f>
        <v/>
      </c>
      <c r="N711" s="1" t="str">
        <f>IF('Extraction edi'!S721&lt;&gt;"",'Extraction edi'!S721,IF(G711="ALU blanc","S9016",""))</f>
        <v/>
      </c>
      <c r="O711" s="11" t="str">
        <f>IF('Extraction edi'!V721&lt;'Feuille commande'!$E$1,"DELAI NON COMPATIBLE",IF('Extraction edi'!V721="","",WORKDAY('Extraction edi'!V721,-10,Paramètrage!$G$2:$G$104)))</f>
        <v/>
      </c>
      <c r="P711" s="1" t="e">
        <f t="shared" si="11"/>
        <v>#VALUE!</v>
      </c>
    </row>
    <row r="712" spans="1:16" x14ac:dyDescent="0.25">
      <c r="A712" s="1" t="str">
        <f>IF(B712="","",CONCATENATE(B712,".",C712,"/Pos ",D712,"/",'Extraction edi'!G722))</f>
        <v/>
      </c>
      <c r="B712" s="1" t="str">
        <f>IF('Extraction edi'!A722="","",'Extraction edi'!A722)</f>
        <v/>
      </c>
      <c r="C712" s="1" t="str">
        <f>IF('Extraction edi'!B722="","",'Extraction edi'!B722)</f>
        <v/>
      </c>
      <c r="D712" s="1" t="str">
        <f>IF('Extraction edi'!H722="","",'Extraction edi'!H722)</f>
        <v/>
      </c>
      <c r="E712" s="1" t="str">
        <f>IF('Extraction edi'!I722="","",'Extraction edi'!I722)</f>
        <v/>
      </c>
      <c r="F712" t="str">
        <f>IF('Extraction edi'!K722="","",'Extraction edi'!K722)</f>
        <v/>
      </c>
      <c r="G712" t="str">
        <f>IF('Extraction edi'!L715="","",'Extraction edi'!L715)</f>
        <v/>
      </c>
      <c r="H712" t="str">
        <f>IF('Extraction edi'!M715="","",'Extraction edi'!M715)</f>
        <v/>
      </c>
      <c r="I712" s="1" t="str">
        <f>IF('Extraction edi'!N722="","",'Extraction edi'!N722)</f>
        <v/>
      </c>
      <c r="J712" s="1" t="str">
        <f>IF('Extraction edi'!O722="","",'Extraction edi'!O722)</f>
        <v/>
      </c>
      <c r="K712" s="1" t="str">
        <f>IF('Extraction edi'!P722="","",'Extraction edi'!P722)</f>
        <v/>
      </c>
      <c r="L712" s="1" t="str">
        <f>IF('Extraction edi'!Q722="laquage RAL :","OUI","")</f>
        <v/>
      </c>
      <c r="M712" s="1" t="str">
        <f>IF('Extraction edi'!R722&lt;&gt;"",'Extraction edi'!R722,IF(G712="ALU blanc","S9016",""))</f>
        <v/>
      </c>
      <c r="N712" s="1" t="str">
        <f>IF('Extraction edi'!S722&lt;&gt;"",'Extraction edi'!S722,IF(G712="ALU blanc","S9016",""))</f>
        <v/>
      </c>
      <c r="O712" s="11" t="str">
        <f>IF('Extraction edi'!V722&lt;'Feuille commande'!$E$1,"DELAI NON COMPATIBLE",IF('Extraction edi'!V722="","",WORKDAY('Extraction edi'!V722,-10,Paramètrage!$G$2:$G$104)))</f>
        <v/>
      </c>
      <c r="P712" s="1" t="e">
        <f t="shared" si="11"/>
        <v>#VALUE!</v>
      </c>
    </row>
    <row r="713" spans="1:16" x14ac:dyDescent="0.25">
      <c r="A713" s="1" t="str">
        <f>IF(B713="","",CONCATENATE(B713,".",C713,"/Pos ",D713,"/",'Extraction edi'!G723))</f>
        <v/>
      </c>
      <c r="B713" s="1" t="str">
        <f>IF('Extraction edi'!A723="","",'Extraction edi'!A723)</f>
        <v/>
      </c>
      <c r="C713" s="1" t="str">
        <f>IF('Extraction edi'!B723="","",'Extraction edi'!B723)</f>
        <v/>
      </c>
      <c r="D713" s="1" t="str">
        <f>IF('Extraction edi'!H723="","",'Extraction edi'!H723)</f>
        <v/>
      </c>
      <c r="E713" s="1" t="str">
        <f>IF('Extraction edi'!I723="","",'Extraction edi'!I723)</f>
        <v/>
      </c>
      <c r="F713" t="str">
        <f>IF('Extraction edi'!K723="","",'Extraction edi'!K723)</f>
        <v/>
      </c>
      <c r="G713" t="str">
        <f>IF('Extraction edi'!L716="","",'Extraction edi'!L716)</f>
        <v/>
      </c>
      <c r="H713" t="str">
        <f>IF('Extraction edi'!M716="","",'Extraction edi'!M716)</f>
        <v/>
      </c>
      <c r="I713" s="1" t="str">
        <f>IF('Extraction edi'!N723="","",'Extraction edi'!N723)</f>
        <v/>
      </c>
      <c r="J713" s="1" t="str">
        <f>IF('Extraction edi'!O723="","",'Extraction edi'!O723)</f>
        <v/>
      </c>
      <c r="K713" s="1" t="str">
        <f>IF('Extraction edi'!P723="","",'Extraction edi'!P723)</f>
        <v/>
      </c>
      <c r="L713" s="1" t="str">
        <f>IF('Extraction edi'!Q723="laquage RAL :","OUI","")</f>
        <v/>
      </c>
      <c r="M713" s="1" t="str">
        <f>IF('Extraction edi'!R723&lt;&gt;"",'Extraction edi'!R723,IF(G713="ALU blanc","S9016",""))</f>
        <v/>
      </c>
      <c r="N713" s="1" t="str">
        <f>IF('Extraction edi'!S723&lt;&gt;"",'Extraction edi'!S723,IF(G713="ALU blanc","S9016",""))</f>
        <v/>
      </c>
      <c r="O713" s="11" t="str">
        <f>IF('Extraction edi'!V723&lt;'Feuille commande'!$E$1,"DELAI NON COMPATIBLE",IF('Extraction edi'!V723="","",WORKDAY('Extraction edi'!V723,-10,Paramètrage!$G$2:$G$104)))</f>
        <v/>
      </c>
      <c r="P713" s="1" t="e">
        <f t="shared" si="11"/>
        <v>#VALUE!</v>
      </c>
    </row>
    <row r="714" spans="1:16" x14ac:dyDescent="0.25">
      <c r="A714" s="1" t="str">
        <f>IF(B714="","",CONCATENATE(B714,".",C714,"/Pos ",D714,"/",'Extraction edi'!G724))</f>
        <v/>
      </c>
      <c r="B714" s="1" t="str">
        <f>IF('Extraction edi'!A724="","",'Extraction edi'!A724)</f>
        <v/>
      </c>
      <c r="C714" s="1" t="str">
        <f>IF('Extraction edi'!B724="","",'Extraction edi'!B724)</f>
        <v/>
      </c>
      <c r="D714" s="1" t="str">
        <f>IF('Extraction edi'!H724="","",'Extraction edi'!H724)</f>
        <v/>
      </c>
      <c r="E714" s="1" t="str">
        <f>IF('Extraction edi'!I724="","",'Extraction edi'!I724)</f>
        <v/>
      </c>
      <c r="F714" t="str">
        <f>IF('Extraction edi'!K724="","",'Extraction edi'!K724)</f>
        <v/>
      </c>
      <c r="G714" t="str">
        <f>IF('Extraction edi'!L717="","",'Extraction edi'!L717)</f>
        <v/>
      </c>
      <c r="H714" t="str">
        <f>IF('Extraction edi'!M717="","",'Extraction edi'!M717)</f>
        <v/>
      </c>
      <c r="I714" s="1" t="str">
        <f>IF('Extraction edi'!N724="","",'Extraction edi'!N724)</f>
        <v/>
      </c>
      <c r="J714" s="1" t="str">
        <f>IF('Extraction edi'!O724="","",'Extraction edi'!O724)</f>
        <v/>
      </c>
      <c r="K714" s="1" t="str">
        <f>IF('Extraction edi'!P724="","",'Extraction edi'!P724)</f>
        <v/>
      </c>
      <c r="L714" s="1" t="str">
        <f>IF('Extraction edi'!Q724="laquage RAL :","OUI","")</f>
        <v/>
      </c>
      <c r="M714" s="1" t="str">
        <f>IF('Extraction edi'!R724&lt;&gt;"",'Extraction edi'!R724,IF(G714="ALU blanc","S9016",""))</f>
        <v/>
      </c>
      <c r="N714" s="1" t="str">
        <f>IF('Extraction edi'!S724&lt;&gt;"",'Extraction edi'!S724,IF(G714="ALU blanc","S9016",""))</f>
        <v/>
      </c>
      <c r="O714" s="11" t="str">
        <f>IF('Extraction edi'!V724&lt;'Feuille commande'!$E$1,"DELAI NON COMPATIBLE",IF('Extraction edi'!V724="","",WORKDAY('Extraction edi'!V724,-10,Paramètrage!$G$2:$G$104)))</f>
        <v/>
      </c>
      <c r="P714" s="1" t="e">
        <f t="shared" si="11"/>
        <v>#VALUE!</v>
      </c>
    </row>
    <row r="715" spans="1:16" x14ac:dyDescent="0.25">
      <c r="A715" s="1" t="str">
        <f>IF(B715="","",CONCATENATE(B715,".",C715,"/Pos ",D715,"/",'Extraction edi'!G725))</f>
        <v/>
      </c>
      <c r="B715" s="1" t="str">
        <f>IF('Extraction edi'!A725="","",'Extraction edi'!A725)</f>
        <v/>
      </c>
      <c r="C715" s="1" t="str">
        <f>IF('Extraction edi'!B725="","",'Extraction edi'!B725)</f>
        <v/>
      </c>
      <c r="D715" s="1" t="str">
        <f>IF('Extraction edi'!H725="","",'Extraction edi'!H725)</f>
        <v/>
      </c>
      <c r="E715" s="1" t="str">
        <f>IF('Extraction edi'!I725="","",'Extraction edi'!I725)</f>
        <v/>
      </c>
      <c r="F715" t="str">
        <f>IF('Extraction edi'!K725="","",'Extraction edi'!K725)</f>
        <v/>
      </c>
      <c r="G715" t="str">
        <f>IF('Extraction edi'!L718="","",'Extraction edi'!L718)</f>
        <v/>
      </c>
      <c r="H715" t="str">
        <f>IF('Extraction edi'!M718="","",'Extraction edi'!M718)</f>
        <v/>
      </c>
      <c r="I715" s="1" t="str">
        <f>IF('Extraction edi'!N725="","",'Extraction edi'!N725)</f>
        <v/>
      </c>
      <c r="J715" s="1" t="str">
        <f>IF('Extraction edi'!O725="","",'Extraction edi'!O725)</f>
        <v/>
      </c>
      <c r="K715" s="1" t="str">
        <f>IF('Extraction edi'!P725="","",'Extraction edi'!P725)</f>
        <v/>
      </c>
      <c r="L715" s="1" t="str">
        <f>IF('Extraction edi'!Q725="laquage RAL :","OUI","")</f>
        <v/>
      </c>
      <c r="M715" s="1" t="str">
        <f>IF('Extraction edi'!R725&lt;&gt;"",'Extraction edi'!R725,IF(G715="ALU blanc","S9016",""))</f>
        <v/>
      </c>
      <c r="N715" s="1" t="str">
        <f>IF('Extraction edi'!S725&lt;&gt;"",'Extraction edi'!S725,IF(G715="ALU blanc","S9016",""))</f>
        <v/>
      </c>
      <c r="O715" s="11" t="str">
        <f>IF('Extraction edi'!V725&lt;'Feuille commande'!$E$1,"DELAI NON COMPATIBLE",IF('Extraction edi'!V725="","",WORKDAY('Extraction edi'!V725,-10,Paramètrage!$G$2:$G$104)))</f>
        <v/>
      </c>
      <c r="P715" s="1" t="e">
        <f t="shared" si="11"/>
        <v>#VALUE!</v>
      </c>
    </row>
    <row r="716" spans="1:16" x14ac:dyDescent="0.25">
      <c r="A716" s="1" t="str">
        <f>IF(B716="","",CONCATENATE(B716,".",C716,"/Pos ",D716,"/",'Extraction edi'!G726))</f>
        <v/>
      </c>
      <c r="B716" s="1" t="str">
        <f>IF('Extraction edi'!A726="","",'Extraction edi'!A726)</f>
        <v/>
      </c>
      <c r="C716" s="1" t="str">
        <f>IF('Extraction edi'!B726="","",'Extraction edi'!B726)</f>
        <v/>
      </c>
      <c r="D716" s="1" t="str">
        <f>IF('Extraction edi'!H726="","",'Extraction edi'!H726)</f>
        <v/>
      </c>
      <c r="E716" s="1" t="str">
        <f>IF('Extraction edi'!I726="","",'Extraction edi'!I726)</f>
        <v/>
      </c>
      <c r="F716" t="str">
        <f>IF('Extraction edi'!K726="","",'Extraction edi'!K726)</f>
        <v/>
      </c>
      <c r="G716" t="str">
        <f>IF('Extraction edi'!L719="","",'Extraction edi'!L719)</f>
        <v/>
      </c>
      <c r="H716" t="str">
        <f>IF('Extraction edi'!M719="","",'Extraction edi'!M719)</f>
        <v/>
      </c>
      <c r="I716" s="1" t="str">
        <f>IF('Extraction edi'!N726="","",'Extraction edi'!N726)</f>
        <v/>
      </c>
      <c r="J716" s="1" t="str">
        <f>IF('Extraction edi'!O726="","",'Extraction edi'!O726)</f>
        <v/>
      </c>
      <c r="K716" s="1" t="str">
        <f>IF('Extraction edi'!P726="","",'Extraction edi'!P726)</f>
        <v/>
      </c>
      <c r="L716" s="1" t="str">
        <f>IF('Extraction edi'!Q726="laquage RAL :","OUI","")</f>
        <v/>
      </c>
      <c r="M716" s="1" t="str">
        <f>IF('Extraction edi'!R726&lt;&gt;"",'Extraction edi'!R726,IF(G716="ALU blanc","S9016",""))</f>
        <v/>
      </c>
      <c r="N716" s="1" t="str">
        <f>IF('Extraction edi'!S726&lt;&gt;"",'Extraction edi'!S726,IF(G716="ALU blanc","S9016",""))</f>
        <v/>
      </c>
      <c r="O716" s="11" t="str">
        <f>IF('Extraction edi'!V726&lt;'Feuille commande'!$E$1,"DELAI NON COMPATIBLE",IF('Extraction edi'!V726="","",WORKDAY('Extraction edi'!V726,-10,Paramètrage!$G$2:$G$104)))</f>
        <v/>
      </c>
      <c r="P716" s="1" t="e">
        <f t="shared" si="11"/>
        <v>#VALUE!</v>
      </c>
    </row>
    <row r="717" spans="1:16" x14ac:dyDescent="0.25">
      <c r="A717" s="1" t="str">
        <f>IF(B717="","",CONCATENATE(B717,".",C717,"/Pos ",D717,"/",'Extraction edi'!G727))</f>
        <v/>
      </c>
      <c r="B717" s="1" t="str">
        <f>IF('Extraction edi'!A727="","",'Extraction edi'!A727)</f>
        <v/>
      </c>
      <c r="C717" s="1" t="str">
        <f>IF('Extraction edi'!B727="","",'Extraction edi'!B727)</f>
        <v/>
      </c>
      <c r="D717" s="1" t="str">
        <f>IF('Extraction edi'!H727="","",'Extraction edi'!H727)</f>
        <v/>
      </c>
      <c r="E717" s="1" t="str">
        <f>IF('Extraction edi'!I727="","",'Extraction edi'!I727)</f>
        <v/>
      </c>
      <c r="F717" t="str">
        <f>IF('Extraction edi'!K727="","",'Extraction edi'!K727)</f>
        <v/>
      </c>
      <c r="G717" t="str">
        <f>IF('Extraction edi'!L720="","",'Extraction edi'!L720)</f>
        <v/>
      </c>
      <c r="H717" t="str">
        <f>IF('Extraction edi'!M720="","",'Extraction edi'!M720)</f>
        <v/>
      </c>
      <c r="I717" s="1" t="str">
        <f>IF('Extraction edi'!N727="","",'Extraction edi'!N727)</f>
        <v/>
      </c>
      <c r="J717" s="1" t="str">
        <f>IF('Extraction edi'!O727="","",'Extraction edi'!O727)</f>
        <v/>
      </c>
      <c r="K717" s="1" t="str">
        <f>IF('Extraction edi'!P727="","",'Extraction edi'!P727)</f>
        <v/>
      </c>
      <c r="L717" s="1" t="str">
        <f>IF('Extraction edi'!Q727="laquage RAL :","OUI","")</f>
        <v/>
      </c>
      <c r="M717" s="1" t="str">
        <f>IF('Extraction edi'!R727&lt;&gt;"",'Extraction edi'!R727,IF(G717="ALU blanc","S9016",""))</f>
        <v/>
      </c>
      <c r="N717" s="1" t="str">
        <f>IF('Extraction edi'!S727&lt;&gt;"",'Extraction edi'!S727,IF(G717="ALU blanc","S9016",""))</f>
        <v/>
      </c>
      <c r="O717" s="11" t="str">
        <f>IF('Extraction edi'!V727&lt;'Feuille commande'!$E$1,"DELAI NON COMPATIBLE",IF('Extraction edi'!V727="","",WORKDAY('Extraction edi'!V727,-10,Paramètrage!$G$2:$G$104)))</f>
        <v/>
      </c>
      <c r="P717" s="1" t="e">
        <f t="shared" si="11"/>
        <v>#VALUE!</v>
      </c>
    </row>
    <row r="718" spans="1:16" x14ac:dyDescent="0.25">
      <c r="A718" s="1" t="str">
        <f>IF(B718="","",CONCATENATE(B718,".",C718,"/Pos ",D718,"/",'Extraction edi'!G728))</f>
        <v/>
      </c>
      <c r="B718" s="1" t="str">
        <f>IF('Extraction edi'!A728="","",'Extraction edi'!A728)</f>
        <v/>
      </c>
      <c r="C718" s="1" t="str">
        <f>IF('Extraction edi'!B728="","",'Extraction edi'!B728)</f>
        <v/>
      </c>
      <c r="D718" s="1" t="str">
        <f>IF('Extraction edi'!H728="","",'Extraction edi'!H728)</f>
        <v/>
      </c>
      <c r="E718" s="1" t="str">
        <f>IF('Extraction edi'!I728="","",'Extraction edi'!I728)</f>
        <v/>
      </c>
      <c r="F718" t="str">
        <f>IF('Extraction edi'!K728="","",'Extraction edi'!K728)</f>
        <v/>
      </c>
      <c r="G718" t="str">
        <f>IF('Extraction edi'!L721="","",'Extraction edi'!L721)</f>
        <v/>
      </c>
      <c r="H718" t="str">
        <f>IF('Extraction edi'!M721="","",'Extraction edi'!M721)</f>
        <v/>
      </c>
      <c r="I718" s="1" t="str">
        <f>IF('Extraction edi'!N728="","",'Extraction edi'!N728)</f>
        <v/>
      </c>
      <c r="J718" s="1" t="str">
        <f>IF('Extraction edi'!O728="","",'Extraction edi'!O728)</f>
        <v/>
      </c>
      <c r="K718" s="1" t="str">
        <f>IF('Extraction edi'!P728="","",'Extraction edi'!P728)</f>
        <v/>
      </c>
      <c r="L718" s="1" t="str">
        <f>IF('Extraction edi'!Q728="laquage RAL :","OUI","")</f>
        <v/>
      </c>
      <c r="M718" s="1" t="str">
        <f>IF('Extraction edi'!R728&lt;&gt;"",'Extraction edi'!R728,IF(G718="ALU blanc","S9016",""))</f>
        <v/>
      </c>
      <c r="N718" s="1" t="str">
        <f>IF('Extraction edi'!S728&lt;&gt;"",'Extraction edi'!S728,IF(G718="ALU blanc","S9016",""))</f>
        <v/>
      </c>
      <c r="O718" s="11" t="str">
        <f>IF('Extraction edi'!V728&lt;'Feuille commande'!$E$1,"DELAI NON COMPATIBLE",IF('Extraction edi'!V728="","",WORKDAY('Extraction edi'!V728,-10,Paramètrage!$G$2:$G$104)))</f>
        <v/>
      </c>
      <c r="P718" s="1" t="e">
        <f t="shared" si="11"/>
        <v>#VALUE!</v>
      </c>
    </row>
    <row r="719" spans="1:16" x14ac:dyDescent="0.25">
      <c r="A719" s="1" t="str">
        <f>IF(B719="","",CONCATENATE(B719,".",C719,"/Pos ",D719,"/",'Extraction edi'!G729))</f>
        <v/>
      </c>
      <c r="B719" s="1" t="str">
        <f>IF('Extraction edi'!A729="","",'Extraction edi'!A729)</f>
        <v/>
      </c>
      <c r="C719" s="1" t="str">
        <f>IF('Extraction edi'!B729="","",'Extraction edi'!B729)</f>
        <v/>
      </c>
      <c r="D719" s="1" t="str">
        <f>IF('Extraction edi'!H729="","",'Extraction edi'!H729)</f>
        <v/>
      </c>
      <c r="E719" s="1" t="str">
        <f>IF('Extraction edi'!I729="","",'Extraction edi'!I729)</f>
        <v/>
      </c>
      <c r="F719" t="str">
        <f>IF('Extraction edi'!K729="","",'Extraction edi'!K729)</f>
        <v/>
      </c>
      <c r="G719" t="str">
        <f>IF('Extraction edi'!L722="","",'Extraction edi'!L722)</f>
        <v/>
      </c>
      <c r="H719" t="str">
        <f>IF('Extraction edi'!M722="","",'Extraction edi'!M722)</f>
        <v/>
      </c>
      <c r="I719" s="1" t="str">
        <f>IF('Extraction edi'!N729="","",'Extraction edi'!N729)</f>
        <v/>
      </c>
      <c r="J719" s="1" t="str">
        <f>IF('Extraction edi'!O729="","",'Extraction edi'!O729)</f>
        <v/>
      </c>
      <c r="K719" s="1" t="str">
        <f>IF('Extraction edi'!P729="","",'Extraction edi'!P729)</f>
        <v/>
      </c>
      <c r="L719" s="1" t="str">
        <f>IF('Extraction edi'!Q729="laquage RAL :","OUI","")</f>
        <v/>
      </c>
      <c r="M719" s="1" t="str">
        <f>IF('Extraction edi'!R729&lt;&gt;"",'Extraction edi'!R729,IF(G719="ALU blanc","S9016",""))</f>
        <v/>
      </c>
      <c r="N719" s="1" t="str">
        <f>IF('Extraction edi'!S729&lt;&gt;"",'Extraction edi'!S729,IF(G719="ALU blanc","S9016",""))</f>
        <v/>
      </c>
      <c r="O719" s="11" t="str">
        <f>IF('Extraction edi'!V729&lt;'Feuille commande'!$E$1,"DELAI NON COMPATIBLE",IF('Extraction edi'!V729="","",WORKDAY('Extraction edi'!V729,-10,Paramètrage!$G$2:$G$104)))</f>
        <v/>
      </c>
      <c r="P719" s="1" t="e">
        <f t="shared" si="11"/>
        <v>#VALUE!</v>
      </c>
    </row>
    <row r="720" spans="1:16" x14ac:dyDescent="0.25">
      <c r="A720" s="1" t="str">
        <f>IF(B720="","",CONCATENATE(B720,".",C720,"/Pos ",D720,"/",'Extraction edi'!G730))</f>
        <v/>
      </c>
      <c r="B720" s="1" t="str">
        <f>IF('Extraction edi'!A730="","",'Extraction edi'!A730)</f>
        <v/>
      </c>
      <c r="C720" s="1" t="str">
        <f>IF('Extraction edi'!B730="","",'Extraction edi'!B730)</f>
        <v/>
      </c>
      <c r="D720" s="1" t="str">
        <f>IF('Extraction edi'!H730="","",'Extraction edi'!H730)</f>
        <v/>
      </c>
      <c r="E720" s="1" t="str">
        <f>IF('Extraction edi'!I730="","",'Extraction edi'!I730)</f>
        <v/>
      </c>
      <c r="F720" t="str">
        <f>IF('Extraction edi'!K730="","",'Extraction edi'!K730)</f>
        <v/>
      </c>
      <c r="G720" t="str">
        <f>IF('Extraction edi'!L723="","",'Extraction edi'!L723)</f>
        <v/>
      </c>
      <c r="H720" t="str">
        <f>IF('Extraction edi'!M723="","",'Extraction edi'!M723)</f>
        <v/>
      </c>
      <c r="I720" s="1" t="str">
        <f>IF('Extraction edi'!N730="","",'Extraction edi'!N730)</f>
        <v/>
      </c>
      <c r="J720" s="1" t="str">
        <f>IF('Extraction edi'!O730="","",'Extraction edi'!O730)</f>
        <v/>
      </c>
      <c r="K720" s="1" t="str">
        <f>IF('Extraction edi'!P730="","",'Extraction edi'!P730)</f>
        <v/>
      </c>
      <c r="L720" s="1" t="str">
        <f>IF('Extraction edi'!Q730="laquage RAL :","OUI","")</f>
        <v/>
      </c>
      <c r="M720" s="1" t="str">
        <f>IF('Extraction edi'!R730&lt;&gt;"",'Extraction edi'!R730,IF(G720="ALU blanc","S9016",""))</f>
        <v/>
      </c>
      <c r="N720" s="1" t="str">
        <f>IF('Extraction edi'!S730&lt;&gt;"",'Extraction edi'!S730,IF(G720="ALU blanc","S9016",""))</f>
        <v/>
      </c>
      <c r="O720" s="11" t="str">
        <f>IF('Extraction edi'!V730&lt;'Feuille commande'!$E$1,"DELAI NON COMPATIBLE",IF('Extraction edi'!V730="","",WORKDAY('Extraction edi'!V730,-10,Paramètrage!$G$2:$G$104)))</f>
        <v/>
      </c>
      <c r="P720" s="1" t="e">
        <f t="shared" si="11"/>
        <v>#VALUE!</v>
      </c>
    </row>
    <row r="721" spans="1:16" x14ac:dyDescent="0.25">
      <c r="A721" s="1" t="str">
        <f>IF(B721="","",CONCATENATE(B721,".",C721,"/Pos ",D721,"/",'Extraction edi'!G731))</f>
        <v/>
      </c>
      <c r="B721" s="1" t="str">
        <f>IF('Extraction edi'!A731="","",'Extraction edi'!A731)</f>
        <v/>
      </c>
      <c r="C721" s="1" t="str">
        <f>IF('Extraction edi'!B731="","",'Extraction edi'!B731)</f>
        <v/>
      </c>
      <c r="D721" s="1" t="str">
        <f>IF('Extraction edi'!H731="","",'Extraction edi'!H731)</f>
        <v/>
      </c>
      <c r="E721" s="1" t="str">
        <f>IF('Extraction edi'!I731="","",'Extraction edi'!I731)</f>
        <v/>
      </c>
      <c r="F721" t="str">
        <f>IF('Extraction edi'!K731="","",'Extraction edi'!K731)</f>
        <v/>
      </c>
      <c r="G721" t="str">
        <f>IF('Extraction edi'!L724="","",'Extraction edi'!L724)</f>
        <v/>
      </c>
      <c r="H721" t="str">
        <f>IF('Extraction edi'!M724="","",'Extraction edi'!M724)</f>
        <v/>
      </c>
      <c r="I721" s="1" t="str">
        <f>IF('Extraction edi'!N731="","",'Extraction edi'!N731)</f>
        <v/>
      </c>
      <c r="J721" s="1" t="str">
        <f>IF('Extraction edi'!O731="","",'Extraction edi'!O731)</f>
        <v/>
      </c>
      <c r="K721" s="1" t="str">
        <f>IF('Extraction edi'!P731="","",'Extraction edi'!P731)</f>
        <v/>
      </c>
      <c r="L721" s="1" t="str">
        <f>IF('Extraction edi'!Q731="laquage RAL :","OUI","")</f>
        <v/>
      </c>
      <c r="M721" s="1" t="str">
        <f>IF('Extraction edi'!R731&lt;&gt;"",'Extraction edi'!R731,IF(G721="ALU blanc","S9016",""))</f>
        <v/>
      </c>
      <c r="N721" s="1" t="str">
        <f>IF('Extraction edi'!S731&lt;&gt;"",'Extraction edi'!S731,IF(G721="ALU blanc","S9016",""))</f>
        <v/>
      </c>
      <c r="O721" s="11" t="str">
        <f>IF('Extraction edi'!V731&lt;'Feuille commande'!$E$1,"DELAI NON COMPATIBLE",IF('Extraction edi'!V731="","",WORKDAY('Extraction edi'!V731,-10,Paramètrage!$G$2:$G$104)))</f>
        <v/>
      </c>
      <c r="P721" s="1" t="e">
        <f t="shared" si="11"/>
        <v>#VALUE!</v>
      </c>
    </row>
    <row r="722" spans="1:16" x14ac:dyDescent="0.25">
      <c r="A722" s="1" t="str">
        <f>IF(B722="","",CONCATENATE(B722,".",C722,"/Pos ",D722,"/",'Extraction edi'!G732))</f>
        <v/>
      </c>
      <c r="B722" s="1" t="str">
        <f>IF('Extraction edi'!A732="","",'Extraction edi'!A732)</f>
        <v/>
      </c>
      <c r="C722" s="1" t="str">
        <f>IF('Extraction edi'!B732="","",'Extraction edi'!B732)</f>
        <v/>
      </c>
      <c r="D722" s="1" t="str">
        <f>IF('Extraction edi'!H732="","",'Extraction edi'!H732)</f>
        <v/>
      </c>
      <c r="E722" s="1" t="str">
        <f>IF('Extraction edi'!I732="","",'Extraction edi'!I732)</f>
        <v/>
      </c>
      <c r="F722" t="str">
        <f>IF('Extraction edi'!K732="","",'Extraction edi'!K732)</f>
        <v/>
      </c>
      <c r="G722" t="str">
        <f>IF('Extraction edi'!L725="","",'Extraction edi'!L725)</f>
        <v/>
      </c>
      <c r="H722" t="str">
        <f>IF('Extraction edi'!M725="","",'Extraction edi'!M725)</f>
        <v/>
      </c>
      <c r="I722" s="1" t="str">
        <f>IF('Extraction edi'!N732="","",'Extraction edi'!N732)</f>
        <v/>
      </c>
      <c r="J722" s="1" t="str">
        <f>IF('Extraction edi'!O732="","",'Extraction edi'!O732)</f>
        <v/>
      </c>
      <c r="K722" s="1" t="str">
        <f>IF('Extraction edi'!P732="","",'Extraction edi'!P732)</f>
        <v/>
      </c>
      <c r="L722" s="1" t="str">
        <f>IF('Extraction edi'!Q732="laquage RAL :","OUI","")</f>
        <v/>
      </c>
      <c r="M722" s="1" t="str">
        <f>IF('Extraction edi'!R732&lt;&gt;"",'Extraction edi'!R732,IF(G722="ALU blanc","S9016",""))</f>
        <v/>
      </c>
      <c r="N722" s="1" t="str">
        <f>IF('Extraction edi'!S732&lt;&gt;"",'Extraction edi'!S732,IF(G722="ALU blanc","S9016",""))</f>
        <v/>
      </c>
      <c r="O722" s="11" t="str">
        <f>IF('Extraction edi'!V732&lt;'Feuille commande'!$E$1,"DELAI NON COMPATIBLE",IF('Extraction edi'!V732="","",WORKDAY('Extraction edi'!V732,-10,Paramètrage!$G$2:$G$104)))</f>
        <v/>
      </c>
      <c r="P722" s="1" t="e">
        <f t="shared" si="11"/>
        <v>#VALUE!</v>
      </c>
    </row>
    <row r="723" spans="1:16" x14ac:dyDescent="0.25">
      <c r="A723" s="1" t="str">
        <f>IF(B723="","",CONCATENATE(B723,".",C723,"/Pos ",D723,"/",'Extraction edi'!G733))</f>
        <v/>
      </c>
      <c r="B723" s="1" t="str">
        <f>IF('Extraction edi'!A733="","",'Extraction edi'!A733)</f>
        <v/>
      </c>
      <c r="C723" s="1" t="str">
        <f>IF('Extraction edi'!B733="","",'Extraction edi'!B733)</f>
        <v/>
      </c>
      <c r="D723" s="1" t="str">
        <f>IF('Extraction edi'!H733="","",'Extraction edi'!H733)</f>
        <v/>
      </c>
      <c r="E723" s="1" t="str">
        <f>IF('Extraction edi'!I733="","",'Extraction edi'!I733)</f>
        <v/>
      </c>
      <c r="F723" t="str">
        <f>IF('Extraction edi'!K733="","",'Extraction edi'!K733)</f>
        <v/>
      </c>
      <c r="G723" t="str">
        <f>IF('Extraction edi'!L726="","",'Extraction edi'!L726)</f>
        <v/>
      </c>
      <c r="H723" t="str">
        <f>IF('Extraction edi'!M726="","",'Extraction edi'!M726)</f>
        <v/>
      </c>
      <c r="I723" s="1" t="str">
        <f>IF('Extraction edi'!N733="","",'Extraction edi'!N733)</f>
        <v/>
      </c>
      <c r="J723" s="1" t="str">
        <f>IF('Extraction edi'!O733="","",'Extraction edi'!O733)</f>
        <v/>
      </c>
      <c r="K723" s="1" t="str">
        <f>IF('Extraction edi'!P733="","",'Extraction edi'!P733)</f>
        <v/>
      </c>
      <c r="L723" s="1" t="str">
        <f>IF('Extraction edi'!Q733="laquage RAL :","OUI","")</f>
        <v/>
      </c>
      <c r="M723" s="1" t="str">
        <f>IF('Extraction edi'!R733&lt;&gt;"",'Extraction edi'!R733,IF(G723="ALU blanc","S9016",""))</f>
        <v/>
      </c>
      <c r="N723" s="1" t="str">
        <f>IF('Extraction edi'!S733&lt;&gt;"",'Extraction edi'!S733,IF(G723="ALU blanc","S9016",""))</f>
        <v/>
      </c>
      <c r="O723" s="11" t="str">
        <f>IF('Extraction edi'!V733&lt;'Feuille commande'!$E$1,"DELAI NON COMPATIBLE",IF('Extraction edi'!V733="","",WORKDAY('Extraction edi'!V733,-10,Paramètrage!$G$2:$G$104)))</f>
        <v/>
      </c>
      <c r="P723" s="1" t="e">
        <f t="shared" si="11"/>
        <v>#VALUE!</v>
      </c>
    </row>
    <row r="724" spans="1:16" x14ac:dyDescent="0.25">
      <c r="A724" s="1" t="str">
        <f>IF(B724="","",CONCATENATE(B724,".",C724,"/Pos ",D724,"/",'Extraction edi'!G734))</f>
        <v/>
      </c>
      <c r="B724" s="1" t="str">
        <f>IF('Extraction edi'!A734="","",'Extraction edi'!A734)</f>
        <v/>
      </c>
      <c r="C724" s="1" t="str">
        <f>IF('Extraction edi'!B734="","",'Extraction edi'!B734)</f>
        <v/>
      </c>
      <c r="D724" s="1" t="str">
        <f>IF('Extraction edi'!H734="","",'Extraction edi'!H734)</f>
        <v/>
      </c>
      <c r="E724" s="1" t="str">
        <f>IF('Extraction edi'!I734="","",'Extraction edi'!I734)</f>
        <v/>
      </c>
      <c r="F724" t="str">
        <f>IF('Extraction edi'!K734="","",'Extraction edi'!K734)</f>
        <v/>
      </c>
      <c r="G724" t="str">
        <f>IF('Extraction edi'!L727="","",'Extraction edi'!L727)</f>
        <v/>
      </c>
      <c r="H724" t="str">
        <f>IF('Extraction edi'!M727="","",'Extraction edi'!M727)</f>
        <v/>
      </c>
      <c r="I724" s="1" t="str">
        <f>IF('Extraction edi'!N734="","",'Extraction edi'!N734)</f>
        <v/>
      </c>
      <c r="J724" s="1" t="str">
        <f>IF('Extraction edi'!O734="","",'Extraction edi'!O734)</f>
        <v/>
      </c>
      <c r="K724" s="1" t="str">
        <f>IF('Extraction edi'!P734="","",'Extraction edi'!P734)</f>
        <v/>
      </c>
      <c r="L724" s="1" t="str">
        <f>IF('Extraction edi'!Q734="laquage RAL :","OUI","")</f>
        <v/>
      </c>
      <c r="M724" s="1" t="str">
        <f>IF('Extraction edi'!R734&lt;&gt;"",'Extraction edi'!R734,IF(G724="ALU blanc","S9016",""))</f>
        <v/>
      </c>
      <c r="N724" s="1" t="str">
        <f>IF('Extraction edi'!S734&lt;&gt;"",'Extraction edi'!S734,IF(G724="ALU blanc","S9016",""))</f>
        <v/>
      </c>
      <c r="O724" s="11" t="str">
        <f>IF('Extraction edi'!V734&lt;'Feuille commande'!$E$1,"DELAI NON COMPATIBLE",IF('Extraction edi'!V734="","",WORKDAY('Extraction edi'!V734,-10,Paramètrage!$G$2:$G$104)))</f>
        <v/>
      </c>
      <c r="P724" s="1" t="e">
        <f t="shared" si="11"/>
        <v>#VALUE!</v>
      </c>
    </row>
    <row r="725" spans="1:16" x14ac:dyDescent="0.25">
      <c r="A725" s="1" t="str">
        <f>IF(B725="","",CONCATENATE(B725,".",C725,"/Pos ",D725,"/",'Extraction edi'!G735))</f>
        <v/>
      </c>
      <c r="B725" s="1" t="str">
        <f>IF('Extraction edi'!A735="","",'Extraction edi'!A735)</f>
        <v/>
      </c>
      <c r="C725" s="1" t="str">
        <f>IF('Extraction edi'!B735="","",'Extraction edi'!B735)</f>
        <v/>
      </c>
      <c r="D725" s="1" t="str">
        <f>IF('Extraction edi'!H735="","",'Extraction edi'!H735)</f>
        <v/>
      </c>
      <c r="E725" s="1" t="str">
        <f>IF('Extraction edi'!I735="","",'Extraction edi'!I735)</f>
        <v/>
      </c>
      <c r="F725" t="str">
        <f>IF('Extraction edi'!K735="","",'Extraction edi'!K735)</f>
        <v/>
      </c>
      <c r="G725" t="str">
        <f>IF('Extraction edi'!L728="","",'Extraction edi'!L728)</f>
        <v/>
      </c>
      <c r="H725" t="str">
        <f>IF('Extraction edi'!M728="","",'Extraction edi'!M728)</f>
        <v/>
      </c>
      <c r="I725" s="1" t="str">
        <f>IF('Extraction edi'!N735="","",'Extraction edi'!N735)</f>
        <v/>
      </c>
      <c r="J725" s="1" t="str">
        <f>IF('Extraction edi'!O735="","",'Extraction edi'!O735)</f>
        <v/>
      </c>
      <c r="K725" s="1" t="str">
        <f>IF('Extraction edi'!P735="","",'Extraction edi'!P735)</f>
        <v/>
      </c>
      <c r="L725" s="1" t="str">
        <f>IF('Extraction edi'!Q735="laquage RAL :","OUI","")</f>
        <v/>
      </c>
      <c r="M725" s="1" t="str">
        <f>IF('Extraction edi'!R735&lt;&gt;"",'Extraction edi'!R735,IF(G725="ALU blanc","S9016",""))</f>
        <v/>
      </c>
      <c r="N725" s="1" t="str">
        <f>IF('Extraction edi'!S735&lt;&gt;"",'Extraction edi'!S735,IF(G725="ALU blanc","S9016",""))</f>
        <v/>
      </c>
      <c r="O725" s="11" t="str">
        <f>IF('Extraction edi'!V735&lt;'Feuille commande'!$E$1,"DELAI NON COMPATIBLE",IF('Extraction edi'!V735="","",WORKDAY('Extraction edi'!V735,-10,Paramètrage!$G$2:$G$104)))</f>
        <v/>
      </c>
      <c r="P725" s="1" t="e">
        <f t="shared" si="11"/>
        <v>#VALUE!</v>
      </c>
    </row>
    <row r="726" spans="1:16" x14ac:dyDescent="0.25">
      <c r="A726" s="1" t="str">
        <f>IF(B726="","",CONCATENATE(B726,".",C726,"/Pos ",D726,"/",'Extraction edi'!G736))</f>
        <v/>
      </c>
      <c r="B726" s="1" t="str">
        <f>IF('Extraction edi'!A736="","",'Extraction edi'!A736)</f>
        <v/>
      </c>
      <c r="C726" s="1" t="str">
        <f>IF('Extraction edi'!B736="","",'Extraction edi'!B736)</f>
        <v/>
      </c>
      <c r="D726" s="1" t="str">
        <f>IF('Extraction edi'!H736="","",'Extraction edi'!H736)</f>
        <v/>
      </c>
      <c r="E726" s="1" t="str">
        <f>IF('Extraction edi'!I736="","",'Extraction edi'!I736)</f>
        <v/>
      </c>
      <c r="F726" t="str">
        <f>IF('Extraction edi'!K736="","",'Extraction edi'!K736)</f>
        <v/>
      </c>
      <c r="G726" t="str">
        <f>IF('Extraction edi'!L736="","",'Extraction edi'!L736)</f>
        <v/>
      </c>
      <c r="H726" t="str">
        <f>IF('Extraction edi'!M729="","",'Extraction edi'!M729)</f>
        <v/>
      </c>
      <c r="I726" s="1" t="str">
        <f>IF('Extraction edi'!N736="","",'Extraction edi'!N736)</f>
        <v/>
      </c>
      <c r="J726" s="1" t="str">
        <f>IF('Extraction edi'!O736="","",'Extraction edi'!O736)</f>
        <v/>
      </c>
      <c r="K726" s="1" t="str">
        <f>IF('Extraction edi'!P736="","",'Extraction edi'!P736)</f>
        <v/>
      </c>
      <c r="L726" s="1" t="str">
        <f>IF('Extraction edi'!Q736="laquage RAL :","OUI","")</f>
        <v/>
      </c>
      <c r="M726" s="1" t="str">
        <f>IF('Extraction edi'!R736&lt;&gt;"",'Extraction edi'!R736,IF(G726="ALU blanc","S9016",""))</f>
        <v/>
      </c>
      <c r="N726" s="1" t="str">
        <f>IF('Extraction edi'!S736&lt;&gt;"",'Extraction edi'!S736,IF(G726="ALU blanc","S9016",""))</f>
        <v/>
      </c>
      <c r="O726" s="11" t="str">
        <f>IF('Extraction edi'!V736&lt;'Feuille commande'!$E$1,"DELAI NON COMPATIBLE",IF('Extraction edi'!V736="","",WORKDAY('Extraction edi'!V736,-10,Paramètrage!$G$2:$G$104)))</f>
        <v/>
      </c>
      <c r="P726" s="1" t="e">
        <f t="shared" si="11"/>
        <v>#VALUE!</v>
      </c>
    </row>
    <row r="727" spans="1:16" x14ac:dyDescent="0.25">
      <c r="A727" s="1" t="str">
        <f>IF(B727="","",CONCATENATE(B727,".",C727,"/Pos ",D727,"/",'Extraction edi'!G737))</f>
        <v/>
      </c>
      <c r="B727" s="1" t="str">
        <f>IF('Extraction edi'!A737="","",'Extraction edi'!A737)</f>
        <v/>
      </c>
      <c r="C727" s="1" t="str">
        <f>IF('Extraction edi'!B737="","",'Extraction edi'!B737)</f>
        <v/>
      </c>
      <c r="D727" s="1" t="str">
        <f>IF('Extraction edi'!H737="","",'Extraction edi'!H737)</f>
        <v/>
      </c>
      <c r="E727" s="1" t="str">
        <f>IF('Extraction edi'!I737="","",'Extraction edi'!I737)</f>
        <v/>
      </c>
      <c r="F727" t="str">
        <f>IF('Extraction edi'!K737="","",'Extraction edi'!K737)</f>
        <v/>
      </c>
      <c r="G727" t="str">
        <f>IF('Extraction edi'!L737="","",'Extraction edi'!L737)</f>
        <v/>
      </c>
      <c r="H727" t="str">
        <f>IF('Extraction edi'!M730="","",'Extraction edi'!M730)</f>
        <v/>
      </c>
      <c r="I727" s="1" t="str">
        <f>IF('Extraction edi'!N737="","",'Extraction edi'!N737)</f>
        <v/>
      </c>
      <c r="J727" s="1" t="str">
        <f>IF('Extraction edi'!O737="","",'Extraction edi'!O737)</f>
        <v/>
      </c>
      <c r="K727" s="1" t="str">
        <f>IF('Extraction edi'!P737="","",'Extraction edi'!P737)</f>
        <v/>
      </c>
      <c r="L727" s="1" t="str">
        <f>IF('Extraction edi'!Q737="laquage RAL :","OUI","")</f>
        <v/>
      </c>
      <c r="M727" s="1" t="str">
        <f>IF('Extraction edi'!R737&lt;&gt;"",'Extraction edi'!R737,IF(G727="ALU blanc","S9016",""))</f>
        <v/>
      </c>
      <c r="N727" s="1" t="str">
        <f>IF('Extraction edi'!S737&lt;&gt;"",'Extraction edi'!S737,IF(G727="ALU blanc","S9016",""))</f>
        <v/>
      </c>
      <c r="O727" s="11" t="str">
        <f>IF('Extraction edi'!V737&lt;'Feuille commande'!$E$1,"DELAI NON COMPATIBLE",IF('Extraction edi'!V737="","",WORKDAY('Extraction edi'!V737,-10,Paramètrage!$G$2:$G$104)))</f>
        <v/>
      </c>
      <c r="P727" s="1" t="e">
        <f t="shared" si="11"/>
        <v>#VALUE!</v>
      </c>
    </row>
    <row r="728" spans="1:16" x14ac:dyDescent="0.25">
      <c r="A728" s="1" t="str">
        <f>IF(B728="","",CONCATENATE(B728,".",C728,"/Pos ",D728,"/",'Extraction edi'!G738))</f>
        <v/>
      </c>
      <c r="B728" s="1" t="str">
        <f>IF('Extraction edi'!A738="","",'Extraction edi'!A738)</f>
        <v/>
      </c>
      <c r="C728" s="1" t="str">
        <f>IF('Extraction edi'!B738="","",'Extraction edi'!B738)</f>
        <v/>
      </c>
      <c r="D728" s="1" t="str">
        <f>IF('Extraction edi'!H738="","",'Extraction edi'!H738)</f>
        <v/>
      </c>
      <c r="E728" s="1" t="str">
        <f>IF('Extraction edi'!I738="","",'Extraction edi'!I738)</f>
        <v/>
      </c>
      <c r="F728" t="str">
        <f>IF('Extraction edi'!K738="","",'Extraction edi'!K738)</f>
        <v/>
      </c>
      <c r="G728" t="str">
        <f>IF('Extraction edi'!L738="","",'Extraction edi'!L738)</f>
        <v/>
      </c>
      <c r="H728" t="str">
        <f>IF('Extraction edi'!M731="","",'Extraction edi'!M731)</f>
        <v/>
      </c>
      <c r="I728" s="1" t="str">
        <f>IF('Extraction edi'!N738="","",'Extraction edi'!N738)</f>
        <v/>
      </c>
      <c r="J728" s="1" t="str">
        <f>IF('Extraction edi'!O738="","",'Extraction edi'!O738)</f>
        <v/>
      </c>
      <c r="K728" s="1" t="str">
        <f>IF('Extraction edi'!P738="","",'Extraction edi'!P738)</f>
        <v/>
      </c>
      <c r="L728" s="1" t="str">
        <f>IF('Extraction edi'!Q738="laquage RAL :","OUI","")</f>
        <v/>
      </c>
      <c r="M728" s="1" t="str">
        <f>IF('Extraction edi'!R738&lt;&gt;"",'Extraction edi'!R738,IF(G728="ALU blanc","S9016",""))</f>
        <v/>
      </c>
      <c r="N728" s="1" t="str">
        <f>IF('Extraction edi'!S738&lt;&gt;"",'Extraction edi'!S738,IF(G728="ALU blanc","S9016",""))</f>
        <v/>
      </c>
      <c r="O728" s="11" t="str">
        <f>IF('Extraction edi'!V738&lt;'Feuille commande'!$E$1,"DELAI NON COMPATIBLE",IF('Extraction edi'!V738="","",WORKDAY('Extraction edi'!V738,-10,Paramètrage!$G$2:$G$104)))</f>
        <v/>
      </c>
      <c r="P728" s="1" t="e">
        <f t="shared" si="11"/>
        <v>#VALUE!</v>
      </c>
    </row>
    <row r="729" spans="1:16" x14ac:dyDescent="0.25">
      <c r="A729" s="1" t="str">
        <f>IF(B729="","",CONCATENATE(B729,".",C729,"/Pos ",D729,"/",'Extraction edi'!G739))</f>
        <v/>
      </c>
      <c r="B729" s="1" t="str">
        <f>IF('Extraction edi'!A739="","",'Extraction edi'!A739)</f>
        <v/>
      </c>
      <c r="C729" s="1" t="str">
        <f>IF('Extraction edi'!B739="","",'Extraction edi'!B739)</f>
        <v/>
      </c>
      <c r="D729" s="1" t="str">
        <f>IF('Extraction edi'!H739="","",'Extraction edi'!H739)</f>
        <v/>
      </c>
      <c r="E729" s="1" t="str">
        <f>IF('Extraction edi'!I739="","",'Extraction edi'!I739)</f>
        <v/>
      </c>
      <c r="F729" t="str">
        <f>IF('Extraction edi'!K739="","",'Extraction edi'!K739)</f>
        <v/>
      </c>
      <c r="G729" t="str">
        <f>IF('Extraction edi'!L739="","",'Extraction edi'!L739)</f>
        <v/>
      </c>
      <c r="H729" t="str">
        <f>IF('Extraction edi'!M732="","",'Extraction edi'!M732)</f>
        <v/>
      </c>
      <c r="I729" s="1" t="str">
        <f>IF('Extraction edi'!N739="","",'Extraction edi'!N739)</f>
        <v/>
      </c>
      <c r="J729" s="1" t="str">
        <f>IF('Extraction edi'!O739="","",'Extraction edi'!O739)</f>
        <v/>
      </c>
      <c r="K729" s="1" t="str">
        <f>IF('Extraction edi'!P739="","",'Extraction edi'!P739)</f>
        <v/>
      </c>
      <c r="L729" s="1" t="str">
        <f>IF('Extraction edi'!Q739="laquage RAL :","OUI","")</f>
        <v/>
      </c>
      <c r="M729" s="1" t="str">
        <f>IF('Extraction edi'!R739&lt;&gt;"",'Extraction edi'!R739,IF(G729="ALU blanc","S9016",""))</f>
        <v/>
      </c>
      <c r="N729" s="1" t="str">
        <f>IF('Extraction edi'!S739&lt;&gt;"",'Extraction edi'!S739,IF(G729="ALU blanc","S9016",""))</f>
        <v/>
      </c>
      <c r="O729" s="11" t="str">
        <f>IF('Extraction edi'!V739&lt;'Feuille commande'!$E$1,"DELAI NON COMPATIBLE",IF('Extraction edi'!V739="","",WORKDAY('Extraction edi'!V739,-10,Paramètrage!$G$2:$G$104)))</f>
        <v/>
      </c>
      <c r="P729" s="1" t="e">
        <f t="shared" si="11"/>
        <v>#VALUE!</v>
      </c>
    </row>
    <row r="730" spans="1:16" x14ac:dyDescent="0.25">
      <c r="A730" s="1" t="str">
        <f>IF(B730="","",CONCATENATE(B730,".",C730,"/Pos ",D730,"/",'Extraction edi'!G740))</f>
        <v/>
      </c>
      <c r="B730" s="1" t="str">
        <f>IF('Extraction edi'!A740="","",'Extraction edi'!A740)</f>
        <v/>
      </c>
      <c r="C730" s="1" t="str">
        <f>IF('Extraction edi'!B740="","",'Extraction edi'!B740)</f>
        <v/>
      </c>
      <c r="D730" s="1" t="str">
        <f>IF('Extraction edi'!H740="","",'Extraction edi'!H740)</f>
        <v/>
      </c>
      <c r="E730" s="1" t="str">
        <f>IF('Extraction edi'!I740="","",'Extraction edi'!I740)</f>
        <v/>
      </c>
      <c r="F730" t="str">
        <f>IF('Extraction edi'!K740="","",'Extraction edi'!K740)</f>
        <v/>
      </c>
      <c r="G730" t="str">
        <f>IF('Extraction edi'!L740="","",'Extraction edi'!L740)</f>
        <v/>
      </c>
      <c r="H730" t="str">
        <f>IF('Extraction edi'!M733="","",'Extraction edi'!M733)</f>
        <v/>
      </c>
      <c r="I730" s="1" t="str">
        <f>IF('Extraction edi'!N740="","",'Extraction edi'!N740)</f>
        <v/>
      </c>
      <c r="J730" s="1" t="str">
        <f>IF('Extraction edi'!O740="","",'Extraction edi'!O740)</f>
        <v/>
      </c>
      <c r="K730" s="1" t="str">
        <f>IF('Extraction edi'!P740="","",'Extraction edi'!P740)</f>
        <v/>
      </c>
      <c r="L730" s="1" t="str">
        <f>IF('Extraction edi'!Q740="laquage RAL :","OUI","")</f>
        <v/>
      </c>
      <c r="M730" s="1" t="str">
        <f>IF('Extraction edi'!R740&lt;&gt;"",'Extraction edi'!R740,IF(G730="ALU blanc","S9016",""))</f>
        <v/>
      </c>
      <c r="N730" s="1" t="str">
        <f>IF('Extraction edi'!S740&lt;&gt;"",'Extraction edi'!S740,IF(G730="ALU blanc","S9016",""))</f>
        <v/>
      </c>
      <c r="O730" s="11" t="str">
        <f>IF('Extraction edi'!V740&lt;'Feuille commande'!$E$1,"DELAI NON COMPATIBLE",IF('Extraction edi'!V740="","",WORKDAY('Extraction edi'!V740,-10,Paramètrage!$G$2:$G$104)))</f>
        <v/>
      </c>
      <c r="P730" s="1" t="e">
        <f t="shared" si="11"/>
        <v>#VALUE!</v>
      </c>
    </row>
    <row r="731" spans="1:16" x14ac:dyDescent="0.25">
      <c r="A731" s="1" t="str">
        <f>IF(B731="","",CONCATENATE(B731,".",C731,"/Pos ",D731,"/",'Extraction edi'!G741))</f>
        <v/>
      </c>
      <c r="B731" s="1" t="str">
        <f>IF('Extraction edi'!A741="","",'Extraction edi'!A741)</f>
        <v/>
      </c>
      <c r="C731" s="1" t="str">
        <f>IF('Extraction edi'!B741="","",'Extraction edi'!B741)</f>
        <v/>
      </c>
      <c r="D731" s="1" t="str">
        <f>IF('Extraction edi'!H741="","",'Extraction edi'!H741)</f>
        <v/>
      </c>
      <c r="E731" s="1" t="str">
        <f>IF('Extraction edi'!I741="","",'Extraction edi'!I741)</f>
        <v/>
      </c>
      <c r="F731" t="str">
        <f>IF('Extraction edi'!K741="","",'Extraction edi'!K741)</f>
        <v/>
      </c>
      <c r="G731" t="str">
        <f>IF('Extraction edi'!L741="","",'Extraction edi'!L741)</f>
        <v/>
      </c>
      <c r="H731" t="str">
        <f>IF('Extraction edi'!M734="","",'Extraction edi'!M734)</f>
        <v/>
      </c>
      <c r="I731" s="1" t="str">
        <f>IF('Extraction edi'!N741="","",'Extraction edi'!N741)</f>
        <v/>
      </c>
      <c r="J731" s="1" t="str">
        <f>IF('Extraction edi'!O741="","",'Extraction edi'!O741)</f>
        <v/>
      </c>
      <c r="K731" s="1" t="str">
        <f>IF('Extraction edi'!P741="","",'Extraction edi'!P741)</f>
        <v/>
      </c>
      <c r="L731" s="1" t="str">
        <f>IF('Extraction edi'!Q741="laquage RAL :","OUI","")</f>
        <v/>
      </c>
      <c r="M731" s="1" t="str">
        <f>IF('Extraction edi'!R741&lt;&gt;"",'Extraction edi'!R741,IF(G731="ALU blanc","S9016",""))</f>
        <v/>
      </c>
      <c r="N731" s="1" t="str">
        <f>IF('Extraction edi'!S741&lt;&gt;"",'Extraction edi'!S741,IF(G731="ALU blanc","S9016",""))</f>
        <v/>
      </c>
      <c r="O731" s="11" t="str">
        <f>IF('Extraction edi'!V741&lt;'Feuille commande'!$E$1,"DELAI NON COMPATIBLE",IF('Extraction edi'!V741="","",WORKDAY('Extraction edi'!V741,-10,Paramètrage!$G$2:$G$104)))</f>
        <v/>
      </c>
      <c r="P731" s="1" t="e">
        <f t="shared" si="11"/>
        <v>#VALUE!</v>
      </c>
    </row>
    <row r="732" spans="1:16" x14ac:dyDescent="0.25">
      <c r="A732" s="1" t="str">
        <f>IF(B732="","",CONCATENATE(B732,".",C732,"/Pos ",D732,"/",'Extraction edi'!G742))</f>
        <v/>
      </c>
      <c r="B732" s="1" t="str">
        <f>IF('Extraction edi'!A742="","",'Extraction edi'!A742)</f>
        <v/>
      </c>
      <c r="C732" s="1" t="str">
        <f>IF('Extraction edi'!B742="","",'Extraction edi'!B742)</f>
        <v/>
      </c>
      <c r="D732" s="1" t="str">
        <f>IF('Extraction edi'!H742="","",'Extraction edi'!H742)</f>
        <v/>
      </c>
      <c r="E732" s="1" t="str">
        <f>IF('Extraction edi'!I742="","",'Extraction edi'!I742)</f>
        <v/>
      </c>
      <c r="F732" t="str">
        <f>IF('Extraction edi'!K742="","",'Extraction edi'!K742)</f>
        <v/>
      </c>
      <c r="G732" t="str">
        <f>IF('Extraction edi'!L742="","",'Extraction edi'!L742)</f>
        <v/>
      </c>
      <c r="H732" t="str">
        <f>IF('Extraction edi'!M735="","",'Extraction edi'!M735)</f>
        <v/>
      </c>
      <c r="I732" s="1" t="str">
        <f>IF('Extraction edi'!N742="","",'Extraction edi'!N742)</f>
        <v/>
      </c>
      <c r="J732" s="1" t="str">
        <f>IF('Extraction edi'!O742="","",'Extraction edi'!O742)</f>
        <v/>
      </c>
      <c r="K732" s="1" t="str">
        <f>IF('Extraction edi'!P742="","",'Extraction edi'!P742)</f>
        <v/>
      </c>
      <c r="L732" s="1" t="str">
        <f>IF('Extraction edi'!Q742="laquage RAL :","OUI","")</f>
        <v/>
      </c>
      <c r="M732" s="1" t="str">
        <f>IF('Extraction edi'!R742&lt;&gt;"",'Extraction edi'!R742,IF(G732="ALU blanc","S9016",""))</f>
        <v/>
      </c>
      <c r="N732" s="1" t="str">
        <f>IF('Extraction edi'!S742&lt;&gt;"",'Extraction edi'!S742,IF(G732="ALU blanc","S9016",""))</f>
        <v/>
      </c>
      <c r="O732" s="11" t="str">
        <f>IF('Extraction edi'!V742&lt;'Feuille commande'!$E$1,"DELAI NON COMPATIBLE",IF('Extraction edi'!V742="","",WORKDAY('Extraction edi'!V742,-10,Paramètrage!$G$2:$G$104)))</f>
        <v/>
      </c>
      <c r="P732" s="1" t="e">
        <f t="shared" si="11"/>
        <v>#VALUE!</v>
      </c>
    </row>
    <row r="733" spans="1:16" x14ac:dyDescent="0.25">
      <c r="A733" s="1" t="str">
        <f>IF(B733="","",CONCATENATE(B733,".",C733,"/Pos ",D733,"/",'Extraction edi'!G743))</f>
        <v/>
      </c>
      <c r="B733" s="1" t="str">
        <f>IF('Extraction edi'!A743="","",'Extraction edi'!A743)</f>
        <v/>
      </c>
      <c r="C733" s="1" t="str">
        <f>IF('Extraction edi'!B743="","",'Extraction edi'!B743)</f>
        <v/>
      </c>
      <c r="D733" s="1" t="str">
        <f>IF('Extraction edi'!H743="","",'Extraction edi'!H743)</f>
        <v/>
      </c>
      <c r="E733" s="1" t="str">
        <f>IF('Extraction edi'!I743="","",'Extraction edi'!I743)</f>
        <v/>
      </c>
      <c r="F733" t="str">
        <f>IF('Extraction edi'!K743="","",'Extraction edi'!K743)</f>
        <v/>
      </c>
      <c r="G733" t="str">
        <f>IF('Extraction edi'!L743="","",'Extraction edi'!L743)</f>
        <v/>
      </c>
      <c r="H733" t="str">
        <f>IF('Extraction edi'!M736="","",'Extraction edi'!M736)</f>
        <v/>
      </c>
      <c r="I733" s="1" t="str">
        <f>IF('Extraction edi'!N743="","",'Extraction edi'!N743)</f>
        <v/>
      </c>
      <c r="J733" s="1" t="str">
        <f>IF('Extraction edi'!O743="","",'Extraction edi'!O743)</f>
        <v/>
      </c>
      <c r="K733" s="1" t="str">
        <f>IF('Extraction edi'!P743="","",'Extraction edi'!P743)</f>
        <v/>
      </c>
      <c r="L733" s="1" t="str">
        <f>IF('Extraction edi'!Q743="laquage RAL :","OUI","")</f>
        <v/>
      </c>
      <c r="M733" s="1" t="str">
        <f>IF('Extraction edi'!R743&lt;&gt;"",'Extraction edi'!R743,IF(G733="ALU blanc","S9016",""))</f>
        <v/>
      </c>
      <c r="N733" s="1" t="str">
        <f>IF('Extraction edi'!S743&lt;&gt;"",'Extraction edi'!S743,IF(G733="ALU blanc","S9016",""))</f>
        <v/>
      </c>
      <c r="O733" s="11" t="str">
        <f>IF('Extraction edi'!V743&lt;'Feuille commande'!$E$1,"DELAI NON COMPATIBLE",IF('Extraction edi'!V743="","",WORKDAY('Extraction edi'!V743,-10,Paramètrage!$G$2:$G$104)))</f>
        <v/>
      </c>
      <c r="P733" s="1" t="e">
        <f t="shared" si="11"/>
        <v>#VALUE!</v>
      </c>
    </row>
    <row r="734" spans="1:16" x14ac:dyDescent="0.25">
      <c r="A734" s="1" t="str">
        <f>IF(B734="","",CONCATENATE(B734,".",C734,"/Pos ",D734,"/",'Extraction edi'!G744))</f>
        <v/>
      </c>
      <c r="B734" s="1" t="str">
        <f>IF('Extraction edi'!A744="","",'Extraction edi'!A744)</f>
        <v/>
      </c>
      <c r="C734" s="1" t="str">
        <f>IF('Extraction edi'!B744="","",'Extraction edi'!B744)</f>
        <v/>
      </c>
      <c r="D734" s="1" t="str">
        <f>IF('Extraction edi'!H744="","",'Extraction edi'!H744)</f>
        <v/>
      </c>
      <c r="E734" s="1" t="str">
        <f>IF('Extraction edi'!I744="","",'Extraction edi'!I744)</f>
        <v/>
      </c>
      <c r="F734" t="str">
        <f>IF('Extraction edi'!K744="","",'Extraction edi'!K744)</f>
        <v/>
      </c>
      <c r="G734" t="str">
        <f>IF('Extraction edi'!L744="","",'Extraction edi'!L744)</f>
        <v/>
      </c>
      <c r="H734" t="str">
        <f>IF('Extraction edi'!M737="","",'Extraction edi'!M737)</f>
        <v/>
      </c>
      <c r="I734" s="1" t="str">
        <f>IF('Extraction edi'!N744="","",'Extraction edi'!N744)</f>
        <v/>
      </c>
      <c r="J734" s="1" t="str">
        <f>IF('Extraction edi'!O744="","",'Extraction edi'!O744)</f>
        <v/>
      </c>
      <c r="K734" s="1" t="str">
        <f>IF('Extraction edi'!P744="","",'Extraction edi'!P744)</f>
        <v/>
      </c>
      <c r="L734" s="1" t="str">
        <f>IF('Extraction edi'!Q744="laquage RAL :","OUI","")</f>
        <v/>
      </c>
      <c r="M734" s="1" t="str">
        <f>IF('Extraction edi'!R744&lt;&gt;"",'Extraction edi'!R744,IF(G734="ALU blanc","S9016",""))</f>
        <v/>
      </c>
      <c r="N734" s="1" t="str">
        <f>IF('Extraction edi'!S744&lt;&gt;"",'Extraction edi'!S744,IF(G734="ALU blanc","S9016",""))</f>
        <v/>
      </c>
      <c r="O734" s="11" t="str">
        <f>IF('Extraction edi'!V744&lt;'Feuille commande'!$E$1,"DELAI NON COMPATIBLE",IF('Extraction edi'!V744="","",WORKDAY('Extraction edi'!V744,-10,Paramètrage!$G$2:$G$104)))</f>
        <v/>
      </c>
      <c r="P734" s="1" t="e">
        <f t="shared" si="11"/>
        <v>#VALUE!</v>
      </c>
    </row>
    <row r="735" spans="1:16" x14ac:dyDescent="0.25">
      <c r="A735" s="1" t="str">
        <f>IF(B735="","",CONCATENATE(B735,".",C735,"/Pos ",D735,"/",'Extraction edi'!G745))</f>
        <v/>
      </c>
      <c r="B735" s="1" t="str">
        <f>IF('Extraction edi'!A745="","",'Extraction edi'!A745)</f>
        <v/>
      </c>
      <c r="C735" s="1" t="str">
        <f>IF('Extraction edi'!B745="","",'Extraction edi'!B745)</f>
        <v/>
      </c>
      <c r="D735" s="1" t="str">
        <f>IF('Extraction edi'!H745="","",'Extraction edi'!H745)</f>
        <v/>
      </c>
      <c r="E735" s="1" t="str">
        <f>IF('Extraction edi'!I745="","",'Extraction edi'!I745)</f>
        <v/>
      </c>
      <c r="F735" t="str">
        <f>IF('Extraction edi'!K745="","",'Extraction edi'!K745)</f>
        <v/>
      </c>
      <c r="G735" t="str">
        <f>IF('Extraction edi'!L745="","",'Extraction edi'!L745)</f>
        <v/>
      </c>
      <c r="H735" t="str">
        <f>IF('Extraction edi'!M738="","",'Extraction edi'!M738)</f>
        <v/>
      </c>
      <c r="I735" s="1" t="str">
        <f>IF('Extraction edi'!N745="","",'Extraction edi'!N745)</f>
        <v/>
      </c>
      <c r="J735" s="1" t="str">
        <f>IF('Extraction edi'!O745="","",'Extraction edi'!O745)</f>
        <v/>
      </c>
      <c r="K735" s="1" t="str">
        <f>IF('Extraction edi'!P745="","",'Extraction edi'!P745)</f>
        <v/>
      </c>
      <c r="L735" s="1" t="str">
        <f>IF('Extraction edi'!Q745="laquage RAL :","OUI","")</f>
        <v/>
      </c>
      <c r="M735" s="1" t="str">
        <f>IF('Extraction edi'!R745&lt;&gt;"",'Extraction edi'!R745,IF(G735="ALU blanc","S9016",""))</f>
        <v/>
      </c>
      <c r="N735" s="1" t="str">
        <f>IF('Extraction edi'!S745&lt;&gt;"",'Extraction edi'!S745,IF(G735="ALU blanc","S9016",""))</f>
        <v/>
      </c>
      <c r="O735" s="11" t="str">
        <f>IF('Extraction edi'!V745&lt;'Feuille commande'!$E$1,"DELAI NON COMPATIBLE",IF('Extraction edi'!V745="","",WORKDAY('Extraction edi'!V745,-10,Paramètrage!$G$2:$G$104)))</f>
        <v/>
      </c>
      <c r="P735" s="1" t="e">
        <f t="shared" si="11"/>
        <v>#VALUE!</v>
      </c>
    </row>
    <row r="736" spans="1:16" x14ac:dyDescent="0.25">
      <c r="A736" s="1" t="str">
        <f>IF(B736="","",CONCATENATE(B736,".",C736,"/Pos ",D736,"/",'Extraction edi'!G746))</f>
        <v/>
      </c>
      <c r="B736" s="1" t="str">
        <f>IF('Extraction edi'!A746="","",'Extraction edi'!A746)</f>
        <v/>
      </c>
      <c r="C736" s="1" t="str">
        <f>IF('Extraction edi'!B746="","",'Extraction edi'!B746)</f>
        <v/>
      </c>
      <c r="D736" s="1" t="str">
        <f>IF('Extraction edi'!H746="","",'Extraction edi'!H746)</f>
        <v/>
      </c>
      <c r="E736" s="1" t="str">
        <f>IF('Extraction edi'!I746="","",'Extraction edi'!I746)</f>
        <v/>
      </c>
      <c r="F736" t="str">
        <f>IF('Extraction edi'!K746="","",'Extraction edi'!K746)</f>
        <v/>
      </c>
      <c r="G736" t="str">
        <f>IF('Extraction edi'!L746="","",'Extraction edi'!L746)</f>
        <v/>
      </c>
      <c r="H736" t="str">
        <f>IF('Extraction edi'!M739="","",'Extraction edi'!M739)</f>
        <v/>
      </c>
      <c r="I736" s="1" t="str">
        <f>IF('Extraction edi'!N746="","",'Extraction edi'!N746)</f>
        <v/>
      </c>
      <c r="J736" s="1" t="str">
        <f>IF('Extraction edi'!O746="","",'Extraction edi'!O746)</f>
        <v/>
      </c>
      <c r="K736" s="1" t="str">
        <f>IF('Extraction edi'!P746="","",'Extraction edi'!P746)</f>
        <v/>
      </c>
      <c r="L736" s="1" t="str">
        <f>IF('Extraction edi'!Q746="laquage RAL :","OUI","")</f>
        <v/>
      </c>
      <c r="M736" s="1" t="str">
        <f>IF('Extraction edi'!R746&lt;&gt;"",'Extraction edi'!R746,IF(G736="ALU blanc","S9016",""))</f>
        <v/>
      </c>
      <c r="N736" s="1" t="str">
        <f>IF('Extraction edi'!S746&lt;&gt;"",'Extraction edi'!S746,IF(G736="ALU blanc","S9016",""))</f>
        <v/>
      </c>
      <c r="O736" s="11" t="str">
        <f>IF('Extraction edi'!V746&lt;'Feuille commande'!$E$1,"DELAI NON COMPATIBLE",IF('Extraction edi'!V746="","",WORKDAY('Extraction edi'!V746,-10,Paramètrage!$G$2:$G$104)))</f>
        <v/>
      </c>
      <c r="P736" s="1" t="e">
        <f t="shared" si="11"/>
        <v>#VALUE!</v>
      </c>
    </row>
    <row r="737" spans="1:16" x14ac:dyDescent="0.25">
      <c r="A737" s="1" t="str">
        <f>IF(B737="","",CONCATENATE(B737,".",C737,"/Pos ",D737,"/",'Extraction edi'!G747))</f>
        <v/>
      </c>
      <c r="B737" s="1" t="str">
        <f>IF('Extraction edi'!A747="","",'Extraction edi'!A747)</f>
        <v/>
      </c>
      <c r="C737" s="1" t="str">
        <f>IF('Extraction edi'!B747="","",'Extraction edi'!B747)</f>
        <v/>
      </c>
      <c r="D737" s="1" t="str">
        <f>IF('Extraction edi'!H747="","",'Extraction edi'!H747)</f>
        <v/>
      </c>
      <c r="E737" s="1" t="str">
        <f>IF('Extraction edi'!I747="","",'Extraction edi'!I747)</f>
        <v/>
      </c>
      <c r="F737" t="str">
        <f>IF('Extraction edi'!K747="","",'Extraction edi'!K747)</f>
        <v/>
      </c>
      <c r="G737" t="str">
        <f>IF('Extraction edi'!L747="","",'Extraction edi'!L747)</f>
        <v/>
      </c>
      <c r="H737" t="str">
        <f>IF('Extraction edi'!M740="","",'Extraction edi'!M740)</f>
        <v/>
      </c>
      <c r="I737" s="1" t="str">
        <f>IF('Extraction edi'!N747="","",'Extraction edi'!N747)</f>
        <v/>
      </c>
      <c r="J737" s="1" t="str">
        <f>IF('Extraction edi'!O747="","",'Extraction edi'!O747)</f>
        <v/>
      </c>
      <c r="K737" s="1" t="str">
        <f>IF('Extraction edi'!P747="","",'Extraction edi'!P747)</f>
        <v/>
      </c>
      <c r="L737" s="1" t="str">
        <f>IF('Extraction edi'!Q747="laquage RAL :","OUI","")</f>
        <v/>
      </c>
      <c r="M737" s="1" t="str">
        <f>IF('Extraction edi'!R747&lt;&gt;"",'Extraction edi'!R747,IF(G737="ALU blanc","S9016",""))</f>
        <v/>
      </c>
      <c r="N737" s="1" t="str">
        <f>IF('Extraction edi'!S747&lt;&gt;"",'Extraction edi'!S747,IF(G737="ALU blanc","S9016",""))</f>
        <v/>
      </c>
      <c r="O737" s="11" t="str">
        <f>IF('Extraction edi'!V747&lt;'Feuille commande'!$E$1,"DELAI NON COMPATIBLE",IF('Extraction edi'!V747="","",WORKDAY('Extraction edi'!V747,-10,Paramètrage!$G$2:$G$104)))</f>
        <v/>
      </c>
      <c r="P737" s="1" t="e">
        <f t="shared" si="11"/>
        <v>#VALUE!</v>
      </c>
    </row>
    <row r="738" spans="1:16" x14ac:dyDescent="0.25">
      <c r="A738" s="1" t="str">
        <f>IF(B738="","",CONCATENATE(B738,".",C738,"/Pos ",D738,"/",'Extraction edi'!G748))</f>
        <v/>
      </c>
      <c r="B738" s="1" t="str">
        <f>IF('Extraction edi'!A748="","",'Extraction edi'!A748)</f>
        <v/>
      </c>
      <c r="C738" s="1" t="str">
        <f>IF('Extraction edi'!B748="","",'Extraction edi'!B748)</f>
        <v/>
      </c>
      <c r="D738" s="1" t="str">
        <f>IF('Extraction edi'!H748="","",'Extraction edi'!H748)</f>
        <v/>
      </c>
      <c r="E738" s="1" t="str">
        <f>IF('Extraction edi'!I748="","",'Extraction edi'!I748)</f>
        <v/>
      </c>
      <c r="F738" t="str">
        <f>IF('Extraction edi'!K748="","",'Extraction edi'!K748)</f>
        <v/>
      </c>
      <c r="G738" t="str">
        <f>IF('Extraction edi'!L748="","",'Extraction edi'!L748)</f>
        <v/>
      </c>
      <c r="H738" t="str">
        <f>IF('Extraction edi'!M741="","",'Extraction edi'!M741)</f>
        <v/>
      </c>
      <c r="I738" s="1" t="str">
        <f>IF('Extraction edi'!N748="","",'Extraction edi'!N748)</f>
        <v/>
      </c>
      <c r="J738" s="1" t="str">
        <f>IF('Extraction edi'!O748="","",'Extraction edi'!O748)</f>
        <v/>
      </c>
      <c r="K738" s="1" t="str">
        <f>IF('Extraction edi'!P748="","",'Extraction edi'!P748)</f>
        <v/>
      </c>
      <c r="L738" s="1" t="str">
        <f>IF('Extraction edi'!Q748="laquage RAL :","OUI","")</f>
        <v/>
      </c>
      <c r="M738" s="1" t="str">
        <f>IF('Extraction edi'!R748&lt;&gt;"",'Extraction edi'!R748,IF(G738="ALU blanc","S9016",""))</f>
        <v/>
      </c>
      <c r="N738" s="1" t="str">
        <f>IF('Extraction edi'!S748&lt;&gt;"",'Extraction edi'!S748,IF(G738="ALU blanc","S9016",""))</f>
        <v/>
      </c>
      <c r="O738" s="11" t="str">
        <f>IF('Extraction edi'!V748&lt;'Feuille commande'!$E$1,"DELAI NON COMPATIBLE",IF('Extraction edi'!V748="","",WORKDAY('Extraction edi'!V748,-10,Paramètrage!$G$2:$G$104)))</f>
        <v/>
      </c>
      <c r="P738" s="1" t="e">
        <f t="shared" si="11"/>
        <v>#VALUE!</v>
      </c>
    </row>
    <row r="739" spans="1:16" x14ac:dyDescent="0.25">
      <c r="A739" s="1" t="str">
        <f>IF(B739="","",CONCATENATE(B739,".",C739,"/Pos ",D739,"/",'Extraction edi'!G749))</f>
        <v/>
      </c>
      <c r="B739" s="1" t="str">
        <f>IF('Extraction edi'!A749="","",'Extraction edi'!A749)</f>
        <v/>
      </c>
      <c r="C739" s="1" t="str">
        <f>IF('Extraction edi'!B749="","",'Extraction edi'!B749)</f>
        <v/>
      </c>
      <c r="D739" s="1" t="str">
        <f>IF('Extraction edi'!H749="","",'Extraction edi'!H749)</f>
        <v/>
      </c>
      <c r="E739" s="1" t="str">
        <f>IF('Extraction edi'!I749="","",'Extraction edi'!I749)</f>
        <v/>
      </c>
      <c r="F739" t="str">
        <f>IF('Extraction edi'!K749="","",'Extraction edi'!K749)</f>
        <v/>
      </c>
      <c r="G739" t="str">
        <f>IF('Extraction edi'!L749="","",'Extraction edi'!L749)</f>
        <v/>
      </c>
      <c r="H739" t="str">
        <f>IF('Extraction edi'!M742="","",'Extraction edi'!M742)</f>
        <v/>
      </c>
      <c r="I739" s="1" t="str">
        <f>IF('Extraction edi'!N749="","",'Extraction edi'!N749)</f>
        <v/>
      </c>
      <c r="J739" s="1" t="str">
        <f>IF('Extraction edi'!O749="","",'Extraction edi'!O749)</f>
        <v/>
      </c>
      <c r="K739" s="1" t="str">
        <f>IF('Extraction edi'!P749="","",'Extraction edi'!P749)</f>
        <v/>
      </c>
      <c r="L739" s="1" t="str">
        <f>IF('Extraction edi'!Q749="laquage RAL :","OUI","")</f>
        <v/>
      </c>
      <c r="M739" s="1" t="str">
        <f>IF('Extraction edi'!R749&lt;&gt;"",'Extraction edi'!R749,IF(G739="ALU blanc","S9016",""))</f>
        <v/>
      </c>
      <c r="N739" s="1" t="str">
        <f>IF('Extraction edi'!S749&lt;&gt;"",'Extraction edi'!S749,IF(G739="ALU blanc","S9016",""))</f>
        <v/>
      </c>
      <c r="O739" s="11" t="str">
        <f>IF('Extraction edi'!V749&lt;'Feuille commande'!$E$1,"DELAI NON COMPATIBLE",IF('Extraction edi'!V749="","",WORKDAY('Extraction edi'!V749,-10,Paramètrage!$G$2:$G$104)))</f>
        <v/>
      </c>
      <c r="P739" s="1" t="e">
        <f t="shared" si="11"/>
        <v>#VALUE!</v>
      </c>
    </row>
    <row r="740" spans="1:16" x14ac:dyDescent="0.25">
      <c r="A740" s="1" t="str">
        <f>IF(B740="","",CONCATENATE(B740,".",C740,"/Pos ",D740,"/",'Extraction edi'!G750))</f>
        <v/>
      </c>
      <c r="B740" s="1" t="str">
        <f>IF('Extraction edi'!A750="","",'Extraction edi'!A750)</f>
        <v/>
      </c>
      <c r="C740" s="1" t="str">
        <f>IF('Extraction edi'!B750="","",'Extraction edi'!B750)</f>
        <v/>
      </c>
      <c r="D740" s="1" t="str">
        <f>IF('Extraction edi'!H750="","",'Extraction edi'!H750)</f>
        <v/>
      </c>
      <c r="E740" s="1" t="str">
        <f>IF('Extraction edi'!I750="","",'Extraction edi'!I750)</f>
        <v/>
      </c>
      <c r="F740" t="str">
        <f>IF('Extraction edi'!K750="","",'Extraction edi'!K750)</f>
        <v/>
      </c>
      <c r="G740" t="str">
        <f>IF('Extraction edi'!L750="","",'Extraction edi'!L750)</f>
        <v/>
      </c>
      <c r="H740" t="str">
        <f>IF('Extraction edi'!M743="","",'Extraction edi'!M743)</f>
        <v/>
      </c>
      <c r="I740" s="1" t="str">
        <f>IF('Extraction edi'!N750="","",'Extraction edi'!N750)</f>
        <v/>
      </c>
      <c r="J740" s="1" t="str">
        <f>IF('Extraction edi'!O750="","",'Extraction edi'!O750)</f>
        <v/>
      </c>
      <c r="K740" s="1" t="str">
        <f>IF('Extraction edi'!P750="","",'Extraction edi'!P750)</f>
        <v/>
      </c>
      <c r="L740" s="1" t="str">
        <f>IF('Extraction edi'!Q750="laquage RAL :","OUI","")</f>
        <v/>
      </c>
      <c r="M740" s="1" t="str">
        <f>IF('Extraction edi'!R750&lt;&gt;"",'Extraction edi'!R750,IF(G740="ALU blanc","S9016",""))</f>
        <v/>
      </c>
      <c r="N740" s="1" t="str">
        <f>IF('Extraction edi'!S750&lt;&gt;"",'Extraction edi'!S750,IF(G740="ALU blanc","S9016",""))</f>
        <v/>
      </c>
      <c r="O740" s="11" t="str">
        <f>IF('Extraction edi'!V750&lt;'Feuille commande'!$E$1,"DELAI NON COMPATIBLE",IF('Extraction edi'!V750="","",WORKDAY('Extraction edi'!V750,-10,Paramètrage!$G$2:$G$104)))</f>
        <v/>
      </c>
      <c r="P740" s="1" t="e">
        <f t="shared" si="11"/>
        <v>#VALUE!</v>
      </c>
    </row>
    <row r="741" spans="1:16" x14ac:dyDescent="0.25">
      <c r="A741" s="1" t="str">
        <f>IF(B741="","",CONCATENATE(B741,".",C741,"/Pos ",D741,"/",'Extraction edi'!G751))</f>
        <v/>
      </c>
      <c r="B741" s="1" t="str">
        <f>IF('Extraction edi'!A751="","",'Extraction edi'!A751)</f>
        <v/>
      </c>
      <c r="C741" s="1" t="str">
        <f>IF('Extraction edi'!B751="","",'Extraction edi'!B751)</f>
        <v/>
      </c>
      <c r="D741" s="1" t="str">
        <f>IF('Extraction edi'!H751="","",'Extraction edi'!H751)</f>
        <v/>
      </c>
      <c r="E741" s="1" t="str">
        <f>IF('Extraction edi'!I751="","",'Extraction edi'!I751)</f>
        <v/>
      </c>
      <c r="F741" t="str">
        <f>IF('Extraction edi'!K751="","",'Extraction edi'!K751)</f>
        <v/>
      </c>
      <c r="G741" t="str">
        <f>IF('Extraction edi'!L751="","",'Extraction edi'!L751)</f>
        <v/>
      </c>
      <c r="H741" t="str">
        <f>IF('Extraction edi'!M744="","",'Extraction edi'!M744)</f>
        <v/>
      </c>
      <c r="I741" s="1" t="str">
        <f>IF('Extraction edi'!N751="","",'Extraction edi'!N751)</f>
        <v/>
      </c>
      <c r="J741" s="1" t="str">
        <f>IF('Extraction edi'!O751="","",'Extraction edi'!O751)</f>
        <v/>
      </c>
      <c r="K741" s="1" t="str">
        <f>IF('Extraction edi'!P751="","",'Extraction edi'!P751)</f>
        <v/>
      </c>
      <c r="L741" s="1" t="str">
        <f>IF('Extraction edi'!Q751="laquage RAL :","OUI","")</f>
        <v/>
      </c>
      <c r="M741" s="1" t="str">
        <f>IF('Extraction edi'!R751&lt;&gt;"",'Extraction edi'!R751,IF(G741="ALU blanc","S9016",""))</f>
        <v/>
      </c>
      <c r="N741" s="1" t="str">
        <f>IF('Extraction edi'!S751&lt;&gt;"",'Extraction edi'!S751,IF(G741="ALU blanc","S9016",""))</f>
        <v/>
      </c>
      <c r="O741" s="11" t="str">
        <f>IF('Extraction edi'!V751&lt;'Feuille commande'!$E$1,"DELAI NON COMPATIBLE",IF('Extraction edi'!V751="","",WORKDAY('Extraction edi'!V751,-10,Paramètrage!$G$2:$G$104)))</f>
        <v/>
      </c>
      <c r="P741" s="1" t="e">
        <f t="shared" si="11"/>
        <v>#VALUE!</v>
      </c>
    </row>
    <row r="742" spans="1:16" x14ac:dyDescent="0.25">
      <c r="A742" s="1" t="str">
        <f>IF(B742="","",CONCATENATE(B742,".",C742,"/Pos ",D742,"/",'Extraction edi'!G752))</f>
        <v/>
      </c>
      <c r="B742" s="1" t="str">
        <f>IF('Extraction edi'!A752="","",'Extraction edi'!A752)</f>
        <v/>
      </c>
      <c r="C742" s="1" t="str">
        <f>IF('Extraction edi'!B752="","",'Extraction edi'!B752)</f>
        <v/>
      </c>
      <c r="D742" s="1" t="str">
        <f>IF('Extraction edi'!H752="","",'Extraction edi'!H752)</f>
        <v/>
      </c>
      <c r="E742" s="1" t="str">
        <f>IF('Extraction edi'!I752="","",'Extraction edi'!I752)</f>
        <v/>
      </c>
      <c r="F742" t="str">
        <f>IF('Extraction edi'!K752="","",'Extraction edi'!K752)</f>
        <v/>
      </c>
      <c r="G742" t="str">
        <f>IF('Extraction edi'!L752="","",'Extraction edi'!L752)</f>
        <v/>
      </c>
      <c r="H742" t="str">
        <f>IF('Extraction edi'!M745="","",'Extraction edi'!M745)</f>
        <v/>
      </c>
      <c r="I742" s="1" t="str">
        <f>IF('Extraction edi'!N752="","",'Extraction edi'!N752)</f>
        <v/>
      </c>
      <c r="J742" s="1" t="str">
        <f>IF('Extraction edi'!O752="","",'Extraction edi'!O752)</f>
        <v/>
      </c>
      <c r="K742" s="1" t="str">
        <f>IF('Extraction edi'!P752="","",'Extraction edi'!P752)</f>
        <v/>
      </c>
      <c r="L742" s="1" t="str">
        <f>IF('Extraction edi'!Q752="laquage RAL :","OUI","")</f>
        <v/>
      </c>
      <c r="M742" s="1" t="str">
        <f>IF('Extraction edi'!R752&lt;&gt;"",'Extraction edi'!R752,IF(G742="ALU blanc","S9016",""))</f>
        <v/>
      </c>
      <c r="N742" s="1" t="str">
        <f>IF('Extraction edi'!S752&lt;&gt;"",'Extraction edi'!S752,IF(G742="ALU blanc","S9016",""))</f>
        <v/>
      </c>
      <c r="O742" s="11" t="str">
        <f>IF('Extraction edi'!V752&lt;'Feuille commande'!$E$1,"DELAI NON COMPATIBLE",IF('Extraction edi'!V752="","",WORKDAY('Extraction edi'!V752,-10,Paramètrage!$G$2:$G$104)))</f>
        <v/>
      </c>
      <c r="P742" s="1" t="e">
        <f t="shared" si="11"/>
        <v>#VALUE!</v>
      </c>
    </row>
    <row r="743" spans="1:16" x14ac:dyDescent="0.25">
      <c r="A743" s="1" t="str">
        <f>IF(B743="","",CONCATENATE(B743,".",C743,"/Pos ",D743,"/",'Extraction edi'!G753))</f>
        <v/>
      </c>
      <c r="B743" s="1" t="str">
        <f>IF('Extraction edi'!A753="","",'Extraction edi'!A753)</f>
        <v/>
      </c>
      <c r="C743" s="1" t="str">
        <f>IF('Extraction edi'!B753="","",'Extraction edi'!B753)</f>
        <v/>
      </c>
      <c r="D743" s="1" t="str">
        <f>IF('Extraction edi'!H753="","",'Extraction edi'!H753)</f>
        <v/>
      </c>
      <c r="E743" s="1" t="str">
        <f>IF('Extraction edi'!I753="","",'Extraction edi'!I753)</f>
        <v/>
      </c>
      <c r="F743" t="str">
        <f>IF('Extraction edi'!K753="","",'Extraction edi'!K753)</f>
        <v/>
      </c>
      <c r="G743" t="str">
        <f>IF('Extraction edi'!L753="","",'Extraction edi'!L753)</f>
        <v/>
      </c>
      <c r="H743" t="str">
        <f>IF('Extraction edi'!M746="","",'Extraction edi'!M746)</f>
        <v/>
      </c>
      <c r="I743" s="1" t="str">
        <f>IF('Extraction edi'!N753="","",'Extraction edi'!N753)</f>
        <v/>
      </c>
      <c r="J743" s="1" t="str">
        <f>IF('Extraction edi'!O753="","",'Extraction edi'!O753)</f>
        <v/>
      </c>
      <c r="K743" s="1" t="str">
        <f>IF('Extraction edi'!P753="","",'Extraction edi'!P753)</f>
        <v/>
      </c>
      <c r="L743" s="1" t="str">
        <f>IF('Extraction edi'!Q753="laquage RAL :","OUI","")</f>
        <v/>
      </c>
      <c r="M743" s="1" t="str">
        <f>IF('Extraction edi'!R753&lt;&gt;"",'Extraction edi'!R753,IF(G743="ALU blanc","S9016",""))</f>
        <v/>
      </c>
      <c r="N743" s="1" t="str">
        <f>IF('Extraction edi'!S753&lt;&gt;"",'Extraction edi'!S753,IF(G743="ALU blanc","S9016",""))</f>
        <v/>
      </c>
      <c r="O743" s="11" t="str">
        <f>IF('Extraction edi'!V753&lt;'Feuille commande'!$E$1,"DELAI NON COMPATIBLE",IF('Extraction edi'!V753="","",WORKDAY('Extraction edi'!V753,-10,Paramètrage!$G$2:$G$104)))</f>
        <v/>
      </c>
      <c r="P743" s="1" t="e">
        <f t="shared" si="11"/>
        <v>#VALUE!</v>
      </c>
    </row>
    <row r="744" spans="1:16" x14ac:dyDescent="0.25">
      <c r="A744" s="1" t="str">
        <f>IF(B744="","",CONCATENATE(B744,".",C744,"/Pos ",D744,"/",'Extraction edi'!G754))</f>
        <v/>
      </c>
      <c r="B744" s="1" t="str">
        <f>IF('Extraction edi'!A754="","",'Extraction edi'!A754)</f>
        <v/>
      </c>
      <c r="C744" s="1" t="str">
        <f>IF('Extraction edi'!B754="","",'Extraction edi'!B754)</f>
        <v/>
      </c>
      <c r="D744" s="1" t="str">
        <f>IF('Extraction edi'!H754="","",'Extraction edi'!H754)</f>
        <v/>
      </c>
      <c r="E744" s="1" t="str">
        <f>IF('Extraction edi'!I754="","",'Extraction edi'!I754)</f>
        <v/>
      </c>
      <c r="F744" t="str">
        <f>IF('Extraction edi'!K754="","",'Extraction edi'!K754)</f>
        <v/>
      </c>
      <c r="G744" t="str">
        <f>IF('Extraction edi'!L754="","",'Extraction edi'!L754)</f>
        <v/>
      </c>
      <c r="H744" t="str">
        <f>IF('Extraction edi'!M747="","",'Extraction edi'!M747)</f>
        <v/>
      </c>
      <c r="I744" s="1" t="str">
        <f>IF('Extraction edi'!N754="","",'Extraction edi'!N754)</f>
        <v/>
      </c>
      <c r="J744" s="1" t="str">
        <f>IF('Extraction edi'!O754="","",'Extraction edi'!O754)</f>
        <v/>
      </c>
      <c r="K744" s="1" t="str">
        <f>IF('Extraction edi'!P754="","",'Extraction edi'!P754)</f>
        <v/>
      </c>
      <c r="L744" s="1" t="str">
        <f>IF('Extraction edi'!Q754="laquage RAL :","OUI","")</f>
        <v/>
      </c>
      <c r="M744" s="1" t="str">
        <f>IF('Extraction edi'!R754&lt;&gt;"",'Extraction edi'!R754,IF(G744="ALU blanc","S9016",""))</f>
        <v/>
      </c>
      <c r="N744" s="1" t="str">
        <f>IF('Extraction edi'!S754&lt;&gt;"",'Extraction edi'!S754,IF(G744="ALU blanc","S9016",""))</f>
        <v/>
      </c>
      <c r="O744" s="11" t="str">
        <f>IF('Extraction edi'!V754&lt;'Feuille commande'!$E$1,"DELAI NON COMPATIBLE",IF('Extraction edi'!V754="","",WORKDAY('Extraction edi'!V754,-10,Paramètrage!$G$2:$G$104)))</f>
        <v/>
      </c>
      <c r="P744" s="1" t="e">
        <f t="shared" si="11"/>
        <v>#VALUE!</v>
      </c>
    </row>
    <row r="745" spans="1:16" x14ac:dyDescent="0.25">
      <c r="A745" s="1" t="str">
        <f>IF(B745="","",CONCATENATE(B745,".",C745,"/Pos ",D745,"/",'Extraction edi'!G755))</f>
        <v/>
      </c>
      <c r="B745" s="1" t="str">
        <f>IF('Extraction edi'!A755="","",'Extraction edi'!A755)</f>
        <v/>
      </c>
      <c r="C745" s="1" t="str">
        <f>IF('Extraction edi'!B755="","",'Extraction edi'!B755)</f>
        <v/>
      </c>
      <c r="D745" s="1" t="str">
        <f>IF('Extraction edi'!H755="","",'Extraction edi'!H755)</f>
        <v/>
      </c>
      <c r="E745" s="1" t="str">
        <f>IF('Extraction edi'!I755="","",'Extraction edi'!I755)</f>
        <v/>
      </c>
      <c r="F745" t="str">
        <f>IF('Extraction edi'!K755="","",'Extraction edi'!K755)</f>
        <v/>
      </c>
      <c r="G745" t="str">
        <f>IF('Extraction edi'!L755="","",'Extraction edi'!L755)</f>
        <v/>
      </c>
      <c r="H745" t="str">
        <f>IF('Extraction edi'!M748="","",'Extraction edi'!M748)</f>
        <v/>
      </c>
      <c r="I745" s="1" t="str">
        <f>IF('Extraction edi'!N755="","",'Extraction edi'!N755)</f>
        <v/>
      </c>
      <c r="J745" s="1" t="str">
        <f>IF('Extraction edi'!O755="","",'Extraction edi'!O755)</f>
        <v/>
      </c>
      <c r="K745" s="1" t="str">
        <f>IF('Extraction edi'!P755="","",'Extraction edi'!P755)</f>
        <v/>
      </c>
      <c r="L745" s="1" t="str">
        <f>IF('Extraction edi'!Q755="laquage RAL :","OUI","")</f>
        <v/>
      </c>
      <c r="M745" s="1" t="str">
        <f>IF('Extraction edi'!R755&lt;&gt;"",'Extraction edi'!R755,IF(G745="ALU blanc","S9016",""))</f>
        <v/>
      </c>
      <c r="N745" s="1" t="str">
        <f>IF('Extraction edi'!S755&lt;&gt;"",'Extraction edi'!S755,IF(G745="ALU blanc","S9016",""))</f>
        <v/>
      </c>
      <c r="O745" s="11" t="str">
        <f>IF('Extraction edi'!V755&lt;'Feuille commande'!$E$1,"DELAI NON COMPATIBLE",IF('Extraction edi'!V755="","",WORKDAY('Extraction edi'!V755,-10,Paramètrage!$G$2:$G$104)))</f>
        <v/>
      </c>
      <c r="P745" s="1" t="e">
        <f t="shared" si="11"/>
        <v>#VALUE!</v>
      </c>
    </row>
    <row r="746" spans="1:16" x14ac:dyDescent="0.25">
      <c r="A746" s="1" t="str">
        <f>IF(B746="","",CONCATENATE(B746,".",C746,"/Pos ",D746,"/",'Extraction edi'!G756))</f>
        <v/>
      </c>
      <c r="B746" s="1" t="str">
        <f>IF('Extraction edi'!A756="","",'Extraction edi'!A756)</f>
        <v/>
      </c>
      <c r="C746" s="1" t="str">
        <f>IF('Extraction edi'!B756="","",'Extraction edi'!B756)</f>
        <v/>
      </c>
      <c r="D746" s="1" t="str">
        <f>IF('Extraction edi'!H756="","",'Extraction edi'!H756)</f>
        <v/>
      </c>
      <c r="E746" s="1" t="str">
        <f>IF('Extraction edi'!I756="","",'Extraction edi'!I756)</f>
        <v/>
      </c>
      <c r="F746" t="str">
        <f>IF('Extraction edi'!K756="","",'Extraction edi'!K756)</f>
        <v/>
      </c>
      <c r="G746" t="str">
        <f>IF('Extraction edi'!L756="","",'Extraction edi'!L756)</f>
        <v/>
      </c>
      <c r="H746" t="str">
        <f>IF('Extraction edi'!M749="","",'Extraction edi'!M749)</f>
        <v/>
      </c>
      <c r="I746" s="1" t="str">
        <f>IF('Extraction edi'!N756="","",'Extraction edi'!N756)</f>
        <v/>
      </c>
      <c r="J746" s="1" t="str">
        <f>IF('Extraction edi'!O756="","",'Extraction edi'!O756)</f>
        <v/>
      </c>
      <c r="K746" s="1" t="str">
        <f>IF('Extraction edi'!P756="","",'Extraction edi'!P756)</f>
        <v/>
      </c>
      <c r="L746" s="1" t="str">
        <f>IF('Extraction edi'!Q756="laquage RAL :","OUI","")</f>
        <v/>
      </c>
      <c r="M746" s="1" t="str">
        <f>IF('Extraction edi'!R756&lt;&gt;"",'Extraction edi'!R756,IF(G746="ALU blanc","S9016",""))</f>
        <v/>
      </c>
      <c r="N746" s="1" t="str">
        <f>IF('Extraction edi'!S756&lt;&gt;"",'Extraction edi'!S756,IF(G746="ALU blanc","S9016",""))</f>
        <v/>
      </c>
      <c r="O746" s="11" t="str">
        <f>IF('Extraction edi'!V756&lt;'Feuille commande'!$E$1,"DELAI NON COMPATIBLE",IF('Extraction edi'!V756="","",WORKDAY('Extraction edi'!V756,-10,Paramètrage!$G$2:$G$104)))</f>
        <v/>
      </c>
      <c r="P746" s="1" t="e">
        <f t="shared" si="11"/>
        <v>#VALUE!</v>
      </c>
    </row>
    <row r="747" spans="1:16" x14ac:dyDescent="0.25">
      <c r="A747" s="1" t="str">
        <f>IF(B747="","",CONCATENATE(B747,".",C747,"/Pos ",D747,"/",'Extraction edi'!G757))</f>
        <v/>
      </c>
      <c r="B747" s="1" t="str">
        <f>IF('Extraction edi'!A757="","",'Extraction edi'!A757)</f>
        <v/>
      </c>
      <c r="C747" s="1" t="str">
        <f>IF('Extraction edi'!B757="","",'Extraction edi'!B757)</f>
        <v/>
      </c>
      <c r="D747" s="1" t="str">
        <f>IF('Extraction edi'!H757="","",'Extraction edi'!H757)</f>
        <v/>
      </c>
      <c r="E747" s="1" t="str">
        <f>IF('Extraction edi'!I757="","",'Extraction edi'!I757)</f>
        <v/>
      </c>
      <c r="F747" t="str">
        <f>IF('Extraction edi'!K757="","",'Extraction edi'!K757)</f>
        <v/>
      </c>
      <c r="G747" t="str">
        <f>IF('Extraction edi'!L757="","",'Extraction edi'!L757)</f>
        <v/>
      </c>
      <c r="H747" t="str">
        <f>IF('Extraction edi'!M750="","",'Extraction edi'!M750)</f>
        <v/>
      </c>
      <c r="I747" s="1" t="str">
        <f>IF('Extraction edi'!N757="","",'Extraction edi'!N757)</f>
        <v/>
      </c>
      <c r="J747" s="1" t="str">
        <f>IF('Extraction edi'!O757="","",'Extraction edi'!O757)</f>
        <v/>
      </c>
      <c r="K747" s="1" t="str">
        <f>IF('Extraction edi'!P757="","",'Extraction edi'!P757)</f>
        <v/>
      </c>
      <c r="L747" s="1" t="str">
        <f>IF('Extraction edi'!Q757="laquage RAL :","OUI","")</f>
        <v/>
      </c>
      <c r="M747" s="1" t="str">
        <f>IF('Extraction edi'!R757&lt;&gt;"",'Extraction edi'!R757,IF(G747="ALU blanc","S9016",""))</f>
        <v/>
      </c>
      <c r="N747" s="1" t="str">
        <f>IF('Extraction edi'!S757&lt;&gt;"",'Extraction edi'!S757,IF(G747="ALU blanc","S9016",""))</f>
        <v/>
      </c>
      <c r="O747" s="11" t="str">
        <f>IF('Extraction edi'!V757&lt;'Feuille commande'!$E$1,"DELAI NON COMPATIBLE",IF('Extraction edi'!V757="","",WORKDAY('Extraction edi'!V757,-10,Paramètrage!$G$2:$G$104)))</f>
        <v/>
      </c>
      <c r="P747" s="1" t="e">
        <f t="shared" si="11"/>
        <v>#VALUE!</v>
      </c>
    </row>
    <row r="748" spans="1:16" x14ac:dyDescent="0.25">
      <c r="A748" s="1" t="str">
        <f>IF(B748="","",CONCATENATE(B748,".",C748,"/Pos ",D748,"/",'Extraction edi'!G758))</f>
        <v/>
      </c>
      <c r="B748" s="1" t="str">
        <f>IF('Extraction edi'!A758="","",'Extraction edi'!A758)</f>
        <v/>
      </c>
      <c r="C748" s="1" t="str">
        <f>IF('Extraction edi'!B758="","",'Extraction edi'!B758)</f>
        <v/>
      </c>
      <c r="D748" s="1" t="str">
        <f>IF('Extraction edi'!H758="","",'Extraction edi'!H758)</f>
        <v/>
      </c>
      <c r="E748" s="1" t="str">
        <f>IF('Extraction edi'!I758="","",'Extraction edi'!I758)</f>
        <v/>
      </c>
      <c r="F748" t="str">
        <f>IF('Extraction edi'!K758="","",'Extraction edi'!K758)</f>
        <v/>
      </c>
      <c r="G748" t="str">
        <f>IF('Extraction edi'!L758="","",'Extraction edi'!L758)</f>
        <v/>
      </c>
      <c r="H748" t="str">
        <f>IF('Extraction edi'!M751="","",'Extraction edi'!M751)</f>
        <v/>
      </c>
      <c r="I748" s="1" t="str">
        <f>IF('Extraction edi'!N758="","",'Extraction edi'!N758)</f>
        <v/>
      </c>
      <c r="J748" s="1" t="str">
        <f>IF('Extraction edi'!O758="","",'Extraction edi'!O758)</f>
        <v/>
      </c>
      <c r="K748" s="1" t="str">
        <f>IF('Extraction edi'!P758="","",'Extraction edi'!P758)</f>
        <v/>
      </c>
      <c r="L748" s="1" t="str">
        <f>IF('Extraction edi'!Q758="laquage RAL :","OUI","")</f>
        <v/>
      </c>
      <c r="M748" s="1" t="str">
        <f>IF('Extraction edi'!R758&lt;&gt;"",'Extraction edi'!R758,IF(G748="ALU blanc","S9016",""))</f>
        <v/>
      </c>
      <c r="N748" s="1" t="str">
        <f>IF('Extraction edi'!S758&lt;&gt;"",'Extraction edi'!S758,IF(G748="ALU blanc","S9016",""))</f>
        <v/>
      </c>
      <c r="O748" s="11" t="str">
        <f>IF('Extraction edi'!V758&lt;'Feuille commande'!$E$1,"DELAI NON COMPATIBLE",IF('Extraction edi'!V758="","",WORKDAY('Extraction edi'!V758,-10,Paramètrage!$G$2:$G$104)))</f>
        <v/>
      </c>
      <c r="P748" s="1" t="e">
        <f t="shared" si="11"/>
        <v>#VALUE!</v>
      </c>
    </row>
    <row r="749" spans="1:16" x14ac:dyDescent="0.25">
      <c r="A749" s="1" t="str">
        <f>IF(B749="","",CONCATENATE(B749,".",C749,"/Pos ",D749,"/",'Extraction edi'!G759))</f>
        <v/>
      </c>
      <c r="B749" s="1" t="str">
        <f>IF('Extraction edi'!A759="","",'Extraction edi'!A759)</f>
        <v/>
      </c>
      <c r="C749" s="1" t="str">
        <f>IF('Extraction edi'!B759="","",'Extraction edi'!B759)</f>
        <v/>
      </c>
      <c r="D749" s="1" t="str">
        <f>IF('Extraction edi'!H759="","",'Extraction edi'!H759)</f>
        <v/>
      </c>
      <c r="E749" s="1" t="str">
        <f>IF('Extraction edi'!I759="","",'Extraction edi'!I759)</f>
        <v/>
      </c>
      <c r="F749" t="str">
        <f>IF('Extraction edi'!K759="","",'Extraction edi'!K759)</f>
        <v/>
      </c>
      <c r="G749" t="str">
        <f>IF('Extraction edi'!L759="","",'Extraction edi'!L759)</f>
        <v/>
      </c>
      <c r="H749" t="str">
        <f>IF('Extraction edi'!M752="","",'Extraction edi'!M752)</f>
        <v/>
      </c>
      <c r="I749" s="1" t="str">
        <f>IF('Extraction edi'!N759="","",'Extraction edi'!N759)</f>
        <v/>
      </c>
      <c r="J749" s="1" t="str">
        <f>IF('Extraction edi'!O759="","",'Extraction edi'!O759)</f>
        <v/>
      </c>
      <c r="K749" s="1" t="str">
        <f>IF('Extraction edi'!P759="","",'Extraction edi'!P759)</f>
        <v/>
      </c>
      <c r="L749" s="1" t="str">
        <f>IF('Extraction edi'!Q759="laquage RAL :","OUI","")</f>
        <v/>
      </c>
      <c r="M749" s="1" t="str">
        <f>IF('Extraction edi'!R759&lt;&gt;"",'Extraction edi'!R759,IF(G749="ALU blanc","S9016",""))</f>
        <v/>
      </c>
      <c r="N749" s="1" t="str">
        <f>IF('Extraction edi'!S759&lt;&gt;"",'Extraction edi'!S759,IF(G749="ALU blanc","S9016",""))</f>
        <v/>
      </c>
      <c r="O749" s="11" t="str">
        <f>IF('Extraction edi'!V759&lt;'Feuille commande'!$E$1,"DELAI NON COMPATIBLE",IF('Extraction edi'!V759="","",WORKDAY('Extraction edi'!V759,-10,Paramètrage!$G$2:$G$104)))</f>
        <v/>
      </c>
      <c r="P749" s="1" t="e">
        <f t="shared" si="11"/>
        <v>#VALUE!</v>
      </c>
    </row>
    <row r="750" spans="1:16" x14ac:dyDescent="0.25">
      <c r="A750" s="1" t="str">
        <f>IF(B750="","",CONCATENATE(B750,".",C750,"/Pos ",D750,"/",'Extraction edi'!G760))</f>
        <v/>
      </c>
      <c r="B750" s="1" t="str">
        <f>IF('Extraction edi'!A760="","",'Extraction edi'!A760)</f>
        <v/>
      </c>
      <c r="C750" s="1" t="str">
        <f>IF('Extraction edi'!B760="","",'Extraction edi'!B760)</f>
        <v/>
      </c>
      <c r="D750" s="1" t="str">
        <f>IF('Extraction edi'!H760="","",'Extraction edi'!H760)</f>
        <v/>
      </c>
      <c r="E750" s="1" t="str">
        <f>IF('Extraction edi'!I760="","",'Extraction edi'!I760)</f>
        <v/>
      </c>
      <c r="F750" t="str">
        <f>IF('Extraction edi'!K760="","",'Extraction edi'!K760)</f>
        <v/>
      </c>
      <c r="G750" t="str">
        <f>IF('Extraction edi'!L760="","",'Extraction edi'!L760)</f>
        <v/>
      </c>
      <c r="H750" t="str">
        <f>IF('Extraction edi'!M753="","",'Extraction edi'!M753)</f>
        <v/>
      </c>
      <c r="I750" s="1" t="str">
        <f>IF('Extraction edi'!N760="","",'Extraction edi'!N760)</f>
        <v/>
      </c>
      <c r="J750" s="1" t="str">
        <f>IF('Extraction edi'!O760="","",'Extraction edi'!O760)</f>
        <v/>
      </c>
      <c r="K750" s="1" t="str">
        <f>IF('Extraction edi'!P760="","",'Extraction edi'!P760)</f>
        <v/>
      </c>
      <c r="L750" s="1" t="str">
        <f>IF('Extraction edi'!Q760="laquage RAL :","OUI","")</f>
        <v/>
      </c>
      <c r="M750" s="1" t="str">
        <f>IF('Extraction edi'!R760&lt;&gt;"",'Extraction edi'!R760,IF(G750="ALU blanc","S9016",""))</f>
        <v/>
      </c>
      <c r="N750" s="1" t="str">
        <f>IF('Extraction edi'!S760&lt;&gt;"",'Extraction edi'!S760,IF(G750="ALU blanc","S9016",""))</f>
        <v/>
      </c>
      <c r="O750" s="11" t="str">
        <f>IF('Extraction edi'!V760&lt;'Feuille commande'!$E$1,"DELAI NON COMPATIBLE",IF('Extraction edi'!V760="","",WORKDAY('Extraction edi'!V760,-10,Paramètrage!$G$2:$G$104)))</f>
        <v/>
      </c>
      <c r="P750" s="1" t="e">
        <f t="shared" si="11"/>
        <v>#VALUE!</v>
      </c>
    </row>
    <row r="751" spans="1:16" x14ac:dyDescent="0.25">
      <c r="A751" s="1" t="str">
        <f>IF(B751="","",CONCATENATE(B751,".",C751,"/Pos ",D751,"/",'Extraction edi'!G761))</f>
        <v/>
      </c>
      <c r="B751" s="1" t="str">
        <f>IF('Extraction edi'!A761="","",'Extraction edi'!A761)</f>
        <v/>
      </c>
      <c r="C751" s="1" t="str">
        <f>IF('Extraction edi'!B761="","",'Extraction edi'!B761)</f>
        <v/>
      </c>
      <c r="D751" s="1" t="str">
        <f>IF('Extraction edi'!H761="","",'Extraction edi'!H761)</f>
        <v/>
      </c>
      <c r="E751" s="1" t="str">
        <f>IF('Extraction edi'!I761="","",'Extraction edi'!I761)</f>
        <v/>
      </c>
      <c r="F751" t="str">
        <f>IF('Extraction edi'!K761="","",'Extraction edi'!K761)</f>
        <v/>
      </c>
      <c r="G751" t="str">
        <f>IF('Extraction edi'!L761="","",'Extraction edi'!L761)</f>
        <v/>
      </c>
      <c r="H751" t="str">
        <f>IF('Extraction edi'!M754="","",'Extraction edi'!M754)</f>
        <v/>
      </c>
      <c r="I751" s="1" t="str">
        <f>IF('Extraction edi'!N761="","",'Extraction edi'!N761)</f>
        <v/>
      </c>
      <c r="J751" s="1" t="str">
        <f>IF('Extraction edi'!O761="","",'Extraction edi'!O761)</f>
        <v/>
      </c>
      <c r="K751" s="1" t="str">
        <f>IF('Extraction edi'!P761="","",'Extraction edi'!P761)</f>
        <v/>
      </c>
      <c r="L751" s="1" t="str">
        <f>IF('Extraction edi'!Q761="laquage RAL :","OUI","")</f>
        <v/>
      </c>
      <c r="M751" s="1" t="str">
        <f>IF('Extraction edi'!R761&lt;&gt;"",'Extraction edi'!R761,IF(G751="ALU blanc","S9016",""))</f>
        <v/>
      </c>
      <c r="N751" s="1" t="str">
        <f>IF('Extraction edi'!S761&lt;&gt;"",'Extraction edi'!S761,IF(G751="ALU blanc","S9016",""))</f>
        <v/>
      </c>
      <c r="O751" s="11" t="str">
        <f>IF('Extraction edi'!V761&lt;'Feuille commande'!$E$1,"DELAI NON COMPATIBLE",IF('Extraction edi'!V761="","",WORKDAY('Extraction edi'!V761,-10,Paramètrage!$G$2:$G$104)))</f>
        <v/>
      </c>
      <c r="P751" s="1" t="e">
        <f t="shared" si="11"/>
        <v>#VALUE!</v>
      </c>
    </row>
    <row r="752" spans="1:16" x14ac:dyDescent="0.25">
      <c r="A752" s="1" t="str">
        <f>IF(B752="","",CONCATENATE(B752,".",C752,"/Pos ",D752,"/",'Extraction edi'!G762))</f>
        <v/>
      </c>
      <c r="B752" s="1" t="str">
        <f>IF('Extraction edi'!A762="","",'Extraction edi'!A762)</f>
        <v/>
      </c>
      <c r="C752" s="1" t="str">
        <f>IF('Extraction edi'!B762="","",'Extraction edi'!B762)</f>
        <v/>
      </c>
      <c r="D752" s="1" t="str">
        <f>IF('Extraction edi'!H762="","",'Extraction edi'!H762)</f>
        <v/>
      </c>
      <c r="E752" s="1" t="str">
        <f>IF('Extraction edi'!I762="","",'Extraction edi'!I762)</f>
        <v/>
      </c>
      <c r="F752" t="str">
        <f>IF('Extraction edi'!K762="","",'Extraction edi'!K762)</f>
        <v/>
      </c>
      <c r="G752" t="str">
        <f>IF('Extraction edi'!L762="","",'Extraction edi'!L762)</f>
        <v/>
      </c>
      <c r="H752" t="str">
        <f>IF('Extraction edi'!M755="","",'Extraction edi'!M755)</f>
        <v/>
      </c>
      <c r="I752" s="1" t="str">
        <f>IF('Extraction edi'!N762="","",'Extraction edi'!N762)</f>
        <v/>
      </c>
      <c r="J752" s="1" t="str">
        <f>IF('Extraction edi'!O762="","",'Extraction edi'!O762)</f>
        <v/>
      </c>
      <c r="K752" s="1" t="str">
        <f>IF('Extraction edi'!P762="","",'Extraction edi'!P762)</f>
        <v/>
      </c>
      <c r="L752" s="1" t="str">
        <f>IF('Extraction edi'!Q762="laquage RAL :","OUI","")</f>
        <v/>
      </c>
      <c r="M752" s="1" t="str">
        <f>IF('Extraction edi'!R762&lt;&gt;"",'Extraction edi'!R762,IF(G752="ALU blanc","S9016",""))</f>
        <v/>
      </c>
      <c r="N752" s="1" t="str">
        <f>IF('Extraction edi'!S762&lt;&gt;"",'Extraction edi'!S762,IF(G752="ALU blanc","S9016",""))</f>
        <v/>
      </c>
      <c r="O752" s="11" t="str">
        <f>IF('Extraction edi'!V762&lt;'Feuille commande'!$E$1,"DELAI NON COMPATIBLE",IF('Extraction edi'!V762="","",WORKDAY('Extraction edi'!V762,-10,Paramètrage!$G$2:$G$104)))</f>
        <v/>
      </c>
      <c r="P752" s="1" t="e">
        <f t="shared" si="11"/>
        <v>#VALUE!</v>
      </c>
    </row>
    <row r="753" spans="1:16" x14ac:dyDescent="0.25">
      <c r="A753" s="1" t="str">
        <f>IF(B753="","",CONCATENATE(B753,".",C753,"/Pos ",D753,"/",'Extraction edi'!G763))</f>
        <v/>
      </c>
      <c r="B753" s="1" t="str">
        <f>IF('Extraction edi'!A763="","",'Extraction edi'!A763)</f>
        <v/>
      </c>
      <c r="C753" s="1" t="str">
        <f>IF('Extraction edi'!B763="","",'Extraction edi'!B763)</f>
        <v/>
      </c>
      <c r="D753" s="1" t="str">
        <f>IF('Extraction edi'!H763="","",'Extraction edi'!H763)</f>
        <v/>
      </c>
      <c r="E753" s="1" t="str">
        <f>IF('Extraction edi'!I763="","",'Extraction edi'!I763)</f>
        <v/>
      </c>
      <c r="F753" t="str">
        <f>IF('Extraction edi'!K763="","",'Extraction edi'!K763)</f>
        <v/>
      </c>
      <c r="G753" t="str">
        <f>IF('Extraction edi'!L763="","",'Extraction edi'!L763)</f>
        <v/>
      </c>
      <c r="H753" t="str">
        <f>IF('Extraction edi'!M756="","",'Extraction edi'!M756)</f>
        <v/>
      </c>
      <c r="I753" s="1" t="str">
        <f>IF('Extraction edi'!N763="","",'Extraction edi'!N763)</f>
        <v/>
      </c>
      <c r="J753" s="1" t="str">
        <f>IF('Extraction edi'!O763="","",'Extraction edi'!O763)</f>
        <v/>
      </c>
      <c r="K753" s="1" t="str">
        <f>IF('Extraction edi'!P763="","",'Extraction edi'!P763)</f>
        <v/>
      </c>
      <c r="L753" s="1" t="str">
        <f>IF('Extraction edi'!Q763="laquage RAL :","OUI","")</f>
        <v/>
      </c>
      <c r="M753" s="1" t="str">
        <f>IF('Extraction edi'!R763&lt;&gt;"",'Extraction edi'!R763,IF(G753="ALU blanc","S9016",""))</f>
        <v/>
      </c>
      <c r="N753" s="1" t="str">
        <f>IF('Extraction edi'!S763&lt;&gt;"",'Extraction edi'!S763,IF(G753="ALU blanc","S9016",""))</f>
        <v/>
      </c>
      <c r="O753" s="11" t="str">
        <f>IF('Extraction edi'!V763&lt;'Feuille commande'!$E$1,"DELAI NON COMPATIBLE",IF('Extraction edi'!V763="","",WORKDAY('Extraction edi'!V763,-10,Paramètrage!$G$2:$G$104)))</f>
        <v/>
      </c>
      <c r="P753" s="1" t="e">
        <f t="shared" si="11"/>
        <v>#VALUE!</v>
      </c>
    </row>
    <row r="754" spans="1:16" x14ac:dyDescent="0.25">
      <c r="A754" s="1" t="str">
        <f>IF(B754="","",CONCATENATE(B754,".",C754,"/Pos ",D754,"/",'Extraction edi'!G764))</f>
        <v/>
      </c>
      <c r="B754" s="1" t="str">
        <f>IF('Extraction edi'!A764="","",'Extraction edi'!A764)</f>
        <v/>
      </c>
      <c r="C754" s="1" t="str">
        <f>IF('Extraction edi'!B764="","",'Extraction edi'!B764)</f>
        <v/>
      </c>
      <c r="D754" s="1" t="str">
        <f>IF('Extraction edi'!H764="","",'Extraction edi'!H764)</f>
        <v/>
      </c>
      <c r="E754" s="1" t="str">
        <f>IF('Extraction edi'!I764="","",'Extraction edi'!I764)</f>
        <v/>
      </c>
      <c r="F754" t="str">
        <f>IF('Extraction edi'!K764="","",'Extraction edi'!K764)</f>
        <v/>
      </c>
      <c r="G754" t="str">
        <f>IF('Extraction edi'!L764="","",'Extraction edi'!L764)</f>
        <v/>
      </c>
      <c r="H754" t="str">
        <f>IF('Extraction edi'!M757="","",'Extraction edi'!M757)</f>
        <v/>
      </c>
      <c r="I754" s="1" t="str">
        <f>IF('Extraction edi'!N764="","",'Extraction edi'!N764)</f>
        <v/>
      </c>
      <c r="J754" s="1" t="str">
        <f>IF('Extraction edi'!O764="","",'Extraction edi'!O764)</f>
        <v/>
      </c>
      <c r="K754" s="1" t="str">
        <f>IF('Extraction edi'!P764="","",'Extraction edi'!P764)</f>
        <v/>
      </c>
      <c r="L754" s="1" t="str">
        <f>IF('Extraction edi'!Q764="laquage RAL :","OUI","")</f>
        <v/>
      </c>
      <c r="M754" s="1" t="str">
        <f>IF('Extraction edi'!R764&lt;&gt;"",'Extraction edi'!R764,IF(G754="ALU blanc","S9016",""))</f>
        <v/>
      </c>
      <c r="N754" s="1" t="str">
        <f>IF('Extraction edi'!S764&lt;&gt;"",'Extraction edi'!S764,IF(G754="ALU blanc","S9016",""))</f>
        <v/>
      </c>
      <c r="O754" s="11" t="str">
        <f>IF('Extraction edi'!V764&lt;'Feuille commande'!$E$1,"DELAI NON COMPATIBLE",IF('Extraction edi'!V764="","",WORKDAY('Extraction edi'!V764,-10,Paramètrage!$G$2:$G$104)))</f>
        <v/>
      </c>
      <c r="P754" s="1" t="e">
        <f t="shared" si="11"/>
        <v>#VALUE!</v>
      </c>
    </row>
    <row r="755" spans="1:16" x14ac:dyDescent="0.25">
      <c r="A755" s="1" t="str">
        <f>IF(B755="","",CONCATENATE(B755,".",C755,"/Pos ",D755,"/",'Extraction edi'!G765))</f>
        <v/>
      </c>
      <c r="B755" s="1" t="str">
        <f>IF('Extraction edi'!A765="","",'Extraction edi'!A765)</f>
        <v/>
      </c>
      <c r="C755" s="1" t="str">
        <f>IF('Extraction edi'!B765="","",'Extraction edi'!B765)</f>
        <v/>
      </c>
      <c r="D755" s="1" t="str">
        <f>IF('Extraction edi'!H765="","",'Extraction edi'!H765)</f>
        <v/>
      </c>
      <c r="E755" s="1" t="str">
        <f>IF('Extraction edi'!I765="","",'Extraction edi'!I765)</f>
        <v/>
      </c>
      <c r="F755" t="str">
        <f>IF('Extraction edi'!K765="","",'Extraction edi'!K765)</f>
        <v/>
      </c>
      <c r="G755" t="str">
        <f>IF('Extraction edi'!L765="","",'Extraction edi'!L765)</f>
        <v/>
      </c>
      <c r="H755" t="str">
        <f>IF('Extraction edi'!M758="","",'Extraction edi'!M758)</f>
        <v/>
      </c>
      <c r="I755" s="1" t="str">
        <f>IF('Extraction edi'!N765="","",'Extraction edi'!N765)</f>
        <v/>
      </c>
      <c r="J755" s="1" t="str">
        <f>IF('Extraction edi'!O765="","",'Extraction edi'!O765)</f>
        <v/>
      </c>
      <c r="K755" s="1" t="str">
        <f>IF('Extraction edi'!P765="","",'Extraction edi'!P765)</f>
        <v/>
      </c>
      <c r="L755" s="1" t="str">
        <f>IF('Extraction edi'!Q765="laquage RAL :","OUI","")</f>
        <v/>
      </c>
      <c r="M755" s="1" t="str">
        <f>IF('Extraction edi'!R765&lt;&gt;"",'Extraction edi'!R765,IF(G755="ALU blanc","S9016",""))</f>
        <v/>
      </c>
      <c r="N755" s="1" t="str">
        <f>IF('Extraction edi'!S765&lt;&gt;"",'Extraction edi'!S765,IF(G755="ALU blanc","S9016",""))</f>
        <v/>
      </c>
      <c r="O755" s="11" t="str">
        <f>IF('Extraction edi'!V765&lt;'Feuille commande'!$E$1,"DELAI NON COMPATIBLE",IF('Extraction edi'!V765="","",WORKDAY('Extraction edi'!V765,-10,Paramètrage!$G$2:$G$104)))</f>
        <v/>
      </c>
      <c r="P755" s="1" t="e">
        <f t="shared" si="11"/>
        <v>#VALUE!</v>
      </c>
    </row>
    <row r="756" spans="1:16" x14ac:dyDescent="0.25">
      <c r="A756" s="1" t="str">
        <f>IF(B756="","",CONCATENATE(B756,".",C756,"/Pos ",D756,"/",'Extraction edi'!G766))</f>
        <v/>
      </c>
      <c r="B756" s="1" t="str">
        <f>IF('Extraction edi'!A766="","",'Extraction edi'!A766)</f>
        <v/>
      </c>
      <c r="C756" s="1" t="str">
        <f>IF('Extraction edi'!B766="","",'Extraction edi'!B766)</f>
        <v/>
      </c>
      <c r="D756" s="1" t="str">
        <f>IF('Extraction edi'!H766="","",'Extraction edi'!H766)</f>
        <v/>
      </c>
      <c r="E756" s="1" t="str">
        <f>IF('Extraction edi'!I766="","",'Extraction edi'!I766)</f>
        <v/>
      </c>
      <c r="F756" t="str">
        <f>IF('Extraction edi'!K766="","",'Extraction edi'!K766)</f>
        <v/>
      </c>
      <c r="G756" t="str">
        <f>IF('Extraction edi'!L766="","",'Extraction edi'!L766)</f>
        <v/>
      </c>
      <c r="H756" t="str">
        <f>IF('Extraction edi'!M759="","",'Extraction edi'!M759)</f>
        <v/>
      </c>
      <c r="I756" s="1" t="str">
        <f>IF('Extraction edi'!N766="","",'Extraction edi'!N766)</f>
        <v/>
      </c>
      <c r="J756" s="1" t="str">
        <f>IF('Extraction edi'!O766="","",'Extraction edi'!O766)</f>
        <v/>
      </c>
      <c r="K756" s="1" t="str">
        <f>IF('Extraction edi'!P766="","",'Extraction edi'!P766)</f>
        <v/>
      </c>
      <c r="L756" s="1" t="str">
        <f>IF('Extraction edi'!Q766="laquage RAL :","OUI","")</f>
        <v/>
      </c>
      <c r="M756" s="1" t="str">
        <f>IF('Extraction edi'!R766&lt;&gt;"",'Extraction edi'!R766,IF(G756="ALU blanc","S9016",""))</f>
        <v/>
      </c>
      <c r="N756" s="1" t="str">
        <f>IF('Extraction edi'!S766&lt;&gt;"",'Extraction edi'!S766,IF(G756="ALU blanc","S9016",""))</f>
        <v/>
      </c>
      <c r="O756" s="11" t="str">
        <f>IF('Extraction edi'!V766&lt;'Feuille commande'!$E$1,"DELAI NON COMPATIBLE",IF('Extraction edi'!V766="","",WORKDAY('Extraction edi'!V766,-10,Paramètrage!$G$2:$G$104)))</f>
        <v/>
      </c>
      <c r="P756" s="1" t="e">
        <f t="shared" si="11"/>
        <v>#VALUE!</v>
      </c>
    </row>
    <row r="757" spans="1:16" x14ac:dyDescent="0.25">
      <c r="A757" s="1" t="str">
        <f>IF(B757="","",CONCATENATE(B757,".",C757,"/Pos ",D757,"/",'Extraction edi'!G767))</f>
        <v/>
      </c>
      <c r="B757" s="1" t="str">
        <f>IF('Extraction edi'!A767="","",'Extraction edi'!A767)</f>
        <v/>
      </c>
      <c r="C757" s="1" t="str">
        <f>IF('Extraction edi'!B767="","",'Extraction edi'!B767)</f>
        <v/>
      </c>
      <c r="D757" s="1" t="str">
        <f>IF('Extraction edi'!H767="","",'Extraction edi'!H767)</f>
        <v/>
      </c>
      <c r="E757" s="1" t="str">
        <f>IF('Extraction edi'!I767="","",'Extraction edi'!I767)</f>
        <v/>
      </c>
      <c r="F757" t="str">
        <f>IF('Extraction edi'!K767="","",'Extraction edi'!K767)</f>
        <v/>
      </c>
      <c r="G757" t="str">
        <f>IF('Extraction edi'!L767="","",'Extraction edi'!L767)</f>
        <v/>
      </c>
      <c r="H757" t="str">
        <f>IF('Extraction edi'!M760="","",'Extraction edi'!M760)</f>
        <v/>
      </c>
      <c r="I757" s="1" t="str">
        <f>IF('Extraction edi'!N767="","",'Extraction edi'!N767)</f>
        <v/>
      </c>
      <c r="J757" s="1" t="str">
        <f>IF('Extraction edi'!O767="","",'Extraction edi'!O767)</f>
        <v/>
      </c>
      <c r="K757" s="1" t="str">
        <f>IF('Extraction edi'!P767="","",'Extraction edi'!P767)</f>
        <v/>
      </c>
      <c r="L757" s="1" t="str">
        <f>IF('Extraction edi'!Q767="laquage RAL :","OUI","")</f>
        <v/>
      </c>
      <c r="M757" s="1" t="str">
        <f>IF('Extraction edi'!R767&lt;&gt;"",'Extraction edi'!R767,IF(G757="ALU blanc","S9016",""))</f>
        <v/>
      </c>
      <c r="N757" s="1" t="str">
        <f>IF('Extraction edi'!S767&lt;&gt;"",'Extraction edi'!S767,IF(G757="ALU blanc","S9016",""))</f>
        <v/>
      </c>
      <c r="O757" s="11" t="str">
        <f>IF('Extraction edi'!V767&lt;'Feuille commande'!$E$1,"DELAI NON COMPATIBLE",IF('Extraction edi'!V767="","",WORKDAY('Extraction edi'!V767,-10,Paramètrage!$G$2:$G$104)))</f>
        <v/>
      </c>
      <c r="P757" s="1" t="e">
        <f t="shared" si="11"/>
        <v>#VALUE!</v>
      </c>
    </row>
    <row r="758" spans="1:16" x14ac:dyDescent="0.25">
      <c r="A758" s="1" t="str">
        <f>IF(B758="","",CONCATENATE(B758,".",C758,"/Pos ",D758,"/",'Extraction edi'!G768))</f>
        <v/>
      </c>
      <c r="B758" s="1" t="str">
        <f>IF('Extraction edi'!A768="","",'Extraction edi'!A768)</f>
        <v/>
      </c>
      <c r="C758" s="1" t="str">
        <f>IF('Extraction edi'!B768="","",'Extraction edi'!B768)</f>
        <v/>
      </c>
      <c r="D758" s="1" t="str">
        <f>IF('Extraction edi'!H768="","",'Extraction edi'!H768)</f>
        <v/>
      </c>
      <c r="E758" s="1" t="str">
        <f>IF('Extraction edi'!I768="","",'Extraction edi'!I768)</f>
        <v/>
      </c>
      <c r="F758" t="str">
        <f>IF('Extraction edi'!K768="","",'Extraction edi'!K768)</f>
        <v/>
      </c>
      <c r="G758" t="str">
        <f>IF('Extraction edi'!L768="","",'Extraction edi'!L768)</f>
        <v/>
      </c>
      <c r="H758" t="str">
        <f>IF('Extraction edi'!M761="","",'Extraction edi'!M761)</f>
        <v/>
      </c>
      <c r="I758" s="1" t="str">
        <f>IF('Extraction edi'!N768="","",'Extraction edi'!N768)</f>
        <v/>
      </c>
      <c r="J758" s="1" t="str">
        <f>IF('Extraction edi'!O768="","",'Extraction edi'!O768)</f>
        <v/>
      </c>
      <c r="K758" s="1" t="str">
        <f>IF('Extraction edi'!P768="","",'Extraction edi'!P768)</f>
        <v/>
      </c>
      <c r="L758" s="1" t="str">
        <f>IF('Extraction edi'!Q768="laquage RAL :","OUI","")</f>
        <v/>
      </c>
      <c r="M758" s="1" t="str">
        <f>IF('Extraction edi'!R768&lt;&gt;"",'Extraction edi'!R768,IF(G758="ALU blanc","S9016",""))</f>
        <v/>
      </c>
      <c r="N758" s="1" t="str">
        <f>IF('Extraction edi'!S768&lt;&gt;"",'Extraction edi'!S768,IF(G758="ALU blanc","S9016",""))</f>
        <v/>
      </c>
      <c r="O758" s="11" t="str">
        <f>IF('Extraction edi'!V768&lt;'Feuille commande'!$E$1,"DELAI NON COMPATIBLE",IF('Extraction edi'!V768="","",WORKDAY('Extraction edi'!V768,-10,Paramètrage!$G$2:$G$104)))</f>
        <v/>
      </c>
      <c r="P758" s="1" t="e">
        <f t="shared" si="11"/>
        <v>#VALUE!</v>
      </c>
    </row>
    <row r="759" spans="1:16" x14ac:dyDescent="0.25">
      <c r="A759" s="1" t="str">
        <f>IF(B759="","",CONCATENATE(B759,".",C759,"/Pos ",D759,"/",'Extraction edi'!G769))</f>
        <v/>
      </c>
      <c r="B759" s="1" t="str">
        <f>IF('Extraction edi'!A769="","",'Extraction edi'!A769)</f>
        <v/>
      </c>
      <c r="C759" s="1" t="str">
        <f>IF('Extraction edi'!B769="","",'Extraction edi'!B769)</f>
        <v/>
      </c>
      <c r="D759" s="1" t="str">
        <f>IF('Extraction edi'!H769="","",'Extraction edi'!H769)</f>
        <v/>
      </c>
      <c r="E759" s="1" t="str">
        <f>IF('Extraction edi'!I769="","",'Extraction edi'!I769)</f>
        <v/>
      </c>
      <c r="F759" t="str">
        <f>IF('Extraction edi'!K769="","",'Extraction edi'!K769)</f>
        <v/>
      </c>
      <c r="G759" t="str">
        <f>IF('Extraction edi'!L769="","",'Extraction edi'!L769)</f>
        <v/>
      </c>
      <c r="H759" t="str">
        <f>IF('Extraction edi'!M762="","",'Extraction edi'!M762)</f>
        <v/>
      </c>
      <c r="I759" s="1" t="str">
        <f>IF('Extraction edi'!N769="","",'Extraction edi'!N769)</f>
        <v/>
      </c>
      <c r="J759" s="1" t="str">
        <f>IF('Extraction edi'!O769="","",'Extraction edi'!O769)</f>
        <v/>
      </c>
      <c r="K759" s="1" t="str">
        <f>IF('Extraction edi'!P769="","",'Extraction edi'!P769)</f>
        <v/>
      </c>
      <c r="L759" s="1" t="str">
        <f>IF('Extraction edi'!Q769="laquage RAL :","OUI","")</f>
        <v/>
      </c>
      <c r="M759" s="1" t="str">
        <f>IF('Extraction edi'!R769&lt;&gt;"",'Extraction edi'!R769,IF(G759="ALU blanc","S9016",""))</f>
        <v/>
      </c>
      <c r="N759" s="1" t="str">
        <f>IF('Extraction edi'!S769&lt;&gt;"",'Extraction edi'!S769,IF(G759="ALU blanc","S9016",""))</f>
        <v/>
      </c>
      <c r="O759" s="11" t="str">
        <f>IF('Extraction edi'!V769&lt;'Feuille commande'!$E$1,"DELAI NON COMPATIBLE",IF('Extraction edi'!V769="","",WORKDAY('Extraction edi'!V769,-10,Paramètrage!$G$2:$G$104)))</f>
        <v/>
      </c>
      <c r="P759" s="1" t="e">
        <f t="shared" si="11"/>
        <v>#VALUE!</v>
      </c>
    </row>
    <row r="760" spans="1:16" x14ac:dyDescent="0.25">
      <c r="A760" s="1" t="str">
        <f>IF(B760="","",CONCATENATE(B760,".",C760,"/Pos ",D760,"/",'Extraction edi'!G770))</f>
        <v/>
      </c>
      <c r="B760" s="1" t="str">
        <f>IF('Extraction edi'!A770="","",'Extraction edi'!A770)</f>
        <v/>
      </c>
      <c r="C760" s="1" t="str">
        <f>IF('Extraction edi'!B770="","",'Extraction edi'!B770)</f>
        <v/>
      </c>
      <c r="D760" s="1" t="str">
        <f>IF('Extraction edi'!H770="","",'Extraction edi'!H770)</f>
        <v/>
      </c>
      <c r="E760" s="1" t="str">
        <f>IF('Extraction edi'!I770="","",'Extraction edi'!I770)</f>
        <v/>
      </c>
      <c r="F760" t="str">
        <f>IF('Extraction edi'!K770="","",'Extraction edi'!K770)</f>
        <v/>
      </c>
      <c r="G760" t="str">
        <f>IF('Extraction edi'!L770="","",'Extraction edi'!L770)</f>
        <v/>
      </c>
      <c r="H760" t="str">
        <f>IF('Extraction edi'!M763="","",'Extraction edi'!M763)</f>
        <v/>
      </c>
      <c r="I760" s="1" t="str">
        <f>IF('Extraction edi'!N770="","",'Extraction edi'!N770)</f>
        <v/>
      </c>
      <c r="J760" s="1" t="str">
        <f>IF('Extraction edi'!O770="","",'Extraction edi'!O770)</f>
        <v/>
      </c>
      <c r="K760" s="1" t="str">
        <f>IF('Extraction edi'!P770="","",'Extraction edi'!P770)</f>
        <v/>
      </c>
      <c r="L760" s="1" t="str">
        <f>IF('Extraction edi'!Q770="laquage RAL :","OUI","")</f>
        <v/>
      </c>
      <c r="M760" s="1" t="str">
        <f>IF('Extraction edi'!R770&lt;&gt;"",'Extraction edi'!R770,IF(G760="ALU blanc","S9016",""))</f>
        <v/>
      </c>
      <c r="N760" s="1" t="str">
        <f>IF('Extraction edi'!S770&lt;&gt;"",'Extraction edi'!S770,IF(G760="ALU blanc","S9016",""))</f>
        <v/>
      </c>
      <c r="O760" s="11" t="str">
        <f>IF('Extraction edi'!V770&lt;'Feuille commande'!$E$1,"DELAI NON COMPATIBLE",IF('Extraction edi'!V770="","",WORKDAY('Extraction edi'!V770,-10,Paramètrage!$G$2:$G$104)))</f>
        <v/>
      </c>
      <c r="P760" s="1" t="e">
        <f t="shared" si="11"/>
        <v>#VALUE!</v>
      </c>
    </row>
    <row r="761" spans="1:16" x14ac:dyDescent="0.25">
      <c r="A761" s="1" t="str">
        <f>IF(B761="","",CONCATENATE(B761,".",C761,"/Pos ",D761,"/",'Extraction edi'!G771))</f>
        <v/>
      </c>
      <c r="B761" s="1" t="str">
        <f>IF('Extraction edi'!A771="","",'Extraction edi'!A771)</f>
        <v/>
      </c>
      <c r="C761" s="1" t="str">
        <f>IF('Extraction edi'!B771="","",'Extraction edi'!B771)</f>
        <v/>
      </c>
      <c r="D761" s="1" t="str">
        <f>IF('Extraction edi'!H771="","",'Extraction edi'!H771)</f>
        <v/>
      </c>
      <c r="E761" s="1" t="str">
        <f>IF('Extraction edi'!I771="","",'Extraction edi'!I771)</f>
        <v/>
      </c>
      <c r="F761" t="str">
        <f>IF('Extraction edi'!K771="","",'Extraction edi'!K771)</f>
        <v/>
      </c>
      <c r="G761" t="str">
        <f>IF('Extraction edi'!L771="","",'Extraction edi'!L771)</f>
        <v/>
      </c>
      <c r="H761" t="str">
        <f>IF('Extraction edi'!M764="","",'Extraction edi'!M764)</f>
        <v/>
      </c>
      <c r="I761" s="1" t="str">
        <f>IF('Extraction edi'!N771="","",'Extraction edi'!N771)</f>
        <v/>
      </c>
      <c r="J761" s="1" t="str">
        <f>IF('Extraction edi'!O771="","",'Extraction edi'!O771)</f>
        <v/>
      </c>
      <c r="K761" s="1" t="str">
        <f>IF('Extraction edi'!P771="","",'Extraction edi'!P771)</f>
        <v/>
      </c>
      <c r="L761" s="1" t="str">
        <f>IF('Extraction edi'!Q771="laquage RAL :","OUI","")</f>
        <v/>
      </c>
      <c r="M761" s="1" t="str">
        <f>IF('Extraction edi'!R771&lt;&gt;"",'Extraction edi'!R771,IF(G761="ALU blanc","S9016",""))</f>
        <v/>
      </c>
      <c r="N761" s="1" t="str">
        <f>IF('Extraction edi'!S771&lt;&gt;"",'Extraction edi'!S771,IF(G761="ALU blanc","S9016",""))</f>
        <v/>
      </c>
      <c r="O761" s="11" t="str">
        <f>IF('Extraction edi'!V771&lt;'Feuille commande'!$E$1,"DELAI NON COMPATIBLE",IF('Extraction edi'!V771="","",WORKDAY('Extraction edi'!V771,-10,Paramètrage!$G$2:$G$104)))</f>
        <v/>
      </c>
      <c r="P761" s="1" t="e">
        <f t="shared" si="11"/>
        <v>#VALUE!</v>
      </c>
    </row>
    <row r="762" spans="1:16" x14ac:dyDescent="0.25">
      <c r="A762" s="1" t="str">
        <f>IF(B762="","",CONCATENATE(B762,".",C762,"/Pos ",D762,"/",'Extraction edi'!G772))</f>
        <v/>
      </c>
      <c r="B762" s="1" t="str">
        <f>IF('Extraction edi'!A772="","",'Extraction edi'!A772)</f>
        <v/>
      </c>
      <c r="C762" s="1" t="str">
        <f>IF('Extraction edi'!B772="","",'Extraction edi'!B772)</f>
        <v/>
      </c>
      <c r="D762" s="1" t="str">
        <f>IF('Extraction edi'!H772="","",'Extraction edi'!H772)</f>
        <v/>
      </c>
      <c r="E762" s="1" t="str">
        <f>IF('Extraction edi'!I772="","",'Extraction edi'!I772)</f>
        <v/>
      </c>
      <c r="F762" t="str">
        <f>IF('Extraction edi'!K772="","",'Extraction edi'!K772)</f>
        <v/>
      </c>
      <c r="G762" t="str">
        <f>IF('Extraction edi'!L772="","",'Extraction edi'!L772)</f>
        <v/>
      </c>
      <c r="H762" t="str">
        <f>IF('Extraction edi'!M765="","",'Extraction edi'!M765)</f>
        <v/>
      </c>
      <c r="I762" s="1" t="str">
        <f>IF('Extraction edi'!N772="","",'Extraction edi'!N772)</f>
        <v/>
      </c>
      <c r="J762" s="1" t="str">
        <f>IF('Extraction edi'!O772="","",'Extraction edi'!O772)</f>
        <v/>
      </c>
      <c r="K762" s="1" t="str">
        <f>IF('Extraction edi'!P772="","",'Extraction edi'!P772)</f>
        <v/>
      </c>
      <c r="L762" s="1" t="str">
        <f>IF('Extraction edi'!Q772="laquage RAL :","OUI","")</f>
        <v/>
      </c>
      <c r="M762" s="1" t="str">
        <f>IF('Extraction edi'!R772&lt;&gt;"",'Extraction edi'!R772,IF(G762="ALU blanc","S9016",""))</f>
        <v/>
      </c>
      <c r="N762" s="1" t="str">
        <f>IF('Extraction edi'!S772&lt;&gt;"",'Extraction edi'!S772,IF(G762="ALU blanc","S9016",""))</f>
        <v/>
      </c>
      <c r="O762" s="11" t="str">
        <f>IF('Extraction edi'!V772&lt;'Feuille commande'!$E$1,"DELAI NON COMPATIBLE",IF('Extraction edi'!V772="","",WORKDAY('Extraction edi'!V772,-10,Paramètrage!$G$2:$G$104)))</f>
        <v/>
      </c>
      <c r="P762" s="1" t="e">
        <f t="shared" si="11"/>
        <v>#VALUE!</v>
      </c>
    </row>
    <row r="763" spans="1:16" x14ac:dyDescent="0.25">
      <c r="A763" s="1" t="str">
        <f>IF(B763="","",CONCATENATE(B763,".",C763,"/Pos ",D763,"/",'Extraction edi'!G773))</f>
        <v/>
      </c>
      <c r="B763" s="1" t="str">
        <f>IF('Extraction edi'!A773="","",'Extraction edi'!A773)</f>
        <v/>
      </c>
      <c r="C763" s="1" t="str">
        <f>IF('Extraction edi'!B773="","",'Extraction edi'!B773)</f>
        <v/>
      </c>
      <c r="D763" s="1" t="str">
        <f>IF('Extraction edi'!H773="","",'Extraction edi'!H773)</f>
        <v/>
      </c>
      <c r="E763" s="1" t="str">
        <f>IF('Extraction edi'!I773="","",'Extraction edi'!I773)</f>
        <v/>
      </c>
      <c r="F763" t="str">
        <f>IF('Extraction edi'!K773="","",'Extraction edi'!K773)</f>
        <v/>
      </c>
      <c r="G763" t="str">
        <f>IF('Extraction edi'!L773="","",'Extraction edi'!L773)</f>
        <v/>
      </c>
      <c r="H763" t="str">
        <f>IF('Extraction edi'!M766="","",'Extraction edi'!M766)</f>
        <v/>
      </c>
      <c r="I763" s="1" t="str">
        <f>IF('Extraction edi'!N773="","",'Extraction edi'!N773)</f>
        <v/>
      </c>
      <c r="J763" s="1" t="str">
        <f>IF('Extraction edi'!O773="","",'Extraction edi'!O773)</f>
        <v/>
      </c>
      <c r="K763" s="1" t="str">
        <f>IF('Extraction edi'!P773="","",'Extraction edi'!P773)</f>
        <v/>
      </c>
      <c r="L763" s="1" t="str">
        <f>IF('Extraction edi'!Q773="laquage RAL :","OUI","")</f>
        <v/>
      </c>
      <c r="M763" s="1" t="str">
        <f>IF('Extraction edi'!R773&lt;&gt;"",'Extraction edi'!R773,IF(G763="ALU blanc","S9016",""))</f>
        <v/>
      </c>
      <c r="N763" s="1" t="str">
        <f>IF('Extraction edi'!S773&lt;&gt;"",'Extraction edi'!S773,IF(G763="ALU blanc","S9016",""))</f>
        <v/>
      </c>
      <c r="O763" s="11" t="str">
        <f>IF('Extraction edi'!V773&lt;'Feuille commande'!$E$1,"DELAI NON COMPATIBLE",IF('Extraction edi'!V773="","",WORKDAY('Extraction edi'!V773,-10,Paramètrage!$G$2:$G$104)))</f>
        <v/>
      </c>
      <c r="P763" s="1" t="e">
        <f t="shared" si="11"/>
        <v>#VALUE!</v>
      </c>
    </row>
    <row r="764" spans="1:16" x14ac:dyDescent="0.25">
      <c r="A764" s="1" t="str">
        <f>IF(B764="","",CONCATENATE(B764,".",C764,"/Pos ",D764,"/",'Extraction edi'!G774))</f>
        <v/>
      </c>
      <c r="B764" s="1" t="str">
        <f>IF('Extraction edi'!A774="","",'Extraction edi'!A774)</f>
        <v/>
      </c>
      <c r="C764" s="1" t="str">
        <f>IF('Extraction edi'!B774="","",'Extraction edi'!B774)</f>
        <v/>
      </c>
      <c r="D764" s="1" t="str">
        <f>IF('Extraction edi'!H774="","",'Extraction edi'!H774)</f>
        <v/>
      </c>
      <c r="E764" s="1" t="str">
        <f>IF('Extraction edi'!I774="","",'Extraction edi'!I774)</f>
        <v/>
      </c>
      <c r="F764" t="str">
        <f>IF('Extraction edi'!K774="","",'Extraction edi'!K774)</f>
        <v/>
      </c>
      <c r="G764" t="str">
        <f>IF('Extraction edi'!L774="","",'Extraction edi'!L774)</f>
        <v/>
      </c>
      <c r="H764" t="str">
        <f>IF('Extraction edi'!M767="","",'Extraction edi'!M767)</f>
        <v/>
      </c>
      <c r="I764" s="1" t="str">
        <f>IF('Extraction edi'!N774="","",'Extraction edi'!N774)</f>
        <v/>
      </c>
      <c r="J764" s="1" t="str">
        <f>IF('Extraction edi'!O774="","",'Extraction edi'!O774)</f>
        <v/>
      </c>
      <c r="K764" s="1" t="str">
        <f>IF('Extraction edi'!P774="","",'Extraction edi'!P774)</f>
        <v/>
      </c>
      <c r="L764" s="1" t="str">
        <f>IF('Extraction edi'!Q774="laquage RAL :","OUI","")</f>
        <v/>
      </c>
      <c r="M764" s="1" t="str">
        <f>IF('Extraction edi'!R774&lt;&gt;"",'Extraction edi'!R774,IF(G764="ALU blanc","S9016",""))</f>
        <v/>
      </c>
      <c r="N764" s="1" t="str">
        <f>IF('Extraction edi'!S774&lt;&gt;"",'Extraction edi'!S774,IF(G764="ALU blanc","S9016",""))</f>
        <v/>
      </c>
      <c r="O764" s="11" t="str">
        <f>IF('Extraction edi'!V774&lt;'Feuille commande'!$E$1,"DELAI NON COMPATIBLE",IF('Extraction edi'!V774="","",WORKDAY('Extraction edi'!V774,-10,Paramètrage!$G$2:$G$104)))</f>
        <v/>
      </c>
      <c r="P764" s="1" t="e">
        <f t="shared" si="11"/>
        <v>#VALUE!</v>
      </c>
    </row>
    <row r="765" spans="1:16" x14ac:dyDescent="0.25">
      <c r="A765" s="1" t="str">
        <f>IF(B765="","",CONCATENATE(B765,".",C765,"/Pos ",D765,"/",'Extraction edi'!G775))</f>
        <v/>
      </c>
      <c r="B765" s="1" t="str">
        <f>IF('Extraction edi'!A775="","",'Extraction edi'!A775)</f>
        <v/>
      </c>
      <c r="C765" s="1" t="str">
        <f>IF('Extraction edi'!B775="","",'Extraction edi'!B775)</f>
        <v/>
      </c>
      <c r="D765" s="1" t="str">
        <f>IF('Extraction edi'!H775="","",'Extraction edi'!H775)</f>
        <v/>
      </c>
      <c r="E765" s="1" t="str">
        <f>IF('Extraction edi'!I775="","",'Extraction edi'!I775)</f>
        <v/>
      </c>
      <c r="F765" t="str">
        <f>IF('Extraction edi'!K775="","",'Extraction edi'!K775)</f>
        <v/>
      </c>
      <c r="G765" t="str">
        <f>IF('Extraction edi'!L775="","",'Extraction edi'!L775)</f>
        <v/>
      </c>
      <c r="H765" t="str">
        <f>IF('Extraction edi'!M768="","",'Extraction edi'!M768)</f>
        <v/>
      </c>
      <c r="I765" s="1" t="str">
        <f>IF('Extraction edi'!N775="","",'Extraction edi'!N775)</f>
        <v/>
      </c>
      <c r="J765" s="1" t="str">
        <f>IF('Extraction edi'!O775="","",'Extraction edi'!O775)</f>
        <v/>
      </c>
      <c r="K765" s="1" t="str">
        <f>IF('Extraction edi'!P775="","",'Extraction edi'!P775)</f>
        <v/>
      </c>
      <c r="L765" s="1" t="str">
        <f>IF('Extraction edi'!Q775="laquage RAL :","OUI","")</f>
        <v/>
      </c>
      <c r="M765" s="1" t="str">
        <f>IF('Extraction edi'!R775&lt;&gt;"",'Extraction edi'!R775,IF(G765="ALU blanc","S9016",""))</f>
        <v/>
      </c>
      <c r="N765" s="1" t="str">
        <f>IF('Extraction edi'!S775&lt;&gt;"",'Extraction edi'!S775,IF(G765="ALU blanc","S9016",""))</f>
        <v/>
      </c>
      <c r="O765" s="11" t="str">
        <f>IF('Extraction edi'!V775&lt;'Feuille commande'!$E$1,"DELAI NON COMPATIBLE",IF('Extraction edi'!V775="","",WORKDAY('Extraction edi'!V775,-10,Paramètrage!$G$2:$G$104)))</f>
        <v/>
      </c>
      <c r="P765" s="1" t="e">
        <f t="shared" si="11"/>
        <v>#VALUE!</v>
      </c>
    </row>
    <row r="766" spans="1:16" x14ac:dyDescent="0.25">
      <c r="A766" s="1" t="str">
        <f>IF(B766="","",CONCATENATE(B766,".",C766,"/Pos ",D766,"/",'Extraction edi'!G776))</f>
        <v/>
      </c>
      <c r="B766" s="1" t="str">
        <f>IF('Extraction edi'!A776="","",'Extraction edi'!A776)</f>
        <v/>
      </c>
      <c r="C766" s="1" t="str">
        <f>IF('Extraction edi'!B776="","",'Extraction edi'!B776)</f>
        <v/>
      </c>
      <c r="D766" s="1" t="str">
        <f>IF('Extraction edi'!H776="","",'Extraction edi'!H776)</f>
        <v/>
      </c>
      <c r="E766" s="1" t="str">
        <f>IF('Extraction edi'!I776="","",'Extraction edi'!I776)</f>
        <v/>
      </c>
      <c r="F766" t="str">
        <f>IF('Extraction edi'!K776="","",'Extraction edi'!K776)</f>
        <v/>
      </c>
      <c r="G766" t="str">
        <f>IF('Extraction edi'!L776="","",'Extraction edi'!L776)</f>
        <v/>
      </c>
      <c r="H766" t="str">
        <f>IF('Extraction edi'!M769="","",'Extraction edi'!M769)</f>
        <v/>
      </c>
      <c r="I766" s="1" t="str">
        <f>IF('Extraction edi'!N776="","",'Extraction edi'!N776)</f>
        <v/>
      </c>
      <c r="J766" s="1" t="str">
        <f>IF('Extraction edi'!O776="","",'Extraction edi'!O776)</f>
        <v/>
      </c>
      <c r="K766" s="1" t="str">
        <f>IF('Extraction edi'!P776="","",'Extraction edi'!P776)</f>
        <v/>
      </c>
      <c r="L766" s="1" t="str">
        <f>IF('Extraction edi'!Q776="laquage RAL :","OUI","")</f>
        <v/>
      </c>
      <c r="M766" s="1" t="str">
        <f>IF('Extraction edi'!R776&lt;&gt;"",'Extraction edi'!R776,IF(G766="ALU blanc","S9016",""))</f>
        <v/>
      </c>
      <c r="N766" s="1" t="str">
        <f>IF('Extraction edi'!S776&lt;&gt;"",'Extraction edi'!S776,IF(G766="ALU blanc","S9016",""))</f>
        <v/>
      </c>
      <c r="O766" s="11" t="str">
        <f>IF('Extraction edi'!V776&lt;'Feuille commande'!$E$1,"DELAI NON COMPATIBLE",IF('Extraction edi'!V776="","",WORKDAY('Extraction edi'!V776,-10,Paramètrage!$G$2:$G$104)))</f>
        <v/>
      </c>
      <c r="P766" s="1" t="e">
        <f t="shared" ref="P766:P829" si="12">WEEKDAY(O766,2)</f>
        <v>#VALUE!</v>
      </c>
    </row>
    <row r="767" spans="1:16" x14ac:dyDescent="0.25">
      <c r="A767" s="1" t="str">
        <f>IF(B767="","",CONCATENATE(B767,".",C767,"/Pos ",D767,"/",'Extraction edi'!G777))</f>
        <v/>
      </c>
      <c r="B767" s="1" t="str">
        <f>IF('Extraction edi'!A777="","",'Extraction edi'!A777)</f>
        <v/>
      </c>
      <c r="C767" s="1" t="str">
        <f>IF('Extraction edi'!B777="","",'Extraction edi'!B777)</f>
        <v/>
      </c>
      <c r="D767" s="1" t="str">
        <f>IF('Extraction edi'!H777="","",'Extraction edi'!H777)</f>
        <v/>
      </c>
      <c r="E767" s="1" t="str">
        <f>IF('Extraction edi'!I777="","",'Extraction edi'!I777)</f>
        <v/>
      </c>
      <c r="F767" t="str">
        <f>IF('Extraction edi'!K777="","",'Extraction edi'!K777)</f>
        <v/>
      </c>
      <c r="G767" t="str">
        <f>IF('Extraction edi'!L777="","",'Extraction edi'!L777)</f>
        <v/>
      </c>
      <c r="H767" t="str">
        <f>IF('Extraction edi'!M770="","",'Extraction edi'!M770)</f>
        <v/>
      </c>
      <c r="I767" s="1" t="str">
        <f>IF('Extraction edi'!N777="","",'Extraction edi'!N777)</f>
        <v/>
      </c>
      <c r="J767" s="1" t="str">
        <f>IF('Extraction edi'!O777="","",'Extraction edi'!O777)</f>
        <v/>
      </c>
      <c r="K767" s="1" t="str">
        <f>IF('Extraction edi'!P777="","",'Extraction edi'!P777)</f>
        <v/>
      </c>
      <c r="L767" s="1" t="str">
        <f>IF('Extraction edi'!Q777="laquage RAL :","OUI","")</f>
        <v/>
      </c>
      <c r="M767" s="1" t="str">
        <f>IF('Extraction edi'!R777&lt;&gt;"",'Extraction edi'!R777,IF(G767="ALU blanc","S9016",""))</f>
        <v/>
      </c>
      <c r="N767" s="1" t="str">
        <f>IF('Extraction edi'!S777&lt;&gt;"",'Extraction edi'!S777,IF(G767="ALU blanc","S9016",""))</f>
        <v/>
      </c>
      <c r="O767" s="11" t="str">
        <f>IF('Extraction edi'!V777&lt;'Feuille commande'!$E$1,"DELAI NON COMPATIBLE",IF('Extraction edi'!V777="","",WORKDAY('Extraction edi'!V777,-10,Paramètrage!$G$2:$G$104)))</f>
        <v/>
      </c>
      <c r="P767" s="1" t="e">
        <f t="shared" si="12"/>
        <v>#VALUE!</v>
      </c>
    </row>
    <row r="768" spans="1:16" x14ac:dyDescent="0.25">
      <c r="A768" s="1" t="str">
        <f>IF(B768="","",CONCATENATE(B768,".",C768,"/Pos ",D768,"/",'Extraction edi'!G778))</f>
        <v/>
      </c>
      <c r="B768" s="1" t="str">
        <f>IF('Extraction edi'!A778="","",'Extraction edi'!A778)</f>
        <v/>
      </c>
      <c r="C768" s="1" t="str">
        <f>IF('Extraction edi'!B778="","",'Extraction edi'!B778)</f>
        <v/>
      </c>
      <c r="D768" s="1" t="str">
        <f>IF('Extraction edi'!H778="","",'Extraction edi'!H778)</f>
        <v/>
      </c>
      <c r="E768" s="1" t="str">
        <f>IF('Extraction edi'!I778="","",'Extraction edi'!I778)</f>
        <v/>
      </c>
      <c r="F768" t="str">
        <f>IF('Extraction edi'!K778="","",'Extraction edi'!K778)</f>
        <v/>
      </c>
      <c r="G768" t="str">
        <f>IF('Extraction edi'!L778="","",'Extraction edi'!L778)</f>
        <v/>
      </c>
      <c r="H768" t="str">
        <f>IF('Extraction edi'!M771="","",'Extraction edi'!M771)</f>
        <v/>
      </c>
      <c r="I768" s="1" t="str">
        <f>IF('Extraction edi'!N778="","",'Extraction edi'!N778)</f>
        <v/>
      </c>
      <c r="J768" s="1" t="str">
        <f>IF('Extraction edi'!O778="","",'Extraction edi'!O778)</f>
        <v/>
      </c>
      <c r="K768" s="1" t="str">
        <f>IF('Extraction edi'!P778="","",'Extraction edi'!P778)</f>
        <v/>
      </c>
      <c r="L768" s="1" t="str">
        <f>IF('Extraction edi'!Q778="laquage RAL :","OUI","")</f>
        <v/>
      </c>
      <c r="M768" s="1" t="str">
        <f>IF('Extraction edi'!R778&lt;&gt;"",'Extraction edi'!R778,IF(G768="ALU blanc","S9016",""))</f>
        <v/>
      </c>
      <c r="N768" s="1" t="str">
        <f>IF('Extraction edi'!S778&lt;&gt;"",'Extraction edi'!S778,IF(G768="ALU blanc","S9016",""))</f>
        <v/>
      </c>
      <c r="O768" s="11" t="str">
        <f>IF('Extraction edi'!V778&lt;'Feuille commande'!$E$1,"DELAI NON COMPATIBLE",IF('Extraction edi'!V778="","",WORKDAY('Extraction edi'!V778,-10,Paramètrage!$G$2:$G$104)))</f>
        <v/>
      </c>
      <c r="P768" s="1" t="e">
        <f t="shared" si="12"/>
        <v>#VALUE!</v>
      </c>
    </row>
    <row r="769" spans="1:16" x14ac:dyDescent="0.25">
      <c r="A769" s="1" t="str">
        <f>IF(B769="","",CONCATENATE(B769,".",C769,"/Pos ",D769,"/",'Extraction edi'!G779))</f>
        <v/>
      </c>
      <c r="B769" s="1" t="str">
        <f>IF('Extraction edi'!A779="","",'Extraction edi'!A779)</f>
        <v/>
      </c>
      <c r="C769" s="1" t="str">
        <f>IF('Extraction edi'!B779="","",'Extraction edi'!B779)</f>
        <v/>
      </c>
      <c r="D769" s="1" t="str">
        <f>IF('Extraction edi'!H779="","",'Extraction edi'!H779)</f>
        <v/>
      </c>
      <c r="E769" s="1" t="str">
        <f>IF('Extraction edi'!I779="","",'Extraction edi'!I779)</f>
        <v/>
      </c>
      <c r="F769" t="str">
        <f>IF('Extraction edi'!K779="","",'Extraction edi'!K779)</f>
        <v/>
      </c>
      <c r="G769" t="str">
        <f>IF('Extraction edi'!L779="","",'Extraction edi'!L779)</f>
        <v/>
      </c>
      <c r="H769" t="str">
        <f>IF('Extraction edi'!M772="","",'Extraction edi'!M772)</f>
        <v/>
      </c>
      <c r="I769" s="1" t="str">
        <f>IF('Extraction edi'!N779="","",'Extraction edi'!N779)</f>
        <v/>
      </c>
      <c r="J769" s="1" t="str">
        <f>IF('Extraction edi'!O779="","",'Extraction edi'!O779)</f>
        <v/>
      </c>
      <c r="K769" s="1" t="str">
        <f>IF('Extraction edi'!P779="","",'Extraction edi'!P779)</f>
        <v/>
      </c>
      <c r="L769" s="1" t="str">
        <f>IF('Extraction edi'!Q779="laquage RAL :","OUI","")</f>
        <v/>
      </c>
      <c r="M769" s="1" t="str">
        <f>IF('Extraction edi'!R779&lt;&gt;"",'Extraction edi'!R779,IF(G769="ALU blanc","S9016",""))</f>
        <v/>
      </c>
      <c r="N769" s="1" t="str">
        <f>IF('Extraction edi'!S779&lt;&gt;"",'Extraction edi'!S779,IF(G769="ALU blanc","S9016",""))</f>
        <v/>
      </c>
      <c r="O769" s="11" t="str">
        <f>IF('Extraction edi'!V779&lt;'Feuille commande'!$E$1,"DELAI NON COMPATIBLE",IF('Extraction edi'!V779="","",WORKDAY('Extraction edi'!V779,-10,Paramètrage!$G$2:$G$104)))</f>
        <v/>
      </c>
      <c r="P769" s="1" t="e">
        <f t="shared" si="12"/>
        <v>#VALUE!</v>
      </c>
    </row>
    <row r="770" spans="1:16" x14ac:dyDescent="0.25">
      <c r="A770" s="1" t="str">
        <f>IF(B770="","",CONCATENATE(B770,".",C770,"/Pos ",D770,"/",'Extraction edi'!G780))</f>
        <v/>
      </c>
      <c r="B770" s="1" t="str">
        <f>IF('Extraction edi'!A780="","",'Extraction edi'!A780)</f>
        <v/>
      </c>
      <c r="C770" s="1" t="str">
        <f>IF('Extraction edi'!B780="","",'Extraction edi'!B780)</f>
        <v/>
      </c>
      <c r="D770" s="1" t="str">
        <f>IF('Extraction edi'!H780="","",'Extraction edi'!H780)</f>
        <v/>
      </c>
      <c r="E770" s="1" t="str">
        <f>IF('Extraction edi'!I780="","",'Extraction edi'!I780)</f>
        <v/>
      </c>
      <c r="F770" t="str">
        <f>IF('Extraction edi'!K780="","",'Extraction edi'!K780)</f>
        <v/>
      </c>
      <c r="G770" t="str">
        <f>IF('Extraction edi'!L780="","",'Extraction edi'!L780)</f>
        <v/>
      </c>
      <c r="H770" t="str">
        <f>IF('Extraction edi'!M773="","",'Extraction edi'!M773)</f>
        <v/>
      </c>
      <c r="I770" s="1" t="str">
        <f>IF('Extraction edi'!N780="","",'Extraction edi'!N780)</f>
        <v/>
      </c>
      <c r="J770" s="1" t="str">
        <f>IF('Extraction edi'!O780="","",'Extraction edi'!O780)</f>
        <v/>
      </c>
      <c r="K770" s="1" t="str">
        <f>IF('Extraction edi'!P780="","",'Extraction edi'!P780)</f>
        <v/>
      </c>
      <c r="L770" s="1" t="str">
        <f>IF('Extraction edi'!Q780="laquage RAL :","OUI","")</f>
        <v/>
      </c>
      <c r="M770" s="1" t="str">
        <f>IF('Extraction edi'!R780&lt;&gt;"",'Extraction edi'!R780,IF(G770="ALU blanc","S9016",""))</f>
        <v/>
      </c>
      <c r="N770" s="1" t="str">
        <f>IF('Extraction edi'!S780&lt;&gt;"",'Extraction edi'!S780,IF(G770="ALU blanc","S9016",""))</f>
        <v/>
      </c>
      <c r="O770" s="11" t="str">
        <f>IF('Extraction edi'!V780&lt;'Feuille commande'!$E$1,"DELAI NON COMPATIBLE",IF('Extraction edi'!V780="","",WORKDAY('Extraction edi'!V780,-10,Paramètrage!$G$2:$G$104)))</f>
        <v/>
      </c>
      <c r="P770" s="1" t="e">
        <f t="shared" si="12"/>
        <v>#VALUE!</v>
      </c>
    </row>
    <row r="771" spans="1:16" x14ac:dyDescent="0.25">
      <c r="A771" s="1" t="str">
        <f>IF(B771="","",CONCATENATE(B771,".",C771,"/Pos ",D771,"/",'Extraction edi'!G781))</f>
        <v/>
      </c>
      <c r="B771" s="1" t="str">
        <f>IF('Extraction edi'!A781="","",'Extraction edi'!A781)</f>
        <v/>
      </c>
      <c r="C771" s="1" t="str">
        <f>IF('Extraction edi'!B781="","",'Extraction edi'!B781)</f>
        <v/>
      </c>
      <c r="D771" s="1" t="str">
        <f>IF('Extraction edi'!H781="","",'Extraction edi'!H781)</f>
        <v/>
      </c>
      <c r="E771" s="1" t="str">
        <f>IF('Extraction edi'!I781="","",'Extraction edi'!I781)</f>
        <v/>
      </c>
      <c r="F771" t="str">
        <f>IF('Extraction edi'!K781="","",'Extraction edi'!K781)</f>
        <v/>
      </c>
      <c r="G771" t="str">
        <f>IF('Extraction edi'!L781="","",'Extraction edi'!L781)</f>
        <v/>
      </c>
      <c r="H771" t="str">
        <f>IF('Extraction edi'!M774="","",'Extraction edi'!M774)</f>
        <v/>
      </c>
      <c r="I771" s="1" t="str">
        <f>IF('Extraction edi'!N781="","",'Extraction edi'!N781)</f>
        <v/>
      </c>
      <c r="J771" s="1" t="str">
        <f>IF('Extraction edi'!O781="","",'Extraction edi'!O781)</f>
        <v/>
      </c>
      <c r="K771" s="1" t="str">
        <f>IF('Extraction edi'!P781="","",'Extraction edi'!P781)</f>
        <v/>
      </c>
      <c r="L771" s="1" t="str">
        <f>IF('Extraction edi'!Q781="laquage RAL :","OUI","")</f>
        <v/>
      </c>
      <c r="M771" s="1" t="str">
        <f>IF('Extraction edi'!R781&lt;&gt;"",'Extraction edi'!R781,IF(G771="ALU blanc","S9016",""))</f>
        <v/>
      </c>
      <c r="N771" s="1" t="str">
        <f>IF('Extraction edi'!S781&lt;&gt;"",'Extraction edi'!S781,IF(G771="ALU blanc","S9016",""))</f>
        <v/>
      </c>
      <c r="O771" s="11" t="str">
        <f>IF('Extraction edi'!V781&lt;'Feuille commande'!$E$1,"DELAI NON COMPATIBLE",IF('Extraction edi'!V781="","",WORKDAY('Extraction edi'!V781,-10,Paramètrage!$G$2:$G$104)))</f>
        <v/>
      </c>
      <c r="P771" s="1" t="e">
        <f t="shared" si="12"/>
        <v>#VALUE!</v>
      </c>
    </row>
    <row r="772" spans="1:16" x14ac:dyDescent="0.25">
      <c r="A772" s="1" t="str">
        <f>IF(B772="","",CONCATENATE(B772,".",C772,"/Pos ",D772,"/",'Extraction edi'!G782))</f>
        <v/>
      </c>
      <c r="B772" s="1" t="str">
        <f>IF('Extraction edi'!A782="","",'Extraction edi'!A782)</f>
        <v/>
      </c>
      <c r="C772" s="1" t="str">
        <f>IF('Extraction edi'!B782="","",'Extraction edi'!B782)</f>
        <v/>
      </c>
      <c r="D772" s="1" t="str">
        <f>IF('Extraction edi'!H782="","",'Extraction edi'!H782)</f>
        <v/>
      </c>
      <c r="E772" s="1" t="str">
        <f>IF('Extraction edi'!I782="","",'Extraction edi'!I782)</f>
        <v/>
      </c>
      <c r="F772" t="str">
        <f>IF('Extraction edi'!K782="","",'Extraction edi'!K782)</f>
        <v/>
      </c>
      <c r="G772" t="str">
        <f>IF('Extraction edi'!L782="","",'Extraction edi'!L782)</f>
        <v/>
      </c>
      <c r="H772" t="str">
        <f>IF('Extraction edi'!M775="","",'Extraction edi'!M775)</f>
        <v/>
      </c>
      <c r="I772" s="1" t="str">
        <f>IF('Extraction edi'!N782="","",'Extraction edi'!N782)</f>
        <v/>
      </c>
      <c r="J772" s="1" t="str">
        <f>IF('Extraction edi'!O782="","",'Extraction edi'!O782)</f>
        <v/>
      </c>
      <c r="K772" s="1" t="str">
        <f>IF('Extraction edi'!P782="","",'Extraction edi'!P782)</f>
        <v/>
      </c>
      <c r="L772" s="1" t="str">
        <f>IF('Extraction edi'!Q782="laquage RAL :","OUI","")</f>
        <v/>
      </c>
      <c r="M772" s="1" t="str">
        <f>IF('Extraction edi'!R782&lt;&gt;"",'Extraction edi'!R782,IF(G772="ALU blanc","S9016",""))</f>
        <v/>
      </c>
      <c r="N772" s="1" t="str">
        <f>IF('Extraction edi'!S782&lt;&gt;"",'Extraction edi'!S782,IF(G772="ALU blanc","S9016",""))</f>
        <v/>
      </c>
      <c r="O772" s="11" t="str">
        <f>IF('Extraction edi'!V782&lt;'Feuille commande'!$E$1,"DELAI NON COMPATIBLE",IF('Extraction edi'!V782="","",WORKDAY('Extraction edi'!V782,-10,Paramètrage!$G$2:$G$104)))</f>
        <v/>
      </c>
      <c r="P772" s="1" t="e">
        <f t="shared" si="12"/>
        <v>#VALUE!</v>
      </c>
    </row>
    <row r="773" spans="1:16" x14ac:dyDescent="0.25">
      <c r="A773" s="1" t="str">
        <f>IF(B773="","",CONCATENATE(B773,".",C773,"/Pos ",D773,"/",'Extraction edi'!G783))</f>
        <v/>
      </c>
      <c r="B773" s="1" t="str">
        <f>IF('Extraction edi'!A783="","",'Extraction edi'!A783)</f>
        <v/>
      </c>
      <c r="C773" s="1" t="str">
        <f>IF('Extraction edi'!B783="","",'Extraction edi'!B783)</f>
        <v/>
      </c>
      <c r="D773" s="1" t="str">
        <f>IF('Extraction edi'!H783="","",'Extraction edi'!H783)</f>
        <v/>
      </c>
      <c r="E773" s="1" t="str">
        <f>IF('Extraction edi'!I783="","",'Extraction edi'!I783)</f>
        <v/>
      </c>
      <c r="F773" t="str">
        <f>IF('Extraction edi'!K783="","",'Extraction edi'!K783)</f>
        <v/>
      </c>
      <c r="G773" t="str">
        <f>IF('Extraction edi'!L783="","",'Extraction edi'!L783)</f>
        <v/>
      </c>
      <c r="H773" t="str">
        <f>IF('Extraction edi'!M776="","",'Extraction edi'!M776)</f>
        <v/>
      </c>
      <c r="I773" s="1" t="str">
        <f>IF('Extraction edi'!N783="","",'Extraction edi'!N783)</f>
        <v/>
      </c>
      <c r="J773" s="1" t="str">
        <f>IF('Extraction edi'!O783="","",'Extraction edi'!O783)</f>
        <v/>
      </c>
      <c r="K773" s="1" t="str">
        <f>IF('Extraction edi'!P783="","",'Extraction edi'!P783)</f>
        <v/>
      </c>
      <c r="L773" s="1" t="str">
        <f>IF('Extraction edi'!Q783="laquage RAL :","OUI","")</f>
        <v/>
      </c>
      <c r="M773" s="1" t="str">
        <f>IF('Extraction edi'!R783&lt;&gt;"",'Extraction edi'!R783,IF(G773="ALU blanc","S9016",""))</f>
        <v/>
      </c>
      <c r="N773" s="1" t="str">
        <f>IF('Extraction edi'!S783&lt;&gt;"",'Extraction edi'!S783,IF(G773="ALU blanc","S9016",""))</f>
        <v/>
      </c>
      <c r="O773" s="11" t="str">
        <f>IF('Extraction edi'!V783&lt;'Feuille commande'!$E$1,"DELAI NON COMPATIBLE",IF('Extraction edi'!V783="","",WORKDAY('Extraction edi'!V783,-10,Paramètrage!$G$2:$G$104)))</f>
        <v/>
      </c>
      <c r="P773" s="1" t="e">
        <f t="shared" si="12"/>
        <v>#VALUE!</v>
      </c>
    </row>
    <row r="774" spans="1:16" x14ac:dyDescent="0.25">
      <c r="A774" s="1" t="str">
        <f>IF(B774="","",CONCATENATE(B774,".",C774,"/Pos ",D774,"/",'Extraction edi'!G784))</f>
        <v/>
      </c>
      <c r="B774" s="1" t="str">
        <f>IF('Extraction edi'!A784="","",'Extraction edi'!A784)</f>
        <v/>
      </c>
      <c r="C774" s="1" t="str">
        <f>IF('Extraction edi'!B784="","",'Extraction edi'!B784)</f>
        <v/>
      </c>
      <c r="D774" s="1" t="str">
        <f>IF('Extraction edi'!H784="","",'Extraction edi'!H784)</f>
        <v/>
      </c>
      <c r="E774" s="1" t="str">
        <f>IF('Extraction edi'!I784="","",'Extraction edi'!I784)</f>
        <v/>
      </c>
      <c r="F774" t="str">
        <f>IF('Extraction edi'!K784="","",'Extraction edi'!K784)</f>
        <v/>
      </c>
      <c r="G774" t="str">
        <f>IF('Extraction edi'!L784="","",'Extraction edi'!L784)</f>
        <v/>
      </c>
      <c r="H774" t="str">
        <f>IF('Extraction edi'!M777="","",'Extraction edi'!M777)</f>
        <v/>
      </c>
      <c r="I774" s="1" t="str">
        <f>IF('Extraction edi'!N784="","",'Extraction edi'!N784)</f>
        <v/>
      </c>
      <c r="J774" s="1" t="str">
        <f>IF('Extraction edi'!O784="","",'Extraction edi'!O784)</f>
        <v/>
      </c>
      <c r="K774" s="1" t="str">
        <f>IF('Extraction edi'!P784="","",'Extraction edi'!P784)</f>
        <v/>
      </c>
      <c r="L774" s="1" t="str">
        <f>IF('Extraction edi'!Q784="laquage RAL :","OUI","")</f>
        <v/>
      </c>
      <c r="M774" s="1" t="str">
        <f>IF('Extraction edi'!R784&lt;&gt;"",'Extraction edi'!R784,IF(G774="ALU blanc","S9016",""))</f>
        <v/>
      </c>
      <c r="N774" s="1" t="str">
        <f>IF('Extraction edi'!S784&lt;&gt;"",'Extraction edi'!S784,IF(G774="ALU blanc","S9016",""))</f>
        <v/>
      </c>
      <c r="O774" s="11" t="str">
        <f>IF('Extraction edi'!V784&lt;'Feuille commande'!$E$1,"DELAI NON COMPATIBLE",IF('Extraction edi'!V784="","",WORKDAY('Extraction edi'!V784,-10,Paramètrage!$G$2:$G$104)))</f>
        <v/>
      </c>
      <c r="P774" s="1" t="e">
        <f t="shared" si="12"/>
        <v>#VALUE!</v>
      </c>
    </row>
    <row r="775" spans="1:16" x14ac:dyDescent="0.25">
      <c r="A775" s="1" t="str">
        <f>IF(B775="","",CONCATENATE(B775,".",C775,"/Pos ",D775,"/",'Extraction edi'!G785))</f>
        <v/>
      </c>
      <c r="B775" s="1" t="str">
        <f>IF('Extraction edi'!A785="","",'Extraction edi'!A785)</f>
        <v/>
      </c>
      <c r="C775" s="1" t="str">
        <f>IF('Extraction edi'!B785="","",'Extraction edi'!B785)</f>
        <v/>
      </c>
      <c r="D775" s="1" t="str">
        <f>IF('Extraction edi'!H785="","",'Extraction edi'!H785)</f>
        <v/>
      </c>
      <c r="E775" s="1" t="str">
        <f>IF('Extraction edi'!I785="","",'Extraction edi'!I785)</f>
        <v/>
      </c>
      <c r="F775" t="str">
        <f>IF('Extraction edi'!K785="","",'Extraction edi'!K785)</f>
        <v/>
      </c>
      <c r="G775" t="str">
        <f>IF('Extraction edi'!L785="","",'Extraction edi'!L785)</f>
        <v/>
      </c>
      <c r="H775" t="str">
        <f>IF('Extraction edi'!M778="","",'Extraction edi'!M778)</f>
        <v/>
      </c>
      <c r="I775" s="1" t="str">
        <f>IF('Extraction edi'!N785="","",'Extraction edi'!N785)</f>
        <v/>
      </c>
      <c r="J775" s="1" t="str">
        <f>IF('Extraction edi'!O785="","",'Extraction edi'!O785)</f>
        <v/>
      </c>
      <c r="K775" s="1" t="str">
        <f>IF('Extraction edi'!P785="","",'Extraction edi'!P785)</f>
        <v/>
      </c>
      <c r="L775" s="1" t="str">
        <f>IF('Extraction edi'!Q785="laquage RAL :","OUI","")</f>
        <v/>
      </c>
      <c r="M775" s="1" t="str">
        <f>IF('Extraction edi'!R785&lt;&gt;"",'Extraction edi'!R785,IF(G775="ALU blanc","S9016",""))</f>
        <v/>
      </c>
      <c r="N775" s="1" t="str">
        <f>IF('Extraction edi'!S785&lt;&gt;"",'Extraction edi'!S785,IF(G775="ALU blanc","S9016",""))</f>
        <v/>
      </c>
      <c r="O775" s="11" t="str">
        <f>IF('Extraction edi'!V785&lt;'Feuille commande'!$E$1,"DELAI NON COMPATIBLE",IF('Extraction edi'!V785="","",WORKDAY('Extraction edi'!V785,-10,Paramètrage!$G$2:$G$104)))</f>
        <v/>
      </c>
      <c r="P775" s="1" t="e">
        <f t="shared" si="12"/>
        <v>#VALUE!</v>
      </c>
    </row>
    <row r="776" spans="1:16" x14ac:dyDescent="0.25">
      <c r="A776" s="1" t="str">
        <f>IF(B776="","",CONCATENATE(B776,".",C776,"/Pos ",D776,"/",'Extraction edi'!G786))</f>
        <v/>
      </c>
      <c r="B776" s="1" t="str">
        <f>IF('Extraction edi'!A786="","",'Extraction edi'!A786)</f>
        <v/>
      </c>
      <c r="C776" s="1" t="str">
        <f>IF('Extraction edi'!B786="","",'Extraction edi'!B786)</f>
        <v/>
      </c>
      <c r="D776" s="1" t="str">
        <f>IF('Extraction edi'!H786="","",'Extraction edi'!H786)</f>
        <v/>
      </c>
      <c r="E776" s="1" t="str">
        <f>IF('Extraction edi'!I786="","",'Extraction edi'!I786)</f>
        <v/>
      </c>
      <c r="F776" t="str">
        <f>IF('Extraction edi'!K786="","",'Extraction edi'!K786)</f>
        <v/>
      </c>
      <c r="G776" t="str">
        <f>IF('Extraction edi'!L786="","",'Extraction edi'!L786)</f>
        <v/>
      </c>
      <c r="H776" t="str">
        <f>IF('Extraction edi'!M779="","",'Extraction edi'!M779)</f>
        <v/>
      </c>
      <c r="I776" s="1" t="str">
        <f>IF('Extraction edi'!N786="","",'Extraction edi'!N786)</f>
        <v/>
      </c>
      <c r="J776" s="1" t="str">
        <f>IF('Extraction edi'!O786="","",'Extraction edi'!O786)</f>
        <v/>
      </c>
      <c r="K776" s="1" t="str">
        <f>IF('Extraction edi'!P786="","",'Extraction edi'!P786)</f>
        <v/>
      </c>
      <c r="L776" s="1" t="str">
        <f>IF('Extraction edi'!Q786="laquage RAL :","OUI","")</f>
        <v/>
      </c>
      <c r="M776" s="1" t="str">
        <f>IF('Extraction edi'!R786&lt;&gt;"",'Extraction edi'!R786,IF(G776="ALU blanc","S9016",""))</f>
        <v/>
      </c>
      <c r="N776" s="1" t="str">
        <f>IF('Extraction edi'!S786&lt;&gt;"",'Extraction edi'!S786,IF(G776="ALU blanc","S9016",""))</f>
        <v/>
      </c>
      <c r="O776" s="11" t="str">
        <f>IF('Extraction edi'!V786&lt;'Feuille commande'!$E$1,"DELAI NON COMPATIBLE",IF('Extraction edi'!V786="","",WORKDAY('Extraction edi'!V786,-10,Paramètrage!$G$2:$G$104)))</f>
        <v/>
      </c>
      <c r="P776" s="1" t="e">
        <f t="shared" si="12"/>
        <v>#VALUE!</v>
      </c>
    </row>
    <row r="777" spans="1:16" x14ac:dyDescent="0.25">
      <c r="A777" s="1" t="str">
        <f>IF(B777="","",CONCATENATE(B777,".",C777,"/Pos ",D777,"/",'Extraction edi'!G787))</f>
        <v/>
      </c>
      <c r="B777" s="1" t="str">
        <f>IF('Extraction edi'!A787="","",'Extraction edi'!A787)</f>
        <v/>
      </c>
      <c r="C777" s="1" t="str">
        <f>IF('Extraction edi'!B787="","",'Extraction edi'!B787)</f>
        <v/>
      </c>
      <c r="D777" s="1" t="str">
        <f>IF('Extraction edi'!H787="","",'Extraction edi'!H787)</f>
        <v/>
      </c>
      <c r="E777" s="1" t="str">
        <f>IF('Extraction edi'!I787="","",'Extraction edi'!I787)</f>
        <v/>
      </c>
      <c r="F777" t="str">
        <f>IF('Extraction edi'!K787="","",'Extraction edi'!K787)</f>
        <v/>
      </c>
      <c r="G777" t="str">
        <f>IF('Extraction edi'!L787="","",'Extraction edi'!L787)</f>
        <v/>
      </c>
      <c r="H777" t="str">
        <f>IF('Extraction edi'!M780="","",'Extraction edi'!M780)</f>
        <v/>
      </c>
      <c r="I777" s="1" t="str">
        <f>IF('Extraction edi'!N787="","",'Extraction edi'!N787)</f>
        <v/>
      </c>
      <c r="J777" s="1" t="str">
        <f>IF('Extraction edi'!O787="","",'Extraction edi'!O787)</f>
        <v/>
      </c>
      <c r="K777" s="1" t="str">
        <f>IF('Extraction edi'!P787="","",'Extraction edi'!P787)</f>
        <v/>
      </c>
      <c r="L777" s="1" t="str">
        <f>IF('Extraction edi'!Q787="laquage RAL :","OUI","")</f>
        <v/>
      </c>
      <c r="M777" s="1" t="str">
        <f>IF('Extraction edi'!R787&lt;&gt;"",'Extraction edi'!R787,IF(G777="ALU blanc","S9016",""))</f>
        <v/>
      </c>
      <c r="N777" s="1" t="str">
        <f>IF('Extraction edi'!S787&lt;&gt;"",'Extraction edi'!S787,IF(G777="ALU blanc","S9016",""))</f>
        <v/>
      </c>
      <c r="O777" s="11" t="str">
        <f>IF('Extraction edi'!V787&lt;'Feuille commande'!$E$1,"DELAI NON COMPATIBLE",IF('Extraction edi'!V787="","",WORKDAY('Extraction edi'!V787,-10,Paramètrage!$G$2:$G$104)))</f>
        <v/>
      </c>
      <c r="P777" s="1" t="e">
        <f t="shared" si="12"/>
        <v>#VALUE!</v>
      </c>
    </row>
    <row r="778" spans="1:16" x14ac:dyDescent="0.25">
      <c r="A778" s="1" t="str">
        <f>IF(B778="","",CONCATENATE(B778,".",C778,"/Pos ",D778,"/",'Extraction edi'!G788))</f>
        <v/>
      </c>
      <c r="B778" s="1" t="str">
        <f>IF('Extraction edi'!A788="","",'Extraction edi'!A788)</f>
        <v/>
      </c>
      <c r="C778" s="1" t="str">
        <f>IF('Extraction edi'!B788="","",'Extraction edi'!B788)</f>
        <v/>
      </c>
      <c r="D778" s="1" t="str">
        <f>IF('Extraction edi'!H788="","",'Extraction edi'!H788)</f>
        <v/>
      </c>
      <c r="E778" s="1" t="str">
        <f>IF('Extraction edi'!I788="","",'Extraction edi'!I788)</f>
        <v/>
      </c>
      <c r="F778" t="str">
        <f>IF('Extraction edi'!K788="","",'Extraction edi'!K788)</f>
        <v/>
      </c>
      <c r="G778" t="str">
        <f>IF('Extraction edi'!L788="","",'Extraction edi'!L788)</f>
        <v/>
      </c>
      <c r="H778" t="str">
        <f>IF('Extraction edi'!M781="","",'Extraction edi'!M781)</f>
        <v/>
      </c>
      <c r="I778" s="1" t="str">
        <f>IF('Extraction edi'!N788="","",'Extraction edi'!N788)</f>
        <v/>
      </c>
      <c r="J778" s="1" t="str">
        <f>IF('Extraction edi'!O788="","",'Extraction edi'!O788)</f>
        <v/>
      </c>
      <c r="K778" s="1" t="str">
        <f>IF('Extraction edi'!P788="","",'Extraction edi'!P788)</f>
        <v/>
      </c>
      <c r="L778" s="1" t="str">
        <f>IF('Extraction edi'!Q788="laquage RAL :","OUI","")</f>
        <v/>
      </c>
      <c r="M778" s="1" t="str">
        <f>IF('Extraction edi'!R788&lt;&gt;"",'Extraction edi'!R788,IF(G778="ALU blanc","S9016",""))</f>
        <v/>
      </c>
      <c r="N778" s="1" t="str">
        <f>IF('Extraction edi'!S788&lt;&gt;"",'Extraction edi'!S788,IF(G778="ALU blanc","S9016",""))</f>
        <v/>
      </c>
      <c r="O778" s="11" t="str">
        <f>IF('Extraction edi'!V788&lt;'Feuille commande'!$E$1,"DELAI NON COMPATIBLE",IF('Extraction edi'!V788="","",WORKDAY('Extraction edi'!V788,-10,Paramètrage!$G$2:$G$104)))</f>
        <v/>
      </c>
      <c r="P778" s="1" t="e">
        <f t="shared" si="12"/>
        <v>#VALUE!</v>
      </c>
    </row>
    <row r="779" spans="1:16" x14ac:dyDescent="0.25">
      <c r="A779" s="1" t="str">
        <f>IF(B779="","",CONCATENATE(B779,".",C779,"/Pos ",D779,"/",'Extraction edi'!G789))</f>
        <v/>
      </c>
      <c r="B779" s="1" t="str">
        <f>IF('Extraction edi'!A789="","",'Extraction edi'!A789)</f>
        <v/>
      </c>
      <c r="C779" s="1" t="str">
        <f>IF('Extraction edi'!B789="","",'Extraction edi'!B789)</f>
        <v/>
      </c>
      <c r="D779" s="1" t="str">
        <f>IF('Extraction edi'!H789="","",'Extraction edi'!H789)</f>
        <v/>
      </c>
      <c r="E779" s="1" t="str">
        <f>IF('Extraction edi'!I789="","",'Extraction edi'!I789)</f>
        <v/>
      </c>
      <c r="F779" t="str">
        <f>IF('Extraction edi'!K789="","",'Extraction edi'!K789)</f>
        <v/>
      </c>
      <c r="G779" t="str">
        <f>IF('Extraction edi'!L789="","",'Extraction edi'!L789)</f>
        <v/>
      </c>
      <c r="H779" t="str">
        <f>IF('Extraction edi'!M782="","",'Extraction edi'!M782)</f>
        <v/>
      </c>
      <c r="I779" s="1" t="str">
        <f>IF('Extraction edi'!N789="","",'Extraction edi'!N789)</f>
        <v/>
      </c>
      <c r="J779" s="1" t="str">
        <f>IF('Extraction edi'!O789="","",'Extraction edi'!O789)</f>
        <v/>
      </c>
      <c r="K779" s="1" t="str">
        <f>IF('Extraction edi'!P789="","",'Extraction edi'!P789)</f>
        <v/>
      </c>
      <c r="L779" s="1" t="str">
        <f>IF('Extraction edi'!Q789="laquage RAL :","OUI","")</f>
        <v/>
      </c>
      <c r="M779" s="1" t="str">
        <f>IF('Extraction edi'!R789&lt;&gt;"",'Extraction edi'!R789,IF(G779="ALU blanc","S9016",""))</f>
        <v/>
      </c>
      <c r="N779" s="1" t="str">
        <f>IF('Extraction edi'!S789&lt;&gt;"",'Extraction edi'!S789,IF(G779="ALU blanc","S9016",""))</f>
        <v/>
      </c>
      <c r="O779" s="11" t="str">
        <f>IF('Extraction edi'!V789&lt;'Feuille commande'!$E$1,"DELAI NON COMPATIBLE",IF('Extraction edi'!V789="","",WORKDAY('Extraction edi'!V789,-10,Paramètrage!$G$2:$G$104)))</f>
        <v/>
      </c>
      <c r="P779" s="1" t="e">
        <f t="shared" si="12"/>
        <v>#VALUE!</v>
      </c>
    </row>
    <row r="780" spans="1:16" x14ac:dyDescent="0.25">
      <c r="A780" s="1" t="str">
        <f>IF(B780="","",CONCATENATE(B780,".",C780,"/Pos ",D780,"/",'Extraction edi'!G790))</f>
        <v/>
      </c>
      <c r="B780" s="1" t="str">
        <f>IF('Extraction edi'!A790="","",'Extraction edi'!A790)</f>
        <v/>
      </c>
      <c r="C780" s="1" t="str">
        <f>IF('Extraction edi'!B790="","",'Extraction edi'!B790)</f>
        <v/>
      </c>
      <c r="D780" s="1" t="str">
        <f>IF('Extraction edi'!H790="","",'Extraction edi'!H790)</f>
        <v/>
      </c>
      <c r="E780" s="1" t="str">
        <f>IF('Extraction edi'!I790="","",'Extraction edi'!I790)</f>
        <v/>
      </c>
      <c r="F780" t="str">
        <f>IF('Extraction edi'!K790="","",'Extraction edi'!K790)</f>
        <v/>
      </c>
      <c r="G780" t="str">
        <f>IF('Extraction edi'!L790="","",'Extraction edi'!L790)</f>
        <v/>
      </c>
      <c r="H780" t="str">
        <f>IF('Extraction edi'!M783="","",'Extraction edi'!M783)</f>
        <v/>
      </c>
      <c r="I780" s="1" t="str">
        <f>IF('Extraction edi'!N790="","",'Extraction edi'!N790)</f>
        <v/>
      </c>
      <c r="J780" s="1" t="str">
        <f>IF('Extraction edi'!O790="","",'Extraction edi'!O790)</f>
        <v/>
      </c>
      <c r="K780" s="1" t="str">
        <f>IF('Extraction edi'!P790="","",'Extraction edi'!P790)</f>
        <v/>
      </c>
      <c r="L780" s="1" t="str">
        <f>IF('Extraction edi'!Q790="laquage RAL :","OUI","")</f>
        <v/>
      </c>
      <c r="M780" s="1" t="str">
        <f>IF('Extraction edi'!R790&lt;&gt;"",'Extraction edi'!R790,IF(G780="ALU blanc","S9016",""))</f>
        <v/>
      </c>
      <c r="N780" s="1" t="str">
        <f>IF('Extraction edi'!S790&lt;&gt;"",'Extraction edi'!S790,IF(G780="ALU blanc","S9016",""))</f>
        <v/>
      </c>
      <c r="O780" s="11" t="str">
        <f>IF('Extraction edi'!V790&lt;'Feuille commande'!$E$1,"DELAI NON COMPATIBLE",IF('Extraction edi'!V790="","",WORKDAY('Extraction edi'!V790,-10,Paramètrage!$G$2:$G$104)))</f>
        <v/>
      </c>
      <c r="P780" s="1" t="e">
        <f t="shared" si="12"/>
        <v>#VALUE!</v>
      </c>
    </row>
    <row r="781" spans="1:16" x14ac:dyDescent="0.25">
      <c r="A781" s="1" t="str">
        <f>IF(B781="","",CONCATENATE(B781,".",C781,"/Pos ",D781,"/",'Extraction edi'!G791))</f>
        <v/>
      </c>
      <c r="B781" s="1" t="str">
        <f>IF('Extraction edi'!A791="","",'Extraction edi'!A791)</f>
        <v/>
      </c>
      <c r="C781" s="1" t="str">
        <f>IF('Extraction edi'!B791="","",'Extraction edi'!B791)</f>
        <v/>
      </c>
      <c r="D781" s="1" t="str">
        <f>IF('Extraction edi'!H791="","",'Extraction edi'!H791)</f>
        <v/>
      </c>
      <c r="E781" s="1" t="str">
        <f>IF('Extraction edi'!I791="","",'Extraction edi'!I791)</f>
        <v/>
      </c>
      <c r="F781" t="str">
        <f>IF('Extraction edi'!K791="","",'Extraction edi'!K791)</f>
        <v/>
      </c>
      <c r="G781" t="str">
        <f>IF('Extraction edi'!L791="","",'Extraction edi'!L791)</f>
        <v/>
      </c>
      <c r="H781" t="str">
        <f>IF('Extraction edi'!M784="","",'Extraction edi'!M784)</f>
        <v/>
      </c>
      <c r="I781" s="1" t="str">
        <f>IF('Extraction edi'!N791="","",'Extraction edi'!N791)</f>
        <v/>
      </c>
      <c r="J781" s="1" t="str">
        <f>IF('Extraction edi'!O791="","",'Extraction edi'!O791)</f>
        <v/>
      </c>
      <c r="K781" s="1" t="str">
        <f>IF('Extraction edi'!P791="","",'Extraction edi'!P791)</f>
        <v/>
      </c>
      <c r="L781" s="1" t="str">
        <f>IF('Extraction edi'!Q791="laquage RAL :","OUI","")</f>
        <v/>
      </c>
      <c r="M781" s="1" t="str">
        <f>IF('Extraction edi'!R791&lt;&gt;"",'Extraction edi'!R791,IF(G781="ALU blanc","S9016",""))</f>
        <v/>
      </c>
      <c r="N781" s="1" t="str">
        <f>IF('Extraction edi'!S791&lt;&gt;"",'Extraction edi'!S791,IF(G781="ALU blanc","S9016",""))</f>
        <v/>
      </c>
      <c r="O781" s="11" t="str">
        <f>IF('Extraction edi'!V791&lt;'Feuille commande'!$E$1,"DELAI NON COMPATIBLE",IF('Extraction edi'!V791="","",WORKDAY('Extraction edi'!V791,-10,Paramètrage!$G$2:$G$104)))</f>
        <v/>
      </c>
      <c r="P781" s="1" t="e">
        <f t="shared" si="12"/>
        <v>#VALUE!</v>
      </c>
    </row>
    <row r="782" spans="1:16" x14ac:dyDescent="0.25">
      <c r="A782" s="1" t="str">
        <f>IF(B782="","",CONCATENATE(B782,".",C782,"/Pos ",D782,"/",'Extraction edi'!G792))</f>
        <v/>
      </c>
      <c r="B782" s="1" t="str">
        <f>IF('Extraction edi'!A792="","",'Extraction edi'!A792)</f>
        <v/>
      </c>
      <c r="C782" s="1" t="str">
        <f>IF('Extraction edi'!B792="","",'Extraction edi'!B792)</f>
        <v/>
      </c>
      <c r="D782" s="1" t="str">
        <f>IF('Extraction edi'!H792="","",'Extraction edi'!H792)</f>
        <v/>
      </c>
      <c r="E782" s="1" t="str">
        <f>IF('Extraction edi'!I792="","",'Extraction edi'!I792)</f>
        <v/>
      </c>
      <c r="F782" t="str">
        <f>IF('Extraction edi'!K792="","",'Extraction edi'!K792)</f>
        <v/>
      </c>
      <c r="G782" t="str">
        <f>IF('Extraction edi'!L792="","",'Extraction edi'!L792)</f>
        <v/>
      </c>
      <c r="H782" t="str">
        <f>IF('Extraction edi'!M785="","",'Extraction edi'!M785)</f>
        <v/>
      </c>
      <c r="I782" s="1" t="str">
        <f>IF('Extraction edi'!N792="","",'Extraction edi'!N792)</f>
        <v/>
      </c>
      <c r="J782" s="1" t="str">
        <f>IF('Extraction edi'!O792="","",'Extraction edi'!O792)</f>
        <v/>
      </c>
      <c r="K782" s="1" t="str">
        <f>IF('Extraction edi'!P792="","",'Extraction edi'!P792)</f>
        <v/>
      </c>
      <c r="L782" s="1" t="str">
        <f>IF('Extraction edi'!Q792="laquage RAL :","OUI","")</f>
        <v/>
      </c>
      <c r="M782" s="1" t="str">
        <f>IF('Extraction edi'!R792&lt;&gt;"",'Extraction edi'!R792,IF(G782="ALU blanc","S9016",""))</f>
        <v/>
      </c>
      <c r="N782" s="1" t="str">
        <f>IF('Extraction edi'!S792&lt;&gt;"",'Extraction edi'!S792,IF(G782="ALU blanc","S9016",""))</f>
        <v/>
      </c>
      <c r="O782" s="11" t="str">
        <f>IF('Extraction edi'!V792&lt;'Feuille commande'!$E$1,"DELAI NON COMPATIBLE",IF('Extraction edi'!V792="","",WORKDAY('Extraction edi'!V792,-10,Paramètrage!$G$2:$G$104)))</f>
        <v/>
      </c>
      <c r="P782" s="1" t="e">
        <f t="shared" si="12"/>
        <v>#VALUE!</v>
      </c>
    </row>
    <row r="783" spans="1:16" x14ac:dyDescent="0.25">
      <c r="A783" s="1" t="str">
        <f>IF(B783="","",CONCATENATE(B783,".",C783,"/Pos ",D783,"/",'Extraction edi'!G793))</f>
        <v/>
      </c>
      <c r="B783" s="1" t="str">
        <f>IF('Extraction edi'!A793="","",'Extraction edi'!A793)</f>
        <v/>
      </c>
      <c r="C783" s="1" t="str">
        <f>IF('Extraction edi'!B793="","",'Extraction edi'!B793)</f>
        <v/>
      </c>
      <c r="D783" s="1" t="str">
        <f>IF('Extraction edi'!H793="","",'Extraction edi'!H793)</f>
        <v/>
      </c>
      <c r="E783" s="1" t="str">
        <f>IF('Extraction edi'!I793="","",'Extraction edi'!I793)</f>
        <v/>
      </c>
      <c r="F783" t="str">
        <f>IF('Extraction edi'!K793="","",'Extraction edi'!K793)</f>
        <v/>
      </c>
      <c r="G783" t="str">
        <f>IF('Extraction edi'!L793="","",'Extraction edi'!L793)</f>
        <v/>
      </c>
      <c r="H783" t="str">
        <f>IF('Extraction edi'!M786="","",'Extraction edi'!M786)</f>
        <v/>
      </c>
      <c r="I783" s="1" t="str">
        <f>IF('Extraction edi'!N793="","",'Extraction edi'!N793)</f>
        <v/>
      </c>
      <c r="J783" s="1" t="str">
        <f>IF('Extraction edi'!O793="","",'Extraction edi'!O793)</f>
        <v/>
      </c>
      <c r="K783" s="1" t="str">
        <f>IF('Extraction edi'!P793="","",'Extraction edi'!P793)</f>
        <v/>
      </c>
      <c r="L783" s="1" t="str">
        <f>IF('Extraction edi'!Q793="laquage RAL :","OUI","")</f>
        <v/>
      </c>
      <c r="M783" s="1" t="str">
        <f>IF('Extraction edi'!R793&lt;&gt;"",'Extraction edi'!R793,IF(G783="ALU blanc","S9016",""))</f>
        <v/>
      </c>
      <c r="N783" s="1" t="str">
        <f>IF('Extraction edi'!S793&lt;&gt;"",'Extraction edi'!S793,IF(G783="ALU blanc","S9016",""))</f>
        <v/>
      </c>
      <c r="O783" s="11" t="str">
        <f>IF('Extraction edi'!V793&lt;'Feuille commande'!$E$1,"DELAI NON COMPATIBLE",IF('Extraction edi'!V793="","",WORKDAY('Extraction edi'!V793,-10,Paramètrage!$G$2:$G$104)))</f>
        <v/>
      </c>
      <c r="P783" s="1" t="e">
        <f t="shared" si="12"/>
        <v>#VALUE!</v>
      </c>
    </row>
    <row r="784" spans="1:16" x14ac:dyDescent="0.25">
      <c r="A784" s="1" t="str">
        <f>IF(B784="","",CONCATENATE(B784,".",C784,"/Pos ",D784,"/",'Extraction edi'!G794))</f>
        <v/>
      </c>
      <c r="B784" s="1" t="str">
        <f>IF('Extraction edi'!A794="","",'Extraction edi'!A794)</f>
        <v/>
      </c>
      <c r="C784" s="1" t="str">
        <f>IF('Extraction edi'!B794="","",'Extraction edi'!B794)</f>
        <v/>
      </c>
      <c r="D784" s="1" t="str">
        <f>IF('Extraction edi'!H794="","",'Extraction edi'!H794)</f>
        <v/>
      </c>
      <c r="E784" s="1" t="str">
        <f>IF('Extraction edi'!I794="","",'Extraction edi'!I794)</f>
        <v/>
      </c>
      <c r="F784" t="str">
        <f>IF('Extraction edi'!K794="","",'Extraction edi'!K794)</f>
        <v/>
      </c>
      <c r="G784" t="str">
        <f>IF('Extraction edi'!L794="","",'Extraction edi'!L794)</f>
        <v/>
      </c>
      <c r="H784" t="str">
        <f>IF('Extraction edi'!M787="","",'Extraction edi'!M787)</f>
        <v/>
      </c>
      <c r="I784" s="1" t="str">
        <f>IF('Extraction edi'!N794="","",'Extraction edi'!N794)</f>
        <v/>
      </c>
      <c r="J784" s="1" t="str">
        <f>IF('Extraction edi'!O794="","",'Extraction edi'!O794)</f>
        <v/>
      </c>
      <c r="K784" s="1" t="str">
        <f>IF('Extraction edi'!P794="","",'Extraction edi'!P794)</f>
        <v/>
      </c>
      <c r="L784" s="1" t="str">
        <f>IF('Extraction edi'!Q794="laquage RAL :","OUI","")</f>
        <v/>
      </c>
      <c r="M784" s="1" t="str">
        <f>IF('Extraction edi'!R794&lt;&gt;"",'Extraction edi'!R794,IF(G784="ALU blanc","S9016",""))</f>
        <v/>
      </c>
      <c r="N784" s="1" t="str">
        <f>IF('Extraction edi'!S794&lt;&gt;"",'Extraction edi'!S794,IF(G784="ALU blanc","S9016",""))</f>
        <v/>
      </c>
      <c r="O784" s="11" t="str">
        <f>IF('Extraction edi'!V794&lt;'Feuille commande'!$E$1,"DELAI NON COMPATIBLE",IF('Extraction edi'!V794="","",WORKDAY('Extraction edi'!V794,-10,Paramètrage!$G$2:$G$104)))</f>
        <v/>
      </c>
      <c r="P784" s="1" t="e">
        <f t="shared" si="12"/>
        <v>#VALUE!</v>
      </c>
    </row>
    <row r="785" spans="1:16" x14ac:dyDescent="0.25">
      <c r="A785" s="1" t="str">
        <f>IF(B785="","",CONCATENATE(B785,".",C785,"/Pos ",D785,"/",'Extraction edi'!G795))</f>
        <v/>
      </c>
      <c r="B785" s="1" t="str">
        <f>IF('Extraction edi'!A795="","",'Extraction edi'!A795)</f>
        <v/>
      </c>
      <c r="C785" s="1" t="str">
        <f>IF('Extraction edi'!B795="","",'Extraction edi'!B795)</f>
        <v/>
      </c>
      <c r="D785" s="1" t="str">
        <f>IF('Extraction edi'!H795="","",'Extraction edi'!H795)</f>
        <v/>
      </c>
      <c r="E785" s="1" t="str">
        <f>IF('Extraction edi'!I795="","",'Extraction edi'!I795)</f>
        <v/>
      </c>
      <c r="F785" t="str">
        <f>IF('Extraction edi'!K795="","",'Extraction edi'!K795)</f>
        <v/>
      </c>
      <c r="G785" t="str">
        <f>IF('Extraction edi'!L795="","",'Extraction edi'!L795)</f>
        <v/>
      </c>
      <c r="H785" t="str">
        <f>IF('Extraction edi'!M788="","",'Extraction edi'!M788)</f>
        <v/>
      </c>
      <c r="I785" s="1" t="str">
        <f>IF('Extraction edi'!N795="","",'Extraction edi'!N795)</f>
        <v/>
      </c>
      <c r="J785" s="1" t="str">
        <f>IF('Extraction edi'!O795="","",'Extraction edi'!O795)</f>
        <v/>
      </c>
      <c r="K785" s="1" t="str">
        <f>IF('Extraction edi'!P795="","",'Extraction edi'!P795)</f>
        <v/>
      </c>
      <c r="L785" s="1" t="str">
        <f>IF('Extraction edi'!Q795="laquage RAL :","OUI","")</f>
        <v/>
      </c>
      <c r="M785" s="1" t="str">
        <f>IF('Extraction edi'!R795&lt;&gt;"",'Extraction edi'!R795,IF(G785="ALU blanc","S9016",""))</f>
        <v/>
      </c>
      <c r="N785" s="1" t="str">
        <f>IF('Extraction edi'!S795&lt;&gt;"",'Extraction edi'!S795,IF(G785="ALU blanc","S9016",""))</f>
        <v/>
      </c>
      <c r="O785" s="11" t="str">
        <f>IF('Extraction edi'!V795&lt;'Feuille commande'!$E$1,"DELAI NON COMPATIBLE",IF('Extraction edi'!V795="","",WORKDAY('Extraction edi'!V795,-10,Paramètrage!$G$2:$G$104)))</f>
        <v/>
      </c>
      <c r="P785" s="1" t="e">
        <f t="shared" si="12"/>
        <v>#VALUE!</v>
      </c>
    </row>
    <row r="786" spans="1:16" x14ac:dyDescent="0.25">
      <c r="A786" s="1" t="str">
        <f>IF(B786="","",CONCATENATE(B786,".",C786,"/Pos ",D786,"/",'Extraction edi'!G796))</f>
        <v/>
      </c>
      <c r="B786" s="1" t="str">
        <f>IF('Extraction edi'!A796="","",'Extraction edi'!A796)</f>
        <v/>
      </c>
      <c r="C786" s="1" t="str">
        <f>IF('Extraction edi'!B796="","",'Extraction edi'!B796)</f>
        <v/>
      </c>
      <c r="D786" s="1" t="str">
        <f>IF('Extraction edi'!H796="","",'Extraction edi'!H796)</f>
        <v/>
      </c>
      <c r="E786" s="1" t="str">
        <f>IF('Extraction edi'!I796="","",'Extraction edi'!I796)</f>
        <v/>
      </c>
      <c r="F786" t="str">
        <f>IF('Extraction edi'!K796="","",'Extraction edi'!K796)</f>
        <v/>
      </c>
      <c r="G786" t="str">
        <f>IF('Extraction edi'!L796="","",'Extraction edi'!L796)</f>
        <v/>
      </c>
      <c r="H786" t="str">
        <f>IF('Extraction edi'!M789="","",'Extraction edi'!M789)</f>
        <v/>
      </c>
      <c r="I786" s="1" t="str">
        <f>IF('Extraction edi'!N796="","",'Extraction edi'!N796)</f>
        <v/>
      </c>
      <c r="J786" s="1" t="str">
        <f>IF('Extraction edi'!O796="","",'Extraction edi'!O796)</f>
        <v/>
      </c>
      <c r="K786" s="1" t="str">
        <f>IF('Extraction edi'!P796="","",'Extraction edi'!P796)</f>
        <v/>
      </c>
      <c r="L786" s="1" t="str">
        <f>IF('Extraction edi'!Q796="laquage RAL :","OUI","")</f>
        <v/>
      </c>
      <c r="M786" s="1" t="str">
        <f>IF('Extraction edi'!R796&lt;&gt;"",'Extraction edi'!R796,IF(G786="ALU blanc","S9016",""))</f>
        <v/>
      </c>
      <c r="N786" s="1" t="str">
        <f>IF('Extraction edi'!S796&lt;&gt;"",'Extraction edi'!S796,IF(G786="ALU blanc","S9016",""))</f>
        <v/>
      </c>
      <c r="O786" s="11" t="str">
        <f>IF('Extraction edi'!V796&lt;'Feuille commande'!$E$1,"DELAI NON COMPATIBLE",IF('Extraction edi'!V796="","",WORKDAY('Extraction edi'!V796,-10,Paramètrage!$G$2:$G$104)))</f>
        <v/>
      </c>
      <c r="P786" s="1" t="e">
        <f t="shared" si="12"/>
        <v>#VALUE!</v>
      </c>
    </row>
    <row r="787" spans="1:16" x14ac:dyDescent="0.25">
      <c r="A787" s="1" t="str">
        <f>IF(B787="","",CONCATENATE(B787,".",C787,"/Pos ",D787,"/",'Extraction edi'!G797))</f>
        <v/>
      </c>
      <c r="B787" s="1" t="str">
        <f>IF('Extraction edi'!A797="","",'Extraction edi'!A797)</f>
        <v/>
      </c>
      <c r="C787" s="1" t="str">
        <f>IF('Extraction edi'!B797="","",'Extraction edi'!B797)</f>
        <v/>
      </c>
      <c r="D787" s="1" t="str">
        <f>IF('Extraction edi'!H797="","",'Extraction edi'!H797)</f>
        <v/>
      </c>
      <c r="E787" s="1" t="str">
        <f>IF('Extraction edi'!I797="","",'Extraction edi'!I797)</f>
        <v/>
      </c>
      <c r="F787" t="str">
        <f>IF('Extraction edi'!K797="","",'Extraction edi'!K797)</f>
        <v/>
      </c>
      <c r="G787" t="str">
        <f>IF('Extraction edi'!L797="","",'Extraction edi'!L797)</f>
        <v/>
      </c>
      <c r="H787" t="str">
        <f>IF('Extraction edi'!M797="","",'Extraction edi'!M797)</f>
        <v/>
      </c>
      <c r="I787" s="1" t="str">
        <f>IF('Extraction edi'!N797="","",'Extraction edi'!N797)</f>
        <v/>
      </c>
      <c r="J787" s="1" t="str">
        <f>IF('Extraction edi'!O797="","",'Extraction edi'!O797)</f>
        <v/>
      </c>
      <c r="K787" s="1" t="str">
        <f>IF('Extraction edi'!P797="","",'Extraction edi'!P797)</f>
        <v/>
      </c>
      <c r="L787" s="1" t="str">
        <f>IF('Extraction edi'!Q797="laquage RAL :","OUI","")</f>
        <v/>
      </c>
      <c r="M787" s="1" t="str">
        <f>IF('Extraction edi'!R797&lt;&gt;"",'Extraction edi'!R797,IF(G787="ALU blanc","S9016",""))</f>
        <v/>
      </c>
      <c r="N787" s="1" t="str">
        <f>IF('Extraction edi'!S797&lt;&gt;"",'Extraction edi'!S797,IF(G787="ALU blanc","S9016",""))</f>
        <v/>
      </c>
      <c r="O787" s="11" t="str">
        <f>IF('Extraction edi'!V797&lt;'Feuille commande'!$E$1,"DELAI NON COMPATIBLE",IF('Extraction edi'!V797="","",WORKDAY('Extraction edi'!V797,-10,Paramètrage!$G$2:$G$104)))</f>
        <v/>
      </c>
      <c r="P787" s="1" t="e">
        <f t="shared" si="12"/>
        <v>#VALUE!</v>
      </c>
    </row>
    <row r="788" spans="1:16" x14ac:dyDescent="0.25">
      <c r="A788" s="1" t="str">
        <f>IF(B788="","",CONCATENATE(B788,".",C788,"/Pos ",D788,"/",'Extraction edi'!G798))</f>
        <v/>
      </c>
      <c r="B788" s="1" t="str">
        <f>IF('Extraction edi'!A798="","",'Extraction edi'!A798)</f>
        <v/>
      </c>
      <c r="C788" s="1" t="str">
        <f>IF('Extraction edi'!B798="","",'Extraction edi'!B798)</f>
        <v/>
      </c>
      <c r="D788" s="1" t="str">
        <f>IF('Extraction edi'!H798="","",'Extraction edi'!H798)</f>
        <v/>
      </c>
      <c r="E788" s="1" t="str">
        <f>IF('Extraction edi'!I798="","",'Extraction edi'!I798)</f>
        <v/>
      </c>
      <c r="F788" t="str">
        <f>IF('Extraction edi'!K798="","",'Extraction edi'!K798)</f>
        <v/>
      </c>
      <c r="G788" t="str">
        <f>IF('Extraction edi'!L798="","",'Extraction edi'!L798)</f>
        <v/>
      </c>
      <c r="H788" t="str">
        <f>IF('Extraction edi'!M798="","",'Extraction edi'!M798)</f>
        <v/>
      </c>
      <c r="I788" s="1" t="str">
        <f>IF('Extraction edi'!N798="","",'Extraction edi'!N798)</f>
        <v/>
      </c>
      <c r="J788" s="1" t="str">
        <f>IF('Extraction edi'!O798="","",'Extraction edi'!O798)</f>
        <v/>
      </c>
      <c r="K788" s="1" t="str">
        <f>IF('Extraction edi'!P798="","",'Extraction edi'!P798)</f>
        <v/>
      </c>
      <c r="L788" s="1" t="str">
        <f>IF('Extraction edi'!Q798="laquage RAL :","OUI","")</f>
        <v/>
      </c>
      <c r="M788" s="1" t="str">
        <f>IF('Extraction edi'!R798&lt;&gt;"",'Extraction edi'!R798,IF(G788="ALU blanc","S9016",""))</f>
        <v/>
      </c>
      <c r="N788" s="1" t="str">
        <f>IF('Extraction edi'!S798&lt;&gt;"",'Extraction edi'!S798,IF(G788="ALU blanc","S9016",""))</f>
        <v/>
      </c>
      <c r="O788" s="11" t="str">
        <f>IF('Extraction edi'!V798&lt;'Feuille commande'!$E$1,"DELAI NON COMPATIBLE",IF('Extraction edi'!V798="","",WORKDAY('Extraction edi'!V798,-10,Paramètrage!$G$2:$G$104)))</f>
        <v/>
      </c>
      <c r="P788" s="1" t="e">
        <f t="shared" si="12"/>
        <v>#VALUE!</v>
      </c>
    </row>
    <row r="789" spans="1:16" x14ac:dyDescent="0.25">
      <c r="A789" s="1" t="str">
        <f>IF(B789="","",CONCATENATE(B789,".",C789,"/Pos ",D789,"/",'Extraction edi'!G799))</f>
        <v/>
      </c>
      <c r="B789" s="1" t="str">
        <f>IF('Extraction edi'!A799="","",'Extraction edi'!A799)</f>
        <v/>
      </c>
      <c r="C789" s="1" t="str">
        <f>IF('Extraction edi'!B799="","",'Extraction edi'!B799)</f>
        <v/>
      </c>
      <c r="D789" s="1" t="str">
        <f>IF('Extraction edi'!H799="","",'Extraction edi'!H799)</f>
        <v/>
      </c>
      <c r="E789" s="1" t="str">
        <f>IF('Extraction edi'!I799="","",'Extraction edi'!I799)</f>
        <v/>
      </c>
      <c r="F789" t="str">
        <f>IF('Extraction edi'!K799="","",'Extraction edi'!K799)</f>
        <v/>
      </c>
      <c r="G789" t="str">
        <f>IF('Extraction edi'!L799="","",'Extraction edi'!L799)</f>
        <v/>
      </c>
      <c r="H789" t="str">
        <f>IF('Extraction edi'!M799="","",'Extraction edi'!M799)</f>
        <v/>
      </c>
      <c r="I789" s="1" t="str">
        <f>IF('Extraction edi'!N799="","",'Extraction edi'!N799)</f>
        <v/>
      </c>
      <c r="J789" s="1" t="str">
        <f>IF('Extraction edi'!O799="","",'Extraction edi'!O799)</f>
        <v/>
      </c>
      <c r="K789" s="1" t="str">
        <f>IF('Extraction edi'!P799="","",'Extraction edi'!P799)</f>
        <v/>
      </c>
      <c r="L789" s="1" t="str">
        <f>IF('Extraction edi'!Q799="laquage RAL :","OUI","")</f>
        <v/>
      </c>
      <c r="M789" s="1" t="str">
        <f>IF('Extraction edi'!R799&lt;&gt;"",'Extraction edi'!R799,IF(G789="ALU blanc","S9016",""))</f>
        <v/>
      </c>
      <c r="N789" s="1" t="str">
        <f>IF('Extraction edi'!S799&lt;&gt;"",'Extraction edi'!S799,IF(G789="ALU blanc","S9016",""))</f>
        <v/>
      </c>
      <c r="O789" s="11" t="str">
        <f>IF('Extraction edi'!V799&lt;'Feuille commande'!$E$1,"DELAI NON COMPATIBLE",IF('Extraction edi'!V799="","",WORKDAY('Extraction edi'!V799,-10,Paramètrage!$G$2:$G$104)))</f>
        <v/>
      </c>
      <c r="P789" s="1" t="e">
        <f t="shared" si="12"/>
        <v>#VALUE!</v>
      </c>
    </row>
    <row r="790" spans="1:16" x14ac:dyDescent="0.25">
      <c r="A790" s="1" t="str">
        <f>IF(B790="","",CONCATENATE(B790,".",C790,"/Pos ",D790,"/",'Extraction edi'!G800))</f>
        <v/>
      </c>
      <c r="B790" s="1" t="str">
        <f>IF('Extraction edi'!A800="","",'Extraction edi'!A800)</f>
        <v/>
      </c>
      <c r="C790" s="1" t="str">
        <f>IF('Extraction edi'!B800="","",'Extraction edi'!B800)</f>
        <v/>
      </c>
      <c r="D790" s="1" t="str">
        <f>IF('Extraction edi'!H800="","",'Extraction edi'!H800)</f>
        <v/>
      </c>
      <c r="E790" s="1" t="str">
        <f>IF('Extraction edi'!I800="","",'Extraction edi'!I800)</f>
        <v/>
      </c>
      <c r="F790" t="str">
        <f>IF('Extraction edi'!K800="","",'Extraction edi'!K800)</f>
        <v/>
      </c>
      <c r="G790" t="str">
        <f>IF('Extraction edi'!L800="","",'Extraction edi'!L800)</f>
        <v/>
      </c>
      <c r="H790" t="str">
        <f>IF('Extraction edi'!M800="","",'Extraction edi'!M800)</f>
        <v/>
      </c>
      <c r="I790" s="1" t="str">
        <f>IF('Extraction edi'!N800="","",'Extraction edi'!N800)</f>
        <v/>
      </c>
      <c r="J790" s="1" t="str">
        <f>IF('Extraction edi'!O800="","",'Extraction edi'!O800)</f>
        <v/>
      </c>
      <c r="K790" s="1" t="str">
        <f>IF('Extraction edi'!P800="","",'Extraction edi'!P800)</f>
        <v/>
      </c>
      <c r="L790" s="1" t="str">
        <f>IF('Extraction edi'!Q800="laquage RAL :","OUI","")</f>
        <v/>
      </c>
      <c r="M790" s="1" t="str">
        <f>IF('Extraction edi'!R800&lt;&gt;"",'Extraction edi'!R800,IF(G790="ALU blanc","S9016",""))</f>
        <v/>
      </c>
      <c r="N790" s="1" t="str">
        <f>IF('Extraction edi'!S800&lt;&gt;"",'Extraction edi'!S800,IF(G790="ALU blanc","S9016",""))</f>
        <v/>
      </c>
      <c r="O790" s="11" t="str">
        <f>IF('Extraction edi'!V800&lt;'Feuille commande'!$E$1,"DELAI NON COMPATIBLE",IF('Extraction edi'!V800="","",WORKDAY('Extraction edi'!V800,-10,Paramètrage!$G$2:$G$104)))</f>
        <v/>
      </c>
      <c r="P790" s="1" t="e">
        <f t="shared" si="12"/>
        <v>#VALUE!</v>
      </c>
    </row>
    <row r="791" spans="1:16" x14ac:dyDescent="0.25">
      <c r="A791" s="1" t="str">
        <f>IF(B791="","",CONCATENATE(B791,".",C791,"/Pos ",D791,"/",'Extraction edi'!G801))</f>
        <v/>
      </c>
      <c r="B791" s="1" t="str">
        <f>IF('Extraction edi'!A801="","",'Extraction edi'!A801)</f>
        <v/>
      </c>
      <c r="C791" s="1" t="str">
        <f>IF('Extraction edi'!B801="","",'Extraction edi'!B801)</f>
        <v/>
      </c>
      <c r="D791" s="1" t="str">
        <f>IF('Extraction edi'!H801="","",'Extraction edi'!H801)</f>
        <v/>
      </c>
      <c r="E791" s="1" t="str">
        <f>IF('Extraction edi'!I801="","",'Extraction edi'!I801)</f>
        <v/>
      </c>
      <c r="F791" t="str">
        <f>IF('Extraction edi'!K801="","",'Extraction edi'!K801)</f>
        <v/>
      </c>
      <c r="G791" t="str">
        <f>IF('Extraction edi'!L801="","",'Extraction edi'!L801)</f>
        <v/>
      </c>
      <c r="H791" t="str">
        <f>IF('Extraction edi'!M801="","",'Extraction edi'!M801)</f>
        <v/>
      </c>
      <c r="I791" s="1" t="str">
        <f>IF('Extraction edi'!N801="","",'Extraction edi'!N801)</f>
        <v/>
      </c>
      <c r="J791" s="1" t="str">
        <f>IF('Extraction edi'!O801="","",'Extraction edi'!O801)</f>
        <v/>
      </c>
      <c r="K791" s="1" t="str">
        <f>IF('Extraction edi'!P801="","",'Extraction edi'!P801)</f>
        <v/>
      </c>
      <c r="L791" s="1" t="str">
        <f>IF('Extraction edi'!Q801="laquage RAL :","OUI","")</f>
        <v/>
      </c>
      <c r="M791" s="1" t="str">
        <f>IF('Extraction edi'!R801&lt;&gt;"",'Extraction edi'!R801,IF(G791="ALU blanc","S9016",""))</f>
        <v/>
      </c>
      <c r="N791" s="1" t="str">
        <f>IF('Extraction edi'!S801&lt;&gt;"",'Extraction edi'!S801,IF(G791="ALU blanc","S9016",""))</f>
        <v/>
      </c>
      <c r="O791" s="11" t="str">
        <f>IF('Extraction edi'!V801&lt;'Feuille commande'!$E$1,"DELAI NON COMPATIBLE",IF('Extraction edi'!V801="","",WORKDAY('Extraction edi'!V801,-10,Paramètrage!$G$2:$G$104)))</f>
        <v/>
      </c>
      <c r="P791" s="1" t="e">
        <f t="shared" si="12"/>
        <v>#VALUE!</v>
      </c>
    </row>
    <row r="792" spans="1:16" x14ac:dyDescent="0.25">
      <c r="A792" s="1" t="str">
        <f>IF(B792="","",CONCATENATE(B792,".",C792,"/Pos ",D792,"/",'Extraction edi'!G802))</f>
        <v/>
      </c>
      <c r="B792" s="1" t="str">
        <f>IF('Extraction edi'!A802="","",'Extraction edi'!A802)</f>
        <v/>
      </c>
      <c r="C792" s="1" t="str">
        <f>IF('Extraction edi'!B802="","",'Extraction edi'!B802)</f>
        <v/>
      </c>
      <c r="D792" s="1" t="str">
        <f>IF('Extraction edi'!H802="","",'Extraction edi'!H802)</f>
        <v/>
      </c>
      <c r="E792" s="1" t="str">
        <f>IF('Extraction edi'!I802="","",'Extraction edi'!I802)</f>
        <v/>
      </c>
      <c r="F792" t="str">
        <f>IF('Extraction edi'!K802="","",'Extraction edi'!K802)</f>
        <v/>
      </c>
      <c r="G792" t="str">
        <f>IF('Extraction edi'!L802="","",'Extraction edi'!L802)</f>
        <v/>
      </c>
      <c r="H792" t="str">
        <f>IF('Extraction edi'!M802="","",'Extraction edi'!M802)</f>
        <v/>
      </c>
      <c r="I792" s="1" t="str">
        <f>IF('Extraction edi'!N802="","",'Extraction edi'!N802)</f>
        <v/>
      </c>
      <c r="J792" s="1" t="str">
        <f>IF('Extraction edi'!O802="","",'Extraction edi'!O802)</f>
        <v/>
      </c>
      <c r="K792" s="1" t="str">
        <f>IF('Extraction edi'!P802="","",'Extraction edi'!P802)</f>
        <v/>
      </c>
      <c r="L792" s="1" t="str">
        <f>IF('Extraction edi'!Q802="laquage RAL :","OUI","")</f>
        <v/>
      </c>
      <c r="M792" s="1" t="str">
        <f>IF('Extraction edi'!R802&lt;&gt;"",'Extraction edi'!R802,IF(G792="ALU blanc","S9016",""))</f>
        <v/>
      </c>
      <c r="N792" s="1" t="str">
        <f>IF('Extraction edi'!S802&lt;&gt;"",'Extraction edi'!S802,IF(G792="ALU blanc","S9016",""))</f>
        <v/>
      </c>
      <c r="O792" s="11" t="str">
        <f>IF('Extraction edi'!V802&lt;'Feuille commande'!$E$1,"DELAI NON COMPATIBLE",IF('Extraction edi'!V802="","",WORKDAY('Extraction edi'!V802,-10,Paramètrage!$G$2:$G$104)))</f>
        <v/>
      </c>
      <c r="P792" s="1" t="e">
        <f t="shared" si="12"/>
        <v>#VALUE!</v>
      </c>
    </row>
    <row r="793" spans="1:16" x14ac:dyDescent="0.25">
      <c r="A793" s="1" t="str">
        <f>IF(B793="","",CONCATENATE(B793,".",C793,"/Pos ",D793,"/",'Extraction edi'!G803))</f>
        <v/>
      </c>
      <c r="B793" s="1" t="str">
        <f>IF('Extraction edi'!A803="","",'Extraction edi'!A803)</f>
        <v/>
      </c>
      <c r="C793" s="1" t="str">
        <f>IF('Extraction edi'!B803="","",'Extraction edi'!B803)</f>
        <v/>
      </c>
      <c r="D793" s="1" t="str">
        <f>IF('Extraction edi'!H803="","",'Extraction edi'!H803)</f>
        <v/>
      </c>
      <c r="E793" s="1" t="str">
        <f>IF('Extraction edi'!I803="","",'Extraction edi'!I803)</f>
        <v/>
      </c>
      <c r="F793" t="str">
        <f>IF('Extraction edi'!K803="","",'Extraction edi'!K803)</f>
        <v/>
      </c>
      <c r="G793" t="str">
        <f>IF('Extraction edi'!L803="","",'Extraction edi'!L803)</f>
        <v/>
      </c>
      <c r="H793" t="str">
        <f>IF('Extraction edi'!M803="","",'Extraction edi'!M803)</f>
        <v/>
      </c>
      <c r="I793" s="1" t="str">
        <f>IF('Extraction edi'!N803="","",'Extraction edi'!N803)</f>
        <v/>
      </c>
      <c r="J793" s="1" t="str">
        <f>IF('Extraction edi'!O803="","",'Extraction edi'!O803)</f>
        <v/>
      </c>
      <c r="K793" s="1" t="str">
        <f>IF('Extraction edi'!P803="","",'Extraction edi'!P803)</f>
        <v/>
      </c>
      <c r="L793" s="1" t="str">
        <f>IF('Extraction edi'!Q803="laquage RAL :","OUI","")</f>
        <v/>
      </c>
      <c r="M793" s="1" t="str">
        <f>IF('Extraction edi'!R803&lt;&gt;"",'Extraction edi'!R803,IF(G793="ALU blanc","S9016",""))</f>
        <v/>
      </c>
      <c r="N793" s="1" t="str">
        <f>IF('Extraction edi'!S803&lt;&gt;"",'Extraction edi'!S803,IF(G793="ALU blanc","S9016",""))</f>
        <v/>
      </c>
      <c r="O793" s="11" t="str">
        <f>IF('Extraction edi'!V803&lt;'Feuille commande'!$E$1,"DELAI NON COMPATIBLE",IF('Extraction edi'!V803="","",WORKDAY('Extraction edi'!V803,-10,Paramètrage!$G$2:$G$104)))</f>
        <v/>
      </c>
      <c r="P793" s="1" t="e">
        <f t="shared" si="12"/>
        <v>#VALUE!</v>
      </c>
    </row>
    <row r="794" spans="1:16" x14ac:dyDescent="0.25">
      <c r="A794" s="1" t="str">
        <f>IF(B794="","",CONCATENATE(B794,".",C794,"/Pos ",D794,"/",'Extraction edi'!G804))</f>
        <v/>
      </c>
      <c r="B794" s="1" t="str">
        <f>IF('Extraction edi'!A804="","",'Extraction edi'!A804)</f>
        <v/>
      </c>
      <c r="C794" s="1" t="str">
        <f>IF('Extraction edi'!B804="","",'Extraction edi'!B804)</f>
        <v/>
      </c>
      <c r="D794" s="1" t="str">
        <f>IF('Extraction edi'!H804="","",'Extraction edi'!H804)</f>
        <v/>
      </c>
      <c r="E794" s="1" t="str">
        <f>IF('Extraction edi'!I804="","",'Extraction edi'!I804)</f>
        <v/>
      </c>
      <c r="F794" t="str">
        <f>IF('Extraction edi'!K804="","",'Extraction edi'!K804)</f>
        <v/>
      </c>
      <c r="G794" t="str">
        <f>IF('Extraction edi'!L804="","",'Extraction edi'!L804)</f>
        <v/>
      </c>
      <c r="H794" t="str">
        <f>IF('Extraction edi'!M804="","",'Extraction edi'!M804)</f>
        <v/>
      </c>
      <c r="I794" s="1" t="str">
        <f>IF('Extraction edi'!N804="","",'Extraction edi'!N804)</f>
        <v/>
      </c>
      <c r="J794" s="1" t="str">
        <f>IF('Extraction edi'!O804="","",'Extraction edi'!O804)</f>
        <v/>
      </c>
      <c r="K794" s="1" t="str">
        <f>IF('Extraction edi'!P804="","",'Extraction edi'!P804)</f>
        <v/>
      </c>
      <c r="L794" s="1" t="str">
        <f>IF('Extraction edi'!Q804="laquage RAL :","OUI","")</f>
        <v/>
      </c>
      <c r="M794" s="1" t="str">
        <f>IF('Extraction edi'!R804&lt;&gt;"",'Extraction edi'!R804,IF(G794="ALU blanc","S9016",""))</f>
        <v/>
      </c>
      <c r="N794" s="1" t="str">
        <f>IF('Extraction edi'!S804&lt;&gt;"",'Extraction edi'!S804,IF(G794="ALU blanc","S9016",""))</f>
        <v/>
      </c>
      <c r="O794" s="11" t="str">
        <f>IF('Extraction edi'!V804&lt;'Feuille commande'!$E$1,"DELAI NON COMPATIBLE",IF('Extraction edi'!V804="","",WORKDAY('Extraction edi'!V804,-10,Paramètrage!$G$2:$G$104)))</f>
        <v/>
      </c>
      <c r="P794" s="1" t="e">
        <f t="shared" si="12"/>
        <v>#VALUE!</v>
      </c>
    </row>
    <row r="795" spans="1:16" x14ac:dyDescent="0.25">
      <c r="A795" s="1" t="str">
        <f>IF(B795="","",CONCATENATE(B795,".",C795,"/Pos ",D795,"/",'Extraction edi'!G805))</f>
        <v/>
      </c>
      <c r="B795" s="1" t="str">
        <f>IF('Extraction edi'!A805="","",'Extraction edi'!A805)</f>
        <v/>
      </c>
      <c r="C795" s="1" t="str">
        <f>IF('Extraction edi'!B805="","",'Extraction edi'!B805)</f>
        <v/>
      </c>
      <c r="D795" s="1" t="str">
        <f>IF('Extraction edi'!H805="","",'Extraction edi'!H805)</f>
        <v/>
      </c>
      <c r="E795" s="1" t="str">
        <f>IF('Extraction edi'!I805="","",'Extraction edi'!I805)</f>
        <v/>
      </c>
      <c r="F795" t="str">
        <f>IF('Extraction edi'!K805="","",'Extraction edi'!K805)</f>
        <v/>
      </c>
      <c r="G795" t="str">
        <f>IF('Extraction edi'!L805="","",'Extraction edi'!L805)</f>
        <v/>
      </c>
      <c r="H795" t="str">
        <f>IF('Extraction edi'!M805="","",'Extraction edi'!M805)</f>
        <v/>
      </c>
      <c r="I795" s="1" t="str">
        <f>IF('Extraction edi'!N805="","",'Extraction edi'!N805)</f>
        <v/>
      </c>
      <c r="J795" s="1" t="str">
        <f>IF('Extraction edi'!O805="","",'Extraction edi'!O805)</f>
        <v/>
      </c>
      <c r="K795" s="1" t="str">
        <f>IF('Extraction edi'!P805="","",'Extraction edi'!P805)</f>
        <v/>
      </c>
      <c r="L795" s="1" t="str">
        <f>IF('Extraction edi'!Q805="laquage RAL :","OUI","")</f>
        <v/>
      </c>
      <c r="M795" s="1" t="str">
        <f>IF('Extraction edi'!R805&lt;&gt;"",'Extraction edi'!R805,IF(G795="ALU blanc","S9016",""))</f>
        <v/>
      </c>
      <c r="N795" s="1" t="str">
        <f>IF('Extraction edi'!S805&lt;&gt;"",'Extraction edi'!S805,IF(G795="ALU blanc","S9016",""))</f>
        <v/>
      </c>
      <c r="O795" s="11" t="str">
        <f>IF('Extraction edi'!V805&lt;'Feuille commande'!$E$1,"DELAI NON COMPATIBLE",IF('Extraction edi'!V805="","",WORKDAY('Extraction edi'!V805,-10,Paramètrage!$G$2:$G$104)))</f>
        <v/>
      </c>
      <c r="P795" s="1" t="e">
        <f t="shared" si="12"/>
        <v>#VALUE!</v>
      </c>
    </row>
    <row r="796" spans="1:16" x14ac:dyDescent="0.25">
      <c r="A796" s="1" t="str">
        <f>IF(B796="","",CONCATENATE(B796,".",C796,"/Pos ",D796,"/",'Extraction edi'!G806))</f>
        <v/>
      </c>
      <c r="B796" s="1" t="str">
        <f>IF('Extraction edi'!A806="","",'Extraction edi'!A806)</f>
        <v/>
      </c>
      <c r="C796" s="1" t="str">
        <f>IF('Extraction edi'!B806="","",'Extraction edi'!B806)</f>
        <v/>
      </c>
      <c r="D796" s="1" t="str">
        <f>IF('Extraction edi'!H806="","",'Extraction edi'!H806)</f>
        <v/>
      </c>
      <c r="E796" s="1" t="str">
        <f>IF('Extraction edi'!I806="","",'Extraction edi'!I806)</f>
        <v/>
      </c>
      <c r="F796" t="str">
        <f>IF('Extraction edi'!K806="","",'Extraction edi'!K806)</f>
        <v/>
      </c>
      <c r="G796" t="str">
        <f>IF('Extraction edi'!L806="","",'Extraction edi'!L806)</f>
        <v/>
      </c>
      <c r="H796" t="str">
        <f>IF('Extraction edi'!M806="","",'Extraction edi'!M806)</f>
        <v/>
      </c>
      <c r="I796" s="1" t="str">
        <f>IF('Extraction edi'!N806="","",'Extraction edi'!N806)</f>
        <v/>
      </c>
      <c r="J796" s="1" t="str">
        <f>IF('Extraction edi'!O806="","",'Extraction edi'!O806)</f>
        <v/>
      </c>
      <c r="K796" s="1" t="str">
        <f>IF('Extraction edi'!P806="","",'Extraction edi'!P806)</f>
        <v/>
      </c>
      <c r="L796" s="1" t="str">
        <f>IF('Extraction edi'!Q806="laquage RAL :","OUI","")</f>
        <v/>
      </c>
      <c r="M796" s="1" t="str">
        <f>IF('Extraction edi'!R806&lt;&gt;"",'Extraction edi'!R806,IF(G796="ALU blanc","S9016",""))</f>
        <v/>
      </c>
      <c r="N796" s="1" t="str">
        <f>IF('Extraction edi'!S806&lt;&gt;"",'Extraction edi'!S806,IF(G796="ALU blanc","S9016",""))</f>
        <v/>
      </c>
      <c r="O796" s="11" t="str">
        <f>IF('Extraction edi'!V806&lt;'Feuille commande'!$E$1,"DELAI NON COMPATIBLE",IF('Extraction edi'!V806="","",WORKDAY('Extraction edi'!V806,-10,Paramètrage!$G$2:$G$104)))</f>
        <v/>
      </c>
      <c r="P796" s="1" t="e">
        <f t="shared" si="12"/>
        <v>#VALUE!</v>
      </c>
    </row>
    <row r="797" spans="1:16" x14ac:dyDescent="0.25">
      <c r="A797" s="1" t="str">
        <f>IF(B797="","",CONCATENATE(B797,".",C797,"/Pos ",D797,"/",'Extraction edi'!G807))</f>
        <v/>
      </c>
      <c r="B797" s="1" t="str">
        <f>IF('Extraction edi'!A807="","",'Extraction edi'!A807)</f>
        <v/>
      </c>
      <c r="C797" s="1" t="str">
        <f>IF('Extraction edi'!B807="","",'Extraction edi'!B807)</f>
        <v/>
      </c>
      <c r="D797" s="1" t="str">
        <f>IF('Extraction edi'!H807="","",'Extraction edi'!H807)</f>
        <v/>
      </c>
      <c r="E797" s="1" t="str">
        <f>IF('Extraction edi'!I807="","",'Extraction edi'!I807)</f>
        <v/>
      </c>
      <c r="F797" t="str">
        <f>IF('Extraction edi'!K807="","",'Extraction edi'!K807)</f>
        <v/>
      </c>
      <c r="G797" t="str">
        <f>IF('Extraction edi'!L807="","",'Extraction edi'!L807)</f>
        <v/>
      </c>
      <c r="H797" t="str">
        <f>IF('Extraction edi'!M807="","",'Extraction edi'!M807)</f>
        <v/>
      </c>
      <c r="I797" s="1" t="str">
        <f>IF('Extraction edi'!N807="","",'Extraction edi'!N807)</f>
        <v/>
      </c>
      <c r="J797" s="1" t="str">
        <f>IF('Extraction edi'!O807="","",'Extraction edi'!O807)</f>
        <v/>
      </c>
      <c r="K797" s="1" t="str">
        <f>IF('Extraction edi'!P807="","",'Extraction edi'!P807)</f>
        <v/>
      </c>
      <c r="L797" s="1" t="str">
        <f>IF('Extraction edi'!Q807="laquage RAL :","OUI","")</f>
        <v/>
      </c>
      <c r="M797" s="1" t="str">
        <f>IF('Extraction edi'!R807&lt;&gt;"",'Extraction edi'!R807,IF(G797="ALU blanc","S9016",""))</f>
        <v/>
      </c>
      <c r="N797" s="1" t="str">
        <f>IF('Extraction edi'!S807&lt;&gt;"",'Extraction edi'!S807,IF(G797="ALU blanc","S9016",""))</f>
        <v/>
      </c>
      <c r="O797" s="11" t="str">
        <f>IF('Extraction edi'!V807&lt;'Feuille commande'!$E$1,"DELAI NON COMPATIBLE",IF('Extraction edi'!V807="","",WORKDAY('Extraction edi'!V807,-10,Paramètrage!$G$2:$G$104)))</f>
        <v/>
      </c>
      <c r="P797" s="1" t="e">
        <f t="shared" si="12"/>
        <v>#VALUE!</v>
      </c>
    </row>
    <row r="798" spans="1:16" x14ac:dyDescent="0.25">
      <c r="A798" s="1" t="str">
        <f>IF(B798="","",CONCATENATE(B798,".",C798,"/Pos ",D798,"/",'Extraction edi'!G808))</f>
        <v/>
      </c>
      <c r="B798" s="1" t="str">
        <f>IF('Extraction edi'!A808="","",'Extraction edi'!A808)</f>
        <v/>
      </c>
      <c r="C798" s="1" t="str">
        <f>IF('Extraction edi'!B808="","",'Extraction edi'!B808)</f>
        <v/>
      </c>
      <c r="D798" s="1" t="str">
        <f>IF('Extraction edi'!H808="","",'Extraction edi'!H808)</f>
        <v/>
      </c>
      <c r="E798" s="1" t="str">
        <f>IF('Extraction edi'!I808="","",'Extraction edi'!I808)</f>
        <v/>
      </c>
      <c r="F798" t="str">
        <f>IF('Extraction edi'!K808="","",'Extraction edi'!K808)</f>
        <v/>
      </c>
      <c r="G798" t="str">
        <f>IF('Extraction edi'!L808="","",'Extraction edi'!L808)</f>
        <v/>
      </c>
      <c r="H798" t="str">
        <f>IF('Extraction edi'!M808="","",'Extraction edi'!M808)</f>
        <v/>
      </c>
      <c r="I798" s="1" t="str">
        <f>IF('Extraction edi'!N808="","",'Extraction edi'!N808)</f>
        <v/>
      </c>
      <c r="J798" s="1" t="str">
        <f>IF('Extraction edi'!O808="","",'Extraction edi'!O808)</f>
        <v/>
      </c>
      <c r="K798" s="1" t="str">
        <f>IF('Extraction edi'!P808="","",'Extraction edi'!P808)</f>
        <v/>
      </c>
      <c r="L798" s="1" t="str">
        <f>IF('Extraction edi'!Q808="laquage RAL :","OUI","")</f>
        <v/>
      </c>
      <c r="M798" s="1" t="str">
        <f>IF('Extraction edi'!R808&lt;&gt;"",'Extraction edi'!R808,IF(G798="ALU blanc","S9016",""))</f>
        <v/>
      </c>
      <c r="N798" s="1" t="str">
        <f>IF('Extraction edi'!S808&lt;&gt;"",'Extraction edi'!S808,IF(G798="ALU blanc","S9016",""))</f>
        <v/>
      </c>
      <c r="O798" s="11" t="str">
        <f>IF('Extraction edi'!V808&lt;'Feuille commande'!$E$1,"DELAI NON COMPATIBLE",IF('Extraction edi'!V808="","",WORKDAY('Extraction edi'!V808,-10,Paramètrage!$G$2:$G$104)))</f>
        <v/>
      </c>
      <c r="P798" s="1" t="e">
        <f t="shared" si="12"/>
        <v>#VALUE!</v>
      </c>
    </row>
    <row r="799" spans="1:16" x14ac:dyDescent="0.25">
      <c r="A799" s="1" t="str">
        <f>IF(B799="","",CONCATENATE(B799,".",C799,"/Pos ",D799,"/",'Extraction edi'!G809))</f>
        <v/>
      </c>
      <c r="B799" s="1" t="str">
        <f>IF('Extraction edi'!A809="","",'Extraction edi'!A809)</f>
        <v/>
      </c>
      <c r="C799" s="1" t="str">
        <f>IF('Extraction edi'!B809="","",'Extraction edi'!B809)</f>
        <v/>
      </c>
      <c r="D799" s="1" t="str">
        <f>IF('Extraction edi'!H809="","",'Extraction edi'!H809)</f>
        <v/>
      </c>
      <c r="E799" s="1" t="str">
        <f>IF('Extraction edi'!I809="","",'Extraction edi'!I809)</f>
        <v/>
      </c>
      <c r="F799" t="str">
        <f>IF('Extraction edi'!K809="","",'Extraction edi'!K809)</f>
        <v/>
      </c>
      <c r="G799" t="str">
        <f>IF('Extraction edi'!L809="","",'Extraction edi'!L809)</f>
        <v/>
      </c>
      <c r="H799" t="str">
        <f>IF('Extraction edi'!M809="","",'Extraction edi'!M809)</f>
        <v/>
      </c>
      <c r="I799" s="1" t="str">
        <f>IF('Extraction edi'!N809="","",'Extraction edi'!N809)</f>
        <v/>
      </c>
      <c r="J799" s="1" t="str">
        <f>IF('Extraction edi'!O809="","",'Extraction edi'!O809)</f>
        <v/>
      </c>
      <c r="K799" s="1" t="str">
        <f>IF('Extraction edi'!P809="","",'Extraction edi'!P809)</f>
        <v/>
      </c>
      <c r="L799" s="1" t="str">
        <f>IF('Extraction edi'!Q809="laquage RAL :","OUI","")</f>
        <v/>
      </c>
      <c r="M799" s="1" t="str">
        <f>IF('Extraction edi'!R809&lt;&gt;"",'Extraction edi'!R809,IF(G799="ALU blanc","S9016",""))</f>
        <v/>
      </c>
      <c r="N799" s="1" t="str">
        <f>IF('Extraction edi'!S809&lt;&gt;"",'Extraction edi'!S809,IF(G799="ALU blanc","S9016",""))</f>
        <v/>
      </c>
      <c r="O799" s="11" t="str">
        <f>IF('Extraction edi'!V809&lt;'Feuille commande'!$E$1,"DELAI NON COMPATIBLE",IF('Extraction edi'!V809="","",WORKDAY('Extraction edi'!V809,-10,Paramètrage!$G$2:$G$104)))</f>
        <v/>
      </c>
      <c r="P799" s="1" t="e">
        <f t="shared" si="12"/>
        <v>#VALUE!</v>
      </c>
    </row>
    <row r="800" spans="1:16" x14ac:dyDescent="0.25">
      <c r="A800" s="1" t="str">
        <f>IF(B800="","",CONCATENATE(B800,".",C800,"/Pos ",D800,"/",'Extraction edi'!G810))</f>
        <v/>
      </c>
      <c r="B800" s="1" t="str">
        <f>IF('Extraction edi'!A810="","",'Extraction edi'!A810)</f>
        <v/>
      </c>
      <c r="C800" s="1" t="str">
        <f>IF('Extraction edi'!B810="","",'Extraction edi'!B810)</f>
        <v/>
      </c>
      <c r="D800" s="1" t="str">
        <f>IF('Extraction edi'!H810="","",'Extraction edi'!H810)</f>
        <v/>
      </c>
      <c r="E800" s="1" t="str">
        <f>IF('Extraction edi'!I810="","",'Extraction edi'!I810)</f>
        <v/>
      </c>
      <c r="F800" t="str">
        <f>IF('Extraction edi'!K810="","",'Extraction edi'!K810)</f>
        <v/>
      </c>
      <c r="G800" t="str">
        <f>IF('Extraction edi'!L810="","",'Extraction edi'!L810)</f>
        <v/>
      </c>
      <c r="H800" t="str">
        <f>IF('Extraction edi'!M810="","",'Extraction edi'!M810)</f>
        <v/>
      </c>
      <c r="I800" s="1" t="str">
        <f>IF('Extraction edi'!N810="","",'Extraction edi'!N810)</f>
        <v/>
      </c>
      <c r="J800" s="1" t="str">
        <f>IF('Extraction edi'!O810="","",'Extraction edi'!O810)</f>
        <v/>
      </c>
      <c r="K800" s="1" t="str">
        <f>IF('Extraction edi'!P810="","",'Extraction edi'!P810)</f>
        <v/>
      </c>
      <c r="L800" s="1" t="str">
        <f>IF('Extraction edi'!Q810="laquage RAL :","OUI","")</f>
        <v/>
      </c>
      <c r="M800" s="1" t="str">
        <f>IF('Extraction edi'!R810&lt;&gt;"",'Extraction edi'!R810,IF(G800="ALU blanc","S9016",""))</f>
        <v/>
      </c>
      <c r="N800" s="1" t="str">
        <f>IF('Extraction edi'!S810&lt;&gt;"",'Extraction edi'!S810,IF(G800="ALU blanc","S9016",""))</f>
        <v/>
      </c>
      <c r="O800" s="11" t="str">
        <f>IF('Extraction edi'!V810&lt;'Feuille commande'!$E$1,"DELAI NON COMPATIBLE",IF('Extraction edi'!V810="","",WORKDAY('Extraction edi'!V810,-10,Paramètrage!$G$2:$G$104)))</f>
        <v/>
      </c>
      <c r="P800" s="1" t="e">
        <f t="shared" si="12"/>
        <v>#VALUE!</v>
      </c>
    </row>
    <row r="801" spans="1:16" x14ac:dyDescent="0.25">
      <c r="A801" s="1" t="str">
        <f>IF(B801="","",CONCATENATE(B801,".",C801,"/Pos ",D801,"/",'Extraction edi'!G811))</f>
        <v/>
      </c>
      <c r="B801" s="1" t="str">
        <f>IF('Extraction edi'!A811="","",'Extraction edi'!A811)</f>
        <v/>
      </c>
      <c r="C801" s="1" t="str">
        <f>IF('Extraction edi'!B811="","",'Extraction edi'!B811)</f>
        <v/>
      </c>
      <c r="D801" s="1" t="str">
        <f>IF('Extraction edi'!H811="","",'Extraction edi'!H811)</f>
        <v/>
      </c>
      <c r="E801" s="1" t="str">
        <f>IF('Extraction edi'!I811="","",'Extraction edi'!I811)</f>
        <v/>
      </c>
      <c r="F801" t="str">
        <f>IF('Extraction edi'!K811="","",'Extraction edi'!K811)</f>
        <v/>
      </c>
      <c r="G801" t="str">
        <f>IF('Extraction edi'!L811="","",'Extraction edi'!L811)</f>
        <v/>
      </c>
      <c r="H801" t="str">
        <f>IF('Extraction edi'!M811="","",'Extraction edi'!M811)</f>
        <v/>
      </c>
      <c r="I801" s="1" t="str">
        <f>IF('Extraction edi'!N811="","",'Extraction edi'!N811)</f>
        <v/>
      </c>
      <c r="J801" s="1" t="str">
        <f>IF('Extraction edi'!O811="","",'Extraction edi'!O811)</f>
        <v/>
      </c>
      <c r="K801" s="1" t="str">
        <f>IF('Extraction edi'!P811="","",'Extraction edi'!P811)</f>
        <v/>
      </c>
      <c r="L801" s="1" t="str">
        <f>IF('Extraction edi'!Q811="laquage RAL :","OUI","")</f>
        <v/>
      </c>
      <c r="M801" s="1" t="str">
        <f>IF('Extraction edi'!R811&lt;&gt;"",'Extraction edi'!R811,IF(G801="ALU blanc","S9016",""))</f>
        <v/>
      </c>
      <c r="N801" s="1" t="str">
        <f>IF('Extraction edi'!S811&lt;&gt;"",'Extraction edi'!S811,IF(G801="ALU blanc","S9016",""))</f>
        <v/>
      </c>
      <c r="O801" s="11" t="str">
        <f>IF('Extraction edi'!V811&lt;'Feuille commande'!$E$1,"DELAI NON COMPATIBLE",IF('Extraction edi'!V811="","",WORKDAY('Extraction edi'!V811,-10,Paramètrage!$G$2:$G$104)))</f>
        <v/>
      </c>
      <c r="P801" s="1" t="e">
        <f t="shared" si="12"/>
        <v>#VALUE!</v>
      </c>
    </row>
    <row r="802" spans="1:16" x14ac:dyDescent="0.25">
      <c r="A802" s="1" t="str">
        <f>IF(B802="","",CONCATENATE(B802,".",C802,"/Pos ",D802,"/",'Extraction edi'!G812))</f>
        <v/>
      </c>
      <c r="B802" s="1" t="str">
        <f>IF('Extraction edi'!A812="","",'Extraction edi'!A812)</f>
        <v/>
      </c>
      <c r="C802" s="1" t="str">
        <f>IF('Extraction edi'!B812="","",'Extraction edi'!B812)</f>
        <v/>
      </c>
      <c r="D802" s="1" t="str">
        <f>IF('Extraction edi'!H812="","",'Extraction edi'!H812)</f>
        <v/>
      </c>
      <c r="E802" s="1" t="str">
        <f>IF('Extraction edi'!I812="","",'Extraction edi'!I812)</f>
        <v/>
      </c>
      <c r="F802" t="str">
        <f>IF('Extraction edi'!K812="","",'Extraction edi'!K812)</f>
        <v/>
      </c>
      <c r="G802" t="str">
        <f>IF('Extraction edi'!L812="","",'Extraction edi'!L812)</f>
        <v/>
      </c>
      <c r="H802" t="str">
        <f>IF('Extraction edi'!M812="","",'Extraction edi'!M812)</f>
        <v/>
      </c>
      <c r="I802" s="1" t="str">
        <f>IF('Extraction edi'!N812="","",'Extraction edi'!N812)</f>
        <v/>
      </c>
      <c r="J802" s="1" t="str">
        <f>IF('Extraction edi'!O812="","",'Extraction edi'!O812)</f>
        <v/>
      </c>
      <c r="K802" s="1" t="str">
        <f>IF('Extraction edi'!P812="","",'Extraction edi'!P812)</f>
        <v/>
      </c>
      <c r="L802" s="1" t="str">
        <f>IF('Extraction edi'!Q812="laquage RAL :","OUI","")</f>
        <v/>
      </c>
      <c r="M802" s="1" t="str">
        <f>IF('Extraction edi'!R812&lt;&gt;"",'Extraction edi'!R812,IF(G802="ALU blanc","S9016",""))</f>
        <v/>
      </c>
      <c r="N802" s="1" t="str">
        <f>IF('Extraction edi'!S812&lt;&gt;"",'Extraction edi'!S812,IF(G802="ALU blanc","S9016",""))</f>
        <v/>
      </c>
      <c r="O802" s="11" t="str">
        <f>IF('Extraction edi'!V812&lt;'Feuille commande'!$E$1,"DELAI NON COMPATIBLE",IF('Extraction edi'!V812="","",WORKDAY('Extraction edi'!V812,-10,Paramètrage!$G$2:$G$104)))</f>
        <v/>
      </c>
      <c r="P802" s="1" t="e">
        <f t="shared" si="12"/>
        <v>#VALUE!</v>
      </c>
    </row>
    <row r="803" spans="1:16" x14ac:dyDescent="0.25">
      <c r="A803" s="1" t="str">
        <f>IF(B803="","",CONCATENATE(B803,".",C803,"/Pos ",D803,"/",'Extraction edi'!G813))</f>
        <v/>
      </c>
      <c r="B803" s="1" t="str">
        <f>IF('Extraction edi'!A813="","",'Extraction edi'!A813)</f>
        <v/>
      </c>
      <c r="C803" s="1" t="str">
        <f>IF('Extraction edi'!B813="","",'Extraction edi'!B813)</f>
        <v/>
      </c>
      <c r="D803" s="1" t="str">
        <f>IF('Extraction edi'!H813="","",'Extraction edi'!H813)</f>
        <v/>
      </c>
      <c r="E803" s="1" t="str">
        <f>IF('Extraction edi'!I813="","",'Extraction edi'!I813)</f>
        <v/>
      </c>
      <c r="F803" t="str">
        <f>IF('Extraction edi'!K813="","",'Extraction edi'!K813)</f>
        <v/>
      </c>
      <c r="G803" t="str">
        <f>IF('Extraction edi'!L813="","",'Extraction edi'!L813)</f>
        <v/>
      </c>
      <c r="H803" t="str">
        <f>IF('Extraction edi'!M813="","",'Extraction edi'!M813)</f>
        <v/>
      </c>
      <c r="I803" s="1" t="str">
        <f>IF('Extraction edi'!N813="","",'Extraction edi'!N813)</f>
        <v/>
      </c>
      <c r="J803" s="1" t="str">
        <f>IF('Extraction edi'!O813="","",'Extraction edi'!O813)</f>
        <v/>
      </c>
      <c r="K803" s="1" t="str">
        <f>IF('Extraction edi'!P813="","",'Extraction edi'!P813)</f>
        <v/>
      </c>
      <c r="L803" s="1" t="str">
        <f>IF('Extraction edi'!Q813="laquage RAL :","OUI","")</f>
        <v/>
      </c>
      <c r="M803" s="1" t="str">
        <f>IF('Extraction edi'!R813&lt;&gt;"",'Extraction edi'!R813,IF(G803="ALU blanc","S9016",""))</f>
        <v/>
      </c>
      <c r="N803" s="1" t="str">
        <f>IF('Extraction edi'!S813&lt;&gt;"",'Extraction edi'!S813,IF(G803="ALU blanc","S9016",""))</f>
        <v/>
      </c>
      <c r="O803" s="11" t="str">
        <f>IF('Extraction edi'!V813&lt;'Feuille commande'!$E$1,"DELAI NON COMPATIBLE",IF('Extraction edi'!V813="","",WORKDAY('Extraction edi'!V813,-10,Paramètrage!$G$2:$G$104)))</f>
        <v/>
      </c>
      <c r="P803" s="1" t="e">
        <f t="shared" si="12"/>
        <v>#VALUE!</v>
      </c>
    </row>
    <row r="804" spans="1:16" x14ac:dyDescent="0.25">
      <c r="A804" s="1" t="str">
        <f>IF(B804="","",CONCATENATE(B804,".",C804,"/Pos ",D804,"/",'Extraction edi'!G814))</f>
        <v/>
      </c>
      <c r="B804" s="1" t="str">
        <f>IF('Extraction edi'!A814="","",'Extraction edi'!A814)</f>
        <v/>
      </c>
      <c r="C804" s="1" t="str">
        <f>IF('Extraction edi'!B814="","",'Extraction edi'!B814)</f>
        <v/>
      </c>
      <c r="D804" s="1" t="str">
        <f>IF('Extraction edi'!H814="","",'Extraction edi'!H814)</f>
        <v/>
      </c>
      <c r="E804" s="1" t="str">
        <f>IF('Extraction edi'!I814="","",'Extraction edi'!I814)</f>
        <v/>
      </c>
      <c r="F804" t="str">
        <f>IF('Extraction edi'!K814="","",'Extraction edi'!K814)</f>
        <v/>
      </c>
      <c r="G804" t="str">
        <f>IF('Extraction edi'!L814="","",'Extraction edi'!L814)</f>
        <v/>
      </c>
      <c r="H804" t="str">
        <f>IF('Extraction edi'!M814="","",'Extraction edi'!M814)</f>
        <v/>
      </c>
      <c r="I804" s="1" t="str">
        <f>IF('Extraction edi'!N814="","",'Extraction edi'!N814)</f>
        <v/>
      </c>
      <c r="J804" s="1" t="str">
        <f>IF('Extraction edi'!O814="","",'Extraction edi'!O814)</f>
        <v/>
      </c>
      <c r="K804" s="1" t="str">
        <f>IF('Extraction edi'!P814="","",'Extraction edi'!P814)</f>
        <v/>
      </c>
      <c r="L804" s="1" t="str">
        <f>IF('Extraction edi'!Q814="laquage RAL :","OUI","")</f>
        <v/>
      </c>
      <c r="M804" s="1" t="str">
        <f>IF('Extraction edi'!R814&lt;&gt;"",'Extraction edi'!R814,IF(G804="ALU blanc","S9016",""))</f>
        <v/>
      </c>
      <c r="N804" s="1" t="str">
        <f>IF('Extraction edi'!S814&lt;&gt;"",'Extraction edi'!S814,IF(G804="ALU blanc","S9016",""))</f>
        <v/>
      </c>
      <c r="O804" s="11" t="str">
        <f>IF('Extraction edi'!V814&lt;'Feuille commande'!$E$1,"DELAI NON COMPATIBLE",IF('Extraction edi'!V814="","",WORKDAY('Extraction edi'!V814,-10,Paramètrage!$G$2:$G$104)))</f>
        <v/>
      </c>
      <c r="P804" s="1" t="e">
        <f t="shared" si="12"/>
        <v>#VALUE!</v>
      </c>
    </row>
    <row r="805" spans="1:16" x14ac:dyDescent="0.25">
      <c r="A805" s="1" t="str">
        <f>IF(B805="","",CONCATENATE(B805,".",C805,"/Pos ",D805,"/",'Extraction edi'!G815))</f>
        <v/>
      </c>
      <c r="B805" s="1" t="str">
        <f>IF('Extraction edi'!A815="","",'Extraction edi'!A815)</f>
        <v/>
      </c>
      <c r="C805" s="1" t="str">
        <f>IF('Extraction edi'!B815="","",'Extraction edi'!B815)</f>
        <v/>
      </c>
      <c r="D805" s="1" t="str">
        <f>IF('Extraction edi'!H815="","",'Extraction edi'!H815)</f>
        <v/>
      </c>
      <c r="E805" s="1" t="str">
        <f>IF('Extraction edi'!I815="","",'Extraction edi'!I815)</f>
        <v/>
      </c>
      <c r="F805" t="str">
        <f>IF('Extraction edi'!K815="","",'Extraction edi'!K815)</f>
        <v/>
      </c>
      <c r="G805" t="str">
        <f>IF('Extraction edi'!L815="","",'Extraction edi'!L815)</f>
        <v/>
      </c>
      <c r="H805" t="str">
        <f>IF('Extraction edi'!M815="","",'Extraction edi'!M815)</f>
        <v/>
      </c>
      <c r="I805" s="1" t="str">
        <f>IF('Extraction edi'!N815="","",'Extraction edi'!N815)</f>
        <v/>
      </c>
      <c r="J805" s="1" t="str">
        <f>IF('Extraction edi'!O815="","",'Extraction edi'!O815)</f>
        <v/>
      </c>
      <c r="K805" s="1" t="str">
        <f>IF('Extraction edi'!P815="","",'Extraction edi'!P815)</f>
        <v/>
      </c>
      <c r="L805" s="1" t="str">
        <f>IF('Extraction edi'!Q815="laquage RAL :","OUI","")</f>
        <v/>
      </c>
      <c r="M805" s="1" t="str">
        <f>IF('Extraction edi'!R815&lt;&gt;"",'Extraction edi'!R815,IF(G805="ALU blanc","S9016",""))</f>
        <v/>
      </c>
      <c r="N805" s="1" t="str">
        <f>IF('Extraction edi'!S815&lt;&gt;"",'Extraction edi'!S815,IF(G805="ALU blanc","S9016",""))</f>
        <v/>
      </c>
      <c r="O805" s="11" t="str">
        <f>IF('Extraction edi'!V815&lt;'Feuille commande'!$E$1,"DELAI NON COMPATIBLE",IF('Extraction edi'!V815="","",WORKDAY('Extraction edi'!V815,-10,Paramètrage!$G$2:$G$104)))</f>
        <v/>
      </c>
      <c r="P805" s="1" t="e">
        <f t="shared" si="12"/>
        <v>#VALUE!</v>
      </c>
    </row>
    <row r="806" spans="1:16" x14ac:dyDescent="0.25">
      <c r="A806" s="1" t="str">
        <f>IF(B806="","",CONCATENATE(B806,".",C806,"/Pos ",D806,"/",'Extraction edi'!G816))</f>
        <v/>
      </c>
      <c r="B806" s="1" t="str">
        <f>IF('Extraction edi'!A816="","",'Extraction edi'!A816)</f>
        <v/>
      </c>
      <c r="C806" s="1" t="str">
        <f>IF('Extraction edi'!B816="","",'Extraction edi'!B816)</f>
        <v/>
      </c>
      <c r="D806" s="1" t="str">
        <f>IF('Extraction edi'!H816="","",'Extraction edi'!H816)</f>
        <v/>
      </c>
      <c r="E806" s="1" t="str">
        <f>IF('Extraction edi'!I816="","",'Extraction edi'!I816)</f>
        <v/>
      </c>
      <c r="F806" t="str">
        <f>IF('Extraction edi'!K816="","",'Extraction edi'!K816)</f>
        <v/>
      </c>
      <c r="G806" t="str">
        <f>IF('Extraction edi'!L816="","",'Extraction edi'!L816)</f>
        <v/>
      </c>
      <c r="H806" t="str">
        <f>IF('Extraction edi'!M816="","",'Extraction edi'!M816)</f>
        <v/>
      </c>
      <c r="I806" s="1" t="str">
        <f>IF('Extraction edi'!N816="","",'Extraction edi'!N816)</f>
        <v/>
      </c>
      <c r="J806" s="1" t="str">
        <f>IF('Extraction edi'!O816="","",'Extraction edi'!O816)</f>
        <v/>
      </c>
      <c r="K806" s="1" t="str">
        <f>IF('Extraction edi'!P816="","",'Extraction edi'!P816)</f>
        <v/>
      </c>
      <c r="L806" s="1" t="str">
        <f>IF('Extraction edi'!Q816="laquage RAL :","OUI","")</f>
        <v/>
      </c>
      <c r="M806" s="1" t="str">
        <f>IF('Extraction edi'!R816&lt;&gt;"",'Extraction edi'!R816,IF(G806="ALU blanc","S9016",""))</f>
        <v/>
      </c>
      <c r="N806" s="1" t="str">
        <f>IF('Extraction edi'!S816&lt;&gt;"",'Extraction edi'!S816,IF(G806="ALU blanc","S9016",""))</f>
        <v/>
      </c>
      <c r="O806" s="11" t="str">
        <f>IF('Extraction edi'!V816&lt;'Feuille commande'!$E$1,"DELAI NON COMPATIBLE",IF('Extraction edi'!V816="","",WORKDAY('Extraction edi'!V816,-10,Paramètrage!$G$2:$G$104)))</f>
        <v/>
      </c>
      <c r="P806" s="1" t="e">
        <f t="shared" si="12"/>
        <v>#VALUE!</v>
      </c>
    </row>
    <row r="807" spans="1:16" x14ac:dyDescent="0.25">
      <c r="A807" s="1" t="str">
        <f>IF(B807="","",CONCATENATE(B807,".",C807,"/Pos ",D807,"/",'Extraction edi'!G817))</f>
        <v/>
      </c>
      <c r="B807" s="1" t="str">
        <f>IF('Extraction edi'!A817="","",'Extraction edi'!A817)</f>
        <v/>
      </c>
      <c r="C807" s="1" t="str">
        <f>IF('Extraction edi'!B817="","",'Extraction edi'!B817)</f>
        <v/>
      </c>
      <c r="D807" s="1" t="str">
        <f>IF('Extraction edi'!H817="","",'Extraction edi'!H817)</f>
        <v/>
      </c>
      <c r="E807" s="1" t="str">
        <f>IF('Extraction edi'!I817="","",'Extraction edi'!I817)</f>
        <v/>
      </c>
      <c r="F807" t="str">
        <f>IF('Extraction edi'!K817="","",'Extraction edi'!K817)</f>
        <v/>
      </c>
      <c r="G807" t="str">
        <f>IF('Extraction edi'!L817="","",'Extraction edi'!L817)</f>
        <v/>
      </c>
      <c r="H807" t="str">
        <f>IF('Extraction edi'!M817="","",'Extraction edi'!M817)</f>
        <v/>
      </c>
      <c r="I807" s="1" t="str">
        <f>IF('Extraction edi'!N817="","",'Extraction edi'!N817)</f>
        <v/>
      </c>
      <c r="J807" s="1" t="str">
        <f>IF('Extraction edi'!O817="","",'Extraction edi'!O817)</f>
        <v/>
      </c>
      <c r="K807" s="1" t="str">
        <f>IF('Extraction edi'!P817="","",'Extraction edi'!P817)</f>
        <v/>
      </c>
      <c r="L807" s="1" t="str">
        <f>IF('Extraction edi'!Q817="laquage RAL :","OUI","")</f>
        <v/>
      </c>
      <c r="M807" s="1" t="str">
        <f>IF('Extraction edi'!R817&lt;&gt;"",'Extraction edi'!R817,IF(G807="ALU blanc","S9016",""))</f>
        <v/>
      </c>
      <c r="N807" s="1" t="str">
        <f>IF('Extraction edi'!S817&lt;&gt;"",'Extraction edi'!S817,IF(G807="ALU blanc","S9016",""))</f>
        <v/>
      </c>
      <c r="O807" s="11" t="str">
        <f>IF('Extraction edi'!V817&lt;'Feuille commande'!$E$1,"DELAI NON COMPATIBLE",IF('Extraction edi'!V817="","",WORKDAY('Extraction edi'!V817,-10,Paramètrage!$G$2:$G$104)))</f>
        <v/>
      </c>
      <c r="P807" s="1" t="e">
        <f t="shared" si="12"/>
        <v>#VALUE!</v>
      </c>
    </row>
    <row r="808" spans="1:16" x14ac:dyDescent="0.25">
      <c r="A808" s="1" t="str">
        <f>IF(B808="","",CONCATENATE(B808,".",C808,"/Pos ",D808,"/",'Extraction edi'!G818))</f>
        <v/>
      </c>
      <c r="B808" s="1" t="str">
        <f>IF('Extraction edi'!A818="","",'Extraction edi'!A818)</f>
        <v/>
      </c>
      <c r="C808" s="1" t="str">
        <f>IF('Extraction edi'!B818="","",'Extraction edi'!B818)</f>
        <v/>
      </c>
      <c r="D808" s="1" t="str">
        <f>IF('Extraction edi'!H818="","",'Extraction edi'!H818)</f>
        <v/>
      </c>
      <c r="E808" s="1" t="str">
        <f>IF('Extraction edi'!I818="","",'Extraction edi'!I818)</f>
        <v/>
      </c>
      <c r="F808" t="str">
        <f>IF('Extraction edi'!K818="","",'Extraction edi'!K818)</f>
        <v/>
      </c>
      <c r="G808" t="str">
        <f>IF('Extraction edi'!L818="","",'Extraction edi'!L818)</f>
        <v/>
      </c>
      <c r="H808" t="str">
        <f>IF('Extraction edi'!M818="","",'Extraction edi'!M818)</f>
        <v/>
      </c>
      <c r="I808" s="1" t="str">
        <f>IF('Extraction edi'!N818="","",'Extraction edi'!N818)</f>
        <v/>
      </c>
      <c r="J808" s="1" t="str">
        <f>IF('Extraction edi'!O818="","",'Extraction edi'!O818)</f>
        <v/>
      </c>
      <c r="K808" s="1" t="str">
        <f>IF('Extraction edi'!P818="","",'Extraction edi'!P818)</f>
        <v/>
      </c>
      <c r="L808" s="1" t="str">
        <f>IF('Extraction edi'!Q818="laquage RAL :","OUI","")</f>
        <v/>
      </c>
      <c r="M808" s="1" t="str">
        <f>IF('Extraction edi'!R818&lt;&gt;"",'Extraction edi'!R818,IF(G808="ALU blanc","S9016",""))</f>
        <v/>
      </c>
      <c r="N808" s="1" t="str">
        <f>IF('Extraction edi'!S818&lt;&gt;"",'Extraction edi'!S818,IF(G808="ALU blanc","S9016",""))</f>
        <v/>
      </c>
      <c r="O808" s="11" t="str">
        <f>IF('Extraction edi'!V818&lt;'Feuille commande'!$E$1,"DELAI NON COMPATIBLE",IF('Extraction edi'!V818="","",WORKDAY('Extraction edi'!V818,-10,Paramètrage!$G$2:$G$104)))</f>
        <v/>
      </c>
      <c r="P808" s="1" t="e">
        <f t="shared" si="12"/>
        <v>#VALUE!</v>
      </c>
    </row>
    <row r="809" spans="1:16" x14ac:dyDescent="0.25">
      <c r="A809" s="1" t="str">
        <f>IF(B809="","",CONCATENATE(B809,".",C809,"/Pos ",D809,"/",'Extraction edi'!G819))</f>
        <v/>
      </c>
      <c r="B809" s="1" t="str">
        <f>IF('Extraction edi'!A819="","",'Extraction edi'!A819)</f>
        <v/>
      </c>
      <c r="C809" s="1" t="str">
        <f>IF('Extraction edi'!B819="","",'Extraction edi'!B819)</f>
        <v/>
      </c>
      <c r="D809" s="1" t="str">
        <f>IF('Extraction edi'!H819="","",'Extraction edi'!H819)</f>
        <v/>
      </c>
      <c r="E809" s="1" t="str">
        <f>IF('Extraction edi'!I819="","",'Extraction edi'!I819)</f>
        <v/>
      </c>
      <c r="F809" t="str">
        <f>IF('Extraction edi'!K819="","",'Extraction edi'!K819)</f>
        <v/>
      </c>
      <c r="G809" t="str">
        <f>IF('Extraction edi'!L819="","",'Extraction edi'!L819)</f>
        <v/>
      </c>
      <c r="H809" t="str">
        <f>IF('Extraction edi'!M819="","",'Extraction edi'!M819)</f>
        <v/>
      </c>
      <c r="I809" s="1" t="str">
        <f>IF('Extraction edi'!N819="","",'Extraction edi'!N819)</f>
        <v/>
      </c>
      <c r="J809" s="1" t="str">
        <f>IF('Extraction edi'!O819="","",'Extraction edi'!O819)</f>
        <v/>
      </c>
      <c r="K809" s="1" t="str">
        <f>IF('Extraction edi'!P819="","",'Extraction edi'!P819)</f>
        <v/>
      </c>
      <c r="L809" s="1" t="str">
        <f>IF('Extraction edi'!Q819="laquage RAL :","OUI","")</f>
        <v/>
      </c>
      <c r="M809" s="1" t="str">
        <f>IF('Extraction edi'!R819&lt;&gt;"",'Extraction edi'!R819,IF(G809="ALU blanc","S9016",""))</f>
        <v/>
      </c>
      <c r="N809" s="1" t="str">
        <f>IF('Extraction edi'!S819&lt;&gt;"",'Extraction edi'!S819,IF(G809="ALU blanc","S9016",""))</f>
        <v/>
      </c>
      <c r="O809" s="11" t="str">
        <f>IF('Extraction edi'!V819&lt;'Feuille commande'!$E$1,"DELAI NON COMPATIBLE",IF('Extraction edi'!V819="","",WORKDAY('Extraction edi'!V819,-10,Paramètrage!$G$2:$G$104)))</f>
        <v/>
      </c>
      <c r="P809" s="1" t="e">
        <f t="shared" si="12"/>
        <v>#VALUE!</v>
      </c>
    </row>
    <row r="810" spans="1:16" x14ac:dyDescent="0.25">
      <c r="A810" s="1" t="str">
        <f>IF(B810="","",CONCATENATE(B810,".",C810,"/Pos ",D810,"/",'Extraction edi'!G820))</f>
        <v/>
      </c>
      <c r="B810" s="1" t="str">
        <f>IF('Extraction edi'!A820="","",'Extraction edi'!A820)</f>
        <v/>
      </c>
      <c r="C810" s="1" t="str">
        <f>IF('Extraction edi'!B820="","",'Extraction edi'!B820)</f>
        <v/>
      </c>
      <c r="D810" s="1" t="str">
        <f>IF('Extraction edi'!H820="","",'Extraction edi'!H820)</f>
        <v/>
      </c>
      <c r="E810" s="1" t="str">
        <f>IF('Extraction edi'!I820="","",'Extraction edi'!I820)</f>
        <v/>
      </c>
      <c r="F810" t="str">
        <f>IF('Extraction edi'!K820="","",'Extraction edi'!K820)</f>
        <v/>
      </c>
      <c r="G810" t="str">
        <f>IF('Extraction edi'!L820="","",'Extraction edi'!L820)</f>
        <v/>
      </c>
      <c r="H810" t="str">
        <f>IF('Extraction edi'!M820="","",'Extraction edi'!M820)</f>
        <v/>
      </c>
      <c r="I810" s="1" t="str">
        <f>IF('Extraction edi'!N820="","",'Extraction edi'!N820)</f>
        <v/>
      </c>
      <c r="J810" s="1" t="str">
        <f>IF('Extraction edi'!O820="","",'Extraction edi'!O820)</f>
        <v/>
      </c>
      <c r="K810" s="1" t="str">
        <f>IF('Extraction edi'!P820="","",'Extraction edi'!P820)</f>
        <v/>
      </c>
      <c r="L810" s="1" t="str">
        <f>IF('Extraction edi'!Q820="laquage RAL :","OUI","")</f>
        <v/>
      </c>
      <c r="M810" s="1" t="str">
        <f>IF('Extraction edi'!R820&lt;&gt;"",'Extraction edi'!R820,IF(G810="ALU blanc","S9016",""))</f>
        <v/>
      </c>
      <c r="N810" s="1" t="str">
        <f>IF('Extraction edi'!S820&lt;&gt;"",'Extraction edi'!S820,IF(G810="ALU blanc","S9016",""))</f>
        <v/>
      </c>
      <c r="O810" s="11" t="str">
        <f>IF('Extraction edi'!V820&lt;'Feuille commande'!$E$1,"DELAI NON COMPATIBLE",IF('Extraction edi'!V820="","",WORKDAY('Extraction edi'!V820,-10,Paramètrage!$G$2:$G$104)))</f>
        <v/>
      </c>
      <c r="P810" s="1" t="e">
        <f t="shared" si="12"/>
        <v>#VALUE!</v>
      </c>
    </row>
    <row r="811" spans="1:16" x14ac:dyDescent="0.25">
      <c r="A811" s="1" t="str">
        <f>IF(B811="","",CONCATENATE(B811,".",C811,"/Pos ",D811,"/",'Extraction edi'!G821))</f>
        <v/>
      </c>
      <c r="B811" s="1" t="str">
        <f>IF('Extraction edi'!A821="","",'Extraction edi'!A821)</f>
        <v/>
      </c>
      <c r="C811" s="1" t="str">
        <f>IF('Extraction edi'!B821="","",'Extraction edi'!B821)</f>
        <v/>
      </c>
      <c r="D811" s="1" t="str">
        <f>IF('Extraction edi'!H821="","",'Extraction edi'!H821)</f>
        <v/>
      </c>
      <c r="E811" s="1" t="str">
        <f>IF('Extraction edi'!I821="","",'Extraction edi'!I821)</f>
        <v/>
      </c>
      <c r="F811" t="str">
        <f>IF('Extraction edi'!K821="","",'Extraction edi'!K821)</f>
        <v/>
      </c>
      <c r="G811" t="str">
        <f>IF('Extraction edi'!L821="","",'Extraction edi'!L821)</f>
        <v/>
      </c>
      <c r="H811" t="str">
        <f>IF('Extraction edi'!M821="","",'Extraction edi'!M821)</f>
        <v/>
      </c>
      <c r="I811" s="1" t="str">
        <f>IF('Extraction edi'!N821="","",'Extraction edi'!N821)</f>
        <v/>
      </c>
      <c r="J811" s="1" t="str">
        <f>IF('Extraction edi'!O821="","",'Extraction edi'!O821)</f>
        <v/>
      </c>
      <c r="K811" s="1" t="str">
        <f>IF('Extraction edi'!P821="","",'Extraction edi'!P821)</f>
        <v/>
      </c>
      <c r="L811" s="1" t="str">
        <f>IF('Extraction edi'!Q821="laquage RAL :","OUI","")</f>
        <v/>
      </c>
      <c r="M811" s="1" t="str">
        <f>IF('Extraction edi'!R821&lt;&gt;"",'Extraction edi'!R821,IF(G811="ALU blanc","S9016",""))</f>
        <v/>
      </c>
      <c r="N811" s="1" t="str">
        <f>IF('Extraction edi'!S821&lt;&gt;"",'Extraction edi'!S821,IF(G811="ALU blanc","S9016",""))</f>
        <v/>
      </c>
      <c r="O811" s="11" t="str">
        <f>IF('Extraction edi'!V821&lt;'Feuille commande'!$E$1,"DELAI NON COMPATIBLE",IF('Extraction edi'!V821="","",WORKDAY('Extraction edi'!V821,-10,Paramètrage!$G$2:$G$104)))</f>
        <v/>
      </c>
      <c r="P811" s="1" t="e">
        <f t="shared" si="12"/>
        <v>#VALUE!</v>
      </c>
    </row>
    <row r="812" spans="1:16" x14ac:dyDescent="0.25">
      <c r="A812" s="1" t="str">
        <f>IF(B812="","",CONCATENATE(B812,".",C812,"/Pos ",D812,"/",'Extraction edi'!G822))</f>
        <v/>
      </c>
      <c r="B812" s="1" t="str">
        <f>IF('Extraction edi'!A822="","",'Extraction edi'!A822)</f>
        <v/>
      </c>
      <c r="C812" s="1" t="str">
        <f>IF('Extraction edi'!B822="","",'Extraction edi'!B822)</f>
        <v/>
      </c>
      <c r="D812" s="1" t="str">
        <f>IF('Extraction edi'!H822="","",'Extraction edi'!H822)</f>
        <v/>
      </c>
      <c r="E812" s="1" t="str">
        <f>IF('Extraction edi'!I822="","",'Extraction edi'!I822)</f>
        <v/>
      </c>
      <c r="F812" t="str">
        <f>IF('Extraction edi'!K822="","",'Extraction edi'!K822)</f>
        <v/>
      </c>
      <c r="G812" t="str">
        <f>IF('Extraction edi'!L822="","",'Extraction edi'!L822)</f>
        <v/>
      </c>
      <c r="H812" t="str">
        <f>IF('Extraction edi'!M822="","",'Extraction edi'!M822)</f>
        <v/>
      </c>
      <c r="I812" s="1" t="str">
        <f>IF('Extraction edi'!N822="","",'Extraction edi'!N822)</f>
        <v/>
      </c>
      <c r="J812" s="1" t="str">
        <f>IF('Extraction edi'!O822="","",'Extraction edi'!O822)</f>
        <v/>
      </c>
      <c r="K812" s="1" t="str">
        <f>IF('Extraction edi'!P822="","",'Extraction edi'!P822)</f>
        <v/>
      </c>
      <c r="L812" s="1" t="str">
        <f>IF('Extraction edi'!Q822="laquage RAL :","OUI","")</f>
        <v/>
      </c>
      <c r="M812" s="1" t="str">
        <f>IF('Extraction edi'!R822&lt;&gt;"",'Extraction edi'!R822,IF(G812="ALU blanc","S9016",""))</f>
        <v/>
      </c>
      <c r="N812" s="1" t="str">
        <f>IF('Extraction edi'!S822&lt;&gt;"",'Extraction edi'!S822,IF(G812="ALU blanc","S9016",""))</f>
        <v/>
      </c>
      <c r="O812" s="11" t="str">
        <f>IF('Extraction edi'!V822&lt;'Feuille commande'!$E$1,"DELAI NON COMPATIBLE",IF('Extraction edi'!V822="","",WORKDAY('Extraction edi'!V822,-10,Paramètrage!$G$2:$G$104)))</f>
        <v/>
      </c>
      <c r="P812" s="1" t="e">
        <f t="shared" si="12"/>
        <v>#VALUE!</v>
      </c>
    </row>
    <row r="813" spans="1:16" x14ac:dyDescent="0.25">
      <c r="A813" s="1" t="str">
        <f>IF(B813="","",CONCATENATE(B813,".",C813,"/Pos ",D813,"/",'Extraction edi'!G823))</f>
        <v/>
      </c>
      <c r="B813" s="1" t="str">
        <f>IF('Extraction edi'!A823="","",'Extraction edi'!A823)</f>
        <v/>
      </c>
      <c r="C813" s="1" t="str">
        <f>IF('Extraction edi'!B823="","",'Extraction edi'!B823)</f>
        <v/>
      </c>
      <c r="D813" s="1" t="str">
        <f>IF('Extraction edi'!H823="","",'Extraction edi'!H823)</f>
        <v/>
      </c>
      <c r="E813" s="1" t="str">
        <f>IF('Extraction edi'!I823="","",'Extraction edi'!I823)</f>
        <v/>
      </c>
      <c r="F813" t="str">
        <f>IF('Extraction edi'!K823="","",'Extraction edi'!K823)</f>
        <v/>
      </c>
      <c r="G813" t="str">
        <f>IF('Extraction edi'!L823="","",'Extraction edi'!L823)</f>
        <v/>
      </c>
      <c r="H813" t="str">
        <f>IF('Extraction edi'!M823="","",'Extraction edi'!M823)</f>
        <v/>
      </c>
      <c r="I813" s="1" t="str">
        <f>IF('Extraction edi'!N823="","",'Extraction edi'!N823)</f>
        <v/>
      </c>
      <c r="J813" s="1" t="str">
        <f>IF('Extraction edi'!O823="","",'Extraction edi'!O823)</f>
        <v/>
      </c>
      <c r="K813" s="1" t="str">
        <f>IF('Extraction edi'!P823="","",'Extraction edi'!P823)</f>
        <v/>
      </c>
      <c r="L813" s="1" t="str">
        <f>IF('Extraction edi'!Q823="laquage RAL :","OUI","")</f>
        <v/>
      </c>
      <c r="M813" s="1" t="str">
        <f>IF('Extraction edi'!R823&lt;&gt;"",'Extraction edi'!R823,IF(G813="ALU blanc","S9016",""))</f>
        <v/>
      </c>
      <c r="N813" s="1" t="str">
        <f>IF('Extraction edi'!S823&lt;&gt;"",'Extraction edi'!S823,IF(G813="ALU blanc","S9016",""))</f>
        <v/>
      </c>
      <c r="O813" s="11" t="str">
        <f>IF('Extraction edi'!V823&lt;'Feuille commande'!$E$1,"DELAI NON COMPATIBLE",IF('Extraction edi'!V823="","",WORKDAY('Extraction edi'!V823,-10,Paramètrage!$G$2:$G$104)))</f>
        <v/>
      </c>
      <c r="P813" s="1" t="e">
        <f t="shared" si="12"/>
        <v>#VALUE!</v>
      </c>
    </row>
    <row r="814" spans="1:16" x14ac:dyDescent="0.25">
      <c r="A814" s="1" t="str">
        <f>IF(B814="","",CONCATENATE(B814,".",C814,"/Pos ",D814,"/",'Extraction edi'!G824))</f>
        <v/>
      </c>
      <c r="B814" s="1" t="str">
        <f>IF('Extraction edi'!A824="","",'Extraction edi'!A824)</f>
        <v/>
      </c>
      <c r="C814" s="1" t="str">
        <f>IF('Extraction edi'!B824="","",'Extraction edi'!B824)</f>
        <v/>
      </c>
      <c r="D814" s="1" t="str">
        <f>IF('Extraction edi'!H824="","",'Extraction edi'!H824)</f>
        <v/>
      </c>
      <c r="E814" s="1" t="str">
        <f>IF('Extraction edi'!I824="","",'Extraction edi'!I824)</f>
        <v/>
      </c>
      <c r="F814" t="str">
        <f>IF('Extraction edi'!K824="","",'Extraction edi'!K824)</f>
        <v/>
      </c>
      <c r="G814" t="str">
        <f>IF('Extraction edi'!L824="","",'Extraction edi'!L824)</f>
        <v/>
      </c>
      <c r="H814" t="str">
        <f>IF('Extraction edi'!M824="","",'Extraction edi'!M824)</f>
        <v/>
      </c>
      <c r="I814" s="1" t="str">
        <f>IF('Extraction edi'!N824="","",'Extraction edi'!N824)</f>
        <v/>
      </c>
      <c r="J814" s="1" t="str">
        <f>IF('Extraction edi'!O824="","",'Extraction edi'!O824)</f>
        <v/>
      </c>
      <c r="K814" s="1" t="str">
        <f>IF('Extraction edi'!P824="","",'Extraction edi'!P824)</f>
        <v/>
      </c>
      <c r="L814" s="1" t="str">
        <f>IF('Extraction edi'!Q824="laquage RAL :","OUI","")</f>
        <v/>
      </c>
      <c r="M814" s="1" t="str">
        <f>IF('Extraction edi'!R824&lt;&gt;"",'Extraction edi'!R824,IF(G814="ALU blanc","S9016",""))</f>
        <v/>
      </c>
      <c r="N814" s="1" t="str">
        <f>IF('Extraction edi'!S824&lt;&gt;"",'Extraction edi'!S824,IF(G814="ALU blanc","S9016",""))</f>
        <v/>
      </c>
      <c r="O814" s="11" t="str">
        <f>IF('Extraction edi'!V824&lt;'Feuille commande'!$E$1,"DELAI NON COMPATIBLE",IF('Extraction edi'!V824="","",WORKDAY('Extraction edi'!V824,-10,Paramètrage!$G$2:$G$104)))</f>
        <v/>
      </c>
      <c r="P814" s="1" t="e">
        <f t="shared" si="12"/>
        <v>#VALUE!</v>
      </c>
    </row>
    <row r="815" spans="1:16" x14ac:dyDescent="0.25">
      <c r="A815" s="1" t="str">
        <f>IF(B815="","",CONCATENATE(B815,".",C815,"/Pos ",D815,"/",'Extraction edi'!G825))</f>
        <v/>
      </c>
      <c r="B815" s="1" t="str">
        <f>IF('Extraction edi'!A825="","",'Extraction edi'!A825)</f>
        <v/>
      </c>
      <c r="C815" s="1" t="str">
        <f>IF('Extraction edi'!B825="","",'Extraction edi'!B825)</f>
        <v/>
      </c>
      <c r="D815" s="1" t="str">
        <f>IF('Extraction edi'!H825="","",'Extraction edi'!H825)</f>
        <v/>
      </c>
      <c r="E815" s="1" t="str">
        <f>IF('Extraction edi'!I825="","",'Extraction edi'!I825)</f>
        <v/>
      </c>
      <c r="F815" t="str">
        <f>IF('Extraction edi'!K825="","",'Extraction edi'!K825)</f>
        <v/>
      </c>
      <c r="G815" t="str">
        <f>IF('Extraction edi'!L825="","",'Extraction edi'!L825)</f>
        <v/>
      </c>
      <c r="H815" t="str">
        <f>IF('Extraction edi'!M825="","",'Extraction edi'!M825)</f>
        <v/>
      </c>
      <c r="I815" s="1" t="str">
        <f>IF('Extraction edi'!N825="","",'Extraction edi'!N825)</f>
        <v/>
      </c>
      <c r="J815" s="1" t="str">
        <f>IF('Extraction edi'!O825="","",'Extraction edi'!O825)</f>
        <v/>
      </c>
      <c r="K815" s="1" t="str">
        <f>IF('Extraction edi'!P825="","",'Extraction edi'!P825)</f>
        <v/>
      </c>
      <c r="L815" s="1" t="str">
        <f>IF('Extraction edi'!Q825="laquage RAL :","OUI","")</f>
        <v/>
      </c>
      <c r="M815" s="1" t="str">
        <f>IF('Extraction edi'!R825&lt;&gt;"",'Extraction edi'!R825,IF(G815="ALU blanc","S9016",""))</f>
        <v/>
      </c>
      <c r="N815" s="1" t="str">
        <f>IF('Extraction edi'!S825&lt;&gt;"",'Extraction edi'!S825,IF(G815="ALU blanc","S9016",""))</f>
        <v/>
      </c>
      <c r="O815" s="11" t="str">
        <f>IF('Extraction edi'!V825&lt;'Feuille commande'!$E$1,"DELAI NON COMPATIBLE",IF('Extraction edi'!V825="","",WORKDAY('Extraction edi'!V825,-10,Paramètrage!$G$2:$G$104)))</f>
        <v/>
      </c>
      <c r="P815" s="1" t="e">
        <f t="shared" si="12"/>
        <v>#VALUE!</v>
      </c>
    </row>
    <row r="816" spans="1:16" x14ac:dyDescent="0.25">
      <c r="A816" s="1" t="str">
        <f>IF(B816="","",CONCATENATE(B816,".",C816,"/Pos ",D816,"/",'Extraction edi'!G826))</f>
        <v/>
      </c>
      <c r="B816" s="1" t="str">
        <f>IF('Extraction edi'!A826="","",'Extraction edi'!A826)</f>
        <v/>
      </c>
      <c r="C816" s="1" t="str">
        <f>IF('Extraction edi'!B826="","",'Extraction edi'!B826)</f>
        <v/>
      </c>
      <c r="D816" s="1" t="str">
        <f>IF('Extraction edi'!H826="","",'Extraction edi'!H826)</f>
        <v/>
      </c>
      <c r="E816" s="1" t="str">
        <f>IF('Extraction edi'!I826="","",'Extraction edi'!I826)</f>
        <v/>
      </c>
      <c r="F816" t="str">
        <f>IF('Extraction edi'!K826="","",'Extraction edi'!K826)</f>
        <v/>
      </c>
      <c r="G816" t="str">
        <f>IF('Extraction edi'!L826="","",'Extraction edi'!L826)</f>
        <v/>
      </c>
      <c r="H816" t="str">
        <f>IF('Extraction edi'!M826="","",'Extraction edi'!M826)</f>
        <v/>
      </c>
      <c r="I816" s="1" t="str">
        <f>IF('Extraction edi'!N826="","",'Extraction edi'!N826)</f>
        <v/>
      </c>
      <c r="J816" s="1" t="str">
        <f>IF('Extraction edi'!O826="","",'Extraction edi'!O826)</f>
        <v/>
      </c>
      <c r="K816" s="1" t="str">
        <f>IF('Extraction edi'!P826="","",'Extraction edi'!P826)</f>
        <v/>
      </c>
      <c r="L816" s="1" t="str">
        <f>IF('Extraction edi'!Q826="laquage RAL :","OUI","")</f>
        <v/>
      </c>
      <c r="M816" s="1" t="str">
        <f>IF('Extraction edi'!R826&lt;&gt;"",'Extraction edi'!R826,IF(G816="ALU blanc","S9016",""))</f>
        <v/>
      </c>
      <c r="N816" s="1" t="str">
        <f>IF('Extraction edi'!S826&lt;&gt;"",'Extraction edi'!S826,IF(G816="ALU blanc","S9016",""))</f>
        <v/>
      </c>
      <c r="O816" s="11" t="str">
        <f>IF('Extraction edi'!V826&lt;'Feuille commande'!$E$1,"DELAI NON COMPATIBLE",IF('Extraction edi'!V826="","",WORKDAY('Extraction edi'!V826,-10,Paramètrage!$G$2:$G$104)))</f>
        <v/>
      </c>
      <c r="P816" s="1" t="e">
        <f t="shared" si="12"/>
        <v>#VALUE!</v>
      </c>
    </row>
    <row r="817" spans="1:16" x14ac:dyDescent="0.25">
      <c r="A817" s="1" t="str">
        <f>IF(B817="","",CONCATENATE(B817,".",C817,"/Pos ",D817,"/",'Extraction edi'!G827))</f>
        <v/>
      </c>
      <c r="B817" s="1" t="str">
        <f>IF('Extraction edi'!A827="","",'Extraction edi'!A827)</f>
        <v/>
      </c>
      <c r="C817" s="1" t="str">
        <f>IF('Extraction edi'!B827="","",'Extraction edi'!B827)</f>
        <v/>
      </c>
      <c r="D817" s="1" t="str">
        <f>IF('Extraction edi'!H827="","",'Extraction edi'!H827)</f>
        <v/>
      </c>
      <c r="E817" s="1" t="str">
        <f>IF('Extraction edi'!I827="","",'Extraction edi'!I827)</f>
        <v/>
      </c>
      <c r="F817" t="str">
        <f>IF('Extraction edi'!K827="","",'Extraction edi'!K827)</f>
        <v/>
      </c>
      <c r="G817" t="str">
        <f>IF('Extraction edi'!L827="","",'Extraction edi'!L827)</f>
        <v/>
      </c>
      <c r="H817" t="str">
        <f>IF('Extraction edi'!M827="","",'Extraction edi'!M827)</f>
        <v/>
      </c>
      <c r="I817" s="1" t="str">
        <f>IF('Extraction edi'!N827="","",'Extraction edi'!N827)</f>
        <v/>
      </c>
      <c r="J817" s="1" t="str">
        <f>IF('Extraction edi'!O827="","",'Extraction edi'!O827)</f>
        <v/>
      </c>
      <c r="K817" s="1" t="str">
        <f>IF('Extraction edi'!P827="","",'Extraction edi'!P827)</f>
        <v/>
      </c>
      <c r="L817" s="1" t="str">
        <f>IF('Extraction edi'!Q827="laquage RAL :","OUI","")</f>
        <v/>
      </c>
      <c r="M817" s="1" t="str">
        <f>IF('Extraction edi'!R827&lt;&gt;"",'Extraction edi'!R827,IF(G817="ALU blanc","S9016",""))</f>
        <v/>
      </c>
      <c r="N817" s="1" t="str">
        <f>IF('Extraction edi'!S827&lt;&gt;"",'Extraction edi'!S827,IF(G817="ALU blanc","S9016",""))</f>
        <v/>
      </c>
      <c r="O817" s="11" t="str">
        <f>IF('Extraction edi'!V827&lt;'Feuille commande'!$E$1,"DELAI NON COMPATIBLE",IF('Extraction edi'!V827="","",WORKDAY('Extraction edi'!V827,-10,Paramètrage!$G$2:$G$104)))</f>
        <v/>
      </c>
      <c r="P817" s="1" t="e">
        <f t="shared" si="12"/>
        <v>#VALUE!</v>
      </c>
    </row>
    <row r="818" spans="1:16" x14ac:dyDescent="0.25">
      <c r="A818" s="1" t="str">
        <f>IF(B818="","",CONCATENATE(B818,".",C818,"/Pos ",D818,"/",'Extraction edi'!G828))</f>
        <v/>
      </c>
      <c r="B818" s="1" t="str">
        <f>IF('Extraction edi'!A828="","",'Extraction edi'!A828)</f>
        <v/>
      </c>
      <c r="C818" s="1" t="str">
        <f>IF('Extraction edi'!B828="","",'Extraction edi'!B828)</f>
        <v/>
      </c>
      <c r="D818" s="1" t="str">
        <f>IF('Extraction edi'!H828="","",'Extraction edi'!H828)</f>
        <v/>
      </c>
      <c r="E818" s="1" t="str">
        <f>IF('Extraction edi'!I828="","",'Extraction edi'!I828)</f>
        <v/>
      </c>
      <c r="F818" t="str">
        <f>IF('Extraction edi'!K828="","",'Extraction edi'!K828)</f>
        <v/>
      </c>
      <c r="G818" t="str">
        <f>IF('Extraction edi'!L828="","",'Extraction edi'!L828)</f>
        <v/>
      </c>
      <c r="H818" t="str">
        <f>IF('Extraction edi'!M828="","",'Extraction edi'!M828)</f>
        <v/>
      </c>
      <c r="I818" s="1" t="str">
        <f>IF('Extraction edi'!N828="","",'Extraction edi'!N828)</f>
        <v/>
      </c>
      <c r="J818" s="1" t="str">
        <f>IF('Extraction edi'!O828="","",'Extraction edi'!O828)</f>
        <v/>
      </c>
      <c r="K818" s="1" t="str">
        <f>IF('Extraction edi'!P828="","",'Extraction edi'!P828)</f>
        <v/>
      </c>
      <c r="L818" s="1" t="str">
        <f>IF('Extraction edi'!Q828="laquage RAL :","OUI","")</f>
        <v/>
      </c>
      <c r="M818" s="1" t="str">
        <f>IF('Extraction edi'!R828&lt;&gt;"",'Extraction edi'!R828,IF(G818="ALU blanc","S9016",""))</f>
        <v/>
      </c>
      <c r="N818" s="1" t="str">
        <f>IF('Extraction edi'!S828&lt;&gt;"",'Extraction edi'!S828,IF(G818="ALU blanc","S9016",""))</f>
        <v/>
      </c>
      <c r="O818" s="11" t="str">
        <f>IF('Extraction edi'!V828&lt;'Feuille commande'!$E$1,"DELAI NON COMPATIBLE",IF('Extraction edi'!V828="","",WORKDAY('Extraction edi'!V828,-10,Paramètrage!$G$2:$G$104)))</f>
        <v/>
      </c>
      <c r="P818" s="1" t="e">
        <f t="shared" si="12"/>
        <v>#VALUE!</v>
      </c>
    </row>
    <row r="819" spans="1:16" x14ac:dyDescent="0.25">
      <c r="A819" s="1" t="str">
        <f>IF(B819="","",CONCATENATE(B819,".",C819,"/Pos ",D819,"/",'Extraction edi'!G829))</f>
        <v/>
      </c>
      <c r="B819" s="1" t="str">
        <f>IF('Extraction edi'!A829="","",'Extraction edi'!A829)</f>
        <v/>
      </c>
      <c r="C819" s="1" t="str">
        <f>IF('Extraction edi'!B829="","",'Extraction edi'!B829)</f>
        <v/>
      </c>
      <c r="D819" s="1" t="str">
        <f>IF('Extraction edi'!H829="","",'Extraction edi'!H829)</f>
        <v/>
      </c>
      <c r="E819" s="1" t="str">
        <f>IF('Extraction edi'!I829="","",'Extraction edi'!I829)</f>
        <v/>
      </c>
      <c r="F819" t="str">
        <f>IF('Extraction edi'!K829="","",'Extraction edi'!K829)</f>
        <v/>
      </c>
      <c r="G819" t="str">
        <f>IF('Extraction edi'!L829="","",'Extraction edi'!L829)</f>
        <v/>
      </c>
      <c r="H819" t="str">
        <f>IF('Extraction edi'!M829="","",'Extraction edi'!M829)</f>
        <v/>
      </c>
      <c r="I819" s="1" t="str">
        <f>IF('Extraction edi'!N829="","",'Extraction edi'!N829)</f>
        <v/>
      </c>
      <c r="J819" s="1" t="str">
        <f>IF('Extraction edi'!O829="","",'Extraction edi'!O829)</f>
        <v/>
      </c>
      <c r="K819" s="1" t="str">
        <f>IF('Extraction edi'!P829="","",'Extraction edi'!P829)</f>
        <v/>
      </c>
      <c r="L819" s="1" t="str">
        <f>IF('Extraction edi'!Q829="laquage RAL :","OUI","")</f>
        <v/>
      </c>
      <c r="M819" s="1" t="str">
        <f>IF('Extraction edi'!R829&lt;&gt;"",'Extraction edi'!R829,IF(G819="ALU blanc","S9016",""))</f>
        <v/>
      </c>
      <c r="N819" s="1" t="str">
        <f>IF('Extraction edi'!S829&lt;&gt;"",'Extraction edi'!S829,IF(G819="ALU blanc","S9016",""))</f>
        <v/>
      </c>
      <c r="O819" s="11" t="str">
        <f>IF('Extraction edi'!V829&lt;'Feuille commande'!$E$1,"DELAI NON COMPATIBLE",IF('Extraction edi'!V829="","",WORKDAY('Extraction edi'!V829,-10,Paramètrage!$G$2:$G$104)))</f>
        <v/>
      </c>
      <c r="P819" s="1" t="e">
        <f t="shared" si="12"/>
        <v>#VALUE!</v>
      </c>
    </row>
    <row r="820" spans="1:16" x14ac:dyDescent="0.25">
      <c r="A820" s="1" t="str">
        <f>IF(B820="","",CONCATENATE(B820,".",C820,"/Pos ",D820,"/",'Extraction edi'!G830))</f>
        <v/>
      </c>
      <c r="B820" s="1" t="str">
        <f>IF('Extraction edi'!A830="","",'Extraction edi'!A830)</f>
        <v/>
      </c>
      <c r="C820" s="1" t="str">
        <f>IF('Extraction edi'!B830="","",'Extraction edi'!B830)</f>
        <v/>
      </c>
      <c r="D820" s="1" t="str">
        <f>IF('Extraction edi'!H830="","",'Extraction edi'!H830)</f>
        <v/>
      </c>
      <c r="E820" s="1" t="str">
        <f>IF('Extraction edi'!I830="","",'Extraction edi'!I830)</f>
        <v/>
      </c>
      <c r="F820" t="str">
        <f>IF('Extraction edi'!K830="","",'Extraction edi'!K830)</f>
        <v/>
      </c>
      <c r="G820" t="str">
        <f>IF('Extraction edi'!L830="","",'Extraction edi'!L830)</f>
        <v/>
      </c>
      <c r="H820" t="str">
        <f>IF('Extraction edi'!M830="","",'Extraction edi'!M830)</f>
        <v/>
      </c>
      <c r="I820" s="1" t="str">
        <f>IF('Extraction edi'!N830="","",'Extraction edi'!N830)</f>
        <v/>
      </c>
      <c r="J820" s="1" t="str">
        <f>IF('Extraction edi'!O830="","",'Extraction edi'!O830)</f>
        <v/>
      </c>
      <c r="K820" s="1" t="str">
        <f>IF('Extraction edi'!P830="","",'Extraction edi'!P830)</f>
        <v/>
      </c>
      <c r="L820" s="1" t="str">
        <f>IF('Extraction edi'!Q830="laquage RAL :","OUI","")</f>
        <v/>
      </c>
      <c r="M820" s="1" t="str">
        <f>IF('Extraction edi'!R830&lt;&gt;"",'Extraction edi'!R830,IF(G820="ALU blanc","S9016",""))</f>
        <v/>
      </c>
      <c r="N820" s="1" t="str">
        <f>IF('Extraction edi'!S830&lt;&gt;"",'Extraction edi'!S830,IF(G820="ALU blanc","S9016",""))</f>
        <v/>
      </c>
      <c r="O820" s="11" t="str">
        <f>IF('Extraction edi'!V830&lt;'Feuille commande'!$E$1,"DELAI NON COMPATIBLE",IF('Extraction edi'!V830="","",WORKDAY('Extraction edi'!V830,-10,Paramètrage!$G$2:$G$104)))</f>
        <v/>
      </c>
      <c r="P820" s="1" t="e">
        <f t="shared" si="12"/>
        <v>#VALUE!</v>
      </c>
    </row>
    <row r="821" spans="1:16" x14ac:dyDescent="0.25">
      <c r="A821" s="1" t="str">
        <f>IF(B821="","",CONCATENATE(B821,".",C821,"/Pos ",D821,"/",'Extraction edi'!G831))</f>
        <v/>
      </c>
      <c r="B821" s="1" t="str">
        <f>IF('Extraction edi'!A831="","",'Extraction edi'!A831)</f>
        <v/>
      </c>
      <c r="C821" s="1" t="str">
        <f>IF('Extraction edi'!B831="","",'Extraction edi'!B831)</f>
        <v/>
      </c>
      <c r="D821" s="1" t="str">
        <f>IF('Extraction edi'!H831="","",'Extraction edi'!H831)</f>
        <v/>
      </c>
      <c r="E821" s="1" t="str">
        <f>IF('Extraction edi'!I831="","",'Extraction edi'!I831)</f>
        <v/>
      </c>
      <c r="F821" t="str">
        <f>IF('Extraction edi'!K831="","",'Extraction edi'!K831)</f>
        <v/>
      </c>
      <c r="G821" t="str">
        <f>IF('Extraction edi'!L831="","",'Extraction edi'!L831)</f>
        <v/>
      </c>
      <c r="H821" t="str">
        <f>IF('Extraction edi'!M831="","",'Extraction edi'!M831)</f>
        <v/>
      </c>
      <c r="I821" s="1" t="str">
        <f>IF('Extraction edi'!N831="","",'Extraction edi'!N831)</f>
        <v/>
      </c>
      <c r="J821" s="1" t="str">
        <f>IF('Extraction edi'!O831="","",'Extraction edi'!O831)</f>
        <v/>
      </c>
      <c r="K821" s="1" t="str">
        <f>IF('Extraction edi'!P831="","",'Extraction edi'!P831)</f>
        <v/>
      </c>
      <c r="L821" s="1" t="str">
        <f>IF('Extraction edi'!Q831="laquage RAL :","OUI","")</f>
        <v/>
      </c>
      <c r="M821" s="1" t="str">
        <f>IF('Extraction edi'!R831&lt;&gt;"",'Extraction edi'!R831,IF(G821="ALU blanc","S9016",""))</f>
        <v/>
      </c>
      <c r="N821" s="1" t="str">
        <f>IF('Extraction edi'!S831&lt;&gt;"",'Extraction edi'!S831,IF(G821="ALU blanc","S9016",""))</f>
        <v/>
      </c>
      <c r="O821" s="11" t="str">
        <f>IF('Extraction edi'!V831&lt;'Feuille commande'!$E$1,"DELAI NON COMPATIBLE",IF('Extraction edi'!V831="","",WORKDAY('Extraction edi'!V831,-10,Paramètrage!$G$2:$G$104)))</f>
        <v/>
      </c>
      <c r="P821" s="1" t="e">
        <f t="shared" si="12"/>
        <v>#VALUE!</v>
      </c>
    </row>
    <row r="822" spans="1:16" x14ac:dyDescent="0.25">
      <c r="A822" s="1" t="str">
        <f>IF(B822="","",CONCATENATE(B822,".",C822,"/Pos ",D822,"/",'Extraction edi'!G832))</f>
        <v/>
      </c>
      <c r="B822" s="1" t="str">
        <f>IF('Extraction edi'!A832="","",'Extraction edi'!A832)</f>
        <v/>
      </c>
      <c r="C822" s="1" t="str">
        <f>IF('Extraction edi'!B832="","",'Extraction edi'!B832)</f>
        <v/>
      </c>
      <c r="D822" s="1" t="str">
        <f>IF('Extraction edi'!H832="","",'Extraction edi'!H832)</f>
        <v/>
      </c>
      <c r="E822" s="1" t="str">
        <f>IF('Extraction edi'!I832="","",'Extraction edi'!I832)</f>
        <v/>
      </c>
      <c r="F822" t="str">
        <f>IF('Extraction edi'!K832="","",'Extraction edi'!K832)</f>
        <v/>
      </c>
      <c r="G822" t="str">
        <f>IF('Extraction edi'!L832="","",'Extraction edi'!L832)</f>
        <v/>
      </c>
      <c r="H822" t="str">
        <f>IF('Extraction edi'!M832="","",'Extraction edi'!M832)</f>
        <v/>
      </c>
      <c r="I822" s="1" t="str">
        <f>IF('Extraction edi'!N832="","",'Extraction edi'!N832)</f>
        <v/>
      </c>
      <c r="J822" s="1" t="str">
        <f>IF('Extraction edi'!O832="","",'Extraction edi'!O832)</f>
        <v/>
      </c>
      <c r="K822" s="1" t="str">
        <f>IF('Extraction edi'!P832="","",'Extraction edi'!P832)</f>
        <v/>
      </c>
      <c r="L822" s="1" t="str">
        <f>IF('Extraction edi'!Q832="laquage RAL :","OUI","")</f>
        <v/>
      </c>
      <c r="M822" s="1" t="str">
        <f>IF('Extraction edi'!R832&lt;&gt;"",'Extraction edi'!R832,IF(G822="ALU blanc","S9016",""))</f>
        <v/>
      </c>
      <c r="N822" s="1" t="str">
        <f>IF('Extraction edi'!S832&lt;&gt;"",'Extraction edi'!S832,IF(G822="ALU blanc","S9016",""))</f>
        <v/>
      </c>
      <c r="O822" s="11" t="str">
        <f>IF('Extraction edi'!V832&lt;'Feuille commande'!$E$1,"DELAI NON COMPATIBLE",IF('Extraction edi'!V832="","",WORKDAY('Extraction edi'!V832,-10,Paramètrage!$G$2:$G$104)))</f>
        <v/>
      </c>
      <c r="P822" s="1" t="e">
        <f t="shared" si="12"/>
        <v>#VALUE!</v>
      </c>
    </row>
    <row r="823" spans="1:16" x14ac:dyDescent="0.25">
      <c r="A823" s="1" t="str">
        <f>IF(B823="","",CONCATENATE(B823,".",C823,"/Pos ",D823,"/",'Extraction edi'!G833))</f>
        <v/>
      </c>
      <c r="B823" s="1" t="str">
        <f>IF('Extraction edi'!A833="","",'Extraction edi'!A833)</f>
        <v/>
      </c>
      <c r="C823" s="1" t="str">
        <f>IF('Extraction edi'!B833="","",'Extraction edi'!B833)</f>
        <v/>
      </c>
      <c r="D823" s="1" t="str">
        <f>IF('Extraction edi'!H833="","",'Extraction edi'!H833)</f>
        <v/>
      </c>
      <c r="E823" s="1" t="str">
        <f>IF('Extraction edi'!I833="","",'Extraction edi'!I833)</f>
        <v/>
      </c>
      <c r="F823" t="str">
        <f>IF('Extraction edi'!K833="","",'Extraction edi'!K833)</f>
        <v/>
      </c>
      <c r="G823" t="str">
        <f>IF('Extraction edi'!L833="","",'Extraction edi'!L833)</f>
        <v/>
      </c>
      <c r="H823" t="str">
        <f>IF('Extraction edi'!M833="","",'Extraction edi'!M833)</f>
        <v/>
      </c>
      <c r="I823" s="1" t="str">
        <f>IF('Extraction edi'!N833="","",'Extraction edi'!N833)</f>
        <v/>
      </c>
      <c r="J823" s="1" t="str">
        <f>IF('Extraction edi'!O833="","",'Extraction edi'!O833)</f>
        <v/>
      </c>
      <c r="K823" s="1" t="str">
        <f>IF('Extraction edi'!P833="","",'Extraction edi'!P833)</f>
        <v/>
      </c>
      <c r="L823" s="1" t="str">
        <f>IF('Extraction edi'!Q833="laquage RAL :","OUI","")</f>
        <v/>
      </c>
      <c r="M823" s="1" t="str">
        <f>IF('Extraction edi'!R833&lt;&gt;"",'Extraction edi'!R833,IF(G823="ALU blanc","S9016",""))</f>
        <v/>
      </c>
      <c r="N823" s="1" t="str">
        <f>IF('Extraction edi'!S833&lt;&gt;"",'Extraction edi'!S833,IF(G823="ALU blanc","S9016",""))</f>
        <v/>
      </c>
      <c r="O823" s="11" t="str">
        <f>IF('Extraction edi'!V833&lt;'Feuille commande'!$E$1,"DELAI NON COMPATIBLE",IF('Extraction edi'!V833="","",WORKDAY('Extraction edi'!V833,-10,Paramètrage!$G$2:$G$104)))</f>
        <v/>
      </c>
      <c r="P823" s="1" t="e">
        <f t="shared" si="12"/>
        <v>#VALUE!</v>
      </c>
    </row>
    <row r="824" spans="1:16" x14ac:dyDescent="0.25">
      <c r="A824" s="1" t="str">
        <f>IF(B824="","",CONCATENATE(B824,".",C824,"/Pos ",D824,"/",'Extraction edi'!G834))</f>
        <v/>
      </c>
      <c r="B824" s="1" t="str">
        <f>IF('Extraction edi'!A834="","",'Extraction edi'!A834)</f>
        <v/>
      </c>
      <c r="C824" s="1" t="str">
        <f>IF('Extraction edi'!B834="","",'Extraction edi'!B834)</f>
        <v/>
      </c>
      <c r="D824" s="1" t="str">
        <f>IF('Extraction edi'!H834="","",'Extraction edi'!H834)</f>
        <v/>
      </c>
      <c r="E824" s="1" t="str">
        <f>IF('Extraction edi'!I834="","",'Extraction edi'!I834)</f>
        <v/>
      </c>
      <c r="F824" t="str">
        <f>IF('Extraction edi'!K834="","",'Extraction edi'!K834)</f>
        <v/>
      </c>
      <c r="G824" t="str">
        <f>IF('Extraction edi'!L834="","",'Extraction edi'!L834)</f>
        <v/>
      </c>
      <c r="H824" t="str">
        <f>IF('Extraction edi'!M834="","",'Extraction edi'!M834)</f>
        <v/>
      </c>
      <c r="I824" s="1" t="str">
        <f>IF('Extraction edi'!N834="","",'Extraction edi'!N834)</f>
        <v/>
      </c>
      <c r="J824" s="1" t="str">
        <f>IF('Extraction edi'!O834="","",'Extraction edi'!O834)</f>
        <v/>
      </c>
      <c r="K824" s="1" t="str">
        <f>IF('Extraction edi'!P834="","",'Extraction edi'!P834)</f>
        <v/>
      </c>
      <c r="L824" s="1" t="str">
        <f>IF('Extraction edi'!Q834="laquage RAL :","OUI","")</f>
        <v/>
      </c>
      <c r="M824" s="1" t="str">
        <f>IF('Extraction edi'!R834&lt;&gt;"",'Extraction edi'!R834,IF(G824="ALU blanc","S9016",""))</f>
        <v/>
      </c>
      <c r="N824" s="1" t="str">
        <f>IF('Extraction edi'!S834&lt;&gt;"",'Extraction edi'!S834,IF(G824="ALU blanc","S9016",""))</f>
        <v/>
      </c>
      <c r="O824" s="11" t="str">
        <f>IF('Extraction edi'!V834&lt;'Feuille commande'!$E$1,"DELAI NON COMPATIBLE",IF('Extraction edi'!V834="","",WORKDAY('Extraction edi'!V834,-10,Paramètrage!$G$2:$G$104)))</f>
        <v/>
      </c>
      <c r="P824" s="1" t="e">
        <f t="shared" si="12"/>
        <v>#VALUE!</v>
      </c>
    </row>
    <row r="825" spans="1:16" x14ac:dyDescent="0.25">
      <c r="A825" s="1" t="str">
        <f>IF(B825="","",CONCATENATE(B825,".",C825,"/Pos ",D825,"/",'Extraction edi'!G835))</f>
        <v/>
      </c>
      <c r="B825" s="1" t="str">
        <f>IF('Extraction edi'!A835="","",'Extraction edi'!A835)</f>
        <v/>
      </c>
      <c r="C825" s="1" t="str">
        <f>IF('Extraction edi'!B835="","",'Extraction edi'!B835)</f>
        <v/>
      </c>
      <c r="D825" s="1" t="str">
        <f>IF('Extraction edi'!H835="","",'Extraction edi'!H835)</f>
        <v/>
      </c>
      <c r="E825" s="1" t="str">
        <f>IF('Extraction edi'!I835="","",'Extraction edi'!I835)</f>
        <v/>
      </c>
      <c r="F825" t="str">
        <f>IF('Extraction edi'!K835="","",'Extraction edi'!K835)</f>
        <v/>
      </c>
      <c r="G825" t="str">
        <f>IF('Extraction edi'!L835="","",'Extraction edi'!L835)</f>
        <v/>
      </c>
      <c r="H825" t="str">
        <f>IF('Extraction edi'!M835="","",'Extraction edi'!M835)</f>
        <v/>
      </c>
      <c r="I825" s="1" t="str">
        <f>IF('Extraction edi'!N835="","",'Extraction edi'!N835)</f>
        <v/>
      </c>
      <c r="J825" s="1" t="str">
        <f>IF('Extraction edi'!O835="","",'Extraction edi'!O835)</f>
        <v/>
      </c>
      <c r="K825" s="1" t="str">
        <f>IF('Extraction edi'!P835="","",'Extraction edi'!P835)</f>
        <v/>
      </c>
      <c r="L825" s="1" t="str">
        <f>IF('Extraction edi'!Q835="laquage RAL :","OUI","")</f>
        <v/>
      </c>
      <c r="M825" s="1" t="str">
        <f>IF('Extraction edi'!R835&lt;&gt;"",'Extraction edi'!R835,IF(G825="ALU blanc","S9016",""))</f>
        <v/>
      </c>
      <c r="N825" s="1" t="str">
        <f>IF('Extraction edi'!S835&lt;&gt;"",'Extraction edi'!S835,IF(G825="ALU blanc","S9016",""))</f>
        <v/>
      </c>
      <c r="O825" s="11" t="str">
        <f>IF('Extraction edi'!V835&lt;'Feuille commande'!$E$1,"DELAI NON COMPATIBLE",IF('Extraction edi'!V835="","",WORKDAY('Extraction edi'!V835,-10,Paramètrage!$G$2:$G$104)))</f>
        <v/>
      </c>
      <c r="P825" s="1" t="e">
        <f t="shared" si="12"/>
        <v>#VALUE!</v>
      </c>
    </row>
    <row r="826" spans="1:16" x14ac:dyDescent="0.25">
      <c r="A826" s="1" t="str">
        <f>IF(B826="","",CONCATENATE(B826,".",C826,"/Pos ",D826,"/",'Extraction edi'!G836))</f>
        <v/>
      </c>
      <c r="B826" s="1" t="str">
        <f>IF('Extraction edi'!A836="","",'Extraction edi'!A836)</f>
        <v/>
      </c>
      <c r="C826" s="1" t="str">
        <f>IF('Extraction edi'!B836="","",'Extraction edi'!B836)</f>
        <v/>
      </c>
      <c r="D826" s="1" t="str">
        <f>IF('Extraction edi'!H836="","",'Extraction edi'!H836)</f>
        <v/>
      </c>
      <c r="E826" s="1" t="str">
        <f>IF('Extraction edi'!I836="","",'Extraction edi'!I836)</f>
        <v/>
      </c>
      <c r="F826" t="str">
        <f>IF('Extraction edi'!K836="","",'Extraction edi'!K836)</f>
        <v/>
      </c>
      <c r="G826" t="str">
        <f>IF('Extraction edi'!L836="","",'Extraction edi'!L836)</f>
        <v/>
      </c>
      <c r="H826" t="str">
        <f>IF('Extraction edi'!M836="","",'Extraction edi'!M836)</f>
        <v/>
      </c>
      <c r="I826" s="1" t="str">
        <f>IF('Extraction edi'!N836="","",'Extraction edi'!N836)</f>
        <v/>
      </c>
      <c r="J826" s="1" t="str">
        <f>IF('Extraction edi'!O836="","",'Extraction edi'!O836)</f>
        <v/>
      </c>
      <c r="K826" s="1" t="str">
        <f>IF('Extraction edi'!P836="","",'Extraction edi'!P836)</f>
        <v/>
      </c>
      <c r="L826" s="1" t="str">
        <f>IF('Extraction edi'!Q836="laquage RAL :","OUI","")</f>
        <v/>
      </c>
      <c r="M826" s="1" t="str">
        <f>IF('Extraction edi'!R836&lt;&gt;"",'Extraction edi'!R836,IF(G826="ALU blanc","S9016",""))</f>
        <v/>
      </c>
      <c r="N826" s="1" t="str">
        <f>IF('Extraction edi'!S836&lt;&gt;"",'Extraction edi'!S836,IF(G826="ALU blanc","S9016",""))</f>
        <v/>
      </c>
      <c r="O826" s="11" t="str">
        <f>IF('Extraction edi'!V836&lt;'Feuille commande'!$E$1,"DELAI NON COMPATIBLE",IF('Extraction edi'!V836="","",WORKDAY('Extraction edi'!V836,-10,Paramètrage!$G$2:$G$104)))</f>
        <v/>
      </c>
      <c r="P826" s="1" t="e">
        <f t="shared" si="12"/>
        <v>#VALUE!</v>
      </c>
    </row>
    <row r="827" spans="1:16" x14ac:dyDescent="0.25">
      <c r="A827" s="1" t="str">
        <f>IF(B827="","",CONCATENATE(B827,".",C827,"/Pos ",D827,"/",'Extraction edi'!G837))</f>
        <v/>
      </c>
      <c r="B827" s="1" t="str">
        <f>IF('Extraction edi'!A837="","",'Extraction edi'!A837)</f>
        <v/>
      </c>
      <c r="C827" s="1" t="str">
        <f>IF('Extraction edi'!B837="","",'Extraction edi'!B837)</f>
        <v/>
      </c>
      <c r="D827" s="1" t="str">
        <f>IF('Extraction edi'!H837="","",'Extraction edi'!H837)</f>
        <v/>
      </c>
      <c r="E827" s="1" t="str">
        <f>IF('Extraction edi'!I837="","",'Extraction edi'!I837)</f>
        <v/>
      </c>
      <c r="F827" t="str">
        <f>IF('Extraction edi'!K837="","",'Extraction edi'!K837)</f>
        <v/>
      </c>
      <c r="G827" t="str">
        <f>IF('Extraction edi'!L837="","",'Extraction edi'!L837)</f>
        <v/>
      </c>
      <c r="H827" t="str">
        <f>IF('Extraction edi'!M837="","",'Extraction edi'!M837)</f>
        <v/>
      </c>
      <c r="I827" s="1" t="str">
        <f>IF('Extraction edi'!N837="","",'Extraction edi'!N837)</f>
        <v/>
      </c>
      <c r="J827" s="1" t="str">
        <f>IF('Extraction edi'!O837="","",'Extraction edi'!O837)</f>
        <v/>
      </c>
      <c r="K827" s="1" t="str">
        <f>IF('Extraction edi'!P837="","",'Extraction edi'!P837)</f>
        <v/>
      </c>
      <c r="L827" s="1" t="str">
        <f>IF('Extraction edi'!Q837="laquage RAL :","OUI","")</f>
        <v/>
      </c>
      <c r="M827" s="1" t="str">
        <f>IF('Extraction edi'!R837&lt;&gt;"",'Extraction edi'!R837,IF(G827="ALU blanc","S9016",""))</f>
        <v/>
      </c>
      <c r="N827" s="1" t="str">
        <f>IF('Extraction edi'!S837&lt;&gt;"",'Extraction edi'!S837,IF(G827="ALU blanc","S9016",""))</f>
        <v/>
      </c>
      <c r="O827" s="11" t="str">
        <f>IF('Extraction edi'!V837&lt;'Feuille commande'!$E$1,"DELAI NON COMPATIBLE",IF('Extraction edi'!V837="","",WORKDAY('Extraction edi'!V837,-10,Paramètrage!$G$2:$G$104)))</f>
        <v/>
      </c>
      <c r="P827" s="1" t="e">
        <f t="shared" si="12"/>
        <v>#VALUE!</v>
      </c>
    </row>
    <row r="828" spans="1:16" x14ac:dyDescent="0.25">
      <c r="A828" s="1" t="str">
        <f>IF(B828="","",CONCATENATE(B828,".",C828,"/Pos ",D828,"/",'Extraction edi'!G838))</f>
        <v/>
      </c>
      <c r="B828" s="1" t="str">
        <f>IF('Extraction edi'!A838="","",'Extraction edi'!A838)</f>
        <v/>
      </c>
      <c r="C828" s="1" t="str">
        <f>IF('Extraction edi'!B838="","",'Extraction edi'!B838)</f>
        <v/>
      </c>
      <c r="D828" s="1" t="str">
        <f>IF('Extraction edi'!H838="","",'Extraction edi'!H838)</f>
        <v/>
      </c>
      <c r="E828" s="1" t="str">
        <f>IF('Extraction edi'!I838="","",'Extraction edi'!I838)</f>
        <v/>
      </c>
      <c r="F828" t="str">
        <f>IF('Extraction edi'!K838="","",'Extraction edi'!K838)</f>
        <v/>
      </c>
      <c r="G828" t="str">
        <f>IF('Extraction edi'!L838="","",'Extraction edi'!L838)</f>
        <v/>
      </c>
      <c r="H828" t="str">
        <f>IF('Extraction edi'!M838="","",'Extraction edi'!M838)</f>
        <v/>
      </c>
      <c r="I828" s="1" t="str">
        <f>IF('Extraction edi'!N838="","",'Extraction edi'!N838)</f>
        <v/>
      </c>
      <c r="J828" s="1" t="str">
        <f>IF('Extraction edi'!O838="","",'Extraction edi'!O838)</f>
        <v/>
      </c>
      <c r="K828" s="1" t="str">
        <f>IF('Extraction edi'!P838="","",'Extraction edi'!P838)</f>
        <v/>
      </c>
      <c r="L828" s="1" t="str">
        <f>IF('Extraction edi'!Q838="laquage RAL :","OUI","")</f>
        <v/>
      </c>
      <c r="M828" s="1" t="str">
        <f>IF('Extraction edi'!R838&lt;&gt;"",'Extraction edi'!R838,IF(G828="ALU blanc","S9016",""))</f>
        <v/>
      </c>
      <c r="N828" s="1" t="str">
        <f>IF('Extraction edi'!S838&lt;&gt;"",'Extraction edi'!S838,IF(G828="ALU blanc","S9016",""))</f>
        <v/>
      </c>
      <c r="O828" s="11" t="str">
        <f>IF('Extraction edi'!V838&lt;'Feuille commande'!$E$1,"DELAI NON COMPATIBLE",IF('Extraction edi'!V838="","",WORKDAY('Extraction edi'!V838,-10,Paramètrage!$G$2:$G$104)))</f>
        <v/>
      </c>
      <c r="P828" s="1" t="e">
        <f t="shared" si="12"/>
        <v>#VALUE!</v>
      </c>
    </row>
    <row r="829" spans="1:16" x14ac:dyDescent="0.25">
      <c r="A829" s="1" t="str">
        <f>IF(B829="","",CONCATENATE(B829,".",C829,"/Pos ",D829,"/",'Extraction edi'!G839))</f>
        <v/>
      </c>
      <c r="B829" s="1" t="str">
        <f>IF('Extraction edi'!A839="","",'Extraction edi'!A839)</f>
        <v/>
      </c>
      <c r="C829" s="1" t="str">
        <f>IF('Extraction edi'!B839="","",'Extraction edi'!B839)</f>
        <v/>
      </c>
      <c r="D829" s="1" t="str">
        <f>IF('Extraction edi'!H839="","",'Extraction edi'!H839)</f>
        <v/>
      </c>
      <c r="E829" s="1" t="str">
        <f>IF('Extraction edi'!I839="","",'Extraction edi'!I839)</f>
        <v/>
      </c>
      <c r="F829" t="str">
        <f>IF('Extraction edi'!K839="","",'Extraction edi'!K839)</f>
        <v/>
      </c>
      <c r="G829" t="str">
        <f>IF('Extraction edi'!L839="","",'Extraction edi'!L839)</f>
        <v/>
      </c>
      <c r="H829" t="str">
        <f>IF('Extraction edi'!M839="","",'Extraction edi'!M839)</f>
        <v/>
      </c>
      <c r="I829" s="1" t="str">
        <f>IF('Extraction edi'!N839="","",'Extraction edi'!N839)</f>
        <v/>
      </c>
      <c r="J829" s="1" t="str">
        <f>IF('Extraction edi'!O839="","",'Extraction edi'!O839)</f>
        <v/>
      </c>
      <c r="K829" s="1" t="str">
        <f>IF('Extraction edi'!P839="","",'Extraction edi'!P839)</f>
        <v/>
      </c>
      <c r="L829" s="1" t="str">
        <f>IF('Extraction edi'!Q839="laquage RAL :","OUI","")</f>
        <v/>
      </c>
      <c r="M829" s="1" t="str">
        <f>IF('Extraction edi'!R839&lt;&gt;"",'Extraction edi'!R839,IF(G829="ALU blanc","S9016",""))</f>
        <v/>
      </c>
      <c r="N829" s="1" t="str">
        <f>IF('Extraction edi'!S839&lt;&gt;"",'Extraction edi'!S839,IF(G829="ALU blanc","S9016",""))</f>
        <v/>
      </c>
      <c r="O829" s="11" t="str">
        <f>IF('Extraction edi'!V839&lt;'Feuille commande'!$E$1,"DELAI NON COMPATIBLE",IF('Extraction edi'!V839="","",WORKDAY('Extraction edi'!V839,-10,Paramètrage!$G$2:$G$104)))</f>
        <v/>
      </c>
      <c r="P829" s="1" t="e">
        <f t="shared" si="12"/>
        <v>#VALUE!</v>
      </c>
    </row>
    <row r="830" spans="1:16" x14ac:dyDescent="0.25">
      <c r="A830" s="1" t="str">
        <f>IF(B830="","",CONCATENATE(B830,".",C830,"/Pos ",D830,"/",'Extraction edi'!G840))</f>
        <v/>
      </c>
      <c r="B830" s="1" t="str">
        <f>IF('Extraction edi'!A840="","",'Extraction edi'!A840)</f>
        <v/>
      </c>
      <c r="C830" s="1" t="str">
        <f>IF('Extraction edi'!B840="","",'Extraction edi'!B840)</f>
        <v/>
      </c>
      <c r="D830" s="1" t="str">
        <f>IF('Extraction edi'!H840="","",'Extraction edi'!H840)</f>
        <v/>
      </c>
      <c r="E830" s="1" t="str">
        <f>IF('Extraction edi'!I840="","",'Extraction edi'!I840)</f>
        <v/>
      </c>
      <c r="F830" t="str">
        <f>IF('Extraction edi'!K840="","",'Extraction edi'!K840)</f>
        <v/>
      </c>
      <c r="G830" t="str">
        <f>IF('Extraction edi'!L840="","",'Extraction edi'!L840)</f>
        <v/>
      </c>
      <c r="H830" t="str">
        <f>IF('Extraction edi'!M840="","",'Extraction edi'!M840)</f>
        <v/>
      </c>
      <c r="I830" s="1" t="str">
        <f>IF('Extraction edi'!N840="","",'Extraction edi'!N840)</f>
        <v/>
      </c>
      <c r="J830" s="1" t="str">
        <f>IF('Extraction edi'!O840="","",'Extraction edi'!O840)</f>
        <v/>
      </c>
      <c r="K830" s="1" t="str">
        <f>IF('Extraction edi'!P840="","",'Extraction edi'!P840)</f>
        <v/>
      </c>
      <c r="L830" s="1" t="str">
        <f>IF('Extraction edi'!Q840="laquage RAL :","OUI","")</f>
        <v/>
      </c>
      <c r="M830" s="1" t="str">
        <f>IF('Extraction edi'!R840&lt;&gt;"",'Extraction edi'!R840,IF(G830="ALU blanc","S9016",""))</f>
        <v/>
      </c>
      <c r="N830" s="1" t="str">
        <f>IF('Extraction edi'!S840&lt;&gt;"",'Extraction edi'!S840,IF(G830="ALU blanc","S9016",""))</f>
        <v/>
      </c>
      <c r="O830" s="11" t="str">
        <f>IF('Extraction edi'!V840&lt;'Feuille commande'!$E$1,"DELAI NON COMPATIBLE",IF('Extraction edi'!V840="","",WORKDAY('Extraction edi'!V840,-10,Paramètrage!$G$2:$G$104)))</f>
        <v/>
      </c>
      <c r="P830" s="1" t="e">
        <f t="shared" ref="P830:P893" si="13">WEEKDAY(O830,2)</f>
        <v>#VALUE!</v>
      </c>
    </row>
    <row r="831" spans="1:16" x14ac:dyDescent="0.25">
      <c r="A831" s="1" t="str">
        <f>IF(B831="","",CONCATENATE(B831,".",C831,"/Pos ",D831,"/",'Extraction edi'!G841))</f>
        <v/>
      </c>
      <c r="B831" s="1" t="str">
        <f>IF('Extraction edi'!A841="","",'Extraction edi'!A841)</f>
        <v/>
      </c>
      <c r="C831" s="1" t="str">
        <f>IF('Extraction edi'!B841="","",'Extraction edi'!B841)</f>
        <v/>
      </c>
      <c r="D831" s="1" t="str">
        <f>IF('Extraction edi'!H841="","",'Extraction edi'!H841)</f>
        <v/>
      </c>
      <c r="E831" s="1" t="str">
        <f>IF('Extraction edi'!I841="","",'Extraction edi'!I841)</f>
        <v/>
      </c>
      <c r="F831" t="str">
        <f>IF('Extraction edi'!K841="","",'Extraction edi'!K841)</f>
        <v/>
      </c>
      <c r="G831" t="str">
        <f>IF('Extraction edi'!L841="","",'Extraction edi'!L841)</f>
        <v/>
      </c>
      <c r="H831" t="str">
        <f>IF('Extraction edi'!M841="","",'Extraction edi'!M841)</f>
        <v/>
      </c>
      <c r="I831" s="1" t="str">
        <f>IF('Extraction edi'!N841="","",'Extraction edi'!N841)</f>
        <v/>
      </c>
      <c r="J831" s="1" t="str">
        <f>IF('Extraction edi'!O841="","",'Extraction edi'!O841)</f>
        <v/>
      </c>
      <c r="K831" s="1" t="str">
        <f>IF('Extraction edi'!P841="","",'Extraction edi'!P841)</f>
        <v/>
      </c>
      <c r="L831" s="1" t="str">
        <f>IF('Extraction edi'!Q841="laquage RAL :","OUI","")</f>
        <v/>
      </c>
      <c r="M831" s="1" t="str">
        <f>IF('Extraction edi'!R841&lt;&gt;"",'Extraction edi'!R841,IF(G831="ALU blanc","S9016",""))</f>
        <v/>
      </c>
      <c r="N831" s="1" t="str">
        <f>IF('Extraction edi'!S841&lt;&gt;"",'Extraction edi'!S841,IF(G831="ALU blanc","S9016",""))</f>
        <v/>
      </c>
      <c r="O831" s="11" t="str">
        <f>IF('Extraction edi'!V841&lt;'Feuille commande'!$E$1,"DELAI NON COMPATIBLE",IF('Extraction edi'!V841="","",WORKDAY('Extraction edi'!V841,-10,Paramètrage!$G$2:$G$104)))</f>
        <v/>
      </c>
      <c r="P831" s="1" t="e">
        <f t="shared" si="13"/>
        <v>#VALUE!</v>
      </c>
    </row>
    <row r="832" spans="1:16" x14ac:dyDescent="0.25">
      <c r="A832" s="1" t="str">
        <f>IF(B832="","",CONCATENATE(B832,".",C832,"/Pos ",D832,"/",'Extraction edi'!G842))</f>
        <v/>
      </c>
      <c r="B832" s="1" t="str">
        <f>IF('Extraction edi'!A842="","",'Extraction edi'!A842)</f>
        <v/>
      </c>
      <c r="C832" s="1" t="str">
        <f>IF('Extraction edi'!B842="","",'Extraction edi'!B842)</f>
        <v/>
      </c>
      <c r="D832" s="1" t="str">
        <f>IF('Extraction edi'!H842="","",'Extraction edi'!H842)</f>
        <v/>
      </c>
      <c r="E832" s="1" t="str">
        <f>IF('Extraction edi'!I842="","",'Extraction edi'!I842)</f>
        <v/>
      </c>
      <c r="F832" t="str">
        <f>IF('Extraction edi'!K842="","",'Extraction edi'!K842)</f>
        <v/>
      </c>
      <c r="G832" t="str">
        <f>IF('Extraction edi'!L842="","",'Extraction edi'!L842)</f>
        <v/>
      </c>
      <c r="H832" t="str">
        <f>IF('Extraction edi'!M842="","",'Extraction edi'!M842)</f>
        <v/>
      </c>
      <c r="I832" s="1" t="str">
        <f>IF('Extraction edi'!N842="","",'Extraction edi'!N842)</f>
        <v/>
      </c>
      <c r="J832" s="1" t="str">
        <f>IF('Extraction edi'!O842="","",'Extraction edi'!O842)</f>
        <v/>
      </c>
      <c r="K832" s="1" t="str">
        <f>IF('Extraction edi'!P842="","",'Extraction edi'!P842)</f>
        <v/>
      </c>
      <c r="L832" s="1" t="str">
        <f>IF('Extraction edi'!Q842="laquage RAL :","OUI","")</f>
        <v/>
      </c>
      <c r="M832" s="1" t="str">
        <f>IF('Extraction edi'!R842&lt;&gt;"",'Extraction edi'!R842,IF(G832="ALU blanc","S9016",""))</f>
        <v/>
      </c>
      <c r="N832" s="1" t="str">
        <f>IF('Extraction edi'!S842&lt;&gt;"",'Extraction edi'!S842,IF(G832="ALU blanc","S9016",""))</f>
        <v/>
      </c>
      <c r="O832" s="11" t="str">
        <f>IF('Extraction edi'!V842&lt;'Feuille commande'!$E$1,"DELAI NON COMPATIBLE",IF('Extraction edi'!V842="","",WORKDAY('Extraction edi'!V842,-10,Paramètrage!$G$2:$G$104)))</f>
        <v/>
      </c>
      <c r="P832" s="1" t="e">
        <f t="shared" si="13"/>
        <v>#VALUE!</v>
      </c>
    </row>
    <row r="833" spans="1:16" x14ac:dyDescent="0.25">
      <c r="A833" s="1" t="str">
        <f>IF(B833="","",CONCATENATE(B833,".",C833,"/Pos ",D833,"/",'Extraction edi'!G843))</f>
        <v/>
      </c>
      <c r="B833" s="1" t="str">
        <f>IF('Extraction edi'!A843="","",'Extraction edi'!A843)</f>
        <v/>
      </c>
      <c r="C833" s="1" t="str">
        <f>IF('Extraction edi'!B843="","",'Extraction edi'!B843)</f>
        <v/>
      </c>
      <c r="D833" s="1" t="str">
        <f>IF('Extraction edi'!H843="","",'Extraction edi'!H843)</f>
        <v/>
      </c>
      <c r="E833" s="1" t="str">
        <f>IF('Extraction edi'!I843="","",'Extraction edi'!I843)</f>
        <v/>
      </c>
      <c r="F833" t="str">
        <f>IF('Extraction edi'!K843="","",'Extraction edi'!K843)</f>
        <v/>
      </c>
      <c r="G833" t="str">
        <f>IF('Extraction edi'!L843="","",'Extraction edi'!L843)</f>
        <v/>
      </c>
      <c r="H833" t="str">
        <f>IF('Extraction edi'!M843="","",'Extraction edi'!M843)</f>
        <v/>
      </c>
      <c r="I833" s="1" t="str">
        <f>IF('Extraction edi'!N843="","",'Extraction edi'!N843)</f>
        <v/>
      </c>
      <c r="J833" s="1" t="str">
        <f>IF('Extraction edi'!O843="","",'Extraction edi'!O843)</f>
        <v/>
      </c>
      <c r="K833" s="1" t="str">
        <f>IF('Extraction edi'!P843="","",'Extraction edi'!P843)</f>
        <v/>
      </c>
      <c r="L833" s="1" t="str">
        <f>IF('Extraction edi'!Q843="laquage RAL :","OUI","")</f>
        <v/>
      </c>
      <c r="M833" s="1" t="str">
        <f>IF('Extraction edi'!R843&lt;&gt;"",'Extraction edi'!R843,IF(G833="ALU blanc","S9016",""))</f>
        <v/>
      </c>
      <c r="N833" s="1" t="str">
        <f>IF('Extraction edi'!S843&lt;&gt;"",'Extraction edi'!S843,IF(G833="ALU blanc","S9016",""))</f>
        <v/>
      </c>
      <c r="O833" s="11" t="str">
        <f>IF('Extraction edi'!V843&lt;'Feuille commande'!$E$1,"DELAI NON COMPATIBLE",IF('Extraction edi'!V843="","",WORKDAY('Extraction edi'!V843,-10,Paramètrage!$G$2:$G$104)))</f>
        <v/>
      </c>
      <c r="P833" s="1" t="e">
        <f t="shared" si="13"/>
        <v>#VALUE!</v>
      </c>
    </row>
    <row r="834" spans="1:16" x14ac:dyDescent="0.25">
      <c r="A834" s="1" t="str">
        <f>IF(B834="","",CONCATENATE(B834,".",C834,"/Pos ",D834,"/",'Extraction edi'!G844))</f>
        <v/>
      </c>
      <c r="B834" s="1" t="str">
        <f>IF('Extraction edi'!A844="","",'Extraction edi'!A844)</f>
        <v/>
      </c>
      <c r="C834" s="1" t="str">
        <f>IF('Extraction edi'!B844="","",'Extraction edi'!B844)</f>
        <v/>
      </c>
      <c r="D834" s="1" t="str">
        <f>IF('Extraction edi'!H844="","",'Extraction edi'!H844)</f>
        <v/>
      </c>
      <c r="E834" s="1" t="str">
        <f>IF('Extraction edi'!I844="","",'Extraction edi'!I844)</f>
        <v/>
      </c>
      <c r="F834" t="str">
        <f>IF('Extraction edi'!K844="","",'Extraction edi'!K844)</f>
        <v/>
      </c>
      <c r="G834" t="str">
        <f>IF('Extraction edi'!L844="","",'Extraction edi'!L844)</f>
        <v/>
      </c>
      <c r="H834" t="str">
        <f>IF('Extraction edi'!M844="","",'Extraction edi'!M844)</f>
        <v/>
      </c>
      <c r="I834" s="1" t="str">
        <f>IF('Extraction edi'!N844="","",'Extraction edi'!N844)</f>
        <v/>
      </c>
      <c r="J834" s="1" t="str">
        <f>IF('Extraction edi'!O844="","",'Extraction edi'!O844)</f>
        <v/>
      </c>
      <c r="K834" s="1" t="str">
        <f>IF('Extraction edi'!P844="","",'Extraction edi'!P844)</f>
        <v/>
      </c>
      <c r="L834" s="1" t="str">
        <f>IF('Extraction edi'!Q844="laquage RAL :","OUI","")</f>
        <v/>
      </c>
      <c r="M834" s="1" t="str">
        <f>IF('Extraction edi'!R844&lt;&gt;"",'Extraction edi'!R844,IF(G834="ALU blanc","S9016",""))</f>
        <v/>
      </c>
      <c r="N834" s="1" t="str">
        <f>IF('Extraction edi'!S844&lt;&gt;"",'Extraction edi'!S844,IF(G834="ALU blanc","S9016",""))</f>
        <v/>
      </c>
      <c r="O834" s="11" t="str">
        <f>IF('Extraction edi'!V844&lt;'Feuille commande'!$E$1,"DELAI NON COMPATIBLE",IF('Extraction edi'!V844="","",WORKDAY('Extraction edi'!V844,-10,Paramètrage!$G$2:$G$104)))</f>
        <v/>
      </c>
      <c r="P834" s="1" t="e">
        <f t="shared" si="13"/>
        <v>#VALUE!</v>
      </c>
    </row>
    <row r="835" spans="1:16" x14ac:dyDescent="0.25">
      <c r="A835" s="1" t="str">
        <f>IF(B835="","",CONCATENATE(B835,".",C835,"/Pos ",D835,"/",'Extraction edi'!G845))</f>
        <v/>
      </c>
      <c r="B835" s="1" t="str">
        <f>IF('Extraction edi'!A845="","",'Extraction edi'!A845)</f>
        <v/>
      </c>
      <c r="C835" s="1" t="str">
        <f>IF('Extraction edi'!B845="","",'Extraction edi'!B845)</f>
        <v/>
      </c>
      <c r="D835" s="1" t="str">
        <f>IF('Extraction edi'!H845="","",'Extraction edi'!H845)</f>
        <v/>
      </c>
      <c r="E835" s="1" t="str">
        <f>IF('Extraction edi'!I845="","",'Extraction edi'!I845)</f>
        <v/>
      </c>
      <c r="F835" t="str">
        <f>IF('Extraction edi'!K845="","",'Extraction edi'!K845)</f>
        <v/>
      </c>
      <c r="G835" t="str">
        <f>IF('Extraction edi'!L845="","",'Extraction edi'!L845)</f>
        <v/>
      </c>
      <c r="H835" t="str">
        <f>IF('Extraction edi'!M845="","",'Extraction edi'!M845)</f>
        <v/>
      </c>
      <c r="I835" s="1" t="str">
        <f>IF('Extraction edi'!N845="","",'Extraction edi'!N845)</f>
        <v/>
      </c>
      <c r="J835" s="1" t="str">
        <f>IF('Extraction edi'!O845="","",'Extraction edi'!O845)</f>
        <v/>
      </c>
      <c r="K835" s="1" t="str">
        <f>IF('Extraction edi'!P845="","",'Extraction edi'!P845)</f>
        <v/>
      </c>
      <c r="L835" s="1" t="str">
        <f>IF('Extraction edi'!Q845="laquage RAL :","OUI","")</f>
        <v/>
      </c>
      <c r="M835" s="1" t="str">
        <f>IF('Extraction edi'!R845&lt;&gt;"",'Extraction edi'!R845,IF(G835="ALU blanc","S9016",""))</f>
        <v/>
      </c>
      <c r="N835" s="1" t="str">
        <f>IF('Extraction edi'!S845&lt;&gt;"",'Extraction edi'!S845,IF(G835="ALU blanc","S9016",""))</f>
        <v/>
      </c>
      <c r="O835" s="11" t="str">
        <f>IF('Extraction edi'!V845&lt;'Feuille commande'!$E$1,"DELAI NON COMPATIBLE",IF('Extraction edi'!V845="","",WORKDAY('Extraction edi'!V845,-10,Paramètrage!$G$2:$G$104)))</f>
        <v/>
      </c>
      <c r="P835" s="1" t="e">
        <f t="shared" si="13"/>
        <v>#VALUE!</v>
      </c>
    </row>
    <row r="836" spans="1:16" x14ac:dyDescent="0.25">
      <c r="A836" s="1" t="str">
        <f>IF(B836="","",CONCATENATE(B836,".",C836,"/Pos ",D836,"/",'Extraction edi'!G846))</f>
        <v/>
      </c>
      <c r="B836" s="1" t="str">
        <f>IF('Extraction edi'!A846="","",'Extraction edi'!A846)</f>
        <v/>
      </c>
      <c r="C836" s="1" t="str">
        <f>IF('Extraction edi'!B846="","",'Extraction edi'!B846)</f>
        <v/>
      </c>
      <c r="D836" s="1" t="str">
        <f>IF('Extraction edi'!H846="","",'Extraction edi'!H846)</f>
        <v/>
      </c>
      <c r="E836" s="1" t="str">
        <f>IF('Extraction edi'!I846="","",'Extraction edi'!I846)</f>
        <v/>
      </c>
      <c r="F836" t="str">
        <f>IF('Extraction edi'!K846="","",'Extraction edi'!K846)</f>
        <v/>
      </c>
      <c r="G836" t="str">
        <f>IF('Extraction edi'!L846="","",'Extraction edi'!L846)</f>
        <v/>
      </c>
      <c r="H836" t="str">
        <f>IF('Extraction edi'!M846="","",'Extraction edi'!M846)</f>
        <v/>
      </c>
      <c r="I836" s="1" t="str">
        <f>IF('Extraction edi'!N846="","",'Extraction edi'!N846)</f>
        <v/>
      </c>
      <c r="J836" s="1" t="str">
        <f>IF('Extraction edi'!O846="","",'Extraction edi'!O846)</f>
        <v/>
      </c>
      <c r="K836" s="1" t="str">
        <f>IF('Extraction edi'!P846="","",'Extraction edi'!P846)</f>
        <v/>
      </c>
      <c r="L836" s="1" t="str">
        <f>IF('Extraction edi'!Q846="laquage RAL :","OUI","")</f>
        <v/>
      </c>
      <c r="M836" s="1" t="str">
        <f>IF('Extraction edi'!R846&lt;&gt;"",'Extraction edi'!R846,IF(G836="ALU blanc","S9016",""))</f>
        <v/>
      </c>
      <c r="N836" s="1" t="str">
        <f>IF('Extraction edi'!S846&lt;&gt;"",'Extraction edi'!S846,IF(G836="ALU blanc","S9016",""))</f>
        <v/>
      </c>
      <c r="O836" s="11" t="str">
        <f>IF('Extraction edi'!V846&lt;'Feuille commande'!$E$1,"DELAI NON COMPATIBLE",IF('Extraction edi'!V846="","",WORKDAY('Extraction edi'!V846,-10,Paramètrage!$G$2:$G$104)))</f>
        <v/>
      </c>
      <c r="P836" s="1" t="e">
        <f t="shared" si="13"/>
        <v>#VALUE!</v>
      </c>
    </row>
    <row r="837" spans="1:16" x14ac:dyDescent="0.25">
      <c r="A837" s="1" t="str">
        <f>IF(B837="","",CONCATENATE(B837,".",C837,"/Pos ",D837,"/",'Extraction edi'!G847))</f>
        <v/>
      </c>
      <c r="B837" s="1" t="str">
        <f>IF('Extraction edi'!A847="","",'Extraction edi'!A847)</f>
        <v/>
      </c>
      <c r="C837" s="1" t="str">
        <f>IF('Extraction edi'!B847="","",'Extraction edi'!B847)</f>
        <v/>
      </c>
      <c r="D837" s="1" t="str">
        <f>IF('Extraction edi'!H847="","",'Extraction edi'!H847)</f>
        <v/>
      </c>
      <c r="E837" s="1" t="str">
        <f>IF('Extraction edi'!I847="","",'Extraction edi'!I847)</f>
        <v/>
      </c>
      <c r="F837" t="str">
        <f>IF('Extraction edi'!K847="","",'Extraction edi'!K847)</f>
        <v/>
      </c>
      <c r="G837" t="str">
        <f>IF('Extraction edi'!L847="","",'Extraction edi'!L847)</f>
        <v/>
      </c>
      <c r="H837" t="str">
        <f>IF('Extraction edi'!M847="","",'Extraction edi'!M847)</f>
        <v/>
      </c>
      <c r="I837" s="1" t="str">
        <f>IF('Extraction edi'!N847="","",'Extraction edi'!N847)</f>
        <v/>
      </c>
      <c r="J837" s="1" t="str">
        <f>IF('Extraction edi'!O847="","",'Extraction edi'!O847)</f>
        <v/>
      </c>
      <c r="K837" s="1" t="str">
        <f>IF('Extraction edi'!P847="","",'Extraction edi'!P847)</f>
        <v/>
      </c>
      <c r="L837" s="1" t="str">
        <f>IF('Extraction edi'!Q847="laquage RAL :","OUI","")</f>
        <v/>
      </c>
      <c r="M837" s="1" t="str">
        <f>IF('Extraction edi'!R847&lt;&gt;"",'Extraction edi'!R847,IF(G837="ALU blanc","S9016",""))</f>
        <v/>
      </c>
      <c r="N837" s="1" t="str">
        <f>IF('Extraction edi'!S847&lt;&gt;"",'Extraction edi'!S847,IF(G837="ALU blanc","S9016",""))</f>
        <v/>
      </c>
      <c r="O837" s="11" t="str">
        <f>IF('Extraction edi'!V847&lt;'Feuille commande'!$E$1,"DELAI NON COMPATIBLE",IF('Extraction edi'!V847="","",WORKDAY('Extraction edi'!V847,-10,Paramètrage!$G$2:$G$104)))</f>
        <v/>
      </c>
      <c r="P837" s="1" t="e">
        <f t="shared" si="13"/>
        <v>#VALUE!</v>
      </c>
    </row>
    <row r="838" spans="1:16" x14ac:dyDescent="0.25">
      <c r="A838" s="1" t="str">
        <f>IF(B838="","",CONCATENATE(B838,".",C838,"/Pos ",D838,"/",'Extraction edi'!G848))</f>
        <v/>
      </c>
      <c r="B838" s="1" t="str">
        <f>IF('Extraction edi'!A848="","",'Extraction edi'!A848)</f>
        <v/>
      </c>
      <c r="C838" s="1" t="str">
        <f>IF('Extraction edi'!B848="","",'Extraction edi'!B848)</f>
        <v/>
      </c>
      <c r="D838" s="1" t="str">
        <f>IF('Extraction edi'!H848="","",'Extraction edi'!H848)</f>
        <v/>
      </c>
      <c r="E838" s="1" t="str">
        <f>IF('Extraction edi'!I848="","",'Extraction edi'!I848)</f>
        <v/>
      </c>
      <c r="F838" t="str">
        <f>IF('Extraction edi'!K848="","",'Extraction edi'!K848)</f>
        <v/>
      </c>
      <c r="G838" t="str">
        <f>IF('Extraction edi'!L848="","",'Extraction edi'!L848)</f>
        <v/>
      </c>
      <c r="H838" t="str">
        <f>IF('Extraction edi'!M848="","",'Extraction edi'!M848)</f>
        <v/>
      </c>
      <c r="I838" s="1" t="str">
        <f>IF('Extraction edi'!N848="","",'Extraction edi'!N848)</f>
        <v/>
      </c>
      <c r="J838" s="1" t="str">
        <f>IF('Extraction edi'!O848="","",'Extraction edi'!O848)</f>
        <v/>
      </c>
      <c r="K838" s="1" t="str">
        <f>IF('Extraction edi'!P848="","",'Extraction edi'!P848)</f>
        <v/>
      </c>
      <c r="L838" s="1" t="str">
        <f>IF('Extraction edi'!Q848="laquage RAL :","OUI","")</f>
        <v/>
      </c>
      <c r="M838" s="1" t="str">
        <f>IF('Extraction edi'!R848&lt;&gt;"",'Extraction edi'!R848,IF(G838="ALU blanc","S9016",""))</f>
        <v/>
      </c>
      <c r="N838" s="1" t="str">
        <f>IF('Extraction edi'!S848&lt;&gt;"",'Extraction edi'!S848,IF(G838="ALU blanc","S9016",""))</f>
        <v/>
      </c>
      <c r="O838" s="11" t="str">
        <f>IF('Extraction edi'!V848&lt;'Feuille commande'!$E$1,"DELAI NON COMPATIBLE",IF('Extraction edi'!V848="","",WORKDAY('Extraction edi'!V848,-10,Paramètrage!$G$2:$G$104)))</f>
        <v/>
      </c>
      <c r="P838" s="1" t="e">
        <f t="shared" si="13"/>
        <v>#VALUE!</v>
      </c>
    </row>
    <row r="839" spans="1:16" x14ac:dyDescent="0.25">
      <c r="A839" s="1" t="str">
        <f>IF(B839="","",CONCATENATE(B839,".",C839,"/Pos ",D839,"/",'Extraction edi'!G849))</f>
        <v/>
      </c>
      <c r="B839" s="1" t="str">
        <f>IF('Extraction edi'!A849="","",'Extraction edi'!A849)</f>
        <v/>
      </c>
      <c r="C839" s="1" t="str">
        <f>IF('Extraction edi'!B849="","",'Extraction edi'!B849)</f>
        <v/>
      </c>
      <c r="D839" s="1" t="str">
        <f>IF('Extraction edi'!H849="","",'Extraction edi'!H849)</f>
        <v/>
      </c>
      <c r="E839" s="1" t="str">
        <f>IF('Extraction edi'!I849="","",'Extraction edi'!I849)</f>
        <v/>
      </c>
      <c r="F839" t="str">
        <f>IF('Extraction edi'!K849="","",'Extraction edi'!K849)</f>
        <v/>
      </c>
      <c r="G839" t="str">
        <f>IF('Extraction edi'!L849="","",'Extraction edi'!L849)</f>
        <v/>
      </c>
      <c r="H839" t="str">
        <f>IF('Extraction edi'!M849="","",'Extraction edi'!M849)</f>
        <v/>
      </c>
      <c r="I839" s="1" t="str">
        <f>IF('Extraction edi'!N849="","",'Extraction edi'!N849)</f>
        <v/>
      </c>
      <c r="J839" s="1" t="str">
        <f>IF('Extraction edi'!O849="","",'Extraction edi'!O849)</f>
        <v/>
      </c>
      <c r="K839" s="1" t="str">
        <f>IF('Extraction edi'!P849="","",'Extraction edi'!P849)</f>
        <v/>
      </c>
      <c r="L839" s="1" t="str">
        <f>IF('Extraction edi'!Q849="laquage RAL :","OUI","")</f>
        <v/>
      </c>
      <c r="M839" s="1" t="str">
        <f>IF('Extraction edi'!R849&lt;&gt;"",'Extraction edi'!R849,IF(G839="ALU blanc","S9016",""))</f>
        <v/>
      </c>
      <c r="N839" s="1" t="str">
        <f>IF('Extraction edi'!S849&lt;&gt;"",'Extraction edi'!S849,IF(G839="ALU blanc","S9016",""))</f>
        <v/>
      </c>
      <c r="O839" s="11" t="str">
        <f>IF('Extraction edi'!V849&lt;'Feuille commande'!$E$1,"DELAI NON COMPATIBLE",IF('Extraction edi'!V849="","",WORKDAY('Extraction edi'!V849,-10,Paramètrage!$G$2:$G$104)))</f>
        <v/>
      </c>
      <c r="P839" s="1" t="e">
        <f t="shared" si="13"/>
        <v>#VALUE!</v>
      </c>
    </row>
    <row r="840" spans="1:16" x14ac:dyDescent="0.25">
      <c r="A840" s="1" t="str">
        <f>IF(B840="","",CONCATENATE(B840,".",C840,"/Pos ",D840,"/",'Extraction edi'!G850))</f>
        <v/>
      </c>
      <c r="B840" s="1" t="str">
        <f>IF('Extraction edi'!A850="","",'Extraction edi'!A850)</f>
        <v/>
      </c>
      <c r="C840" s="1" t="str">
        <f>IF('Extraction edi'!B850="","",'Extraction edi'!B850)</f>
        <v/>
      </c>
      <c r="D840" s="1" t="str">
        <f>IF('Extraction edi'!H850="","",'Extraction edi'!H850)</f>
        <v/>
      </c>
      <c r="E840" s="1" t="str">
        <f>IF('Extraction edi'!I850="","",'Extraction edi'!I850)</f>
        <v/>
      </c>
      <c r="F840" t="str">
        <f>IF('Extraction edi'!K850="","",'Extraction edi'!K850)</f>
        <v/>
      </c>
      <c r="G840" t="str">
        <f>IF('Extraction edi'!L850="","",'Extraction edi'!L850)</f>
        <v/>
      </c>
      <c r="H840" t="str">
        <f>IF('Extraction edi'!M850="","",'Extraction edi'!M850)</f>
        <v/>
      </c>
      <c r="I840" s="1" t="str">
        <f>IF('Extraction edi'!N850="","",'Extraction edi'!N850)</f>
        <v/>
      </c>
      <c r="J840" s="1" t="str">
        <f>IF('Extraction edi'!O850="","",'Extraction edi'!O850)</f>
        <v/>
      </c>
      <c r="K840" s="1" t="str">
        <f>IF('Extraction edi'!P850="","",'Extraction edi'!P850)</f>
        <v/>
      </c>
      <c r="L840" s="1" t="str">
        <f>IF('Extraction edi'!Q850="laquage RAL :","OUI","")</f>
        <v/>
      </c>
      <c r="M840" s="1" t="str">
        <f>IF('Extraction edi'!R850&lt;&gt;"",'Extraction edi'!R850,IF(G840="ALU blanc","S9016",""))</f>
        <v/>
      </c>
      <c r="N840" s="1" t="str">
        <f>IF('Extraction edi'!S850&lt;&gt;"",'Extraction edi'!S850,IF(G840="ALU blanc","S9016",""))</f>
        <v/>
      </c>
      <c r="O840" s="11" t="str">
        <f>IF('Extraction edi'!V850&lt;'Feuille commande'!$E$1,"DELAI NON COMPATIBLE",IF('Extraction edi'!V850="","",WORKDAY('Extraction edi'!V850,-10,Paramètrage!$G$2:$G$104)))</f>
        <v/>
      </c>
      <c r="P840" s="1" t="e">
        <f t="shared" si="13"/>
        <v>#VALUE!</v>
      </c>
    </row>
    <row r="841" spans="1:16" x14ac:dyDescent="0.25">
      <c r="A841" s="1" t="str">
        <f>IF(B841="","",CONCATENATE(B841,".",C841,"/Pos ",D841,"/",'Extraction edi'!G851))</f>
        <v/>
      </c>
      <c r="B841" s="1" t="str">
        <f>IF('Extraction edi'!A851="","",'Extraction edi'!A851)</f>
        <v/>
      </c>
      <c r="C841" s="1" t="str">
        <f>IF('Extraction edi'!B851="","",'Extraction edi'!B851)</f>
        <v/>
      </c>
      <c r="D841" s="1" t="str">
        <f>IF('Extraction edi'!H851="","",'Extraction edi'!H851)</f>
        <v/>
      </c>
      <c r="E841" s="1" t="str">
        <f>IF('Extraction edi'!I851="","",'Extraction edi'!I851)</f>
        <v/>
      </c>
      <c r="F841" t="str">
        <f>IF('Extraction edi'!K851="","",'Extraction edi'!K851)</f>
        <v/>
      </c>
      <c r="G841" t="str">
        <f>IF('Extraction edi'!L851="","",'Extraction edi'!L851)</f>
        <v/>
      </c>
      <c r="H841" t="str">
        <f>IF('Extraction edi'!M851="","",'Extraction edi'!M851)</f>
        <v/>
      </c>
      <c r="I841" s="1" t="str">
        <f>IF('Extraction edi'!N851="","",'Extraction edi'!N851)</f>
        <v/>
      </c>
      <c r="J841" s="1" t="str">
        <f>IF('Extraction edi'!O851="","",'Extraction edi'!O851)</f>
        <v/>
      </c>
      <c r="K841" s="1" t="str">
        <f>IF('Extraction edi'!P851="","",'Extraction edi'!P851)</f>
        <v/>
      </c>
      <c r="L841" s="1" t="str">
        <f>IF('Extraction edi'!Q851="laquage RAL :","OUI","")</f>
        <v/>
      </c>
      <c r="M841" s="1" t="str">
        <f>IF('Extraction edi'!R851&lt;&gt;"",'Extraction edi'!R851,IF(G841="ALU blanc","S9016",""))</f>
        <v/>
      </c>
      <c r="N841" s="1" t="str">
        <f>IF('Extraction edi'!S851&lt;&gt;"",'Extraction edi'!S851,IF(G841="ALU blanc","S9016",""))</f>
        <v/>
      </c>
      <c r="O841" s="11" t="str">
        <f>IF('Extraction edi'!V851&lt;'Feuille commande'!$E$1,"DELAI NON COMPATIBLE",IF('Extraction edi'!V851="","",WORKDAY('Extraction edi'!V851,-10,Paramètrage!$G$2:$G$104)))</f>
        <v/>
      </c>
      <c r="P841" s="1" t="e">
        <f t="shared" si="13"/>
        <v>#VALUE!</v>
      </c>
    </row>
    <row r="842" spans="1:16" x14ac:dyDescent="0.25">
      <c r="A842" s="1" t="str">
        <f>IF(B842="","",CONCATENATE(B842,".",C842,"/Pos ",D842,"/",'Extraction edi'!G852))</f>
        <v/>
      </c>
      <c r="B842" s="1" t="str">
        <f>IF('Extraction edi'!A852="","",'Extraction edi'!A852)</f>
        <v/>
      </c>
      <c r="C842" s="1" t="str">
        <f>IF('Extraction edi'!B852="","",'Extraction edi'!B852)</f>
        <v/>
      </c>
      <c r="D842" s="1" t="str">
        <f>IF('Extraction edi'!H852="","",'Extraction edi'!H852)</f>
        <v/>
      </c>
      <c r="E842" s="1" t="str">
        <f>IF('Extraction edi'!I852="","",'Extraction edi'!I852)</f>
        <v/>
      </c>
      <c r="F842" t="str">
        <f>IF('Extraction edi'!K852="","",'Extraction edi'!K852)</f>
        <v/>
      </c>
      <c r="G842" t="str">
        <f>IF('Extraction edi'!L852="","",'Extraction edi'!L852)</f>
        <v/>
      </c>
      <c r="H842" t="str">
        <f>IF('Extraction edi'!M852="","",'Extraction edi'!M852)</f>
        <v/>
      </c>
      <c r="I842" s="1" t="str">
        <f>IF('Extraction edi'!N852="","",'Extraction edi'!N852)</f>
        <v/>
      </c>
      <c r="J842" s="1" t="str">
        <f>IF('Extraction edi'!O852="","",'Extraction edi'!O852)</f>
        <v/>
      </c>
      <c r="K842" s="1" t="str">
        <f>IF('Extraction edi'!P852="","",'Extraction edi'!P852)</f>
        <v/>
      </c>
      <c r="L842" s="1" t="str">
        <f>IF('Extraction edi'!Q852="laquage RAL :","OUI","")</f>
        <v/>
      </c>
      <c r="M842" s="1" t="str">
        <f>IF('Extraction edi'!R852&lt;&gt;"",'Extraction edi'!R852,IF(G842="ALU blanc","S9016",""))</f>
        <v/>
      </c>
      <c r="N842" s="1" t="str">
        <f>IF('Extraction edi'!S852&lt;&gt;"",'Extraction edi'!S852,IF(G842="ALU blanc","S9016",""))</f>
        <v/>
      </c>
      <c r="O842" s="11" t="str">
        <f>IF('Extraction edi'!V852&lt;'Feuille commande'!$E$1,"DELAI NON COMPATIBLE",IF('Extraction edi'!V852="","",WORKDAY('Extraction edi'!V852,-10,Paramètrage!$G$2:$G$104)))</f>
        <v/>
      </c>
      <c r="P842" s="1" t="e">
        <f t="shared" si="13"/>
        <v>#VALUE!</v>
      </c>
    </row>
    <row r="843" spans="1:16" x14ac:dyDescent="0.25">
      <c r="A843" s="1" t="str">
        <f>IF(B843="","",CONCATENATE(B843,".",C843,"/Pos ",D843,"/",'Extraction edi'!G853))</f>
        <v/>
      </c>
      <c r="B843" s="1" t="str">
        <f>IF('Extraction edi'!A853="","",'Extraction edi'!A853)</f>
        <v/>
      </c>
      <c r="C843" s="1" t="str">
        <f>IF('Extraction edi'!B853="","",'Extraction edi'!B853)</f>
        <v/>
      </c>
      <c r="D843" s="1" t="str">
        <f>IF('Extraction edi'!H853="","",'Extraction edi'!H853)</f>
        <v/>
      </c>
      <c r="E843" s="1" t="str">
        <f>IF('Extraction edi'!I853="","",'Extraction edi'!I853)</f>
        <v/>
      </c>
      <c r="F843" t="str">
        <f>IF('Extraction edi'!K853="","",'Extraction edi'!K853)</f>
        <v/>
      </c>
      <c r="G843" t="str">
        <f>IF('Extraction edi'!L853="","",'Extraction edi'!L853)</f>
        <v/>
      </c>
      <c r="H843" t="str">
        <f>IF('Extraction edi'!M853="","",'Extraction edi'!M853)</f>
        <v/>
      </c>
      <c r="I843" s="1" t="str">
        <f>IF('Extraction edi'!N853="","",'Extraction edi'!N853)</f>
        <v/>
      </c>
      <c r="J843" s="1" t="str">
        <f>IF('Extraction edi'!O853="","",'Extraction edi'!O853)</f>
        <v/>
      </c>
      <c r="K843" s="1" t="str">
        <f>IF('Extraction edi'!P853="","",'Extraction edi'!P853)</f>
        <v/>
      </c>
      <c r="L843" s="1" t="str">
        <f>IF('Extraction edi'!Q853="laquage RAL :","OUI","")</f>
        <v/>
      </c>
      <c r="M843" s="1" t="str">
        <f>IF('Extraction edi'!R853&lt;&gt;"",'Extraction edi'!R853,IF(G843="ALU blanc","S9016",""))</f>
        <v/>
      </c>
      <c r="N843" s="1" t="str">
        <f>IF('Extraction edi'!S853&lt;&gt;"",'Extraction edi'!S853,IF(G843="ALU blanc","S9016",""))</f>
        <v/>
      </c>
      <c r="O843" s="11" t="str">
        <f>IF('Extraction edi'!V853&lt;'Feuille commande'!$E$1,"DELAI NON COMPATIBLE",IF('Extraction edi'!V853="","",WORKDAY('Extraction edi'!V853,-10,Paramètrage!$G$2:$G$104)))</f>
        <v/>
      </c>
      <c r="P843" s="1" t="e">
        <f t="shared" si="13"/>
        <v>#VALUE!</v>
      </c>
    </row>
    <row r="844" spans="1:16" x14ac:dyDescent="0.25">
      <c r="A844" s="1" t="str">
        <f>IF(B844="","",CONCATENATE(B844,".",C844,"/Pos ",D844,"/",'Extraction edi'!G854))</f>
        <v/>
      </c>
      <c r="B844" s="1" t="str">
        <f>IF('Extraction edi'!A854="","",'Extraction edi'!A854)</f>
        <v/>
      </c>
      <c r="C844" s="1" t="str">
        <f>IF('Extraction edi'!B854="","",'Extraction edi'!B854)</f>
        <v/>
      </c>
      <c r="D844" s="1" t="str">
        <f>IF('Extraction edi'!H854="","",'Extraction edi'!H854)</f>
        <v/>
      </c>
      <c r="E844" s="1" t="str">
        <f>IF('Extraction edi'!I854="","",'Extraction edi'!I854)</f>
        <v/>
      </c>
      <c r="F844" t="str">
        <f>IF('Extraction edi'!K854="","",'Extraction edi'!K854)</f>
        <v/>
      </c>
      <c r="G844" t="str">
        <f>IF('Extraction edi'!L854="","",'Extraction edi'!L854)</f>
        <v/>
      </c>
      <c r="H844" t="str">
        <f>IF('Extraction edi'!M854="","",'Extraction edi'!M854)</f>
        <v/>
      </c>
      <c r="I844" s="1" t="str">
        <f>IF('Extraction edi'!N854="","",'Extraction edi'!N854)</f>
        <v/>
      </c>
      <c r="J844" s="1" t="str">
        <f>IF('Extraction edi'!O854="","",'Extraction edi'!O854)</f>
        <v/>
      </c>
      <c r="K844" s="1" t="str">
        <f>IF('Extraction edi'!P854="","",'Extraction edi'!P854)</f>
        <v/>
      </c>
      <c r="L844" s="1" t="str">
        <f>IF('Extraction edi'!Q854="laquage RAL :","OUI","")</f>
        <v/>
      </c>
      <c r="M844" s="1" t="str">
        <f>IF('Extraction edi'!R854&lt;&gt;"",'Extraction edi'!R854,IF(G844="ALU blanc","S9016",""))</f>
        <v/>
      </c>
      <c r="N844" s="1" t="str">
        <f>IF('Extraction edi'!S854&lt;&gt;"",'Extraction edi'!S854,IF(G844="ALU blanc","S9016",""))</f>
        <v/>
      </c>
      <c r="O844" s="11" t="str">
        <f>IF('Extraction edi'!V854&lt;'Feuille commande'!$E$1,"DELAI NON COMPATIBLE",IF('Extraction edi'!V854="","",WORKDAY('Extraction edi'!V854,-10,Paramètrage!$G$2:$G$104)))</f>
        <v/>
      </c>
      <c r="P844" s="1" t="e">
        <f t="shared" si="13"/>
        <v>#VALUE!</v>
      </c>
    </row>
    <row r="845" spans="1:16" x14ac:dyDescent="0.25">
      <c r="A845" s="1" t="str">
        <f>IF(B845="","",CONCATENATE(B845,".",C845,"/Pos ",D845,"/",'Extraction edi'!G855))</f>
        <v/>
      </c>
      <c r="B845" s="1" t="str">
        <f>IF('Extraction edi'!A855="","",'Extraction edi'!A855)</f>
        <v/>
      </c>
      <c r="C845" s="1" t="str">
        <f>IF('Extraction edi'!B855="","",'Extraction edi'!B855)</f>
        <v/>
      </c>
      <c r="D845" s="1" t="str">
        <f>IF('Extraction edi'!H855="","",'Extraction edi'!H855)</f>
        <v/>
      </c>
      <c r="E845" s="1" t="str">
        <f>IF('Extraction edi'!I855="","",'Extraction edi'!I855)</f>
        <v/>
      </c>
      <c r="F845" t="str">
        <f>IF('Extraction edi'!K855="","",'Extraction edi'!K855)</f>
        <v/>
      </c>
      <c r="G845" t="str">
        <f>IF('Extraction edi'!L855="","",'Extraction edi'!L855)</f>
        <v/>
      </c>
      <c r="H845" t="str">
        <f>IF('Extraction edi'!M855="","",'Extraction edi'!M855)</f>
        <v/>
      </c>
      <c r="I845" s="1" t="str">
        <f>IF('Extraction edi'!N855="","",'Extraction edi'!N855)</f>
        <v/>
      </c>
      <c r="J845" s="1" t="str">
        <f>IF('Extraction edi'!O855="","",'Extraction edi'!O855)</f>
        <v/>
      </c>
      <c r="K845" s="1" t="str">
        <f>IF('Extraction edi'!P855="","",'Extraction edi'!P855)</f>
        <v/>
      </c>
      <c r="L845" s="1" t="str">
        <f>IF('Extraction edi'!Q855="laquage RAL :","OUI","")</f>
        <v/>
      </c>
      <c r="M845" s="1" t="str">
        <f>IF('Extraction edi'!R855&lt;&gt;"",'Extraction edi'!R855,IF(G845="ALU blanc","S9016",""))</f>
        <v/>
      </c>
      <c r="N845" s="1" t="str">
        <f>IF('Extraction edi'!S855&lt;&gt;"",'Extraction edi'!S855,IF(G845="ALU blanc","S9016",""))</f>
        <v/>
      </c>
      <c r="O845" s="11" t="str">
        <f>IF('Extraction edi'!V855&lt;'Feuille commande'!$E$1,"DELAI NON COMPATIBLE",IF('Extraction edi'!V855="","",WORKDAY('Extraction edi'!V855,-10,Paramètrage!$G$2:$G$104)))</f>
        <v/>
      </c>
      <c r="P845" s="1" t="e">
        <f t="shared" si="13"/>
        <v>#VALUE!</v>
      </c>
    </row>
    <row r="846" spans="1:16" x14ac:dyDescent="0.25">
      <c r="A846" s="1" t="str">
        <f>IF(B846="","",CONCATENATE(B846,".",C846,"/Pos ",D846,"/",'Extraction edi'!G856))</f>
        <v/>
      </c>
      <c r="B846" s="1" t="str">
        <f>IF('Extraction edi'!A856="","",'Extraction edi'!A856)</f>
        <v/>
      </c>
      <c r="C846" s="1" t="str">
        <f>IF('Extraction edi'!B856="","",'Extraction edi'!B856)</f>
        <v/>
      </c>
      <c r="D846" s="1" t="str">
        <f>IF('Extraction edi'!H856="","",'Extraction edi'!H856)</f>
        <v/>
      </c>
      <c r="E846" s="1" t="str">
        <f>IF('Extraction edi'!I856="","",'Extraction edi'!I856)</f>
        <v/>
      </c>
      <c r="F846" t="str">
        <f>IF('Extraction edi'!K856="","",'Extraction edi'!K856)</f>
        <v/>
      </c>
      <c r="G846" t="str">
        <f>IF('Extraction edi'!L856="","",'Extraction edi'!L856)</f>
        <v/>
      </c>
      <c r="H846" t="str">
        <f>IF('Extraction edi'!M856="","",'Extraction edi'!M856)</f>
        <v/>
      </c>
      <c r="I846" s="1" t="str">
        <f>IF('Extraction edi'!N856="","",'Extraction edi'!N856)</f>
        <v/>
      </c>
      <c r="J846" s="1" t="str">
        <f>IF('Extraction edi'!O856="","",'Extraction edi'!O856)</f>
        <v/>
      </c>
      <c r="K846" s="1" t="str">
        <f>IF('Extraction edi'!P856="","",'Extraction edi'!P856)</f>
        <v/>
      </c>
      <c r="L846" s="1" t="str">
        <f>IF('Extraction edi'!Q856="laquage RAL :","OUI","")</f>
        <v/>
      </c>
      <c r="M846" s="1" t="str">
        <f>IF('Extraction edi'!R856&lt;&gt;"",'Extraction edi'!R856,IF(G846="ALU blanc","S9016",""))</f>
        <v/>
      </c>
      <c r="N846" s="1" t="str">
        <f>IF('Extraction edi'!S856&lt;&gt;"",'Extraction edi'!S856,IF(G846="ALU blanc","S9016",""))</f>
        <v/>
      </c>
      <c r="O846" s="11" t="str">
        <f>IF('Extraction edi'!V856&lt;'Feuille commande'!$E$1,"DELAI NON COMPATIBLE",IF('Extraction edi'!V856="","",WORKDAY('Extraction edi'!V856,-10,Paramètrage!$G$2:$G$104)))</f>
        <v/>
      </c>
      <c r="P846" s="1" t="e">
        <f t="shared" si="13"/>
        <v>#VALUE!</v>
      </c>
    </row>
    <row r="847" spans="1:16" x14ac:dyDescent="0.25">
      <c r="A847" s="1" t="str">
        <f>IF(B847="","",CONCATENATE(B847,".",C847,"/Pos ",D847,"/",'Extraction edi'!G857))</f>
        <v/>
      </c>
      <c r="B847" s="1" t="str">
        <f>IF('Extraction edi'!A857="","",'Extraction edi'!A857)</f>
        <v/>
      </c>
      <c r="C847" s="1" t="str">
        <f>IF('Extraction edi'!B857="","",'Extraction edi'!B857)</f>
        <v/>
      </c>
      <c r="D847" s="1" t="str">
        <f>IF('Extraction edi'!H857="","",'Extraction edi'!H857)</f>
        <v/>
      </c>
      <c r="E847" s="1" t="str">
        <f>IF('Extraction edi'!I857="","",'Extraction edi'!I857)</f>
        <v/>
      </c>
      <c r="F847" t="str">
        <f>IF('Extraction edi'!K857="","",'Extraction edi'!K857)</f>
        <v/>
      </c>
      <c r="G847" t="str">
        <f>IF('Extraction edi'!L857="","",'Extraction edi'!L857)</f>
        <v/>
      </c>
      <c r="H847" t="str">
        <f>IF('Extraction edi'!M857="","",'Extraction edi'!M857)</f>
        <v/>
      </c>
      <c r="I847" s="1" t="str">
        <f>IF('Extraction edi'!N857="","",'Extraction edi'!N857)</f>
        <v/>
      </c>
      <c r="J847" s="1" t="str">
        <f>IF('Extraction edi'!O857="","",'Extraction edi'!O857)</f>
        <v/>
      </c>
      <c r="K847" s="1" t="str">
        <f>IF('Extraction edi'!P857="","",'Extraction edi'!P857)</f>
        <v/>
      </c>
      <c r="L847" s="1" t="str">
        <f>IF('Extraction edi'!Q857="laquage RAL :","OUI","")</f>
        <v/>
      </c>
      <c r="M847" s="1" t="str">
        <f>IF('Extraction edi'!R857&lt;&gt;"",'Extraction edi'!R857,IF(G847="ALU blanc","S9016",""))</f>
        <v/>
      </c>
      <c r="N847" s="1" t="str">
        <f>IF('Extraction edi'!S857&lt;&gt;"",'Extraction edi'!S857,IF(G847="ALU blanc","S9016",""))</f>
        <v/>
      </c>
      <c r="O847" s="11" t="str">
        <f>IF('Extraction edi'!V857&lt;'Feuille commande'!$E$1,"DELAI NON COMPATIBLE",IF('Extraction edi'!V857="","",WORKDAY('Extraction edi'!V857,-10,Paramètrage!$G$2:$G$104)))</f>
        <v/>
      </c>
      <c r="P847" s="1" t="e">
        <f t="shared" si="13"/>
        <v>#VALUE!</v>
      </c>
    </row>
    <row r="848" spans="1:16" x14ac:dyDescent="0.25">
      <c r="A848" s="1" t="str">
        <f>IF(B848="","",CONCATENATE(B848,".",C848,"/Pos ",D848,"/",'Extraction edi'!G858))</f>
        <v/>
      </c>
      <c r="B848" s="1" t="str">
        <f>IF('Extraction edi'!A858="","",'Extraction edi'!A858)</f>
        <v/>
      </c>
      <c r="C848" s="1" t="str">
        <f>IF('Extraction edi'!B858="","",'Extraction edi'!B858)</f>
        <v/>
      </c>
      <c r="D848" s="1" t="str">
        <f>IF('Extraction edi'!H858="","",'Extraction edi'!H858)</f>
        <v/>
      </c>
      <c r="E848" s="1" t="str">
        <f>IF('Extraction edi'!I858="","",'Extraction edi'!I858)</f>
        <v/>
      </c>
      <c r="F848" t="str">
        <f>IF('Extraction edi'!K858="","",'Extraction edi'!K858)</f>
        <v/>
      </c>
      <c r="G848" t="str">
        <f>IF('Extraction edi'!L858="","",'Extraction edi'!L858)</f>
        <v/>
      </c>
      <c r="H848" t="str">
        <f>IF('Extraction edi'!M858="","",'Extraction edi'!M858)</f>
        <v/>
      </c>
      <c r="I848" s="1" t="str">
        <f>IF('Extraction edi'!N858="","",'Extraction edi'!N858)</f>
        <v/>
      </c>
      <c r="J848" s="1" t="str">
        <f>IF('Extraction edi'!O858="","",'Extraction edi'!O858)</f>
        <v/>
      </c>
      <c r="K848" s="1" t="str">
        <f>IF('Extraction edi'!P858="","",'Extraction edi'!P858)</f>
        <v/>
      </c>
      <c r="L848" s="1" t="str">
        <f>IF('Extraction edi'!Q858="laquage RAL :","OUI","")</f>
        <v/>
      </c>
      <c r="M848" s="1" t="str">
        <f>IF('Extraction edi'!R858&lt;&gt;"",'Extraction edi'!R858,IF(G848="ALU blanc","S9016",""))</f>
        <v/>
      </c>
      <c r="N848" s="1" t="str">
        <f>IF('Extraction edi'!S858&lt;&gt;"",'Extraction edi'!S858,IF(G848="ALU blanc","S9016",""))</f>
        <v/>
      </c>
      <c r="O848" s="11" t="str">
        <f>IF('Extraction edi'!V858&lt;'Feuille commande'!$E$1,"DELAI NON COMPATIBLE",IF('Extraction edi'!V858="","",WORKDAY('Extraction edi'!V858,-10,Paramètrage!$G$2:$G$104)))</f>
        <v/>
      </c>
      <c r="P848" s="1" t="e">
        <f t="shared" si="13"/>
        <v>#VALUE!</v>
      </c>
    </row>
    <row r="849" spans="1:16" x14ac:dyDescent="0.25">
      <c r="A849" s="1" t="str">
        <f>IF(B849="","",CONCATENATE(B849,".",C849,"/Pos ",D849,"/",'Extraction edi'!G859))</f>
        <v/>
      </c>
      <c r="B849" s="1" t="str">
        <f>IF('Extraction edi'!A859="","",'Extraction edi'!A859)</f>
        <v/>
      </c>
      <c r="C849" s="1" t="str">
        <f>IF('Extraction edi'!B859="","",'Extraction edi'!B859)</f>
        <v/>
      </c>
      <c r="D849" s="1" t="str">
        <f>IF('Extraction edi'!H859="","",'Extraction edi'!H859)</f>
        <v/>
      </c>
      <c r="E849" s="1" t="str">
        <f>IF('Extraction edi'!I859="","",'Extraction edi'!I859)</f>
        <v/>
      </c>
      <c r="F849" t="str">
        <f>IF('Extraction edi'!K859="","",'Extraction edi'!K859)</f>
        <v/>
      </c>
      <c r="G849" t="str">
        <f>IF('Extraction edi'!L859="","",'Extraction edi'!L859)</f>
        <v/>
      </c>
      <c r="H849" t="str">
        <f>IF('Extraction edi'!M859="","",'Extraction edi'!M859)</f>
        <v/>
      </c>
      <c r="I849" s="1" t="str">
        <f>IF('Extraction edi'!N859="","",'Extraction edi'!N859)</f>
        <v/>
      </c>
      <c r="J849" s="1" t="str">
        <f>IF('Extraction edi'!O859="","",'Extraction edi'!O859)</f>
        <v/>
      </c>
      <c r="K849" s="1" t="str">
        <f>IF('Extraction edi'!P859="","",'Extraction edi'!P859)</f>
        <v/>
      </c>
      <c r="L849" s="1" t="str">
        <f>IF('Extraction edi'!Q859="laquage RAL :","OUI","")</f>
        <v/>
      </c>
      <c r="M849" s="1" t="str">
        <f>IF('Extraction edi'!R859&lt;&gt;"",'Extraction edi'!R859,IF(G849="ALU blanc","S9016",""))</f>
        <v/>
      </c>
      <c r="N849" s="1" t="str">
        <f>IF('Extraction edi'!S859&lt;&gt;"",'Extraction edi'!S859,IF(G849="ALU blanc","S9016",""))</f>
        <v/>
      </c>
      <c r="O849" s="11" t="str">
        <f>IF('Extraction edi'!V859&lt;'Feuille commande'!$E$1,"DELAI NON COMPATIBLE",IF('Extraction edi'!V859="","",WORKDAY('Extraction edi'!V859,-10,Paramètrage!$G$2:$G$104)))</f>
        <v/>
      </c>
      <c r="P849" s="1" t="e">
        <f t="shared" si="13"/>
        <v>#VALUE!</v>
      </c>
    </row>
    <row r="850" spans="1:16" x14ac:dyDescent="0.25">
      <c r="A850" s="1" t="str">
        <f>IF(B850="","",CONCATENATE(B850,".",C850,"/Pos ",D850,"/",'Extraction edi'!G860))</f>
        <v/>
      </c>
      <c r="B850" s="1" t="str">
        <f>IF('Extraction edi'!A860="","",'Extraction edi'!A860)</f>
        <v/>
      </c>
      <c r="C850" s="1" t="str">
        <f>IF('Extraction edi'!B860="","",'Extraction edi'!B860)</f>
        <v/>
      </c>
      <c r="D850" s="1" t="str">
        <f>IF('Extraction edi'!H860="","",'Extraction edi'!H860)</f>
        <v/>
      </c>
      <c r="E850" s="1" t="str">
        <f>IF('Extraction edi'!I860="","",'Extraction edi'!I860)</f>
        <v/>
      </c>
      <c r="F850" t="str">
        <f>IF('Extraction edi'!K860="","",'Extraction edi'!K860)</f>
        <v/>
      </c>
      <c r="G850" t="str">
        <f>IF('Extraction edi'!L860="","",'Extraction edi'!L860)</f>
        <v/>
      </c>
      <c r="H850" t="str">
        <f>IF('Extraction edi'!M860="","",'Extraction edi'!M860)</f>
        <v/>
      </c>
      <c r="I850" s="1" t="str">
        <f>IF('Extraction edi'!N860="","",'Extraction edi'!N860)</f>
        <v/>
      </c>
      <c r="J850" s="1" t="str">
        <f>IF('Extraction edi'!O860="","",'Extraction edi'!O860)</f>
        <v/>
      </c>
      <c r="K850" s="1" t="str">
        <f>IF('Extraction edi'!P860="","",'Extraction edi'!P860)</f>
        <v/>
      </c>
      <c r="L850" s="1" t="str">
        <f>IF('Extraction edi'!Q860="laquage RAL :","OUI","")</f>
        <v/>
      </c>
      <c r="M850" s="1" t="str">
        <f>IF('Extraction edi'!R860&lt;&gt;"",'Extraction edi'!R860,IF(G850="ALU blanc","S9016",""))</f>
        <v/>
      </c>
      <c r="N850" s="1" t="str">
        <f>IF('Extraction edi'!S860&lt;&gt;"",'Extraction edi'!S860,IF(G850="ALU blanc","S9016",""))</f>
        <v/>
      </c>
      <c r="O850" s="11" t="str">
        <f>IF('Extraction edi'!V860&lt;'Feuille commande'!$E$1,"DELAI NON COMPATIBLE",IF('Extraction edi'!V860="","",WORKDAY('Extraction edi'!V860,-10,Paramètrage!$G$2:$G$104)))</f>
        <v/>
      </c>
      <c r="P850" s="1" t="e">
        <f t="shared" si="13"/>
        <v>#VALUE!</v>
      </c>
    </row>
    <row r="851" spans="1:16" x14ac:dyDescent="0.25">
      <c r="A851" s="1" t="str">
        <f>IF(B851="","",CONCATENATE(B851,".",C851,"/Pos ",D851,"/",'Extraction edi'!G861))</f>
        <v/>
      </c>
      <c r="B851" s="1" t="str">
        <f>IF('Extraction edi'!A861="","",'Extraction edi'!A861)</f>
        <v/>
      </c>
      <c r="C851" s="1" t="str">
        <f>IF('Extraction edi'!B861="","",'Extraction edi'!B861)</f>
        <v/>
      </c>
      <c r="D851" s="1" t="str">
        <f>IF('Extraction edi'!H861="","",'Extraction edi'!H861)</f>
        <v/>
      </c>
      <c r="E851" s="1" t="str">
        <f>IF('Extraction edi'!I861="","",'Extraction edi'!I861)</f>
        <v/>
      </c>
      <c r="F851" t="str">
        <f>IF('Extraction edi'!K861="","",'Extraction edi'!K861)</f>
        <v/>
      </c>
      <c r="G851" t="str">
        <f>IF('Extraction edi'!L861="","",'Extraction edi'!L861)</f>
        <v/>
      </c>
      <c r="H851" t="str">
        <f>IF('Extraction edi'!M861="","",'Extraction edi'!M861)</f>
        <v/>
      </c>
      <c r="I851" s="1" t="str">
        <f>IF('Extraction edi'!N861="","",'Extraction edi'!N861)</f>
        <v/>
      </c>
      <c r="J851" s="1" t="str">
        <f>IF('Extraction edi'!O861="","",'Extraction edi'!O861)</f>
        <v/>
      </c>
      <c r="K851" s="1" t="str">
        <f>IF('Extraction edi'!P861="","",'Extraction edi'!P861)</f>
        <v/>
      </c>
      <c r="L851" s="1" t="str">
        <f>IF('Extraction edi'!Q861="laquage RAL :","OUI","")</f>
        <v/>
      </c>
      <c r="M851" s="1" t="str">
        <f>IF('Extraction edi'!R861&lt;&gt;"",'Extraction edi'!R861,IF(G851="ALU blanc","S9016",""))</f>
        <v/>
      </c>
      <c r="N851" s="1" t="str">
        <f>IF('Extraction edi'!S861&lt;&gt;"",'Extraction edi'!S861,IF(G851="ALU blanc","S9016",""))</f>
        <v/>
      </c>
      <c r="O851" s="11" t="str">
        <f>IF('Extraction edi'!V861&lt;'Feuille commande'!$E$1,"DELAI NON COMPATIBLE",IF('Extraction edi'!V861="","",WORKDAY('Extraction edi'!V861,-10,Paramètrage!$G$2:$G$104)))</f>
        <v/>
      </c>
      <c r="P851" s="1" t="e">
        <f t="shared" si="13"/>
        <v>#VALUE!</v>
      </c>
    </row>
    <row r="852" spans="1:16" x14ac:dyDescent="0.25">
      <c r="A852" s="1" t="str">
        <f>IF(B852="","",CONCATENATE(B852,".",C852,"/Pos ",D852,"/",'Extraction edi'!G862))</f>
        <v/>
      </c>
      <c r="B852" s="1" t="str">
        <f>IF('Extraction edi'!A862="","",'Extraction edi'!A862)</f>
        <v/>
      </c>
      <c r="C852" s="1" t="str">
        <f>IF('Extraction edi'!B862="","",'Extraction edi'!B862)</f>
        <v/>
      </c>
      <c r="D852" s="1" t="str">
        <f>IF('Extraction edi'!H862="","",'Extraction edi'!H862)</f>
        <v/>
      </c>
      <c r="E852" s="1" t="str">
        <f>IF('Extraction edi'!I862="","",'Extraction edi'!I862)</f>
        <v/>
      </c>
      <c r="F852" t="str">
        <f>IF('Extraction edi'!K862="","",'Extraction edi'!K862)</f>
        <v/>
      </c>
      <c r="G852" t="str">
        <f>IF('Extraction edi'!L862="","",'Extraction edi'!L862)</f>
        <v/>
      </c>
      <c r="H852" t="str">
        <f>IF('Extraction edi'!M862="","",'Extraction edi'!M862)</f>
        <v/>
      </c>
      <c r="I852" s="1" t="str">
        <f>IF('Extraction edi'!N862="","",'Extraction edi'!N862)</f>
        <v/>
      </c>
      <c r="J852" s="1" t="str">
        <f>IF('Extraction edi'!O862="","",'Extraction edi'!O862)</f>
        <v/>
      </c>
      <c r="K852" s="1" t="str">
        <f>IF('Extraction edi'!P862="","",'Extraction edi'!P862)</f>
        <v/>
      </c>
      <c r="L852" s="1" t="str">
        <f>IF('Extraction edi'!Q862="laquage RAL :","OUI","")</f>
        <v/>
      </c>
      <c r="M852" s="1" t="str">
        <f>IF('Extraction edi'!R862&lt;&gt;"",'Extraction edi'!R862,IF(G852="ALU blanc","S9016",""))</f>
        <v/>
      </c>
      <c r="N852" s="1" t="str">
        <f>IF('Extraction edi'!S862&lt;&gt;"",'Extraction edi'!S862,IF(G852="ALU blanc","S9016",""))</f>
        <v/>
      </c>
      <c r="O852" s="11" t="str">
        <f>IF('Extraction edi'!V862&lt;'Feuille commande'!$E$1,"DELAI NON COMPATIBLE",IF('Extraction edi'!V862="","",WORKDAY('Extraction edi'!V862,-10,Paramètrage!$G$2:$G$104)))</f>
        <v/>
      </c>
      <c r="P852" s="1" t="e">
        <f t="shared" si="13"/>
        <v>#VALUE!</v>
      </c>
    </row>
    <row r="853" spans="1:16" x14ac:dyDescent="0.25">
      <c r="A853" s="1" t="str">
        <f>IF(B853="","",CONCATENATE(B853,".",C853,"/Pos ",D853,"/",'Extraction edi'!G863))</f>
        <v/>
      </c>
      <c r="B853" s="1" t="str">
        <f>IF('Extraction edi'!A863="","",'Extraction edi'!A863)</f>
        <v/>
      </c>
      <c r="C853" s="1" t="str">
        <f>IF('Extraction edi'!B863="","",'Extraction edi'!B863)</f>
        <v/>
      </c>
      <c r="D853" s="1" t="str">
        <f>IF('Extraction edi'!H863="","",'Extraction edi'!H863)</f>
        <v/>
      </c>
      <c r="E853" s="1" t="str">
        <f>IF('Extraction edi'!I863="","",'Extraction edi'!I863)</f>
        <v/>
      </c>
      <c r="F853" t="str">
        <f>IF('Extraction edi'!K863="","",'Extraction edi'!K863)</f>
        <v/>
      </c>
      <c r="G853" t="str">
        <f>IF('Extraction edi'!L863="","",'Extraction edi'!L863)</f>
        <v/>
      </c>
      <c r="H853" t="str">
        <f>IF('Extraction edi'!M863="","",'Extraction edi'!M863)</f>
        <v/>
      </c>
      <c r="I853" s="1" t="str">
        <f>IF('Extraction edi'!N863="","",'Extraction edi'!N863)</f>
        <v/>
      </c>
      <c r="J853" s="1" t="str">
        <f>IF('Extraction edi'!O863="","",'Extraction edi'!O863)</f>
        <v/>
      </c>
      <c r="K853" s="1" t="str">
        <f>IF('Extraction edi'!P863="","",'Extraction edi'!P863)</f>
        <v/>
      </c>
      <c r="L853" s="1" t="str">
        <f>IF('Extraction edi'!Q863="laquage RAL :","OUI","")</f>
        <v/>
      </c>
      <c r="M853" s="1" t="str">
        <f>IF('Extraction edi'!R863&lt;&gt;"",'Extraction edi'!R863,IF(G853="ALU blanc","S9016",""))</f>
        <v/>
      </c>
      <c r="N853" s="1" t="str">
        <f>IF('Extraction edi'!S863&lt;&gt;"",'Extraction edi'!S863,IF(G853="ALU blanc","S9016",""))</f>
        <v/>
      </c>
      <c r="O853" s="11" t="str">
        <f>IF('Extraction edi'!V863&lt;'Feuille commande'!$E$1,"DELAI NON COMPATIBLE",IF('Extraction edi'!V863="","",WORKDAY('Extraction edi'!V863,-10,Paramètrage!$G$2:$G$104)))</f>
        <v/>
      </c>
      <c r="P853" s="1" t="e">
        <f t="shared" si="13"/>
        <v>#VALUE!</v>
      </c>
    </row>
    <row r="854" spans="1:16" x14ac:dyDescent="0.25">
      <c r="A854" s="1" t="str">
        <f>IF(B854="","",CONCATENATE(B854,".",C854,"/Pos ",D854,"/",'Extraction edi'!G864))</f>
        <v/>
      </c>
      <c r="B854" s="1" t="str">
        <f>IF('Extraction edi'!A864="","",'Extraction edi'!A864)</f>
        <v/>
      </c>
      <c r="C854" s="1" t="str">
        <f>IF('Extraction edi'!B864="","",'Extraction edi'!B864)</f>
        <v/>
      </c>
      <c r="D854" s="1" t="str">
        <f>IF('Extraction edi'!H864="","",'Extraction edi'!H864)</f>
        <v/>
      </c>
      <c r="E854" s="1" t="str">
        <f>IF('Extraction edi'!I864="","",'Extraction edi'!I864)</f>
        <v/>
      </c>
      <c r="F854" t="str">
        <f>IF('Extraction edi'!K864="","",'Extraction edi'!K864)</f>
        <v/>
      </c>
      <c r="G854" t="str">
        <f>IF('Extraction edi'!L864="","",'Extraction edi'!L864)</f>
        <v/>
      </c>
      <c r="H854" t="str">
        <f>IF('Extraction edi'!M864="","",'Extraction edi'!M864)</f>
        <v/>
      </c>
      <c r="I854" s="1" t="str">
        <f>IF('Extraction edi'!N864="","",'Extraction edi'!N864)</f>
        <v/>
      </c>
      <c r="J854" s="1" t="str">
        <f>IF('Extraction edi'!O864="","",'Extraction edi'!O864)</f>
        <v/>
      </c>
      <c r="K854" s="1" t="str">
        <f>IF('Extraction edi'!P864="","",'Extraction edi'!P864)</f>
        <v/>
      </c>
      <c r="L854" s="1" t="str">
        <f>IF('Extraction edi'!Q864="laquage RAL :","OUI","")</f>
        <v/>
      </c>
      <c r="M854" s="1" t="str">
        <f>IF('Extraction edi'!R864&lt;&gt;"",'Extraction edi'!R864,IF(G854="ALU blanc","S9016",""))</f>
        <v/>
      </c>
      <c r="N854" s="1" t="str">
        <f>IF('Extraction edi'!S864&lt;&gt;"",'Extraction edi'!S864,IF(G854="ALU blanc","S9016",""))</f>
        <v/>
      </c>
      <c r="O854" s="11" t="str">
        <f>IF('Extraction edi'!V864&lt;'Feuille commande'!$E$1,"DELAI NON COMPATIBLE",IF('Extraction edi'!V864="","",WORKDAY('Extraction edi'!V864,-10,Paramètrage!$G$2:$G$104)))</f>
        <v/>
      </c>
      <c r="P854" s="1" t="e">
        <f t="shared" si="13"/>
        <v>#VALUE!</v>
      </c>
    </row>
    <row r="855" spans="1:16" x14ac:dyDescent="0.25">
      <c r="A855" s="1" t="str">
        <f>IF(B855="","",CONCATENATE(B855,".",C855,"/Pos ",D855,"/",'Extraction edi'!G865))</f>
        <v/>
      </c>
      <c r="B855" s="1" t="str">
        <f>IF('Extraction edi'!A865="","",'Extraction edi'!A865)</f>
        <v/>
      </c>
      <c r="C855" s="1" t="str">
        <f>IF('Extraction edi'!B865="","",'Extraction edi'!B865)</f>
        <v/>
      </c>
      <c r="D855" s="1" t="str">
        <f>IF('Extraction edi'!H865="","",'Extraction edi'!H865)</f>
        <v/>
      </c>
      <c r="E855" s="1" t="str">
        <f>IF('Extraction edi'!I865="","",'Extraction edi'!I865)</f>
        <v/>
      </c>
      <c r="F855" t="str">
        <f>IF('Extraction edi'!K865="","",'Extraction edi'!K865)</f>
        <v/>
      </c>
      <c r="G855" t="str">
        <f>IF('Extraction edi'!L865="","",'Extraction edi'!L865)</f>
        <v/>
      </c>
      <c r="H855" t="str">
        <f>IF('Extraction edi'!M865="","",'Extraction edi'!M865)</f>
        <v/>
      </c>
      <c r="I855" s="1" t="str">
        <f>IF('Extraction edi'!N865="","",'Extraction edi'!N865)</f>
        <v/>
      </c>
      <c r="J855" s="1" t="str">
        <f>IF('Extraction edi'!O865="","",'Extraction edi'!O865)</f>
        <v/>
      </c>
      <c r="K855" s="1" t="str">
        <f>IF('Extraction edi'!P865="","",'Extraction edi'!P865)</f>
        <v/>
      </c>
      <c r="L855" s="1" t="str">
        <f>IF('Extraction edi'!Q865="laquage RAL :","OUI","")</f>
        <v/>
      </c>
      <c r="M855" s="1" t="str">
        <f>IF('Extraction edi'!R865&lt;&gt;"",'Extraction edi'!R865,IF(G855="ALU blanc","S9016",""))</f>
        <v/>
      </c>
      <c r="N855" s="1" t="str">
        <f>IF('Extraction edi'!S865&lt;&gt;"",'Extraction edi'!S865,IF(G855="ALU blanc","S9016",""))</f>
        <v/>
      </c>
      <c r="O855" s="11" t="str">
        <f>IF('Extraction edi'!V865&lt;'Feuille commande'!$E$1,"DELAI NON COMPATIBLE",IF('Extraction edi'!V865="","",WORKDAY('Extraction edi'!V865,-10,Paramètrage!$G$2:$G$104)))</f>
        <v/>
      </c>
      <c r="P855" s="1" t="e">
        <f t="shared" si="13"/>
        <v>#VALUE!</v>
      </c>
    </row>
    <row r="856" spans="1:16" x14ac:dyDescent="0.25">
      <c r="A856" s="1" t="str">
        <f>IF(B856="","",CONCATENATE(B856,".",C856,"/Pos ",D856,"/",'Extraction edi'!G866))</f>
        <v/>
      </c>
      <c r="B856" s="1" t="str">
        <f>IF('Extraction edi'!A866="","",'Extraction edi'!A866)</f>
        <v/>
      </c>
      <c r="C856" s="1" t="str">
        <f>IF('Extraction edi'!B866="","",'Extraction edi'!B866)</f>
        <v/>
      </c>
      <c r="D856" s="1" t="str">
        <f>IF('Extraction edi'!H866="","",'Extraction edi'!H866)</f>
        <v/>
      </c>
      <c r="E856" s="1" t="str">
        <f>IF('Extraction edi'!I866="","",'Extraction edi'!I866)</f>
        <v/>
      </c>
      <c r="F856" t="str">
        <f>IF('Extraction edi'!K866="","",'Extraction edi'!K866)</f>
        <v/>
      </c>
      <c r="G856" t="str">
        <f>IF('Extraction edi'!L866="","",'Extraction edi'!L866)</f>
        <v/>
      </c>
      <c r="H856" t="str">
        <f>IF('Extraction edi'!M866="","",'Extraction edi'!M866)</f>
        <v/>
      </c>
      <c r="I856" s="1" t="str">
        <f>IF('Extraction edi'!N866="","",'Extraction edi'!N866)</f>
        <v/>
      </c>
      <c r="J856" s="1" t="str">
        <f>IF('Extraction edi'!O866="","",'Extraction edi'!O866)</f>
        <v/>
      </c>
      <c r="K856" s="1" t="str">
        <f>IF('Extraction edi'!P866="","",'Extraction edi'!P866)</f>
        <v/>
      </c>
      <c r="L856" s="1" t="str">
        <f>IF('Extraction edi'!Q866="laquage RAL :","OUI","")</f>
        <v/>
      </c>
      <c r="M856" s="1" t="str">
        <f>IF('Extraction edi'!R866&lt;&gt;"",'Extraction edi'!R866,IF(G856="ALU blanc","S9016",""))</f>
        <v/>
      </c>
      <c r="N856" s="1" t="str">
        <f>IF('Extraction edi'!S866&lt;&gt;"",'Extraction edi'!S866,IF(G856="ALU blanc","S9016",""))</f>
        <v/>
      </c>
      <c r="O856" s="11" t="str">
        <f>IF('Extraction edi'!V866&lt;'Feuille commande'!$E$1,"DELAI NON COMPATIBLE",IF('Extraction edi'!V866="","",WORKDAY('Extraction edi'!V866,-10,Paramètrage!$G$2:$G$104)))</f>
        <v/>
      </c>
      <c r="P856" s="1" t="e">
        <f t="shared" si="13"/>
        <v>#VALUE!</v>
      </c>
    </row>
    <row r="857" spans="1:16" x14ac:dyDescent="0.25">
      <c r="A857" s="1" t="str">
        <f>IF(B857="","",CONCATENATE(B857,".",C857,"/Pos ",D857,"/",'Extraction edi'!G867))</f>
        <v/>
      </c>
      <c r="B857" s="1" t="str">
        <f>IF('Extraction edi'!A867="","",'Extraction edi'!A867)</f>
        <v/>
      </c>
      <c r="C857" s="1" t="str">
        <f>IF('Extraction edi'!B867="","",'Extraction edi'!B867)</f>
        <v/>
      </c>
      <c r="D857" s="1" t="str">
        <f>IF('Extraction edi'!H867="","",'Extraction edi'!H867)</f>
        <v/>
      </c>
      <c r="E857" s="1" t="str">
        <f>IF('Extraction edi'!I867="","",'Extraction edi'!I867)</f>
        <v/>
      </c>
      <c r="F857" t="str">
        <f>IF('Extraction edi'!K867="","",'Extraction edi'!K867)</f>
        <v/>
      </c>
      <c r="G857" t="str">
        <f>IF('Extraction edi'!L867="","",'Extraction edi'!L867)</f>
        <v/>
      </c>
      <c r="H857" t="str">
        <f>IF('Extraction edi'!M867="","",'Extraction edi'!M867)</f>
        <v/>
      </c>
      <c r="I857" s="1" t="str">
        <f>IF('Extraction edi'!N867="","",'Extraction edi'!N867)</f>
        <v/>
      </c>
      <c r="J857" s="1" t="str">
        <f>IF('Extraction edi'!O867="","",'Extraction edi'!O867)</f>
        <v/>
      </c>
      <c r="K857" s="1" t="str">
        <f>IF('Extraction edi'!P867="","",'Extraction edi'!P867)</f>
        <v/>
      </c>
      <c r="L857" s="1" t="str">
        <f>IF('Extraction edi'!Q867="laquage RAL :","OUI","")</f>
        <v/>
      </c>
      <c r="M857" s="1" t="str">
        <f>IF('Extraction edi'!R867&lt;&gt;"",'Extraction edi'!R867,IF(G857="ALU blanc","S9016",""))</f>
        <v/>
      </c>
      <c r="N857" s="1" t="str">
        <f>IF('Extraction edi'!S867&lt;&gt;"",'Extraction edi'!S867,IF(G857="ALU blanc","S9016",""))</f>
        <v/>
      </c>
      <c r="O857" s="11" t="str">
        <f>IF('Extraction edi'!V867&lt;'Feuille commande'!$E$1,"DELAI NON COMPATIBLE",IF('Extraction edi'!V867="","",WORKDAY('Extraction edi'!V867,-10,Paramètrage!$G$2:$G$104)))</f>
        <v/>
      </c>
      <c r="P857" s="1" t="e">
        <f t="shared" si="13"/>
        <v>#VALUE!</v>
      </c>
    </row>
    <row r="858" spans="1:16" x14ac:dyDescent="0.25">
      <c r="A858" s="1" t="str">
        <f>IF(B858="","",CONCATENATE(B858,".",C858,"/Pos ",D858,"/",'Extraction edi'!G868))</f>
        <v/>
      </c>
      <c r="B858" s="1" t="str">
        <f>IF('Extraction edi'!A868="","",'Extraction edi'!A868)</f>
        <v/>
      </c>
      <c r="C858" s="1" t="str">
        <f>IF('Extraction edi'!B868="","",'Extraction edi'!B868)</f>
        <v/>
      </c>
      <c r="D858" s="1" t="str">
        <f>IF('Extraction edi'!H868="","",'Extraction edi'!H868)</f>
        <v/>
      </c>
      <c r="E858" s="1" t="str">
        <f>IF('Extraction edi'!I868="","",'Extraction edi'!I868)</f>
        <v/>
      </c>
      <c r="F858" t="str">
        <f>IF('Extraction edi'!K868="","",'Extraction edi'!K868)</f>
        <v/>
      </c>
      <c r="G858" t="str">
        <f>IF('Extraction edi'!L868="","",'Extraction edi'!L868)</f>
        <v/>
      </c>
      <c r="H858" t="str">
        <f>IF('Extraction edi'!M868="","",'Extraction edi'!M868)</f>
        <v/>
      </c>
      <c r="I858" s="1" t="str">
        <f>IF('Extraction edi'!N868="","",'Extraction edi'!N868)</f>
        <v/>
      </c>
      <c r="J858" s="1" t="str">
        <f>IF('Extraction edi'!O868="","",'Extraction edi'!O868)</f>
        <v/>
      </c>
      <c r="K858" s="1" t="str">
        <f>IF('Extraction edi'!P868="","",'Extraction edi'!P868)</f>
        <v/>
      </c>
      <c r="L858" s="1" t="str">
        <f>IF('Extraction edi'!Q868="laquage RAL :","OUI","")</f>
        <v/>
      </c>
      <c r="M858" s="1" t="str">
        <f>IF('Extraction edi'!R868&lt;&gt;"",'Extraction edi'!R868,IF(G858="ALU blanc","S9016",""))</f>
        <v/>
      </c>
      <c r="N858" s="1" t="str">
        <f>IF('Extraction edi'!S868&lt;&gt;"",'Extraction edi'!S868,IF(G858="ALU blanc","S9016",""))</f>
        <v/>
      </c>
      <c r="O858" s="11" t="str">
        <f>IF('Extraction edi'!V868&lt;'Feuille commande'!$E$1,"DELAI NON COMPATIBLE",IF('Extraction edi'!V868="","",WORKDAY('Extraction edi'!V868,-10,Paramètrage!$G$2:$G$104)))</f>
        <v/>
      </c>
      <c r="P858" s="1" t="e">
        <f t="shared" si="13"/>
        <v>#VALUE!</v>
      </c>
    </row>
    <row r="859" spans="1:16" x14ac:dyDescent="0.25">
      <c r="A859" s="1" t="str">
        <f>IF(B859="","",CONCATENATE(B859,".",C859,"/Pos ",D859,"/",'Extraction edi'!G869))</f>
        <v/>
      </c>
      <c r="B859" s="1" t="str">
        <f>IF('Extraction edi'!A869="","",'Extraction edi'!A869)</f>
        <v/>
      </c>
      <c r="C859" s="1" t="str">
        <f>IF('Extraction edi'!B869="","",'Extraction edi'!B869)</f>
        <v/>
      </c>
      <c r="D859" s="1" t="str">
        <f>IF('Extraction edi'!H869="","",'Extraction edi'!H869)</f>
        <v/>
      </c>
      <c r="E859" s="1" t="str">
        <f>IF('Extraction edi'!I869="","",'Extraction edi'!I869)</f>
        <v/>
      </c>
      <c r="F859" t="str">
        <f>IF('Extraction edi'!K869="","",'Extraction edi'!K869)</f>
        <v/>
      </c>
      <c r="G859" t="str">
        <f>IF('Extraction edi'!L869="","",'Extraction edi'!L869)</f>
        <v/>
      </c>
      <c r="H859" t="str">
        <f>IF('Extraction edi'!M869="","",'Extraction edi'!M869)</f>
        <v/>
      </c>
      <c r="I859" s="1" t="str">
        <f>IF('Extraction edi'!N869="","",'Extraction edi'!N869)</f>
        <v/>
      </c>
      <c r="J859" s="1" t="str">
        <f>IF('Extraction edi'!O869="","",'Extraction edi'!O869)</f>
        <v/>
      </c>
      <c r="K859" s="1" t="str">
        <f>IF('Extraction edi'!P869="","",'Extraction edi'!P869)</f>
        <v/>
      </c>
      <c r="L859" s="1" t="str">
        <f>IF('Extraction edi'!Q869="laquage RAL :","OUI","")</f>
        <v/>
      </c>
      <c r="M859" s="1" t="str">
        <f>IF('Extraction edi'!R869&lt;&gt;"",'Extraction edi'!R869,IF(G859="ALU blanc","S9016",""))</f>
        <v/>
      </c>
      <c r="N859" s="1" t="str">
        <f>IF('Extraction edi'!S869&lt;&gt;"",'Extraction edi'!S869,IF(G859="ALU blanc","S9016",""))</f>
        <v/>
      </c>
      <c r="O859" s="11" t="str">
        <f>IF('Extraction edi'!V869&lt;'Feuille commande'!$E$1,"DELAI NON COMPATIBLE",IF('Extraction edi'!V869="","",WORKDAY('Extraction edi'!V869,-10,Paramètrage!$G$2:$G$104)))</f>
        <v/>
      </c>
      <c r="P859" s="1" t="e">
        <f t="shared" si="13"/>
        <v>#VALUE!</v>
      </c>
    </row>
    <row r="860" spans="1:16" x14ac:dyDescent="0.25">
      <c r="A860" s="1" t="str">
        <f>IF(B860="","",CONCATENATE(B860,".",C860,"/Pos ",D860,"/",'Extraction edi'!G870))</f>
        <v/>
      </c>
      <c r="B860" s="1" t="str">
        <f>IF('Extraction edi'!A870="","",'Extraction edi'!A870)</f>
        <v/>
      </c>
      <c r="C860" s="1" t="str">
        <f>IF('Extraction edi'!B870="","",'Extraction edi'!B870)</f>
        <v/>
      </c>
      <c r="D860" s="1" t="str">
        <f>IF('Extraction edi'!H870="","",'Extraction edi'!H870)</f>
        <v/>
      </c>
      <c r="E860" s="1" t="str">
        <f>IF('Extraction edi'!I870="","",'Extraction edi'!I870)</f>
        <v/>
      </c>
      <c r="F860" t="str">
        <f>IF('Extraction edi'!K870="","",'Extraction edi'!K870)</f>
        <v/>
      </c>
      <c r="G860" t="str">
        <f>IF('Extraction edi'!L870="","",'Extraction edi'!L870)</f>
        <v/>
      </c>
      <c r="H860" t="str">
        <f>IF('Extraction edi'!M870="","",'Extraction edi'!M870)</f>
        <v/>
      </c>
      <c r="I860" s="1" t="str">
        <f>IF('Extraction edi'!N870="","",'Extraction edi'!N870)</f>
        <v/>
      </c>
      <c r="J860" s="1" t="str">
        <f>IF('Extraction edi'!O870="","",'Extraction edi'!O870)</f>
        <v/>
      </c>
      <c r="K860" s="1" t="str">
        <f>IF('Extraction edi'!P870="","",'Extraction edi'!P870)</f>
        <v/>
      </c>
      <c r="L860" s="1" t="str">
        <f>IF('Extraction edi'!Q870="laquage RAL :","OUI","")</f>
        <v/>
      </c>
      <c r="M860" s="1" t="str">
        <f>IF('Extraction edi'!R870&lt;&gt;"",'Extraction edi'!R870,IF(G860="ALU blanc","S9016",""))</f>
        <v/>
      </c>
      <c r="N860" s="1" t="str">
        <f>IF('Extraction edi'!S870&lt;&gt;"",'Extraction edi'!S870,IF(G860="ALU blanc","S9016",""))</f>
        <v/>
      </c>
      <c r="O860" s="11" t="str">
        <f>IF('Extraction edi'!V870&lt;'Feuille commande'!$E$1,"DELAI NON COMPATIBLE",IF('Extraction edi'!V870="","",WORKDAY('Extraction edi'!V870,-10,Paramètrage!$G$2:$G$104)))</f>
        <v/>
      </c>
      <c r="P860" s="1" t="e">
        <f t="shared" si="13"/>
        <v>#VALUE!</v>
      </c>
    </row>
    <row r="861" spans="1:16" x14ac:dyDescent="0.25">
      <c r="A861" s="1" t="str">
        <f>IF(B861="","",CONCATENATE(B861,".",C861,"/Pos ",D861,"/",'Extraction edi'!G871))</f>
        <v/>
      </c>
      <c r="B861" s="1" t="str">
        <f>IF('Extraction edi'!A871="","",'Extraction edi'!A871)</f>
        <v/>
      </c>
      <c r="C861" s="1" t="str">
        <f>IF('Extraction edi'!B871="","",'Extraction edi'!B871)</f>
        <v/>
      </c>
      <c r="D861" s="1" t="str">
        <f>IF('Extraction edi'!H871="","",'Extraction edi'!H871)</f>
        <v/>
      </c>
      <c r="E861" s="1" t="str">
        <f>IF('Extraction edi'!I871="","",'Extraction edi'!I871)</f>
        <v/>
      </c>
      <c r="F861" t="str">
        <f>IF('Extraction edi'!K871="","",'Extraction edi'!K871)</f>
        <v/>
      </c>
      <c r="G861" t="str">
        <f>IF('Extraction edi'!L871="","",'Extraction edi'!L871)</f>
        <v/>
      </c>
      <c r="H861" t="str">
        <f>IF('Extraction edi'!M871="","",'Extraction edi'!M871)</f>
        <v/>
      </c>
      <c r="I861" s="1" t="str">
        <f>IF('Extraction edi'!N871="","",'Extraction edi'!N871)</f>
        <v/>
      </c>
      <c r="J861" s="1" t="str">
        <f>IF('Extraction edi'!O871="","",'Extraction edi'!O871)</f>
        <v/>
      </c>
      <c r="K861" s="1" t="str">
        <f>IF('Extraction edi'!P871="","",'Extraction edi'!P871)</f>
        <v/>
      </c>
      <c r="L861" s="1" t="str">
        <f>IF('Extraction edi'!Q871="laquage RAL :","OUI","")</f>
        <v/>
      </c>
      <c r="M861" s="1" t="str">
        <f>IF('Extraction edi'!R871&lt;&gt;"",'Extraction edi'!R871,IF(G861="ALU blanc","S9016",""))</f>
        <v/>
      </c>
      <c r="N861" s="1" t="str">
        <f>IF('Extraction edi'!S871&lt;&gt;"",'Extraction edi'!S871,IF(G861="ALU blanc","S9016",""))</f>
        <v/>
      </c>
      <c r="O861" s="11" t="str">
        <f>IF('Extraction edi'!V871&lt;'Feuille commande'!$E$1,"DELAI NON COMPATIBLE",IF('Extraction edi'!V871="","",WORKDAY('Extraction edi'!V871,-10,Paramètrage!$G$2:$G$104)))</f>
        <v/>
      </c>
      <c r="P861" s="1" t="e">
        <f t="shared" si="13"/>
        <v>#VALUE!</v>
      </c>
    </row>
    <row r="862" spans="1:16" x14ac:dyDescent="0.25">
      <c r="A862" s="1" t="str">
        <f>IF(B862="","",CONCATENATE(B862,".",C862,"/Pos ",D862,"/",'Extraction edi'!G872))</f>
        <v/>
      </c>
      <c r="B862" s="1" t="str">
        <f>IF('Extraction edi'!A872="","",'Extraction edi'!A872)</f>
        <v/>
      </c>
      <c r="C862" s="1" t="str">
        <f>IF('Extraction edi'!B872="","",'Extraction edi'!B872)</f>
        <v/>
      </c>
      <c r="D862" s="1" t="str">
        <f>IF('Extraction edi'!H872="","",'Extraction edi'!H872)</f>
        <v/>
      </c>
      <c r="E862" s="1" t="str">
        <f>IF('Extraction edi'!I872="","",'Extraction edi'!I872)</f>
        <v/>
      </c>
      <c r="F862" t="str">
        <f>IF('Extraction edi'!K872="","",'Extraction edi'!K872)</f>
        <v/>
      </c>
      <c r="G862" t="str">
        <f>IF('Extraction edi'!L872="","",'Extraction edi'!L872)</f>
        <v/>
      </c>
      <c r="H862" t="str">
        <f>IF('Extraction edi'!M872="","",'Extraction edi'!M872)</f>
        <v/>
      </c>
      <c r="I862" s="1" t="str">
        <f>IF('Extraction edi'!N872="","",'Extraction edi'!N872)</f>
        <v/>
      </c>
      <c r="J862" s="1" t="str">
        <f>IF('Extraction edi'!O872="","",'Extraction edi'!O872)</f>
        <v/>
      </c>
      <c r="K862" s="1" t="str">
        <f>IF('Extraction edi'!P872="","",'Extraction edi'!P872)</f>
        <v/>
      </c>
      <c r="L862" s="1" t="str">
        <f>IF('Extraction edi'!Q872="laquage RAL :","OUI","")</f>
        <v/>
      </c>
      <c r="M862" s="1" t="str">
        <f>IF('Extraction edi'!R872&lt;&gt;"",'Extraction edi'!R872,IF(G862="ALU blanc","S9016",""))</f>
        <v/>
      </c>
      <c r="N862" s="1" t="str">
        <f>IF('Extraction edi'!S872&lt;&gt;"",'Extraction edi'!S872,IF(G862="ALU blanc","S9016",""))</f>
        <v/>
      </c>
      <c r="O862" s="11" t="str">
        <f>IF('Extraction edi'!V872&lt;'Feuille commande'!$E$1,"DELAI NON COMPATIBLE",IF('Extraction edi'!V872="","",WORKDAY('Extraction edi'!V872,-10,Paramètrage!$G$2:$G$104)))</f>
        <v/>
      </c>
      <c r="P862" s="1" t="e">
        <f t="shared" si="13"/>
        <v>#VALUE!</v>
      </c>
    </row>
    <row r="863" spans="1:16" x14ac:dyDescent="0.25">
      <c r="A863" s="1" t="str">
        <f>IF(B863="","",CONCATENATE(B863,".",C863,"/Pos ",D863,"/",'Extraction edi'!G873))</f>
        <v/>
      </c>
      <c r="B863" s="1" t="str">
        <f>IF('Extraction edi'!A873="","",'Extraction edi'!A873)</f>
        <v/>
      </c>
      <c r="C863" s="1" t="str">
        <f>IF('Extraction edi'!B873="","",'Extraction edi'!B873)</f>
        <v/>
      </c>
      <c r="D863" s="1" t="str">
        <f>IF('Extraction edi'!H873="","",'Extraction edi'!H873)</f>
        <v/>
      </c>
      <c r="E863" s="1" t="str">
        <f>IF('Extraction edi'!I873="","",'Extraction edi'!I873)</f>
        <v/>
      </c>
      <c r="F863" t="str">
        <f>IF('Extraction edi'!K873="","",'Extraction edi'!K873)</f>
        <v/>
      </c>
      <c r="G863" t="str">
        <f>IF('Extraction edi'!L873="","",'Extraction edi'!L873)</f>
        <v/>
      </c>
      <c r="H863" t="str">
        <f>IF('Extraction edi'!M873="","",'Extraction edi'!M873)</f>
        <v/>
      </c>
      <c r="I863" s="1" t="str">
        <f>IF('Extraction edi'!N873="","",'Extraction edi'!N873)</f>
        <v/>
      </c>
      <c r="J863" s="1" t="str">
        <f>IF('Extraction edi'!O873="","",'Extraction edi'!O873)</f>
        <v/>
      </c>
      <c r="K863" s="1" t="str">
        <f>IF('Extraction edi'!P873="","",'Extraction edi'!P873)</f>
        <v/>
      </c>
      <c r="L863" s="1" t="str">
        <f>IF('Extraction edi'!Q873="laquage RAL :","OUI","")</f>
        <v/>
      </c>
      <c r="M863" s="1" t="str">
        <f>IF('Extraction edi'!R873&lt;&gt;"",'Extraction edi'!R873,IF(G863="ALU blanc","S9016",""))</f>
        <v/>
      </c>
      <c r="N863" s="1" t="str">
        <f>IF('Extraction edi'!S873&lt;&gt;"",'Extraction edi'!S873,IF(G863="ALU blanc","S9016",""))</f>
        <v/>
      </c>
      <c r="O863" s="11" t="str">
        <f>IF('Extraction edi'!V873&lt;'Feuille commande'!$E$1,"DELAI NON COMPATIBLE",IF('Extraction edi'!V873="","",WORKDAY('Extraction edi'!V873,-10,Paramètrage!$G$2:$G$104)))</f>
        <v/>
      </c>
      <c r="P863" s="1" t="e">
        <f t="shared" si="13"/>
        <v>#VALUE!</v>
      </c>
    </row>
    <row r="864" spans="1:16" x14ac:dyDescent="0.25">
      <c r="A864" s="1" t="str">
        <f>IF(B864="","",CONCATENATE(B864,".",C864,"/Pos ",D864,"/",'Extraction edi'!G874))</f>
        <v/>
      </c>
      <c r="B864" s="1" t="str">
        <f>IF('Extraction edi'!A874="","",'Extraction edi'!A874)</f>
        <v/>
      </c>
      <c r="C864" s="1" t="str">
        <f>IF('Extraction edi'!B874="","",'Extraction edi'!B874)</f>
        <v/>
      </c>
      <c r="D864" s="1" t="str">
        <f>IF('Extraction edi'!H874="","",'Extraction edi'!H874)</f>
        <v/>
      </c>
      <c r="E864" s="1" t="str">
        <f>IF('Extraction edi'!I874="","",'Extraction edi'!I874)</f>
        <v/>
      </c>
      <c r="F864" t="str">
        <f>IF('Extraction edi'!K874="","",'Extraction edi'!K874)</f>
        <v/>
      </c>
      <c r="G864" t="str">
        <f>IF('Extraction edi'!L874="","",'Extraction edi'!L874)</f>
        <v/>
      </c>
      <c r="H864" t="str">
        <f>IF('Extraction edi'!M874="","",'Extraction edi'!M874)</f>
        <v/>
      </c>
      <c r="I864" s="1" t="str">
        <f>IF('Extraction edi'!N874="","",'Extraction edi'!N874)</f>
        <v/>
      </c>
      <c r="J864" s="1" t="str">
        <f>IF('Extraction edi'!O874="","",'Extraction edi'!O874)</f>
        <v/>
      </c>
      <c r="K864" s="1" t="str">
        <f>IF('Extraction edi'!P874="","",'Extraction edi'!P874)</f>
        <v/>
      </c>
      <c r="L864" s="1" t="str">
        <f>IF('Extraction edi'!Q874="laquage RAL :","OUI","")</f>
        <v/>
      </c>
      <c r="M864" s="1" t="str">
        <f>IF('Extraction edi'!R874&lt;&gt;"",'Extraction edi'!R874,IF(G864="ALU blanc","S9016",""))</f>
        <v/>
      </c>
      <c r="N864" s="1" t="str">
        <f>IF('Extraction edi'!S874&lt;&gt;"",'Extraction edi'!S874,IF(G864="ALU blanc","S9016",""))</f>
        <v/>
      </c>
      <c r="O864" s="11" t="str">
        <f>IF('Extraction edi'!V874&lt;'Feuille commande'!$E$1,"DELAI NON COMPATIBLE",IF('Extraction edi'!V874="","",WORKDAY('Extraction edi'!V874,-10,Paramètrage!$G$2:$G$104)))</f>
        <v/>
      </c>
      <c r="P864" s="1" t="e">
        <f t="shared" si="13"/>
        <v>#VALUE!</v>
      </c>
    </row>
    <row r="865" spans="1:16" x14ac:dyDescent="0.25">
      <c r="A865" s="1" t="str">
        <f>IF(B865="","",CONCATENATE(B865,".",C865,"/Pos ",D865,"/",'Extraction edi'!G875))</f>
        <v/>
      </c>
      <c r="B865" s="1" t="str">
        <f>IF('Extraction edi'!A875="","",'Extraction edi'!A875)</f>
        <v/>
      </c>
      <c r="C865" s="1" t="str">
        <f>IF('Extraction edi'!B875="","",'Extraction edi'!B875)</f>
        <v/>
      </c>
      <c r="D865" s="1" t="str">
        <f>IF('Extraction edi'!H875="","",'Extraction edi'!H875)</f>
        <v/>
      </c>
      <c r="E865" s="1" t="str">
        <f>IF('Extraction edi'!I875="","",'Extraction edi'!I875)</f>
        <v/>
      </c>
      <c r="F865" t="str">
        <f>IF('Extraction edi'!K875="","",'Extraction edi'!K875)</f>
        <v/>
      </c>
      <c r="G865" t="str">
        <f>IF('Extraction edi'!L875="","",'Extraction edi'!L875)</f>
        <v/>
      </c>
      <c r="H865" t="str">
        <f>IF('Extraction edi'!M875="","",'Extraction edi'!M875)</f>
        <v/>
      </c>
      <c r="I865" s="1" t="str">
        <f>IF('Extraction edi'!N875="","",'Extraction edi'!N875)</f>
        <v/>
      </c>
      <c r="J865" s="1" t="str">
        <f>IF('Extraction edi'!O875="","",'Extraction edi'!O875)</f>
        <v/>
      </c>
      <c r="K865" s="1" t="str">
        <f>IF('Extraction edi'!P875="","",'Extraction edi'!P875)</f>
        <v/>
      </c>
      <c r="L865" s="1" t="str">
        <f>IF('Extraction edi'!Q875="laquage RAL :","OUI","")</f>
        <v/>
      </c>
      <c r="M865" s="1" t="str">
        <f>IF('Extraction edi'!R875&lt;&gt;"",'Extraction edi'!R875,IF(G865="ALU blanc","S9016",""))</f>
        <v/>
      </c>
      <c r="N865" s="1" t="str">
        <f>IF('Extraction edi'!S875&lt;&gt;"",'Extraction edi'!S875,IF(G865="ALU blanc","S9016",""))</f>
        <v/>
      </c>
      <c r="O865" s="11" t="str">
        <f>IF('Extraction edi'!V875&lt;'Feuille commande'!$E$1,"DELAI NON COMPATIBLE",IF('Extraction edi'!V875="","",WORKDAY('Extraction edi'!V875,-10,Paramètrage!$G$2:$G$104)))</f>
        <v/>
      </c>
      <c r="P865" s="1" t="e">
        <f t="shared" si="13"/>
        <v>#VALUE!</v>
      </c>
    </row>
    <row r="866" spans="1:16" x14ac:dyDescent="0.25">
      <c r="A866" s="1" t="str">
        <f>IF(B866="","",CONCATENATE(B866,".",C866,"/Pos ",D866,"/",'Extraction edi'!G876))</f>
        <v/>
      </c>
      <c r="B866" s="1" t="str">
        <f>IF('Extraction edi'!A876="","",'Extraction edi'!A876)</f>
        <v/>
      </c>
      <c r="C866" s="1" t="str">
        <f>IF('Extraction edi'!B876="","",'Extraction edi'!B876)</f>
        <v/>
      </c>
      <c r="D866" s="1" t="str">
        <f>IF('Extraction edi'!H876="","",'Extraction edi'!H876)</f>
        <v/>
      </c>
      <c r="E866" s="1" t="str">
        <f>IF('Extraction edi'!I876="","",'Extraction edi'!I876)</f>
        <v/>
      </c>
      <c r="F866" t="str">
        <f>IF('Extraction edi'!K876="","",'Extraction edi'!K876)</f>
        <v/>
      </c>
      <c r="G866" t="str">
        <f>IF('Extraction edi'!L876="","",'Extraction edi'!L876)</f>
        <v/>
      </c>
      <c r="H866" t="str">
        <f>IF('Extraction edi'!M876="","",'Extraction edi'!M876)</f>
        <v/>
      </c>
      <c r="I866" s="1" t="str">
        <f>IF('Extraction edi'!N876="","",'Extraction edi'!N876)</f>
        <v/>
      </c>
      <c r="J866" s="1" t="str">
        <f>IF('Extraction edi'!O876="","",'Extraction edi'!O876)</f>
        <v/>
      </c>
      <c r="K866" s="1" t="str">
        <f>IF('Extraction edi'!P876="","",'Extraction edi'!P876)</f>
        <v/>
      </c>
      <c r="L866" s="1" t="str">
        <f>IF('Extraction edi'!Q876="laquage RAL :","OUI","")</f>
        <v/>
      </c>
      <c r="M866" s="1" t="str">
        <f>IF('Extraction edi'!R876&lt;&gt;"",'Extraction edi'!R876,IF(G866="ALU blanc","S9016",""))</f>
        <v/>
      </c>
      <c r="N866" s="1" t="str">
        <f>IF('Extraction edi'!S876&lt;&gt;"",'Extraction edi'!S876,IF(G866="ALU blanc","S9016",""))</f>
        <v/>
      </c>
      <c r="O866" s="11" t="str">
        <f>IF('Extraction edi'!V876&lt;'Feuille commande'!$E$1,"DELAI NON COMPATIBLE",IF('Extraction edi'!V876="","",WORKDAY('Extraction edi'!V876,-10,Paramètrage!$G$2:$G$104)))</f>
        <v/>
      </c>
      <c r="P866" s="1" t="e">
        <f t="shared" si="13"/>
        <v>#VALUE!</v>
      </c>
    </row>
    <row r="867" spans="1:16" x14ac:dyDescent="0.25">
      <c r="A867" s="1" t="str">
        <f>IF(B867="","",CONCATENATE(B867,".",C867,"/Pos ",D867,"/",'Extraction edi'!G877))</f>
        <v/>
      </c>
      <c r="B867" s="1" t="str">
        <f>IF('Extraction edi'!A877="","",'Extraction edi'!A877)</f>
        <v/>
      </c>
      <c r="C867" s="1" t="str">
        <f>IF('Extraction edi'!B877="","",'Extraction edi'!B877)</f>
        <v/>
      </c>
      <c r="D867" s="1" t="str">
        <f>IF('Extraction edi'!H877="","",'Extraction edi'!H877)</f>
        <v/>
      </c>
      <c r="E867" s="1" t="str">
        <f>IF('Extraction edi'!I877="","",'Extraction edi'!I877)</f>
        <v/>
      </c>
      <c r="F867" t="str">
        <f>IF('Extraction edi'!K877="","",'Extraction edi'!K877)</f>
        <v/>
      </c>
      <c r="G867" t="str">
        <f>IF('Extraction edi'!L877="","",'Extraction edi'!L877)</f>
        <v/>
      </c>
      <c r="H867" t="str">
        <f>IF('Extraction edi'!M877="","",'Extraction edi'!M877)</f>
        <v/>
      </c>
      <c r="I867" s="1" t="str">
        <f>IF('Extraction edi'!N877="","",'Extraction edi'!N877)</f>
        <v/>
      </c>
      <c r="J867" s="1" t="str">
        <f>IF('Extraction edi'!O877="","",'Extraction edi'!O877)</f>
        <v/>
      </c>
      <c r="K867" s="1" t="str">
        <f>IF('Extraction edi'!P877="","",'Extraction edi'!P877)</f>
        <v/>
      </c>
      <c r="L867" s="1" t="str">
        <f>IF('Extraction edi'!Q877="laquage RAL :","OUI","")</f>
        <v/>
      </c>
      <c r="M867" s="1" t="str">
        <f>IF('Extraction edi'!R877&lt;&gt;"",'Extraction edi'!R877,IF(G867="ALU blanc","S9016",""))</f>
        <v/>
      </c>
      <c r="N867" s="1" t="str">
        <f>IF('Extraction edi'!S877&lt;&gt;"",'Extraction edi'!S877,IF(G867="ALU blanc","S9016",""))</f>
        <v/>
      </c>
      <c r="O867" s="11" t="str">
        <f>IF('Extraction edi'!V877&lt;'Feuille commande'!$E$1,"DELAI NON COMPATIBLE",IF('Extraction edi'!V877="","",WORKDAY('Extraction edi'!V877,-10,Paramètrage!$G$2:$G$104)))</f>
        <v/>
      </c>
      <c r="P867" s="1" t="e">
        <f t="shared" si="13"/>
        <v>#VALUE!</v>
      </c>
    </row>
    <row r="868" spans="1:16" x14ac:dyDescent="0.25">
      <c r="A868" s="1" t="e">
        <f>IF(#REF!="","",CONCATENATE(#REF!," / pos ",#REF!," / Secteur : ",'Extraction edi'!#REF!," / APPROLIGNE : ",WEEKNUM('Extraction edi'!H878)))</f>
        <v>#REF!</v>
      </c>
      <c r="B868" s="1" t="str">
        <f>IF('Extraction edi'!A878="","",'Extraction edi'!A878)</f>
        <v/>
      </c>
      <c r="C868" s="1" t="str">
        <f>IF('Extraction edi'!B878="","",'Extraction edi'!B878)</f>
        <v/>
      </c>
      <c r="D868" s="1" t="str">
        <f>IF('Extraction edi'!H878="","",'Extraction edi'!H878)</f>
        <v/>
      </c>
      <c r="E868" s="1" t="str">
        <f>IF('Extraction edi'!I878="","",'Extraction edi'!I878)</f>
        <v/>
      </c>
      <c r="F868" t="str">
        <f>IF('Extraction edi'!K878="","",'Extraction edi'!K878)</f>
        <v/>
      </c>
      <c r="G868" t="str">
        <f>IF('Extraction edi'!L878="","",'Extraction edi'!L878)</f>
        <v/>
      </c>
      <c r="H868" t="str">
        <f>IF('Extraction edi'!M878="","",'Extraction edi'!M878)</f>
        <v/>
      </c>
      <c r="I868" s="1" t="str">
        <f>IF('Extraction edi'!N878="","",'Extraction edi'!N878)</f>
        <v/>
      </c>
      <c r="J868" s="1" t="str">
        <f>IF('Extraction edi'!O878="","",'Extraction edi'!O878)</f>
        <v/>
      </c>
      <c r="K868" s="1" t="str">
        <f>IF('Extraction edi'!P878="","",'Extraction edi'!P878)</f>
        <v/>
      </c>
      <c r="L868" s="1" t="str">
        <f>IF('Extraction edi'!Q878="laquage RAL :","OUI","")</f>
        <v/>
      </c>
      <c r="M868" s="1" t="str">
        <f>IF('Extraction edi'!R878&lt;&gt;"",'Extraction edi'!R878,IF(G868="ALU blanc","S9016",""))</f>
        <v/>
      </c>
      <c r="N868" s="1" t="str">
        <f>IF('Extraction edi'!S878&lt;&gt;"",'Extraction edi'!S878,IF(G868="ALU blanc","S9016",""))</f>
        <v/>
      </c>
      <c r="O868" s="11" t="str">
        <f>IF('Extraction edi'!V878&lt;'Feuille commande'!$E$1,"DELAI NON COMPATIBLE",IF('Extraction edi'!V878="","",WORKDAY('Extraction edi'!V878,-10,Paramètrage!$G$2:$G$104)))</f>
        <v/>
      </c>
      <c r="P868" s="1" t="e">
        <f t="shared" si="13"/>
        <v>#VALUE!</v>
      </c>
    </row>
    <row r="869" spans="1:16" x14ac:dyDescent="0.25">
      <c r="A869" s="1" t="e">
        <f>IF(#REF!="","",CONCATENATE(#REF!," / pos ",#REF!," / Secteur : ",'Extraction edi'!#REF!," / APPROLIGNE : ",WEEKNUM('Extraction edi'!H879)))</f>
        <v>#REF!</v>
      </c>
      <c r="B869" s="1" t="str">
        <f>IF('Extraction edi'!A879="","",'Extraction edi'!A879)</f>
        <v/>
      </c>
      <c r="C869" s="1" t="str">
        <f>IF('Extraction edi'!B879="","",'Extraction edi'!B879)</f>
        <v/>
      </c>
      <c r="D869" s="1" t="str">
        <f>IF('Extraction edi'!H879="","",'Extraction edi'!H879)</f>
        <v/>
      </c>
      <c r="E869" s="1" t="str">
        <f>IF('Extraction edi'!I879="","",'Extraction edi'!I879)</f>
        <v/>
      </c>
      <c r="F869" t="str">
        <f>IF('Extraction edi'!K879="","",'Extraction edi'!K879)</f>
        <v/>
      </c>
      <c r="G869" t="str">
        <f>IF('Extraction edi'!L879="","",'Extraction edi'!L879)</f>
        <v/>
      </c>
      <c r="H869" t="str">
        <f>IF('Extraction edi'!M879="","",'Extraction edi'!M879)</f>
        <v/>
      </c>
      <c r="I869" s="1" t="str">
        <f>IF('Extraction edi'!N879="","",'Extraction edi'!N879)</f>
        <v/>
      </c>
      <c r="J869" s="1" t="str">
        <f>IF('Extraction edi'!O879="","",'Extraction edi'!O879)</f>
        <v/>
      </c>
      <c r="K869" s="1" t="str">
        <f>IF('Extraction edi'!P879="","",'Extraction edi'!P879)</f>
        <v/>
      </c>
      <c r="L869" s="1" t="str">
        <f>IF('Extraction edi'!Q879="laquage RAL :","OUI","")</f>
        <v/>
      </c>
      <c r="M869" s="1" t="str">
        <f>IF('Extraction edi'!R879&lt;&gt;"",'Extraction edi'!R879,IF(G869="ALU blanc","S9016",""))</f>
        <v/>
      </c>
      <c r="N869" s="1" t="str">
        <f>IF('Extraction edi'!S879&lt;&gt;"",'Extraction edi'!S879,IF(G869="ALU blanc","S9016",""))</f>
        <v/>
      </c>
      <c r="O869" s="11" t="str">
        <f>IF('Extraction edi'!V879&lt;'Feuille commande'!$E$1,"DELAI NON COMPATIBLE",IF('Extraction edi'!V879="","",WORKDAY('Extraction edi'!V879,-10,Paramètrage!$G$2:$G$104)))</f>
        <v/>
      </c>
      <c r="P869" s="1" t="e">
        <f t="shared" si="13"/>
        <v>#VALUE!</v>
      </c>
    </row>
    <row r="870" spans="1:16" x14ac:dyDescent="0.25">
      <c r="A870" s="1" t="e">
        <f>IF(#REF!="","",CONCATENATE(#REF!," / pos ",#REF!," / Secteur : ",'Extraction edi'!#REF!," / APPROLIGNE : ",WEEKNUM('Extraction edi'!H880)))</f>
        <v>#REF!</v>
      </c>
      <c r="B870" s="1" t="str">
        <f>IF('Extraction edi'!A880="","",'Extraction edi'!A880)</f>
        <v/>
      </c>
      <c r="C870" s="1" t="str">
        <f>IF('Extraction edi'!B880="","",'Extraction edi'!B880)</f>
        <v/>
      </c>
      <c r="D870" s="1" t="str">
        <f>IF('Extraction edi'!H880="","",'Extraction edi'!H880)</f>
        <v/>
      </c>
      <c r="E870" s="1" t="str">
        <f>IF('Extraction edi'!I880="","",'Extraction edi'!I880)</f>
        <v/>
      </c>
      <c r="F870" t="str">
        <f>IF('Extraction edi'!K880="","",'Extraction edi'!K880)</f>
        <v/>
      </c>
      <c r="G870" t="str">
        <f>IF('Extraction edi'!L880="","",'Extraction edi'!L880)</f>
        <v/>
      </c>
      <c r="H870" t="str">
        <f>IF('Extraction edi'!M880="","",'Extraction edi'!M880)</f>
        <v/>
      </c>
      <c r="I870" s="1" t="str">
        <f>IF('Extraction edi'!N880="","",'Extraction edi'!N880)</f>
        <v/>
      </c>
      <c r="J870" s="1" t="str">
        <f>IF('Extraction edi'!O880="","",'Extraction edi'!O880)</f>
        <v/>
      </c>
      <c r="K870" s="1" t="str">
        <f>IF('Extraction edi'!P880="","",'Extraction edi'!P880)</f>
        <v/>
      </c>
      <c r="L870" s="1" t="str">
        <f>IF('Extraction edi'!Q880="laquage RAL :","OUI","")</f>
        <v/>
      </c>
      <c r="M870" s="1" t="str">
        <f>IF('Extraction edi'!R880&lt;&gt;"",'Extraction edi'!R880,IF(G870="ALU blanc","S9016",""))</f>
        <v/>
      </c>
      <c r="N870" s="1" t="str">
        <f>IF('Extraction edi'!S880&lt;&gt;"",'Extraction edi'!S880,IF(G870="ALU blanc","S9016",""))</f>
        <v/>
      </c>
      <c r="O870" s="11" t="str">
        <f>IF('Extraction edi'!V880&lt;'Feuille commande'!$E$1,"DELAI NON COMPATIBLE",IF('Extraction edi'!V880="","",WORKDAY('Extraction edi'!V880,-10,Paramètrage!$G$2:$G$104)))</f>
        <v/>
      </c>
      <c r="P870" s="1" t="e">
        <f t="shared" si="13"/>
        <v>#VALUE!</v>
      </c>
    </row>
    <row r="871" spans="1:16" x14ac:dyDescent="0.25">
      <c r="A871" s="1" t="e">
        <f>IF(#REF!="","",CONCATENATE(#REF!," / pos ",#REF!," / Secteur : ",'Extraction edi'!#REF!," / APPROLIGNE : ",WEEKNUM('Extraction edi'!H881)))</f>
        <v>#REF!</v>
      </c>
      <c r="B871" s="1" t="str">
        <f>IF('Extraction edi'!A881="","",'Extraction edi'!A881)</f>
        <v/>
      </c>
      <c r="C871" s="1" t="str">
        <f>IF('Extraction edi'!B881="","",'Extraction edi'!B881)</f>
        <v/>
      </c>
      <c r="D871" s="1" t="str">
        <f>IF('Extraction edi'!H881="","",'Extraction edi'!H881)</f>
        <v/>
      </c>
      <c r="E871" s="1" t="str">
        <f>IF('Extraction edi'!I881="","",'Extraction edi'!I881)</f>
        <v/>
      </c>
      <c r="F871" t="str">
        <f>IF('Extraction edi'!K881="","",'Extraction edi'!K881)</f>
        <v/>
      </c>
      <c r="G871" t="str">
        <f>IF('Extraction edi'!L881="","",'Extraction edi'!L881)</f>
        <v/>
      </c>
      <c r="H871" t="str">
        <f>IF('Extraction edi'!M881="","",'Extraction edi'!M881)</f>
        <v/>
      </c>
      <c r="I871" s="1" t="str">
        <f>IF('Extraction edi'!N881="","",'Extraction edi'!N881)</f>
        <v/>
      </c>
      <c r="J871" s="1" t="str">
        <f>IF('Extraction edi'!O881="","",'Extraction edi'!O881)</f>
        <v/>
      </c>
      <c r="K871" s="1" t="str">
        <f>IF('Extraction edi'!P881="","",'Extraction edi'!P881)</f>
        <v/>
      </c>
      <c r="L871" s="1" t="str">
        <f>IF('Extraction edi'!Q881="laquage RAL :","OUI","")</f>
        <v/>
      </c>
      <c r="M871" s="1" t="str">
        <f>IF('Extraction edi'!R881&lt;&gt;"",'Extraction edi'!R881,IF(G871="ALU blanc","S9016",""))</f>
        <v/>
      </c>
      <c r="N871" s="1" t="str">
        <f>IF('Extraction edi'!S881&lt;&gt;"",'Extraction edi'!S881,IF(G871="ALU blanc","S9016",""))</f>
        <v/>
      </c>
      <c r="O871" s="11" t="str">
        <f>IF('Extraction edi'!V881&lt;'Feuille commande'!$E$1,"DELAI NON COMPATIBLE",IF('Extraction edi'!V881="","",WORKDAY('Extraction edi'!V881,-10,Paramètrage!$G$2:$G$104)))</f>
        <v/>
      </c>
      <c r="P871" s="1" t="e">
        <f t="shared" si="13"/>
        <v>#VALUE!</v>
      </c>
    </row>
    <row r="872" spans="1:16" x14ac:dyDescent="0.25">
      <c r="A872" s="1" t="e">
        <f>IF(#REF!="","",CONCATENATE(#REF!," / pos ",#REF!," / Secteur : ",'Extraction edi'!#REF!," / APPROLIGNE : ",WEEKNUM('Extraction edi'!H882)))</f>
        <v>#REF!</v>
      </c>
      <c r="B872" s="1" t="str">
        <f>IF('Extraction edi'!A882="","",'Extraction edi'!A882)</f>
        <v/>
      </c>
      <c r="C872" s="1" t="str">
        <f>IF('Extraction edi'!B882="","",'Extraction edi'!B882)</f>
        <v/>
      </c>
      <c r="D872" s="1" t="str">
        <f>IF('Extraction edi'!H882="","",'Extraction edi'!H882)</f>
        <v/>
      </c>
      <c r="E872" s="1" t="str">
        <f>IF('Extraction edi'!I882="","",'Extraction edi'!I882)</f>
        <v/>
      </c>
      <c r="F872" t="str">
        <f>IF('Extraction edi'!K882="","",'Extraction edi'!K882)</f>
        <v/>
      </c>
      <c r="G872" t="str">
        <f>IF('Extraction edi'!L882="","",'Extraction edi'!L882)</f>
        <v/>
      </c>
      <c r="H872" t="str">
        <f>IF('Extraction edi'!M882="","",'Extraction edi'!M882)</f>
        <v/>
      </c>
      <c r="I872" s="1" t="str">
        <f>IF('Extraction edi'!N882="","",'Extraction edi'!N882)</f>
        <v/>
      </c>
      <c r="J872" s="1" t="str">
        <f>IF('Extraction edi'!O882="","",'Extraction edi'!O882)</f>
        <v/>
      </c>
      <c r="K872" s="1" t="str">
        <f>IF('Extraction edi'!P882="","",'Extraction edi'!P882)</f>
        <v/>
      </c>
      <c r="L872" s="1" t="str">
        <f>IF('Extraction edi'!Q882="laquage RAL :","OUI","")</f>
        <v/>
      </c>
      <c r="M872" s="1" t="str">
        <f>IF('Extraction edi'!R882&lt;&gt;"",'Extraction edi'!R882,IF(G872="ALU blanc","S9016",""))</f>
        <v/>
      </c>
      <c r="N872" s="1" t="str">
        <f>IF('Extraction edi'!S882&lt;&gt;"",'Extraction edi'!S882,IF(G872="ALU blanc","S9016",""))</f>
        <v/>
      </c>
      <c r="O872" s="11" t="str">
        <f>IF('Extraction edi'!V882&lt;'Feuille commande'!$E$1,"DELAI NON COMPATIBLE",IF('Extraction edi'!V882="","",WORKDAY('Extraction edi'!V882,-10,Paramètrage!$G$2:$G$104)))</f>
        <v/>
      </c>
      <c r="P872" s="1" t="e">
        <f t="shared" si="13"/>
        <v>#VALUE!</v>
      </c>
    </row>
    <row r="873" spans="1:16" x14ac:dyDescent="0.25">
      <c r="A873" s="1" t="e">
        <f>IF(#REF!="","",CONCATENATE(#REF!," / pos ",#REF!," / Secteur : ",'Extraction edi'!#REF!," / APPROLIGNE : ",WEEKNUM('Extraction edi'!H883)))</f>
        <v>#REF!</v>
      </c>
      <c r="B873" s="1" t="str">
        <f>IF('Extraction edi'!A883="","",'Extraction edi'!A883)</f>
        <v/>
      </c>
      <c r="C873" s="1" t="str">
        <f>IF('Extraction edi'!B883="","",'Extraction edi'!B883)</f>
        <v/>
      </c>
      <c r="D873" s="1" t="str">
        <f>IF('Extraction edi'!H883="","",'Extraction edi'!H883)</f>
        <v/>
      </c>
      <c r="E873" s="1" t="str">
        <f>IF('Extraction edi'!I883="","",'Extraction edi'!I883)</f>
        <v/>
      </c>
      <c r="F873" t="str">
        <f>IF('Extraction edi'!K883="","",'Extraction edi'!K883)</f>
        <v/>
      </c>
      <c r="G873" t="str">
        <f>IF('Extraction edi'!L883="","",'Extraction edi'!L883)</f>
        <v/>
      </c>
      <c r="H873" t="str">
        <f>IF('Extraction edi'!M883="","",'Extraction edi'!M883)</f>
        <v/>
      </c>
      <c r="I873" s="1" t="str">
        <f>IF('Extraction edi'!N883="","",'Extraction edi'!N883)</f>
        <v/>
      </c>
      <c r="J873" s="1" t="str">
        <f>IF('Extraction edi'!O883="","",'Extraction edi'!O883)</f>
        <v/>
      </c>
      <c r="K873" s="1" t="str">
        <f>IF('Extraction edi'!P883="","",'Extraction edi'!P883)</f>
        <v/>
      </c>
      <c r="L873" s="1" t="str">
        <f>IF('Extraction edi'!Q883="laquage RAL :","OUI","")</f>
        <v/>
      </c>
      <c r="M873" s="1" t="str">
        <f>IF('Extraction edi'!R883&lt;&gt;"",'Extraction edi'!R883,IF(G873="ALU blanc","S9016",""))</f>
        <v/>
      </c>
      <c r="N873" s="1" t="str">
        <f>IF('Extraction edi'!S883&lt;&gt;"",'Extraction edi'!S883,IF(G873="ALU blanc","S9016",""))</f>
        <v/>
      </c>
      <c r="O873" s="11" t="str">
        <f>IF('Extraction edi'!V883&lt;'Feuille commande'!$E$1,"DELAI NON COMPATIBLE",IF('Extraction edi'!V883="","",WORKDAY('Extraction edi'!V883,-10,Paramètrage!$G$2:$G$104)))</f>
        <v/>
      </c>
      <c r="P873" s="1" t="e">
        <f t="shared" si="13"/>
        <v>#VALUE!</v>
      </c>
    </row>
    <row r="874" spans="1:16" x14ac:dyDescent="0.25">
      <c r="A874" s="1" t="e">
        <f>IF(#REF!="","",CONCATENATE(#REF!," / pos ",#REF!," / Secteur : ",'Extraction edi'!#REF!," / APPROLIGNE : ",WEEKNUM('Extraction edi'!H884)))</f>
        <v>#REF!</v>
      </c>
      <c r="B874" s="1" t="str">
        <f>IF('Extraction edi'!A884="","",'Extraction edi'!A884)</f>
        <v/>
      </c>
      <c r="C874" s="1" t="str">
        <f>IF('Extraction edi'!B884="","",'Extraction edi'!B884)</f>
        <v/>
      </c>
      <c r="D874" s="1" t="str">
        <f>IF('Extraction edi'!H884="","",'Extraction edi'!H884)</f>
        <v/>
      </c>
      <c r="E874" s="1" t="str">
        <f>IF('Extraction edi'!I884="","",'Extraction edi'!I884)</f>
        <v/>
      </c>
      <c r="F874" t="str">
        <f>IF('Extraction edi'!K884="","",'Extraction edi'!K884)</f>
        <v/>
      </c>
      <c r="G874" t="str">
        <f>IF('Extraction edi'!L884="","",'Extraction edi'!L884)</f>
        <v/>
      </c>
      <c r="H874" t="str">
        <f>IF('Extraction edi'!M884="","",'Extraction edi'!M884)</f>
        <v/>
      </c>
      <c r="I874" s="1" t="str">
        <f>IF('Extraction edi'!N884="","",'Extraction edi'!N884)</f>
        <v/>
      </c>
      <c r="J874" s="1" t="str">
        <f>IF('Extraction edi'!O884="","",'Extraction edi'!O884)</f>
        <v/>
      </c>
      <c r="K874" s="1" t="str">
        <f>IF('Extraction edi'!P884="","",'Extraction edi'!P884)</f>
        <v/>
      </c>
      <c r="L874" s="1" t="str">
        <f>IF('Extraction edi'!Q884="laquage RAL :","OUI","")</f>
        <v/>
      </c>
      <c r="M874" s="1" t="str">
        <f>IF('Extraction edi'!R884&lt;&gt;"",'Extraction edi'!R884,IF(G874="ALU blanc","S9016",""))</f>
        <v/>
      </c>
      <c r="N874" s="1" t="str">
        <f>IF('Extraction edi'!S884&lt;&gt;"",'Extraction edi'!S884,IF(G874="ALU blanc","S9016",""))</f>
        <v/>
      </c>
      <c r="O874" s="11" t="str">
        <f>IF('Extraction edi'!V884&lt;'Feuille commande'!$E$1,"DELAI NON COMPATIBLE",IF('Extraction edi'!V884="","",WORKDAY('Extraction edi'!V884,-10,Paramètrage!$G$2:$G$104)))</f>
        <v/>
      </c>
      <c r="P874" s="1" t="e">
        <f t="shared" si="13"/>
        <v>#VALUE!</v>
      </c>
    </row>
    <row r="875" spans="1:16" x14ac:dyDescent="0.25">
      <c r="A875" s="1" t="e">
        <f>IF(#REF!="","",CONCATENATE(#REF!," / pos ",#REF!," / Secteur : ",'Extraction edi'!#REF!," / APPROLIGNE : ",WEEKNUM('Extraction edi'!H885)))</f>
        <v>#REF!</v>
      </c>
      <c r="B875" s="1" t="str">
        <f>IF('Extraction edi'!A885="","",'Extraction edi'!A885)</f>
        <v/>
      </c>
      <c r="C875" s="1" t="str">
        <f>IF('Extraction edi'!B885="","",'Extraction edi'!B885)</f>
        <v/>
      </c>
      <c r="D875" s="1" t="str">
        <f>IF('Extraction edi'!H885="","",'Extraction edi'!H885)</f>
        <v/>
      </c>
      <c r="E875" s="1" t="str">
        <f>IF('Extraction edi'!I885="","",'Extraction edi'!I885)</f>
        <v/>
      </c>
      <c r="F875" t="str">
        <f>IF('Extraction edi'!K885="","",'Extraction edi'!K885)</f>
        <v/>
      </c>
      <c r="G875" t="str">
        <f>IF('Extraction edi'!L885="","",'Extraction edi'!L885)</f>
        <v/>
      </c>
      <c r="H875" t="str">
        <f>IF('Extraction edi'!M885="","",'Extraction edi'!M885)</f>
        <v/>
      </c>
      <c r="I875" s="1" t="str">
        <f>IF('Extraction edi'!N885="","",'Extraction edi'!N885)</f>
        <v/>
      </c>
      <c r="J875" s="1" t="str">
        <f>IF('Extraction edi'!O885="","",'Extraction edi'!O885)</f>
        <v/>
      </c>
      <c r="K875" s="1" t="str">
        <f>IF('Extraction edi'!P885="","",'Extraction edi'!P885)</f>
        <v/>
      </c>
      <c r="L875" s="1" t="str">
        <f>IF('Extraction edi'!Q885="laquage RAL :","OUI","")</f>
        <v/>
      </c>
      <c r="M875" s="1" t="str">
        <f>IF('Extraction edi'!R885&lt;&gt;"",'Extraction edi'!R885,IF(G875="ALU blanc","S9016",""))</f>
        <v/>
      </c>
      <c r="N875" s="1" t="str">
        <f>IF('Extraction edi'!S885&lt;&gt;"",'Extraction edi'!S885,IF(G875="ALU blanc","S9016",""))</f>
        <v/>
      </c>
      <c r="O875" s="11" t="str">
        <f>IF('Extraction edi'!V885&lt;'Feuille commande'!$E$1,"DELAI NON COMPATIBLE",IF('Extraction edi'!V885="","",WORKDAY('Extraction edi'!V885,-10,Paramètrage!$G$2:$G$104)))</f>
        <v/>
      </c>
      <c r="P875" s="1" t="e">
        <f t="shared" si="13"/>
        <v>#VALUE!</v>
      </c>
    </row>
    <row r="876" spans="1:16" x14ac:dyDescent="0.25">
      <c r="A876" s="1" t="e">
        <f>IF(#REF!="","",CONCATENATE(#REF!," / pos ",#REF!," / Secteur : ",'Extraction edi'!#REF!," / APPROLIGNE : ",WEEKNUM('Extraction edi'!H886)))</f>
        <v>#REF!</v>
      </c>
      <c r="B876" s="1" t="str">
        <f>IF('Extraction edi'!A886="","",'Extraction edi'!A886)</f>
        <v/>
      </c>
      <c r="C876" s="1" t="str">
        <f>IF('Extraction edi'!B886="","",'Extraction edi'!B886)</f>
        <v/>
      </c>
      <c r="D876" s="1" t="str">
        <f>IF('Extraction edi'!H886="","",'Extraction edi'!H886)</f>
        <v/>
      </c>
      <c r="E876" s="1" t="str">
        <f>IF('Extraction edi'!I886="","",'Extraction edi'!I886)</f>
        <v/>
      </c>
      <c r="F876" t="str">
        <f>IF('Extraction edi'!K886="","",'Extraction edi'!K886)</f>
        <v/>
      </c>
      <c r="G876" t="str">
        <f>IF('Extraction edi'!L886="","",'Extraction edi'!L886)</f>
        <v/>
      </c>
      <c r="H876" t="str">
        <f>IF('Extraction edi'!M886="","",'Extraction edi'!M886)</f>
        <v/>
      </c>
      <c r="I876" s="1" t="str">
        <f>IF('Extraction edi'!N886="","",'Extraction edi'!N886)</f>
        <v/>
      </c>
      <c r="J876" s="1" t="str">
        <f>IF('Extraction edi'!O886="","",'Extraction edi'!O886)</f>
        <v/>
      </c>
      <c r="K876" s="1" t="str">
        <f>IF('Extraction edi'!P886="","",'Extraction edi'!P886)</f>
        <v/>
      </c>
      <c r="L876" s="1" t="str">
        <f>IF('Extraction edi'!Q886="laquage RAL :","OUI","")</f>
        <v/>
      </c>
      <c r="M876" s="1" t="str">
        <f>IF('Extraction edi'!R886&lt;&gt;"",'Extraction edi'!R886,IF(G876="ALU blanc","S9016",""))</f>
        <v/>
      </c>
      <c r="N876" s="1" t="str">
        <f>IF('Extraction edi'!S886&lt;&gt;"",'Extraction edi'!S886,IF(G876="ALU blanc","S9016",""))</f>
        <v/>
      </c>
      <c r="O876" s="11" t="str">
        <f>IF('Extraction edi'!V886&lt;'Feuille commande'!$E$1,"DELAI NON COMPATIBLE",IF('Extraction edi'!V886="","",WORKDAY('Extraction edi'!V886,-10,Paramètrage!$G$2:$G$104)))</f>
        <v/>
      </c>
      <c r="P876" s="1" t="e">
        <f t="shared" si="13"/>
        <v>#VALUE!</v>
      </c>
    </row>
    <row r="877" spans="1:16" x14ac:dyDescent="0.25">
      <c r="A877" s="1" t="e">
        <f>IF(#REF!="","",CONCATENATE(#REF!," / pos ",#REF!," / Secteur : ",'Extraction edi'!#REF!," / APPROLIGNE : ",WEEKNUM('Extraction edi'!H887)))</f>
        <v>#REF!</v>
      </c>
      <c r="B877" s="1" t="str">
        <f>IF('Extraction edi'!A887="","",'Extraction edi'!A887)</f>
        <v/>
      </c>
      <c r="C877" s="1" t="str">
        <f>IF('Extraction edi'!B887="","",'Extraction edi'!B887)</f>
        <v/>
      </c>
      <c r="D877" s="1" t="str">
        <f>IF('Extraction edi'!H887="","",'Extraction edi'!H887)</f>
        <v/>
      </c>
      <c r="E877" s="1" t="str">
        <f>IF('Extraction edi'!I887="","",'Extraction edi'!I887)</f>
        <v/>
      </c>
      <c r="F877" t="str">
        <f>IF('Extraction edi'!K887="","",'Extraction edi'!K887)</f>
        <v/>
      </c>
      <c r="G877" t="str">
        <f>IF('Extraction edi'!L887="","",'Extraction edi'!L887)</f>
        <v/>
      </c>
      <c r="H877" t="str">
        <f>IF('Extraction edi'!M887="","",'Extraction edi'!M887)</f>
        <v/>
      </c>
      <c r="I877" s="1" t="str">
        <f>IF('Extraction edi'!N887="","",'Extraction edi'!N887)</f>
        <v/>
      </c>
      <c r="J877" s="1" t="str">
        <f>IF('Extraction edi'!O887="","",'Extraction edi'!O887)</f>
        <v/>
      </c>
      <c r="K877" s="1" t="str">
        <f>IF('Extraction edi'!P887="","",'Extraction edi'!P887)</f>
        <v/>
      </c>
      <c r="L877" s="1" t="str">
        <f>IF('Extraction edi'!Q887="laquage RAL :","OUI","")</f>
        <v/>
      </c>
      <c r="M877" s="1" t="str">
        <f>IF('Extraction edi'!R887&lt;&gt;"",'Extraction edi'!R887,IF(G877="ALU blanc","S9016",""))</f>
        <v/>
      </c>
      <c r="N877" s="1" t="str">
        <f>IF('Extraction edi'!S887&lt;&gt;"",'Extraction edi'!S887,IF(G877="ALU blanc","S9016",""))</f>
        <v/>
      </c>
      <c r="O877" s="11" t="str">
        <f>IF('Extraction edi'!V887&lt;'Feuille commande'!$E$1,"DELAI NON COMPATIBLE",IF('Extraction edi'!V887="","",WORKDAY('Extraction edi'!V887,-10,Paramètrage!$G$2:$G$104)))</f>
        <v/>
      </c>
      <c r="P877" s="1" t="e">
        <f t="shared" si="13"/>
        <v>#VALUE!</v>
      </c>
    </row>
    <row r="878" spans="1:16" x14ac:dyDescent="0.25">
      <c r="A878" s="1" t="e">
        <f>IF(#REF!="","",CONCATENATE(#REF!," / pos ",#REF!," / Secteur : ",'Extraction edi'!#REF!," / APPROLIGNE : ",WEEKNUM('Extraction edi'!H888)))</f>
        <v>#REF!</v>
      </c>
      <c r="B878" s="1" t="str">
        <f>IF('Extraction edi'!A888="","",'Extraction edi'!A888)</f>
        <v/>
      </c>
      <c r="C878" s="1" t="str">
        <f>IF('Extraction edi'!B888="","",'Extraction edi'!B888)</f>
        <v/>
      </c>
      <c r="D878" s="1" t="str">
        <f>IF('Extraction edi'!H888="","",'Extraction edi'!H888)</f>
        <v/>
      </c>
      <c r="E878" s="1" t="str">
        <f>IF('Extraction edi'!I888="","",'Extraction edi'!I888)</f>
        <v/>
      </c>
      <c r="F878" t="str">
        <f>IF('Extraction edi'!K888="","",'Extraction edi'!K888)</f>
        <v/>
      </c>
      <c r="G878" t="str">
        <f>IF('Extraction edi'!L888="","",'Extraction edi'!L888)</f>
        <v/>
      </c>
      <c r="H878" t="str">
        <f>IF('Extraction edi'!M888="","",'Extraction edi'!M888)</f>
        <v/>
      </c>
      <c r="I878" s="1" t="str">
        <f>IF('Extraction edi'!N888="","",'Extraction edi'!N888)</f>
        <v/>
      </c>
      <c r="J878" s="1" t="str">
        <f>IF('Extraction edi'!O888="","",'Extraction edi'!O888)</f>
        <v/>
      </c>
      <c r="K878" s="1" t="str">
        <f>IF('Extraction edi'!P888="","",'Extraction edi'!P888)</f>
        <v/>
      </c>
      <c r="L878" s="1" t="str">
        <f>IF('Extraction edi'!Q888="laquage RAL :","OUI","")</f>
        <v/>
      </c>
      <c r="M878" s="1" t="str">
        <f>IF('Extraction edi'!R888&lt;&gt;"",'Extraction edi'!R888,IF(G878="ALU blanc","S9016",""))</f>
        <v/>
      </c>
      <c r="N878" s="1" t="str">
        <f>IF('Extraction edi'!S888&lt;&gt;"",'Extraction edi'!S888,IF(G878="ALU blanc","S9016",""))</f>
        <v/>
      </c>
      <c r="O878" s="11" t="str">
        <f>IF('Extraction edi'!V888&lt;'Feuille commande'!$E$1,"DELAI NON COMPATIBLE",IF('Extraction edi'!V888="","",WORKDAY('Extraction edi'!V888,-10,Paramètrage!$G$2:$G$104)))</f>
        <v/>
      </c>
      <c r="P878" s="1" t="e">
        <f t="shared" si="13"/>
        <v>#VALUE!</v>
      </c>
    </row>
    <row r="879" spans="1:16" x14ac:dyDescent="0.25">
      <c r="A879" s="1" t="e">
        <f>IF(#REF!="","",CONCATENATE(#REF!," / pos ",#REF!," / Secteur : ",'Extraction edi'!#REF!," / APPROLIGNE : ",WEEKNUM('Extraction edi'!H889)))</f>
        <v>#REF!</v>
      </c>
      <c r="B879" s="1" t="str">
        <f>IF('Extraction edi'!A889="","",'Extraction edi'!A889)</f>
        <v/>
      </c>
      <c r="C879" s="1" t="str">
        <f>IF('Extraction edi'!B889="","",'Extraction edi'!B889)</f>
        <v/>
      </c>
      <c r="D879" s="1" t="str">
        <f>IF('Extraction edi'!H889="","",'Extraction edi'!H889)</f>
        <v/>
      </c>
      <c r="E879" s="1" t="str">
        <f>IF('Extraction edi'!I889="","",'Extraction edi'!I889)</f>
        <v/>
      </c>
      <c r="F879" t="str">
        <f>IF('Extraction edi'!K889="","",'Extraction edi'!K889)</f>
        <v/>
      </c>
      <c r="G879" t="str">
        <f>IF('Extraction edi'!L889="","",'Extraction edi'!L889)</f>
        <v/>
      </c>
      <c r="H879" t="str">
        <f>IF('Extraction edi'!M889="","",'Extraction edi'!M889)</f>
        <v/>
      </c>
      <c r="I879" s="1" t="str">
        <f>IF('Extraction edi'!N889="","",'Extraction edi'!N889)</f>
        <v/>
      </c>
      <c r="J879" s="1" t="str">
        <f>IF('Extraction edi'!O889="","",'Extraction edi'!O889)</f>
        <v/>
      </c>
      <c r="K879" s="1" t="str">
        <f>IF('Extraction edi'!P889="","",'Extraction edi'!P889)</f>
        <v/>
      </c>
      <c r="L879" s="1" t="str">
        <f>IF('Extraction edi'!Q889="laquage RAL :","OUI","")</f>
        <v/>
      </c>
      <c r="M879" s="1" t="str">
        <f>IF('Extraction edi'!R889&lt;&gt;"",'Extraction edi'!R889,IF(G879="ALU blanc","S9016",""))</f>
        <v/>
      </c>
      <c r="N879" s="1" t="str">
        <f>IF('Extraction edi'!S889&lt;&gt;"",'Extraction edi'!S889,IF(G879="ALU blanc","S9016",""))</f>
        <v/>
      </c>
      <c r="O879" s="11" t="str">
        <f>IF('Extraction edi'!V889&lt;'Feuille commande'!$E$1,"DELAI NON COMPATIBLE",IF('Extraction edi'!V889="","",WORKDAY('Extraction edi'!V889,-10,Paramètrage!$G$2:$G$104)))</f>
        <v/>
      </c>
      <c r="P879" s="1" t="e">
        <f t="shared" si="13"/>
        <v>#VALUE!</v>
      </c>
    </row>
    <row r="880" spans="1:16" x14ac:dyDescent="0.25">
      <c r="A880" s="1" t="e">
        <f>IF(#REF!="","",CONCATENATE(#REF!," / pos ",#REF!," / Secteur : ",'Extraction edi'!#REF!," / APPROLIGNE : ",WEEKNUM('Extraction edi'!H890)))</f>
        <v>#REF!</v>
      </c>
      <c r="B880" s="1" t="str">
        <f>IF('Extraction edi'!A890="","",'Extraction edi'!A890)</f>
        <v/>
      </c>
      <c r="C880" s="1" t="str">
        <f>IF('Extraction edi'!B890="","",'Extraction edi'!B890)</f>
        <v/>
      </c>
      <c r="D880" s="1" t="str">
        <f>IF('Extraction edi'!H890="","",'Extraction edi'!H890)</f>
        <v/>
      </c>
      <c r="E880" s="1" t="str">
        <f>IF('Extraction edi'!I890="","",'Extraction edi'!I890)</f>
        <v/>
      </c>
      <c r="F880" t="str">
        <f>IF('Extraction edi'!K890="","",'Extraction edi'!K890)</f>
        <v/>
      </c>
      <c r="G880" t="str">
        <f>IF('Extraction edi'!L890="","",'Extraction edi'!L890)</f>
        <v/>
      </c>
      <c r="H880" t="str">
        <f>IF('Extraction edi'!M890="","",'Extraction edi'!M890)</f>
        <v/>
      </c>
      <c r="I880" s="1" t="str">
        <f>IF('Extraction edi'!N890="","",'Extraction edi'!N890)</f>
        <v/>
      </c>
      <c r="J880" s="1" t="str">
        <f>IF('Extraction edi'!O890="","",'Extraction edi'!O890)</f>
        <v/>
      </c>
      <c r="K880" s="1" t="str">
        <f>IF('Extraction edi'!P890="","",'Extraction edi'!P890)</f>
        <v/>
      </c>
      <c r="L880" s="1" t="str">
        <f>IF('Extraction edi'!Q890="laquage RAL :","OUI","")</f>
        <v/>
      </c>
      <c r="M880" s="1" t="str">
        <f>IF('Extraction edi'!R890&lt;&gt;"",'Extraction edi'!R890,IF(G880="ALU blanc","S9016",""))</f>
        <v/>
      </c>
      <c r="N880" s="1" t="str">
        <f>IF('Extraction edi'!S890&lt;&gt;"",'Extraction edi'!S890,IF(G880="ALU blanc","S9016",""))</f>
        <v/>
      </c>
      <c r="O880" s="11" t="str">
        <f>IF('Extraction edi'!V890&lt;'Feuille commande'!$E$1,"DELAI NON COMPATIBLE",IF('Extraction edi'!V890="","",WORKDAY('Extraction edi'!V890,-10,Paramètrage!$G$2:$G$104)))</f>
        <v/>
      </c>
      <c r="P880" s="1" t="e">
        <f t="shared" si="13"/>
        <v>#VALUE!</v>
      </c>
    </row>
    <row r="881" spans="1:16" x14ac:dyDescent="0.25">
      <c r="A881" s="1" t="e">
        <f>IF(#REF!="","",CONCATENATE(#REF!," / pos ",#REF!," / Secteur : ",'Extraction edi'!#REF!," / APPROLIGNE : ",WEEKNUM('Extraction edi'!H891)))</f>
        <v>#REF!</v>
      </c>
      <c r="B881" s="1" t="str">
        <f>IF('Extraction edi'!A891="","",'Extraction edi'!A891)</f>
        <v/>
      </c>
      <c r="C881" s="1" t="str">
        <f>IF('Extraction edi'!B891="","",'Extraction edi'!B891)</f>
        <v/>
      </c>
      <c r="D881" s="1" t="str">
        <f>IF('Extraction edi'!H891="","",'Extraction edi'!H891)</f>
        <v/>
      </c>
      <c r="E881" s="1" t="str">
        <f>IF('Extraction edi'!I891="","",'Extraction edi'!I891)</f>
        <v/>
      </c>
      <c r="F881" t="str">
        <f>IF('Extraction edi'!K891="","",'Extraction edi'!K891)</f>
        <v/>
      </c>
      <c r="G881" t="str">
        <f>IF('Extraction edi'!L891="","",'Extraction edi'!L891)</f>
        <v/>
      </c>
      <c r="H881" t="str">
        <f>IF('Extraction edi'!M891="","",'Extraction edi'!M891)</f>
        <v/>
      </c>
      <c r="I881" s="1" t="str">
        <f>IF('Extraction edi'!N891="","",'Extraction edi'!N891)</f>
        <v/>
      </c>
      <c r="J881" s="1" t="str">
        <f>IF('Extraction edi'!O891="","",'Extraction edi'!O891)</f>
        <v/>
      </c>
      <c r="K881" s="1" t="str">
        <f>IF('Extraction edi'!P891="","",'Extraction edi'!P891)</f>
        <v/>
      </c>
      <c r="L881" s="1" t="str">
        <f>IF('Extraction edi'!Q891="laquage RAL :","OUI","")</f>
        <v/>
      </c>
      <c r="M881" s="1" t="str">
        <f>IF('Extraction edi'!R891&lt;&gt;"",'Extraction edi'!R891,IF(G881="ALU blanc","S9016",""))</f>
        <v/>
      </c>
      <c r="N881" s="1" t="str">
        <f>IF('Extraction edi'!S891&lt;&gt;"",'Extraction edi'!S891,IF(G881="ALU blanc","S9016",""))</f>
        <v/>
      </c>
      <c r="O881" s="11" t="str">
        <f>IF('Extraction edi'!V891&lt;'Feuille commande'!$E$1,"DELAI NON COMPATIBLE",IF('Extraction edi'!V891="","",WORKDAY('Extraction edi'!V891,-10,Paramètrage!$G$2:$G$104)))</f>
        <v/>
      </c>
      <c r="P881" s="1" t="e">
        <f t="shared" si="13"/>
        <v>#VALUE!</v>
      </c>
    </row>
    <row r="882" spans="1:16" x14ac:dyDescent="0.25">
      <c r="A882" s="1" t="e">
        <f>IF(#REF!="","",CONCATENATE(#REF!," / pos ",#REF!," / Secteur : ",'Extraction edi'!#REF!," / APPROLIGNE : ",WEEKNUM('Extraction edi'!H892)))</f>
        <v>#REF!</v>
      </c>
      <c r="B882" s="1" t="str">
        <f>IF('Extraction edi'!A892="","",'Extraction edi'!A892)</f>
        <v/>
      </c>
      <c r="C882" s="1" t="str">
        <f>IF('Extraction edi'!B892="","",'Extraction edi'!B892)</f>
        <v/>
      </c>
      <c r="D882" s="1" t="str">
        <f>IF('Extraction edi'!H892="","",'Extraction edi'!H892)</f>
        <v/>
      </c>
      <c r="E882" s="1" t="str">
        <f>IF('Extraction edi'!I892="","",'Extraction edi'!I892)</f>
        <v/>
      </c>
      <c r="F882" t="str">
        <f>IF('Extraction edi'!K892="","",'Extraction edi'!K892)</f>
        <v/>
      </c>
      <c r="G882" t="str">
        <f>IF('Extraction edi'!L892="","",'Extraction edi'!L892)</f>
        <v/>
      </c>
      <c r="H882" t="str">
        <f>IF('Extraction edi'!M892="","",'Extraction edi'!M892)</f>
        <v/>
      </c>
      <c r="I882" s="1" t="str">
        <f>IF('Extraction edi'!N892="","",'Extraction edi'!N892)</f>
        <v/>
      </c>
      <c r="J882" s="1" t="str">
        <f>IF('Extraction edi'!O892="","",'Extraction edi'!O892)</f>
        <v/>
      </c>
      <c r="K882" s="1" t="str">
        <f>IF('Extraction edi'!P892="","",'Extraction edi'!P892)</f>
        <v/>
      </c>
      <c r="L882" s="1" t="str">
        <f>IF('Extraction edi'!Q892="laquage RAL :","OUI","")</f>
        <v/>
      </c>
      <c r="M882" s="1" t="str">
        <f>IF('Extraction edi'!R892&lt;&gt;"",'Extraction edi'!R892,IF(G882="ALU blanc","S9016",""))</f>
        <v/>
      </c>
      <c r="N882" s="1" t="str">
        <f>IF('Extraction edi'!S892&lt;&gt;"",'Extraction edi'!S892,IF(G882="ALU blanc","S9016",""))</f>
        <v/>
      </c>
      <c r="O882" s="11" t="str">
        <f>IF('Extraction edi'!V892&lt;'Feuille commande'!$E$1,"DELAI NON COMPATIBLE",IF('Extraction edi'!V892="","",WORKDAY('Extraction edi'!V892,-10,Paramètrage!$G$2:$G$104)))</f>
        <v/>
      </c>
      <c r="P882" s="1" t="e">
        <f t="shared" si="13"/>
        <v>#VALUE!</v>
      </c>
    </row>
    <row r="883" spans="1:16" x14ac:dyDescent="0.25">
      <c r="A883" s="1" t="e">
        <f>IF(#REF!="","",CONCATENATE(#REF!," / pos ",#REF!," / Secteur : ",'Extraction edi'!#REF!," / APPROLIGNE : ",WEEKNUM('Extraction edi'!H893)))</f>
        <v>#REF!</v>
      </c>
      <c r="B883" s="1" t="str">
        <f>IF('Extraction edi'!A893="","",'Extraction edi'!A893)</f>
        <v/>
      </c>
      <c r="C883" s="1" t="str">
        <f>IF('Extraction edi'!B893="","",'Extraction edi'!B893)</f>
        <v/>
      </c>
      <c r="D883" s="1" t="str">
        <f>IF('Extraction edi'!H893="","",'Extraction edi'!H893)</f>
        <v/>
      </c>
      <c r="E883" s="1" t="str">
        <f>IF('Extraction edi'!I893="","",'Extraction edi'!I893)</f>
        <v/>
      </c>
      <c r="F883" t="str">
        <f>IF('Extraction edi'!K893="","",'Extraction edi'!K893)</f>
        <v/>
      </c>
      <c r="G883" t="str">
        <f>IF('Extraction edi'!L893="","",'Extraction edi'!L893)</f>
        <v/>
      </c>
      <c r="H883" t="str">
        <f>IF('Extraction edi'!M893="","",'Extraction edi'!M893)</f>
        <v/>
      </c>
      <c r="I883" s="1" t="str">
        <f>IF('Extraction edi'!N893="","",'Extraction edi'!N893)</f>
        <v/>
      </c>
      <c r="J883" s="1" t="str">
        <f>IF('Extraction edi'!O893="","",'Extraction edi'!O893)</f>
        <v/>
      </c>
      <c r="K883" s="1" t="str">
        <f>IF('Extraction edi'!P893="","",'Extraction edi'!P893)</f>
        <v/>
      </c>
      <c r="L883" s="1" t="str">
        <f>IF('Extraction edi'!Q893="laquage RAL :","OUI","")</f>
        <v/>
      </c>
      <c r="M883" s="1" t="str">
        <f>IF('Extraction edi'!R893&lt;&gt;"",'Extraction edi'!R893,IF(G883="ALU blanc","S9016",""))</f>
        <v/>
      </c>
      <c r="N883" s="1" t="str">
        <f>IF('Extraction edi'!S893&lt;&gt;"",'Extraction edi'!S893,IF(G883="ALU blanc","S9016",""))</f>
        <v/>
      </c>
      <c r="O883" s="11" t="str">
        <f>IF('Extraction edi'!V893&lt;'Feuille commande'!$E$1,"DELAI NON COMPATIBLE",IF('Extraction edi'!V893="","",WORKDAY('Extraction edi'!V893,-10,Paramètrage!$G$2:$G$104)))</f>
        <v/>
      </c>
      <c r="P883" s="1" t="e">
        <f t="shared" si="13"/>
        <v>#VALUE!</v>
      </c>
    </row>
    <row r="884" spans="1:16" x14ac:dyDescent="0.25">
      <c r="A884" s="1" t="e">
        <f>IF(#REF!="","",CONCATENATE(#REF!," / pos ",#REF!," / Secteur : ",'Extraction edi'!#REF!," / APPROLIGNE : ",WEEKNUM('Extraction edi'!H894)))</f>
        <v>#REF!</v>
      </c>
      <c r="B884" s="1" t="str">
        <f>IF('Extraction edi'!A894="","",'Extraction edi'!A894)</f>
        <v/>
      </c>
      <c r="C884" s="1" t="str">
        <f>IF('Extraction edi'!B894="","",'Extraction edi'!B894)</f>
        <v/>
      </c>
      <c r="D884" s="1" t="str">
        <f>IF('Extraction edi'!H894="","",'Extraction edi'!H894)</f>
        <v/>
      </c>
      <c r="E884" s="1" t="str">
        <f>IF('Extraction edi'!I894="","",'Extraction edi'!I894)</f>
        <v/>
      </c>
      <c r="F884" t="str">
        <f>IF('Extraction edi'!K894="","",'Extraction edi'!K894)</f>
        <v/>
      </c>
      <c r="G884" t="str">
        <f>IF('Extraction edi'!L894="","",'Extraction edi'!L894)</f>
        <v/>
      </c>
      <c r="H884" t="str">
        <f>IF('Extraction edi'!M894="","",'Extraction edi'!M894)</f>
        <v/>
      </c>
      <c r="I884" s="1" t="str">
        <f>IF('Extraction edi'!N894="","",'Extraction edi'!N894)</f>
        <v/>
      </c>
      <c r="J884" s="1" t="str">
        <f>IF('Extraction edi'!O894="","",'Extraction edi'!O894)</f>
        <v/>
      </c>
      <c r="K884" s="1" t="str">
        <f>IF('Extraction edi'!P894="","",'Extraction edi'!P894)</f>
        <v/>
      </c>
      <c r="L884" s="1" t="str">
        <f>IF('Extraction edi'!Q894="laquage RAL :","OUI","")</f>
        <v/>
      </c>
      <c r="M884" s="1" t="str">
        <f>IF('Extraction edi'!R894&lt;&gt;"",'Extraction edi'!R894,IF(G884="ALU blanc","S9016",""))</f>
        <v/>
      </c>
      <c r="N884" s="1" t="str">
        <f>IF('Extraction edi'!S894&lt;&gt;"",'Extraction edi'!S894,IF(G884="ALU blanc","S9016",""))</f>
        <v/>
      </c>
      <c r="O884" s="11" t="str">
        <f>IF('Extraction edi'!V894&lt;'Feuille commande'!$E$1,"DELAI NON COMPATIBLE",IF('Extraction edi'!V894="","",WORKDAY('Extraction edi'!V894,-10,Paramètrage!$G$2:$G$104)))</f>
        <v/>
      </c>
      <c r="P884" s="1" t="e">
        <f t="shared" si="13"/>
        <v>#VALUE!</v>
      </c>
    </row>
    <row r="885" spans="1:16" x14ac:dyDescent="0.25">
      <c r="A885" s="1" t="e">
        <f>IF(#REF!="","",CONCATENATE(#REF!," / pos ",#REF!," / Secteur : ",'Extraction edi'!#REF!," / APPROLIGNE : ",WEEKNUM('Extraction edi'!H895)))</f>
        <v>#REF!</v>
      </c>
      <c r="B885" s="1" t="str">
        <f>IF('Extraction edi'!A895="","",'Extraction edi'!A895)</f>
        <v/>
      </c>
      <c r="C885" s="1" t="str">
        <f>IF('Extraction edi'!B895="","",'Extraction edi'!B895)</f>
        <v/>
      </c>
      <c r="D885" s="1" t="str">
        <f>IF('Extraction edi'!H895="","",'Extraction edi'!H895)</f>
        <v/>
      </c>
      <c r="E885" s="1" t="str">
        <f>IF('Extraction edi'!I895="","",'Extraction edi'!I895)</f>
        <v/>
      </c>
      <c r="F885" t="str">
        <f>IF('Extraction edi'!K895="","",'Extraction edi'!K895)</f>
        <v/>
      </c>
      <c r="G885" t="str">
        <f>IF('Extraction edi'!L895="","",'Extraction edi'!L895)</f>
        <v/>
      </c>
      <c r="H885" t="str">
        <f>IF('Extraction edi'!M895="","",'Extraction edi'!M895)</f>
        <v/>
      </c>
      <c r="I885" s="1" t="str">
        <f>IF('Extraction edi'!N895="","",'Extraction edi'!N895)</f>
        <v/>
      </c>
      <c r="J885" s="1" t="str">
        <f>IF('Extraction edi'!O895="","",'Extraction edi'!O895)</f>
        <v/>
      </c>
      <c r="K885" s="1" t="str">
        <f>IF('Extraction edi'!P895="","",'Extraction edi'!P895)</f>
        <v/>
      </c>
      <c r="L885" s="1" t="str">
        <f>IF('Extraction edi'!Q895="laquage RAL :","OUI","")</f>
        <v/>
      </c>
      <c r="M885" s="1" t="str">
        <f>IF('Extraction edi'!R895&lt;&gt;"",'Extraction edi'!R895,IF(G885="ALU blanc","S9016",""))</f>
        <v/>
      </c>
      <c r="N885" s="1" t="str">
        <f>IF('Extraction edi'!S895&lt;&gt;"",'Extraction edi'!S895,IF(G885="ALU blanc","S9016",""))</f>
        <v/>
      </c>
      <c r="O885" s="11" t="str">
        <f>IF('Extraction edi'!V895&lt;'Feuille commande'!$E$1,"DELAI NON COMPATIBLE",IF('Extraction edi'!V895="","",WORKDAY('Extraction edi'!V895,-10,Paramètrage!$G$2:$G$104)))</f>
        <v/>
      </c>
      <c r="P885" s="1" t="e">
        <f t="shared" si="13"/>
        <v>#VALUE!</v>
      </c>
    </row>
    <row r="886" spans="1:16" x14ac:dyDescent="0.25">
      <c r="A886" s="1" t="e">
        <f>IF(#REF!="","",CONCATENATE(#REF!," / pos ",#REF!," / Secteur : ",'Extraction edi'!#REF!," / APPROLIGNE : ",WEEKNUM('Extraction edi'!H896)))</f>
        <v>#REF!</v>
      </c>
      <c r="B886" s="1" t="str">
        <f>IF('Extraction edi'!A896="","",'Extraction edi'!A896)</f>
        <v/>
      </c>
      <c r="C886" s="1" t="str">
        <f>IF('Extraction edi'!B896="","",'Extraction edi'!B896)</f>
        <v/>
      </c>
      <c r="D886" s="1" t="str">
        <f>IF('Extraction edi'!H896="","",'Extraction edi'!H896)</f>
        <v/>
      </c>
      <c r="E886" s="1" t="str">
        <f>IF('Extraction edi'!I896="","",'Extraction edi'!I896)</f>
        <v/>
      </c>
      <c r="F886" t="str">
        <f>IF('Extraction edi'!K896="","",'Extraction edi'!K896)</f>
        <v/>
      </c>
      <c r="G886" t="str">
        <f>IF('Extraction edi'!L896="","",'Extraction edi'!L896)</f>
        <v/>
      </c>
      <c r="H886" t="str">
        <f>IF('Extraction edi'!M896="","",'Extraction edi'!M896)</f>
        <v/>
      </c>
      <c r="I886" s="1" t="str">
        <f>IF('Extraction edi'!N896="","",'Extraction edi'!N896)</f>
        <v/>
      </c>
      <c r="J886" s="1" t="str">
        <f>IF('Extraction edi'!O896="","",'Extraction edi'!O896)</f>
        <v/>
      </c>
      <c r="K886" s="1" t="str">
        <f>IF('Extraction edi'!P896="","",'Extraction edi'!P896)</f>
        <v/>
      </c>
      <c r="L886" s="1" t="str">
        <f>IF('Extraction edi'!Q896="laquage RAL :","OUI","")</f>
        <v/>
      </c>
      <c r="M886" s="1" t="str">
        <f>IF('Extraction edi'!R896&lt;&gt;"",'Extraction edi'!R896,IF(G886="ALU blanc","S9016",""))</f>
        <v/>
      </c>
      <c r="N886" s="1" t="str">
        <f>IF('Extraction edi'!S896&lt;&gt;"",'Extraction edi'!S896,IF(G886="ALU blanc","S9016",""))</f>
        <v/>
      </c>
      <c r="O886" s="11" t="str">
        <f>IF('Extraction edi'!V896&lt;'Feuille commande'!$E$1,"DELAI NON COMPATIBLE",IF('Extraction edi'!V896="","",WORKDAY('Extraction edi'!V896,-10,Paramètrage!$G$2:$G$104)))</f>
        <v/>
      </c>
      <c r="P886" s="1" t="e">
        <f t="shared" si="13"/>
        <v>#VALUE!</v>
      </c>
    </row>
    <row r="887" spans="1:16" x14ac:dyDescent="0.25">
      <c r="A887" s="1" t="e">
        <f>IF(#REF!="","",CONCATENATE(#REF!," / pos ",#REF!," / Secteur : ",'Extraction edi'!#REF!," / APPROLIGNE : ",WEEKNUM('Extraction edi'!H897)))</f>
        <v>#REF!</v>
      </c>
      <c r="B887" s="1" t="str">
        <f>IF('Extraction edi'!A897="","",'Extraction edi'!A897)</f>
        <v/>
      </c>
      <c r="C887" s="1" t="str">
        <f>IF('Extraction edi'!B897="","",'Extraction edi'!B897)</f>
        <v/>
      </c>
      <c r="D887" s="1" t="str">
        <f>IF('Extraction edi'!H897="","",'Extraction edi'!H897)</f>
        <v/>
      </c>
      <c r="E887" s="1" t="str">
        <f>IF('Extraction edi'!I897="","",'Extraction edi'!I897)</f>
        <v/>
      </c>
      <c r="F887" t="str">
        <f>IF('Extraction edi'!K897="","",'Extraction edi'!K897)</f>
        <v/>
      </c>
      <c r="G887" t="str">
        <f>IF('Extraction edi'!L897="","",'Extraction edi'!L897)</f>
        <v/>
      </c>
      <c r="H887" t="str">
        <f>IF('Extraction edi'!M897="","",'Extraction edi'!M897)</f>
        <v/>
      </c>
      <c r="I887" s="1" t="str">
        <f>IF('Extraction edi'!N897="","",'Extraction edi'!N897)</f>
        <v/>
      </c>
      <c r="J887" s="1" t="str">
        <f>IF('Extraction edi'!O897="","",'Extraction edi'!O897)</f>
        <v/>
      </c>
      <c r="K887" s="1" t="str">
        <f>IF('Extraction edi'!P897="","",'Extraction edi'!P897)</f>
        <v/>
      </c>
      <c r="L887" s="1" t="str">
        <f>IF('Extraction edi'!Q897="laquage RAL :","OUI","")</f>
        <v/>
      </c>
      <c r="M887" s="1" t="str">
        <f>IF('Extraction edi'!R897&lt;&gt;"",'Extraction edi'!R897,IF(G887="ALU blanc","S9016",""))</f>
        <v/>
      </c>
      <c r="N887" s="1" t="str">
        <f>IF('Extraction edi'!S897&lt;&gt;"",'Extraction edi'!S897,IF(G887="ALU blanc","S9016",""))</f>
        <v/>
      </c>
      <c r="O887" s="11" t="str">
        <f>IF('Extraction edi'!V897&lt;'Feuille commande'!$E$1,"DELAI NON COMPATIBLE",IF('Extraction edi'!V897="","",WORKDAY('Extraction edi'!V897,-10,Paramètrage!$G$2:$G$104)))</f>
        <v/>
      </c>
      <c r="P887" s="1" t="e">
        <f t="shared" si="13"/>
        <v>#VALUE!</v>
      </c>
    </row>
    <row r="888" spans="1:16" x14ac:dyDescent="0.25">
      <c r="A888" s="1" t="e">
        <f>IF(#REF!="","",CONCATENATE(#REF!," / pos ",#REF!," / Secteur : ",'Extraction edi'!#REF!," / APPROLIGNE : ",WEEKNUM('Extraction edi'!H898)))</f>
        <v>#REF!</v>
      </c>
      <c r="B888" s="1" t="str">
        <f>IF('Extraction edi'!A898="","",'Extraction edi'!A898)</f>
        <v/>
      </c>
      <c r="C888" s="1" t="str">
        <f>IF('Extraction edi'!B898="","",'Extraction edi'!B898)</f>
        <v/>
      </c>
      <c r="D888" s="1" t="str">
        <f>IF('Extraction edi'!H898="","",'Extraction edi'!H898)</f>
        <v/>
      </c>
      <c r="E888" s="1" t="str">
        <f>IF('Extraction edi'!I898="","",'Extraction edi'!I898)</f>
        <v/>
      </c>
      <c r="F888" t="str">
        <f>IF('Extraction edi'!K898="","",'Extraction edi'!K898)</f>
        <v/>
      </c>
      <c r="G888" t="str">
        <f>IF('Extraction edi'!L898="","",'Extraction edi'!L898)</f>
        <v/>
      </c>
      <c r="H888" t="str">
        <f>IF('Extraction edi'!M898="","",'Extraction edi'!M898)</f>
        <v/>
      </c>
      <c r="I888" s="1" t="str">
        <f>IF('Extraction edi'!N898="","",'Extraction edi'!N898)</f>
        <v/>
      </c>
      <c r="J888" s="1" t="str">
        <f>IF('Extraction edi'!O898="","",'Extraction edi'!O898)</f>
        <v/>
      </c>
      <c r="K888" s="1" t="str">
        <f>IF('Extraction edi'!P898="","",'Extraction edi'!P898)</f>
        <v/>
      </c>
      <c r="L888" s="1" t="str">
        <f>IF('Extraction edi'!Q898="laquage RAL :","OUI","")</f>
        <v/>
      </c>
      <c r="M888" s="1" t="str">
        <f>IF('Extraction edi'!R898&lt;&gt;"",'Extraction edi'!R898,IF(G888="ALU blanc","S9016",""))</f>
        <v/>
      </c>
      <c r="N888" s="1" t="str">
        <f>IF('Extraction edi'!S898&lt;&gt;"",'Extraction edi'!S898,IF(G888="ALU blanc","S9016",""))</f>
        <v/>
      </c>
      <c r="O888" s="11" t="str">
        <f>IF('Extraction edi'!V898&lt;'Feuille commande'!$E$1,"DELAI NON COMPATIBLE",IF('Extraction edi'!V898="","",WORKDAY('Extraction edi'!V898,-10,Paramètrage!$G$2:$G$104)))</f>
        <v/>
      </c>
      <c r="P888" s="1" t="e">
        <f t="shared" si="13"/>
        <v>#VALUE!</v>
      </c>
    </row>
    <row r="889" spans="1:16" x14ac:dyDescent="0.25">
      <c r="A889" s="1" t="e">
        <f>IF(#REF!="","",CONCATENATE(#REF!," / pos ",#REF!," / Secteur : ",'Extraction edi'!#REF!," / APPROLIGNE : ",WEEKNUM('Extraction edi'!H899)))</f>
        <v>#REF!</v>
      </c>
      <c r="B889" s="1" t="str">
        <f>IF('Extraction edi'!A899="","",'Extraction edi'!A899)</f>
        <v/>
      </c>
      <c r="C889" s="1" t="str">
        <f>IF('Extraction edi'!B899="","",'Extraction edi'!B899)</f>
        <v/>
      </c>
      <c r="D889" s="1" t="str">
        <f>IF('Extraction edi'!H899="","",'Extraction edi'!H899)</f>
        <v/>
      </c>
      <c r="E889" s="1" t="str">
        <f>IF('Extraction edi'!I899="","",'Extraction edi'!I899)</f>
        <v/>
      </c>
      <c r="F889" t="str">
        <f>IF('Extraction edi'!K899="","",'Extraction edi'!K899)</f>
        <v/>
      </c>
      <c r="G889" t="str">
        <f>IF('Extraction edi'!L899="","",'Extraction edi'!L899)</f>
        <v/>
      </c>
      <c r="H889" t="str">
        <f>IF('Extraction edi'!M899="","",'Extraction edi'!M899)</f>
        <v/>
      </c>
      <c r="I889" s="1" t="str">
        <f>IF('Extraction edi'!N899="","",'Extraction edi'!N899)</f>
        <v/>
      </c>
      <c r="J889" s="1" t="str">
        <f>IF('Extraction edi'!O899="","",'Extraction edi'!O899)</f>
        <v/>
      </c>
      <c r="K889" s="1" t="str">
        <f>IF('Extraction edi'!P899="","",'Extraction edi'!P899)</f>
        <v/>
      </c>
      <c r="L889" s="1" t="str">
        <f>IF('Extraction edi'!Q899="laquage RAL :","OUI","")</f>
        <v/>
      </c>
      <c r="M889" s="1" t="str">
        <f>IF('Extraction edi'!R899&lt;&gt;"",'Extraction edi'!R899,IF(G889="ALU blanc","S9016",""))</f>
        <v/>
      </c>
      <c r="N889" s="1" t="str">
        <f>IF('Extraction edi'!S899&lt;&gt;"",'Extraction edi'!S899,IF(G889="ALU blanc","S9016",""))</f>
        <v/>
      </c>
      <c r="O889" s="11" t="str">
        <f>IF('Extraction edi'!V899&lt;'Feuille commande'!$E$1,"DELAI NON COMPATIBLE",IF('Extraction edi'!V899="","",WORKDAY('Extraction edi'!V899,-10,Paramètrage!$G$2:$G$104)))</f>
        <v/>
      </c>
      <c r="P889" s="1" t="e">
        <f t="shared" si="13"/>
        <v>#VALUE!</v>
      </c>
    </row>
    <row r="890" spans="1:16" x14ac:dyDescent="0.25">
      <c r="A890" s="1" t="e">
        <f>IF(#REF!="","",CONCATENATE(#REF!," / pos ",#REF!," / Secteur : ",'Extraction edi'!#REF!," / APPROLIGNE : ",WEEKNUM('Extraction edi'!H900)))</f>
        <v>#REF!</v>
      </c>
      <c r="B890" s="1" t="str">
        <f>IF('Extraction edi'!A900="","",'Extraction edi'!A900)</f>
        <v/>
      </c>
      <c r="C890" s="1" t="str">
        <f>IF('Extraction edi'!B900="","",'Extraction edi'!B900)</f>
        <v/>
      </c>
      <c r="D890" s="1" t="str">
        <f>IF('Extraction edi'!H900="","",'Extraction edi'!H900)</f>
        <v/>
      </c>
      <c r="E890" s="1" t="str">
        <f>IF('Extraction edi'!I900="","",'Extraction edi'!I900)</f>
        <v/>
      </c>
      <c r="F890" t="str">
        <f>IF('Extraction edi'!K900="","",'Extraction edi'!K900)</f>
        <v/>
      </c>
      <c r="G890" t="str">
        <f>IF('Extraction edi'!L900="","",'Extraction edi'!L900)</f>
        <v/>
      </c>
      <c r="H890" t="str">
        <f>IF('Extraction edi'!M900="","",'Extraction edi'!M900)</f>
        <v/>
      </c>
      <c r="I890" s="1" t="str">
        <f>IF('Extraction edi'!N900="","",'Extraction edi'!N900)</f>
        <v/>
      </c>
      <c r="J890" s="1" t="str">
        <f>IF('Extraction edi'!O900="","",'Extraction edi'!O900)</f>
        <v/>
      </c>
      <c r="K890" s="1" t="str">
        <f>IF('Extraction edi'!P900="","",'Extraction edi'!P900)</f>
        <v/>
      </c>
      <c r="L890" s="1" t="str">
        <f>IF('Extraction edi'!Q900="laquage RAL :","OUI","")</f>
        <v/>
      </c>
      <c r="M890" s="1" t="str">
        <f>IF('Extraction edi'!R900&lt;&gt;"",'Extraction edi'!R900,IF(G890="ALU blanc","S9016",""))</f>
        <v/>
      </c>
      <c r="N890" s="1" t="str">
        <f>IF('Extraction edi'!S900&lt;&gt;"",'Extraction edi'!S900,IF(G890="ALU blanc","S9016",""))</f>
        <v/>
      </c>
      <c r="O890" s="11" t="str">
        <f>IF('Extraction edi'!V900&lt;'Feuille commande'!$E$1,"DELAI NON COMPATIBLE",IF('Extraction edi'!V900="","",WORKDAY('Extraction edi'!V900,-10,Paramètrage!$G$2:$G$104)))</f>
        <v/>
      </c>
      <c r="P890" s="1" t="e">
        <f t="shared" si="13"/>
        <v>#VALUE!</v>
      </c>
    </row>
    <row r="891" spans="1:16" x14ac:dyDescent="0.25">
      <c r="A891" s="1" t="e">
        <f>IF(#REF!="","",CONCATENATE(#REF!," / pos ",#REF!," / Secteur : ",'Extraction edi'!#REF!," / APPROLIGNE : ",WEEKNUM('Extraction edi'!H901)))</f>
        <v>#REF!</v>
      </c>
      <c r="B891" s="1" t="str">
        <f>IF('Extraction edi'!A901="","",'Extraction edi'!A901)</f>
        <v/>
      </c>
      <c r="C891" s="1" t="str">
        <f>IF('Extraction edi'!B901="","",'Extraction edi'!B901)</f>
        <v/>
      </c>
      <c r="D891" s="1" t="str">
        <f>IF('Extraction edi'!H901="","",'Extraction edi'!H901)</f>
        <v/>
      </c>
      <c r="E891" s="1" t="str">
        <f>IF('Extraction edi'!I901="","",'Extraction edi'!I901)</f>
        <v/>
      </c>
      <c r="F891" t="str">
        <f>IF('Extraction edi'!K901="","",'Extraction edi'!K901)</f>
        <v/>
      </c>
      <c r="G891" t="str">
        <f>IF('Extraction edi'!L901="","",'Extraction edi'!L901)</f>
        <v/>
      </c>
      <c r="H891" t="str">
        <f>IF('Extraction edi'!M901="","",'Extraction edi'!M901)</f>
        <v/>
      </c>
      <c r="I891" s="1" t="str">
        <f>IF('Extraction edi'!N901="","",'Extraction edi'!N901)</f>
        <v/>
      </c>
      <c r="J891" s="1" t="str">
        <f>IF('Extraction edi'!O901="","",'Extraction edi'!O901)</f>
        <v/>
      </c>
      <c r="K891" s="1" t="str">
        <f>IF('Extraction edi'!P901="","",'Extraction edi'!P901)</f>
        <v/>
      </c>
      <c r="L891" s="1" t="str">
        <f>IF('Extraction edi'!Q901="laquage RAL :","OUI","")</f>
        <v/>
      </c>
      <c r="M891" s="1" t="str">
        <f>IF('Extraction edi'!R901&lt;&gt;"",'Extraction edi'!R901,IF(G891="ALU blanc","S9016",""))</f>
        <v/>
      </c>
      <c r="N891" s="1" t="str">
        <f>IF('Extraction edi'!S901&lt;&gt;"",'Extraction edi'!S901,IF(G891="ALU blanc","S9016",""))</f>
        <v/>
      </c>
      <c r="O891" s="11" t="str">
        <f>IF('Extraction edi'!V901&lt;'Feuille commande'!$E$1,"DELAI NON COMPATIBLE",IF('Extraction edi'!V901="","",WORKDAY('Extraction edi'!V901,-10,Paramètrage!$G$2:$G$104)))</f>
        <v/>
      </c>
      <c r="P891" s="1" t="e">
        <f t="shared" si="13"/>
        <v>#VALUE!</v>
      </c>
    </row>
    <row r="892" spans="1:16" x14ac:dyDescent="0.25">
      <c r="A892" s="1" t="e">
        <f>IF(#REF!="","",CONCATENATE(#REF!," / pos ",#REF!," / Secteur : ",'Extraction edi'!#REF!," / APPROLIGNE : ",WEEKNUM('Extraction edi'!H902)))</f>
        <v>#REF!</v>
      </c>
      <c r="B892" s="1" t="str">
        <f>IF('Extraction edi'!A902="","",'Extraction edi'!A902)</f>
        <v/>
      </c>
      <c r="C892" s="1" t="str">
        <f>IF('Extraction edi'!B902="","",'Extraction edi'!B902)</f>
        <v/>
      </c>
      <c r="D892" s="1" t="str">
        <f>IF('Extraction edi'!H902="","",'Extraction edi'!H902)</f>
        <v/>
      </c>
      <c r="E892" s="1" t="str">
        <f>IF('Extraction edi'!I902="","",'Extraction edi'!I902)</f>
        <v/>
      </c>
      <c r="F892" t="str">
        <f>IF('Extraction edi'!K902="","",'Extraction edi'!K902)</f>
        <v/>
      </c>
      <c r="G892" t="str">
        <f>IF('Extraction edi'!L902="","",'Extraction edi'!L902)</f>
        <v/>
      </c>
      <c r="H892" t="str">
        <f>IF('Extraction edi'!M902="","",'Extraction edi'!M902)</f>
        <v/>
      </c>
      <c r="I892" s="1" t="str">
        <f>IF('Extraction edi'!N902="","",'Extraction edi'!N902)</f>
        <v/>
      </c>
      <c r="J892" s="1" t="str">
        <f>IF('Extraction edi'!O902="","",'Extraction edi'!O902)</f>
        <v/>
      </c>
      <c r="K892" s="1" t="str">
        <f>IF('Extraction edi'!P902="","",'Extraction edi'!P902)</f>
        <v/>
      </c>
      <c r="L892" s="1" t="str">
        <f>IF('Extraction edi'!Q902="laquage RAL :","OUI","")</f>
        <v/>
      </c>
      <c r="M892" s="1" t="str">
        <f>IF('Extraction edi'!R902&lt;&gt;"",'Extraction edi'!R902,IF(G892="ALU blanc","S9016",""))</f>
        <v/>
      </c>
      <c r="N892" s="1" t="str">
        <f>IF('Extraction edi'!S902&lt;&gt;"",'Extraction edi'!S902,IF(G892="ALU blanc","S9016",""))</f>
        <v/>
      </c>
      <c r="O892" s="11" t="str">
        <f>IF('Extraction edi'!V902&lt;'Feuille commande'!$E$1,"DELAI NON COMPATIBLE",IF('Extraction edi'!V902="","",WORKDAY('Extraction edi'!V902,-10,Paramètrage!$G$2:$G$104)))</f>
        <v/>
      </c>
      <c r="P892" s="1" t="e">
        <f t="shared" si="13"/>
        <v>#VALUE!</v>
      </c>
    </row>
    <row r="893" spans="1:16" x14ac:dyDescent="0.25">
      <c r="A893" s="1" t="e">
        <f>IF(#REF!="","",CONCATENATE(#REF!," / pos ",#REF!," / Secteur : ",'Extraction edi'!#REF!," / APPROLIGNE : ",WEEKNUM('Extraction edi'!H903)))</f>
        <v>#REF!</v>
      </c>
      <c r="B893" s="1" t="str">
        <f>IF('Extraction edi'!A903="","",'Extraction edi'!A903)</f>
        <v/>
      </c>
      <c r="C893" s="1" t="str">
        <f>IF('Extraction edi'!B903="","",'Extraction edi'!B903)</f>
        <v/>
      </c>
      <c r="D893" s="1" t="str">
        <f>IF('Extraction edi'!H903="","",'Extraction edi'!H903)</f>
        <v/>
      </c>
      <c r="E893" s="1" t="str">
        <f>IF('Extraction edi'!I903="","",'Extraction edi'!I903)</f>
        <v/>
      </c>
      <c r="F893" t="str">
        <f>IF('Extraction edi'!K903="","",'Extraction edi'!K903)</f>
        <v/>
      </c>
      <c r="G893" t="str">
        <f>IF('Extraction edi'!L903="","",'Extraction edi'!L903)</f>
        <v/>
      </c>
      <c r="H893" t="str">
        <f>IF('Extraction edi'!M903="","",'Extraction edi'!M903)</f>
        <v/>
      </c>
      <c r="I893" s="1" t="str">
        <f>IF('Extraction edi'!N903="","",'Extraction edi'!N903)</f>
        <v/>
      </c>
      <c r="J893" s="1" t="str">
        <f>IF('Extraction edi'!O903="","",'Extraction edi'!O903)</f>
        <v/>
      </c>
      <c r="K893" s="1" t="str">
        <f>IF('Extraction edi'!P903="","",'Extraction edi'!P903)</f>
        <v/>
      </c>
      <c r="L893" s="1" t="str">
        <f>IF('Extraction edi'!Q903="laquage RAL :","OUI","")</f>
        <v/>
      </c>
      <c r="M893" s="1" t="str">
        <f>IF('Extraction edi'!R903&lt;&gt;"",'Extraction edi'!R903,IF(G893="ALU blanc","S9016",""))</f>
        <v/>
      </c>
      <c r="N893" s="1" t="str">
        <f>IF('Extraction edi'!S903&lt;&gt;"",'Extraction edi'!S903,IF(G893="ALU blanc","S9016",""))</f>
        <v/>
      </c>
      <c r="O893" s="11" t="str">
        <f>IF('Extraction edi'!V903&lt;'Feuille commande'!$E$1,"DELAI NON COMPATIBLE",IF('Extraction edi'!V903="","",WORKDAY('Extraction edi'!V903,-10,Paramètrage!$G$2:$G$104)))</f>
        <v/>
      </c>
      <c r="P893" s="1" t="e">
        <f t="shared" si="13"/>
        <v>#VALUE!</v>
      </c>
    </row>
    <row r="894" spans="1:16" x14ac:dyDescent="0.25">
      <c r="A894" s="1" t="e">
        <f>IF(#REF!="","",CONCATENATE(#REF!," / pos ",#REF!," / Secteur : ",'Extraction edi'!#REF!," / APPROLIGNE : ",WEEKNUM('Extraction edi'!H904)))</f>
        <v>#REF!</v>
      </c>
      <c r="B894" s="1" t="str">
        <f>IF('Extraction edi'!A904="","",'Extraction edi'!A904)</f>
        <v/>
      </c>
      <c r="C894" s="1" t="str">
        <f>IF('Extraction edi'!B904="","",'Extraction edi'!B904)</f>
        <v/>
      </c>
      <c r="D894" s="1" t="str">
        <f>IF('Extraction edi'!H904="","",'Extraction edi'!H904)</f>
        <v/>
      </c>
      <c r="E894" s="1" t="str">
        <f>IF('Extraction edi'!I904="","",'Extraction edi'!I904)</f>
        <v/>
      </c>
      <c r="F894" t="str">
        <f>IF('Extraction edi'!K904="","",'Extraction edi'!K904)</f>
        <v/>
      </c>
      <c r="G894" t="str">
        <f>IF('Extraction edi'!L904="","",'Extraction edi'!L904)</f>
        <v/>
      </c>
      <c r="H894" t="str">
        <f>IF('Extraction edi'!M904="","",'Extraction edi'!M904)</f>
        <v/>
      </c>
      <c r="I894" s="1" t="str">
        <f>IF('Extraction edi'!N904="","",'Extraction edi'!N904)</f>
        <v/>
      </c>
      <c r="J894" s="1" t="str">
        <f>IF('Extraction edi'!O904="","",'Extraction edi'!O904)</f>
        <v/>
      </c>
      <c r="K894" s="1" t="str">
        <f>IF('Extraction edi'!P904="","",'Extraction edi'!P904)</f>
        <v/>
      </c>
      <c r="L894" s="1" t="str">
        <f>IF('Extraction edi'!Q904="laquage RAL :","OUI","")</f>
        <v/>
      </c>
      <c r="M894" s="1" t="str">
        <f>IF('Extraction edi'!R904&lt;&gt;"",'Extraction edi'!R904,IF(G894="ALU blanc","S9016",""))</f>
        <v/>
      </c>
      <c r="N894" s="1" t="str">
        <f>IF('Extraction edi'!S904&lt;&gt;"",'Extraction edi'!S904,IF(G894="ALU blanc","S9016",""))</f>
        <v/>
      </c>
      <c r="O894" s="11" t="str">
        <f>IF('Extraction edi'!V904&lt;'Feuille commande'!$E$1,"DELAI NON COMPATIBLE",IF('Extraction edi'!V904="","",WORKDAY('Extraction edi'!V904,-10,Paramètrage!$G$2:$G$104)))</f>
        <v/>
      </c>
      <c r="P894" s="1" t="e">
        <f t="shared" ref="P894:P957" si="14">WEEKDAY(O894,2)</f>
        <v>#VALUE!</v>
      </c>
    </row>
    <row r="895" spans="1:16" x14ac:dyDescent="0.25">
      <c r="A895" s="1" t="e">
        <f>IF(#REF!="","",CONCATENATE(#REF!," / pos ",#REF!," / Secteur : ",'Extraction edi'!#REF!," / APPROLIGNE : ",WEEKNUM('Extraction edi'!H905)))</f>
        <v>#REF!</v>
      </c>
      <c r="B895" s="1" t="str">
        <f>IF('Extraction edi'!A905="","",'Extraction edi'!A905)</f>
        <v/>
      </c>
      <c r="C895" s="1" t="str">
        <f>IF('Extraction edi'!B905="","",'Extraction edi'!B905)</f>
        <v/>
      </c>
      <c r="D895" s="1" t="str">
        <f>IF('Extraction edi'!H905="","",'Extraction edi'!H905)</f>
        <v/>
      </c>
      <c r="E895" s="1" t="str">
        <f>IF('Extraction edi'!I905="","",'Extraction edi'!I905)</f>
        <v/>
      </c>
      <c r="F895" t="str">
        <f>IF('Extraction edi'!K905="","",'Extraction edi'!K905)</f>
        <v/>
      </c>
      <c r="G895" t="str">
        <f>IF('Extraction edi'!L905="","",'Extraction edi'!L905)</f>
        <v/>
      </c>
      <c r="H895" t="str">
        <f>IF('Extraction edi'!M905="","",'Extraction edi'!M905)</f>
        <v/>
      </c>
      <c r="I895" s="1" t="str">
        <f>IF('Extraction edi'!N905="","",'Extraction edi'!N905)</f>
        <v/>
      </c>
      <c r="J895" s="1" t="str">
        <f>IF('Extraction edi'!O905="","",'Extraction edi'!O905)</f>
        <v/>
      </c>
      <c r="K895" s="1" t="str">
        <f>IF('Extraction edi'!P905="","",'Extraction edi'!P905)</f>
        <v/>
      </c>
      <c r="L895" s="1" t="str">
        <f>IF('Extraction edi'!Q905="laquage RAL :","OUI","")</f>
        <v/>
      </c>
      <c r="M895" s="1" t="str">
        <f>IF('Extraction edi'!R905&lt;&gt;"",'Extraction edi'!R905,IF(G895="ALU blanc","S9016",""))</f>
        <v/>
      </c>
      <c r="N895" s="1" t="str">
        <f>IF('Extraction edi'!S905&lt;&gt;"",'Extraction edi'!S905,IF(G895="ALU blanc","S9016",""))</f>
        <v/>
      </c>
      <c r="O895" s="11" t="str">
        <f>IF('Extraction edi'!V905&lt;'Feuille commande'!$E$1,"DELAI NON COMPATIBLE",IF('Extraction edi'!V905="","",WORKDAY('Extraction edi'!V905,-10,Paramètrage!$G$2:$G$104)))</f>
        <v/>
      </c>
      <c r="P895" s="1" t="e">
        <f t="shared" si="14"/>
        <v>#VALUE!</v>
      </c>
    </row>
    <row r="896" spans="1:16" x14ac:dyDescent="0.25">
      <c r="A896" s="1" t="e">
        <f>IF(#REF!="","",CONCATENATE(#REF!," / pos ",#REF!," / Secteur : ",'Extraction edi'!#REF!," / APPROLIGNE : ",WEEKNUM('Extraction edi'!H906)))</f>
        <v>#REF!</v>
      </c>
      <c r="B896" s="1" t="str">
        <f>IF('Extraction edi'!A906="","",'Extraction edi'!A906)</f>
        <v/>
      </c>
      <c r="C896" s="1" t="str">
        <f>IF('Extraction edi'!B906="","",'Extraction edi'!B906)</f>
        <v/>
      </c>
      <c r="D896" s="1" t="str">
        <f>IF('Extraction edi'!H906="","",'Extraction edi'!H906)</f>
        <v/>
      </c>
      <c r="E896" s="1" t="str">
        <f>IF('Extraction edi'!I906="","",'Extraction edi'!I906)</f>
        <v/>
      </c>
      <c r="F896" t="str">
        <f>IF('Extraction edi'!K906="","",'Extraction edi'!K906)</f>
        <v/>
      </c>
      <c r="G896" t="str">
        <f>IF('Extraction edi'!L906="","",'Extraction edi'!L906)</f>
        <v/>
      </c>
      <c r="H896" t="str">
        <f>IF('Extraction edi'!M906="","",'Extraction edi'!M906)</f>
        <v/>
      </c>
      <c r="I896" s="1" t="str">
        <f>IF('Extraction edi'!N906="","",'Extraction edi'!N906)</f>
        <v/>
      </c>
      <c r="J896" s="1" t="str">
        <f>IF('Extraction edi'!O906="","",'Extraction edi'!O906)</f>
        <v/>
      </c>
      <c r="K896" s="1" t="str">
        <f>IF('Extraction edi'!P906="","",'Extraction edi'!P906)</f>
        <v/>
      </c>
      <c r="L896" s="1" t="str">
        <f>IF('Extraction edi'!Q906="laquage RAL :","OUI","")</f>
        <v/>
      </c>
      <c r="M896" s="1" t="str">
        <f>IF('Extraction edi'!R906&lt;&gt;"",'Extraction edi'!R906,IF(G896="ALU blanc","S9016",""))</f>
        <v/>
      </c>
      <c r="N896" s="1" t="str">
        <f>IF('Extraction edi'!S906&lt;&gt;"",'Extraction edi'!S906,IF(G896="ALU blanc","S9016",""))</f>
        <v/>
      </c>
      <c r="O896" s="11" t="str">
        <f>IF('Extraction edi'!V906&lt;'Feuille commande'!$E$1,"DELAI NON COMPATIBLE",IF('Extraction edi'!V906="","",WORKDAY('Extraction edi'!V906,-10,Paramètrage!$G$2:$G$104)))</f>
        <v/>
      </c>
      <c r="P896" s="1" t="e">
        <f t="shared" si="14"/>
        <v>#VALUE!</v>
      </c>
    </row>
    <row r="897" spans="1:16" x14ac:dyDescent="0.25">
      <c r="A897" s="1" t="e">
        <f>IF(#REF!="","",CONCATENATE(#REF!," / pos ",#REF!," / Secteur : ",'Extraction edi'!#REF!," / APPROLIGNE : ",WEEKNUM('Extraction edi'!H907)))</f>
        <v>#REF!</v>
      </c>
      <c r="B897" s="1" t="str">
        <f>IF('Extraction edi'!A907="","",'Extraction edi'!A907)</f>
        <v/>
      </c>
      <c r="C897" s="1" t="str">
        <f>IF('Extraction edi'!B907="","",'Extraction edi'!B907)</f>
        <v/>
      </c>
      <c r="D897" s="1" t="str">
        <f>IF('Extraction edi'!H907="","",'Extraction edi'!H907)</f>
        <v/>
      </c>
      <c r="E897" s="1" t="str">
        <f>IF('Extraction edi'!I907="","",'Extraction edi'!I907)</f>
        <v/>
      </c>
      <c r="F897" t="str">
        <f>IF('Extraction edi'!K907="","",'Extraction edi'!K907)</f>
        <v/>
      </c>
      <c r="G897" t="str">
        <f>IF('Extraction edi'!L907="","",'Extraction edi'!L907)</f>
        <v/>
      </c>
      <c r="H897" t="str">
        <f>IF('Extraction edi'!M907="","",'Extraction edi'!M907)</f>
        <v/>
      </c>
      <c r="I897" s="1" t="str">
        <f>IF('Extraction edi'!N907="","",'Extraction edi'!N907)</f>
        <v/>
      </c>
      <c r="J897" s="1" t="str">
        <f>IF('Extraction edi'!O907="","",'Extraction edi'!O907)</f>
        <v/>
      </c>
      <c r="K897" s="1" t="str">
        <f>IF('Extraction edi'!P907="","",'Extraction edi'!P907)</f>
        <v/>
      </c>
      <c r="L897" s="1" t="str">
        <f>IF('Extraction edi'!Q907="laquage RAL :","OUI","")</f>
        <v/>
      </c>
      <c r="M897" s="1" t="str">
        <f>IF('Extraction edi'!R907&lt;&gt;"",'Extraction edi'!R907,IF(G897="ALU blanc","S9016",""))</f>
        <v/>
      </c>
      <c r="N897" s="1" t="str">
        <f>IF('Extraction edi'!S907&lt;&gt;"",'Extraction edi'!S907,IF(G897="ALU blanc","S9016",""))</f>
        <v/>
      </c>
      <c r="O897" s="11" t="str">
        <f>IF('Extraction edi'!V907&lt;'Feuille commande'!$E$1,"DELAI NON COMPATIBLE",IF('Extraction edi'!V907="","",WORKDAY('Extraction edi'!V907,-10,Paramètrage!$G$2:$G$104)))</f>
        <v/>
      </c>
      <c r="P897" s="1" t="e">
        <f t="shared" si="14"/>
        <v>#VALUE!</v>
      </c>
    </row>
    <row r="898" spans="1:16" x14ac:dyDescent="0.25">
      <c r="A898" s="1" t="e">
        <f>IF(#REF!="","",CONCATENATE(#REF!," / pos ",#REF!," / Secteur : ",'Extraction edi'!#REF!," / APPROLIGNE : ",WEEKNUM('Extraction edi'!H908)))</f>
        <v>#REF!</v>
      </c>
      <c r="B898" s="1" t="str">
        <f>IF('Extraction edi'!A908="","",'Extraction edi'!A908)</f>
        <v/>
      </c>
      <c r="C898" s="1" t="str">
        <f>IF('Extraction edi'!B908="","",'Extraction edi'!B908)</f>
        <v/>
      </c>
      <c r="D898" s="1" t="str">
        <f>IF('Extraction edi'!H908="","",'Extraction edi'!H908)</f>
        <v/>
      </c>
      <c r="E898" s="1" t="str">
        <f>IF('Extraction edi'!I908="","",'Extraction edi'!I908)</f>
        <v/>
      </c>
      <c r="F898" t="str">
        <f>IF('Extraction edi'!K908="","",'Extraction edi'!K908)</f>
        <v/>
      </c>
      <c r="G898" t="str">
        <f>IF('Extraction edi'!L908="","",'Extraction edi'!L908)</f>
        <v/>
      </c>
      <c r="H898" t="str">
        <f>IF('Extraction edi'!M908="","",'Extraction edi'!M908)</f>
        <v/>
      </c>
      <c r="I898" s="1" t="str">
        <f>IF('Extraction edi'!N908="","",'Extraction edi'!N908)</f>
        <v/>
      </c>
      <c r="J898" s="1" t="str">
        <f>IF('Extraction edi'!O908="","",'Extraction edi'!O908)</f>
        <v/>
      </c>
      <c r="K898" s="1" t="str">
        <f>IF('Extraction edi'!P908="","",'Extraction edi'!P908)</f>
        <v/>
      </c>
      <c r="L898" s="1" t="str">
        <f>IF('Extraction edi'!Q908="laquage RAL :","OUI","")</f>
        <v/>
      </c>
      <c r="M898" s="1" t="str">
        <f>IF('Extraction edi'!R908&lt;&gt;"",'Extraction edi'!R908,IF(G898="ALU blanc","S9016",""))</f>
        <v/>
      </c>
      <c r="N898" s="1" t="str">
        <f>IF('Extraction edi'!S908&lt;&gt;"",'Extraction edi'!S908,IF(G898="ALU blanc","S9016",""))</f>
        <v/>
      </c>
      <c r="O898" s="11" t="str">
        <f>IF('Extraction edi'!V908&lt;'Feuille commande'!$E$1,"DELAI NON COMPATIBLE",IF('Extraction edi'!V908="","",WORKDAY('Extraction edi'!V908,-10,Paramètrage!$G$2:$G$104)))</f>
        <v/>
      </c>
      <c r="P898" s="1" t="e">
        <f t="shared" si="14"/>
        <v>#VALUE!</v>
      </c>
    </row>
    <row r="899" spans="1:16" x14ac:dyDescent="0.25">
      <c r="A899" s="1" t="e">
        <f>IF(#REF!="","",CONCATENATE(#REF!," / pos ",#REF!," / Secteur : ",'Extraction edi'!#REF!," / APPROLIGNE : ",WEEKNUM('Extraction edi'!H909)))</f>
        <v>#REF!</v>
      </c>
      <c r="B899" s="1" t="str">
        <f>IF('Extraction edi'!A909="","",'Extraction edi'!A909)</f>
        <v/>
      </c>
      <c r="C899" s="1" t="str">
        <f>IF('Extraction edi'!B909="","",'Extraction edi'!B909)</f>
        <v/>
      </c>
      <c r="D899" s="1" t="str">
        <f>IF('Extraction edi'!H909="","",'Extraction edi'!H909)</f>
        <v/>
      </c>
      <c r="E899" s="1" t="str">
        <f>IF('Extraction edi'!I909="","",'Extraction edi'!I909)</f>
        <v/>
      </c>
      <c r="F899" t="str">
        <f>IF('Extraction edi'!K909="","",'Extraction edi'!K909)</f>
        <v/>
      </c>
      <c r="G899" t="str">
        <f>IF('Extraction edi'!L909="","",'Extraction edi'!L909)</f>
        <v/>
      </c>
      <c r="H899" t="str">
        <f>IF('Extraction edi'!M909="","",'Extraction edi'!M909)</f>
        <v/>
      </c>
      <c r="I899" s="1" t="str">
        <f>IF('Extraction edi'!N909="","",'Extraction edi'!N909)</f>
        <v/>
      </c>
      <c r="J899" s="1" t="str">
        <f>IF('Extraction edi'!O909="","",'Extraction edi'!O909)</f>
        <v/>
      </c>
      <c r="K899" s="1" t="str">
        <f>IF('Extraction edi'!P909="","",'Extraction edi'!P909)</f>
        <v/>
      </c>
      <c r="L899" s="1" t="str">
        <f>IF('Extraction edi'!Q909="laquage RAL :","OUI","")</f>
        <v/>
      </c>
      <c r="M899" s="1" t="str">
        <f>IF('Extraction edi'!R909&lt;&gt;"",'Extraction edi'!R909,IF(G899="ALU blanc","S9016",""))</f>
        <v/>
      </c>
      <c r="N899" s="1" t="str">
        <f>IF('Extraction edi'!S909&lt;&gt;"",'Extraction edi'!S909,IF(G899="ALU blanc","S9016",""))</f>
        <v/>
      </c>
      <c r="O899" s="11" t="str">
        <f>IF('Extraction edi'!V909&lt;'Feuille commande'!$E$1,"DELAI NON COMPATIBLE",IF('Extraction edi'!V909="","",WORKDAY('Extraction edi'!V909,-10,Paramètrage!$G$2:$G$104)))</f>
        <v/>
      </c>
      <c r="P899" s="1" t="e">
        <f t="shared" si="14"/>
        <v>#VALUE!</v>
      </c>
    </row>
    <row r="900" spans="1:16" x14ac:dyDescent="0.25">
      <c r="A900" s="1" t="e">
        <f>IF(#REF!="","",CONCATENATE(#REF!," / pos ",#REF!," / Secteur : ",'Extraction edi'!#REF!," / APPROLIGNE : ",WEEKNUM('Extraction edi'!H910)))</f>
        <v>#REF!</v>
      </c>
      <c r="B900" s="1" t="str">
        <f>IF('Extraction edi'!A910="","",'Extraction edi'!A910)</f>
        <v/>
      </c>
      <c r="C900" s="1" t="str">
        <f>IF('Extraction edi'!B910="","",'Extraction edi'!B910)</f>
        <v/>
      </c>
      <c r="D900" s="1" t="str">
        <f>IF('Extraction edi'!H910="","",'Extraction edi'!H910)</f>
        <v/>
      </c>
      <c r="E900" s="1" t="str">
        <f>IF('Extraction edi'!I910="","",'Extraction edi'!I910)</f>
        <v/>
      </c>
      <c r="F900" t="str">
        <f>IF('Extraction edi'!K910="","",'Extraction edi'!K910)</f>
        <v/>
      </c>
      <c r="G900" t="str">
        <f>IF('Extraction edi'!L910="","",'Extraction edi'!L910)</f>
        <v/>
      </c>
      <c r="H900" t="str">
        <f>IF('Extraction edi'!M910="","",'Extraction edi'!M910)</f>
        <v/>
      </c>
      <c r="I900" s="1" t="str">
        <f>IF('Extraction edi'!N910="","",'Extraction edi'!N910)</f>
        <v/>
      </c>
      <c r="J900" s="1" t="str">
        <f>IF('Extraction edi'!O910="","",'Extraction edi'!O910)</f>
        <v/>
      </c>
      <c r="K900" s="1" t="str">
        <f>IF('Extraction edi'!P910="","",'Extraction edi'!P910)</f>
        <v/>
      </c>
      <c r="L900" s="1" t="str">
        <f>IF('Extraction edi'!Q910="laquage RAL :","OUI","")</f>
        <v/>
      </c>
      <c r="M900" s="1" t="str">
        <f>IF('Extraction edi'!R910&lt;&gt;"",'Extraction edi'!R910,IF(G900="ALU blanc","S9016",""))</f>
        <v/>
      </c>
      <c r="N900" s="1" t="str">
        <f>IF('Extraction edi'!S910&lt;&gt;"",'Extraction edi'!S910,IF(G900="ALU blanc","S9016",""))</f>
        <v/>
      </c>
      <c r="O900" s="11" t="str">
        <f>IF('Extraction edi'!V910&lt;'Feuille commande'!$E$1,"DELAI NON COMPATIBLE",IF('Extraction edi'!V910="","",WORKDAY('Extraction edi'!V910,-10,Paramètrage!$G$2:$G$104)))</f>
        <v/>
      </c>
      <c r="P900" s="1" t="e">
        <f t="shared" si="14"/>
        <v>#VALUE!</v>
      </c>
    </row>
    <row r="901" spans="1:16" x14ac:dyDescent="0.25">
      <c r="A901" s="1" t="e">
        <f>IF(#REF!="","",CONCATENATE(#REF!," / pos ",#REF!," / Secteur : ",'Extraction edi'!#REF!," / APPROLIGNE : ",WEEKNUM('Extraction edi'!H911)))</f>
        <v>#REF!</v>
      </c>
      <c r="B901" s="1" t="str">
        <f>IF('Extraction edi'!A911="","",'Extraction edi'!A911)</f>
        <v/>
      </c>
      <c r="C901" s="1" t="str">
        <f>IF('Extraction edi'!B911="","",'Extraction edi'!B911)</f>
        <v/>
      </c>
      <c r="D901" s="1" t="str">
        <f>IF('Extraction edi'!H911="","",'Extraction edi'!H911)</f>
        <v/>
      </c>
      <c r="E901" s="1" t="str">
        <f>IF('Extraction edi'!I911="","",'Extraction edi'!I911)</f>
        <v/>
      </c>
      <c r="F901" t="str">
        <f>IF('Extraction edi'!K911="","",'Extraction edi'!K911)</f>
        <v/>
      </c>
      <c r="G901" t="str">
        <f>IF('Extraction edi'!L911="","",'Extraction edi'!L911)</f>
        <v/>
      </c>
      <c r="H901" t="str">
        <f>IF('Extraction edi'!M911="","",'Extraction edi'!M911)</f>
        <v/>
      </c>
      <c r="I901" s="1" t="str">
        <f>IF('Extraction edi'!N911="","",'Extraction edi'!N911)</f>
        <v/>
      </c>
      <c r="J901" s="1" t="str">
        <f>IF('Extraction edi'!O911="","",'Extraction edi'!O911)</f>
        <v/>
      </c>
      <c r="K901" s="1" t="str">
        <f>IF('Extraction edi'!P911="","",'Extraction edi'!P911)</f>
        <v/>
      </c>
      <c r="L901" s="1" t="str">
        <f>IF('Extraction edi'!Q911="laquage RAL :","OUI","")</f>
        <v/>
      </c>
      <c r="M901" s="1" t="str">
        <f>IF('Extraction edi'!R911&lt;&gt;"",'Extraction edi'!R911,IF(G901="ALU blanc","S9016",""))</f>
        <v/>
      </c>
      <c r="N901" s="1" t="str">
        <f>IF('Extraction edi'!S911&lt;&gt;"",'Extraction edi'!S911,IF(G901="ALU blanc","S9016",""))</f>
        <v/>
      </c>
      <c r="O901" s="11" t="str">
        <f>IF('Extraction edi'!V911&lt;'Feuille commande'!$E$1,"DELAI NON COMPATIBLE",IF('Extraction edi'!V911="","",WORKDAY('Extraction edi'!V911,-10,Paramètrage!$G$2:$G$104)))</f>
        <v/>
      </c>
      <c r="P901" s="1" t="e">
        <f t="shared" si="14"/>
        <v>#VALUE!</v>
      </c>
    </row>
    <row r="902" spans="1:16" x14ac:dyDescent="0.25">
      <c r="A902" s="1" t="e">
        <f>IF(#REF!="","",CONCATENATE(#REF!," / pos ",#REF!," / Secteur : ",'Extraction edi'!#REF!," / APPROLIGNE : ",WEEKNUM('Extraction edi'!H912)))</f>
        <v>#REF!</v>
      </c>
      <c r="B902" s="1" t="str">
        <f>IF('Extraction edi'!A912="","",'Extraction edi'!A912)</f>
        <v/>
      </c>
      <c r="C902" s="1" t="str">
        <f>IF('Extraction edi'!B912="","",'Extraction edi'!B912)</f>
        <v/>
      </c>
      <c r="D902" s="1" t="str">
        <f>IF('Extraction edi'!H912="","",'Extraction edi'!H912)</f>
        <v/>
      </c>
      <c r="E902" s="1" t="str">
        <f>IF('Extraction edi'!I912="","",'Extraction edi'!I912)</f>
        <v/>
      </c>
      <c r="F902" t="str">
        <f>IF('Extraction edi'!K912="","",'Extraction edi'!K912)</f>
        <v/>
      </c>
      <c r="G902" t="str">
        <f>IF('Extraction edi'!L912="","",'Extraction edi'!L912)</f>
        <v/>
      </c>
      <c r="H902" t="str">
        <f>IF('Extraction edi'!M912="","",'Extraction edi'!M912)</f>
        <v/>
      </c>
      <c r="I902" s="1" t="str">
        <f>IF('Extraction edi'!N912="","",'Extraction edi'!N912)</f>
        <v/>
      </c>
      <c r="J902" s="1" t="str">
        <f>IF('Extraction edi'!O912="","",'Extraction edi'!O912)</f>
        <v/>
      </c>
      <c r="K902" s="1" t="str">
        <f>IF('Extraction edi'!P912="","",'Extraction edi'!P912)</f>
        <v/>
      </c>
      <c r="L902" s="1" t="str">
        <f>IF('Extraction edi'!Q912="laquage RAL :","OUI","")</f>
        <v/>
      </c>
      <c r="M902" s="1" t="str">
        <f>IF('Extraction edi'!R912&lt;&gt;"",'Extraction edi'!R912,IF(G902="ALU blanc","S9016",""))</f>
        <v/>
      </c>
      <c r="N902" s="1" t="str">
        <f>IF('Extraction edi'!S912&lt;&gt;"",'Extraction edi'!S912,IF(G902="ALU blanc","S9016",""))</f>
        <v/>
      </c>
      <c r="O902" s="11" t="str">
        <f>IF('Extraction edi'!V912&lt;'Feuille commande'!$E$1,"DELAI NON COMPATIBLE",IF('Extraction edi'!V912="","",WORKDAY('Extraction edi'!V912,-10,Paramètrage!$G$2:$G$104)))</f>
        <v/>
      </c>
      <c r="P902" s="1" t="e">
        <f t="shared" si="14"/>
        <v>#VALUE!</v>
      </c>
    </row>
    <row r="903" spans="1:16" x14ac:dyDescent="0.25">
      <c r="A903" s="1" t="e">
        <f>IF(#REF!="","",CONCATENATE(#REF!," / pos ",#REF!," / Secteur : ",'Extraction edi'!#REF!," / APPROLIGNE : ",WEEKNUM('Extraction edi'!H913)))</f>
        <v>#REF!</v>
      </c>
      <c r="B903" s="1" t="str">
        <f>IF('Extraction edi'!A913="","",'Extraction edi'!A913)</f>
        <v/>
      </c>
      <c r="C903" s="1" t="str">
        <f>IF('Extraction edi'!B913="","",'Extraction edi'!B913)</f>
        <v/>
      </c>
      <c r="D903" s="1" t="str">
        <f>IF('Extraction edi'!H913="","",'Extraction edi'!H913)</f>
        <v/>
      </c>
      <c r="E903" s="1" t="str">
        <f>IF('Extraction edi'!I913="","",'Extraction edi'!I913)</f>
        <v/>
      </c>
      <c r="F903" t="str">
        <f>IF('Extraction edi'!K913="","",'Extraction edi'!K913)</f>
        <v/>
      </c>
      <c r="G903" t="str">
        <f>IF('Extraction edi'!L913="","",'Extraction edi'!L913)</f>
        <v/>
      </c>
      <c r="H903" t="str">
        <f>IF('Extraction edi'!M913="","",'Extraction edi'!M913)</f>
        <v/>
      </c>
      <c r="I903" s="1" t="str">
        <f>IF('Extraction edi'!N913="","",'Extraction edi'!N913)</f>
        <v/>
      </c>
      <c r="J903" s="1" t="str">
        <f>IF('Extraction edi'!O913="","",'Extraction edi'!O913)</f>
        <v/>
      </c>
      <c r="K903" s="1" t="str">
        <f>IF('Extraction edi'!P913="","",'Extraction edi'!P913)</f>
        <v/>
      </c>
      <c r="L903" s="1" t="str">
        <f>IF('Extraction edi'!Q913="laquage RAL :","OUI","")</f>
        <v/>
      </c>
      <c r="M903" s="1" t="str">
        <f>IF('Extraction edi'!R913&lt;&gt;"",'Extraction edi'!R913,IF(G903="ALU blanc","S9016",""))</f>
        <v/>
      </c>
      <c r="N903" s="1" t="str">
        <f>IF('Extraction edi'!S913&lt;&gt;"",'Extraction edi'!S913,IF(G903="ALU blanc","S9016",""))</f>
        <v/>
      </c>
      <c r="O903" s="11" t="str">
        <f>IF('Extraction edi'!V913&lt;'Feuille commande'!$E$1,"DELAI NON COMPATIBLE",IF('Extraction edi'!V913="","",WORKDAY('Extraction edi'!V913,-10,Paramètrage!$G$2:$G$104)))</f>
        <v/>
      </c>
      <c r="P903" s="1" t="e">
        <f t="shared" si="14"/>
        <v>#VALUE!</v>
      </c>
    </row>
    <row r="904" spans="1:16" x14ac:dyDescent="0.25">
      <c r="A904" s="1" t="e">
        <f>IF(#REF!="","",CONCATENATE(#REF!," / pos ",#REF!," / Secteur : ",'Extraction edi'!#REF!," / APPROLIGNE : ",WEEKNUM('Extraction edi'!H914)))</f>
        <v>#REF!</v>
      </c>
      <c r="B904" s="1" t="str">
        <f>IF('Extraction edi'!A914="","",'Extraction edi'!A914)</f>
        <v/>
      </c>
      <c r="C904" s="1" t="str">
        <f>IF('Extraction edi'!B914="","",'Extraction edi'!B914)</f>
        <v/>
      </c>
      <c r="D904" s="1" t="str">
        <f>IF('Extraction edi'!H914="","",'Extraction edi'!H914)</f>
        <v/>
      </c>
      <c r="E904" s="1" t="str">
        <f>IF('Extraction edi'!I914="","",'Extraction edi'!I914)</f>
        <v/>
      </c>
      <c r="F904" t="str">
        <f>IF('Extraction edi'!K914="","",'Extraction edi'!K914)</f>
        <v/>
      </c>
      <c r="G904" t="str">
        <f>IF('Extraction edi'!L914="","",'Extraction edi'!L914)</f>
        <v/>
      </c>
      <c r="H904" t="str">
        <f>IF('Extraction edi'!M914="","",'Extraction edi'!M914)</f>
        <v/>
      </c>
      <c r="I904" s="1" t="str">
        <f>IF('Extraction edi'!N914="","",'Extraction edi'!N914)</f>
        <v/>
      </c>
      <c r="J904" s="1" t="str">
        <f>IF('Extraction edi'!O914="","",'Extraction edi'!O914)</f>
        <v/>
      </c>
      <c r="K904" s="1" t="str">
        <f>IF('Extraction edi'!P914="","",'Extraction edi'!P914)</f>
        <v/>
      </c>
      <c r="L904" s="1" t="str">
        <f>IF('Extraction edi'!Q914="laquage RAL :","OUI","")</f>
        <v/>
      </c>
      <c r="M904" s="1" t="str">
        <f>IF('Extraction edi'!R914&lt;&gt;"",'Extraction edi'!R914,IF(G904="ALU blanc","S9016",""))</f>
        <v/>
      </c>
      <c r="N904" s="1" t="str">
        <f>IF('Extraction edi'!S914&lt;&gt;"",'Extraction edi'!S914,IF(G904="ALU blanc","S9016",""))</f>
        <v/>
      </c>
      <c r="O904" s="11" t="str">
        <f>IF('Extraction edi'!V914&lt;'Feuille commande'!$E$1,"DELAI NON COMPATIBLE",IF('Extraction edi'!V914="","",WORKDAY('Extraction edi'!V914,-10,Paramètrage!$G$2:$G$104)))</f>
        <v/>
      </c>
      <c r="P904" s="1" t="e">
        <f t="shared" si="14"/>
        <v>#VALUE!</v>
      </c>
    </row>
    <row r="905" spans="1:16" x14ac:dyDescent="0.25">
      <c r="A905" s="1" t="e">
        <f>IF(#REF!="","",CONCATENATE(#REF!," / pos ",#REF!," / Secteur : ",'Extraction edi'!#REF!," / APPROLIGNE : ",WEEKNUM('Extraction edi'!H915)))</f>
        <v>#REF!</v>
      </c>
      <c r="B905" s="1" t="str">
        <f>IF('Extraction edi'!A915="","",'Extraction edi'!A915)</f>
        <v/>
      </c>
      <c r="C905" s="1" t="str">
        <f>IF('Extraction edi'!B915="","",'Extraction edi'!B915)</f>
        <v/>
      </c>
      <c r="D905" s="1" t="str">
        <f>IF('Extraction edi'!H915="","",'Extraction edi'!H915)</f>
        <v/>
      </c>
      <c r="E905" s="1" t="str">
        <f>IF('Extraction edi'!I915="","",'Extraction edi'!I915)</f>
        <v/>
      </c>
      <c r="F905" t="str">
        <f>IF('Extraction edi'!K915="","",'Extraction edi'!K915)</f>
        <v/>
      </c>
      <c r="G905" t="str">
        <f>IF('Extraction edi'!L915="","",'Extraction edi'!L915)</f>
        <v/>
      </c>
      <c r="H905" t="str">
        <f>IF('Extraction edi'!M915="","",'Extraction edi'!M915)</f>
        <v/>
      </c>
      <c r="I905" s="1" t="str">
        <f>IF('Extraction edi'!N915="","",'Extraction edi'!N915)</f>
        <v/>
      </c>
      <c r="J905" s="1" t="str">
        <f>IF('Extraction edi'!O915="","",'Extraction edi'!O915)</f>
        <v/>
      </c>
      <c r="K905" s="1" t="str">
        <f>IF('Extraction edi'!P915="","",'Extraction edi'!P915)</f>
        <v/>
      </c>
      <c r="L905" s="1" t="str">
        <f>IF('Extraction edi'!Q915="laquage RAL :","OUI","")</f>
        <v/>
      </c>
      <c r="M905" s="1" t="str">
        <f>IF('Extraction edi'!R915&lt;&gt;"",'Extraction edi'!R915,IF(G905="ALU blanc","S9016",""))</f>
        <v/>
      </c>
      <c r="N905" s="1" t="str">
        <f>IF('Extraction edi'!S915&lt;&gt;"",'Extraction edi'!S915,IF(G905="ALU blanc","S9016",""))</f>
        <v/>
      </c>
      <c r="O905" s="11" t="str">
        <f>IF('Extraction edi'!V915&lt;'Feuille commande'!$E$1,"DELAI NON COMPATIBLE",IF('Extraction edi'!V915="","",WORKDAY('Extraction edi'!V915,-10,Paramètrage!$G$2:$G$104)))</f>
        <v/>
      </c>
      <c r="P905" s="1" t="e">
        <f t="shared" si="14"/>
        <v>#VALUE!</v>
      </c>
    </row>
    <row r="906" spans="1:16" x14ac:dyDescent="0.25">
      <c r="A906" s="1" t="e">
        <f>IF(#REF!="","",CONCATENATE(#REF!," / pos ",#REF!," / Secteur : ",'Extraction edi'!#REF!," / APPROLIGNE : ",WEEKNUM('Extraction edi'!H916)))</f>
        <v>#REF!</v>
      </c>
      <c r="B906" s="1" t="str">
        <f>IF('Extraction edi'!A916="","",'Extraction edi'!A916)</f>
        <v/>
      </c>
      <c r="C906" s="1" t="str">
        <f>IF('Extraction edi'!B916="","",'Extraction edi'!B916)</f>
        <v/>
      </c>
      <c r="D906" s="1" t="str">
        <f>IF('Extraction edi'!H916="","",'Extraction edi'!H916)</f>
        <v/>
      </c>
      <c r="E906" s="1" t="str">
        <f>IF('Extraction edi'!I916="","",'Extraction edi'!I916)</f>
        <v/>
      </c>
      <c r="F906" t="str">
        <f>IF('Extraction edi'!K916="","",'Extraction edi'!K916)</f>
        <v/>
      </c>
      <c r="G906" t="str">
        <f>IF('Extraction edi'!L916="","",'Extraction edi'!L916)</f>
        <v/>
      </c>
      <c r="H906" t="str">
        <f>IF('Extraction edi'!M916="","",'Extraction edi'!M916)</f>
        <v/>
      </c>
      <c r="I906" s="1" t="str">
        <f>IF('Extraction edi'!N916="","",'Extraction edi'!N916)</f>
        <v/>
      </c>
      <c r="J906" s="1" t="str">
        <f>IF('Extraction edi'!O916="","",'Extraction edi'!O916)</f>
        <v/>
      </c>
      <c r="K906" s="1" t="str">
        <f>IF('Extraction edi'!P916="","",'Extraction edi'!P916)</f>
        <v/>
      </c>
      <c r="L906" s="1" t="str">
        <f>IF('Extraction edi'!Q916="laquage RAL :","OUI","")</f>
        <v/>
      </c>
      <c r="M906" s="1" t="str">
        <f>IF('Extraction edi'!R916&lt;&gt;"",'Extraction edi'!R916,IF(G906="ALU blanc","S9016",""))</f>
        <v/>
      </c>
      <c r="N906" s="1" t="str">
        <f>IF('Extraction edi'!S916&lt;&gt;"",'Extraction edi'!S916,IF(G906="ALU blanc","S9016",""))</f>
        <v/>
      </c>
      <c r="O906" s="11" t="str">
        <f>IF('Extraction edi'!V916&lt;'Feuille commande'!$E$1,"DELAI NON COMPATIBLE",IF('Extraction edi'!V916="","",WORKDAY('Extraction edi'!V916,-10,Paramètrage!$G$2:$G$104)))</f>
        <v/>
      </c>
      <c r="P906" s="1" t="e">
        <f t="shared" si="14"/>
        <v>#VALUE!</v>
      </c>
    </row>
    <row r="907" spans="1:16" x14ac:dyDescent="0.25">
      <c r="A907" s="1" t="e">
        <f>IF(#REF!="","",CONCATENATE(#REF!," / pos ",#REF!," / Secteur : ",'Extraction edi'!#REF!," / APPROLIGNE : ",WEEKNUM('Extraction edi'!H917)))</f>
        <v>#REF!</v>
      </c>
      <c r="B907" s="1" t="str">
        <f>IF('Extraction edi'!A917="","",'Extraction edi'!A917)</f>
        <v/>
      </c>
      <c r="C907" s="1" t="str">
        <f>IF('Extraction edi'!B917="","",'Extraction edi'!B917)</f>
        <v/>
      </c>
      <c r="D907" s="1" t="str">
        <f>IF('Extraction edi'!H917="","",'Extraction edi'!H917)</f>
        <v/>
      </c>
      <c r="E907" s="1" t="str">
        <f>IF('Extraction edi'!I917="","",'Extraction edi'!I917)</f>
        <v/>
      </c>
      <c r="F907" t="str">
        <f>IF('Extraction edi'!K917="","",'Extraction edi'!K917)</f>
        <v/>
      </c>
      <c r="G907" t="str">
        <f>IF('Extraction edi'!L917="","",'Extraction edi'!L917)</f>
        <v/>
      </c>
      <c r="H907" t="str">
        <f>IF('Extraction edi'!M917="","",'Extraction edi'!M917)</f>
        <v/>
      </c>
      <c r="I907" s="1" t="str">
        <f>IF('Extraction edi'!N917="","",'Extraction edi'!N917)</f>
        <v/>
      </c>
      <c r="J907" s="1" t="str">
        <f>IF('Extraction edi'!O917="","",'Extraction edi'!O917)</f>
        <v/>
      </c>
      <c r="K907" s="1" t="str">
        <f>IF('Extraction edi'!P917="","",'Extraction edi'!P917)</f>
        <v/>
      </c>
      <c r="L907" s="1" t="str">
        <f>IF('Extraction edi'!Q917="laquage RAL :","OUI","")</f>
        <v/>
      </c>
      <c r="M907" s="1" t="str">
        <f>IF('Extraction edi'!R917&lt;&gt;"",'Extraction edi'!R917,IF(G907="ALU blanc","S9016",""))</f>
        <v/>
      </c>
      <c r="N907" s="1" t="str">
        <f>IF('Extraction edi'!S917&lt;&gt;"",'Extraction edi'!S917,IF(G907="ALU blanc","S9016",""))</f>
        <v/>
      </c>
      <c r="O907" s="11" t="str">
        <f>IF('Extraction edi'!V917&lt;'Feuille commande'!$E$1,"DELAI NON COMPATIBLE",IF('Extraction edi'!V917="","",WORKDAY('Extraction edi'!V917,-10,Paramètrage!$G$2:$G$104)))</f>
        <v/>
      </c>
      <c r="P907" s="1" t="e">
        <f t="shared" si="14"/>
        <v>#VALUE!</v>
      </c>
    </row>
    <row r="908" spans="1:16" x14ac:dyDescent="0.25">
      <c r="A908" s="1" t="e">
        <f>IF(#REF!="","",CONCATENATE(#REF!," / pos ",#REF!," / Secteur : ",'Extraction edi'!#REF!," / APPROLIGNE : ",WEEKNUM('Extraction edi'!H918)))</f>
        <v>#REF!</v>
      </c>
      <c r="B908" s="1" t="str">
        <f>IF('Extraction edi'!A918="","",'Extraction edi'!A918)</f>
        <v/>
      </c>
      <c r="C908" s="1" t="str">
        <f>IF('Extraction edi'!B918="","",'Extraction edi'!B918)</f>
        <v/>
      </c>
      <c r="D908" s="1" t="str">
        <f>IF('Extraction edi'!H918="","",'Extraction edi'!H918)</f>
        <v/>
      </c>
      <c r="E908" s="1" t="str">
        <f>IF('Extraction edi'!I918="","",'Extraction edi'!I918)</f>
        <v/>
      </c>
      <c r="F908" t="str">
        <f>IF('Extraction edi'!K918="","",'Extraction edi'!K918)</f>
        <v/>
      </c>
      <c r="G908" t="str">
        <f>IF('Extraction edi'!L918="","",'Extraction edi'!L918)</f>
        <v/>
      </c>
      <c r="H908" t="str">
        <f>IF('Extraction edi'!M918="","",'Extraction edi'!M918)</f>
        <v/>
      </c>
      <c r="I908" s="1" t="str">
        <f>IF('Extraction edi'!N918="","",'Extraction edi'!N918)</f>
        <v/>
      </c>
      <c r="J908" s="1" t="str">
        <f>IF('Extraction edi'!O918="","",'Extraction edi'!O918)</f>
        <v/>
      </c>
      <c r="K908" s="1" t="str">
        <f>IF('Extraction edi'!P918="","",'Extraction edi'!P918)</f>
        <v/>
      </c>
      <c r="L908" s="1" t="str">
        <f>IF('Extraction edi'!Q918="laquage RAL :","OUI","")</f>
        <v/>
      </c>
      <c r="M908" s="1" t="str">
        <f>IF('Extraction edi'!R918&lt;&gt;"",'Extraction edi'!R918,IF(G908="ALU blanc","S9016",""))</f>
        <v/>
      </c>
      <c r="N908" s="1" t="str">
        <f>IF('Extraction edi'!S918&lt;&gt;"",'Extraction edi'!S918,IF(G908="ALU blanc","S9016",""))</f>
        <v/>
      </c>
      <c r="O908" s="11" t="str">
        <f>IF('Extraction edi'!V918&lt;'Feuille commande'!$E$1,"DELAI NON COMPATIBLE",IF('Extraction edi'!V918="","",WORKDAY('Extraction edi'!V918,-10,Paramètrage!$G$2:$G$104)))</f>
        <v/>
      </c>
      <c r="P908" s="1" t="e">
        <f t="shared" si="14"/>
        <v>#VALUE!</v>
      </c>
    </row>
    <row r="909" spans="1:16" x14ac:dyDescent="0.25">
      <c r="A909" s="1" t="e">
        <f>IF(#REF!="","",CONCATENATE(#REF!," / pos ",#REF!," / Secteur : ",'Extraction edi'!#REF!," / APPROLIGNE : ",WEEKNUM('Extraction edi'!H919)))</f>
        <v>#REF!</v>
      </c>
      <c r="B909" s="1" t="str">
        <f>IF('Extraction edi'!A919="","",'Extraction edi'!A919)</f>
        <v/>
      </c>
      <c r="C909" s="1" t="str">
        <f>IF('Extraction edi'!B919="","",'Extraction edi'!B919)</f>
        <v/>
      </c>
      <c r="D909" s="1" t="str">
        <f>IF('Extraction edi'!H919="","",'Extraction edi'!H919)</f>
        <v/>
      </c>
      <c r="E909" s="1" t="str">
        <f>IF('Extraction edi'!I919="","",'Extraction edi'!I919)</f>
        <v/>
      </c>
      <c r="F909" t="str">
        <f>IF('Extraction edi'!K919="","",'Extraction edi'!K919)</f>
        <v/>
      </c>
      <c r="G909" t="str">
        <f>IF('Extraction edi'!L919="","",'Extraction edi'!L919)</f>
        <v/>
      </c>
      <c r="H909" t="str">
        <f>IF('Extraction edi'!M919="","",'Extraction edi'!M919)</f>
        <v/>
      </c>
      <c r="I909" s="1" t="str">
        <f>IF('Extraction edi'!N919="","",'Extraction edi'!N919)</f>
        <v/>
      </c>
      <c r="J909" s="1" t="str">
        <f>IF('Extraction edi'!O919="","",'Extraction edi'!O919)</f>
        <v/>
      </c>
      <c r="K909" s="1" t="str">
        <f>IF('Extraction edi'!P919="","",'Extraction edi'!P919)</f>
        <v/>
      </c>
      <c r="L909" s="1" t="str">
        <f>IF('Extraction edi'!Q919="laquage RAL :","OUI","")</f>
        <v/>
      </c>
      <c r="M909" s="1" t="str">
        <f>IF('Extraction edi'!R919&lt;&gt;"",'Extraction edi'!R919,IF(G909="ALU blanc","S9016",""))</f>
        <v/>
      </c>
      <c r="N909" s="1" t="str">
        <f>IF('Extraction edi'!S919&lt;&gt;"",'Extraction edi'!S919,IF(G909="ALU blanc","S9016",""))</f>
        <v/>
      </c>
      <c r="O909" s="11" t="str">
        <f>IF('Extraction edi'!V919&lt;'Feuille commande'!$E$1,"DELAI NON COMPATIBLE",IF('Extraction edi'!V919="","",WORKDAY('Extraction edi'!V919,-10,Paramètrage!$G$2:$G$104)))</f>
        <v/>
      </c>
      <c r="P909" s="1" t="e">
        <f t="shared" si="14"/>
        <v>#VALUE!</v>
      </c>
    </row>
    <row r="910" spans="1:16" x14ac:dyDescent="0.25">
      <c r="A910" s="1" t="e">
        <f>IF(#REF!="","",CONCATENATE(#REF!," / pos ",#REF!," / Secteur : ",'Extraction edi'!#REF!," / APPROLIGNE : ",WEEKNUM('Extraction edi'!H920)))</f>
        <v>#REF!</v>
      </c>
      <c r="B910" s="1" t="str">
        <f>IF('Extraction edi'!A920="","",'Extraction edi'!A920)</f>
        <v/>
      </c>
      <c r="C910" s="1" t="str">
        <f>IF('Extraction edi'!B920="","",'Extraction edi'!B920)</f>
        <v/>
      </c>
      <c r="D910" s="1" t="str">
        <f>IF('Extraction edi'!H920="","",'Extraction edi'!H920)</f>
        <v/>
      </c>
      <c r="E910" s="1" t="str">
        <f>IF('Extraction edi'!I920="","",'Extraction edi'!I920)</f>
        <v/>
      </c>
      <c r="F910" t="str">
        <f>IF('Extraction edi'!K920="","",'Extraction edi'!K920)</f>
        <v/>
      </c>
      <c r="G910" t="str">
        <f>IF('Extraction edi'!L920="","",'Extraction edi'!L920)</f>
        <v/>
      </c>
      <c r="H910" t="str">
        <f>IF('Extraction edi'!M920="","",'Extraction edi'!M920)</f>
        <v/>
      </c>
      <c r="I910" s="1" t="str">
        <f>IF('Extraction edi'!N920="","",'Extraction edi'!N920)</f>
        <v/>
      </c>
      <c r="J910" s="1" t="str">
        <f>IF('Extraction edi'!O920="","",'Extraction edi'!O920)</f>
        <v/>
      </c>
      <c r="K910" s="1" t="str">
        <f>IF('Extraction edi'!P920="","",'Extraction edi'!P920)</f>
        <v/>
      </c>
      <c r="L910" s="1" t="str">
        <f>IF('Extraction edi'!Q920="laquage RAL :","OUI","")</f>
        <v/>
      </c>
      <c r="M910" s="1" t="str">
        <f>IF('Extraction edi'!R920&lt;&gt;"",'Extraction edi'!R920,IF(G910="ALU blanc","S9016",""))</f>
        <v/>
      </c>
      <c r="N910" s="1" t="str">
        <f>IF('Extraction edi'!S920&lt;&gt;"",'Extraction edi'!S920,IF(G910="ALU blanc","S9016",""))</f>
        <v/>
      </c>
      <c r="O910" s="11" t="str">
        <f>IF('Extraction edi'!V920&lt;'Feuille commande'!$E$1,"DELAI NON COMPATIBLE",IF('Extraction edi'!V920="","",WORKDAY('Extraction edi'!V920,-10,Paramètrage!$G$2:$G$104)))</f>
        <v/>
      </c>
      <c r="P910" s="1" t="e">
        <f t="shared" si="14"/>
        <v>#VALUE!</v>
      </c>
    </row>
    <row r="911" spans="1:16" x14ac:dyDescent="0.25">
      <c r="A911" s="1" t="e">
        <f>IF(#REF!="","",CONCATENATE(#REF!," / pos ",#REF!," / Secteur : ",'Extraction edi'!#REF!," / APPROLIGNE : ",WEEKNUM('Extraction edi'!H921)))</f>
        <v>#REF!</v>
      </c>
      <c r="B911" s="1" t="str">
        <f>IF('Extraction edi'!A921="","",'Extraction edi'!A921)</f>
        <v/>
      </c>
      <c r="C911" s="1" t="str">
        <f>IF('Extraction edi'!B921="","",'Extraction edi'!B921)</f>
        <v/>
      </c>
      <c r="D911" s="1" t="str">
        <f>IF('Extraction edi'!H921="","",'Extraction edi'!H921)</f>
        <v/>
      </c>
      <c r="E911" s="1" t="str">
        <f>IF('Extraction edi'!I921="","",'Extraction edi'!I921)</f>
        <v/>
      </c>
      <c r="F911" t="str">
        <f>IF('Extraction edi'!K921="","",'Extraction edi'!K921)</f>
        <v/>
      </c>
      <c r="G911" t="str">
        <f>IF('Extraction edi'!L921="","",'Extraction edi'!L921)</f>
        <v/>
      </c>
      <c r="H911" t="str">
        <f>IF('Extraction edi'!M921="","",'Extraction edi'!M921)</f>
        <v/>
      </c>
      <c r="I911" s="1" t="str">
        <f>IF('Extraction edi'!N921="","",'Extraction edi'!N921)</f>
        <v/>
      </c>
      <c r="J911" s="1" t="str">
        <f>IF('Extraction edi'!O921="","",'Extraction edi'!O921)</f>
        <v/>
      </c>
      <c r="K911" s="1" t="str">
        <f>IF('Extraction edi'!P921="","",'Extraction edi'!P921)</f>
        <v/>
      </c>
      <c r="L911" s="1" t="str">
        <f>IF('Extraction edi'!Q921="laquage RAL :","OUI","")</f>
        <v/>
      </c>
      <c r="M911" s="1" t="str">
        <f>IF('Extraction edi'!R921&lt;&gt;"",'Extraction edi'!R921,IF(G911="ALU blanc","S9016",""))</f>
        <v/>
      </c>
      <c r="N911" s="1" t="str">
        <f>IF('Extraction edi'!S921&lt;&gt;"",'Extraction edi'!S921,IF(G911="ALU blanc","S9016",""))</f>
        <v/>
      </c>
      <c r="O911" s="11" t="str">
        <f>IF('Extraction edi'!V921&lt;'Feuille commande'!$E$1,"DELAI NON COMPATIBLE",IF('Extraction edi'!V921="","",WORKDAY('Extraction edi'!V921,-10,Paramètrage!$G$2:$G$104)))</f>
        <v/>
      </c>
      <c r="P911" s="1" t="e">
        <f t="shared" si="14"/>
        <v>#VALUE!</v>
      </c>
    </row>
    <row r="912" spans="1:16" x14ac:dyDescent="0.25">
      <c r="A912" s="1" t="e">
        <f>IF(#REF!="","",CONCATENATE(#REF!," / pos ",#REF!," / Secteur : ",'Extraction edi'!#REF!," / APPROLIGNE : ",WEEKNUM('Extraction edi'!H922)))</f>
        <v>#REF!</v>
      </c>
      <c r="B912" s="1" t="str">
        <f>IF('Extraction edi'!A922="","",'Extraction edi'!A922)</f>
        <v/>
      </c>
      <c r="C912" s="1" t="str">
        <f>IF('Extraction edi'!B922="","",'Extraction edi'!B922)</f>
        <v/>
      </c>
      <c r="D912" s="1" t="str">
        <f>IF('Extraction edi'!H922="","",'Extraction edi'!H922)</f>
        <v/>
      </c>
      <c r="E912" s="1" t="str">
        <f>IF('Extraction edi'!I922="","",'Extraction edi'!I922)</f>
        <v/>
      </c>
      <c r="F912" t="str">
        <f>IF('Extraction edi'!K922="","",'Extraction edi'!K922)</f>
        <v/>
      </c>
      <c r="G912" t="str">
        <f>IF('Extraction edi'!L922="","",'Extraction edi'!L922)</f>
        <v/>
      </c>
      <c r="H912" t="str">
        <f>IF('Extraction edi'!M922="","",'Extraction edi'!M922)</f>
        <v/>
      </c>
      <c r="I912" s="1" t="str">
        <f>IF('Extraction edi'!N922="","",'Extraction edi'!N922)</f>
        <v/>
      </c>
      <c r="J912" s="1" t="str">
        <f>IF('Extraction edi'!O922="","",'Extraction edi'!O922)</f>
        <v/>
      </c>
      <c r="K912" s="1" t="str">
        <f>IF('Extraction edi'!P922="","",'Extraction edi'!P922)</f>
        <v/>
      </c>
      <c r="L912" s="1" t="str">
        <f>IF('Extraction edi'!Q922="laquage RAL :","OUI","")</f>
        <v/>
      </c>
      <c r="M912" s="1" t="str">
        <f>IF('Extraction edi'!R922&lt;&gt;"",'Extraction edi'!R922,IF(G912="ALU blanc","S9016",""))</f>
        <v/>
      </c>
      <c r="N912" s="1" t="str">
        <f>IF('Extraction edi'!S922&lt;&gt;"",'Extraction edi'!S922,IF(G912="ALU blanc","S9016",""))</f>
        <v/>
      </c>
      <c r="O912" s="11" t="str">
        <f>IF('Extraction edi'!V922&lt;'Feuille commande'!$E$1,"DELAI NON COMPATIBLE",IF('Extraction edi'!V922="","",WORKDAY('Extraction edi'!V922,-10,Paramètrage!$G$2:$G$104)))</f>
        <v/>
      </c>
      <c r="P912" s="1" t="e">
        <f t="shared" si="14"/>
        <v>#VALUE!</v>
      </c>
    </row>
    <row r="913" spans="1:16" x14ac:dyDescent="0.25">
      <c r="A913" s="1" t="e">
        <f>IF(#REF!="","",CONCATENATE(#REF!," / pos ",#REF!," / Secteur : ",'Extraction edi'!#REF!," / APPROLIGNE : ",WEEKNUM('Extraction edi'!H923)))</f>
        <v>#REF!</v>
      </c>
      <c r="B913" s="1" t="str">
        <f>IF('Extraction edi'!A923="","",'Extraction edi'!A923)</f>
        <v/>
      </c>
      <c r="C913" s="1" t="str">
        <f>IF('Extraction edi'!B923="","",'Extraction edi'!B923)</f>
        <v/>
      </c>
      <c r="D913" s="1" t="str">
        <f>IF('Extraction edi'!H923="","",'Extraction edi'!H923)</f>
        <v/>
      </c>
      <c r="E913" s="1" t="str">
        <f>IF('Extraction edi'!I923="","",'Extraction edi'!I923)</f>
        <v/>
      </c>
      <c r="F913" t="str">
        <f>IF('Extraction edi'!K923="","",'Extraction edi'!K923)</f>
        <v/>
      </c>
      <c r="G913" t="str">
        <f>IF('Extraction edi'!L923="","",'Extraction edi'!L923)</f>
        <v/>
      </c>
      <c r="H913" t="str">
        <f>IF('Extraction edi'!M923="","",'Extraction edi'!M923)</f>
        <v/>
      </c>
      <c r="I913" s="1" t="str">
        <f>IF('Extraction edi'!N923="","",'Extraction edi'!N923)</f>
        <v/>
      </c>
      <c r="J913" s="1" t="str">
        <f>IF('Extraction edi'!O923="","",'Extraction edi'!O923)</f>
        <v/>
      </c>
      <c r="K913" s="1" t="str">
        <f>IF('Extraction edi'!P923="","",'Extraction edi'!P923)</f>
        <v/>
      </c>
      <c r="L913" s="1" t="str">
        <f>IF('Extraction edi'!Q923="laquage RAL :","OUI","")</f>
        <v/>
      </c>
      <c r="M913" s="1" t="str">
        <f>IF('Extraction edi'!R923&lt;&gt;"",'Extraction edi'!R923,IF(G913="ALU blanc","S9016",""))</f>
        <v/>
      </c>
      <c r="N913" s="1" t="str">
        <f>IF('Extraction edi'!S923&lt;&gt;"",'Extraction edi'!S923,IF(G913="ALU blanc","S9016",""))</f>
        <v/>
      </c>
      <c r="O913" s="11" t="str">
        <f>IF('Extraction edi'!V923&lt;'Feuille commande'!$E$1,"DELAI NON COMPATIBLE",IF('Extraction edi'!V923="","",WORKDAY('Extraction edi'!V923,-10,Paramètrage!$G$2:$G$104)))</f>
        <v/>
      </c>
      <c r="P913" s="1" t="e">
        <f t="shared" si="14"/>
        <v>#VALUE!</v>
      </c>
    </row>
    <row r="914" spans="1:16" x14ac:dyDescent="0.25">
      <c r="A914" s="1" t="e">
        <f>IF(#REF!="","",CONCATENATE(#REF!," / pos ",#REF!," / Secteur : ",'Extraction edi'!#REF!," / APPROLIGNE : ",WEEKNUM('Extraction edi'!H924)))</f>
        <v>#REF!</v>
      </c>
      <c r="B914" s="1" t="str">
        <f>IF('Extraction edi'!A924="","",'Extraction edi'!A924)</f>
        <v/>
      </c>
      <c r="C914" s="1" t="str">
        <f>IF('Extraction edi'!B924="","",'Extraction edi'!B924)</f>
        <v/>
      </c>
      <c r="D914" s="1" t="str">
        <f>IF('Extraction edi'!H924="","",'Extraction edi'!H924)</f>
        <v/>
      </c>
      <c r="E914" s="1" t="str">
        <f>IF('Extraction edi'!I924="","",'Extraction edi'!I924)</f>
        <v/>
      </c>
      <c r="F914" t="str">
        <f>IF('Extraction edi'!K924="","",'Extraction edi'!K924)</f>
        <v/>
      </c>
      <c r="G914" t="str">
        <f>IF('Extraction edi'!L924="","",'Extraction edi'!L924)</f>
        <v/>
      </c>
      <c r="H914" t="str">
        <f>IF('Extraction edi'!M924="","",'Extraction edi'!M924)</f>
        <v/>
      </c>
      <c r="I914" s="1" t="str">
        <f>IF('Extraction edi'!N924="","",'Extraction edi'!N924)</f>
        <v/>
      </c>
      <c r="J914" s="1" t="str">
        <f>IF('Extraction edi'!O924="","",'Extraction edi'!O924)</f>
        <v/>
      </c>
      <c r="K914" s="1" t="str">
        <f>IF('Extraction edi'!P924="","",'Extraction edi'!P924)</f>
        <v/>
      </c>
      <c r="L914" s="1" t="str">
        <f>IF('Extraction edi'!Q924="laquage RAL :","OUI","")</f>
        <v/>
      </c>
      <c r="M914" s="1" t="str">
        <f>IF('Extraction edi'!R924&lt;&gt;"",'Extraction edi'!R924,IF(G914="ALU blanc","S9016",""))</f>
        <v/>
      </c>
      <c r="N914" s="1" t="str">
        <f>IF('Extraction edi'!S924&lt;&gt;"",'Extraction edi'!S924,IF(G914="ALU blanc","S9016",""))</f>
        <v/>
      </c>
      <c r="O914" s="11" t="str">
        <f>IF('Extraction edi'!V924&lt;'Feuille commande'!$E$1,"DELAI NON COMPATIBLE",IF('Extraction edi'!V924="","",WORKDAY('Extraction edi'!V924,-10,Paramètrage!$G$2:$G$104)))</f>
        <v/>
      </c>
      <c r="P914" s="1" t="e">
        <f t="shared" si="14"/>
        <v>#VALUE!</v>
      </c>
    </row>
    <row r="915" spans="1:16" x14ac:dyDescent="0.25">
      <c r="A915" s="1" t="e">
        <f>IF(#REF!="","",CONCATENATE(#REF!," / pos ",#REF!," / Secteur : ",'Extraction edi'!#REF!," / APPROLIGNE : ",WEEKNUM('Extraction edi'!H925)))</f>
        <v>#REF!</v>
      </c>
      <c r="B915" s="1" t="str">
        <f>IF('Extraction edi'!A925="","",'Extraction edi'!A925)</f>
        <v/>
      </c>
      <c r="C915" s="1" t="str">
        <f>IF('Extraction edi'!B925="","",'Extraction edi'!B925)</f>
        <v/>
      </c>
      <c r="D915" s="1" t="str">
        <f>IF('Extraction edi'!H925="","",'Extraction edi'!H925)</f>
        <v/>
      </c>
      <c r="E915" s="1" t="str">
        <f>IF('Extraction edi'!I925="","",'Extraction edi'!I925)</f>
        <v/>
      </c>
      <c r="F915" t="str">
        <f>IF('Extraction edi'!K925="","",'Extraction edi'!K925)</f>
        <v/>
      </c>
      <c r="G915" t="str">
        <f>IF('Extraction edi'!L925="","",'Extraction edi'!L925)</f>
        <v/>
      </c>
      <c r="H915" t="str">
        <f>IF('Extraction edi'!M925="","",'Extraction edi'!M925)</f>
        <v/>
      </c>
      <c r="I915" s="1" t="str">
        <f>IF('Extraction edi'!N925="","",'Extraction edi'!N925)</f>
        <v/>
      </c>
      <c r="J915" s="1" t="str">
        <f>IF('Extraction edi'!O925="","",'Extraction edi'!O925)</f>
        <v/>
      </c>
      <c r="K915" s="1" t="str">
        <f>IF('Extraction edi'!P925="","",'Extraction edi'!P925)</f>
        <v/>
      </c>
      <c r="L915" s="1" t="str">
        <f>IF('Extraction edi'!Q925="laquage RAL :","OUI","")</f>
        <v/>
      </c>
      <c r="M915" s="1" t="str">
        <f>IF('Extraction edi'!R925&lt;&gt;"",'Extraction edi'!R925,IF(G915="ALU blanc","S9016",""))</f>
        <v/>
      </c>
      <c r="N915" s="1" t="str">
        <f>IF('Extraction edi'!S925&lt;&gt;"",'Extraction edi'!S925,IF(G915="ALU blanc","S9016",""))</f>
        <v/>
      </c>
      <c r="O915" s="11" t="str">
        <f>IF('Extraction edi'!V925&lt;'Feuille commande'!$E$1,"DELAI NON COMPATIBLE",IF('Extraction edi'!V925="","",WORKDAY('Extraction edi'!V925,-10,Paramètrage!$G$2:$G$104)))</f>
        <v/>
      </c>
      <c r="P915" s="1" t="e">
        <f t="shared" si="14"/>
        <v>#VALUE!</v>
      </c>
    </row>
    <row r="916" spans="1:16" x14ac:dyDescent="0.25">
      <c r="A916" s="1" t="e">
        <f>IF(#REF!="","",CONCATENATE(#REF!," / pos ",#REF!," / Secteur : ",'Extraction edi'!#REF!," / APPROLIGNE : ",WEEKNUM('Extraction edi'!H926)))</f>
        <v>#REF!</v>
      </c>
      <c r="B916" s="1" t="str">
        <f>IF('Extraction edi'!A926="","",'Extraction edi'!A926)</f>
        <v/>
      </c>
      <c r="C916" s="1" t="str">
        <f>IF('Extraction edi'!B926="","",'Extraction edi'!B926)</f>
        <v/>
      </c>
      <c r="D916" s="1" t="str">
        <f>IF('Extraction edi'!H926="","",'Extraction edi'!H926)</f>
        <v/>
      </c>
      <c r="E916" s="1" t="str">
        <f>IF('Extraction edi'!I926="","",'Extraction edi'!I926)</f>
        <v/>
      </c>
      <c r="F916" t="str">
        <f>IF('Extraction edi'!K926="","",'Extraction edi'!K926)</f>
        <v/>
      </c>
      <c r="G916" t="str">
        <f>IF('Extraction edi'!L926="","",'Extraction edi'!L926)</f>
        <v/>
      </c>
      <c r="H916" t="str">
        <f>IF('Extraction edi'!M926="","",'Extraction edi'!M926)</f>
        <v/>
      </c>
      <c r="I916" s="1" t="str">
        <f>IF('Extraction edi'!N926="","",'Extraction edi'!N926)</f>
        <v/>
      </c>
      <c r="J916" s="1" t="str">
        <f>IF('Extraction edi'!O926="","",'Extraction edi'!O926)</f>
        <v/>
      </c>
      <c r="K916" s="1" t="str">
        <f>IF('Extraction edi'!P926="","",'Extraction edi'!P926)</f>
        <v/>
      </c>
      <c r="L916" s="1" t="str">
        <f>IF('Extraction edi'!Q926="laquage RAL :","OUI","")</f>
        <v/>
      </c>
      <c r="M916" s="1" t="str">
        <f>IF('Extraction edi'!R926&lt;&gt;"",'Extraction edi'!R926,IF(G916="ALU blanc","S9016",""))</f>
        <v/>
      </c>
      <c r="N916" s="1" t="str">
        <f>IF('Extraction edi'!S926&lt;&gt;"",'Extraction edi'!S926,IF(G916="ALU blanc","S9016",""))</f>
        <v/>
      </c>
      <c r="O916" s="11" t="str">
        <f>IF('Extraction edi'!V926&lt;'Feuille commande'!$E$1,"DELAI NON COMPATIBLE",IF('Extraction edi'!V926="","",WORKDAY('Extraction edi'!V926,-10,Paramètrage!$G$2:$G$104)))</f>
        <v/>
      </c>
      <c r="P916" s="1" t="e">
        <f t="shared" si="14"/>
        <v>#VALUE!</v>
      </c>
    </row>
    <row r="917" spans="1:16" x14ac:dyDescent="0.25">
      <c r="A917" s="1" t="e">
        <f>IF(#REF!="","",CONCATENATE(#REF!," / pos ",#REF!," / Secteur : ",'Extraction edi'!#REF!," / APPROLIGNE : ",WEEKNUM('Extraction edi'!H927)))</f>
        <v>#REF!</v>
      </c>
      <c r="B917" s="1" t="str">
        <f>IF('Extraction edi'!A927="","",'Extraction edi'!A927)</f>
        <v/>
      </c>
      <c r="C917" s="1" t="str">
        <f>IF('Extraction edi'!B927="","",'Extraction edi'!B927)</f>
        <v/>
      </c>
      <c r="D917" s="1" t="str">
        <f>IF('Extraction edi'!H927="","",'Extraction edi'!H927)</f>
        <v/>
      </c>
      <c r="E917" s="1" t="str">
        <f>IF('Extraction edi'!I927="","",'Extraction edi'!I927)</f>
        <v/>
      </c>
      <c r="F917" t="str">
        <f>IF('Extraction edi'!K927="","",'Extraction edi'!K927)</f>
        <v/>
      </c>
      <c r="G917" t="str">
        <f>IF('Extraction edi'!L927="","",'Extraction edi'!L927)</f>
        <v/>
      </c>
      <c r="H917" t="str">
        <f>IF('Extraction edi'!M927="","",'Extraction edi'!M927)</f>
        <v/>
      </c>
      <c r="I917" s="1" t="str">
        <f>IF('Extraction edi'!N927="","",'Extraction edi'!N927)</f>
        <v/>
      </c>
      <c r="J917" s="1" t="str">
        <f>IF('Extraction edi'!O927="","",'Extraction edi'!O927)</f>
        <v/>
      </c>
      <c r="K917" s="1" t="str">
        <f>IF('Extraction edi'!P927="","",'Extraction edi'!P927)</f>
        <v/>
      </c>
      <c r="L917" s="1" t="str">
        <f>IF('Extraction edi'!Q927="laquage RAL :","OUI","")</f>
        <v/>
      </c>
      <c r="M917" s="1" t="str">
        <f>IF('Extraction edi'!R927&lt;&gt;"",'Extraction edi'!R927,IF(G917="ALU blanc","S9016",""))</f>
        <v/>
      </c>
      <c r="N917" s="1" t="str">
        <f>IF('Extraction edi'!S927&lt;&gt;"",'Extraction edi'!S927,IF(G917="ALU blanc","S9016",""))</f>
        <v/>
      </c>
      <c r="O917" s="11" t="str">
        <f>IF('Extraction edi'!V927&lt;'Feuille commande'!$E$1,"DELAI NON COMPATIBLE",IF('Extraction edi'!V927="","",WORKDAY('Extraction edi'!V927,-10,Paramètrage!$G$2:$G$104)))</f>
        <v/>
      </c>
      <c r="P917" s="1" t="e">
        <f t="shared" si="14"/>
        <v>#VALUE!</v>
      </c>
    </row>
    <row r="918" spans="1:16" x14ac:dyDescent="0.25">
      <c r="A918" s="1" t="e">
        <f>IF(#REF!="","",CONCATENATE(#REF!," / pos ",#REF!," / Secteur : ",'Extraction edi'!#REF!," / APPROLIGNE : ",WEEKNUM('Extraction edi'!H928)))</f>
        <v>#REF!</v>
      </c>
      <c r="B918" s="1" t="str">
        <f>IF('Extraction edi'!A928="","",'Extraction edi'!A928)</f>
        <v/>
      </c>
      <c r="C918" s="1" t="str">
        <f>IF('Extraction edi'!B928="","",'Extraction edi'!B928)</f>
        <v/>
      </c>
      <c r="D918" s="1" t="str">
        <f>IF('Extraction edi'!H928="","",'Extraction edi'!H928)</f>
        <v/>
      </c>
      <c r="E918" s="1" t="str">
        <f>IF('Extraction edi'!I928="","",'Extraction edi'!I928)</f>
        <v/>
      </c>
      <c r="F918" t="str">
        <f>IF('Extraction edi'!K928="","",'Extraction edi'!K928)</f>
        <v/>
      </c>
      <c r="G918" t="str">
        <f>IF('Extraction edi'!L928="","",'Extraction edi'!L928)</f>
        <v/>
      </c>
      <c r="H918" t="str">
        <f>IF('Extraction edi'!M928="","",'Extraction edi'!M928)</f>
        <v/>
      </c>
      <c r="I918" s="1" t="str">
        <f>IF('Extraction edi'!N928="","",'Extraction edi'!N928)</f>
        <v/>
      </c>
      <c r="J918" s="1" t="str">
        <f>IF('Extraction edi'!O928="","",'Extraction edi'!O928)</f>
        <v/>
      </c>
      <c r="K918" s="1" t="str">
        <f>IF('Extraction edi'!P928="","",'Extraction edi'!P928)</f>
        <v/>
      </c>
      <c r="L918" s="1" t="str">
        <f>IF('Extraction edi'!Q928="laquage RAL :","OUI","")</f>
        <v/>
      </c>
      <c r="M918" s="1" t="str">
        <f>IF('Extraction edi'!R928&lt;&gt;"",'Extraction edi'!R928,IF(G918="ALU blanc","S9016",""))</f>
        <v/>
      </c>
      <c r="N918" s="1" t="str">
        <f>IF('Extraction edi'!S928&lt;&gt;"",'Extraction edi'!S928,IF(G918="ALU blanc","S9016",""))</f>
        <v/>
      </c>
      <c r="O918" s="11" t="str">
        <f>IF('Extraction edi'!V928&lt;'Feuille commande'!$E$1,"DELAI NON COMPATIBLE",IF('Extraction edi'!V928="","",WORKDAY('Extraction edi'!V928,-10,Paramètrage!$G$2:$G$104)))</f>
        <v/>
      </c>
      <c r="P918" s="1" t="e">
        <f t="shared" si="14"/>
        <v>#VALUE!</v>
      </c>
    </row>
    <row r="919" spans="1:16" x14ac:dyDescent="0.25">
      <c r="A919" s="1" t="e">
        <f>IF(#REF!="","",CONCATENATE(#REF!," / pos ",#REF!," / Secteur : ",'Extraction edi'!#REF!," / APPROLIGNE : ",WEEKNUM('Extraction edi'!H929)))</f>
        <v>#REF!</v>
      </c>
      <c r="B919" s="1" t="str">
        <f>IF('Extraction edi'!A929="","",'Extraction edi'!A929)</f>
        <v/>
      </c>
      <c r="C919" s="1" t="str">
        <f>IF('Extraction edi'!B929="","",'Extraction edi'!B929)</f>
        <v/>
      </c>
      <c r="D919" s="1" t="str">
        <f>IF('Extraction edi'!H929="","",'Extraction edi'!H929)</f>
        <v/>
      </c>
      <c r="E919" s="1" t="str">
        <f>IF('Extraction edi'!I929="","",'Extraction edi'!I929)</f>
        <v/>
      </c>
      <c r="F919" t="str">
        <f>IF('Extraction edi'!K929="","",'Extraction edi'!K929)</f>
        <v/>
      </c>
      <c r="G919" t="str">
        <f>IF('Extraction edi'!L929="","",'Extraction edi'!L929)</f>
        <v/>
      </c>
      <c r="H919" t="str">
        <f>IF('Extraction edi'!M929="","",'Extraction edi'!M929)</f>
        <v/>
      </c>
      <c r="I919" s="1" t="str">
        <f>IF('Extraction edi'!N929="","",'Extraction edi'!N929)</f>
        <v/>
      </c>
      <c r="J919" s="1" t="str">
        <f>IF('Extraction edi'!O929="","",'Extraction edi'!O929)</f>
        <v/>
      </c>
      <c r="K919" s="1" t="str">
        <f>IF('Extraction edi'!P929="","",'Extraction edi'!P929)</f>
        <v/>
      </c>
      <c r="L919" s="1" t="str">
        <f>IF('Extraction edi'!Q929="laquage RAL :","OUI","")</f>
        <v/>
      </c>
      <c r="M919" s="1" t="str">
        <f>IF('Extraction edi'!R929&lt;&gt;"",'Extraction edi'!R929,IF(G919="ALU blanc","S9016",""))</f>
        <v/>
      </c>
      <c r="N919" s="1" t="str">
        <f>IF('Extraction edi'!S929&lt;&gt;"",'Extraction edi'!S929,IF(G919="ALU blanc","S9016",""))</f>
        <v/>
      </c>
      <c r="O919" s="11" t="str">
        <f>IF('Extraction edi'!V929&lt;'Feuille commande'!$E$1,"DELAI NON COMPATIBLE",IF('Extraction edi'!V929="","",WORKDAY('Extraction edi'!V929,-10,Paramètrage!$G$2:$G$104)))</f>
        <v/>
      </c>
      <c r="P919" s="1" t="e">
        <f t="shared" si="14"/>
        <v>#VALUE!</v>
      </c>
    </row>
    <row r="920" spans="1:16" x14ac:dyDescent="0.25">
      <c r="A920" s="1" t="e">
        <f>IF(#REF!="","",CONCATENATE(#REF!," / pos ",#REF!," / Secteur : ",'Extraction edi'!#REF!," / APPROLIGNE : ",WEEKNUM('Extraction edi'!H930)))</f>
        <v>#REF!</v>
      </c>
      <c r="B920" s="1" t="str">
        <f>IF('Extraction edi'!A930="","",'Extraction edi'!A930)</f>
        <v/>
      </c>
      <c r="C920" s="1" t="str">
        <f>IF('Extraction edi'!B930="","",'Extraction edi'!B930)</f>
        <v/>
      </c>
      <c r="D920" s="1" t="str">
        <f>IF('Extraction edi'!H930="","",'Extraction edi'!H930)</f>
        <v/>
      </c>
      <c r="E920" s="1" t="str">
        <f>IF('Extraction edi'!I930="","",'Extraction edi'!I930)</f>
        <v/>
      </c>
      <c r="F920" t="str">
        <f>IF('Extraction edi'!K930="","",'Extraction edi'!K930)</f>
        <v/>
      </c>
      <c r="G920" t="str">
        <f>IF('Extraction edi'!L930="","",'Extraction edi'!L930)</f>
        <v/>
      </c>
      <c r="H920" t="str">
        <f>IF('Extraction edi'!M930="","",'Extraction edi'!M930)</f>
        <v/>
      </c>
      <c r="I920" s="1" t="str">
        <f>IF('Extraction edi'!N930="","",'Extraction edi'!N930)</f>
        <v/>
      </c>
      <c r="J920" s="1" t="str">
        <f>IF('Extraction edi'!O930="","",'Extraction edi'!O930)</f>
        <v/>
      </c>
      <c r="K920" s="1" t="str">
        <f>IF('Extraction edi'!P930="","",'Extraction edi'!P930)</f>
        <v/>
      </c>
      <c r="L920" s="1" t="str">
        <f>IF('Extraction edi'!Q930="laquage RAL :","OUI","")</f>
        <v/>
      </c>
      <c r="M920" s="1" t="str">
        <f>IF('Extraction edi'!R930&lt;&gt;"",'Extraction edi'!R930,IF(G920="ALU blanc","S9016",""))</f>
        <v/>
      </c>
      <c r="N920" s="1" t="str">
        <f>IF('Extraction edi'!S930&lt;&gt;"",'Extraction edi'!S930,IF(G920="ALU blanc","S9016",""))</f>
        <v/>
      </c>
      <c r="O920" s="11" t="str">
        <f>IF('Extraction edi'!V930&lt;'Feuille commande'!$E$1,"DELAI NON COMPATIBLE",IF('Extraction edi'!V930="","",WORKDAY('Extraction edi'!V930,-10,Paramètrage!$G$2:$G$104)))</f>
        <v/>
      </c>
      <c r="P920" s="1" t="e">
        <f t="shared" si="14"/>
        <v>#VALUE!</v>
      </c>
    </row>
    <row r="921" spans="1:16" x14ac:dyDescent="0.25">
      <c r="A921" s="1" t="e">
        <f>IF(#REF!="","",CONCATENATE(#REF!," / pos ",#REF!," / Secteur : ",'Extraction edi'!#REF!," / APPROLIGNE : ",WEEKNUM('Extraction edi'!H931)))</f>
        <v>#REF!</v>
      </c>
      <c r="B921" s="1" t="str">
        <f>IF('Extraction edi'!A931="","",'Extraction edi'!A931)</f>
        <v/>
      </c>
      <c r="C921" s="1" t="str">
        <f>IF('Extraction edi'!B931="","",'Extraction edi'!B931)</f>
        <v/>
      </c>
      <c r="D921" s="1" t="str">
        <f>IF('Extraction edi'!H931="","",'Extraction edi'!H931)</f>
        <v/>
      </c>
      <c r="E921" s="1" t="str">
        <f>IF('Extraction edi'!I931="","",'Extraction edi'!I931)</f>
        <v/>
      </c>
      <c r="F921" t="str">
        <f>IF('Extraction edi'!K931="","",'Extraction edi'!K931)</f>
        <v/>
      </c>
      <c r="G921" t="str">
        <f>IF('Extraction edi'!L931="","",'Extraction edi'!L931)</f>
        <v/>
      </c>
      <c r="H921" t="str">
        <f>IF('Extraction edi'!M931="","",'Extraction edi'!M931)</f>
        <v/>
      </c>
      <c r="I921" s="1" t="str">
        <f>IF('Extraction edi'!N931="","",'Extraction edi'!N931)</f>
        <v/>
      </c>
      <c r="J921" s="1" t="str">
        <f>IF('Extraction edi'!O931="","",'Extraction edi'!O931)</f>
        <v/>
      </c>
      <c r="K921" s="1" t="str">
        <f>IF('Extraction edi'!P931="","",'Extraction edi'!P931)</f>
        <v/>
      </c>
      <c r="L921" s="1" t="str">
        <f>IF('Extraction edi'!Q931="laquage RAL :","OUI","")</f>
        <v/>
      </c>
      <c r="M921" s="1" t="str">
        <f>IF('Extraction edi'!R931&lt;&gt;"",'Extraction edi'!R931,IF(G921="ALU blanc","S9016",""))</f>
        <v/>
      </c>
      <c r="N921" s="1" t="str">
        <f>IF('Extraction edi'!S931&lt;&gt;"",'Extraction edi'!S931,IF(G921="ALU blanc","S9016",""))</f>
        <v/>
      </c>
      <c r="O921" s="11" t="str">
        <f>IF('Extraction edi'!V931&lt;'Feuille commande'!$E$1,"DELAI NON COMPATIBLE",IF('Extraction edi'!V931="","",WORKDAY('Extraction edi'!V931,-10,Paramètrage!$G$2:$G$104)))</f>
        <v/>
      </c>
      <c r="P921" s="1" t="e">
        <f t="shared" si="14"/>
        <v>#VALUE!</v>
      </c>
    </row>
    <row r="922" spans="1:16" x14ac:dyDescent="0.25">
      <c r="A922" s="1" t="e">
        <f>IF(#REF!="","",CONCATENATE(#REF!," / pos ",#REF!," / Secteur : ",'Extraction edi'!#REF!," / APPROLIGNE : ",WEEKNUM('Extraction edi'!H932)))</f>
        <v>#REF!</v>
      </c>
      <c r="B922" s="1" t="str">
        <f>IF('Extraction edi'!A932="","",'Extraction edi'!A932)</f>
        <v/>
      </c>
      <c r="C922" s="1" t="str">
        <f>IF('Extraction edi'!B932="","",'Extraction edi'!B932)</f>
        <v/>
      </c>
      <c r="D922" s="1" t="str">
        <f>IF('Extraction edi'!H932="","",'Extraction edi'!H932)</f>
        <v/>
      </c>
      <c r="E922" s="1" t="str">
        <f>IF('Extraction edi'!I932="","",'Extraction edi'!I932)</f>
        <v/>
      </c>
      <c r="F922" t="str">
        <f>IF('Extraction edi'!K932="","",'Extraction edi'!K932)</f>
        <v/>
      </c>
      <c r="G922" t="str">
        <f>IF('Extraction edi'!L932="","",'Extraction edi'!L932)</f>
        <v/>
      </c>
      <c r="H922" t="str">
        <f>IF('Extraction edi'!M932="","",'Extraction edi'!M932)</f>
        <v/>
      </c>
      <c r="I922" s="1" t="str">
        <f>IF('Extraction edi'!N932="","",'Extraction edi'!N932)</f>
        <v/>
      </c>
      <c r="J922" s="1" t="str">
        <f>IF('Extraction edi'!O932="","",'Extraction edi'!O932)</f>
        <v/>
      </c>
      <c r="K922" s="1" t="str">
        <f>IF('Extraction edi'!P932="","",'Extraction edi'!P932)</f>
        <v/>
      </c>
      <c r="L922" s="1" t="str">
        <f>IF('Extraction edi'!Q932="laquage RAL :","OUI","")</f>
        <v/>
      </c>
      <c r="M922" s="1" t="str">
        <f>IF('Extraction edi'!R932&lt;&gt;"",'Extraction edi'!R932,IF(G922="ALU blanc","S9016",""))</f>
        <v/>
      </c>
      <c r="N922" s="1" t="str">
        <f>IF('Extraction edi'!S932&lt;&gt;"",'Extraction edi'!S932,IF(G922="ALU blanc","S9016",""))</f>
        <v/>
      </c>
      <c r="O922" s="11" t="str">
        <f>IF('Extraction edi'!V932&lt;'Feuille commande'!$E$1,"DELAI NON COMPATIBLE",IF('Extraction edi'!V932="","",WORKDAY('Extraction edi'!V932,-10,Paramètrage!$G$2:$G$104)))</f>
        <v/>
      </c>
      <c r="P922" s="1" t="e">
        <f t="shared" si="14"/>
        <v>#VALUE!</v>
      </c>
    </row>
    <row r="923" spans="1:16" x14ac:dyDescent="0.25">
      <c r="A923" s="1" t="e">
        <f>IF(#REF!="","",CONCATENATE(#REF!," / pos ",#REF!," / Secteur : ",'Extraction edi'!#REF!," / APPROLIGNE : ",WEEKNUM('Extraction edi'!H933)))</f>
        <v>#REF!</v>
      </c>
      <c r="B923" s="1" t="str">
        <f>IF('Extraction edi'!A933="","",'Extraction edi'!A933)</f>
        <v/>
      </c>
      <c r="C923" s="1" t="str">
        <f>IF('Extraction edi'!B933="","",'Extraction edi'!B933)</f>
        <v/>
      </c>
      <c r="D923" s="1" t="str">
        <f>IF('Extraction edi'!H933="","",'Extraction edi'!H933)</f>
        <v/>
      </c>
      <c r="E923" s="1" t="str">
        <f>IF('Extraction edi'!I933="","",'Extraction edi'!I933)</f>
        <v/>
      </c>
      <c r="F923" t="str">
        <f>IF('Extraction edi'!K933="","",'Extraction edi'!K933)</f>
        <v/>
      </c>
      <c r="G923" t="str">
        <f>IF('Extraction edi'!L933="","",'Extraction edi'!L933)</f>
        <v/>
      </c>
      <c r="H923" t="str">
        <f>IF('Extraction edi'!M933="","",'Extraction edi'!M933)</f>
        <v/>
      </c>
      <c r="I923" s="1" t="str">
        <f>IF('Extraction edi'!N933="","",'Extraction edi'!N933)</f>
        <v/>
      </c>
      <c r="J923" s="1" t="str">
        <f>IF('Extraction edi'!O933="","",'Extraction edi'!O933)</f>
        <v/>
      </c>
      <c r="K923" s="1" t="str">
        <f>IF('Extraction edi'!P933="","",'Extraction edi'!P933)</f>
        <v/>
      </c>
      <c r="L923" s="1" t="str">
        <f>IF('Extraction edi'!Q933="laquage RAL :","OUI","")</f>
        <v/>
      </c>
      <c r="M923" s="1" t="str">
        <f>IF('Extraction edi'!R933&lt;&gt;"",'Extraction edi'!R933,IF(G923="ALU blanc","S9016",""))</f>
        <v/>
      </c>
      <c r="N923" s="1" t="str">
        <f>IF('Extraction edi'!S933&lt;&gt;"",'Extraction edi'!S933,IF(G923="ALU blanc","S9016",""))</f>
        <v/>
      </c>
      <c r="O923" s="11" t="str">
        <f>IF('Extraction edi'!V933&lt;'Feuille commande'!$E$1,"DELAI NON COMPATIBLE",IF('Extraction edi'!V933="","",WORKDAY('Extraction edi'!V933,-10,Paramètrage!$G$2:$G$104)))</f>
        <v/>
      </c>
      <c r="P923" s="1" t="e">
        <f t="shared" si="14"/>
        <v>#VALUE!</v>
      </c>
    </row>
    <row r="924" spans="1:16" x14ac:dyDescent="0.25">
      <c r="A924" s="1" t="e">
        <f>IF(#REF!="","",CONCATENATE(#REF!," / pos ",#REF!," / Secteur : ",'Extraction edi'!#REF!," / APPROLIGNE : ",WEEKNUM('Extraction edi'!H934)))</f>
        <v>#REF!</v>
      </c>
      <c r="B924" s="1" t="str">
        <f>IF('Extraction edi'!A934="","",'Extraction edi'!A934)</f>
        <v/>
      </c>
      <c r="C924" s="1" t="str">
        <f>IF('Extraction edi'!B934="","",'Extraction edi'!B934)</f>
        <v/>
      </c>
      <c r="D924" s="1" t="str">
        <f>IF('Extraction edi'!H934="","",'Extraction edi'!H934)</f>
        <v/>
      </c>
      <c r="E924" s="1" t="str">
        <f>IF('Extraction edi'!I934="","",'Extraction edi'!I934)</f>
        <v/>
      </c>
      <c r="F924" t="str">
        <f>IF('Extraction edi'!K934="","",'Extraction edi'!K934)</f>
        <v/>
      </c>
      <c r="G924" t="str">
        <f>IF('Extraction edi'!L934="","",'Extraction edi'!L934)</f>
        <v/>
      </c>
      <c r="H924" t="str">
        <f>IF('Extraction edi'!M934="","",'Extraction edi'!M934)</f>
        <v/>
      </c>
      <c r="I924" s="1" t="str">
        <f>IF('Extraction edi'!N934="","",'Extraction edi'!N934)</f>
        <v/>
      </c>
      <c r="J924" s="1" t="str">
        <f>IF('Extraction edi'!O934="","",'Extraction edi'!O934)</f>
        <v/>
      </c>
      <c r="K924" s="1" t="str">
        <f>IF('Extraction edi'!P934="","",'Extraction edi'!P934)</f>
        <v/>
      </c>
      <c r="L924" s="1" t="str">
        <f>IF('Extraction edi'!Q934="laquage RAL :","OUI","")</f>
        <v/>
      </c>
      <c r="M924" s="1" t="str">
        <f>IF('Extraction edi'!R934&lt;&gt;"",'Extraction edi'!R934,IF(G924="ALU blanc","S9016",""))</f>
        <v/>
      </c>
      <c r="N924" s="1" t="str">
        <f>IF('Extraction edi'!S934&lt;&gt;"",'Extraction edi'!S934,IF(G924="ALU blanc","S9016",""))</f>
        <v/>
      </c>
      <c r="O924" s="11" t="str">
        <f>IF('Extraction edi'!V934&lt;'Feuille commande'!$E$1,"DELAI NON COMPATIBLE",IF('Extraction edi'!V934="","",WORKDAY('Extraction edi'!V934,-10,Paramètrage!$G$2:$G$104)))</f>
        <v/>
      </c>
      <c r="P924" s="1" t="e">
        <f t="shared" si="14"/>
        <v>#VALUE!</v>
      </c>
    </row>
    <row r="925" spans="1:16" x14ac:dyDescent="0.25">
      <c r="A925" s="1" t="e">
        <f>IF(#REF!="","",CONCATENATE(#REF!," / pos ",#REF!," / Secteur : ",'Extraction edi'!#REF!," / APPROLIGNE : ",WEEKNUM('Extraction edi'!H935)))</f>
        <v>#REF!</v>
      </c>
      <c r="B925" s="1" t="str">
        <f>IF('Extraction edi'!A935="","",'Extraction edi'!A935)</f>
        <v/>
      </c>
      <c r="C925" s="1" t="str">
        <f>IF('Extraction edi'!B935="","",'Extraction edi'!B935)</f>
        <v/>
      </c>
      <c r="D925" s="1" t="str">
        <f>IF('Extraction edi'!H935="","",'Extraction edi'!H935)</f>
        <v/>
      </c>
      <c r="E925" s="1" t="str">
        <f>IF('Extraction edi'!I935="","",'Extraction edi'!I935)</f>
        <v/>
      </c>
      <c r="F925" t="str">
        <f>IF('Extraction edi'!K935="","",'Extraction edi'!K935)</f>
        <v/>
      </c>
      <c r="G925" t="str">
        <f>IF('Extraction edi'!L935="","",'Extraction edi'!L935)</f>
        <v/>
      </c>
      <c r="H925" t="str">
        <f>IF('Extraction edi'!M935="","",'Extraction edi'!M935)</f>
        <v/>
      </c>
      <c r="I925" s="1" t="str">
        <f>IF('Extraction edi'!N935="","",'Extraction edi'!N935)</f>
        <v/>
      </c>
      <c r="J925" s="1" t="str">
        <f>IF('Extraction edi'!O935="","",'Extraction edi'!O935)</f>
        <v/>
      </c>
      <c r="K925" s="1" t="str">
        <f>IF('Extraction edi'!P935="","",'Extraction edi'!P935)</f>
        <v/>
      </c>
      <c r="L925" s="1" t="str">
        <f>IF('Extraction edi'!Q935="laquage RAL :","OUI","")</f>
        <v/>
      </c>
      <c r="M925" s="1" t="str">
        <f>IF('Extraction edi'!R935&lt;&gt;"",'Extraction edi'!R935,IF(G925="ALU blanc","S9016",""))</f>
        <v/>
      </c>
      <c r="N925" s="1" t="str">
        <f>IF('Extraction edi'!S935&lt;&gt;"",'Extraction edi'!S935,IF(G925="ALU blanc","S9016",""))</f>
        <v/>
      </c>
      <c r="O925" s="11" t="str">
        <f>IF('Extraction edi'!V935&lt;'Feuille commande'!$E$1,"DELAI NON COMPATIBLE",IF('Extraction edi'!V935="","",WORKDAY('Extraction edi'!V935,-10,Paramètrage!$G$2:$G$104)))</f>
        <v/>
      </c>
      <c r="P925" s="1" t="e">
        <f t="shared" si="14"/>
        <v>#VALUE!</v>
      </c>
    </row>
    <row r="926" spans="1:16" x14ac:dyDescent="0.25">
      <c r="A926" s="1" t="e">
        <f>IF(#REF!="","",CONCATENATE(#REF!," / pos ",#REF!," / Secteur : ",'Extraction edi'!#REF!," / APPROLIGNE : ",WEEKNUM('Extraction edi'!H936)))</f>
        <v>#REF!</v>
      </c>
      <c r="B926" s="1" t="str">
        <f>IF('Extraction edi'!A936="","",'Extraction edi'!A936)</f>
        <v/>
      </c>
      <c r="C926" s="1" t="str">
        <f>IF('Extraction edi'!B936="","",'Extraction edi'!B936)</f>
        <v/>
      </c>
      <c r="D926" s="1" t="str">
        <f>IF('Extraction edi'!H936="","",'Extraction edi'!H936)</f>
        <v/>
      </c>
      <c r="E926" s="1" t="str">
        <f>IF('Extraction edi'!I936="","",'Extraction edi'!I936)</f>
        <v/>
      </c>
      <c r="F926" t="str">
        <f>IF('Extraction edi'!K936="","",'Extraction edi'!K936)</f>
        <v/>
      </c>
      <c r="G926" t="str">
        <f>IF('Extraction edi'!L936="","",'Extraction edi'!L936)</f>
        <v/>
      </c>
      <c r="H926" t="str">
        <f>IF('Extraction edi'!M936="","",'Extraction edi'!M936)</f>
        <v/>
      </c>
      <c r="I926" s="1" t="str">
        <f>IF('Extraction edi'!N936="","",'Extraction edi'!N936)</f>
        <v/>
      </c>
      <c r="J926" s="1" t="str">
        <f>IF('Extraction edi'!O936="","",'Extraction edi'!O936)</f>
        <v/>
      </c>
      <c r="K926" s="1" t="str">
        <f>IF('Extraction edi'!P936="","",'Extraction edi'!P936)</f>
        <v/>
      </c>
      <c r="L926" s="1" t="str">
        <f>IF('Extraction edi'!Q936="laquage RAL :","OUI","")</f>
        <v/>
      </c>
      <c r="M926" s="1" t="str">
        <f>IF('Extraction edi'!R936&lt;&gt;"",'Extraction edi'!R936,IF(G926="ALU blanc","S9016",""))</f>
        <v/>
      </c>
      <c r="N926" s="1" t="str">
        <f>IF('Extraction edi'!S936&lt;&gt;"",'Extraction edi'!S936,IF(G926="ALU blanc","S9016",""))</f>
        <v/>
      </c>
      <c r="O926" s="11" t="str">
        <f>IF('Extraction edi'!V936&lt;'Feuille commande'!$E$1,"DELAI NON COMPATIBLE",IF('Extraction edi'!V936="","",WORKDAY('Extraction edi'!V936,-10,Paramètrage!$G$2:$G$104)))</f>
        <v/>
      </c>
      <c r="P926" s="1" t="e">
        <f t="shared" si="14"/>
        <v>#VALUE!</v>
      </c>
    </row>
    <row r="927" spans="1:16" x14ac:dyDescent="0.25">
      <c r="A927" s="1" t="e">
        <f>IF(#REF!="","",CONCATENATE(#REF!," / pos ",#REF!," / Secteur : ",'Extraction edi'!#REF!," / APPROLIGNE : ",WEEKNUM('Extraction edi'!H937)))</f>
        <v>#REF!</v>
      </c>
      <c r="B927" s="1" t="str">
        <f>IF('Extraction edi'!A937="","",'Extraction edi'!A937)</f>
        <v/>
      </c>
      <c r="C927" s="1" t="str">
        <f>IF('Extraction edi'!B937="","",'Extraction edi'!B937)</f>
        <v/>
      </c>
      <c r="D927" s="1" t="str">
        <f>IF('Extraction edi'!H937="","",'Extraction edi'!H937)</f>
        <v/>
      </c>
      <c r="E927" s="1" t="str">
        <f>IF('Extraction edi'!I937="","",'Extraction edi'!I937)</f>
        <v/>
      </c>
      <c r="F927" t="str">
        <f>IF('Extraction edi'!K937="","",'Extraction edi'!K937)</f>
        <v/>
      </c>
      <c r="G927" t="str">
        <f>IF('Extraction edi'!L937="","",'Extraction edi'!L937)</f>
        <v/>
      </c>
      <c r="H927" t="str">
        <f>IF('Extraction edi'!M937="","",'Extraction edi'!M937)</f>
        <v/>
      </c>
      <c r="I927" s="1" t="str">
        <f>IF('Extraction edi'!N937="","",'Extraction edi'!N937)</f>
        <v/>
      </c>
      <c r="J927" s="1" t="str">
        <f>IF('Extraction edi'!O937="","",'Extraction edi'!O937)</f>
        <v/>
      </c>
      <c r="K927" s="1" t="str">
        <f>IF('Extraction edi'!P937="","",'Extraction edi'!P937)</f>
        <v/>
      </c>
      <c r="L927" s="1" t="str">
        <f>IF('Extraction edi'!Q937="laquage RAL :","OUI","")</f>
        <v/>
      </c>
      <c r="M927" s="1" t="str">
        <f>IF('Extraction edi'!R937&lt;&gt;"",'Extraction edi'!R937,IF(G927="ALU blanc","S9016",""))</f>
        <v/>
      </c>
      <c r="N927" s="1" t="str">
        <f>IF('Extraction edi'!S937&lt;&gt;"",'Extraction edi'!S937,IF(G927="ALU blanc","S9016",""))</f>
        <v/>
      </c>
      <c r="O927" s="11" t="str">
        <f>IF('Extraction edi'!V937&lt;'Feuille commande'!$E$1,"DELAI NON COMPATIBLE",IF('Extraction edi'!V937="","",WORKDAY('Extraction edi'!V937,-10,Paramètrage!$G$2:$G$104)))</f>
        <v/>
      </c>
      <c r="P927" s="1" t="e">
        <f t="shared" si="14"/>
        <v>#VALUE!</v>
      </c>
    </row>
    <row r="928" spans="1:16" x14ac:dyDescent="0.25">
      <c r="A928" s="1" t="e">
        <f>IF(#REF!="","",CONCATENATE(#REF!," / pos ",#REF!," / Secteur : ",'Extraction edi'!#REF!," / APPROLIGNE : ",WEEKNUM('Extraction edi'!H938)))</f>
        <v>#REF!</v>
      </c>
      <c r="B928" s="1" t="str">
        <f>IF('Extraction edi'!A938="","",'Extraction edi'!A938)</f>
        <v/>
      </c>
      <c r="C928" s="1" t="str">
        <f>IF('Extraction edi'!B938="","",'Extraction edi'!B938)</f>
        <v/>
      </c>
      <c r="D928" s="1" t="str">
        <f>IF('Extraction edi'!H938="","",'Extraction edi'!H938)</f>
        <v/>
      </c>
      <c r="E928" s="1" t="str">
        <f>IF('Extraction edi'!I938="","",'Extraction edi'!I938)</f>
        <v/>
      </c>
      <c r="F928" t="str">
        <f>IF('Extraction edi'!K938="","",'Extraction edi'!K938)</f>
        <v/>
      </c>
      <c r="G928" t="str">
        <f>IF('Extraction edi'!L938="","",'Extraction edi'!L938)</f>
        <v/>
      </c>
      <c r="H928" t="str">
        <f>IF('Extraction edi'!M938="","",'Extraction edi'!M938)</f>
        <v/>
      </c>
      <c r="I928" s="1" t="str">
        <f>IF('Extraction edi'!N938="","",'Extraction edi'!N938)</f>
        <v/>
      </c>
      <c r="J928" s="1" t="str">
        <f>IF('Extraction edi'!O938="","",'Extraction edi'!O938)</f>
        <v/>
      </c>
      <c r="K928" s="1" t="str">
        <f>IF('Extraction edi'!P938="","",'Extraction edi'!P938)</f>
        <v/>
      </c>
      <c r="L928" s="1" t="str">
        <f>IF('Extraction edi'!Q938="laquage RAL :","OUI","")</f>
        <v/>
      </c>
      <c r="M928" s="1" t="str">
        <f>IF('Extraction edi'!R938&lt;&gt;"",'Extraction edi'!R938,IF(G928="ALU blanc","S9016",""))</f>
        <v/>
      </c>
      <c r="N928" s="1" t="str">
        <f>IF('Extraction edi'!S938&lt;&gt;"",'Extraction edi'!S938,IF(G928="ALU blanc","S9016",""))</f>
        <v/>
      </c>
      <c r="O928" s="11" t="str">
        <f>IF('Extraction edi'!V938&lt;'Feuille commande'!$E$1,"DELAI NON COMPATIBLE",IF('Extraction edi'!V938="","",WORKDAY('Extraction edi'!V938,-10,Paramètrage!$G$2:$G$104)))</f>
        <v/>
      </c>
      <c r="P928" s="1" t="e">
        <f t="shared" si="14"/>
        <v>#VALUE!</v>
      </c>
    </row>
    <row r="929" spans="1:16" x14ac:dyDescent="0.25">
      <c r="A929" s="1" t="e">
        <f>IF(#REF!="","",CONCATENATE(#REF!," / pos ",#REF!," / Secteur : ",'Extraction edi'!#REF!," / APPROLIGNE : ",WEEKNUM('Extraction edi'!H939)))</f>
        <v>#REF!</v>
      </c>
      <c r="B929" s="1" t="str">
        <f>IF('Extraction edi'!A939="","",'Extraction edi'!A939)</f>
        <v/>
      </c>
      <c r="C929" s="1" t="str">
        <f>IF('Extraction edi'!B939="","",'Extraction edi'!B939)</f>
        <v/>
      </c>
      <c r="D929" s="1" t="str">
        <f>IF('Extraction edi'!H939="","",'Extraction edi'!H939)</f>
        <v/>
      </c>
      <c r="E929" s="1" t="str">
        <f>IF('Extraction edi'!I939="","",'Extraction edi'!I939)</f>
        <v/>
      </c>
      <c r="F929" t="str">
        <f>IF('Extraction edi'!K939="","",'Extraction edi'!K939)</f>
        <v/>
      </c>
      <c r="G929" t="str">
        <f>IF('Extraction edi'!L939="","",'Extraction edi'!L939)</f>
        <v/>
      </c>
      <c r="H929" t="str">
        <f>IF('Extraction edi'!M939="","",'Extraction edi'!M939)</f>
        <v/>
      </c>
      <c r="I929" s="1" t="str">
        <f>IF('Extraction edi'!N939="","",'Extraction edi'!N939)</f>
        <v/>
      </c>
      <c r="J929" s="1" t="str">
        <f>IF('Extraction edi'!O939="","",'Extraction edi'!O939)</f>
        <v/>
      </c>
      <c r="K929" s="1" t="str">
        <f>IF('Extraction edi'!P939="","",'Extraction edi'!P939)</f>
        <v/>
      </c>
      <c r="L929" s="1" t="str">
        <f>IF('Extraction edi'!Q939="laquage RAL :","OUI","")</f>
        <v/>
      </c>
      <c r="M929" s="1" t="str">
        <f>IF('Extraction edi'!R939&lt;&gt;"",'Extraction edi'!R939,IF(G929="ALU blanc","S9016",""))</f>
        <v/>
      </c>
      <c r="N929" s="1" t="str">
        <f>IF('Extraction edi'!S939&lt;&gt;"",'Extraction edi'!S939,IF(G929="ALU blanc","S9016",""))</f>
        <v/>
      </c>
      <c r="O929" s="11" t="str">
        <f>IF('Extraction edi'!V939&lt;'Feuille commande'!$E$1,"DELAI NON COMPATIBLE",IF('Extraction edi'!V939="","",WORKDAY('Extraction edi'!V939,-10,Paramètrage!$G$2:$G$104)))</f>
        <v/>
      </c>
      <c r="P929" s="1" t="e">
        <f t="shared" si="14"/>
        <v>#VALUE!</v>
      </c>
    </row>
    <row r="930" spans="1:16" x14ac:dyDescent="0.25">
      <c r="A930" s="1" t="e">
        <f>IF(#REF!="","",CONCATENATE(#REF!," / pos ",#REF!," / Secteur : ",'Extraction edi'!#REF!," / APPROLIGNE : ",WEEKNUM('Extraction edi'!H940)))</f>
        <v>#REF!</v>
      </c>
      <c r="B930" s="1" t="str">
        <f>IF('Extraction edi'!A940="","",'Extraction edi'!A940)</f>
        <v/>
      </c>
      <c r="C930" s="1" t="str">
        <f>IF('Extraction edi'!B940="","",'Extraction edi'!B940)</f>
        <v/>
      </c>
      <c r="D930" s="1" t="str">
        <f>IF('Extraction edi'!H940="","",'Extraction edi'!H940)</f>
        <v/>
      </c>
      <c r="E930" s="1" t="str">
        <f>IF('Extraction edi'!I940="","",'Extraction edi'!I940)</f>
        <v/>
      </c>
      <c r="F930" t="str">
        <f>IF('Extraction edi'!K940="","",'Extraction edi'!K940)</f>
        <v/>
      </c>
      <c r="G930" t="str">
        <f>IF('Extraction edi'!L940="","",'Extraction edi'!L940)</f>
        <v/>
      </c>
      <c r="H930" t="str">
        <f>IF('Extraction edi'!M940="","",'Extraction edi'!M940)</f>
        <v/>
      </c>
      <c r="I930" s="1" t="str">
        <f>IF('Extraction edi'!N940="","",'Extraction edi'!N940)</f>
        <v/>
      </c>
      <c r="J930" s="1" t="str">
        <f>IF('Extraction edi'!O940="","",'Extraction edi'!O940)</f>
        <v/>
      </c>
      <c r="K930" s="1" t="str">
        <f>IF('Extraction edi'!P940="","",'Extraction edi'!P940)</f>
        <v/>
      </c>
      <c r="L930" s="1" t="str">
        <f>IF('Extraction edi'!Q940="laquage RAL :","OUI","")</f>
        <v/>
      </c>
      <c r="M930" s="1" t="str">
        <f>IF('Extraction edi'!R940&lt;&gt;"",'Extraction edi'!R940,IF(G930="ALU blanc","S9016",""))</f>
        <v/>
      </c>
      <c r="N930" s="1" t="str">
        <f>IF('Extraction edi'!S940&lt;&gt;"",'Extraction edi'!S940,IF(G930="ALU blanc","S9016",""))</f>
        <v/>
      </c>
      <c r="O930" s="11" t="str">
        <f>IF('Extraction edi'!V940&lt;'Feuille commande'!$E$1,"DELAI NON COMPATIBLE",IF('Extraction edi'!V940="","",WORKDAY('Extraction edi'!V940,-10,Paramètrage!$G$2:$G$104)))</f>
        <v/>
      </c>
      <c r="P930" s="1" t="e">
        <f t="shared" si="14"/>
        <v>#VALUE!</v>
      </c>
    </row>
    <row r="931" spans="1:16" x14ac:dyDescent="0.25">
      <c r="A931" s="1" t="e">
        <f>IF(#REF!="","",CONCATENATE(#REF!," / pos ",#REF!," / Secteur : ",'Extraction edi'!#REF!," / APPROLIGNE : ",WEEKNUM('Extraction edi'!H941)))</f>
        <v>#REF!</v>
      </c>
      <c r="B931" s="1" t="str">
        <f>IF('Extraction edi'!A941="","",'Extraction edi'!A941)</f>
        <v/>
      </c>
      <c r="C931" s="1" t="str">
        <f>IF('Extraction edi'!B941="","",'Extraction edi'!B941)</f>
        <v/>
      </c>
      <c r="D931" s="1" t="str">
        <f>IF('Extraction edi'!H941="","",'Extraction edi'!H941)</f>
        <v/>
      </c>
      <c r="E931" s="1" t="str">
        <f>IF('Extraction edi'!I941="","",'Extraction edi'!I941)</f>
        <v/>
      </c>
      <c r="F931" t="str">
        <f>IF('Extraction edi'!K941="","",'Extraction edi'!K941)</f>
        <v/>
      </c>
      <c r="G931" t="str">
        <f>IF('Extraction edi'!L941="","",'Extraction edi'!L941)</f>
        <v/>
      </c>
      <c r="H931" t="str">
        <f>IF('Extraction edi'!M941="","",'Extraction edi'!M941)</f>
        <v/>
      </c>
      <c r="I931" s="1" t="str">
        <f>IF('Extraction edi'!N941="","",'Extraction edi'!N941)</f>
        <v/>
      </c>
      <c r="J931" s="1" t="str">
        <f>IF('Extraction edi'!O941="","",'Extraction edi'!O941)</f>
        <v/>
      </c>
      <c r="K931" s="1" t="str">
        <f>IF('Extraction edi'!P941="","",'Extraction edi'!P941)</f>
        <v/>
      </c>
      <c r="L931" s="1" t="str">
        <f>IF('Extraction edi'!Q941="laquage RAL :","OUI","")</f>
        <v/>
      </c>
      <c r="M931" s="1" t="str">
        <f>IF('Extraction edi'!R941&lt;&gt;"",'Extraction edi'!R941,IF(G931="ALU blanc","S9016",""))</f>
        <v/>
      </c>
      <c r="N931" s="1" t="str">
        <f>IF('Extraction edi'!S941&lt;&gt;"",'Extraction edi'!S941,IF(G931="ALU blanc","S9016",""))</f>
        <v/>
      </c>
      <c r="O931" s="11" t="str">
        <f>IF('Extraction edi'!V941&lt;'Feuille commande'!$E$1,"DELAI NON COMPATIBLE",IF('Extraction edi'!V941="","",WORKDAY('Extraction edi'!V941,-10,Paramètrage!$G$2:$G$104)))</f>
        <v/>
      </c>
      <c r="P931" s="1" t="e">
        <f t="shared" si="14"/>
        <v>#VALUE!</v>
      </c>
    </row>
    <row r="932" spans="1:16" x14ac:dyDescent="0.25">
      <c r="A932" s="1" t="e">
        <f>IF(#REF!="","",CONCATENATE(#REF!," / pos ",#REF!," / Secteur : ",'Extraction edi'!#REF!," / APPROLIGNE : ",WEEKNUM('Extraction edi'!H942)))</f>
        <v>#REF!</v>
      </c>
      <c r="B932" s="1" t="str">
        <f>IF('Extraction edi'!A942="","",'Extraction edi'!A942)</f>
        <v/>
      </c>
      <c r="C932" s="1" t="str">
        <f>IF('Extraction edi'!B942="","",'Extraction edi'!B942)</f>
        <v/>
      </c>
      <c r="D932" s="1" t="str">
        <f>IF('Extraction edi'!H942="","",'Extraction edi'!H942)</f>
        <v/>
      </c>
      <c r="E932" s="1" t="str">
        <f>IF('Extraction edi'!I942="","",'Extraction edi'!I942)</f>
        <v/>
      </c>
      <c r="F932" t="str">
        <f>IF('Extraction edi'!K942="","",'Extraction edi'!K942)</f>
        <v/>
      </c>
      <c r="G932" t="str">
        <f>IF('Extraction edi'!L942="","",'Extraction edi'!L942)</f>
        <v/>
      </c>
      <c r="H932" t="str">
        <f>IF('Extraction edi'!M942="","",'Extraction edi'!M942)</f>
        <v/>
      </c>
      <c r="I932" s="1" t="str">
        <f>IF('Extraction edi'!N942="","",'Extraction edi'!N942)</f>
        <v/>
      </c>
      <c r="J932" s="1" t="str">
        <f>IF('Extraction edi'!O942="","",'Extraction edi'!O942)</f>
        <v/>
      </c>
      <c r="K932" s="1" t="str">
        <f>IF('Extraction edi'!P942="","",'Extraction edi'!P942)</f>
        <v/>
      </c>
      <c r="L932" s="1" t="str">
        <f>IF('Extraction edi'!Q942="laquage RAL :","OUI","")</f>
        <v/>
      </c>
      <c r="M932" s="1" t="str">
        <f>IF('Extraction edi'!R942&lt;&gt;"",'Extraction edi'!R942,IF(G932="ALU blanc","S9016",""))</f>
        <v/>
      </c>
      <c r="N932" s="1" t="str">
        <f>IF('Extraction edi'!S942&lt;&gt;"",'Extraction edi'!S942,IF(G932="ALU blanc","S9016",""))</f>
        <v/>
      </c>
      <c r="O932" s="11" t="str">
        <f>IF('Extraction edi'!V942&lt;'Feuille commande'!$E$1,"DELAI NON COMPATIBLE",IF('Extraction edi'!V942="","",WORKDAY('Extraction edi'!V942,-10,Paramètrage!$G$2:$G$104)))</f>
        <v/>
      </c>
      <c r="P932" s="1" t="e">
        <f t="shared" si="14"/>
        <v>#VALUE!</v>
      </c>
    </row>
    <row r="933" spans="1:16" x14ac:dyDescent="0.25">
      <c r="A933" s="1" t="e">
        <f>IF(#REF!="","",CONCATENATE(#REF!," / pos ",#REF!," / Secteur : ",'Extraction edi'!#REF!," / APPROLIGNE : ",WEEKNUM('Extraction edi'!H943)))</f>
        <v>#REF!</v>
      </c>
      <c r="B933" s="1" t="str">
        <f>IF('Extraction edi'!A943="","",'Extraction edi'!A943)</f>
        <v/>
      </c>
      <c r="C933" s="1" t="str">
        <f>IF('Extraction edi'!B943="","",'Extraction edi'!B943)</f>
        <v/>
      </c>
      <c r="D933" s="1" t="str">
        <f>IF('Extraction edi'!H943="","",'Extraction edi'!H943)</f>
        <v/>
      </c>
      <c r="E933" s="1" t="str">
        <f>IF('Extraction edi'!I943="","",'Extraction edi'!I943)</f>
        <v/>
      </c>
      <c r="F933" t="str">
        <f>IF('Extraction edi'!K943="","",'Extraction edi'!K943)</f>
        <v/>
      </c>
      <c r="G933" t="str">
        <f>IF('Extraction edi'!L943="","",'Extraction edi'!L943)</f>
        <v/>
      </c>
      <c r="H933" t="str">
        <f>IF('Extraction edi'!M943="","",'Extraction edi'!M943)</f>
        <v/>
      </c>
      <c r="I933" s="1" t="str">
        <f>IF('Extraction edi'!N943="","",'Extraction edi'!N943)</f>
        <v/>
      </c>
      <c r="J933" s="1" t="str">
        <f>IF('Extraction edi'!O943="","",'Extraction edi'!O943)</f>
        <v/>
      </c>
      <c r="K933" s="1" t="str">
        <f>IF('Extraction edi'!P943="","",'Extraction edi'!P943)</f>
        <v/>
      </c>
      <c r="L933" s="1" t="str">
        <f>IF('Extraction edi'!Q943="laquage RAL :","OUI","")</f>
        <v/>
      </c>
      <c r="M933" s="1" t="str">
        <f>IF('Extraction edi'!R943&lt;&gt;"",'Extraction edi'!R943,IF(G933="ALU blanc","S9016",""))</f>
        <v/>
      </c>
      <c r="N933" s="1" t="str">
        <f>IF('Extraction edi'!S943&lt;&gt;"",'Extraction edi'!S943,IF(G933="ALU blanc","S9016",""))</f>
        <v/>
      </c>
      <c r="O933" s="11" t="str">
        <f>IF('Extraction edi'!V943&lt;'Feuille commande'!$E$1,"DELAI NON COMPATIBLE",IF('Extraction edi'!V943="","",WORKDAY('Extraction edi'!V943,-10,Paramètrage!$G$2:$G$104)))</f>
        <v/>
      </c>
      <c r="P933" s="1" t="e">
        <f t="shared" si="14"/>
        <v>#VALUE!</v>
      </c>
    </row>
    <row r="934" spans="1:16" x14ac:dyDescent="0.25">
      <c r="A934" s="1" t="e">
        <f>IF(#REF!="","",CONCATENATE(#REF!," / pos ",#REF!," / Secteur : ",'Extraction edi'!#REF!," / APPROLIGNE : ",WEEKNUM('Extraction edi'!H944)))</f>
        <v>#REF!</v>
      </c>
      <c r="B934" s="1" t="str">
        <f>IF('Extraction edi'!A944="","",'Extraction edi'!A944)</f>
        <v/>
      </c>
      <c r="C934" s="1" t="str">
        <f>IF('Extraction edi'!B944="","",'Extraction edi'!B944)</f>
        <v/>
      </c>
      <c r="D934" s="1" t="str">
        <f>IF('Extraction edi'!H944="","",'Extraction edi'!H944)</f>
        <v/>
      </c>
      <c r="E934" s="1" t="str">
        <f>IF('Extraction edi'!I944="","",'Extraction edi'!I944)</f>
        <v/>
      </c>
      <c r="F934" t="str">
        <f>IF('Extraction edi'!K944="","",'Extraction edi'!K944)</f>
        <v/>
      </c>
      <c r="G934" t="str">
        <f>IF('Extraction edi'!L944="","",'Extraction edi'!L944)</f>
        <v/>
      </c>
      <c r="H934" t="str">
        <f>IF('Extraction edi'!M944="","",'Extraction edi'!M944)</f>
        <v/>
      </c>
      <c r="I934" s="1" t="str">
        <f>IF('Extraction edi'!N944="","",'Extraction edi'!N944)</f>
        <v/>
      </c>
      <c r="J934" s="1" t="str">
        <f>IF('Extraction edi'!O944="","",'Extraction edi'!O944)</f>
        <v/>
      </c>
      <c r="K934" s="1" t="str">
        <f>IF('Extraction edi'!P944="","",'Extraction edi'!P944)</f>
        <v/>
      </c>
      <c r="L934" s="1" t="str">
        <f>IF('Extraction edi'!Q944="laquage RAL :","OUI","")</f>
        <v/>
      </c>
      <c r="M934" s="1" t="str">
        <f>IF('Extraction edi'!R944&lt;&gt;"",'Extraction edi'!R944,IF(G934="ALU blanc","S9016",""))</f>
        <v/>
      </c>
      <c r="N934" s="1" t="str">
        <f>IF('Extraction edi'!S944&lt;&gt;"",'Extraction edi'!S944,IF(G934="ALU blanc","S9016",""))</f>
        <v/>
      </c>
      <c r="O934" s="11" t="str">
        <f>IF('Extraction edi'!V944&lt;'Feuille commande'!$E$1,"DELAI NON COMPATIBLE",IF('Extraction edi'!V944="","",WORKDAY('Extraction edi'!V944,-10,Paramètrage!$G$2:$G$104)))</f>
        <v/>
      </c>
      <c r="P934" s="1" t="e">
        <f t="shared" si="14"/>
        <v>#VALUE!</v>
      </c>
    </row>
    <row r="935" spans="1:16" x14ac:dyDescent="0.25">
      <c r="A935" s="1" t="e">
        <f>IF(#REF!="","",CONCATENATE(#REF!," / pos ",#REF!," / Secteur : ",'Extraction edi'!#REF!," / APPROLIGNE : ",WEEKNUM('Extraction edi'!H945)))</f>
        <v>#REF!</v>
      </c>
      <c r="B935" s="1" t="str">
        <f>IF('Extraction edi'!A945="","",'Extraction edi'!A945)</f>
        <v/>
      </c>
      <c r="C935" s="1" t="str">
        <f>IF('Extraction edi'!B945="","",'Extraction edi'!B945)</f>
        <v/>
      </c>
      <c r="D935" s="1" t="str">
        <f>IF('Extraction edi'!H945="","",'Extraction edi'!H945)</f>
        <v/>
      </c>
      <c r="E935" s="1" t="str">
        <f>IF('Extraction edi'!I945="","",'Extraction edi'!I945)</f>
        <v/>
      </c>
      <c r="F935" t="str">
        <f>IF('Extraction edi'!K945="","",'Extraction edi'!K945)</f>
        <v/>
      </c>
      <c r="G935" t="str">
        <f>IF('Extraction edi'!L945="","",'Extraction edi'!L945)</f>
        <v/>
      </c>
      <c r="H935" t="str">
        <f>IF('Extraction edi'!M945="","",'Extraction edi'!M945)</f>
        <v/>
      </c>
      <c r="I935" s="1" t="str">
        <f>IF('Extraction edi'!N945="","",'Extraction edi'!N945)</f>
        <v/>
      </c>
      <c r="J935" s="1" t="str">
        <f>IF('Extraction edi'!O945="","",'Extraction edi'!O945)</f>
        <v/>
      </c>
      <c r="K935" s="1" t="str">
        <f>IF('Extraction edi'!P945="","",'Extraction edi'!P945)</f>
        <v/>
      </c>
      <c r="L935" s="1" t="str">
        <f>IF('Extraction edi'!Q945="laquage RAL :","OUI","")</f>
        <v/>
      </c>
      <c r="M935" s="1" t="str">
        <f>IF('Extraction edi'!R945&lt;&gt;"",'Extraction edi'!R945,IF(G935="ALU blanc","S9016",""))</f>
        <v/>
      </c>
      <c r="N935" s="1" t="str">
        <f>IF('Extraction edi'!S945&lt;&gt;"",'Extraction edi'!S945,IF(G935="ALU blanc","S9016",""))</f>
        <v/>
      </c>
      <c r="O935" s="11" t="str">
        <f>IF('Extraction edi'!V945&lt;'Feuille commande'!$E$1,"DELAI NON COMPATIBLE",IF('Extraction edi'!V945="","",WORKDAY('Extraction edi'!V945,-10,Paramètrage!$G$2:$G$104)))</f>
        <v/>
      </c>
      <c r="P935" s="1" t="e">
        <f t="shared" si="14"/>
        <v>#VALUE!</v>
      </c>
    </row>
    <row r="936" spans="1:16" x14ac:dyDescent="0.25">
      <c r="A936" s="1" t="e">
        <f>IF(#REF!="","",CONCATENATE(#REF!," / pos ",#REF!," / Secteur : ",'Extraction edi'!#REF!," / APPROLIGNE : ",WEEKNUM('Extraction edi'!H946)))</f>
        <v>#REF!</v>
      </c>
      <c r="B936" s="1" t="str">
        <f>IF('Extraction edi'!A946="","",'Extraction edi'!A946)</f>
        <v/>
      </c>
      <c r="C936" s="1" t="str">
        <f>IF('Extraction edi'!B946="","",'Extraction edi'!B946)</f>
        <v/>
      </c>
      <c r="D936" s="1" t="str">
        <f>IF('Extraction edi'!H946="","",'Extraction edi'!H946)</f>
        <v/>
      </c>
      <c r="E936" s="1" t="str">
        <f>IF('Extraction edi'!I946="","",'Extraction edi'!I946)</f>
        <v/>
      </c>
      <c r="F936" t="str">
        <f>IF('Extraction edi'!K946="","",'Extraction edi'!K946)</f>
        <v/>
      </c>
      <c r="G936" t="str">
        <f>IF('Extraction edi'!L946="","",'Extraction edi'!L946)</f>
        <v/>
      </c>
      <c r="H936" t="str">
        <f>IF('Extraction edi'!M946="","",'Extraction edi'!M946)</f>
        <v/>
      </c>
      <c r="I936" s="1" t="str">
        <f>IF('Extraction edi'!N946="","",'Extraction edi'!N946)</f>
        <v/>
      </c>
      <c r="J936" s="1" t="str">
        <f>IF('Extraction edi'!O946="","",'Extraction edi'!O946)</f>
        <v/>
      </c>
      <c r="K936" s="1" t="str">
        <f>IF('Extraction edi'!P946="","",'Extraction edi'!P946)</f>
        <v/>
      </c>
      <c r="L936" s="1" t="str">
        <f>IF('Extraction edi'!Q946="laquage RAL :","OUI","")</f>
        <v/>
      </c>
      <c r="M936" s="1" t="str">
        <f>IF('Extraction edi'!R946&lt;&gt;"",'Extraction edi'!R946,IF(G936="ALU blanc","S9016",""))</f>
        <v/>
      </c>
      <c r="N936" s="1" t="str">
        <f>IF('Extraction edi'!S946&lt;&gt;"",'Extraction edi'!S946,IF(G936="ALU blanc","S9016",""))</f>
        <v/>
      </c>
      <c r="O936" s="11" t="str">
        <f>IF('Extraction edi'!V946&lt;'Feuille commande'!$E$1,"DELAI NON COMPATIBLE",IF('Extraction edi'!V946="","",WORKDAY('Extraction edi'!V946,-10,Paramètrage!$G$2:$G$104)))</f>
        <v/>
      </c>
      <c r="P936" s="1" t="e">
        <f t="shared" si="14"/>
        <v>#VALUE!</v>
      </c>
    </row>
    <row r="937" spans="1:16" x14ac:dyDescent="0.25">
      <c r="A937" s="1" t="e">
        <f>IF(#REF!="","",CONCATENATE(#REF!," / pos ",#REF!," / Secteur : ",'Extraction edi'!#REF!," / APPROLIGNE : ",WEEKNUM('Extraction edi'!H947)))</f>
        <v>#REF!</v>
      </c>
      <c r="B937" s="1" t="str">
        <f>IF('Extraction edi'!A947="","",'Extraction edi'!A947)</f>
        <v/>
      </c>
      <c r="C937" s="1" t="str">
        <f>IF('Extraction edi'!B947="","",'Extraction edi'!B947)</f>
        <v/>
      </c>
      <c r="D937" s="1" t="str">
        <f>IF('Extraction edi'!H947="","",'Extraction edi'!H947)</f>
        <v/>
      </c>
      <c r="E937" s="1" t="str">
        <f>IF('Extraction edi'!I947="","",'Extraction edi'!I947)</f>
        <v/>
      </c>
      <c r="F937" t="str">
        <f>IF('Extraction edi'!K947="","",'Extraction edi'!K947)</f>
        <v/>
      </c>
      <c r="G937" t="str">
        <f>IF('Extraction edi'!L947="","",'Extraction edi'!L947)</f>
        <v/>
      </c>
      <c r="H937" t="str">
        <f>IF('Extraction edi'!M947="","",'Extraction edi'!M947)</f>
        <v/>
      </c>
      <c r="I937" s="1" t="str">
        <f>IF('Extraction edi'!N947="","",'Extraction edi'!N947)</f>
        <v/>
      </c>
      <c r="J937" s="1" t="str">
        <f>IF('Extraction edi'!O947="","",'Extraction edi'!O947)</f>
        <v/>
      </c>
      <c r="K937" s="1" t="str">
        <f>IF('Extraction edi'!P947="","",'Extraction edi'!P947)</f>
        <v/>
      </c>
      <c r="L937" s="1" t="str">
        <f>IF('Extraction edi'!Q947="laquage RAL :","OUI","")</f>
        <v/>
      </c>
      <c r="M937" s="1" t="str">
        <f>IF('Extraction edi'!R947&lt;&gt;"",'Extraction edi'!R947,IF(G937="ALU blanc","S9016",""))</f>
        <v/>
      </c>
      <c r="N937" s="1" t="str">
        <f>IF('Extraction edi'!S947&lt;&gt;"",'Extraction edi'!S947,IF(G937="ALU blanc","S9016",""))</f>
        <v/>
      </c>
      <c r="O937" s="11" t="str">
        <f>IF('Extraction edi'!V947&lt;'Feuille commande'!$E$1,"DELAI NON COMPATIBLE",IF('Extraction edi'!V947="","",WORKDAY('Extraction edi'!V947,-10,Paramètrage!$G$2:$G$104)))</f>
        <v/>
      </c>
      <c r="P937" s="1" t="e">
        <f t="shared" si="14"/>
        <v>#VALUE!</v>
      </c>
    </row>
    <row r="938" spans="1:16" x14ac:dyDescent="0.25">
      <c r="A938" s="1" t="e">
        <f>IF(#REF!="","",CONCATENATE(#REF!," / pos ",#REF!," / Secteur : ",'Extraction edi'!#REF!," / APPROLIGNE : ",WEEKNUM('Extraction edi'!H948)))</f>
        <v>#REF!</v>
      </c>
      <c r="B938" s="1" t="str">
        <f>IF('Extraction edi'!A948="","",'Extraction edi'!A948)</f>
        <v/>
      </c>
      <c r="C938" s="1" t="str">
        <f>IF('Extraction edi'!B948="","",'Extraction edi'!B948)</f>
        <v/>
      </c>
      <c r="D938" s="1" t="str">
        <f>IF('Extraction edi'!H948="","",'Extraction edi'!H948)</f>
        <v/>
      </c>
      <c r="E938" s="1" t="str">
        <f>IF('Extraction edi'!I948="","",'Extraction edi'!I948)</f>
        <v/>
      </c>
      <c r="F938" t="str">
        <f>IF('Extraction edi'!K948="","",'Extraction edi'!K948)</f>
        <v/>
      </c>
      <c r="G938" t="str">
        <f>IF('Extraction edi'!L948="","",'Extraction edi'!L948)</f>
        <v/>
      </c>
      <c r="H938" t="str">
        <f>IF('Extraction edi'!M948="","",'Extraction edi'!M948)</f>
        <v/>
      </c>
      <c r="I938" s="1" t="str">
        <f>IF('Extraction edi'!N948="","",'Extraction edi'!N948)</f>
        <v/>
      </c>
      <c r="J938" s="1" t="str">
        <f>IF('Extraction edi'!O948="","",'Extraction edi'!O948)</f>
        <v/>
      </c>
      <c r="K938" s="1" t="str">
        <f>IF('Extraction edi'!P948="","",'Extraction edi'!P948)</f>
        <v/>
      </c>
      <c r="L938" s="1" t="str">
        <f>IF('Extraction edi'!Q948="laquage RAL :","OUI","")</f>
        <v/>
      </c>
      <c r="M938" s="1" t="str">
        <f>IF('Extraction edi'!R948&lt;&gt;"",'Extraction edi'!R948,IF(G938="ALU blanc","S9016",""))</f>
        <v/>
      </c>
      <c r="N938" s="1" t="str">
        <f>IF('Extraction edi'!S948&lt;&gt;"",'Extraction edi'!S948,IF(G938="ALU blanc","S9016",""))</f>
        <v/>
      </c>
      <c r="O938" s="11" t="str">
        <f>IF('Extraction edi'!V948&lt;'Feuille commande'!$E$1,"DELAI NON COMPATIBLE",IF('Extraction edi'!V948="","",WORKDAY('Extraction edi'!V948,-10,Paramètrage!$G$2:$G$104)))</f>
        <v/>
      </c>
      <c r="P938" s="1" t="e">
        <f t="shared" si="14"/>
        <v>#VALUE!</v>
      </c>
    </row>
    <row r="939" spans="1:16" x14ac:dyDescent="0.25">
      <c r="A939" s="1" t="e">
        <f>IF(#REF!="","",CONCATENATE(#REF!," / pos ",#REF!," / Secteur : ",'Extraction edi'!#REF!," / APPROLIGNE : ",WEEKNUM('Extraction edi'!H949)))</f>
        <v>#REF!</v>
      </c>
      <c r="B939" s="1" t="str">
        <f>IF('Extraction edi'!A949="","",'Extraction edi'!A949)</f>
        <v/>
      </c>
      <c r="C939" s="1" t="str">
        <f>IF('Extraction edi'!B949="","",'Extraction edi'!B949)</f>
        <v/>
      </c>
      <c r="D939" s="1" t="str">
        <f>IF('Extraction edi'!H949="","",'Extraction edi'!H949)</f>
        <v/>
      </c>
      <c r="E939" s="1" t="str">
        <f>IF('Extraction edi'!I949="","",'Extraction edi'!I949)</f>
        <v/>
      </c>
      <c r="F939" t="str">
        <f>IF('Extraction edi'!K949="","",'Extraction edi'!K949)</f>
        <v/>
      </c>
      <c r="G939" t="str">
        <f>IF('Extraction edi'!L949="","",'Extraction edi'!L949)</f>
        <v/>
      </c>
      <c r="H939" t="str">
        <f>IF('Extraction edi'!M949="","",'Extraction edi'!M949)</f>
        <v/>
      </c>
      <c r="I939" s="1" t="str">
        <f>IF('Extraction edi'!N949="","",'Extraction edi'!N949)</f>
        <v/>
      </c>
      <c r="J939" s="1" t="str">
        <f>IF('Extraction edi'!O949="","",'Extraction edi'!O949)</f>
        <v/>
      </c>
      <c r="K939" s="1" t="str">
        <f>IF('Extraction edi'!P949="","",'Extraction edi'!P949)</f>
        <v/>
      </c>
      <c r="L939" s="1" t="str">
        <f>IF('Extraction edi'!Q949="laquage RAL :","OUI","")</f>
        <v/>
      </c>
      <c r="M939" s="1" t="str">
        <f>IF('Extraction edi'!R949&lt;&gt;"",'Extraction edi'!R949,IF(G939="ALU blanc","S9016",""))</f>
        <v/>
      </c>
      <c r="N939" s="1" t="str">
        <f>IF('Extraction edi'!S949&lt;&gt;"",'Extraction edi'!S949,IF(G939="ALU blanc","S9016",""))</f>
        <v/>
      </c>
      <c r="O939" s="11" t="str">
        <f>IF('Extraction edi'!V949&lt;'Feuille commande'!$E$1,"DELAI NON COMPATIBLE",IF('Extraction edi'!V949="","",WORKDAY('Extraction edi'!V949,-10,Paramètrage!$G$2:$G$104)))</f>
        <v/>
      </c>
      <c r="P939" s="1" t="e">
        <f t="shared" si="14"/>
        <v>#VALUE!</v>
      </c>
    </row>
    <row r="940" spans="1:16" x14ac:dyDescent="0.25">
      <c r="A940" s="1" t="e">
        <f>IF(#REF!="","",CONCATENATE(#REF!," / pos ",#REF!," / Secteur : ",'Extraction edi'!#REF!," / APPROLIGNE : ",WEEKNUM('Extraction edi'!H950)))</f>
        <v>#REF!</v>
      </c>
      <c r="B940" s="1" t="str">
        <f>IF('Extraction edi'!A950="","",'Extraction edi'!A950)</f>
        <v/>
      </c>
      <c r="C940" s="1" t="str">
        <f>IF('Extraction edi'!B950="","",'Extraction edi'!B950)</f>
        <v/>
      </c>
      <c r="D940" s="1" t="str">
        <f>IF('Extraction edi'!H950="","",'Extraction edi'!H950)</f>
        <v/>
      </c>
      <c r="E940" s="1" t="str">
        <f>IF('Extraction edi'!I950="","",'Extraction edi'!I950)</f>
        <v/>
      </c>
      <c r="F940" t="str">
        <f>IF('Extraction edi'!K950="","",'Extraction edi'!K950)</f>
        <v/>
      </c>
      <c r="G940" t="str">
        <f>IF('Extraction edi'!L950="","",'Extraction edi'!L950)</f>
        <v/>
      </c>
      <c r="H940" t="str">
        <f>IF('Extraction edi'!M950="","",'Extraction edi'!M950)</f>
        <v/>
      </c>
      <c r="I940" s="1" t="str">
        <f>IF('Extraction edi'!N950="","",'Extraction edi'!N950)</f>
        <v/>
      </c>
      <c r="J940" s="1" t="str">
        <f>IF('Extraction edi'!O950="","",'Extraction edi'!O950)</f>
        <v/>
      </c>
      <c r="K940" s="1" t="str">
        <f>IF('Extraction edi'!P950="","",'Extraction edi'!P950)</f>
        <v/>
      </c>
      <c r="L940" s="1" t="str">
        <f>IF('Extraction edi'!Q950="laquage RAL :","OUI","")</f>
        <v/>
      </c>
      <c r="M940" s="1" t="str">
        <f>IF('Extraction edi'!R950&lt;&gt;"",'Extraction edi'!R950,IF(G940="ALU blanc","S9016",""))</f>
        <v/>
      </c>
      <c r="N940" s="1" t="str">
        <f>IF('Extraction edi'!S950&lt;&gt;"",'Extraction edi'!S950,IF(G940="ALU blanc","S9016",""))</f>
        <v/>
      </c>
      <c r="O940" s="11" t="str">
        <f>IF('Extraction edi'!V950&lt;'Feuille commande'!$E$1,"DELAI NON COMPATIBLE",IF('Extraction edi'!V950="","",WORKDAY('Extraction edi'!V950,-10,Paramètrage!$G$2:$G$104)))</f>
        <v/>
      </c>
      <c r="P940" s="1" t="e">
        <f t="shared" si="14"/>
        <v>#VALUE!</v>
      </c>
    </row>
    <row r="941" spans="1:16" x14ac:dyDescent="0.25">
      <c r="A941" s="1" t="e">
        <f>IF(#REF!="","",CONCATENATE(#REF!," / pos ",#REF!," / Secteur : ",'Extraction edi'!#REF!," / APPROLIGNE : ",WEEKNUM('Extraction edi'!H951)))</f>
        <v>#REF!</v>
      </c>
      <c r="B941" s="1" t="str">
        <f>IF('Extraction edi'!A951="","",'Extraction edi'!A951)</f>
        <v/>
      </c>
      <c r="C941" s="1" t="str">
        <f>IF('Extraction edi'!B951="","",'Extraction edi'!B951)</f>
        <v/>
      </c>
      <c r="D941" s="1" t="str">
        <f>IF('Extraction edi'!H951="","",'Extraction edi'!H951)</f>
        <v/>
      </c>
      <c r="E941" s="1" t="str">
        <f>IF('Extraction edi'!I951="","",'Extraction edi'!I951)</f>
        <v/>
      </c>
      <c r="F941" t="str">
        <f>IF('Extraction edi'!K951="","",'Extraction edi'!K951)</f>
        <v/>
      </c>
      <c r="G941" t="str">
        <f>IF('Extraction edi'!L951="","",'Extraction edi'!L951)</f>
        <v/>
      </c>
      <c r="H941" t="str">
        <f>IF('Extraction edi'!M951="","",'Extraction edi'!M951)</f>
        <v/>
      </c>
      <c r="I941" s="1" t="str">
        <f>IF('Extraction edi'!N951="","",'Extraction edi'!N951)</f>
        <v/>
      </c>
      <c r="J941" s="1" t="str">
        <f>IF('Extraction edi'!O951="","",'Extraction edi'!O951)</f>
        <v/>
      </c>
      <c r="K941" s="1" t="str">
        <f>IF('Extraction edi'!P951="","",'Extraction edi'!P951)</f>
        <v/>
      </c>
      <c r="L941" s="1" t="str">
        <f>IF('Extraction edi'!Q951="laquage RAL :","OUI","")</f>
        <v/>
      </c>
      <c r="M941" s="1" t="str">
        <f>IF('Extraction edi'!R951&lt;&gt;"",'Extraction edi'!R951,IF(G941="ALU blanc","S9016",""))</f>
        <v/>
      </c>
      <c r="N941" s="1" t="str">
        <f>IF('Extraction edi'!S951&lt;&gt;"",'Extraction edi'!S951,IF(G941="ALU blanc","S9016",""))</f>
        <v/>
      </c>
      <c r="O941" s="11" t="str">
        <f>IF('Extraction edi'!V951&lt;'Feuille commande'!$E$1,"DELAI NON COMPATIBLE",IF('Extraction edi'!V951="","",WORKDAY('Extraction edi'!V951,-10,Paramètrage!$G$2:$G$104)))</f>
        <v/>
      </c>
      <c r="P941" s="1" t="e">
        <f t="shared" si="14"/>
        <v>#VALUE!</v>
      </c>
    </row>
    <row r="942" spans="1:16" x14ac:dyDescent="0.25">
      <c r="A942" s="1" t="e">
        <f>IF(#REF!="","",CONCATENATE(#REF!," / pos ",#REF!," / Secteur : ",'Extraction edi'!#REF!," / APPROLIGNE : ",WEEKNUM('Extraction edi'!H952)))</f>
        <v>#REF!</v>
      </c>
      <c r="B942" s="1" t="str">
        <f>IF('Extraction edi'!A952="","",'Extraction edi'!A952)</f>
        <v/>
      </c>
      <c r="C942" s="1" t="str">
        <f>IF('Extraction edi'!B952="","",'Extraction edi'!B952)</f>
        <v/>
      </c>
      <c r="D942" s="1" t="str">
        <f>IF('Extraction edi'!H952="","",'Extraction edi'!H952)</f>
        <v/>
      </c>
      <c r="E942" s="1" t="str">
        <f>IF('Extraction edi'!I952="","",'Extraction edi'!I952)</f>
        <v/>
      </c>
      <c r="F942" t="str">
        <f>IF('Extraction edi'!K952="","",'Extraction edi'!K952)</f>
        <v/>
      </c>
      <c r="G942" t="str">
        <f>IF('Extraction edi'!L952="","",'Extraction edi'!L952)</f>
        <v/>
      </c>
      <c r="H942" t="str">
        <f>IF('Extraction edi'!M952="","",'Extraction edi'!M952)</f>
        <v/>
      </c>
      <c r="I942" s="1" t="str">
        <f>IF('Extraction edi'!N952="","",'Extraction edi'!N952)</f>
        <v/>
      </c>
      <c r="J942" s="1" t="str">
        <f>IF('Extraction edi'!O952="","",'Extraction edi'!O952)</f>
        <v/>
      </c>
      <c r="K942" s="1" t="str">
        <f>IF('Extraction edi'!P952="","",'Extraction edi'!P952)</f>
        <v/>
      </c>
      <c r="L942" s="1" t="str">
        <f>IF('Extraction edi'!Q952="laquage RAL :","OUI","")</f>
        <v/>
      </c>
      <c r="M942" s="1" t="str">
        <f>IF('Extraction edi'!R952&lt;&gt;"",'Extraction edi'!R952,IF(G942="ALU blanc","S9016",""))</f>
        <v/>
      </c>
      <c r="N942" s="1" t="str">
        <f>IF('Extraction edi'!S952&lt;&gt;"",'Extraction edi'!S952,IF(G942="ALU blanc","S9016",""))</f>
        <v/>
      </c>
      <c r="O942" s="11" t="str">
        <f>IF('Extraction edi'!V952&lt;'Feuille commande'!$E$1,"DELAI NON COMPATIBLE",IF('Extraction edi'!V952="","",WORKDAY('Extraction edi'!V952,-10,Paramètrage!$G$2:$G$104)))</f>
        <v/>
      </c>
      <c r="P942" s="1" t="e">
        <f t="shared" si="14"/>
        <v>#VALUE!</v>
      </c>
    </row>
    <row r="943" spans="1:16" x14ac:dyDescent="0.25">
      <c r="A943" s="1" t="e">
        <f>IF(#REF!="","",CONCATENATE(#REF!," / pos ",#REF!," / Secteur : ",'Extraction edi'!#REF!," / APPROLIGNE : ",WEEKNUM('Extraction edi'!H953)))</f>
        <v>#REF!</v>
      </c>
      <c r="B943" s="1" t="str">
        <f>IF('Extraction edi'!A953="","",'Extraction edi'!A953)</f>
        <v/>
      </c>
      <c r="C943" s="1" t="str">
        <f>IF('Extraction edi'!B953="","",'Extraction edi'!B953)</f>
        <v/>
      </c>
      <c r="D943" s="1" t="str">
        <f>IF('Extraction edi'!H953="","",'Extraction edi'!H953)</f>
        <v/>
      </c>
      <c r="E943" s="1" t="str">
        <f>IF('Extraction edi'!I953="","",'Extraction edi'!I953)</f>
        <v/>
      </c>
      <c r="F943" t="str">
        <f>IF('Extraction edi'!K953="","",'Extraction edi'!K953)</f>
        <v/>
      </c>
      <c r="G943" t="str">
        <f>IF('Extraction edi'!L953="","",'Extraction edi'!L953)</f>
        <v/>
      </c>
      <c r="H943" t="str">
        <f>IF('Extraction edi'!M953="","",'Extraction edi'!M953)</f>
        <v/>
      </c>
      <c r="I943" s="1" t="str">
        <f>IF('Extraction edi'!N953="","",'Extraction edi'!N953)</f>
        <v/>
      </c>
      <c r="J943" s="1" t="str">
        <f>IF('Extraction edi'!O953="","",'Extraction edi'!O953)</f>
        <v/>
      </c>
      <c r="K943" s="1" t="str">
        <f>IF('Extraction edi'!P953="","",'Extraction edi'!P953)</f>
        <v/>
      </c>
      <c r="L943" s="1" t="str">
        <f>IF('Extraction edi'!Q953="laquage RAL :","OUI","")</f>
        <v/>
      </c>
      <c r="M943" s="1" t="str">
        <f>IF('Extraction edi'!R953&lt;&gt;"",'Extraction edi'!R953,IF(G943="ALU blanc","S9016",""))</f>
        <v/>
      </c>
      <c r="N943" s="1" t="str">
        <f>IF('Extraction edi'!S953&lt;&gt;"",'Extraction edi'!S953,IF(G943="ALU blanc","S9016",""))</f>
        <v/>
      </c>
      <c r="O943" s="11" t="str">
        <f>IF('Extraction edi'!V953&lt;'Feuille commande'!$E$1,"DELAI NON COMPATIBLE",IF('Extraction edi'!V953="","",WORKDAY('Extraction edi'!V953,-10,Paramètrage!$G$2:$G$104)))</f>
        <v/>
      </c>
      <c r="P943" s="1" t="e">
        <f t="shared" si="14"/>
        <v>#VALUE!</v>
      </c>
    </row>
    <row r="944" spans="1:16" x14ac:dyDescent="0.25">
      <c r="A944" s="1" t="e">
        <f>IF(#REF!="","",CONCATENATE(#REF!," / pos ",#REF!," / Secteur : ",'Extraction edi'!#REF!," / APPROLIGNE : ",WEEKNUM('Extraction edi'!H954)))</f>
        <v>#REF!</v>
      </c>
      <c r="B944" s="1" t="str">
        <f>IF('Extraction edi'!A954="","",'Extraction edi'!A954)</f>
        <v/>
      </c>
      <c r="C944" s="1" t="str">
        <f>IF('Extraction edi'!B954="","",'Extraction edi'!B954)</f>
        <v/>
      </c>
      <c r="D944" s="1" t="str">
        <f>IF('Extraction edi'!H954="","",'Extraction edi'!H954)</f>
        <v/>
      </c>
      <c r="E944" s="1" t="str">
        <f>IF('Extraction edi'!I954="","",'Extraction edi'!I954)</f>
        <v/>
      </c>
      <c r="F944" t="str">
        <f>IF('Extraction edi'!K954="","",'Extraction edi'!K954)</f>
        <v/>
      </c>
      <c r="G944" t="str">
        <f>IF('Extraction edi'!L954="","",'Extraction edi'!L954)</f>
        <v/>
      </c>
      <c r="H944" t="str">
        <f>IF('Extraction edi'!M954="","",'Extraction edi'!M954)</f>
        <v/>
      </c>
      <c r="I944" s="1" t="str">
        <f>IF('Extraction edi'!N954="","",'Extraction edi'!N954)</f>
        <v/>
      </c>
      <c r="J944" s="1" t="str">
        <f>IF('Extraction edi'!O954="","",'Extraction edi'!O954)</f>
        <v/>
      </c>
      <c r="K944" s="1" t="str">
        <f>IF('Extraction edi'!P954="","",'Extraction edi'!P954)</f>
        <v/>
      </c>
      <c r="L944" s="1" t="str">
        <f>IF('Extraction edi'!Q954="laquage RAL :","OUI","")</f>
        <v/>
      </c>
      <c r="M944" s="1" t="str">
        <f>IF('Extraction edi'!R954&lt;&gt;"",'Extraction edi'!R954,IF(G944="ALU blanc","S9016",""))</f>
        <v/>
      </c>
      <c r="N944" s="1" t="str">
        <f>IF('Extraction edi'!S954&lt;&gt;"",'Extraction edi'!S954,IF(G944="ALU blanc","S9016",""))</f>
        <v/>
      </c>
      <c r="O944" s="11" t="str">
        <f>IF('Extraction edi'!V954&lt;'Feuille commande'!$E$1,"DELAI NON COMPATIBLE",IF('Extraction edi'!V954="","",WORKDAY('Extraction edi'!V954,-10,Paramètrage!$G$2:$G$104)))</f>
        <v/>
      </c>
      <c r="P944" s="1" t="e">
        <f t="shared" si="14"/>
        <v>#VALUE!</v>
      </c>
    </row>
    <row r="945" spans="1:16" x14ac:dyDescent="0.25">
      <c r="A945" s="1" t="e">
        <f>IF(#REF!="","",CONCATENATE(#REF!," / pos ",#REF!," / Secteur : ",'Extraction edi'!#REF!," / APPROLIGNE : ",WEEKNUM('Extraction edi'!H955)))</f>
        <v>#REF!</v>
      </c>
      <c r="B945" s="1" t="str">
        <f>IF('Extraction edi'!A955="","",'Extraction edi'!A955)</f>
        <v/>
      </c>
      <c r="C945" s="1" t="str">
        <f>IF('Extraction edi'!B955="","",'Extraction edi'!B955)</f>
        <v/>
      </c>
      <c r="D945" s="1" t="str">
        <f>IF('Extraction edi'!H955="","",'Extraction edi'!H955)</f>
        <v/>
      </c>
      <c r="E945" s="1" t="str">
        <f>IF('Extraction edi'!I955="","",'Extraction edi'!I955)</f>
        <v/>
      </c>
      <c r="F945" t="str">
        <f>IF('Extraction edi'!K955="","",'Extraction edi'!K955)</f>
        <v/>
      </c>
      <c r="G945" t="str">
        <f>IF('Extraction edi'!L955="","",'Extraction edi'!L955)</f>
        <v/>
      </c>
      <c r="H945" t="str">
        <f>IF('Extraction edi'!M955="","",'Extraction edi'!M955)</f>
        <v/>
      </c>
      <c r="I945" s="1" t="str">
        <f>IF('Extraction edi'!N955="","",'Extraction edi'!N955)</f>
        <v/>
      </c>
      <c r="J945" s="1" t="str">
        <f>IF('Extraction edi'!O955="","",'Extraction edi'!O955)</f>
        <v/>
      </c>
      <c r="K945" s="1" t="str">
        <f>IF('Extraction edi'!P955="","",'Extraction edi'!P955)</f>
        <v/>
      </c>
      <c r="L945" s="1" t="str">
        <f>IF('Extraction edi'!Q955="laquage RAL :","OUI","")</f>
        <v/>
      </c>
      <c r="M945" s="1" t="str">
        <f>IF('Extraction edi'!R955&lt;&gt;"",'Extraction edi'!R955,IF(G945="ALU blanc","S9016",""))</f>
        <v/>
      </c>
      <c r="N945" s="1" t="str">
        <f>IF('Extraction edi'!S955&lt;&gt;"",'Extraction edi'!S955,IF(G945="ALU blanc","S9016",""))</f>
        <v/>
      </c>
      <c r="O945" s="11" t="str">
        <f>IF('Extraction edi'!V955&lt;'Feuille commande'!$E$1,"DELAI NON COMPATIBLE",IF('Extraction edi'!V955="","",WORKDAY('Extraction edi'!V955,-10,Paramètrage!$G$2:$G$104)))</f>
        <v/>
      </c>
      <c r="P945" s="1" t="e">
        <f t="shared" si="14"/>
        <v>#VALUE!</v>
      </c>
    </row>
    <row r="946" spans="1:16" x14ac:dyDescent="0.25">
      <c r="A946" s="1" t="e">
        <f>IF(#REF!="","",CONCATENATE(#REF!," / pos ",#REF!," / Secteur : ",'Extraction edi'!#REF!," / APPROLIGNE : ",WEEKNUM('Extraction edi'!H956)))</f>
        <v>#REF!</v>
      </c>
      <c r="B946" s="1" t="str">
        <f>IF('Extraction edi'!A956="","",'Extraction edi'!A956)</f>
        <v/>
      </c>
      <c r="C946" s="1" t="str">
        <f>IF('Extraction edi'!B956="","",'Extraction edi'!B956)</f>
        <v/>
      </c>
      <c r="D946" s="1" t="str">
        <f>IF('Extraction edi'!H956="","",'Extraction edi'!H956)</f>
        <v/>
      </c>
      <c r="E946" s="1" t="str">
        <f>IF('Extraction edi'!I956="","",'Extraction edi'!I956)</f>
        <v/>
      </c>
      <c r="F946" t="str">
        <f>IF('Extraction edi'!K956="","",'Extraction edi'!K956)</f>
        <v/>
      </c>
      <c r="G946" t="str">
        <f>IF('Extraction edi'!L956="","",'Extraction edi'!L956)</f>
        <v/>
      </c>
      <c r="H946" t="str">
        <f>IF('Extraction edi'!M956="","",'Extraction edi'!M956)</f>
        <v/>
      </c>
      <c r="I946" s="1" t="str">
        <f>IF('Extraction edi'!N956="","",'Extraction edi'!N956)</f>
        <v/>
      </c>
      <c r="J946" s="1" t="str">
        <f>IF('Extraction edi'!O956="","",'Extraction edi'!O956)</f>
        <v/>
      </c>
      <c r="K946" s="1" t="str">
        <f>IF('Extraction edi'!P956="","",'Extraction edi'!P956)</f>
        <v/>
      </c>
      <c r="L946" s="1" t="str">
        <f>IF('Extraction edi'!Q956="laquage RAL :","OUI","")</f>
        <v/>
      </c>
      <c r="M946" s="1" t="str">
        <f>IF('Extraction edi'!R956&lt;&gt;"",'Extraction edi'!R956,IF(G946="ALU blanc","S9016",""))</f>
        <v/>
      </c>
      <c r="N946" s="1" t="str">
        <f>IF('Extraction edi'!S956&lt;&gt;"",'Extraction edi'!S956,IF(G946="ALU blanc","S9016",""))</f>
        <v/>
      </c>
      <c r="O946" s="11" t="str">
        <f>IF('Extraction edi'!V956&lt;'Feuille commande'!$E$1,"DELAI NON COMPATIBLE",IF('Extraction edi'!V956="","",WORKDAY('Extraction edi'!V956,-10,Paramètrage!$G$2:$G$104)))</f>
        <v/>
      </c>
      <c r="P946" s="1" t="e">
        <f t="shared" si="14"/>
        <v>#VALUE!</v>
      </c>
    </row>
    <row r="947" spans="1:16" x14ac:dyDescent="0.25">
      <c r="A947" s="1" t="e">
        <f>IF(#REF!="","",CONCATENATE(#REF!," / pos ",#REF!," / Secteur : ",'Extraction edi'!#REF!," / APPROLIGNE : ",WEEKNUM('Extraction edi'!H957)))</f>
        <v>#REF!</v>
      </c>
      <c r="B947" s="1" t="str">
        <f>IF('Extraction edi'!A957="","",'Extraction edi'!A957)</f>
        <v/>
      </c>
      <c r="C947" s="1" t="str">
        <f>IF('Extraction edi'!B957="","",'Extraction edi'!B957)</f>
        <v/>
      </c>
      <c r="D947" s="1" t="str">
        <f>IF('Extraction edi'!H957="","",'Extraction edi'!H957)</f>
        <v/>
      </c>
      <c r="E947" s="1" t="str">
        <f>IF('Extraction edi'!I957="","",'Extraction edi'!I957)</f>
        <v/>
      </c>
      <c r="F947" t="str">
        <f>IF('Extraction edi'!K957="","",'Extraction edi'!K957)</f>
        <v/>
      </c>
      <c r="G947" t="str">
        <f>IF('Extraction edi'!L957="","",'Extraction edi'!L957)</f>
        <v/>
      </c>
      <c r="H947" t="str">
        <f>IF('Extraction edi'!M957="","",'Extraction edi'!M957)</f>
        <v/>
      </c>
      <c r="I947" s="1" t="str">
        <f>IF('Extraction edi'!N957="","",'Extraction edi'!N957)</f>
        <v/>
      </c>
      <c r="J947" s="1" t="str">
        <f>IF('Extraction edi'!O957="","",'Extraction edi'!O957)</f>
        <v/>
      </c>
      <c r="K947" s="1" t="str">
        <f>IF('Extraction edi'!P957="","",'Extraction edi'!P957)</f>
        <v/>
      </c>
      <c r="L947" s="1" t="str">
        <f>IF('Extraction edi'!Q957="laquage RAL :","OUI","")</f>
        <v/>
      </c>
      <c r="M947" s="1" t="str">
        <f>IF('Extraction edi'!R957&lt;&gt;"",'Extraction edi'!R957,IF(G947="ALU blanc","S9016",""))</f>
        <v/>
      </c>
      <c r="N947" s="1" t="str">
        <f>IF('Extraction edi'!S957&lt;&gt;"",'Extraction edi'!S957,IF(G947="ALU blanc","S9016",""))</f>
        <v/>
      </c>
      <c r="O947" s="11" t="str">
        <f>IF('Extraction edi'!V957&lt;'Feuille commande'!$E$1,"DELAI NON COMPATIBLE",IF('Extraction edi'!V957="","",WORKDAY('Extraction edi'!V957,-10,Paramètrage!$G$2:$G$104)))</f>
        <v/>
      </c>
      <c r="P947" s="1" t="e">
        <f t="shared" si="14"/>
        <v>#VALUE!</v>
      </c>
    </row>
    <row r="948" spans="1:16" x14ac:dyDescent="0.25">
      <c r="A948" s="1" t="e">
        <f>IF(#REF!="","",CONCATENATE(#REF!," / pos ",#REF!," / Secteur : ",'Extraction edi'!#REF!," / APPROLIGNE : ",WEEKNUM('Extraction edi'!H958)))</f>
        <v>#REF!</v>
      </c>
      <c r="B948" s="1" t="str">
        <f>IF('Extraction edi'!A958="","",'Extraction edi'!A958)</f>
        <v/>
      </c>
      <c r="C948" s="1" t="str">
        <f>IF('Extraction edi'!B958="","",'Extraction edi'!B958)</f>
        <v/>
      </c>
      <c r="D948" s="1" t="str">
        <f>IF('Extraction edi'!H958="","",'Extraction edi'!H958)</f>
        <v/>
      </c>
      <c r="E948" s="1" t="str">
        <f>IF('Extraction edi'!I958="","",'Extraction edi'!I958)</f>
        <v/>
      </c>
      <c r="F948" t="str">
        <f>IF('Extraction edi'!K958="","",'Extraction edi'!K958)</f>
        <v/>
      </c>
      <c r="G948" t="str">
        <f>IF('Extraction edi'!L958="","",'Extraction edi'!L958)</f>
        <v/>
      </c>
      <c r="H948" t="str">
        <f>IF('Extraction edi'!M958="","",'Extraction edi'!M958)</f>
        <v/>
      </c>
      <c r="I948" s="1" t="str">
        <f>IF('Extraction edi'!N958="","",'Extraction edi'!N958)</f>
        <v/>
      </c>
      <c r="J948" s="1" t="str">
        <f>IF('Extraction edi'!O958="","",'Extraction edi'!O958)</f>
        <v/>
      </c>
      <c r="K948" s="1" t="str">
        <f>IF('Extraction edi'!P958="","",'Extraction edi'!P958)</f>
        <v/>
      </c>
      <c r="L948" s="1" t="str">
        <f>IF('Extraction edi'!Q958="laquage RAL :","OUI","")</f>
        <v/>
      </c>
      <c r="M948" s="1" t="str">
        <f>IF('Extraction edi'!R958&lt;&gt;"",'Extraction edi'!R958,IF(G948="ALU blanc","S9016",""))</f>
        <v/>
      </c>
      <c r="N948" s="1" t="str">
        <f>IF('Extraction edi'!S958&lt;&gt;"",'Extraction edi'!S958,IF(G948="ALU blanc","S9016",""))</f>
        <v/>
      </c>
      <c r="O948" s="11" t="str">
        <f>IF('Extraction edi'!V958&lt;'Feuille commande'!$E$1,"DELAI NON COMPATIBLE",IF('Extraction edi'!V958="","",WORKDAY('Extraction edi'!V958,-10,Paramètrage!$G$2:$G$104)))</f>
        <v/>
      </c>
      <c r="P948" s="1" t="e">
        <f t="shared" si="14"/>
        <v>#VALUE!</v>
      </c>
    </row>
    <row r="949" spans="1:16" x14ac:dyDescent="0.25">
      <c r="A949" s="1" t="e">
        <f>IF(#REF!="","",CONCATENATE(#REF!," / pos ",#REF!," / Secteur : ",'Extraction edi'!#REF!," / APPROLIGNE : ",WEEKNUM('Extraction edi'!H959)))</f>
        <v>#REF!</v>
      </c>
      <c r="B949" s="1" t="str">
        <f>IF('Extraction edi'!A959="","",'Extraction edi'!A959)</f>
        <v/>
      </c>
      <c r="C949" s="1" t="str">
        <f>IF('Extraction edi'!B959="","",'Extraction edi'!B959)</f>
        <v/>
      </c>
      <c r="D949" s="1" t="str">
        <f>IF('Extraction edi'!H959="","",'Extraction edi'!H959)</f>
        <v/>
      </c>
      <c r="E949" s="1" t="str">
        <f>IF('Extraction edi'!I959="","",'Extraction edi'!I959)</f>
        <v/>
      </c>
      <c r="F949" t="str">
        <f>IF('Extraction edi'!K959="","",'Extraction edi'!K959)</f>
        <v/>
      </c>
      <c r="G949" t="str">
        <f>IF('Extraction edi'!L959="","",'Extraction edi'!L959)</f>
        <v/>
      </c>
      <c r="H949" t="str">
        <f>IF('Extraction edi'!M959="","",'Extraction edi'!M959)</f>
        <v/>
      </c>
      <c r="I949" s="1" t="str">
        <f>IF('Extraction edi'!N959="","",'Extraction edi'!N959)</f>
        <v/>
      </c>
      <c r="J949" s="1" t="str">
        <f>IF('Extraction edi'!O959="","",'Extraction edi'!O959)</f>
        <v/>
      </c>
      <c r="K949" s="1" t="str">
        <f>IF('Extraction edi'!P959="","",'Extraction edi'!P959)</f>
        <v/>
      </c>
      <c r="L949" s="1" t="str">
        <f>IF('Extraction edi'!Q959="laquage RAL :","OUI","")</f>
        <v/>
      </c>
      <c r="M949" s="1" t="str">
        <f>IF('Extraction edi'!R959&lt;&gt;"",'Extraction edi'!R959,IF(G949="ALU blanc","S9016",""))</f>
        <v/>
      </c>
      <c r="N949" s="1" t="str">
        <f>IF('Extraction edi'!S959&lt;&gt;"",'Extraction edi'!S959,IF(G949="ALU blanc","S9016",""))</f>
        <v/>
      </c>
      <c r="O949" s="11" t="str">
        <f>IF('Extraction edi'!V959&lt;'Feuille commande'!$E$1,"DELAI NON COMPATIBLE",IF('Extraction edi'!V959="","",WORKDAY('Extraction edi'!V959,-10,Paramètrage!$G$2:$G$104)))</f>
        <v/>
      </c>
      <c r="P949" s="1" t="e">
        <f t="shared" si="14"/>
        <v>#VALUE!</v>
      </c>
    </row>
    <row r="950" spans="1:16" x14ac:dyDescent="0.25">
      <c r="A950" s="1" t="e">
        <f>IF(#REF!="","",CONCATENATE(#REF!," / pos ",#REF!," / Secteur : ",'Extraction edi'!#REF!," / APPROLIGNE : ",WEEKNUM('Extraction edi'!H960)))</f>
        <v>#REF!</v>
      </c>
      <c r="B950" s="1" t="str">
        <f>IF('Extraction edi'!A960="","",'Extraction edi'!A960)</f>
        <v/>
      </c>
      <c r="C950" s="1" t="str">
        <f>IF('Extraction edi'!B960="","",'Extraction edi'!B960)</f>
        <v/>
      </c>
      <c r="D950" s="1" t="str">
        <f>IF('Extraction edi'!H960="","",'Extraction edi'!H960)</f>
        <v/>
      </c>
      <c r="E950" s="1" t="str">
        <f>IF('Extraction edi'!I960="","",'Extraction edi'!I960)</f>
        <v/>
      </c>
      <c r="F950" t="str">
        <f>IF('Extraction edi'!K960="","",'Extraction edi'!K960)</f>
        <v/>
      </c>
      <c r="G950" t="str">
        <f>IF('Extraction edi'!L960="","",'Extraction edi'!L960)</f>
        <v/>
      </c>
      <c r="H950" t="str">
        <f>IF('Extraction edi'!M960="","",'Extraction edi'!M960)</f>
        <v/>
      </c>
      <c r="I950" s="1" t="str">
        <f>IF('Extraction edi'!N960="","",'Extraction edi'!N960)</f>
        <v/>
      </c>
      <c r="J950" s="1" t="str">
        <f>IF('Extraction edi'!O960="","",'Extraction edi'!O960)</f>
        <v/>
      </c>
      <c r="K950" s="1" t="str">
        <f>IF('Extraction edi'!P960="","",'Extraction edi'!P960)</f>
        <v/>
      </c>
      <c r="L950" s="1" t="str">
        <f>IF('Extraction edi'!Q960="laquage RAL :","OUI","")</f>
        <v/>
      </c>
      <c r="M950" s="1" t="str">
        <f>IF('Extraction edi'!R960&lt;&gt;"",'Extraction edi'!R960,IF(G950="ALU blanc","S9016",""))</f>
        <v/>
      </c>
      <c r="N950" s="1" t="str">
        <f>IF('Extraction edi'!S960&lt;&gt;"",'Extraction edi'!S960,IF(G950="ALU blanc","S9016",""))</f>
        <v/>
      </c>
      <c r="O950" s="11" t="str">
        <f>IF('Extraction edi'!V960&lt;'Feuille commande'!$E$1,"DELAI NON COMPATIBLE",IF('Extraction edi'!V960="","",WORKDAY('Extraction edi'!V960,-10,Paramètrage!$G$2:$G$104)))</f>
        <v/>
      </c>
      <c r="P950" s="1" t="e">
        <f t="shared" si="14"/>
        <v>#VALUE!</v>
      </c>
    </row>
    <row r="951" spans="1:16" x14ac:dyDescent="0.25">
      <c r="A951" s="1" t="e">
        <f>IF(#REF!="","",CONCATENATE(#REF!," / pos ",#REF!," / Secteur : ",'Extraction edi'!#REF!," / APPROLIGNE : ",WEEKNUM('Extraction edi'!H961)))</f>
        <v>#REF!</v>
      </c>
      <c r="B951" s="1" t="str">
        <f>IF('Extraction edi'!A961="","",'Extraction edi'!A961)</f>
        <v/>
      </c>
      <c r="C951" s="1" t="str">
        <f>IF('Extraction edi'!B961="","",'Extraction edi'!B961)</f>
        <v/>
      </c>
      <c r="D951" s="1" t="str">
        <f>IF('Extraction edi'!H961="","",'Extraction edi'!H961)</f>
        <v/>
      </c>
      <c r="E951" s="1" t="str">
        <f>IF('Extraction edi'!I961="","",'Extraction edi'!I961)</f>
        <v/>
      </c>
      <c r="F951" t="str">
        <f>IF('Extraction edi'!K961="","",'Extraction edi'!K961)</f>
        <v/>
      </c>
      <c r="G951" t="str">
        <f>IF('Extraction edi'!L961="","",'Extraction edi'!L961)</f>
        <v/>
      </c>
      <c r="H951" t="str">
        <f>IF('Extraction edi'!M961="","",'Extraction edi'!M961)</f>
        <v/>
      </c>
      <c r="I951" s="1" t="str">
        <f>IF('Extraction edi'!N961="","",'Extraction edi'!N961)</f>
        <v/>
      </c>
      <c r="J951" s="1" t="str">
        <f>IF('Extraction edi'!O961="","",'Extraction edi'!O961)</f>
        <v/>
      </c>
      <c r="K951" s="1" t="str">
        <f>IF('Extraction edi'!P961="","",'Extraction edi'!P961)</f>
        <v/>
      </c>
      <c r="L951" s="1" t="str">
        <f>IF('Extraction edi'!Q961="laquage RAL :","OUI","")</f>
        <v/>
      </c>
      <c r="M951" s="1" t="str">
        <f>IF('Extraction edi'!R961&lt;&gt;"",'Extraction edi'!R961,IF(G951="ALU blanc","S9016",""))</f>
        <v/>
      </c>
      <c r="N951" s="1" t="str">
        <f>IF('Extraction edi'!S961&lt;&gt;"",'Extraction edi'!S961,IF(G951="ALU blanc","S9016",""))</f>
        <v/>
      </c>
      <c r="O951" s="11" t="str">
        <f>IF('Extraction edi'!V961&lt;'Feuille commande'!$E$1,"DELAI NON COMPATIBLE",IF('Extraction edi'!V961="","",WORKDAY('Extraction edi'!V961,-10,Paramètrage!$G$2:$G$104)))</f>
        <v/>
      </c>
      <c r="P951" s="1" t="e">
        <f t="shared" si="14"/>
        <v>#VALUE!</v>
      </c>
    </row>
    <row r="952" spans="1:16" x14ac:dyDescent="0.25">
      <c r="A952" s="1" t="e">
        <f>IF(#REF!="","",CONCATENATE(#REF!," / pos ",#REF!," / Secteur : ",'Extraction edi'!#REF!," / APPROLIGNE : ",WEEKNUM('Extraction edi'!H962)))</f>
        <v>#REF!</v>
      </c>
      <c r="B952" s="1" t="str">
        <f>IF('Extraction edi'!A962="","",'Extraction edi'!A962)</f>
        <v/>
      </c>
      <c r="C952" s="1" t="str">
        <f>IF('Extraction edi'!B962="","",'Extraction edi'!B962)</f>
        <v/>
      </c>
      <c r="D952" s="1" t="str">
        <f>IF('Extraction edi'!H962="","",'Extraction edi'!H962)</f>
        <v/>
      </c>
      <c r="E952" s="1" t="str">
        <f>IF('Extraction edi'!I962="","",'Extraction edi'!I962)</f>
        <v/>
      </c>
      <c r="F952" t="str">
        <f>IF('Extraction edi'!K962="","",'Extraction edi'!K962)</f>
        <v/>
      </c>
      <c r="G952" t="str">
        <f>IF('Extraction edi'!L962="","",'Extraction edi'!L962)</f>
        <v/>
      </c>
      <c r="H952" t="str">
        <f>IF('Extraction edi'!M962="","",'Extraction edi'!M962)</f>
        <v/>
      </c>
      <c r="I952" s="1" t="str">
        <f>IF('Extraction edi'!N962="","",'Extraction edi'!N962)</f>
        <v/>
      </c>
      <c r="J952" s="1" t="str">
        <f>IF('Extraction edi'!O962="","",'Extraction edi'!O962)</f>
        <v/>
      </c>
      <c r="K952" s="1" t="str">
        <f>IF('Extraction edi'!P962="","",'Extraction edi'!P962)</f>
        <v/>
      </c>
      <c r="L952" s="1" t="str">
        <f>IF('Extraction edi'!Q962="laquage RAL :","OUI","")</f>
        <v/>
      </c>
      <c r="M952" s="1" t="str">
        <f>IF('Extraction edi'!R962&lt;&gt;"",'Extraction edi'!R962,IF(G952="ALU blanc","S9016",""))</f>
        <v/>
      </c>
      <c r="N952" s="1" t="str">
        <f>IF('Extraction edi'!S962&lt;&gt;"",'Extraction edi'!S962,IF(G952="ALU blanc","S9016",""))</f>
        <v/>
      </c>
      <c r="O952" s="11" t="str">
        <f>IF('Extraction edi'!V962&lt;'Feuille commande'!$E$1,"DELAI NON COMPATIBLE",IF('Extraction edi'!V962="","",WORKDAY('Extraction edi'!V962,-10,Paramètrage!$G$2:$G$104)))</f>
        <v/>
      </c>
      <c r="P952" s="1" t="e">
        <f t="shared" si="14"/>
        <v>#VALUE!</v>
      </c>
    </row>
    <row r="953" spans="1:16" x14ac:dyDescent="0.25">
      <c r="A953" s="1" t="e">
        <f>IF(#REF!="","",CONCATENATE(#REF!," / pos ",#REF!," / Secteur : ",'Extraction edi'!#REF!," / APPROLIGNE : ",WEEKNUM('Extraction edi'!H963)))</f>
        <v>#REF!</v>
      </c>
      <c r="B953" s="1" t="str">
        <f>IF('Extraction edi'!A963="","",'Extraction edi'!A963)</f>
        <v/>
      </c>
      <c r="C953" s="1" t="str">
        <f>IF('Extraction edi'!B963="","",'Extraction edi'!B963)</f>
        <v/>
      </c>
      <c r="D953" s="1" t="str">
        <f>IF('Extraction edi'!H963="","",'Extraction edi'!H963)</f>
        <v/>
      </c>
      <c r="E953" s="1" t="str">
        <f>IF('Extraction edi'!I963="","",'Extraction edi'!I963)</f>
        <v/>
      </c>
      <c r="F953" t="str">
        <f>IF('Extraction edi'!K963="","",'Extraction edi'!K963)</f>
        <v/>
      </c>
      <c r="G953" t="str">
        <f>IF('Extraction edi'!L963="","",'Extraction edi'!L963)</f>
        <v/>
      </c>
      <c r="H953" t="str">
        <f>IF('Extraction edi'!M963="","",'Extraction edi'!M963)</f>
        <v/>
      </c>
      <c r="I953" s="1" t="str">
        <f>IF('Extraction edi'!N963="","",'Extraction edi'!N963)</f>
        <v/>
      </c>
      <c r="J953" s="1" t="str">
        <f>IF('Extraction edi'!O963="","",'Extraction edi'!O963)</f>
        <v/>
      </c>
      <c r="K953" s="1" t="str">
        <f>IF('Extraction edi'!P963="","",'Extraction edi'!P963)</f>
        <v/>
      </c>
      <c r="L953" s="1" t="str">
        <f>IF('Extraction edi'!Q963="laquage RAL :","OUI","")</f>
        <v/>
      </c>
      <c r="M953" s="1" t="str">
        <f>IF('Extraction edi'!R963&lt;&gt;"",'Extraction edi'!R963,IF(G953="ALU blanc","S9016",""))</f>
        <v/>
      </c>
      <c r="N953" s="1" t="str">
        <f>IF('Extraction edi'!S963&lt;&gt;"",'Extraction edi'!S963,IF(G953="ALU blanc","S9016",""))</f>
        <v/>
      </c>
      <c r="O953" s="11" t="str">
        <f>IF('Extraction edi'!V963&lt;'Feuille commande'!$E$1,"DELAI NON COMPATIBLE",IF('Extraction edi'!V963="","",WORKDAY('Extraction edi'!V963,-10,Paramètrage!$G$2:$G$104)))</f>
        <v/>
      </c>
      <c r="P953" s="1" t="e">
        <f t="shared" si="14"/>
        <v>#VALUE!</v>
      </c>
    </row>
    <row r="954" spans="1:16" x14ac:dyDescent="0.25">
      <c r="A954" s="1" t="e">
        <f>IF(#REF!="","",CONCATENATE(#REF!," / pos ",#REF!," / Secteur : ",'Extraction edi'!#REF!," / APPROLIGNE : ",WEEKNUM('Extraction edi'!H964)))</f>
        <v>#REF!</v>
      </c>
      <c r="B954" s="1" t="str">
        <f>IF('Extraction edi'!A964="","",'Extraction edi'!A964)</f>
        <v/>
      </c>
      <c r="C954" s="1" t="str">
        <f>IF('Extraction edi'!B964="","",'Extraction edi'!B964)</f>
        <v/>
      </c>
      <c r="D954" s="1" t="str">
        <f>IF('Extraction edi'!H964="","",'Extraction edi'!H964)</f>
        <v/>
      </c>
      <c r="E954" s="1" t="str">
        <f>IF('Extraction edi'!I964="","",'Extraction edi'!I964)</f>
        <v/>
      </c>
      <c r="F954" t="str">
        <f>IF('Extraction edi'!K964="","",'Extraction edi'!K964)</f>
        <v/>
      </c>
      <c r="G954" t="str">
        <f>IF('Extraction edi'!L964="","",'Extraction edi'!L964)</f>
        <v/>
      </c>
      <c r="H954" t="str">
        <f>IF('Extraction edi'!M964="","",'Extraction edi'!M964)</f>
        <v/>
      </c>
      <c r="I954" s="1" t="str">
        <f>IF('Extraction edi'!N964="","",'Extraction edi'!N964)</f>
        <v/>
      </c>
      <c r="J954" s="1" t="str">
        <f>IF('Extraction edi'!O964="","",'Extraction edi'!O964)</f>
        <v/>
      </c>
      <c r="K954" s="1" t="str">
        <f>IF('Extraction edi'!P964="","",'Extraction edi'!P964)</f>
        <v/>
      </c>
      <c r="L954" s="1" t="str">
        <f>IF('Extraction edi'!Q964="laquage RAL :","OUI","")</f>
        <v/>
      </c>
      <c r="M954" s="1" t="str">
        <f>IF('Extraction edi'!R964&lt;&gt;"",'Extraction edi'!R964,IF(G954="ALU blanc","S9016",""))</f>
        <v/>
      </c>
      <c r="N954" s="1" t="str">
        <f>IF('Extraction edi'!S964&lt;&gt;"",'Extraction edi'!S964,IF(G954="ALU blanc","S9016",""))</f>
        <v/>
      </c>
      <c r="O954" s="11" t="str">
        <f>IF('Extraction edi'!V964&lt;'Feuille commande'!$E$1,"DELAI NON COMPATIBLE",IF('Extraction edi'!V964="","",WORKDAY('Extraction edi'!V964,-10,Paramètrage!$G$2:$G$104)))</f>
        <v/>
      </c>
      <c r="P954" s="1" t="e">
        <f t="shared" si="14"/>
        <v>#VALUE!</v>
      </c>
    </row>
    <row r="955" spans="1:16" x14ac:dyDescent="0.25">
      <c r="A955" s="1" t="e">
        <f>IF(#REF!="","",CONCATENATE(#REF!," / pos ",#REF!," / Secteur : ",'Extraction edi'!#REF!," / APPROLIGNE : ",WEEKNUM('Extraction edi'!H965)))</f>
        <v>#REF!</v>
      </c>
      <c r="B955" s="1" t="str">
        <f>IF('Extraction edi'!A965="","",'Extraction edi'!A965)</f>
        <v/>
      </c>
      <c r="C955" s="1" t="str">
        <f>IF('Extraction edi'!B965="","",'Extraction edi'!B965)</f>
        <v/>
      </c>
      <c r="D955" s="1" t="str">
        <f>IF('Extraction edi'!H965="","",'Extraction edi'!H965)</f>
        <v/>
      </c>
      <c r="E955" s="1" t="str">
        <f>IF('Extraction edi'!I965="","",'Extraction edi'!I965)</f>
        <v/>
      </c>
      <c r="F955" t="str">
        <f>IF('Extraction edi'!K965="","",'Extraction edi'!K965)</f>
        <v/>
      </c>
      <c r="G955" t="str">
        <f>IF('Extraction edi'!L965="","",'Extraction edi'!L965)</f>
        <v/>
      </c>
      <c r="H955" t="str">
        <f>IF('Extraction edi'!M965="","",'Extraction edi'!M965)</f>
        <v/>
      </c>
      <c r="I955" s="1" t="str">
        <f>IF('Extraction edi'!N965="","",'Extraction edi'!N965)</f>
        <v/>
      </c>
      <c r="J955" s="1" t="str">
        <f>IF('Extraction edi'!O965="","",'Extraction edi'!O965)</f>
        <v/>
      </c>
      <c r="K955" s="1" t="str">
        <f>IF('Extraction edi'!P965="","",'Extraction edi'!P965)</f>
        <v/>
      </c>
      <c r="L955" s="1" t="str">
        <f>IF('Extraction edi'!Q965="laquage RAL :","OUI","")</f>
        <v/>
      </c>
      <c r="M955" s="1" t="str">
        <f>IF('Extraction edi'!R965&lt;&gt;"",'Extraction edi'!R965,IF(G955="ALU blanc","S9016",""))</f>
        <v/>
      </c>
      <c r="N955" s="1" t="str">
        <f>IF('Extraction edi'!S965&lt;&gt;"",'Extraction edi'!S965,IF(G955="ALU blanc","S9016",""))</f>
        <v/>
      </c>
      <c r="O955" s="11" t="str">
        <f>IF('Extraction edi'!V965&lt;'Feuille commande'!$E$1,"DELAI NON COMPATIBLE",IF('Extraction edi'!V965="","",WORKDAY('Extraction edi'!V965,-10,Paramètrage!$G$2:$G$104)))</f>
        <v/>
      </c>
      <c r="P955" s="1" t="e">
        <f t="shared" si="14"/>
        <v>#VALUE!</v>
      </c>
    </row>
    <row r="956" spans="1:16" x14ac:dyDescent="0.25">
      <c r="A956" s="1" t="e">
        <f>IF(#REF!="","",CONCATENATE(#REF!," / pos ",#REF!," / Secteur : ",'Extraction edi'!#REF!," / APPROLIGNE : ",WEEKNUM('Extraction edi'!H966)))</f>
        <v>#REF!</v>
      </c>
      <c r="B956" s="1" t="str">
        <f>IF('Extraction edi'!A966="","",'Extraction edi'!A966)</f>
        <v/>
      </c>
      <c r="C956" s="1" t="str">
        <f>IF('Extraction edi'!B966="","",'Extraction edi'!B966)</f>
        <v/>
      </c>
      <c r="D956" s="1" t="str">
        <f>IF('Extraction edi'!H966="","",'Extraction edi'!H966)</f>
        <v/>
      </c>
      <c r="E956" s="1" t="str">
        <f>IF('Extraction edi'!I966="","",'Extraction edi'!I966)</f>
        <v/>
      </c>
      <c r="F956" t="str">
        <f>IF('Extraction edi'!K966="","",'Extraction edi'!K966)</f>
        <v/>
      </c>
      <c r="G956" t="str">
        <f>IF('Extraction edi'!L966="","",'Extraction edi'!L966)</f>
        <v/>
      </c>
      <c r="H956" t="str">
        <f>IF('Extraction edi'!M966="","",'Extraction edi'!M966)</f>
        <v/>
      </c>
      <c r="I956" s="1" t="str">
        <f>IF('Extraction edi'!N966="","",'Extraction edi'!N966)</f>
        <v/>
      </c>
      <c r="J956" s="1" t="str">
        <f>IF('Extraction edi'!O966="","",'Extraction edi'!O966)</f>
        <v/>
      </c>
      <c r="K956" s="1" t="str">
        <f>IF('Extraction edi'!P966="","",'Extraction edi'!P966)</f>
        <v/>
      </c>
      <c r="L956" s="1" t="str">
        <f>IF('Extraction edi'!Q966="laquage RAL :","OUI","")</f>
        <v/>
      </c>
      <c r="M956" s="1" t="str">
        <f>IF('Extraction edi'!R966&lt;&gt;"",'Extraction edi'!R966,IF(G956="ALU blanc","S9016",""))</f>
        <v/>
      </c>
      <c r="N956" s="1" t="str">
        <f>IF('Extraction edi'!S966&lt;&gt;"",'Extraction edi'!S966,IF(G956="ALU blanc","S9016",""))</f>
        <v/>
      </c>
      <c r="O956" s="11" t="str">
        <f>IF('Extraction edi'!V966&lt;'Feuille commande'!$E$1,"DELAI NON COMPATIBLE",IF('Extraction edi'!V966="","",WORKDAY('Extraction edi'!V966,-10,Paramètrage!$G$2:$G$104)))</f>
        <v/>
      </c>
      <c r="P956" s="1" t="e">
        <f t="shared" si="14"/>
        <v>#VALUE!</v>
      </c>
    </row>
    <row r="957" spans="1:16" x14ac:dyDescent="0.25">
      <c r="A957" s="1" t="e">
        <f>IF(#REF!="","",CONCATENATE(#REF!," / pos ",#REF!," / Secteur : ",'Extraction edi'!#REF!," / APPROLIGNE : ",WEEKNUM('Extraction edi'!H967)))</f>
        <v>#REF!</v>
      </c>
      <c r="B957" s="1" t="str">
        <f>IF('Extraction edi'!A967="","",'Extraction edi'!A967)</f>
        <v/>
      </c>
      <c r="C957" s="1" t="str">
        <f>IF('Extraction edi'!B967="","",'Extraction edi'!B967)</f>
        <v/>
      </c>
      <c r="D957" s="1" t="str">
        <f>IF('Extraction edi'!H967="","",'Extraction edi'!H967)</f>
        <v/>
      </c>
      <c r="E957" s="1" t="str">
        <f>IF('Extraction edi'!I967="","",'Extraction edi'!I967)</f>
        <v/>
      </c>
      <c r="F957" t="str">
        <f>IF('Extraction edi'!K967="","",'Extraction edi'!K967)</f>
        <v/>
      </c>
      <c r="G957" t="str">
        <f>IF('Extraction edi'!L967="","",'Extraction edi'!L967)</f>
        <v/>
      </c>
      <c r="H957" t="str">
        <f>IF('Extraction edi'!M967="","",'Extraction edi'!M967)</f>
        <v/>
      </c>
      <c r="I957" s="1" t="str">
        <f>IF('Extraction edi'!N967="","",'Extraction edi'!N967)</f>
        <v/>
      </c>
      <c r="J957" s="1" t="str">
        <f>IF('Extraction edi'!O967="","",'Extraction edi'!O967)</f>
        <v/>
      </c>
      <c r="K957" s="1" t="str">
        <f>IF('Extraction edi'!P967="","",'Extraction edi'!P967)</f>
        <v/>
      </c>
      <c r="L957" s="1" t="str">
        <f>IF('Extraction edi'!Q967="laquage RAL :","OUI","")</f>
        <v/>
      </c>
      <c r="M957" s="1" t="str">
        <f>IF('Extraction edi'!R967&lt;&gt;"",'Extraction edi'!R967,IF(G957="ALU blanc","S9016",""))</f>
        <v/>
      </c>
      <c r="N957" s="1" t="str">
        <f>IF('Extraction edi'!S967&lt;&gt;"",'Extraction edi'!S967,IF(G957="ALU blanc","S9016",""))</f>
        <v/>
      </c>
      <c r="O957" s="11" t="str">
        <f>IF('Extraction edi'!V967&lt;'Feuille commande'!$E$1,"DELAI NON COMPATIBLE",IF('Extraction edi'!V967="","",WORKDAY('Extraction edi'!V967,-10,Paramètrage!$G$2:$G$104)))</f>
        <v/>
      </c>
      <c r="P957" s="1" t="e">
        <f t="shared" si="14"/>
        <v>#VALUE!</v>
      </c>
    </row>
    <row r="958" spans="1:16" x14ac:dyDescent="0.25">
      <c r="A958" s="1" t="e">
        <f>IF(#REF!="","",CONCATENATE(#REF!," / pos ",#REF!," / Secteur : ",'Extraction edi'!#REF!," / APPROLIGNE : ",WEEKNUM('Extraction edi'!H968)))</f>
        <v>#REF!</v>
      </c>
      <c r="B958" s="1" t="str">
        <f>IF('Extraction edi'!A968="","",'Extraction edi'!A968)</f>
        <v/>
      </c>
      <c r="C958" s="1" t="str">
        <f>IF('Extraction edi'!B968="","",'Extraction edi'!B968)</f>
        <v/>
      </c>
      <c r="D958" s="1" t="str">
        <f>IF('Extraction edi'!H968="","",'Extraction edi'!H968)</f>
        <v/>
      </c>
      <c r="E958" s="1" t="str">
        <f>IF('Extraction edi'!I968="","",'Extraction edi'!I968)</f>
        <v/>
      </c>
      <c r="F958" t="str">
        <f>IF('Extraction edi'!K968="","",'Extraction edi'!K968)</f>
        <v/>
      </c>
      <c r="G958" t="str">
        <f>IF('Extraction edi'!L968="","",'Extraction edi'!L968)</f>
        <v/>
      </c>
      <c r="H958" t="str">
        <f>IF('Extraction edi'!M968="","",'Extraction edi'!M968)</f>
        <v/>
      </c>
      <c r="I958" s="1" t="str">
        <f>IF('Extraction edi'!N968="","",'Extraction edi'!N968)</f>
        <v/>
      </c>
      <c r="J958" s="1" t="str">
        <f>IF('Extraction edi'!O968="","",'Extraction edi'!O968)</f>
        <v/>
      </c>
      <c r="K958" s="1" t="str">
        <f>IF('Extraction edi'!P968="","",'Extraction edi'!P968)</f>
        <v/>
      </c>
      <c r="L958" s="1" t="str">
        <f>IF('Extraction edi'!Q968="laquage RAL :","OUI","")</f>
        <v/>
      </c>
      <c r="M958" s="1" t="str">
        <f>IF('Extraction edi'!R968&lt;&gt;"",'Extraction edi'!R968,IF(G958="ALU blanc","S9016",""))</f>
        <v/>
      </c>
      <c r="N958" s="1" t="str">
        <f>IF('Extraction edi'!S968&lt;&gt;"",'Extraction edi'!S968,IF(G958="ALU blanc","S9016",""))</f>
        <v/>
      </c>
      <c r="O958" s="11" t="str">
        <f>IF('Extraction edi'!V968&lt;'Feuille commande'!$E$1,"DELAI NON COMPATIBLE",IF('Extraction edi'!V968="","",WORKDAY('Extraction edi'!V968,-10,Paramètrage!$G$2:$G$104)))</f>
        <v/>
      </c>
      <c r="P958" s="1" t="e">
        <f t="shared" ref="P958:P993" si="15">WEEKDAY(O958,2)</f>
        <v>#VALUE!</v>
      </c>
    </row>
    <row r="959" spans="1:16" x14ac:dyDescent="0.25">
      <c r="A959" s="1" t="e">
        <f>IF(#REF!="","",CONCATENATE(#REF!," / pos ",#REF!," / Secteur : ",'Extraction edi'!#REF!," / APPROLIGNE : ",WEEKNUM('Extraction edi'!H969)))</f>
        <v>#REF!</v>
      </c>
      <c r="B959" s="1" t="str">
        <f>IF('Extraction edi'!A969="","",'Extraction edi'!A969)</f>
        <v/>
      </c>
      <c r="C959" s="1" t="str">
        <f>IF('Extraction edi'!B969="","",'Extraction edi'!B969)</f>
        <v/>
      </c>
      <c r="D959" s="1" t="str">
        <f>IF('Extraction edi'!H969="","",'Extraction edi'!H969)</f>
        <v/>
      </c>
      <c r="E959" s="1" t="str">
        <f>IF('Extraction edi'!I969="","",'Extraction edi'!I969)</f>
        <v/>
      </c>
      <c r="F959" t="str">
        <f>IF('Extraction edi'!K969="","",'Extraction edi'!K969)</f>
        <v/>
      </c>
      <c r="G959" t="str">
        <f>IF('Extraction edi'!L969="","",'Extraction edi'!L969)</f>
        <v/>
      </c>
      <c r="H959" t="str">
        <f>IF('Extraction edi'!M969="","",'Extraction edi'!M969)</f>
        <v/>
      </c>
      <c r="I959" s="1" t="str">
        <f>IF('Extraction edi'!N969="","",'Extraction edi'!N969)</f>
        <v/>
      </c>
      <c r="J959" s="1" t="str">
        <f>IF('Extraction edi'!O969="","",'Extraction edi'!O969)</f>
        <v/>
      </c>
      <c r="K959" s="1" t="str">
        <f>IF('Extraction edi'!P969="","",'Extraction edi'!P969)</f>
        <v/>
      </c>
      <c r="L959" s="1" t="str">
        <f>IF('Extraction edi'!Q969="laquage RAL :","OUI","")</f>
        <v/>
      </c>
      <c r="M959" s="1" t="str">
        <f>IF('Extraction edi'!R969&lt;&gt;"",'Extraction edi'!R969,IF(G959="ALU blanc","S9016",""))</f>
        <v/>
      </c>
      <c r="N959" s="1" t="str">
        <f>IF('Extraction edi'!S969&lt;&gt;"",'Extraction edi'!S969,IF(G959="ALU blanc","S9016",""))</f>
        <v/>
      </c>
      <c r="O959" s="11" t="str">
        <f>IF('Extraction edi'!V969&lt;'Feuille commande'!$E$1,"DELAI NON COMPATIBLE",IF('Extraction edi'!V969="","",WORKDAY('Extraction edi'!V969,-10,Paramètrage!$G$2:$G$104)))</f>
        <v/>
      </c>
      <c r="P959" s="1" t="e">
        <f t="shared" si="15"/>
        <v>#VALUE!</v>
      </c>
    </row>
    <row r="960" spans="1:16" x14ac:dyDescent="0.25">
      <c r="A960" s="1" t="e">
        <f>IF(#REF!="","",CONCATENATE(#REF!," / pos ",#REF!," / Secteur : ",'Extraction edi'!#REF!," / APPROLIGNE : ",WEEKNUM('Extraction edi'!H970)))</f>
        <v>#REF!</v>
      </c>
      <c r="B960" s="1" t="str">
        <f>IF('Extraction edi'!A970="","",'Extraction edi'!A970)</f>
        <v/>
      </c>
      <c r="C960" s="1" t="str">
        <f>IF('Extraction edi'!B970="","",'Extraction edi'!B970)</f>
        <v/>
      </c>
      <c r="D960" s="1" t="str">
        <f>IF('Extraction edi'!H970="","",'Extraction edi'!H970)</f>
        <v/>
      </c>
      <c r="E960" s="1" t="str">
        <f>IF('Extraction edi'!I970="","",'Extraction edi'!I970)</f>
        <v/>
      </c>
      <c r="F960" t="str">
        <f>IF('Extraction edi'!K970="","",'Extraction edi'!K970)</f>
        <v/>
      </c>
      <c r="G960" t="str">
        <f>IF('Extraction edi'!L970="","",'Extraction edi'!L970)</f>
        <v/>
      </c>
      <c r="H960" t="str">
        <f>IF('Extraction edi'!M970="","",'Extraction edi'!M970)</f>
        <v/>
      </c>
      <c r="I960" s="1" t="str">
        <f>IF('Extraction edi'!N970="","",'Extraction edi'!N970)</f>
        <v/>
      </c>
      <c r="J960" s="1" t="str">
        <f>IF('Extraction edi'!O970="","",'Extraction edi'!O970)</f>
        <v/>
      </c>
      <c r="K960" s="1" t="str">
        <f>IF('Extraction edi'!P970="","",'Extraction edi'!P970)</f>
        <v/>
      </c>
      <c r="L960" s="1" t="str">
        <f>IF('Extraction edi'!Q970="laquage RAL :","OUI","")</f>
        <v/>
      </c>
      <c r="M960" s="1" t="str">
        <f>IF('Extraction edi'!R970&lt;&gt;"",'Extraction edi'!R970,IF(G960="ALU blanc","S9016",""))</f>
        <v/>
      </c>
      <c r="N960" s="1" t="str">
        <f>IF('Extraction edi'!S970&lt;&gt;"",'Extraction edi'!S970,IF(G960="ALU blanc","S9016",""))</f>
        <v/>
      </c>
      <c r="O960" s="11" t="str">
        <f>IF('Extraction edi'!V970&lt;'Feuille commande'!$E$1,"DELAI NON COMPATIBLE",IF('Extraction edi'!V970="","",WORKDAY('Extraction edi'!V970,-10,Paramètrage!$G$2:$G$104)))</f>
        <v/>
      </c>
      <c r="P960" s="1" t="e">
        <f t="shared" si="15"/>
        <v>#VALUE!</v>
      </c>
    </row>
    <row r="961" spans="1:16" x14ac:dyDescent="0.25">
      <c r="A961" s="1" t="e">
        <f>IF(#REF!="","",CONCATENATE(#REF!," / pos ",#REF!," / Secteur : ",'Extraction edi'!#REF!," / APPROLIGNE : ",WEEKNUM('Extraction edi'!H971)))</f>
        <v>#REF!</v>
      </c>
      <c r="B961" s="1" t="str">
        <f>IF('Extraction edi'!A971="","",'Extraction edi'!A971)</f>
        <v/>
      </c>
      <c r="C961" s="1" t="str">
        <f>IF('Extraction edi'!B971="","",'Extraction edi'!B971)</f>
        <v/>
      </c>
      <c r="D961" s="1" t="str">
        <f>IF('Extraction edi'!H971="","",'Extraction edi'!H971)</f>
        <v/>
      </c>
      <c r="E961" s="1" t="str">
        <f>IF('Extraction edi'!I971="","",'Extraction edi'!I971)</f>
        <v/>
      </c>
      <c r="F961" t="str">
        <f>IF('Extraction edi'!K971="","",'Extraction edi'!K971)</f>
        <v/>
      </c>
      <c r="G961" t="str">
        <f>IF('Extraction edi'!L971="","",'Extraction edi'!L971)</f>
        <v/>
      </c>
      <c r="H961" t="str">
        <f>IF('Extraction edi'!M971="","",'Extraction edi'!M971)</f>
        <v/>
      </c>
      <c r="I961" s="1" t="str">
        <f>IF('Extraction edi'!N971="","",'Extraction edi'!N971)</f>
        <v/>
      </c>
      <c r="J961" s="1" t="str">
        <f>IF('Extraction edi'!O971="","",'Extraction edi'!O971)</f>
        <v/>
      </c>
      <c r="K961" s="1" t="str">
        <f>IF('Extraction edi'!P971="","",'Extraction edi'!P971)</f>
        <v/>
      </c>
      <c r="L961" s="1" t="str">
        <f>IF('Extraction edi'!Q971="laquage RAL :","OUI","")</f>
        <v/>
      </c>
      <c r="M961" s="1" t="str">
        <f>IF('Extraction edi'!R971&lt;&gt;"",'Extraction edi'!R971,IF(G961="ALU blanc","S9016",""))</f>
        <v/>
      </c>
      <c r="N961" s="1" t="str">
        <f>IF('Extraction edi'!S971&lt;&gt;"",'Extraction edi'!S971,IF(G961="ALU blanc","S9016",""))</f>
        <v/>
      </c>
      <c r="O961" s="11" t="str">
        <f>IF('Extraction edi'!V971&lt;'Feuille commande'!$E$1,"DELAI NON COMPATIBLE",IF('Extraction edi'!V971="","",WORKDAY('Extraction edi'!V971,-10,Paramètrage!$G$2:$G$104)))</f>
        <v/>
      </c>
      <c r="P961" s="1" t="e">
        <f t="shared" si="15"/>
        <v>#VALUE!</v>
      </c>
    </row>
    <row r="962" spans="1:16" x14ac:dyDescent="0.25">
      <c r="A962" s="1" t="e">
        <f>IF(#REF!="","",CONCATENATE(#REF!," / pos ",#REF!," / Secteur : ",'Extraction edi'!#REF!," / APPROLIGNE : ",WEEKNUM('Extraction edi'!H972)))</f>
        <v>#REF!</v>
      </c>
      <c r="B962" s="1" t="str">
        <f>IF('Extraction edi'!A972="","",'Extraction edi'!A972)</f>
        <v/>
      </c>
      <c r="C962" s="1" t="str">
        <f>IF('Extraction edi'!B972="","",'Extraction edi'!B972)</f>
        <v/>
      </c>
      <c r="D962" s="1" t="str">
        <f>IF('Extraction edi'!H972="","",'Extraction edi'!H972)</f>
        <v/>
      </c>
      <c r="E962" s="1" t="str">
        <f>IF('Extraction edi'!I972="","",'Extraction edi'!I972)</f>
        <v/>
      </c>
      <c r="F962" t="str">
        <f>IF('Extraction edi'!K972="","",'Extraction edi'!K972)</f>
        <v/>
      </c>
      <c r="G962" t="str">
        <f>IF('Extraction edi'!L972="","",'Extraction edi'!L972)</f>
        <v/>
      </c>
      <c r="H962" t="str">
        <f>IF('Extraction edi'!M972="","",'Extraction edi'!M972)</f>
        <v/>
      </c>
      <c r="I962" s="1" t="str">
        <f>IF('Extraction edi'!N972="","",'Extraction edi'!N972)</f>
        <v/>
      </c>
      <c r="J962" s="1" t="str">
        <f>IF('Extraction edi'!O972="","",'Extraction edi'!O972)</f>
        <v/>
      </c>
      <c r="K962" s="1" t="str">
        <f>IF('Extraction edi'!P972="","",'Extraction edi'!P972)</f>
        <v/>
      </c>
      <c r="L962" s="1" t="str">
        <f>IF('Extraction edi'!Q972="laquage RAL :","OUI","")</f>
        <v/>
      </c>
      <c r="M962" s="1" t="str">
        <f>IF('Extraction edi'!R972&lt;&gt;"",'Extraction edi'!R972,IF(G962="ALU blanc","S9016",""))</f>
        <v/>
      </c>
      <c r="N962" s="1" t="str">
        <f>IF('Extraction edi'!S972&lt;&gt;"",'Extraction edi'!S972,IF(G962="ALU blanc","S9016",""))</f>
        <v/>
      </c>
      <c r="O962" s="11" t="str">
        <f>IF('Extraction edi'!V972&lt;'Feuille commande'!$E$1,"DELAI NON COMPATIBLE",IF('Extraction edi'!V972="","",WORKDAY('Extraction edi'!V972,-10,Paramètrage!$G$2:$G$104)))</f>
        <v/>
      </c>
      <c r="P962" s="1" t="e">
        <f t="shared" si="15"/>
        <v>#VALUE!</v>
      </c>
    </row>
    <row r="963" spans="1:16" x14ac:dyDescent="0.25">
      <c r="A963" s="1" t="e">
        <f>IF(#REF!="","",CONCATENATE(#REF!," / pos ",#REF!," / Secteur : ",'Extraction edi'!#REF!," / APPROLIGNE : ",WEEKNUM('Extraction edi'!H973)))</f>
        <v>#REF!</v>
      </c>
      <c r="B963" s="1" t="str">
        <f>IF('Extraction edi'!A973="","",'Extraction edi'!A973)</f>
        <v/>
      </c>
      <c r="C963" s="1" t="str">
        <f>IF('Extraction edi'!B973="","",'Extraction edi'!B973)</f>
        <v/>
      </c>
      <c r="D963" s="1" t="str">
        <f>IF('Extraction edi'!H973="","",'Extraction edi'!H973)</f>
        <v/>
      </c>
      <c r="E963" s="1" t="str">
        <f>IF('Extraction edi'!I973="","",'Extraction edi'!I973)</f>
        <v/>
      </c>
      <c r="F963" t="str">
        <f>IF('Extraction edi'!K973="","",'Extraction edi'!K973)</f>
        <v/>
      </c>
      <c r="G963" t="str">
        <f>IF('Extraction edi'!L973="","",'Extraction edi'!L973)</f>
        <v/>
      </c>
      <c r="H963" t="str">
        <f>IF('Extraction edi'!M973="","",'Extraction edi'!M973)</f>
        <v/>
      </c>
      <c r="I963" s="1" t="str">
        <f>IF('Extraction edi'!N973="","",'Extraction edi'!N973)</f>
        <v/>
      </c>
      <c r="J963" s="1" t="str">
        <f>IF('Extraction edi'!O973="","",'Extraction edi'!O973)</f>
        <v/>
      </c>
      <c r="K963" s="1" t="str">
        <f>IF('Extraction edi'!P973="","",'Extraction edi'!P973)</f>
        <v/>
      </c>
      <c r="L963" s="1" t="str">
        <f>IF('Extraction edi'!Q973="laquage RAL :","OUI","")</f>
        <v/>
      </c>
      <c r="M963" s="1" t="str">
        <f>IF('Extraction edi'!R973&lt;&gt;"",'Extraction edi'!R973,IF(G963="ALU blanc","S9016",""))</f>
        <v/>
      </c>
      <c r="N963" s="1" t="str">
        <f>IF('Extraction edi'!S973&lt;&gt;"",'Extraction edi'!S973,IF(G963="ALU blanc","S9016",""))</f>
        <v/>
      </c>
      <c r="O963" s="11" t="str">
        <f>IF('Extraction edi'!V973&lt;'Feuille commande'!$E$1,"DELAI NON COMPATIBLE",IF('Extraction edi'!V973="","",WORKDAY('Extraction edi'!V973,-10,Paramètrage!$G$2:$G$104)))</f>
        <v/>
      </c>
      <c r="P963" s="1" t="e">
        <f t="shared" si="15"/>
        <v>#VALUE!</v>
      </c>
    </row>
    <row r="964" spans="1:16" x14ac:dyDescent="0.25">
      <c r="A964" s="1" t="e">
        <f>IF(#REF!="","",CONCATENATE(#REF!," / pos ",#REF!," / Secteur : ",'Extraction edi'!#REF!," / APPROLIGNE : ",WEEKNUM('Extraction edi'!H974)))</f>
        <v>#REF!</v>
      </c>
      <c r="B964" s="1" t="str">
        <f>IF('Extraction edi'!A974="","",'Extraction edi'!A974)</f>
        <v/>
      </c>
      <c r="C964" s="1" t="str">
        <f>IF('Extraction edi'!B974="","",'Extraction edi'!B974)</f>
        <v/>
      </c>
      <c r="D964" s="1" t="str">
        <f>IF('Extraction edi'!H974="","",'Extraction edi'!H974)</f>
        <v/>
      </c>
      <c r="E964" s="1" t="str">
        <f>IF('Extraction edi'!I974="","",'Extraction edi'!I974)</f>
        <v/>
      </c>
      <c r="F964" t="str">
        <f>IF('Extraction edi'!K974="","",'Extraction edi'!K974)</f>
        <v/>
      </c>
      <c r="G964" t="str">
        <f>IF('Extraction edi'!L974="","",'Extraction edi'!L974)</f>
        <v/>
      </c>
      <c r="H964" t="str">
        <f>IF('Extraction edi'!M974="","",'Extraction edi'!M974)</f>
        <v/>
      </c>
      <c r="I964" s="1" t="str">
        <f>IF('Extraction edi'!N974="","",'Extraction edi'!N974)</f>
        <v/>
      </c>
      <c r="J964" s="1" t="str">
        <f>IF('Extraction edi'!O974="","",'Extraction edi'!O974)</f>
        <v/>
      </c>
      <c r="K964" s="1" t="str">
        <f>IF('Extraction edi'!P974="","",'Extraction edi'!P974)</f>
        <v/>
      </c>
      <c r="L964" s="1" t="str">
        <f>IF('Extraction edi'!Q974="laquage RAL :","OUI","")</f>
        <v/>
      </c>
      <c r="M964" s="1" t="str">
        <f>IF('Extraction edi'!R974&lt;&gt;"",'Extraction edi'!R974,IF(G964="ALU blanc","S9016",""))</f>
        <v/>
      </c>
      <c r="N964" s="1" t="str">
        <f>IF('Extraction edi'!S974&lt;&gt;"",'Extraction edi'!S974,IF(G964="ALU blanc","S9016",""))</f>
        <v/>
      </c>
      <c r="O964" s="11" t="str">
        <f>IF('Extraction edi'!V974&lt;'Feuille commande'!$E$1,"DELAI NON COMPATIBLE",IF('Extraction edi'!V974="","",WORKDAY('Extraction edi'!V974,-10,Paramètrage!$G$2:$G$104)))</f>
        <v/>
      </c>
      <c r="P964" s="1" t="e">
        <f t="shared" si="15"/>
        <v>#VALUE!</v>
      </c>
    </row>
    <row r="965" spans="1:16" x14ac:dyDescent="0.25">
      <c r="A965" s="1" t="e">
        <f>IF(#REF!="","",CONCATENATE(#REF!," / pos ",#REF!," / Secteur : ",'Extraction edi'!#REF!," / APPROLIGNE : ",WEEKNUM('Extraction edi'!H975)))</f>
        <v>#REF!</v>
      </c>
      <c r="B965" s="1" t="str">
        <f>IF('Extraction edi'!A975="","",'Extraction edi'!A975)</f>
        <v/>
      </c>
      <c r="C965" s="1" t="str">
        <f>IF('Extraction edi'!B975="","",'Extraction edi'!B975)</f>
        <v/>
      </c>
      <c r="D965" s="1" t="str">
        <f>IF('Extraction edi'!H975="","",'Extraction edi'!H975)</f>
        <v/>
      </c>
      <c r="E965" s="1" t="str">
        <f>IF('Extraction edi'!I975="","",'Extraction edi'!I975)</f>
        <v/>
      </c>
      <c r="F965" t="str">
        <f>IF('Extraction edi'!K975="","",'Extraction edi'!K975)</f>
        <v/>
      </c>
      <c r="G965" t="str">
        <f>IF('Extraction edi'!L975="","",'Extraction edi'!L975)</f>
        <v/>
      </c>
      <c r="H965" t="str">
        <f>IF('Extraction edi'!M975="","",'Extraction edi'!M975)</f>
        <v/>
      </c>
      <c r="I965" s="1" t="str">
        <f>IF('Extraction edi'!N975="","",'Extraction edi'!N975)</f>
        <v/>
      </c>
      <c r="J965" s="1" t="str">
        <f>IF('Extraction edi'!O975="","",'Extraction edi'!O975)</f>
        <v/>
      </c>
      <c r="K965" s="1" t="str">
        <f>IF('Extraction edi'!P975="","",'Extraction edi'!P975)</f>
        <v/>
      </c>
      <c r="L965" s="1" t="str">
        <f>IF('Extraction edi'!Q975="laquage RAL :","OUI","")</f>
        <v/>
      </c>
      <c r="M965" s="1" t="str">
        <f>IF('Extraction edi'!R975&lt;&gt;"",'Extraction edi'!R975,IF(G965="ALU blanc","S9016",""))</f>
        <v/>
      </c>
      <c r="N965" s="1" t="str">
        <f>IF('Extraction edi'!S975&lt;&gt;"",'Extraction edi'!S975,IF(G965="ALU blanc","S9016",""))</f>
        <v/>
      </c>
      <c r="O965" s="11" t="str">
        <f>IF('Extraction edi'!V975&lt;'Feuille commande'!$E$1,"DELAI NON COMPATIBLE",IF('Extraction edi'!V975="","",WORKDAY('Extraction edi'!V975,-10,Paramètrage!$G$2:$G$104)))</f>
        <v/>
      </c>
      <c r="P965" s="1" t="e">
        <f t="shared" si="15"/>
        <v>#VALUE!</v>
      </c>
    </row>
    <row r="966" spans="1:16" x14ac:dyDescent="0.25">
      <c r="A966" s="1" t="e">
        <f>IF(#REF!="","",CONCATENATE(#REF!," / pos ",#REF!," / Secteur : ",'Extraction edi'!#REF!," / APPROLIGNE : ",WEEKNUM('Extraction edi'!H976)))</f>
        <v>#REF!</v>
      </c>
      <c r="B966" s="1" t="str">
        <f>IF('Extraction edi'!A976="","",'Extraction edi'!A976)</f>
        <v/>
      </c>
      <c r="C966" s="1" t="str">
        <f>IF('Extraction edi'!B976="","",'Extraction edi'!B976)</f>
        <v/>
      </c>
      <c r="D966" s="1" t="str">
        <f>IF('Extraction edi'!H976="","",'Extraction edi'!H976)</f>
        <v/>
      </c>
      <c r="E966" s="1" t="str">
        <f>IF('Extraction edi'!I976="","",'Extraction edi'!I976)</f>
        <v/>
      </c>
      <c r="F966" t="str">
        <f>IF('Extraction edi'!K976="","",'Extraction edi'!K976)</f>
        <v/>
      </c>
      <c r="G966" t="str">
        <f>IF('Extraction edi'!L976="","",'Extraction edi'!L976)</f>
        <v/>
      </c>
      <c r="H966" t="str">
        <f>IF('Extraction edi'!M976="","",'Extraction edi'!M976)</f>
        <v/>
      </c>
      <c r="I966" s="1" t="str">
        <f>IF('Extraction edi'!N976="","",'Extraction edi'!N976)</f>
        <v/>
      </c>
      <c r="J966" s="1" t="str">
        <f>IF('Extraction edi'!O976="","",'Extraction edi'!O976)</f>
        <v/>
      </c>
      <c r="K966" s="1" t="str">
        <f>IF('Extraction edi'!P976="","",'Extraction edi'!P976)</f>
        <v/>
      </c>
      <c r="L966" s="1" t="str">
        <f>IF('Extraction edi'!Q976="laquage RAL :","OUI","")</f>
        <v/>
      </c>
      <c r="M966" s="1" t="str">
        <f>IF('Extraction edi'!R976&lt;&gt;"",'Extraction edi'!R976,IF(G966="ALU blanc","S9016",""))</f>
        <v/>
      </c>
      <c r="N966" s="1" t="str">
        <f>IF('Extraction edi'!S976&lt;&gt;"",'Extraction edi'!S976,IF(G966="ALU blanc","S9016",""))</f>
        <v/>
      </c>
      <c r="O966" s="11" t="str">
        <f>IF('Extraction edi'!V976&lt;'Feuille commande'!$E$1,"DELAI NON COMPATIBLE",IF('Extraction edi'!V976="","",WORKDAY('Extraction edi'!V976,-10,Paramètrage!$G$2:$G$104)))</f>
        <v/>
      </c>
      <c r="P966" s="1" t="e">
        <f t="shared" si="15"/>
        <v>#VALUE!</v>
      </c>
    </row>
    <row r="967" spans="1:16" x14ac:dyDescent="0.25">
      <c r="A967" s="1" t="e">
        <f>IF(#REF!="","",CONCATENATE(#REF!," / pos ",#REF!," / Secteur : ",'Extraction edi'!#REF!," / APPROLIGNE : ",WEEKNUM('Extraction edi'!H977)))</f>
        <v>#REF!</v>
      </c>
      <c r="B967" s="1" t="str">
        <f>IF('Extraction edi'!A977="","",'Extraction edi'!A977)</f>
        <v/>
      </c>
      <c r="C967" s="1" t="str">
        <f>IF('Extraction edi'!B977="","",'Extraction edi'!B977)</f>
        <v/>
      </c>
      <c r="D967" s="1" t="str">
        <f>IF('Extraction edi'!H977="","",'Extraction edi'!H977)</f>
        <v/>
      </c>
      <c r="E967" s="1" t="str">
        <f>IF('Extraction edi'!I977="","",'Extraction edi'!I977)</f>
        <v/>
      </c>
      <c r="F967" t="str">
        <f>IF('Extraction edi'!K977="","",'Extraction edi'!K977)</f>
        <v/>
      </c>
      <c r="G967" t="str">
        <f>IF('Extraction edi'!L977="","",'Extraction edi'!L977)</f>
        <v/>
      </c>
      <c r="H967" t="str">
        <f>IF('Extraction edi'!M977="","",'Extraction edi'!M977)</f>
        <v/>
      </c>
      <c r="I967" s="1" t="str">
        <f>IF('Extraction edi'!N977="","",'Extraction edi'!N977)</f>
        <v/>
      </c>
      <c r="J967" s="1" t="str">
        <f>IF('Extraction edi'!O977="","",'Extraction edi'!O977)</f>
        <v/>
      </c>
      <c r="K967" s="1" t="str">
        <f>IF('Extraction edi'!P977="","",'Extraction edi'!P977)</f>
        <v/>
      </c>
      <c r="L967" s="1" t="str">
        <f>IF('Extraction edi'!Q977="laquage RAL :","OUI","")</f>
        <v/>
      </c>
      <c r="M967" s="1" t="str">
        <f>IF('Extraction edi'!R977&lt;&gt;"",'Extraction edi'!R977,IF(G967="ALU blanc","S9016",""))</f>
        <v/>
      </c>
      <c r="N967" s="1" t="str">
        <f>IF('Extraction edi'!S977&lt;&gt;"",'Extraction edi'!S977,IF(G967="ALU blanc","S9016",""))</f>
        <v/>
      </c>
      <c r="O967" s="11" t="str">
        <f>IF('Extraction edi'!V977&lt;'Feuille commande'!$E$1,"DELAI NON COMPATIBLE",IF('Extraction edi'!V977="","",WORKDAY('Extraction edi'!V977,-10,Paramètrage!$G$2:$G$104)))</f>
        <v/>
      </c>
      <c r="P967" s="1" t="e">
        <f t="shared" si="15"/>
        <v>#VALUE!</v>
      </c>
    </row>
    <row r="968" spans="1:16" x14ac:dyDescent="0.25">
      <c r="A968" s="1" t="e">
        <f>IF(#REF!="","",CONCATENATE(#REF!," / pos ",#REF!," / Secteur : ",'Extraction edi'!#REF!," / APPROLIGNE : ",WEEKNUM('Extraction edi'!H978)))</f>
        <v>#REF!</v>
      </c>
      <c r="B968" s="1" t="str">
        <f>IF('Extraction edi'!A978="","",'Extraction edi'!A978)</f>
        <v/>
      </c>
      <c r="C968" s="1" t="str">
        <f>IF('Extraction edi'!B978="","",'Extraction edi'!B978)</f>
        <v/>
      </c>
      <c r="D968" s="1" t="str">
        <f>IF('Extraction edi'!H978="","",'Extraction edi'!H978)</f>
        <v/>
      </c>
      <c r="E968" s="1" t="str">
        <f>IF('Extraction edi'!I978="","",'Extraction edi'!I978)</f>
        <v/>
      </c>
      <c r="F968" t="str">
        <f>IF('Extraction edi'!K978="","",'Extraction edi'!K978)</f>
        <v/>
      </c>
      <c r="G968" t="str">
        <f>IF('Extraction edi'!L978="","",'Extraction edi'!L978)</f>
        <v/>
      </c>
      <c r="H968" t="str">
        <f>IF('Extraction edi'!M978="","",'Extraction edi'!M978)</f>
        <v/>
      </c>
      <c r="I968" s="1" t="str">
        <f>IF('Extraction edi'!N978="","",'Extraction edi'!N978)</f>
        <v/>
      </c>
      <c r="J968" s="1" t="str">
        <f>IF('Extraction edi'!O978="","",'Extraction edi'!O978)</f>
        <v/>
      </c>
      <c r="K968" s="1" t="str">
        <f>IF('Extraction edi'!P978="","",'Extraction edi'!P978)</f>
        <v/>
      </c>
      <c r="L968" s="1" t="str">
        <f>IF('Extraction edi'!Q978="laquage RAL :","OUI","")</f>
        <v/>
      </c>
      <c r="M968" s="1" t="str">
        <f>IF('Extraction edi'!R978&lt;&gt;"",'Extraction edi'!R978,IF(G968="ALU blanc","S9016",""))</f>
        <v/>
      </c>
      <c r="N968" s="1" t="str">
        <f>IF('Extraction edi'!S978&lt;&gt;"",'Extraction edi'!S978,IF(G968="ALU blanc","S9016",""))</f>
        <v/>
      </c>
      <c r="O968" s="11" t="str">
        <f>IF('Extraction edi'!V978&lt;'Feuille commande'!$E$1,"DELAI NON COMPATIBLE",IF('Extraction edi'!V978="","",WORKDAY('Extraction edi'!V978,-10,Paramètrage!$G$2:$G$104)))</f>
        <v/>
      </c>
      <c r="P968" s="1" t="e">
        <f t="shared" si="15"/>
        <v>#VALUE!</v>
      </c>
    </row>
    <row r="969" spans="1:16" x14ac:dyDescent="0.25">
      <c r="A969" s="1" t="e">
        <f>IF(#REF!="","",CONCATENATE(#REF!," / pos ",#REF!," / Secteur : ",'Extraction edi'!#REF!," / APPROLIGNE : ",WEEKNUM('Extraction edi'!H979)))</f>
        <v>#REF!</v>
      </c>
      <c r="B969" s="1" t="str">
        <f>IF('Extraction edi'!A979="","",'Extraction edi'!A979)</f>
        <v/>
      </c>
      <c r="C969" s="1" t="str">
        <f>IF('Extraction edi'!B979="","",'Extraction edi'!B979)</f>
        <v/>
      </c>
      <c r="D969" s="1" t="str">
        <f>IF('Extraction edi'!H979="","",'Extraction edi'!H979)</f>
        <v/>
      </c>
      <c r="E969" s="1" t="str">
        <f>IF('Extraction edi'!I979="","",'Extraction edi'!I979)</f>
        <v/>
      </c>
      <c r="F969" t="str">
        <f>IF('Extraction edi'!K979="","",'Extraction edi'!K979)</f>
        <v/>
      </c>
      <c r="G969" t="str">
        <f>IF('Extraction edi'!L979="","",'Extraction edi'!L979)</f>
        <v/>
      </c>
      <c r="H969" t="str">
        <f>IF('Extraction edi'!M979="","",'Extraction edi'!M979)</f>
        <v/>
      </c>
      <c r="I969" s="1" t="str">
        <f>IF('Extraction edi'!N979="","",'Extraction edi'!N979)</f>
        <v/>
      </c>
      <c r="J969" s="1" t="str">
        <f>IF('Extraction edi'!O979="","",'Extraction edi'!O979)</f>
        <v/>
      </c>
      <c r="K969" s="1" t="str">
        <f>IF('Extraction edi'!P979="","",'Extraction edi'!P979)</f>
        <v/>
      </c>
      <c r="L969" s="1" t="str">
        <f>IF('Extraction edi'!Q979="laquage RAL :","OUI","")</f>
        <v/>
      </c>
      <c r="M969" s="1" t="str">
        <f>IF('Extraction edi'!R979&lt;&gt;"",'Extraction edi'!R979,IF(G969="ALU blanc","S9016",""))</f>
        <v/>
      </c>
      <c r="N969" s="1" t="str">
        <f>IF('Extraction edi'!S979&lt;&gt;"",'Extraction edi'!S979,IF(G969="ALU blanc","S9016",""))</f>
        <v/>
      </c>
      <c r="O969" s="11" t="str">
        <f>IF('Extraction edi'!V979&lt;'Feuille commande'!$E$1,"DELAI NON COMPATIBLE",IF('Extraction edi'!V979="","",WORKDAY('Extraction edi'!V979,-10,Paramètrage!$G$2:$G$104)))</f>
        <v/>
      </c>
      <c r="P969" s="1" t="e">
        <f t="shared" si="15"/>
        <v>#VALUE!</v>
      </c>
    </row>
    <row r="970" spans="1:16" x14ac:dyDescent="0.25">
      <c r="A970" s="1" t="e">
        <f>IF(#REF!="","",CONCATENATE(#REF!," / pos ",#REF!," / Secteur : ",'Extraction edi'!#REF!," / APPROLIGNE : ",WEEKNUM('Extraction edi'!H980)))</f>
        <v>#REF!</v>
      </c>
      <c r="B970" s="1" t="str">
        <f>IF('Extraction edi'!A980="","",'Extraction edi'!A980)</f>
        <v/>
      </c>
      <c r="C970" s="1" t="str">
        <f>IF('Extraction edi'!B980="","",'Extraction edi'!B980)</f>
        <v/>
      </c>
      <c r="D970" s="1" t="str">
        <f>IF('Extraction edi'!H980="","",'Extraction edi'!H980)</f>
        <v/>
      </c>
      <c r="E970" s="1" t="str">
        <f>IF('Extraction edi'!I980="","",'Extraction edi'!I980)</f>
        <v/>
      </c>
      <c r="F970" t="str">
        <f>IF('Extraction edi'!K980="","",'Extraction edi'!K980)</f>
        <v/>
      </c>
      <c r="G970" t="str">
        <f>IF('Extraction edi'!L980="","",'Extraction edi'!L980)</f>
        <v/>
      </c>
      <c r="H970" t="str">
        <f>IF('Extraction edi'!M980="","",'Extraction edi'!M980)</f>
        <v/>
      </c>
      <c r="I970" s="1" t="str">
        <f>IF('Extraction edi'!N980="","",'Extraction edi'!N980)</f>
        <v/>
      </c>
      <c r="J970" s="1" t="str">
        <f>IF('Extraction edi'!O980="","",'Extraction edi'!O980)</f>
        <v/>
      </c>
      <c r="K970" s="1" t="str">
        <f>IF('Extraction edi'!P980="","",'Extraction edi'!P980)</f>
        <v/>
      </c>
      <c r="L970" s="1" t="str">
        <f>IF('Extraction edi'!Q980="laquage RAL :","OUI","")</f>
        <v/>
      </c>
      <c r="M970" s="1" t="str">
        <f>IF('Extraction edi'!R980&lt;&gt;"",'Extraction edi'!R980,IF(G970="ALU blanc","S9016",""))</f>
        <v/>
      </c>
      <c r="N970" s="1" t="str">
        <f>IF('Extraction edi'!S980&lt;&gt;"",'Extraction edi'!S980,IF(G970="ALU blanc","S9016",""))</f>
        <v/>
      </c>
      <c r="O970" s="11" t="str">
        <f>IF('Extraction edi'!V980&lt;'Feuille commande'!$E$1,"DELAI NON COMPATIBLE",IF('Extraction edi'!V980="","",WORKDAY('Extraction edi'!V980,-10,Paramètrage!$G$2:$G$104)))</f>
        <v/>
      </c>
      <c r="P970" s="1" t="e">
        <f t="shared" si="15"/>
        <v>#VALUE!</v>
      </c>
    </row>
    <row r="971" spans="1:16" x14ac:dyDescent="0.25">
      <c r="A971" s="1" t="e">
        <f>IF(#REF!="","",CONCATENATE(#REF!," / pos ",#REF!," / Secteur : ",'Extraction edi'!#REF!," / APPROLIGNE : ",WEEKNUM('Extraction edi'!H981)))</f>
        <v>#REF!</v>
      </c>
      <c r="B971" s="1" t="str">
        <f>IF('Extraction edi'!A981="","",'Extraction edi'!A981)</f>
        <v/>
      </c>
      <c r="C971" s="1" t="str">
        <f>IF('Extraction edi'!B981="","",'Extraction edi'!B981)</f>
        <v/>
      </c>
      <c r="D971" s="1" t="str">
        <f>IF('Extraction edi'!H981="","",'Extraction edi'!H981)</f>
        <v/>
      </c>
      <c r="E971" s="1" t="str">
        <f>IF('Extraction edi'!I981="","",'Extraction edi'!I981)</f>
        <v/>
      </c>
      <c r="F971" t="str">
        <f>IF('Extraction edi'!K981="","",'Extraction edi'!K981)</f>
        <v/>
      </c>
      <c r="G971" t="str">
        <f>IF('Extraction edi'!L981="","",'Extraction edi'!L981)</f>
        <v/>
      </c>
      <c r="H971" t="str">
        <f>IF('Extraction edi'!M981="","",'Extraction edi'!M981)</f>
        <v/>
      </c>
      <c r="I971" s="1" t="str">
        <f>IF('Extraction edi'!N981="","",'Extraction edi'!N981)</f>
        <v/>
      </c>
      <c r="J971" s="1" t="str">
        <f>IF('Extraction edi'!O981="","",'Extraction edi'!O981)</f>
        <v/>
      </c>
      <c r="K971" s="1" t="str">
        <f>IF('Extraction edi'!P981="","",'Extraction edi'!P981)</f>
        <v/>
      </c>
      <c r="L971" s="1" t="str">
        <f>IF('Extraction edi'!Q981="laquage RAL :","OUI","")</f>
        <v/>
      </c>
      <c r="M971" s="1" t="str">
        <f>IF('Extraction edi'!R981&lt;&gt;"",'Extraction edi'!R981,IF(G971="ALU blanc","S9016",""))</f>
        <v/>
      </c>
      <c r="N971" s="1" t="str">
        <f>IF('Extraction edi'!S981&lt;&gt;"",'Extraction edi'!S981,IF(G971="ALU blanc","S9016",""))</f>
        <v/>
      </c>
      <c r="O971" s="11" t="str">
        <f>IF('Extraction edi'!V981&lt;'Feuille commande'!$E$1,"DELAI NON COMPATIBLE",IF('Extraction edi'!V981="","",WORKDAY('Extraction edi'!V981,-10,Paramètrage!$G$2:$G$104)))</f>
        <v/>
      </c>
      <c r="P971" s="1" t="e">
        <f t="shared" si="15"/>
        <v>#VALUE!</v>
      </c>
    </row>
    <row r="972" spans="1:16" x14ac:dyDescent="0.25">
      <c r="A972" s="1" t="e">
        <f>IF(#REF!="","",CONCATENATE(#REF!," / pos ",#REF!," / Secteur : ",'Extraction edi'!#REF!," / APPROLIGNE : ",WEEKNUM('Extraction edi'!H982)))</f>
        <v>#REF!</v>
      </c>
      <c r="B972" s="1" t="str">
        <f>IF('Extraction edi'!A982="","",'Extraction edi'!A982)</f>
        <v/>
      </c>
      <c r="C972" s="1" t="str">
        <f>IF('Extraction edi'!B982="","",'Extraction edi'!B982)</f>
        <v/>
      </c>
      <c r="D972" s="1" t="str">
        <f>IF('Extraction edi'!H982="","",'Extraction edi'!H982)</f>
        <v/>
      </c>
      <c r="E972" s="1" t="str">
        <f>IF('Extraction edi'!I982="","",'Extraction edi'!I982)</f>
        <v/>
      </c>
      <c r="F972" t="str">
        <f>IF('Extraction edi'!K982="","",'Extraction edi'!K982)</f>
        <v/>
      </c>
      <c r="G972" t="str">
        <f>IF('Extraction edi'!L982="","",'Extraction edi'!L982)</f>
        <v/>
      </c>
      <c r="H972" t="str">
        <f>IF('Extraction edi'!M982="","",'Extraction edi'!M982)</f>
        <v/>
      </c>
      <c r="I972" s="1" t="str">
        <f>IF('Extraction edi'!N982="","",'Extraction edi'!N982)</f>
        <v/>
      </c>
      <c r="J972" s="1" t="str">
        <f>IF('Extraction edi'!O982="","",'Extraction edi'!O982)</f>
        <v/>
      </c>
      <c r="K972" s="1" t="str">
        <f>IF('Extraction edi'!P982="","",'Extraction edi'!P982)</f>
        <v/>
      </c>
      <c r="L972" s="1" t="str">
        <f>IF('Extraction edi'!Q982="laquage RAL :","OUI","")</f>
        <v/>
      </c>
      <c r="M972" s="1" t="str">
        <f>IF('Extraction edi'!R982&lt;&gt;"",'Extraction edi'!R982,IF(G972="ALU blanc","S9016",""))</f>
        <v/>
      </c>
      <c r="N972" s="1" t="str">
        <f>IF('Extraction edi'!S982&lt;&gt;"",'Extraction edi'!S982,IF(G972="ALU blanc","S9016",""))</f>
        <v/>
      </c>
      <c r="O972" s="11" t="str">
        <f>IF('Extraction edi'!V982&lt;'Feuille commande'!$E$1,"DELAI NON COMPATIBLE",IF('Extraction edi'!V982="","",WORKDAY('Extraction edi'!V982,-10,Paramètrage!$G$2:$G$104)))</f>
        <v/>
      </c>
      <c r="P972" s="1" t="e">
        <f t="shared" si="15"/>
        <v>#VALUE!</v>
      </c>
    </row>
    <row r="973" spans="1:16" x14ac:dyDescent="0.25">
      <c r="A973" s="1" t="e">
        <f>IF(#REF!="","",CONCATENATE(#REF!," / pos ",#REF!," / Secteur : ",'Extraction edi'!#REF!," / APPROLIGNE : ",WEEKNUM('Extraction edi'!H983)))</f>
        <v>#REF!</v>
      </c>
      <c r="B973" s="1" t="str">
        <f>IF('Extraction edi'!A983="","",'Extraction edi'!A983)</f>
        <v/>
      </c>
      <c r="C973" s="1" t="str">
        <f>IF('Extraction edi'!B983="","",'Extraction edi'!B983)</f>
        <v/>
      </c>
      <c r="D973" s="1" t="str">
        <f>IF('Extraction edi'!H983="","",'Extraction edi'!H983)</f>
        <v/>
      </c>
      <c r="E973" s="1" t="str">
        <f>IF('Extraction edi'!I983="","",'Extraction edi'!I983)</f>
        <v/>
      </c>
      <c r="F973" t="str">
        <f>IF('Extraction edi'!K983="","",'Extraction edi'!K983)</f>
        <v/>
      </c>
      <c r="G973" t="str">
        <f>IF('Extraction edi'!L983="","",'Extraction edi'!L983)</f>
        <v/>
      </c>
      <c r="H973" t="str">
        <f>IF('Extraction edi'!M983="","",'Extraction edi'!M983)</f>
        <v/>
      </c>
      <c r="I973" s="1" t="str">
        <f>IF('Extraction edi'!N983="","",'Extraction edi'!N983)</f>
        <v/>
      </c>
      <c r="J973" s="1" t="str">
        <f>IF('Extraction edi'!O983="","",'Extraction edi'!O983)</f>
        <v/>
      </c>
      <c r="K973" s="1" t="str">
        <f>IF('Extraction edi'!P983="","",'Extraction edi'!P983)</f>
        <v/>
      </c>
      <c r="L973" s="1" t="str">
        <f>IF('Extraction edi'!Q983="laquage RAL :","OUI","")</f>
        <v/>
      </c>
      <c r="M973" s="1" t="str">
        <f>IF('Extraction edi'!R983&lt;&gt;"",'Extraction edi'!R983,IF(G973="ALU blanc","S9016",""))</f>
        <v/>
      </c>
      <c r="N973" s="1" t="str">
        <f>IF('Extraction edi'!S983&lt;&gt;"",'Extraction edi'!S983,IF(G973="ALU blanc","S9016",""))</f>
        <v/>
      </c>
      <c r="O973" s="11" t="str">
        <f>IF('Extraction edi'!V983&lt;'Feuille commande'!$E$1,"DELAI NON COMPATIBLE",IF('Extraction edi'!V983="","",WORKDAY('Extraction edi'!V983,-10,Paramètrage!$G$2:$G$104)))</f>
        <v/>
      </c>
      <c r="P973" s="1" t="e">
        <f t="shared" si="15"/>
        <v>#VALUE!</v>
      </c>
    </row>
    <row r="974" spans="1:16" x14ac:dyDescent="0.25">
      <c r="A974" s="1" t="e">
        <f>IF(#REF!="","",CONCATENATE(#REF!," / pos ",#REF!," / Secteur : ",'Extraction edi'!#REF!," / APPROLIGNE : ",WEEKNUM('Extraction edi'!H984)))</f>
        <v>#REF!</v>
      </c>
      <c r="B974" s="1" t="str">
        <f>IF('Extraction edi'!A984="","",'Extraction edi'!A984)</f>
        <v/>
      </c>
      <c r="C974" s="1" t="str">
        <f>IF('Extraction edi'!B984="","",'Extraction edi'!B984)</f>
        <v/>
      </c>
      <c r="D974" s="1" t="str">
        <f>IF('Extraction edi'!H984="","",'Extraction edi'!H984)</f>
        <v/>
      </c>
      <c r="E974" s="1" t="str">
        <f>IF('Extraction edi'!I984="","",'Extraction edi'!I984)</f>
        <v/>
      </c>
      <c r="F974" t="str">
        <f>IF('Extraction edi'!K984="","",'Extraction edi'!K984)</f>
        <v/>
      </c>
      <c r="G974" t="str">
        <f>IF('Extraction edi'!L984="","",'Extraction edi'!L984)</f>
        <v/>
      </c>
      <c r="H974" t="str">
        <f>IF('Extraction edi'!M984="","",'Extraction edi'!M984)</f>
        <v/>
      </c>
      <c r="I974" s="1" t="str">
        <f>IF('Extraction edi'!N984="","",'Extraction edi'!N984)</f>
        <v/>
      </c>
      <c r="J974" s="1" t="str">
        <f>IF('Extraction edi'!O984="","",'Extraction edi'!O984)</f>
        <v/>
      </c>
      <c r="K974" s="1" t="str">
        <f>IF('Extraction edi'!P984="","",'Extraction edi'!P984)</f>
        <v/>
      </c>
      <c r="L974" s="1" t="str">
        <f>IF('Extraction edi'!Q984="laquage RAL :","OUI","")</f>
        <v/>
      </c>
      <c r="M974" s="1" t="str">
        <f>IF('Extraction edi'!R984&lt;&gt;"",'Extraction edi'!R984,IF(G974="ALU blanc","S9016",""))</f>
        <v/>
      </c>
      <c r="N974" s="1" t="str">
        <f>IF('Extraction edi'!S984&lt;&gt;"",'Extraction edi'!S984,IF(G974="ALU blanc","S9016",""))</f>
        <v/>
      </c>
      <c r="O974" s="11" t="str">
        <f>IF('Extraction edi'!V984&lt;'Feuille commande'!$E$1,"DELAI NON COMPATIBLE",IF('Extraction edi'!V984="","",WORKDAY('Extraction edi'!V984,-10,Paramètrage!$G$2:$G$104)))</f>
        <v/>
      </c>
      <c r="P974" s="1" t="e">
        <f t="shared" si="15"/>
        <v>#VALUE!</v>
      </c>
    </row>
    <row r="975" spans="1:16" x14ac:dyDescent="0.25">
      <c r="A975" s="1" t="e">
        <f>IF(#REF!="","",CONCATENATE(#REF!," / pos ",#REF!," / Secteur : ",'Extraction edi'!#REF!," / APPROLIGNE : ",WEEKNUM('Extraction edi'!H985)))</f>
        <v>#REF!</v>
      </c>
      <c r="B975" s="1" t="str">
        <f>IF('Extraction edi'!A985="","",'Extraction edi'!A985)</f>
        <v/>
      </c>
      <c r="C975" s="1" t="str">
        <f>IF('Extraction edi'!B985="","",'Extraction edi'!B985)</f>
        <v/>
      </c>
      <c r="D975" s="1" t="str">
        <f>IF('Extraction edi'!H985="","",'Extraction edi'!H985)</f>
        <v/>
      </c>
      <c r="E975" s="1" t="str">
        <f>IF('Extraction edi'!I985="","",'Extraction edi'!I985)</f>
        <v/>
      </c>
      <c r="F975" t="str">
        <f>IF('Extraction edi'!K985="","",'Extraction edi'!K985)</f>
        <v/>
      </c>
      <c r="G975" t="str">
        <f>IF('Extraction edi'!L985="","",'Extraction edi'!L985)</f>
        <v/>
      </c>
      <c r="H975" t="str">
        <f>IF('Extraction edi'!M985="","",'Extraction edi'!M985)</f>
        <v/>
      </c>
      <c r="I975" s="1" t="str">
        <f>IF('Extraction edi'!N985="","",'Extraction edi'!N985)</f>
        <v/>
      </c>
      <c r="J975" s="1" t="str">
        <f>IF('Extraction edi'!O985="","",'Extraction edi'!O985)</f>
        <v/>
      </c>
      <c r="K975" s="1" t="str">
        <f>IF('Extraction edi'!P985="","",'Extraction edi'!P985)</f>
        <v/>
      </c>
      <c r="L975" s="1" t="str">
        <f>IF('Extraction edi'!Q985="laquage RAL :","OUI","")</f>
        <v/>
      </c>
      <c r="M975" s="1" t="str">
        <f>IF('Extraction edi'!R985&lt;&gt;"",'Extraction edi'!R985,IF(G975="ALU blanc","S9016",""))</f>
        <v/>
      </c>
      <c r="N975" s="1" t="str">
        <f>IF('Extraction edi'!S985&lt;&gt;"",'Extraction edi'!S985,IF(G975="ALU blanc","S9016",""))</f>
        <v/>
      </c>
      <c r="O975" s="11" t="str">
        <f>IF('Extraction edi'!V985&lt;'Feuille commande'!$E$1,"DELAI NON COMPATIBLE",IF('Extraction edi'!V985="","",WORKDAY('Extraction edi'!V985,-10,Paramètrage!$G$2:$G$104)))</f>
        <v/>
      </c>
      <c r="P975" s="1" t="e">
        <f t="shared" si="15"/>
        <v>#VALUE!</v>
      </c>
    </row>
    <row r="976" spans="1:16" x14ac:dyDescent="0.25">
      <c r="A976" s="1" t="e">
        <f>IF(#REF!="","",CONCATENATE(#REF!," / pos ",#REF!," / Secteur : ",'Extraction edi'!#REF!," / APPROLIGNE : ",WEEKNUM('Extraction edi'!H986)))</f>
        <v>#REF!</v>
      </c>
      <c r="B976" s="1" t="str">
        <f>IF('Extraction edi'!A986="","",'Extraction edi'!A986)</f>
        <v/>
      </c>
      <c r="C976" s="1" t="str">
        <f>IF('Extraction edi'!B986="","",'Extraction edi'!B986)</f>
        <v/>
      </c>
      <c r="D976" s="1" t="str">
        <f>IF('Extraction edi'!H986="","",'Extraction edi'!H986)</f>
        <v/>
      </c>
      <c r="E976" s="1" t="str">
        <f>IF('Extraction edi'!I986="","",'Extraction edi'!I986)</f>
        <v/>
      </c>
      <c r="F976" t="str">
        <f>IF('Extraction edi'!K986="","",'Extraction edi'!K986)</f>
        <v/>
      </c>
      <c r="G976" t="str">
        <f>IF('Extraction edi'!L986="","",'Extraction edi'!L986)</f>
        <v/>
      </c>
      <c r="H976" t="str">
        <f>IF('Extraction edi'!M986="","",'Extraction edi'!M986)</f>
        <v/>
      </c>
      <c r="I976" s="1" t="str">
        <f>IF('Extraction edi'!N986="","",'Extraction edi'!N986)</f>
        <v/>
      </c>
      <c r="J976" s="1" t="str">
        <f>IF('Extraction edi'!O986="","",'Extraction edi'!O986)</f>
        <v/>
      </c>
      <c r="K976" s="1" t="str">
        <f>IF('Extraction edi'!P986="","",'Extraction edi'!P986)</f>
        <v/>
      </c>
      <c r="L976" s="1" t="str">
        <f>IF('Extraction edi'!Q986="laquage RAL :","OUI","")</f>
        <v/>
      </c>
      <c r="M976" s="1" t="str">
        <f>IF('Extraction edi'!R986&lt;&gt;"",'Extraction edi'!R986,IF(G976="ALU blanc","S9016",""))</f>
        <v/>
      </c>
      <c r="N976" s="1" t="str">
        <f>IF('Extraction edi'!S986&lt;&gt;"",'Extraction edi'!S986,IF(G976="ALU blanc","S9016",""))</f>
        <v/>
      </c>
      <c r="O976" s="11" t="str">
        <f>IF('Extraction edi'!V986&lt;'Feuille commande'!$E$1,"DELAI NON COMPATIBLE",IF('Extraction edi'!V986="","",WORKDAY('Extraction edi'!V986,-10,Paramètrage!$G$2:$G$104)))</f>
        <v/>
      </c>
      <c r="P976" s="1" t="e">
        <f t="shared" si="15"/>
        <v>#VALUE!</v>
      </c>
    </row>
    <row r="977" spans="1:16" x14ac:dyDescent="0.25">
      <c r="A977" s="1" t="e">
        <f>IF(#REF!="","",CONCATENATE(#REF!," / pos ",#REF!," / Secteur : ",'Extraction edi'!#REF!," / APPROLIGNE : ",WEEKNUM('Extraction edi'!H987)))</f>
        <v>#REF!</v>
      </c>
      <c r="B977" s="1" t="str">
        <f>IF('Extraction edi'!A987="","",'Extraction edi'!A987)</f>
        <v/>
      </c>
      <c r="C977" s="1" t="str">
        <f>IF('Extraction edi'!B987="","",'Extraction edi'!B987)</f>
        <v/>
      </c>
      <c r="D977" s="1" t="str">
        <f>IF('Extraction edi'!H987="","",'Extraction edi'!H987)</f>
        <v/>
      </c>
      <c r="E977" s="1" t="str">
        <f>IF('Extraction edi'!I987="","",'Extraction edi'!I987)</f>
        <v/>
      </c>
      <c r="F977" t="str">
        <f>IF('Extraction edi'!K987="","",'Extraction edi'!K987)</f>
        <v/>
      </c>
      <c r="G977" t="str">
        <f>IF('Extraction edi'!L987="","",'Extraction edi'!L987)</f>
        <v/>
      </c>
      <c r="H977" t="str">
        <f>IF('Extraction edi'!M987="","",'Extraction edi'!M987)</f>
        <v/>
      </c>
      <c r="I977" s="1" t="str">
        <f>IF('Extraction edi'!N987="","",'Extraction edi'!N987)</f>
        <v/>
      </c>
      <c r="J977" s="1" t="str">
        <f>IF('Extraction edi'!O987="","",'Extraction edi'!O987)</f>
        <v/>
      </c>
      <c r="K977" s="1" t="str">
        <f>IF('Extraction edi'!P987="","",'Extraction edi'!P987)</f>
        <v/>
      </c>
      <c r="L977" s="1" t="str">
        <f>IF('Extraction edi'!Q987="laquage RAL :","OUI","")</f>
        <v/>
      </c>
      <c r="M977" s="1" t="str">
        <f>IF('Extraction edi'!R987&lt;&gt;"",'Extraction edi'!R987,IF(G977="ALU blanc","S9016",""))</f>
        <v/>
      </c>
      <c r="N977" s="1" t="str">
        <f>IF('Extraction edi'!S987&lt;&gt;"",'Extraction edi'!S987,IF(G977="ALU blanc","S9016",""))</f>
        <v/>
      </c>
      <c r="O977" s="11" t="str">
        <f>IF('Extraction edi'!V987&lt;'Feuille commande'!$E$1,"DELAI NON COMPATIBLE",IF('Extraction edi'!V987="","",WORKDAY('Extraction edi'!V987,-10,Paramètrage!$G$2:$G$104)))</f>
        <v/>
      </c>
      <c r="P977" s="1" t="e">
        <f t="shared" si="15"/>
        <v>#VALUE!</v>
      </c>
    </row>
    <row r="978" spans="1:16" x14ac:dyDescent="0.25">
      <c r="A978" s="1" t="e">
        <f>IF(#REF!="","",CONCATENATE(#REF!," / pos ",#REF!," / Secteur : ",'Extraction edi'!#REF!," / APPROLIGNE : ",WEEKNUM('Extraction edi'!H988)))</f>
        <v>#REF!</v>
      </c>
      <c r="B978" s="1" t="str">
        <f>IF('Extraction edi'!A988="","",'Extraction edi'!A988)</f>
        <v/>
      </c>
      <c r="C978" s="1" t="str">
        <f>IF('Extraction edi'!B988="","",'Extraction edi'!B988)</f>
        <v/>
      </c>
      <c r="D978" s="1" t="str">
        <f>IF('Extraction edi'!H988="","",'Extraction edi'!H988)</f>
        <v/>
      </c>
      <c r="E978" s="1" t="str">
        <f>IF('Extraction edi'!I988="","",'Extraction edi'!I988)</f>
        <v/>
      </c>
      <c r="F978" t="str">
        <f>IF('Extraction edi'!K988="","",'Extraction edi'!K988)</f>
        <v/>
      </c>
      <c r="G978" t="str">
        <f>IF('Extraction edi'!L988="","",'Extraction edi'!L988)</f>
        <v/>
      </c>
      <c r="H978" t="str">
        <f>IF('Extraction edi'!M988="","",'Extraction edi'!M988)</f>
        <v/>
      </c>
      <c r="I978" s="1" t="str">
        <f>IF('Extraction edi'!N988="","",'Extraction edi'!N988)</f>
        <v/>
      </c>
      <c r="J978" s="1" t="str">
        <f>IF('Extraction edi'!O988="","",'Extraction edi'!O988)</f>
        <v/>
      </c>
      <c r="K978" s="1" t="str">
        <f>IF('Extraction edi'!P988="","",'Extraction edi'!P988)</f>
        <v/>
      </c>
      <c r="L978" s="1" t="str">
        <f>IF('Extraction edi'!Q988="laquage RAL :","OUI","")</f>
        <v/>
      </c>
      <c r="M978" s="1" t="str">
        <f>IF('Extraction edi'!R988&lt;&gt;"",'Extraction edi'!R988,IF(G978="ALU blanc","S9016",""))</f>
        <v/>
      </c>
      <c r="N978" s="1" t="str">
        <f>IF('Extraction edi'!S988&lt;&gt;"",'Extraction edi'!S988,IF(G978="ALU blanc","S9016",""))</f>
        <v/>
      </c>
      <c r="O978" s="11" t="str">
        <f>IF('Extraction edi'!V988&lt;'Feuille commande'!$E$1,"DELAI NON COMPATIBLE",IF('Extraction edi'!V988="","",WORKDAY('Extraction edi'!V988,-10,Paramètrage!$G$2:$G$104)))</f>
        <v/>
      </c>
      <c r="P978" s="1" t="e">
        <f t="shared" si="15"/>
        <v>#VALUE!</v>
      </c>
    </row>
    <row r="979" spans="1:16" x14ac:dyDescent="0.25">
      <c r="A979" s="1" t="e">
        <f>IF(#REF!="","",CONCATENATE(#REF!," / pos ",#REF!," / Secteur : ",'Extraction edi'!#REF!," / APPROLIGNE : ",WEEKNUM('Extraction edi'!H989)))</f>
        <v>#REF!</v>
      </c>
      <c r="B979" s="1" t="str">
        <f>IF('Extraction edi'!A989="","",'Extraction edi'!A989)</f>
        <v/>
      </c>
      <c r="C979" s="1" t="str">
        <f>IF('Extraction edi'!B989="","",'Extraction edi'!B989)</f>
        <v/>
      </c>
      <c r="D979" s="1" t="str">
        <f>IF('Extraction edi'!H989="","",'Extraction edi'!H989)</f>
        <v/>
      </c>
      <c r="E979" s="1" t="str">
        <f>IF('Extraction edi'!I989="","",'Extraction edi'!I989)</f>
        <v/>
      </c>
      <c r="F979" t="str">
        <f>IF('Extraction edi'!K989="","",'Extraction edi'!K989)</f>
        <v/>
      </c>
      <c r="G979" t="str">
        <f>IF('Extraction edi'!L989="","",'Extraction edi'!L989)</f>
        <v/>
      </c>
      <c r="H979" t="str">
        <f>IF('Extraction edi'!M989="","",'Extraction edi'!M989)</f>
        <v/>
      </c>
      <c r="I979" s="1" t="str">
        <f>IF('Extraction edi'!N989="","",'Extraction edi'!N989)</f>
        <v/>
      </c>
      <c r="J979" s="1" t="str">
        <f>IF('Extraction edi'!O989="","",'Extraction edi'!O989)</f>
        <v/>
      </c>
      <c r="K979" s="1" t="str">
        <f>IF('Extraction edi'!P989="","",'Extraction edi'!P989)</f>
        <v/>
      </c>
      <c r="L979" s="1" t="str">
        <f>IF('Extraction edi'!Q989="laquage RAL :","OUI","")</f>
        <v/>
      </c>
      <c r="M979" s="1" t="str">
        <f>IF('Extraction edi'!R989&lt;&gt;"",'Extraction edi'!R989,IF(G979="ALU blanc","S9016",""))</f>
        <v/>
      </c>
      <c r="N979" s="1" t="str">
        <f>IF('Extraction edi'!S989&lt;&gt;"",'Extraction edi'!S989,IF(G979="ALU blanc","S9016",""))</f>
        <v/>
      </c>
      <c r="O979" s="11" t="str">
        <f>IF('Extraction edi'!V989&lt;'Feuille commande'!$E$1,"DELAI NON COMPATIBLE",IF('Extraction edi'!V989="","",WORKDAY('Extraction edi'!V989,-10,Paramètrage!$G$2:$G$104)))</f>
        <v/>
      </c>
      <c r="P979" s="1" t="e">
        <f t="shared" si="15"/>
        <v>#VALUE!</v>
      </c>
    </row>
    <row r="980" spans="1:16" x14ac:dyDescent="0.25">
      <c r="A980" s="1" t="e">
        <f>IF(#REF!="","",CONCATENATE(#REF!," / pos ",#REF!," / Secteur : ",'Extraction edi'!#REF!," / APPROLIGNE : ",WEEKNUM('Extraction edi'!H990)))</f>
        <v>#REF!</v>
      </c>
      <c r="B980" s="1" t="str">
        <f>IF('Extraction edi'!A990="","",'Extraction edi'!A990)</f>
        <v/>
      </c>
      <c r="C980" s="1" t="str">
        <f>IF('Extraction edi'!B990="","",'Extraction edi'!B990)</f>
        <v/>
      </c>
      <c r="D980" s="1" t="str">
        <f>IF('Extraction edi'!H990="","",'Extraction edi'!H990)</f>
        <v/>
      </c>
      <c r="E980" s="1" t="str">
        <f>IF('Extraction edi'!I990="","",'Extraction edi'!I990)</f>
        <v/>
      </c>
      <c r="F980" t="str">
        <f>IF('Extraction edi'!K990="","",'Extraction edi'!K990)</f>
        <v/>
      </c>
      <c r="G980" t="str">
        <f>IF('Extraction edi'!L990="","",'Extraction edi'!L990)</f>
        <v/>
      </c>
      <c r="H980" t="str">
        <f>IF('Extraction edi'!M990="","",'Extraction edi'!M990)</f>
        <v/>
      </c>
      <c r="I980" s="1" t="str">
        <f>IF('Extraction edi'!N990="","",'Extraction edi'!N990)</f>
        <v/>
      </c>
      <c r="J980" s="1" t="str">
        <f>IF('Extraction edi'!O990="","",'Extraction edi'!O990)</f>
        <v/>
      </c>
      <c r="K980" s="1" t="str">
        <f>IF('Extraction edi'!P990="","",'Extraction edi'!P990)</f>
        <v/>
      </c>
      <c r="L980" s="1" t="str">
        <f>IF('Extraction edi'!Q990="laquage RAL :","OUI","")</f>
        <v/>
      </c>
      <c r="M980" s="1" t="str">
        <f>IF('Extraction edi'!R990&lt;&gt;"",'Extraction edi'!R990,IF(G980="ALU blanc","S9016",""))</f>
        <v/>
      </c>
      <c r="N980" s="1" t="str">
        <f>IF('Extraction edi'!S990&lt;&gt;"",'Extraction edi'!S990,IF(G980="ALU blanc","S9016",""))</f>
        <v/>
      </c>
      <c r="O980" s="11" t="str">
        <f>IF('Extraction edi'!V990&lt;'Feuille commande'!$E$1,"DELAI NON COMPATIBLE",IF('Extraction edi'!V990="","",WORKDAY('Extraction edi'!V990,-10,Paramètrage!$G$2:$G$104)))</f>
        <v/>
      </c>
      <c r="P980" s="1" t="e">
        <f t="shared" si="15"/>
        <v>#VALUE!</v>
      </c>
    </row>
    <row r="981" spans="1:16" x14ac:dyDescent="0.25">
      <c r="A981" s="1" t="e">
        <f>IF(#REF!="","",CONCATENATE(#REF!," / pos ",#REF!," / Secteur : ",'Extraction edi'!#REF!," / APPROLIGNE : ",WEEKNUM('Extraction edi'!H991)))</f>
        <v>#REF!</v>
      </c>
      <c r="B981" s="1" t="str">
        <f>IF('Extraction edi'!A991="","",'Extraction edi'!A991)</f>
        <v/>
      </c>
      <c r="C981" s="1" t="str">
        <f>IF('Extraction edi'!B991="","",'Extraction edi'!B991)</f>
        <v/>
      </c>
      <c r="D981" s="1" t="str">
        <f>IF('Extraction edi'!H991="","",'Extraction edi'!H991)</f>
        <v/>
      </c>
      <c r="E981" s="1" t="str">
        <f>IF('Extraction edi'!I991="","",'Extraction edi'!I991)</f>
        <v/>
      </c>
      <c r="F981" t="str">
        <f>IF('Extraction edi'!K991="","",'Extraction edi'!K991)</f>
        <v/>
      </c>
      <c r="G981" t="str">
        <f>IF('Extraction edi'!L991="","",'Extraction edi'!L991)</f>
        <v/>
      </c>
      <c r="H981" t="str">
        <f>IF('Extraction edi'!M991="","",'Extraction edi'!M991)</f>
        <v/>
      </c>
      <c r="I981" s="1" t="str">
        <f>IF('Extraction edi'!N991="","",'Extraction edi'!N991)</f>
        <v/>
      </c>
      <c r="J981" s="1" t="str">
        <f>IF('Extraction edi'!O991="","",'Extraction edi'!O991)</f>
        <v/>
      </c>
      <c r="K981" s="1" t="str">
        <f>IF('Extraction edi'!P991="","",'Extraction edi'!P991)</f>
        <v/>
      </c>
      <c r="L981" s="1" t="str">
        <f>IF('Extraction edi'!Q991="laquage RAL :","OUI","")</f>
        <v/>
      </c>
      <c r="M981" s="1" t="str">
        <f>IF('Extraction edi'!R991&lt;&gt;"",'Extraction edi'!R991,IF(G981="ALU blanc","S9016",""))</f>
        <v/>
      </c>
      <c r="N981" s="1" t="str">
        <f>IF('Extraction edi'!S991&lt;&gt;"",'Extraction edi'!S991,IF(G981="ALU blanc","S9016",""))</f>
        <v/>
      </c>
      <c r="O981" s="11" t="str">
        <f>IF('Extraction edi'!V991&lt;'Feuille commande'!$E$1,"DELAI NON COMPATIBLE",IF('Extraction edi'!V991="","",WORKDAY('Extraction edi'!V991,-10,Paramètrage!$G$2:$G$104)))</f>
        <v/>
      </c>
      <c r="P981" s="1" t="e">
        <f t="shared" si="15"/>
        <v>#VALUE!</v>
      </c>
    </row>
    <row r="982" spans="1:16" x14ac:dyDescent="0.25">
      <c r="A982" s="1" t="e">
        <f>IF(#REF!="","",CONCATENATE(#REF!," / pos ",#REF!," / Secteur : ",'Extraction edi'!#REF!," / APPROLIGNE : ",WEEKNUM('Extraction edi'!H992)))</f>
        <v>#REF!</v>
      </c>
      <c r="B982" s="1" t="str">
        <f>IF('Extraction edi'!A992="","",'Extraction edi'!A992)</f>
        <v/>
      </c>
      <c r="C982" s="1" t="str">
        <f>IF('Extraction edi'!B992="","",'Extraction edi'!B992)</f>
        <v/>
      </c>
      <c r="D982" s="1" t="str">
        <f>IF('Extraction edi'!H992="","",'Extraction edi'!H992)</f>
        <v/>
      </c>
      <c r="E982" s="1" t="str">
        <f>IF('Extraction edi'!I992="","",'Extraction edi'!I992)</f>
        <v/>
      </c>
      <c r="F982" t="str">
        <f>IF('Extraction edi'!K992="","",'Extraction edi'!K992)</f>
        <v/>
      </c>
      <c r="G982" t="str">
        <f>IF('Extraction edi'!L992="","",'Extraction edi'!L992)</f>
        <v/>
      </c>
      <c r="H982" t="str">
        <f>IF('Extraction edi'!M992="","",'Extraction edi'!M992)</f>
        <v/>
      </c>
      <c r="I982" s="1" t="str">
        <f>IF('Extraction edi'!N992="","",'Extraction edi'!N992)</f>
        <v/>
      </c>
      <c r="J982" s="1" t="str">
        <f>IF('Extraction edi'!O992="","",'Extraction edi'!O992)</f>
        <v/>
      </c>
      <c r="K982" s="1" t="str">
        <f>IF('Extraction edi'!P992="","",'Extraction edi'!P992)</f>
        <v/>
      </c>
      <c r="L982" s="1" t="str">
        <f>IF('Extraction edi'!Q992="laquage RAL :","OUI","")</f>
        <v/>
      </c>
      <c r="M982" s="1" t="str">
        <f>IF('Extraction edi'!R992&lt;&gt;"",'Extraction edi'!R992,IF(G982="ALU blanc","S9016",""))</f>
        <v/>
      </c>
      <c r="N982" s="1" t="str">
        <f>IF('Extraction edi'!S992&lt;&gt;"",'Extraction edi'!S992,IF(G982="ALU blanc","S9016",""))</f>
        <v/>
      </c>
      <c r="O982" s="11" t="str">
        <f>IF('Extraction edi'!V992&lt;'Feuille commande'!$E$1,"DELAI NON COMPATIBLE",IF('Extraction edi'!V992="","",WORKDAY('Extraction edi'!V992,-10,Paramètrage!$G$2:$G$104)))</f>
        <v/>
      </c>
      <c r="P982" s="1" t="e">
        <f t="shared" si="15"/>
        <v>#VALUE!</v>
      </c>
    </row>
    <row r="983" spans="1:16" x14ac:dyDescent="0.25">
      <c r="A983" s="1" t="e">
        <f>IF(#REF!="","",CONCATENATE(#REF!," / pos ",#REF!," / Secteur : ",'Extraction edi'!#REF!," / APPROLIGNE : ",WEEKNUM('Extraction edi'!H993)))</f>
        <v>#REF!</v>
      </c>
      <c r="B983" s="1" t="str">
        <f>IF('Extraction edi'!A993="","",'Extraction edi'!A993)</f>
        <v/>
      </c>
      <c r="C983" s="1" t="str">
        <f>IF('Extraction edi'!B993="","",'Extraction edi'!B993)</f>
        <v/>
      </c>
      <c r="D983" s="1" t="str">
        <f>IF('Extraction edi'!H993="","",'Extraction edi'!H993)</f>
        <v/>
      </c>
      <c r="E983" s="1" t="str">
        <f>IF('Extraction edi'!I993="","",'Extraction edi'!I993)</f>
        <v/>
      </c>
      <c r="F983" t="str">
        <f>IF('Extraction edi'!K993="","",'Extraction edi'!K993)</f>
        <v/>
      </c>
      <c r="G983" t="str">
        <f>IF('Extraction edi'!L993="","",'Extraction edi'!L993)</f>
        <v/>
      </c>
      <c r="H983" t="str">
        <f>IF('Extraction edi'!M993="","",'Extraction edi'!M993)</f>
        <v/>
      </c>
      <c r="I983" s="1" t="str">
        <f>IF('Extraction edi'!N993="","",'Extraction edi'!N993)</f>
        <v/>
      </c>
      <c r="J983" s="1" t="str">
        <f>IF('Extraction edi'!O993="","",'Extraction edi'!O993)</f>
        <v/>
      </c>
      <c r="K983" s="1" t="str">
        <f>IF('Extraction edi'!P993="","",'Extraction edi'!P993)</f>
        <v/>
      </c>
      <c r="L983" s="1" t="str">
        <f>IF('Extraction edi'!Q993="laquage RAL :","OUI","")</f>
        <v/>
      </c>
      <c r="M983" s="1" t="str">
        <f>IF('Extraction edi'!R993&lt;&gt;"",'Extraction edi'!R993,IF(G983="ALU blanc","S9016",""))</f>
        <v/>
      </c>
      <c r="N983" s="1" t="str">
        <f>IF('Extraction edi'!S993&lt;&gt;"",'Extraction edi'!S993,IF(G983="ALU blanc","S9016",""))</f>
        <v/>
      </c>
      <c r="O983" s="11" t="str">
        <f>IF('Extraction edi'!V993&lt;'Feuille commande'!$E$1,"DELAI NON COMPATIBLE",IF('Extraction edi'!V993="","",WORKDAY('Extraction edi'!V993,-10,Paramètrage!$G$2:$G$104)))</f>
        <v/>
      </c>
      <c r="P983" s="1" t="e">
        <f t="shared" si="15"/>
        <v>#VALUE!</v>
      </c>
    </row>
    <row r="984" spans="1:16" x14ac:dyDescent="0.25">
      <c r="A984" s="1" t="e">
        <f>IF(#REF!="","",CONCATENATE(#REF!," / pos ",#REF!," / Secteur : ",'Extraction edi'!#REF!," / APPROLIGNE : ",WEEKNUM('Extraction edi'!H994)))</f>
        <v>#REF!</v>
      </c>
      <c r="B984" s="1" t="str">
        <f>IF('Extraction edi'!A994="","",'Extraction edi'!A994)</f>
        <v/>
      </c>
      <c r="C984" s="1" t="str">
        <f>IF('Extraction edi'!B994="","",'Extraction edi'!B994)</f>
        <v/>
      </c>
      <c r="D984" s="1" t="str">
        <f>IF('Extraction edi'!H994="","",'Extraction edi'!H994)</f>
        <v/>
      </c>
      <c r="E984" s="1" t="str">
        <f>IF('Extraction edi'!I994="","",'Extraction edi'!I994)</f>
        <v/>
      </c>
      <c r="F984" t="str">
        <f>IF('Extraction edi'!K994="","",'Extraction edi'!K994)</f>
        <v/>
      </c>
      <c r="G984" t="str">
        <f>IF('Extraction edi'!L994="","",'Extraction edi'!L994)</f>
        <v/>
      </c>
      <c r="H984" t="str">
        <f>IF('Extraction edi'!M994="","",'Extraction edi'!M994)</f>
        <v/>
      </c>
      <c r="I984" s="1" t="str">
        <f>IF('Extraction edi'!N994="","",'Extraction edi'!N994)</f>
        <v/>
      </c>
      <c r="J984" s="1" t="str">
        <f>IF('Extraction edi'!O994="","",'Extraction edi'!O994)</f>
        <v/>
      </c>
      <c r="K984" s="1" t="str">
        <f>IF('Extraction edi'!P994="","",'Extraction edi'!P994)</f>
        <v/>
      </c>
      <c r="L984" s="1" t="str">
        <f>IF('Extraction edi'!Q994="laquage RAL :","OUI","")</f>
        <v/>
      </c>
      <c r="M984" s="1" t="str">
        <f>IF('Extraction edi'!R994&lt;&gt;"",'Extraction edi'!R994,IF(G984="ALU blanc","S9016",""))</f>
        <v/>
      </c>
      <c r="N984" s="1" t="str">
        <f>IF('Extraction edi'!S994&lt;&gt;"",'Extraction edi'!S994,IF(G984="ALU blanc","S9016",""))</f>
        <v/>
      </c>
      <c r="O984" s="11" t="str">
        <f>IF('Extraction edi'!V994&lt;'Feuille commande'!$E$1,"DELAI NON COMPATIBLE",IF('Extraction edi'!V994="","",WORKDAY('Extraction edi'!V994,-10,Paramètrage!$G$2:$G$104)))</f>
        <v/>
      </c>
      <c r="P984" s="1" t="e">
        <f t="shared" si="15"/>
        <v>#VALUE!</v>
      </c>
    </row>
    <row r="985" spans="1:16" x14ac:dyDescent="0.25">
      <c r="A985" s="1" t="e">
        <f>IF(#REF!="","",CONCATENATE(#REF!," / pos ",#REF!," / Secteur : ",'Extraction edi'!#REF!," / APPROLIGNE : ",WEEKNUM('Extraction edi'!H995)))</f>
        <v>#REF!</v>
      </c>
      <c r="B985" s="1" t="str">
        <f>IF('Extraction edi'!A995="","",'Extraction edi'!A995)</f>
        <v/>
      </c>
      <c r="C985" s="1" t="str">
        <f>IF('Extraction edi'!B995="","",'Extraction edi'!B995)</f>
        <v/>
      </c>
      <c r="D985" s="1" t="str">
        <f>IF('Extraction edi'!H995="","",'Extraction edi'!H995)</f>
        <v/>
      </c>
      <c r="E985" s="1" t="str">
        <f>IF('Extraction edi'!I995="","",'Extraction edi'!I995)</f>
        <v/>
      </c>
      <c r="F985" t="str">
        <f>IF('Extraction edi'!K995="","",'Extraction edi'!K995)</f>
        <v/>
      </c>
      <c r="G985" t="str">
        <f>IF('Extraction edi'!L995="","",'Extraction edi'!L995)</f>
        <v/>
      </c>
      <c r="H985" t="str">
        <f>IF('Extraction edi'!M995="","",'Extraction edi'!M995)</f>
        <v/>
      </c>
      <c r="I985" s="1" t="str">
        <f>IF('Extraction edi'!N995="","",'Extraction edi'!N995)</f>
        <v/>
      </c>
      <c r="J985" s="1" t="str">
        <f>IF('Extraction edi'!O995="","",'Extraction edi'!O995)</f>
        <v/>
      </c>
      <c r="K985" s="1" t="str">
        <f>IF('Extraction edi'!P995="","",'Extraction edi'!P995)</f>
        <v/>
      </c>
      <c r="L985" s="1" t="str">
        <f>IF('Extraction edi'!Q995="laquage RAL :","OUI","")</f>
        <v/>
      </c>
      <c r="M985" s="1" t="str">
        <f>IF('Extraction edi'!R995&lt;&gt;"",'Extraction edi'!R995,IF(G985="ALU blanc","S9016",""))</f>
        <v/>
      </c>
      <c r="N985" s="1" t="str">
        <f>IF('Extraction edi'!S995&lt;&gt;"",'Extraction edi'!S995,IF(G985="ALU blanc","S9016",""))</f>
        <v/>
      </c>
      <c r="O985" s="11" t="str">
        <f>IF('Extraction edi'!V995&lt;'Feuille commande'!$E$1,"DELAI NON COMPATIBLE",IF('Extraction edi'!V995="","",WORKDAY('Extraction edi'!V995,-10,Paramètrage!$G$2:$G$104)))</f>
        <v/>
      </c>
      <c r="P985" s="1" t="e">
        <f t="shared" si="15"/>
        <v>#VALUE!</v>
      </c>
    </row>
    <row r="986" spans="1:16" x14ac:dyDescent="0.25">
      <c r="A986" s="1" t="e">
        <f>IF(#REF!="","",CONCATENATE(#REF!," / pos ",#REF!," / Secteur : ",'Extraction edi'!#REF!," / APPROLIGNE : ",WEEKNUM('Extraction edi'!H996)))</f>
        <v>#REF!</v>
      </c>
      <c r="B986" s="1" t="str">
        <f>IF('Extraction edi'!A996="","",'Extraction edi'!A996)</f>
        <v/>
      </c>
      <c r="C986" s="1" t="str">
        <f>IF('Extraction edi'!B996="","",'Extraction edi'!B996)</f>
        <v/>
      </c>
      <c r="D986" s="1" t="str">
        <f>IF('Extraction edi'!H996="","",'Extraction edi'!H996)</f>
        <v/>
      </c>
      <c r="E986" s="1" t="str">
        <f>IF('Extraction edi'!I996="","",'Extraction edi'!I996)</f>
        <v/>
      </c>
      <c r="F986" t="str">
        <f>IF('Extraction edi'!K996="","",'Extraction edi'!K996)</f>
        <v/>
      </c>
      <c r="G986" t="str">
        <f>IF('Extraction edi'!L996="","",'Extraction edi'!L996)</f>
        <v/>
      </c>
      <c r="H986" t="str">
        <f>IF('Extraction edi'!M996="","",'Extraction edi'!M996)</f>
        <v/>
      </c>
      <c r="I986" s="1" t="str">
        <f>IF('Extraction edi'!N996="","",'Extraction edi'!N996)</f>
        <v/>
      </c>
      <c r="J986" s="1" t="str">
        <f>IF('Extraction edi'!O996="","",'Extraction edi'!O996)</f>
        <v/>
      </c>
      <c r="K986" s="1" t="str">
        <f>IF('Extraction edi'!P996="","",'Extraction edi'!P996)</f>
        <v/>
      </c>
      <c r="L986" s="1" t="str">
        <f>IF('Extraction edi'!Q996="laquage RAL :","OUI","")</f>
        <v/>
      </c>
      <c r="M986" s="1" t="str">
        <f>IF('Extraction edi'!R996&lt;&gt;"",'Extraction edi'!R996,IF(G986="ALU blanc","S9016",""))</f>
        <v/>
      </c>
      <c r="N986" s="1" t="str">
        <f>IF('Extraction edi'!S996&lt;&gt;"",'Extraction edi'!S996,IF(G986="ALU blanc","S9016",""))</f>
        <v/>
      </c>
      <c r="O986" s="11" t="str">
        <f>IF('Extraction edi'!V996&lt;'Feuille commande'!$E$1,"DELAI NON COMPATIBLE",IF('Extraction edi'!V996="","",WORKDAY('Extraction edi'!V996,-10,Paramètrage!$G$2:$G$104)))</f>
        <v/>
      </c>
      <c r="P986" s="1" t="e">
        <f t="shared" si="15"/>
        <v>#VALUE!</v>
      </c>
    </row>
    <row r="987" spans="1:16" x14ac:dyDescent="0.25">
      <c r="A987" s="1" t="e">
        <f>IF(#REF!="","",CONCATENATE(#REF!," / pos ",#REF!," / Secteur : ",'Extraction edi'!#REF!," / APPROLIGNE : ",WEEKNUM('Extraction edi'!H997)))</f>
        <v>#REF!</v>
      </c>
      <c r="B987" s="1" t="str">
        <f>IF('Extraction edi'!A997="","",'Extraction edi'!A997)</f>
        <v/>
      </c>
      <c r="C987" s="1" t="str">
        <f>IF('Extraction edi'!B997="","",'Extraction edi'!B997)</f>
        <v/>
      </c>
      <c r="D987" s="1" t="str">
        <f>IF('Extraction edi'!H997="","",'Extraction edi'!H997)</f>
        <v/>
      </c>
      <c r="E987" s="1" t="str">
        <f>IF('Extraction edi'!I997="","",'Extraction edi'!I997)</f>
        <v/>
      </c>
      <c r="F987" t="str">
        <f>IF('Extraction edi'!K997="","",'Extraction edi'!K997)</f>
        <v/>
      </c>
      <c r="G987" t="str">
        <f>IF('Extraction edi'!L997="","",'Extraction edi'!L997)</f>
        <v/>
      </c>
      <c r="H987" t="str">
        <f>IF('Extraction edi'!M997="","",'Extraction edi'!M997)</f>
        <v/>
      </c>
      <c r="I987" s="1" t="str">
        <f>IF('Extraction edi'!N997="","",'Extraction edi'!N997)</f>
        <v/>
      </c>
      <c r="J987" s="1" t="str">
        <f>IF('Extraction edi'!O997="","",'Extraction edi'!O997)</f>
        <v/>
      </c>
      <c r="K987" s="1" t="str">
        <f>IF('Extraction edi'!P997="","",'Extraction edi'!P997)</f>
        <v/>
      </c>
      <c r="L987" s="1" t="str">
        <f>IF('Extraction edi'!Q997="laquage RAL :","OUI","")</f>
        <v/>
      </c>
      <c r="M987" s="1" t="str">
        <f>IF('Extraction edi'!R997&lt;&gt;"",'Extraction edi'!R997,IF(G987="ALU blanc","S9016",""))</f>
        <v/>
      </c>
      <c r="N987" s="1" t="str">
        <f>IF('Extraction edi'!S997&lt;&gt;"",'Extraction edi'!S997,IF(G987="ALU blanc","S9016",""))</f>
        <v/>
      </c>
      <c r="O987" s="11" t="str">
        <f>IF('Extraction edi'!V997&lt;'Feuille commande'!$E$1,"DELAI NON COMPATIBLE",IF('Extraction edi'!V997="","",WORKDAY('Extraction edi'!V997,-10,Paramètrage!$G$2:$G$104)))</f>
        <v/>
      </c>
      <c r="P987" s="1" t="e">
        <f t="shared" si="15"/>
        <v>#VALUE!</v>
      </c>
    </row>
    <row r="988" spans="1:16" x14ac:dyDescent="0.25">
      <c r="A988" s="1" t="e">
        <f>IF(#REF!="","",CONCATENATE(#REF!," / pos ",#REF!," / Secteur : ",'Extraction edi'!#REF!," / APPROLIGNE : ",WEEKNUM('Extraction edi'!H998)))</f>
        <v>#REF!</v>
      </c>
      <c r="B988" s="1" t="str">
        <f>IF('Extraction edi'!A998="","",'Extraction edi'!A998)</f>
        <v/>
      </c>
      <c r="C988" s="1" t="str">
        <f>IF('Extraction edi'!B998="","",'Extraction edi'!B998)</f>
        <v/>
      </c>
      <c r="D988" s="1" t="str">
        <f>IF('Extraction edi'!H998="","",'Extraction edi'!H998)</f>
        <v/>
      </c>
      <c r="E988" s="1" t="str">
        <f>IF('Extraction edi'!I998="","",'Extraction edi'!I998)</f>
        <v/>
      </c>
      <c r="F988" t="str">
        <f>IF('Extraction edi'!K998="","",'Extraction edi'!K998)</f>
        <v/>
      </c>
      <c r="G988" t="str">
        <f>IF('Extraction edi'!L998="","",'Extraction edi'!L998)</f>
        <v/>
      </c>
      <c r="H988" t="str">
        <f>IF('Extraction edi'!M998="","",'Extraction edi'!M998)</f>
        <v/>
      </c>
      <c r="I988" s="1" t="str">
        <f>IF('Extraction edi'!N998="","",'Extraction edi'!N998)</f>
        <v/>
      </c>
      <c r="J988" s="1" t="str">
        <f>IF('Extraction edi'!O998="","",'Extraction edi'!O998)</f>
        <v/>
      </c>
      <c r="K988" s="1" t="str">
        <f>IF('Extraction edi'!P998="","",'Extraction edi'!P998)</f>
        <v/>
      </c>
      <c r="L988" s="1" t="str">
        <f>IF('Extraction edi'!Q998="laquage RAL :","OUI","")</f>
        <v/>
      </c>
      <c r="M988" s="1" t="str">
        <f>IF('Extraction edi'!R998&lt;&gt;"",'Extraction edi'!R998,IF(G988="ALU blanc","S9016",""))</f>
        <v/>
      </c>
      <c r="N988" s="1" t="str">
        <f>IF('Extraction edi'!S998&lt;&gt;"",'Extraction edi'!S998,IF(G988="ALU blanc","S9016",""))</f>
        <v/>
      </c>
      <c r="O988" s="11" t="str">
        <f>IF('Extraction edi'!V998&lt;'Feuille commande'!$E$1,"DELAI NON COMPATIBLE",IF('Extraction edi'!V998="","",WORKDAY('Extraction edi'!V998,-10,Paramètrage!$G$2:$G$104)))</f>
        <v/>
      </c>
      <c r="P988" s="1" t="e">
        <f t="shared" si="15"/>
        <v>#VALUE!</v>
      </c>
    </row>
    <row r="989" spans="1:16" x14ac:dyDescent="0.25">
      <c r="A989" s="1" t="e">
        <f>IF(#REF!="","",CONCATENATE(#REF!," / pos ",#REF!," / Secteur : ",'Extraction edi'!#REF!," / APPROLIGNE : ",WEEKNUM('Extraction edi'!H999)))</f>
        <v>#REF!</v>
      </c>
      <c r="B989" s="1" t="str">
        <f>IF('Extraction edi'!A999="","",'Extraction edi'!A999)</f>
        <v/>
      </c>
      <c r="C989" s="1" t="str">
        <f>IF('Extraction edi'!B999="","",'Extraction edi'!B999)</f>
        <v/>
      </c>
      <c r="D989" s="1" t="str">
        <f>IF('Extraction edi'!H999="","",'Extraction edi'!H999)</f>
        <v/>
      </c>
      <c r="E989" s="1" t="str">
        <f>IF('Extraction edi'!I999="","",'Extraction edi'!I999)</f>
        <v/>
      </c>
      <c r="F989" t="str">
        <f>IF('Extraction edi'!K999="","",'Extraction edi'!K999)</f>
        <v/>
      </c>
      <c r="G989" t="str">
        <f>IF('Extraction edi'!L999="","",'Extraction edi'!L999)</f>
        <v/>
      </c>
      <c r="H989" t="str">
        <f>IF('Extraction edi'!M999="","",'Extraction edi'!M999)</f>
        <v/>
      </c>
      <c r="I989" s="1" t="str">
        <f>IF('Extraction edi'!N999="","",'Extraction edi'!N999)</f>
        <v/>
      </c>
      <c r="J989" s="1" t="str">
        <f>IF('Extraction edi'!O999="","",'Extraction edi'!O999)</f>
        <v/>
      </c>
      <c r="K989" s="1" t="str">
        <f>IF('Extraction edi'!P999="","",'Extraction edi'!P999)</f>
        <v/>
      </c>
      <c r="L989" s="1" t="str">
        <f>IF('Extraction edi'!Q999="laquage RAL :","OUI","")</f>
        <v/>
      </c>
      <c r="M989" s="1" t="str">
        <f>IF('Extraction edi'!R999&lt;&gt;"",'Extraction edi'!R999,IF(G989="ALU blanc","S9016",""))</f>
        <v/>
      </c>
      <c r="N989" s="1" t="str">
        <f>IF('Extraction edi'!S999&lt;&gt;"",'Extraction edi'!S999,IF(G989="ALU blanc","S9016",""))</f>
        <v/>
      </c>
      <c r="O989" s="11" t="str">
        <f>IF('Extraction edi'!V999&lt;'Feuille commande'!$E$1,"DELAI NON COMPATIBLE",IF('Extraction edi'!V999="","",WORKDAY('Extraction edi'!V999,-10,Paramètrage!$G$2:$G$104)))</f>
        <v/>
      </c>
      <c r="P989" s="1" t="e">
        <f t="shared" si="15"/>
        <v>#VALUE!</v>
      </c>
    </row>
    <row r="990" spans="1:16" x14ac:dyDescent="0.25">
      <c r="A990" s="1" t="e">
        <f>IF(#REF!="","",CONCATENATE(#REF!," / pos ",#REF!," / Secteur : ",'Extraction edi'!#REF!," / APPROLIGNE : ",WEEKNUM('Extraction edi'!H1000)))</f>
        <v>#REF!</v>
      </c>
      <c r="B990" s="1" t="str">
        <f>IF('Extraction edi'!A1000="","",'Extraction edi'!A1000)</f>
        <v/>
      </c>
      <c r="C990" s="1" t="str">
        <f>IF('Extraction edi'!B1000="","",'Extraction edi'!B1000)</f>
        <v/>
      </c>
      <c r="D990" s="1" t="str">
        <f>IF('Extraction edi'!H1000="","",'Extraction edi'!H1000)</f>
        <v/>
      </c>
      <c r="E990" s="1" t="str">
        <f>IF('Extraction edi'!I1000="","",'Extraction edi'!I1000)</f>
        <v/>
      </c>
      <c r="F990" t="str">
        <f>IF('Extraction edi'!K1000="","",'Extraction edi'!K1000)</f>
        <v/>
      </c>
      <c r="G990" t="str">
        <f>IF('Extraction edi'!L1000="","",'Extraction edi'!L1000)</f>
        <v/>
      </c>
      <c r="H990" t="str">
        <f>IF('Extraction edi'!M1000="","",'Extraction edi'!M1000)</f>
        <v/>
      </c>
      <c r="I990" s="1" t="str">
        <f>IF('Extraction edi'!N1000="","",'Extraction edi'!N1000)</f>
        <v/>
      </c>
      <c r="J990" s="1" t="str">
        <f>IF('Extraction edi'!O1000="","",'Extraction edi'!O1000)</f>
        <v/>
      </c>
      <c r="K990" s="1" t="str">
        <f>IF('Extraction edi'!P1000="","",'Extraction edi'!P1000)</f>
        <v/>
      </c>
      <c r="L990" s="1" t="str">
        <f>IF('Extraction edi'!Q1000="laquage RAL :","OUI","")</f>
        <v/>
      </c>
      <c r="M990" s="1" t="str">
        <f>IF('Extraction edi'!R1000&lt;&gt;"",'Extraction edi'!R1000,IF(G990="ALU blanc","S9016",""))</f>
        <v/>
      </c>
      <c r="N990" s="1" t="str">
        <f>IF('Extraction edi'!S1000&lt;&gt;"",'Extraction edi'!S1000,IF(G990="ALU blanc","S9016",""))</f>
        <v/>
      </c>
      <c r="O990" s="11" t="str">
        <f>IF('Extraction edi'!V1000&lt;'Feuille commande'!$E$1,"DELAI NON COMPATIBLE",IF('Extraction edi'!V1000="","",WORKDAY('Extraction edi'!V1000,-10,Paramètrage!$G$2:$G$104)))</f>
        <v/>
      </c>
      <c r="P990" s="1" t="e">
        <f t="shared" si="15"/>
        <v>#VALUE!</v>
      </c>
    </row>
    <row r="991" spans="1:16" x14ac:dyDescent="0.25">
      <c r="A991" s="1" t="e">
        <f>IF(#REF!="","",CONCATENATE(#REF!," / pos ",#REF!," / Secteur : ",'Extraction edi'!#REF!," / APPROLIGNE : ",WEEKNUM('Extraction edi'!H1001)))</f>
        <v>#REF!</v>
      </c>
      <c r="B991" s="1" t="str">
        <f>IF('Extraction edi'!A1001="","",'Extraction edi'!A1001)</f>
        <v/>
      </c>
      <c r="C991" s="1" t="str">
        <f>IF('Extraction edi'!B1001="","",'Extraction edi'!B1001)</f>
        <v/>
      </c>
      <c r="D991" s="1" t="str">
        <f>IF('Extraction edi'!H1001="","",'Extraction edi'!H1001)</f>
        <v/>
      </c>
      <c r="E991" s="1" t="str">
        <f>IF('Extraction edi'!I1001="","",'Extraction edi'!I1001)</f>
        <v/>
      </c>
      <c r="F991" t="str">
        <f>IF('Extraction edi'!K1001="","",'Extraction edi'!K1001)</f>
        <v/>
      </c>
      <c r="G991" t="str">
        <f>IF('Extraction edi'!L1001="","",'Extraction edi'!L1001)</f>
        <v/>
      </c>
      <c r="H991" t="str">
        <f>IF('Extraction edi'!M1001="","",'Extraction edi'!M1001)</f>
        <v/>
      </c>
      <c r="I991" s="1" t="str">
        <f>IF('Extraction edi'!N1001="","",'Extraction edi'!N1001)</f>
        <v/>
      </c>
      <c r="J991" s="1" t="str">
        <f>IF('Extraction edi'!O1001="","",'Extraction edi'!O1001)</f>
        <v/>
      </c>
      <c r="K991" s="1" t="str">
        <f>IF('Extraction edi'!P1001="","",'Extraction edi'!P1001)</f>
        <v/>
      </c>
      <c r="L991" s="1" t="str">
        <f>IF('Extraction edi'!Q1001="laquage RAL :","OUI","")</f>
        <v/>
      </c>
      <c r="M991" s="1" t="str">
        <f>IF('Extraction edi'!R1001&lt;&gt;"",'Extraction edi'!R1001,IF(G991="ALU blanc","S9016",""))</f>
        <v/>
      </c>
      <c r="N991" s="1" t="str">
        <f>IF('Extraction edi'!S1001&lt;&gt;"",'Extraction edi'!S1001,IF(G991="ALU blanc","S9016",""))</f>
        <v/>
      </c>
      <c r="O991" s="11" t="str">
        <f>IF('Extraction edi'!V1001&lt;'Feuille commande'!$E$1,"DELAI NON COMPATIBLE",IF('Extraction edi'!V1001="","",WORKDAY('Extraction edi'!V1001,-10,Paramètrage!$G$2:$G$104)))</f>
        <v/>
      </c>
      <c r="P991" s="1" t="e">
        <f t="shared" si="15"/>
        <v>#VALUE!</v>
      </c>
    </row>
    <row r="992" spans="1:16" x14ac:dyDescent="0.25">
      <c r="A992" s="1" t="e">
        <f>IF(#REF!="","",CONCATENATE(#REF!," / pos ",#REF!," / Secteur : ",'Extraction edi'!#REF!," / APPROLIGNE : ",WEEKNUM('Extraction edi'!H1002)))</f>
        <v>#REF!</v>
      </c>
      <c r="B992" s="1" t="str">
        <f>IF('Extraction edi'!A1002="","",'Extraction edi'!A1002)</f>
        <v/>
      </c>
      <c r="C992" s="1" t="str">
        <f>IF('Extraction edi'!B1002="","",'Extraction edi'!B1002)</f>
        <v/>
      </c>
      <c r="D992" s="1" t="str">
        <f>IF('Extraction edi'!H1002="","",'Extraction edi'!H1002)</f>
        <v/>
      </c>
      <c r="E992" s="1" t="str">
        <f>IF('Extraction edi'!I1002="","",'Extraction edi'!I1002)</f>
        <v/>
      </c>
      <c r="F992" t="str">
        <f>IF('Extraction edi'!K1002="","",'Extraction edi'!K1002)</f>
        <v/>
      </c>
      <c r="G992" t="str">
        <f>IF('Extraction edi'!L1002="","",'Extraction edi'!L1002)</f>
        <v/>
      </c>
      <c r="H992" t="str">
        <f>IF('Extraction edi'!M1002="","",'Extraction edi'!M1002)</f>
        <v/>
      </c>
      <c r="I992" s="1" t="str">
        <f>IF('Extraction edi'!N1002="","",'Extraction edi'!N1002)</f>
        <v/>
      </c>
      <c r="J992" s="1" t="str">
        <f>IF('Extraction edi'!O1002="","",'Extraction edi'!O1002)</f>
        <v/>
      </c>
      <c r="K992" s="1" t="str">
        <f>IF('Extraction edi'!P1002="","",'Extraction edi'!P1002)</f>
        <v/>
      </c>
      <c r="L992" s="1" t="str">
        <f>IF('Extraction edi'!Q1002="laquage RAL :","OUI","")</f>
        <v/>
      </c>
      <c r="M992" s="1" t="str">
        <f>IF('Extraction edi'!R1002&lt;&gt;"",'Extraction edi'!R1002,IF(G992="ALU blanc","S9016",""))</f>
        <v/>
      </c>
      <c r="N992" s="1" t="str">
        <f>IF('Extraction edi'!S1002&lt;&gt;"",'Extraction edi'!S1002,IF(G992="ALU blanc","S9016",""))</f>
        <v/>
      </c>
      <c r="O992" s="11" t="str">
        <f>IF('Extraction edi'!V1002&lt;'Feuille commande'!$E$1,"DELAI NON COMPATIBLE",IF('Extraction edi'!V1002="","",WORKDAY('Extraction edi'!V1002,-10,Paramètrage!$G$2:$G$104)))</f>
        <v/>
      </c>
      <c r="P992" s="1" t="e">
        <f t="shared" si="15"/>
        <v>#VALUE!</v>
      </c>
    </row>
    <row r="993" spans="1:16" x14ac:dyDescent="0.25">
      <c r="A993" s="1" t="e">
        <f>IF(#REF!="","",CONCATENATE(#REF!," / pos ",#REF!," / Secteur : ",'Extraction edi'!#REF!," / APPROLIGNE : ",WEEKNUM('Extraction edi'!H1003)))</f>
        <v>#REF!</v>
      </c>
      <c r="B993" s="1" t="str">
        <f>IF('Extraction edi'!A1003="","",'Extraction edi'!A1003)</f>
        <v/>
      </c>
      <c r="C993" s="1" t="str">
        <f>IF('Extraction edi'!B1003="","",'Extraction edi'!B1003)</f>
        <v/>
      </c>
      <c r="D993" s="1" t="str">
        <f>IF('Extraction edi'!H1003="","",'Extraction edi'!H1003)</f>
        <v/>
      </c>
      <c r="E993" s="1" t="str">
        <f>IF('Extraction edi'!I1003="","",'Extraction edi'!I1003)</f>
        <v/>
      </c>
      <c r="F993" t="str">
        <f>IF('Extraction edi'!K1003="","",'Extraction edi'!K1003)</f>
        <v/>
      </c>
      <c r="G993" t="str">
        <f>IF('Extraction edi'!L1003="","",'Extraction edi'!L1003)</f>
        <v/>
      </c>
      <c r="H993" t="str">
        <f>IF('Extraction edi'!M1003="","",'Extraction edi'!M1003)</f>
        <v/>
      </c>
      <c r="I993" s="1" t="str">
        <f>IF('Extraction edi'!N1003="","",'Extraction edi'!N1003)</f>
        <v/>
      </c>
      <c r="J993" s="1" t="str">
        <f>IF('Extraction edi'!O1003="","",'Extraction edi'!O1003)</f>
        <v/>
      </c>
      <c r="K993" s="1" t="str">
        <f>IF('Extraction edi'!P1003="","",'Extraction edi'!P1003)</f>
        <v/>
      </c>
      <c r="L993" s="1" t="str">
        <f>IF('Extraction edi'!Q1003="laquage RAL :","OUI","")</f>
        <v/>
      </c>
      <c r="M993" s="1" t="str">
        <f>IF('Extraction edi'!R1003&lt;&gt;"",'Extraction edi'!R1003,IF(G993="ALU blanc","S9016",""))</f>
        <v/>
      </c>
      <c r="N993" s="1" t="str">
        <f>IF('Extraction edi'!S1003&lt;&gt;"",'Extraction edi'!S1003,IF(G993="ALU blanc","S9016",""))</f>
        <v/>
      </c>
      <c r="O993" s="11" t="str">
        <f>IF('Extraction edi'!V1003&lt;'Feuille commande'!$E$1,"DELAI NON COMPATIBLE",IF('Extraction edi'!V1003="","",WORKDAY('Extraction edi'!V1003,-10,Paramètrage!$G$2:$G$104)))</f>
        <v/>
      </c>
      <c r="P993" s="1" t="e">
        <f t="shared" si="15"/>
        <v>#VALUE!</v>
      </c>
    </row>
  </sheetData>
  <pageMargins left="0.70866141732283472" right="0.70866141732283472" top="0.74803149606299213" bottom="0.74803149606299213" header="0.31496062992125984" footer="0.31496062992125984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ri_N°_commande">
                <anchor moveWithCells="1" sizeWithCells="1">
                  <from>
                    <xdr:col>6</xdr:col>
                    <xdr:colOff>76200</xdr:colOff>
                    <xdr:row>0</xdr:row>
                    <xdr:rowOff>47625</xdr:rowOff>
                  </from>
                  <to>
                    <xdr:col>6</xdr:col>
                    <xdr:colOff>1952625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I5000"/>
  <sheetViews>
    <sheetView topLeftCell="D1" zoomScale="85" zoomScaleNormal="85" workbookViewId="0">
      <pane ySplit="1" topLeftCell="A2" activePane="bottomLeft" state="frozen"/>
      <selection pane="bottomLeft" activeCell="E4" sqref="E4"/>
    </sheetView>
  </sheetViews>
  <sheetFormatPr baseColWidth="10" defaultRowHeight="15" x14ac:dyDescent="0.25"/>
  <cols>
    <col min="1" max="1" width="30.7109375" style="8" bestFit="1" customWidth="1"/>
    <col min="2" max="2" width="24.5703125" style="9" bestFit="1" customWidth="1"/>
    <col min="3" max="3" width="39.5703125" style="10" customWidth="1"/>
    <col min="4" max="4" width="23.7109375" bestFit="1" customWidth="1"/>
    <col min="5" max="5" width="25.140625" bestFit="1" customWidth="1"/>
    <col min="6" max="6" width="45.140625" bestFit="1" customWidth="1"/>
    <col min="7" max="7" width="28.140625" bestFit="1" customWidth="1"/>
    <col min="8" max="8" width="33.42578125" bestFit="1" customWidth="1"/>
    <col min="9" max="9" width="33.28515625" bestFit="1" customWidth="1"/>
  </cols>
  <sheetData>
    <row r="1" spans="1:9" x14ac:dyDescent="0.25">
      <c r="A1" s="8" t="s">
        <v>227</v>
      </c>
      <c r="B1" s="9" t="s">
        <v>216</v>
      </c>
      <c r="C1" s="10" t="s">
        <v>195</v>
      </c>
      <c r="D1" t="s">
        <v>114</v>
      </c>
      <c r="E1" t="s">
        <v>115</v>
      </c>
      <c r="F1" t="s">
        <v>116</v>
      </c>
      <c r="G1" t="s">
        <v>117</v>
      </c>
      <c r="H1" t="s">
        <v>177</v>
      </c>
      <c r="I1" t="s">
        <v>118</v>
      </c>
    </row>
    <row r="2" spans="1:9" x14ac:dyDescent="0.25">
      <c r="A2" s="8" t="str">
        <f t="shared" ref="A2:A65" si="0">IF(D2="","",IF(E2=0,CONCATENATE(D2,".",E2,"00"),CONCATENATE(D2,".",E2)))</f>
        <v>1900728.-</v>
      </c>
      <c r="B2" s="9" t="str">
        <f t="shared" ref="B2:B65" si="1">LEFT(G2,1)</f>
        <v>4</v>
      </c>
      <c r="C2" s="10" t="str">
        <f t="shared" ref="C2:C65" si="2">IF(F2="","",IF(B2="",F2-4,IF(B2="1",F2-4,IF(B2="2",F2-3,IF(B2="3",F2-2,IF(B2="4",F2-1,IF(B2="V",F2-7,IF(B2="J",F2-8,F2))))))))</f>
        <v/>
      </c>
      <c r="D2">
        <v>1900728</v>
      </c>
      <c r="E2" t="s">
        <v>163</v>
      </c>
      <c r="F2" s="6"/>
      <c r="G2">
        <v>4</v>
      </c>
      <c r="H2" t="s">
        <v>190</v>
      </c>
      <c r="I2" t="s">
        <v>120</v>
      </c>
    </row>
    <row r="3" spans="1:9" x14ac:dyDescent="0.25">
      <c r="A3" s="8" t="str">
        <f t="shared" si="0"/>
        <v>1900728.000</v>
      </c>
      <c r="B3" s="9" t="str">
        <f t="shared" si="1"/>
        <v>4</v>
      </c>
      <c r="C3" s="10" t="str">
        <f t="shared" si="2"/>
        <v/>
      </c>
      <c r="D3">
        <v>1900728</v>
      </c>
      <c r="E3">
        <v>0</v>
      </c>
      <c r="F3" s="6"/>
      <c r="G3">
        <v>4</v>
      </c>
      <c r="H3" t="s">
        <v>190</v>
      </c>
      <c r="I3" t="s">
        <v>120</v>
      </c>
    </row>
    <row r="4" spans="1:9" x14ac:dyDescent="0.25">
      <c r="A4" s="8" t="str">
        <f t="shared" si="0"/>
        <v>1901931.ALY3T</v>
      </c>
      <c r="B4" s="9" t="str">
        <f t="shared" si="1"/>
        <v/>
      </c>
      <c r="C4" s="10">
        <f t="shared" si="2"/>
        <v>43556</v>
      </c>
      <c r="D4">
        <v>1901931</v>
      </c>
      <c r="E4" t="s">
        <v>176</v>
      </c>
      <c r="F4" s="6">
        <v>43560</v>
      </c>
      <c r="H4" t="s">
        <v>179</v>
      </c>
      <c r="I4" t="s">
        <v>120</v>
      </c>
    </row>
    <row r="5" spans="1:9" x14ac:dyDescent="0.25">
      <c r="A5" s="8" t="str">
        <f t="shared" si="0"/>
        <v>1902883.DES</v>
      </c>
      <c r="B5" s="9" t="str">
        <f t="shared" si="1"/>
        <v/>
      </c>
      <c r="C5" s="10">
        <f t="shared" si="2"/>
        <v>43535</v>
      </c>
      <c r="D5">
        <v>1902883</v>
      </c>
      <c r="E5" t="s">
        <v>175</v>
      </c>
      <c r="F5" s="6">
        <v>43539</v>
      </c>
      <c r="H5" t="s">
        <v>193</v>
      </c>
      <c r="I5" t="s">
        <v>120</v>
      </c>
    </row>
    <row r="6" spans="1:9" x14ac:dyDescent="0.25">
      <c r="A6" s="8" t="str">
        <f t="shared" si="0"/>
        <v>1904421.000</v>
      </c>
      <c r="B6" s="9" t="str">
        <f t="shared" si="1"/>
        <v/>
      </c>
      <c r="C6" s="10">
        <f t="shared" si="2"/>
        <v>43801</v>
      </c>
      <c r="D6">
        <v>1904421</v>
      </c>
      <c r="E6">
        <v>0</v>
      </c>
      <c r="F6" s="6">
        <v>43805</v>
      </c>
      <c r="H6" t="s">
        <v>192</v>
      </c>
      <c r="I6" t="s">
        <v>120</v>
      </c>
    </row>
    <row r="7" spans="1:9" x14ac:dyDescent="0.25">
      <c r="A7" s="8" t="str">
        <f t="shared" si="0"/>
        <v>1904421.0P0</v>
      </c>
      <c r="B7" s="9" t="str">
        <f t="shared" si="1"/>
        <v/>
      </c>
      <c r="C7" s="10">
        <f t="shared" si="2"/>
        <v>43801</v>
      </c>
      <c r="D7">
        <v>1904421</v>
      </c>
      <c r="E7" t="s">
        <v>119</v>
      </c>
      <c r="F7" s="6">
        <v>43805</v>
      </c>
      <c r="H7" t="s">
        <v>192</v>
      </c>
      <c r="I7" t="s">
        <v>120</v>
      </c>
    </row>
    <row r="8" spans="1:9" x14ac:dyDescent="0.25">
      <c r="A8" s="8" t="str">
        <f t="shared" si="0"/>
        <v>1904654.PFI</v>
      </c>
      <c r="B8" s="9" t="str">
        <f t="shared" si="1"/>
        <v>4</v>
      </c>
      <c r="C8" s="10" t="str">
        <f t="shared" si="2"/>
        <v/>
      </c>
      <c r="D8">
        <v>1904654</v>
      </c>
      <c r="E8" t="s">
        <v>172</v>
      </c>
      <c r="F8" s="6"/>
      <c r="G8">
        <v>4</v>
      </c>
      <c r="H8" t="s">
        <v>190</v>
      </c>
      <c r="I8" t="s">
        <v>120</v>
      </c>
    </row>
    <row r="9" spans="1:9" x14ac:dyDescent="0.25">
      <c r="A9" s="8" t="str">
        <f t="shared" si="0"/>
        <v>1904670.PFI</v>
      </c>
      <c r="B9" s="9" t="str">
        <f t="shared" si="1"/>
        <v/>
      </c>
      <c r="C9" s="10" t="str">
        <f t="shared" si="2"/>
        <v/>
      </c>
      <c r="D9">
        <v>1904670</v>
      </c>
      <c r="E9" t="s">
        <v>172</v>
      </c>
      <c r="F9" s="6"/>
      <c r="H9" t="s">
        <v>189</v>
      </c>
      <c r="I9" t="s">
        <v>120</v>
      </c>
    </row>
    <row r="10" spans="1:9" x14ac:dyDescent="0.25">
      <c r="A10" s="8" t="str">
        <f t="shared" si="0"/>
        <v>1904721.PFI</v>
      </c>
      <c r="B10" s="9" t="str">
        <f t="shared" si="1"/>
        <v/>
      </c>
      <c r="C10" s="10" t="str">
        <f t="shared" si="2"/>
        <v/>
      </c>
      <c r="D10">
        <v>1904721</v>
      </c>
      <c r="E10" t="s">
        <v>172</v>
      </c>
      <c r="F10" s="6"/>
      <c r="H10" t="s">
        <v>190</v>
      </c>
      <c r="I10" t="s">
        <v>120</v>
      </c>
    </row>
    <row r="11" spans="1:9" x14ac:dyDescent="0.25">
      <c r="A11" s="8" t="str">
        <f t="shared" si="0"/>
        <v>1904726.PFI</v>
      </c>
      <c r="B11" s="9" t="str">
        <f t="shared" si="1"/>
        <v/>
      </c>
      <c r="C11" s="10" t="str">
        <f t="shared" si="2"/>
        <v/>
      </c>
      <c r="D11">
        <v>1904726</v>
      </c>
      <c r="E11" t="s">
        <v>172</v>
      </c>
      <c r="F11" s="6"/>
      <c r="H11" t="s">
        <v>189</v>
      </c>
      <c r="I11" t="s">
        <v>120</v>
      </c>
    </row>
    <row r="12" spans="1:9" x14ac:dyDescent="0.25">
      <c r="A12" s="8" t="str">
        <f t="shared" si="0"/>
        <v>1904732.PFI</v>
      </c>
      <c r="B12" s="9" t="str">
        <f t="shared" si="1"/>
        <v/>
      </c>
      <c r="C12" s="10" t="str">
        <f t="shared" si="2"/>
        <v/>
      </c>
      <c r="D12">
        <v>1904732</v>
      </c>
      <c r="E12" t="s">
        <v>172</v>
      </c>
      <c r="F12" s="6"/>
      <c r="H12" t="s">
        <v>190</v>
      </c>
      <c r="I12" t="s">
        <v>120</v>
      </c>
    </row>
    <row r="13" spans="1:9" x14ac:dyDescent="0.25">
      <c r="A13" s="8" t="str">
        <f t="shared" si="0"/>
        <v>1904877.US0</v>
      </c>
      <c r="B13" s="9" t="str">
        <f t="shared" si="1"/>
        <v>2</v>
      </c>
      <c r="C13" s="10">
        <f t="shared" si="2"/>
        <v>44040</v>
      </c>
      <c r="D13">
        <v>1904877</v>
      </c>
      <c r="E13" t="s">
        <v>276</v>
      </c>
      <c r="F13" s="6">
        <v>44043</v>
      </c>
      <c r="G13">
        <v>21</v>
      </c>
      <c r="H13" t="s">
        <v>180</v>
      </c>
      <c r="I13" t="s">
        <v>120</v>
      </c>
    </row>
    <row r="14" spans="1:9" x14ac:dyDescent="0.25">
      <c r="A14" s="8" t="str">
        <f t="shared" si="0"/>
        <v>1905504.ZJ1</v>
      </c>
      <c r="B14" s="9" t="str">
        <f t="shared" si="1"/>
        <v/>
      </c>
      <c r="C14" s="10" t="str">
        <f t="shared" si="2"/>
        <v/>
      </c>
      <c r="D14">
        <v>1905504</v>
      </c>
      <c r="E14" t="s">
        <v>254</v>
      </c>
      <c r="F14" s="6"/>
      <c r="H14" t="s">
        <v>188</v>
      </c>
      <c r="I14" t="s">
        <v>120</v>
      </c>
    </row>
    <row r="15" spans="1:9" x14ac:dyDescent="0.25">
      <c r="A15" s="8" t="str">
        <f t="shared" si="0"/>
        <v>1905627.YS0</v>
      </c>
      <c r="B15" s="9" t="str">
        <f t="shared" si="1"/>
        <v/>
      </c>
      <c r="C15" s="10">
        <f t="shared" si="2"/>
        <v>44067</v>
      </c>
      <c r="D15">
        <v>1905627</v>
      </c>
      <c r="E15" t="s">
        <v>275</v>
      </c>
      <c r="F15" s="6">
        <v>44071</v>
      </c>
      <c r="H15" t="s">
        <v>180</v>
      </c>
      <c r="I15" t="s">
        <v>120</v>
      </c>
    </row>
    <row r="16" spans="1:9" x14ac:dyDescent="0.25">
      <c r="A16" s="8" t="str">
        <f t="shared" si="0"/>
        <v>1905983.NS2</v>
      </c>
      <c r="B16" s="9" t="str">
        <f t="shared" si="1"/>
        <v/>
      </c>
      <c r="C16" s="10">
        <f t="shared" si="2"/>
        <v>44074</v>
      </c>
      <c r="D16">
        <v>1905983</v>
      </c>
      <c r="E16" t="s">
        <v>280</v>
      </c>
      <c r="F16" s="6">
        <v>44078</v>
      </c>
      <c r="H16" t="s">
        <v>180</v>
      </c>
      <c r="I16" t="s">
        <v>120</v>
      </c>
    </row>
    <row r="17" spans="1:9" x14ac:dyDescent="0.25">
      <c r="A17" s="8" t="str">
        <f t="shared" si="0"/>
        <v>1906012.NV0</v>
      </c>
      <c r="B17" s="9" t="str">
        <f t="shared" si="1"/>
        <v/>
      </c>
      <c r="C17" s="10">
        <f t="shared" si="2"/>
        <v>44074</v>
      </c>
      <c r="D17">
        <v>1906012</v>
      </c>
      <c r="E17" t="s">
        <v>126</v>
      </c>
      <c r="F17" s="6">
        <v>44078</v>
      </c>
      <c r="H17" t="s">
        <v>180</v>
      </c>
      <c r="I17" t="s">
        <v>120</v>
      </c>
    </row>
    <row r="18" spans="1:9" x14ac:dyDescent="0.25">
      <c r="A18" s="8" t="str">
        <f t="shared" si="0"/>
        <v>1906049.YJ1</v>
      </c>
      <c r="B18" s="9" t="str">
        <f t="shared" si="1"/>
        <v/>
      </c>
      <c r="C18" s="10">
        <f t="shared" si="2"/>
        <v>44011</v>
      </c>
      <c r="D18">
        <v>1906049</v>
      </c>
      <c r="E18" t="s">
        <v>267</v>
      </c>
      <c r="F18" s="6">
        <v>44015</v>
      </c>
      <c r="H18" t="s">
        <v>180</v>
      </c>
      <c r="I18" t="s">
        <v>120</v>
      </c>
    </row>
    <row r="19" spans="1:9" x14ac:dyDescent="0.25">
      <c r="A19" s="8" t="str">
        <f t="shared" si="0"/>
        <v>1906049.YJ2</v>
      </c>
      <c r="B19" s="9" t="str">
        <f t="shared" si="1"/>
        <v/>
      </c>
      <c r="C19" s="10">
        <f t="shared" si="2"/>
        <v>44074</v>
      </c>
      <c r="D19">
        <v>1906049</v>
      </c>
      <c r="E19" t="s">
        <v>299</v>
      </c>
      <c r="F19" s="6">
        <v>44078</v>
      </c>
      <c r="H19" t="s">
        <v>180</v>
      </c>
      <c r="I19" t="s">
        <v>120</v>
      </c>
    </row>
    <row r="20" spans="1:9" x14ac:dyDescent="0.25">
      <c r="A20" s="8" t="str">
        <f t="shared" si="0"/>
        <v>1906249.NS0</v>
      </c>
      <c r="B20" s="9" t="str">
        <f t="shared" si="1"/>
        <v>1</v>
      </c>
      <c r="C20" s="10">
        <f t="shared" si="2"/>
        <v>44067</v>
      </c>
      <c r="D20">
        <v>1906249</v>
      </c>
      <c r="E20" t="s">
        <v>169</v>
      </c>
      <c r="F20" s="6">
        <v>44071</v>
      </c>
      <c r="G20">
        <v>1</v>
      </c>
      <c r="H20" t="s">
        <v>180</v>
      </c>
      <c r="I20" t="s">
        <v>120</v>
      </c>
    </row>
    <row r="21" spans="1:9" x14ac:dyDescent="0.25">
      <c r="A21" s="8" t="str">
        <f t="shared" si="0"/>
        <v>1907233.NV0</v>
      </c>
      <c r="B21" s="9" t="str">
        <f t="shared" si="1"/>
        <v/>
      </c>
      <c r="C21" s="10">
        <f t="shared" si="2"/>
        <v>44074</v>
      </c>
      <c r="D21">
        <v>1907233</v>
      </c>
      <c r="E21" t="s">
        <v>126</v>
      </c>
      <c r="F21" s="6">
        <v>44078</v>
      </c>
      <c r="H21" t="s">
        <v>180</v>
      </c>
      <c r="I21" t="s">
        <v>120</v>
      </c>
    </row>
    <row r="22" spans="1:9" x14ac:dyDescent="0.25">
      <c r="A22" s="8" t="str">
        <f t="shared" si="0"/>
        <v>1907542.NS0</v>
      </c>
      <c r="B22" s="9" t="str">
        <f t="shared" si="1"/>
        <v/>
      </c>
      <c r="C22" s="10">
        <f t="shared" si="2"/>
        <v>44039</v>
      </c>
      <c r="D22">
        <v>1907542</v>
      </c>
      <c r="E22" t="s">
        <v>169</v>
      </c>
      <c r="F22" s="6">
        <v>44043</v>
      </c>
      <c r="H22" t="s">
        <v>180</v>
      </c>
      <c r="I22" t="s">
        <v>120</v>
      </c>
    </row>
    <row r="23" spans="1:9" x14ac:dyDescent="0.25">
      <c r="A23" s="8" t="str">
        <f t="shared" si="0"/>
        <v>1907677.YJ1</v>
      </c>
      <c r="B23" s="9" t="str">
        <f t="shared" si="1"/>
        <v/>
      </c>
      <c r="C23" s="10">
        <f t="shared" si="2"/>
        <v>44011</v>
      </c>
      <c r="D23">
        <v>1907677</v>
      </c>
      <c r="E23" t="s">
        <v>267</v>
      </c>
      <c r="F23" s="6">
        <v>44015</v>
      </c>
      <c r="H23" t="s">
        <v>180</v>
      </c>
      <c r="I23" t="s">
        <v>120</v>
      </c>
    </row>
    <row r="24" spans="1:9" x14ac:dyDescent="0.25">
      <c r="A24" s="8" t="str">
        <f t="shared" si="0"/>
        <v>1908771.NV0</v>
      </c>
      <c r="B24" s="9" t="str">
        <f t="shared" si="1"/>
        <v/>
      </c>
      <c r="C24" s="10">
        <f t="shared" si="2"/>
        <v>43731</v>
      </c>
      <c r="D24">
        <v>1908771</v>
      </c>
      <c r="E24" t="s">
        <v>126</v>
      </c>
      <c r="F24" s="6">
        <v>43735</v>
      </c>
      <c r="H24" t="s">
        <v>194</v>
      </c>
      <c r="I24" t="s">
        <v>120</v>
      </c>
    </row>
    <row r="25" spans="1:9" x14ac:dyDescent="0.25">
      <c r="A25" s="8" t="str">
        <f t="shared" si="0"/>
        <v>1909003.HJ1</v>
      </c>
      <c r="B25" s="9" t="str">
        <f t="shared" si="1"/>
        <v/>
      </c>
      <c r="C25" s="10">
        <f t="shared" si="2"/>
        <v>44074</v>
      </c>
      <c r="D25">
        <v>1909003</v>
      </c>
      <c r="E25" t="s">
        <v>300</v>
      </c>
      <c r="F25" s="6">
        <v>44078</v>
      </c>
      <c r="H25" t="s">
        <v>189</v>
      </c>
      <c r="I25" t="s">
        <v>120</v>
      </c>
    </row>
    <row r="26" spans="1:9" x14ac:dyDescent="0.25">
      <c r="A26" s="8" t="str">
        <f t="shared" si="0"/>
        <v>1909114.-</v>
      </c>
      <c r="B26" s="9" t="str">
        <f t="shared" si="1"/>
        <v/>
      </c>
      <c r="C26" s="10" t="str">
        <f t="shared" si="2"/>
        <v/>
      </c>
      <c r="D26">
        <v>1909114</v>
      </c>
      <c r="E26" t="s">
        <v>163</v>
      </c>
      <c r="F26" s="6"/>
      <c r="H26" t="s">
        <v>194</v>
      </c>
      <c r="I26" t="s">
        <v>120</v>
      </c>
    </row>
    <row r="27" spans="1:9" x14ac:dyDescent="0.25">
      <c r="A27" s="8" t="str">
        <f t="shared" si="0"/>
        <v>1909545.0P0</v>
      </c>
      <c r="B27" s="9" t="str">
        <f t="shared" si="1"/>
        <v/>
      </c>
      <c r="C27" s="10">
        <f t="shared" si="2"/>
        <v>43759</v>
      </c>
      <c r="D27">
        <v>1909545</v>
      </c>
      <c r="E27" t="s">
        <v>119</v>
      </c>
      <c r="F27" s="6">
        <v>43763</v>
      </c>
      <c r="H27" t="s">
        <v>192</v>
      </c>
      <c r="I27" t="s">
        <v>120</v>
      </c>
    </row>
    <row r="28" spans="1:9" x14ac:dyDescent="0.25">
      <c r="A28" s="8" t="str">
        <f t="shared" si="0"/>
        <v>1909769.HP0</v>
      </c>
      <c r="B28" s="9" t="str">
        <f t="shared" si="1"/>
        <v/>
      </c>
      <c r="C28" s="10">
        <f t="shared" si="2"/>
        <v>43759</v>
      </c>
      <c r="D28">
        <v>1909769</v>
      </c>
      <c r="E28" t="s">
        <v>121</v>
      </c>
      <c r="F28" s="6">
        <v>43763</v>
      </c>
      <c r="H28" t="s">
        <v>192</v>
      </c>
      <c r="I28" t="s">
        <v>120</v>
      </c>
    </row>
    <row r="29" spans="1:9" x14ac:dyDescent="0.25">
      <c r="A29" s="8" t="str">
        <f t="shared" si="0"/>
        <v>1909773.000</v>
      </c>
      <c r="B29" s="9" t="str">
        <f t="shared" si="1"/>
        <v/>
      </c>
      <c r="C29" s="10">
        <f t="shared" si="2"/>
        <v>43766</v>
      </c>
      <c r="D29">
        <v>1909773</v>
      </c>
      <c r="E29">
        <v>0</v>
      </c>
      <c r="F29" s="6">
        <v>43770</v>
      </c>
      <c r="H29" t="s">
        <v>192</v>
      </c>
      <c r="I29" t="s">
        <v>120</v>
      </c>
    </row>
    <row r="30" spans="1:9" x14ac:dyDescent="0.25">
      <c r="A30" s="8" t="str">
        <f t="shared" si="0"/>
        <v>1910081.U02</v>
      </c>
      <c r="B30" s="9" t="str">
        <f t="shared" si="1"/>
        <v/>
      </c>
      <c r="C30" s="10">
        <f t="shared" si="2"/>
        <v>43766</v>
      </c>
      <c r="D30">
        <v>1910081</v>
      </c>
      <c r="E30" t="s">
        <v>149</v>
      </c>
      <c r="F30" s="6">
        <v>43770</v>
      </c>
      <c r="H30" t="s">
        <v>192</v>
      </c>
      <c r="I30" t="s">
        <v>120</v>
      </c>
    </row>
    <row r="31" spans="1:9" x14ac:dyDescent="0.25">
      <c r="A31" s="8" t="str">
        <f t="shared" si="0"/>
        <v>1910235.000</v>
      </c>
      <c r="B31" s="9" t="str">
        <f t="shared" si="1"/>
        <v/>
      </c>
      <c r="C31" s="10">
        <f t="shared" si="2"/>
        <v>44018</v>
      </c>
      <c r="D31">
        <v>1910235</v>
      </c>
      <c r="E31">
        <v>0</v>
      </c>
      <c r="F31" s="6">
        <v>44022</v>
      </c>
      <c r="H31" t="s">
        <v>192</v>
      </c>
      <c r="I31" t="s">
        <v>120</v>
      </c>
    </row>
    <row r="32" spans="1:9" x14ac:dyDescent="0.25">
      <c r="A32" s="8" t="str">
        <f t="shared" si="0"/>
        <v>1910235.H00</v>
      </c>
      <c r="B32" s="9" t="str">
        <f t="shared" si="1"/>
        <v/>
      </c>
      <c r="C32" s="10">
        <f t="shared" si="2"/>
        <v>44018</v>
      </c>
      <c r="D32">
        <v>1910235</v>
      </c>
      <c r="E32" t="s">
        <v>122</v>
      </c>
      <c r="F32" s="6">
        <v>44022</v>
      </c>
      <c r="H32" t="s">
        <v>192</v>
      </c>
      <c r="I32" t="s">
        <v>120</v>
      </c>
    </row>
    <row r="33" spans="1:9" x14ac:dyDescent="0.25">
      <c r="A33" s="8" t="str">
        <f t="shared" si="0"/>
        <v>1910235.HPL</v>
      </c>
      <c r="B33" s="9" t="str">
        <f t="shared" si="1"/>
        <v/>
      </c>
      <c r="C33" s="10">
        <f t="shared" si="2"/>
        <v>44018</v>
      </c>
      <c r="D33">
        <v>1910235</v>
      </c>
      <c r="E33" t="s">
        <v>128</v>
      </c>
      <c r="F33" s="6">
        <v>44022</v>
      </c>
      <c r="H33" t="s">
        <v>192</v>
      </c>
      <c r="I33" t="s">
        <v>120</v>
      </c>
    </row>
    <row r="34" spans="1:9" x14ac:dyDescent="0.25">
      <c r="A34" s="8" t="str">
        <f t="shared" si="0"/>
        <v>1910359.NSB</v>
      </c>
      <c r="B34" s="9" t="str">
        <f t="shared" si="1"/>
        <v/>
      </c>
      <c r="C34" s="10">
        <f t="shared" si="2"/>
        <v>44074</v>
      </c>
      <c r="D34">
        <v>1910359</v>
      </c>
      <c r="E34" t="s">
        <v>208</v>
      </c>
      <c r="F34" s="6">
        <v>44078</v>
      </c>
      <c r="H34" t="s">
        <v>180</v>
      </c>
      <c r="I34" t="s">
        <v>120</v>
      </c>
    </row>
    <row r="35" spans="1:9" x14ac:dyDescent="0.25">
      <c r="A35" s="8" t="str">
        <f t="shared" si="0"/>
        <v>1910513.000</v>
      </c>
      <c r="B35" s="9" t="str">
        <f t="shared" si="1"/>
        <v/>
      </c>
      <c r="C35" s="10">
        <f t="shared" si="2"/>
        <v>43773</v>
      </c>
      <c r="D35">
        <v>1910513</v>
      </c>
      <c r="E35">
        <v>0</v>
      </c>
      <c r="F35" s="6">
        <v>43777</v>
      </c>
      <c r="H35" t="s">
        <v>193</v>
      </c>
      <c r="I35" t="s">
        <v>120</v>
      </c>
    </row>
    <row r="36" spans="1:9" x14ac:dyDescent="0.25">
      <c r="A36" s="8" t="str">
        <f t="shared" si="0"/>
        <v>1910721.-</v>
      </c>
      <c r="B36" s="9" t="str">
        <f t="shared" si="1"/>
        <v/>
      </c>
      <c r="C36" s="10" t="str">
        <f t="shared" si="2"/>
        <v/>
      </c>
      <c r="D36">
        <v>1910721</v>
      </c>
      <c r="E36" t="s">
        <v>163</v>
      </c>
      <c r="F36" s="6"/>
      <c r="H36" t="s">
        <v>190</v>
      </c>
      <c r="I36" t="s">
        <v>120</v>
      </c>
    </row>
    <row r="37" spans="1:9" x14ac:dyDescent="0.25">
      <c r="A37" s="8" t="str">
        <f t="shared" si="0"/>
        <v>1910734.WS0</v>
      </c>
      <c r="B37" s="9" t="str">
        <f t="shared" si="1"/>
        <v/>
      </c>
      <c r="C37" s="10">
        <f t="shared" si="2"/>
        <v>44067</v>
      </c>
      <c r="D37">
        <v>1910734</v>
      </c>
      <c r="E37" t="s">
        <v>271</v>
      </c>
      <c r="F37" s="6">
        <v>44071</v>
      </c>
      <c r="H37" t="s">
        <v>180</v>
      </c>
      <c r="I37" t="s">
        <v>120</v>
      </c>
    </row>
    <row r="38" spans="1:9" x14ac:dyDescent="0.25">
      <c r="A38" s="8" t="str">
        <f t="shared" si="0"/>
        <v>1910995.U02</v>
      </c>
      <c r="B38" s="9" t="str">
        <f t="shared" si="1"/>
        <v/>
      </c>
      <c r="C38" s="10">
        <f t="shared" si="2"/>
        <v>43794</v>
      </c>
      <c r="D38">
        <v>1910995</v>
      </c>
      <c r="E38" t="s">
        <v>149</v>
      </c>
      <c r="F38" s="6">
        <v>43798</v>
      </c>
      <c r="H38" t="s">
        <v>222</v>
      </c>
      <c r="I38" t="s">
        <v>120</v>
      </c>
    </row>
    <row r="39" spans="1:9" x14ac:dyDescent="0.25">
      <c r="A39" s="8" t="str">
        <f t="shared" si="0"/>
        <v>1911001.pfi</v>
      </c>
      <c r="B39" s="9" t="str">
        <f t="shared" si="1"/>
        <v>4</v>
      </c>
      <c r="C39" s="10" t="str">
        <f t="shared" si="2"/>
        <v/>
      </c>
      <c r="D39">
        <v>1911001</v>
      </c>
      <c r="E39" t="s">
        <v>187</v>
      </c>
      <c r="F39" s="6"/>
      <c r="G39">
        <v>4</v>
      </c>
      <c r="H39" t="s">
        <v>189</v>
      </c>
      <c r="I39" t="s">
        <v>120</v>
      </c>
    </row>
    <row r="40" spans="1:9" x14ac:dyDescent="0.25">
      <c r="A40" s="8" t="str">
        <f t="shared" si="0"/>
        <v>1911344.US1</v>
      </c>
      <c r="B40" s="9" t="str">
        <f t="shared" si="1"/>
        <v/>
      </c>
      <c r="C40" s="10" t="str">
        <f t="shared" si="2"/>
        <v/>
      </c>
      <c r="D40">
        <v>1911344</v>
      </c>
      <c r="E40" t="s">
        <v>279</v>
      </c>
      <c r="F40" s="6"/>
      <c r="H40" t="s">
        <v>191</v>
      </c>
      <c r="I40" t="s">
        <v>120</v>
      </c>
    </row>
    <row r="41" spans="1:9" x14ac:dyDescent="0.25">
      <c r="A41" s="8" t="str">
        <f t="shared" si="0"/>
        <v>1911527.NSB</v>
      </c>
      <c r="B41" s="9" t="str">
        <f t="shared" si="1"/>
        <v>3</v>
      </c>
      <c r="C41" s="10">
        <f t="shared" si="2"/>
        <v>44034</v>
      </c>
      <c r="D41">
        <v>1911527</v>
      </c>
      <c r="E41" t="s">
        <v>208</v>
      </c>
      <c r="F41" s="6">
        <v>44036</v>
      </c>
      <c r="G41">
        <v>32</v>
      </c>
      <c r="H41" t="s">
        <v>180</v>
      </c>
      <c r="I41" t="s">
        <v>120</v>
      </c>
    </row>
    <row r="42" spans="1:9" x14ac:dyDescent="0.25">
      <c r="A42" s="8" t="str">
        <f t="shared" si="0"/>
        <v>1911581.0P0</v>
      </c>
      <c r="B42" s="9" t="str">
        <f t="shared" si="1"/>
        <v/>
      </c>
      <c r="C42" s="10">
        <f t="shared" si="2"/>
        <v>43808</v>
      </c>
      <c r="D42">
        <v>1911581</v>
      </c>
      <c r="E42" t="s">
        <v>119</v>
      </c>
      <c r="F42" s="6">
        <v>43812</v>
      </c>
      <c r="H42" t="s">
        <v>179</v>
      </c>
      <c r="I42" t="s">
        <v>120</v>
      </c>
    </row>
    <row r="43" spans="1:9" x14ac:dyDescent="0.25">
      <c r="A43" s="8" t="str">
        <f t="shared" si="0"/>
        <v>1912212.N00</v>
      </c>
      <c r="B43" s="9" t="str">
        <f t="shared" si="1"/>
        <v>4</v>
      </c>
      <c r="C43" s="10">
        <f t="shared" si="2"/>
        <v>43986</v>
      </c>
      <c r="D43">
        <v>1912212</v>
      </c>
      <c r="E43" t="s">
        <v>125</v>
      </c>
      <c r="F43" s="6">
        <v>43987</v>
      </c>
      <c r="G43">
        <v>41</v>
      </c>
      <c r="H43" t="s">
        <v>194</v>
      </c>
      <c r="I43" t="s">
        <v>120</v>
      </c>
    </row>
    <row r="44" spans="1:9" x14ac:dyDescent="0.25">
      <c r="A44" s="8" t="str">
        <f t="shared" si="0"/>
        <v>1912276.pfi</v>
      </c>
      <c r="B44" s="9" t="str">
        <f t="shared" si="1"/>
        <v>4</v>
      </c>
      <c r="C44" s="10" t="str">
        <f t="shared" si="2"/>
        <v/>
      </c>
      <c r="D44">
        <v>1912276</v>
      </c>
      <c r="E44" t="s">
        <v>187</v>
      </c>
      <c r="F44" s="6"/>
      <c r="G44">
        <v>4</v>
      </c>
      <c r="H44" t="s">
        <v>189</v>
      </c>
      <c r="I44" t="s">
        <v>120</v>
      </c>
    </row>
    <row r="45" spans="1:9" x14ac:dyDescent="0.25">
      <c r="A45" s="8" t="str">
        <f t="shared" si="0"/>
        <v>1912313.pfi</v>
      </c>
      <c r="B45" s="9" t="str">
        <f t="shared" si="1"/>
        <v>4</v>
      </c>
      <c r="C45" s="10" t="str">
        <f t="shared" si="2"/>
        <v/>
      </c>
      <c r="D45">
        <v>1912313</v>
      </c>
      <c r="E45" t="s">
        <v>187</v>
      </c>
      <c r="F45" s="6"/>
      <c r="G45">
        <v>4</v>
      </c>
      <c r="H45" t="s">
        <v>189</v>
      </c>
      <c r="I45" t="s">
        <v>120</v>
      </c>
    </row>
    <row r="46" spans="1:9" x14ac:dyDescent="0.25">
      <c r="A46" s="8" t="str">
        <f t="shared" si="0"/>
        <v>1912319.pfi</v>
      </c>
      <c r="B46" s="9" t="str">
        <f t="shared" si="1"/>
        <v>4</v>
      </c>
      <c r="C46" s="10" t="str">
        <f t="shared" si="2"/>
        <v/>
      </c>
      <c r="D46">
        <v>1912319</v>
      </c>
      <c r="E46" t="s">
        <v>187</v>
      </c>
      <c r="F46" s="6"/>
      <c r="G46">
        <v>4</v>
      </c>
      <c r="H46" t="s">
        <v>189</v>
      </c>
      <c r="I46" t="s">
        <v>120</v>
      </c>
    </row>
    <row r="47" spans="1:9" x14ac:dyDescent="0.25">
      <c r="A47" s="8" t="str">
        <f t="shared" si="0"/>
        <v>1912321.pfi</v>
      </c>
      <c r="B47" s="9" t="str">
        <f t="shared" si="1"/>
        <v>4</v>
      </c>
      <c r="C47" s="10" t="str">
        <f t="shared" si="2"/>
        <v/>
      </c>
      <c r="D47">
        <v>1912321</v>
      </c>
      <c r="E47" t="s">
        <v>187</v>
      </c>
      <c r="F47" s="6"/>
      <c r="G47">
        <v>4</v>
      </c>
      <c r="H47" t="s">
        <v>190</v>
      </c>
      <c r="I47" t="s">
        <v>120</v>
      </c>
    </row>
    <row r="48" spans="1:9" x14ac:dyDescent="0.25">
      <c r="A48" s="8" t="str">
        <f t="shared" si="0"/>
        <v>1912340.PFI</v>
      </c>
      <c r="B48" s="9" t="str">
        <f t="shared" si="1"/>
        <v>4</v>
      </c>
      <c r="C48" s="10" t="str">
        <f t="shared" si="2"/>
        <v/>
      </c>
      <c r="D48">
        <v>1912340</v>
      </c>
      <c r="E48" t="s">
        <v>172</v>
      </c>
      <c r="F48" s="6"/>
      <c r="G48">
        <v>4</v>
      </c>
      <c r="H48" t="s">
        <v>189</v>
      </c>
      <c r="I48" t="s">
        <v>120</v>
      </c>
    </row>
    <row r="49" spans="1:9" x14ac:dyDescent="0.25">
      <c r="A49" s="8" t="str">
        <f t="shared" si="0"/>
        <v>1912352.NSB</v>
      </c>
      <c r="B49" s="9" t="str">
        <f t="shared" si="1"/>
        <v/>
      </c>
      <c r="C49" s="10">
        <f t="shared" si="2"/>
        <v>44074</v>
      </c>
      <c r="D49">
        <v>1912352</v>
      </c>
      <c r="E49" t="s">
        <v>208</v>
      </c>
      <c r="F49" s="6">
        <v>44078</v>
      </c>
      <c r="H49" t="s">
        <v>180</v>
      </c>
      <c r="I49" t="s">
        <v>120</v>
      </c>
    </row>
    <row r="50" spans="1:9" x14ac:dyDescent="0.25">
      <c r="A50" s="8" t="str">
        <f t="shared" si="0"/>
        <v>1912571.N0L</v>
      </c>
      <c r="B50" s="9" t="str">
        <f t="shared" si="1"/>
        <v/>
      </c>
      <c r="C50" s="10">
        <f t="shared" si="2"/>
        <v>44074</v>
      </c>
      <c r="D50">
        <v>1912571</v>
      </c>
      <c r="E50" t="s">
        <v>133</v>
      </c>
      <c r="F50" s="6">
        <v>44078</v>
      </c>
      <c r="H50" t="s">
        <v>194</v>
      </c>
      <c r="I50" t="s">
        <v>120</v>
      </c>
    </row>
    <row r="51" spans="1:9" x14ac:dyDescent="0.25">
      <c r="A51" s="8" t="str">
        <f t="shared" si="0"/>
        <v>1912573.NQ0</v>
      </c>
      <c r="B51" s="9" t="str">
        <f t="shared" si="1"/>
        <v>3</v>
      </c>
      <c r="C51" s="10">
        <f t="shared" si="2"/>
        <v>44076</v>
      </c>
      <c r="D51">
        <v>1912573</v>
      </c>
      <c r="E51" t="s">
        <v>165</v>
      </c>
      <c r="F51" s="6">
        <v>44078</v>
      </c>
      <c r="G51">
        <v>31</v>
      </c>
      <c r="H51" t="s">
        <v>189</v>
      </c>
      <c r="I51" t="s">
        <v>120</v>
      </c>
    </row>
    <row r="52" spans="1:9" x14ac:dyDescent="0.25">
      <c r="A52" s="8" t="str">
        <f t="shared" si="0"/>
        <v>1913059.RELI</v>
      </c>
      <c r="B52" s="9" t="str">
        <f t="shared" si="1"/>
        <v/>
      </c>
      <c r="C52" s="10">
        <f t="shared" si="2"/>
        <v>43850</v>
      </c>
      <c r="D52">
        <v>1913059</v>
      </c>
      <c r="E52" t="s">
        <v>230</v>
      </c>
      <c r="F52" s="6">
        <v>43854</v>
      </c>
      <c r="H52" t="s">
        <v>224</v>
      </c>
      <c r="I52" t="s">
        <v>120</v>
      </c>
    </row>
    <row r="53" spans="1:9" x14ac:dyDescent="0.25">
      <c r="A53" s="8" t="str">
        <f t="shared" si="0"/>
        <v>1913068.NS0</v>
      </c>
      <c r="B53" s="9" t="str">
        <f t="shared" si="1"/>
        <v/>
      </c>
      <c r="C53" s="10">
        <f t="shared" si="2"/>
        <v>44039</v>
      </c>
      <c r="D53">
        <v>1913068</v>
      </c>
      <c r="E53" t="s">
        <v>169</v>
      </c>
      <c r="F53" s="6">
        <v>44043</v>
      </c>
      <c r="H53" t="s">
        <v>180</v>
      </c>
      <c r="I53" t="s">
        <v>120</v>
      </c>
    </row>
    <row r="54" spans="1:9" x14ac:dyDescent="0.25">
      <c r="A54" s="8" t="str">
        <f t="shared" si="0"/>
        <v>1913075.NS0</v>
      </c>
      <c r="B54" s="9" t="str">
        <f t="shared" si="1"/>
        <v>3</v>
      </c>
      <c r="C54" s="10">
        <f t="shared" si="2"/>
        <v>44069</v>
      </c>
      <c r="D54">
        <v>1913075</v>
      </c>
      <c r="E54" t="s">
        <v>169</v>
      </c>
      <c r="F54" s="6">
        <v>44071</v>
      </c>
      <c r="G54">
        <v>31</v>
      </c>
      <c r="H54" t="s">
        <v>180</v>
      </c>
      <c r="I54" t="s">
        <v>120</v>
      </c>
    </row>
    <row r="55" spans="1:9" x14ac:dyDescent="0.25">
      <c r="A55" s="8" t="str">
        <f t="shared" si="0"/>
        <v>1913146.0JB</v>
      </c>
      <c r="B55" s="9" t="str">
        <f t="shared" si="1"/>
        <v/>
      </c>
      <c r="C55" s="10">
        <f t="shared" si="2"/>
        <v>44074</v>
      </c>
      <c r="D55">
        <v>1913146</v>
      </c>
      <c r="E55" t="s">
        <v>278</v>
      </c>
      <c r="F55" s="6">
        <v>44078</v>
      </c>
      <c r="H55" t="s">
        <v>189</v>
      </c>
      <c r="I55" t="s">
        <v>120</v>
      </c>
    </row>
    <row r="56" spans="1:9" x14ac:dyDescent="0.25">
      <c r="A56" s="8" t="str">
        <f t="shared" si="0"/>
        <v>1913351.N00</v>
      </c>
      <c r="B56" s="9" t="str">
        <f t="shared" si="1"/>
        <v/>
      </c>
      <c r="C56" s="10">
        <f t="shared" si="2"/>
        <v>43976</v>
      </c>
      <c r="D56">
        <v>1913351</v>
      </c>
      <c r="E56" t="s">
        <v>125</v>
      </c>
      <c r="F56" s="6">
        <v>43980</v>
      </c>
      <c r="H56" t="s">
        <v>192</v>
      </c>
      <c r="I56" t="s">
        <v>120</v>
      </c>
    </row>
    <row r="57" spans="1:9" x14ac:dyDescent="0.25">
      <c r="A57" s="8" t="str">
        <f t="shared" si="0"/>
        <v>1913438.000</v>
      </c>
      <c r="B57" s="9" t="str">
        <f t="shared" si="1"/>
        <v/>
      </c>
      <c r="C57" s="10">
        <f t="shared" si="2"/>
        <v>43857</v>
      </c>
      <c r="D57">
        <v>1913438</v>
      </c>
      <c r="E57">
        <v>0</v>
      </c>
      <c r="F57" s="6">
        <v>43861</v>
      </c>
      <c r="H57" t="s">
        <v>191</v>
      </c>
      <c r="I57" t="s">
        <v>120</v>
      </c>
    </row>
    <row r="58" spans="1:9" x14ac:dyDescent="0.25">
      <c r="A58" s="8" t="str">
        <f t="shared" si="0"/>
        <v>1913778.NJ1</v>
      </c>
      <c r="B58" s="9" t="str">
        <f t="shared" si="1"/>
        <v/>
      </c>
      <c r="C58" s="10">
        <f t="shared" si="2"/>
        <v>43983</v>
      </c>
      <c r="D58">
        <v>1913778</v>
      </c>
      <c r="E58" t="s">
        <v>186</v>
      </c>
      <c r="F58" s="6">
        <v>43987</v>
      </c>
      <c r="H58" t="s">
        <v>180</v>
      </c>
      <c r="I58" t="s">
        <v>120</v>
      </c>
    </row>
    <row r="59" spans="1:9" x14ac:dyDescent="0.25">
      <c r="A59" s="8" t="str">
        <f t="shared" si="0"/>
        <v>1913803.NQL</v>
      </c>
      <c r="B59" s="9" t="str">
        <f t="shared" si="1"/>
        <v/>
      </c>
      <c r="C59" s="10">
        <f t="shared" si="2"/>
        <v>44074</v>
      </c>
      <c r="D59">
        <v>1913803</v>
      </c>
      <c r="E59" t="s">
        <v>259</v>
      </c>
      <c r="F59" s="6">
        <v>44078</v>
      </c>
      <c r="H59" t="s">
        <v>194</v>
      </c>
      <c r="I59" t="s">
        <v>120</v>
      </c>
    </row>
    <row r="60" spans="1:9" x14ac:dyDescent="0.25">
      <c r="A60" s="8" t="str">
        <f t="shared" si="0"/>
        <v>1913866.NV0</v>
      </c>
      <c r="B60" s="9" t="str">
        <f t="shared" si="1"/>
        <v/>
      </c>
      <c r="C60" s="10">
        <f t="shared" si="2"/>
        <v>43864</v>
      </c>
      <c r="D60">
        <v>1913866</v>
      </c>
      <c r="E60" t="s">
        <v>126</v>
      </c>
      <c r="F60" s="6">
        <v>43868</v>
      </c>
      <c r="H60" t="s">
        <v>178</v>
      </c>
      <c r="I60" t="s">
        <v>120</v>
      </c>
    </row>
    <row r="61" spans="1:9" x14ac:dyDescent="0.25">
      <c r="A61" s="8" t="str">
        <f t="shared" si="0"/>
        <v>1913982.NS0</v>
      </c>
      <c r="B61" s="9" t="str">
        <f t="shared" si="1"/>
        <v/>
      </c>
      <c r="C61" s="10">
        <f t="shared" si="2"/>
        <v>44074</v>
      </c>
      <c r="D61">
        <v>1913982</v>
      </c>
      <c r="E61" t="s">
        <v>169</v>
      </c>
      <c r="F61" s="6">
        <v>44078</v>
      </c>
      <c r="H61" t="s">
        <v>180</v>
      </c>
      <c r="I61" t="s">
        <v>120</v>
      </c>
    </row>
    <row r="62" spans="1:9" x14ac:dyDescent="0.25">
      <c r="A62" s="8" t="str">
        <f t="shared" si="0"/>
        <v>1914030.NJ1</v>
      </c>
      <c r="B62" s="9" t="str">
        <f t="shared" si="1"/>
        <v/>
      </c>
      <c r="C62" s="10">
        <f t="shared" si="2"/>
        <v>43997</v>
      </c>
      <c r="D62">
        <v>1914030</v>
      </c>
      <c r="E62" t="s">
        <v>186</v>
      </c>
      <c r="F62" s="6">
        <v>44001</v>
      </c>
      <c r="H62" t="s">
        <v>180</v>
      </c>
      <c r="I62" t="s">
        <v>120</v>
      </c>
    </row>
    <row r="63" spans="1:9" x14ac:dyDescent="0.25">
      <c r="A63" s="8" t="str">
        <f t="shared" si="0"/>
        <v>1914030.NJ2</v>
      </c>
      <c r="B63" s="9" t="str">
        <f t="shared" si="1"/>
        <v/>
      </c>
      <c r="C63" s="10">
        <f t="shared" si="2"/>
        <v>44004</v>
      </c>
      <c r="D63">
        <v>1914030</v>
      </c>
      <c r="E63" t="s">
        <v>253</v>
      </c>
      <c r="F63" s="6">
        <v>44008</v>
      </c>
      <c r="H63" t="s">
        <v>180</v>
      </c>
      <c r="I63" t="s">
        <v>120</v>
      </c>
    </row>
    <row r="64" spans="1:9" x14ac:dyDescent="0.25">
      <c r="A64" s="8" t="str">
        <f t="shared" si="0"/>
        <v>1914032.N00</v>
      </c>
      <c r="B64" s="9" t="str">
        <f t="shared" si="1"/>
        <v>V</v>
      </c>
      <c r="C64" s="10">
        <f t="shared" si="2"/>
        <v>44071</v>
      </c>
      <c r="D64">
        <v>1914032</v>
      </c>
      <c r="E64" t="s">
        <v>125</v>
      </c>
      <c r="F64" s="6">
        <v>44078</v>
      </c>
      <c r="G64" t="s">
        <v>155</v>
      </c>
      <c r="H64" t="s">
        <v>194</v>
      </c>
      <c r="I64" t="s">
        <v>134</v>
      </c>
    </row>
    <row r="65" spans="1:9" x14ac:dyDescent="0.25">
      <c r="A65" s="8" t="str">
        <f t="shared" si="0"/>
        <v>1914193.N00</v>
      </c>
      <c r="B65" s="9" t="str">
        <f t="shared" si="1"/>
        <v>3</v>
      </c>
      <c r="C65" s="10">
        <f t="shared" si="2"/>
        <v>44069</v>
      </c>
      <c r="D65">
        <v>1914193</v>
      </c>
      <c r="E65" t="s">
        <v>125</v>
      </c>
      <c r="F65" s="6">
        <v>44071</v>
      </c>
      <c r="G65">
        <v>31</v>
      </c>
      <c r="H65" t="s">
        <v>189</v>
      </c>
      <c r="I65" t="s">
        <v>120</v>
      </c>
    </row>
    <row r="66" spans="1:9" x14ac:dyDescent="0.25">
      <c r="A66" s="8" t="str">
        <f t="shared" ref="A66:A129" si="3">IF(D66="","",IF(E66=0,CONCATENATE(D66,".",E66,"00"),CONCATENATE(D66,".",E66)))</f>
        <v>2000193.NS0</v>
      </c>
      <c r="B66" s="9" t="str">
        <f t="shared" ref="B66:B129" si="4">LEFT(G66,1)</f>
        <v/>
      </c>
      <c r="C66" s="10">
        <f t="shared" ref="C66:C129" si="5">IF(F66="","",IF(B66="",F66-4,IF(B66="1",F66-4,IF(B66="2",F66-3,IF(B66="3",F66-2,IF(B66="4",F66-1,IF(B66="V",F66-7,IF(B66="J",F66-8,F66))))))))</f>
        <v>44074</v>
      </c>
      <c r="D66">
        <v>2000193</v>
      </c>
      <c r="E66" t="s">
        <v>169</v>
      </c>
      <c r="F66" s="6">
        <v>44078</v>
      </c>
      <c r="H66" t="s">
        <v>180</v>
      </c>
      <c r="I66" t="s">
        <v>120</v>
      </c>
    </row>
    <row r="67" spans="1:9" x14ac:dyDescent="0.25">
      <c r="A67" s="8" t="str">
        <f t="shared" si="3"/>
        <v>2000201.NV0</v>
      </c>
      <c r="B67" s="9" t="str">
        <f t="shared" si="4"/>
        <v/>
      </c>
      <c r="C67" s="10">
        <f t="shared" si="5"/>
        <v>44074</v>
      </c>
      <c r="D67">
        <v>2000201</v>
      </c>
      <c r="E67" t="s">
        <v>126</v>
      </c>
      <c r="F67" s="6">
        <v>44078</v>
      </c>
      <c r="H67" t="s">
        <v>180</v>
      </c>
      <c r="I67" t="s">
        <v>120</v>
      </c>
    </row>
    <row r="68" spans="1:9" x14ac:dyDescent="0.25">
      <c r="A68" s="8" t="str">
        <f t="shared" si="3"/>
        <v>2000223.C00</v>
      </c>
      <c r="B68" s="9" t="str">
        <f t="shared" si="4"/>
        <v/>
      </c>
      <c r="C68" s="10">
        <f t="shared" si="5"/>
        <v>43906</v>
      </c>
      <c r="D68">
        <v>2000223</v>
      </c>
      <c r="E68" t="s">
        <v>147</v>
      </c>
      <c r="F68" s="6">
        <v>43910</v>
      </c>
      <c r="H68" t="s">
        <v>192</v>
      </c>
      <c r="I68" t="s">
        <v>120</v>
      </c>
    </row>
    <row r="69" spans="1:9" x14ac:dyDescent="0.25">
      <c r="A69" s="8" t="str">
        <f t="shared" si="3"/>
        <v>2000323.NJB</v>
      </c>
      <c r="B69" s="9" t="str">
        <f t="shared" si="4"/>
        <v>2</v>
      </c>
      <c r="C69" s="10">
        <f t="shared" si="5"/>
        <v>43977</v>
      </c>
      <c r="D69">
        <v>2000323</v>
      </c>
      <c r="E69" t="s">
        <v>258</v>
      </c>
      <c r="F69" s="6">
        <v>43980</v>
      </c>
      <c r="G69">
        <v>2</v>
      </c>
      <c r="H69" t="s">
        <v>180</v>
      </c>
      <c r="I69" t="s">
        <v>120</v>
      </c>
    </row>
    <row r="70" spans="1:9" x14ac:dyDescent="0.25">
      <c r="A70" s="8" t="str">
        <f t="shared" si="3"/>
        <v>2000341.NJ1</v>
      </c>
      <c r="B70" s="9" t="str">
        <f t="shared" si="4"/>
        <v>1</v>
      </c>
      <c r="C70" s="10">
        <f t="shared" si="5"/>
        <v>44074</v>
      </c>
      <c r="D70">
        <v>2000341</v>
      </c>
      <c r="E70" t="s">
        <v>186</v>
      </c>
      <c r="F70" s="6">
        <v>44078</v>
      </c>
      <c r="G70">
        <v>1</v>
      </c>
      <c r="H70" t="s">
        <v>180</v>
      </c>
      <c r="I70" t="s">
        <v>120</v>
      </c>
    </row>
    <row r="71" spans="1:9" x14ac:dyDescent="0.25">
      <c r="A71" s="8" t="str">
        <f t="shared" si="3"/>
        <v>2000444.NJ2</v>
      </c>
      <c r="B71" s="9" t="str">
        <f t="shared" si="4"/>
        <v/>
      </c>
      <c r="C71" s="10">
        <f t="shared" si="5"/>
        <v>44018</v>
      </c>
      <c r="D71">
        <v>2000444</v>
      </c>
      <c r="E71" t="s">
        <v>253</v>
      </c>
      <c r="F71" s="6">
        <v>44022</v>
      </c>
      <c r="H71" t="s">
        <v>180</v>
      </c>
      <c r="I71" t="s">
        <v>120</v>
      </c>
    </row>
    <row r="72" spans="1:9" x14ac:dyDescent="0.25">
      <c r="A72" s="8" t="str">
        <f t="shared" si="3"/>
        <v>2000465.YS0</v>
      </c>
      <c r="B72" s="9" t="str">
        <f t="shared" si="4"/>
        <v/>
      </c>
      <c r="C72" s="10">
        <f t="shared" si="5"/>
        <v>44074</v>
      </c>
      <c r="D72">
        <v>2000465</v>
      </c>
      <c r="E72" t="s">
        <v>275</v>
      </c>
      <c r="F72" s="6">
        <v>44078</v>
      </c>
      <c r="H72" t="s">
        <v>189</v>
      </c>
      <c r="I72" t="s">
        <v>120</v>
      </c>
    </row>
    <row r="73" spans="1:9" x14ac:dyDescent="0.25">
      <c r="A73" s="8" t="str">
        <f t="shared" si="3"/>
        <v>2000545.NS0</v>
      </c>
      <c r="B73" s="9" t="str">
        <f t="shared" si="4"/>
        <v>V</v>
      </c>
      <c r="C73" s="10">
        <f t="shared" si="5"/>
        <v>44064</v>
      </c>
      <c r="D73">
        <v>2000545</v>
      </c>
      <c r="E73" t="s">
        <v>169</v>
      </c>
      <c r="F73" s="6">
        <v>44071</v>
      </c>
      <c r="G73" t="s">
        <v>228</v>
      </c>
      <c r="H73" t="s">
        <v>180</v>
      </c>
      <c r="I73" t="s">
        <v>120</v>
      </c>
    </row>
    <row r="74" spans="1:9" x14ac:dyDescent="0.25">
      <c r="A74" s="8" t="str">
        <f t="shared" si="3"/>
        <v>2000638.YS0</v>
      </c>
      <c r="B74" s="9" t="str">
        <f t="shared" si="4"/>
        <v>4</v>
      </c>
      <c r="C74" s="10">
        <f t="shared" si="5"/>
        <v>44042</v>
      </c>
      <c r="D74">
        <v>2000638</v>
      </c>
      <c r="E74" t="s">
        <v>275</v>
      </c>
      <c r="F74" s="6">
        <v>44043</v>
      </c>
      <c r="G74">
        <v>41</v>
      </c>
      <c r="H74" t="s">
        <v>180</v>
      </c>
      <c r="I74" t="s">
        <v>120</v>
      </c>
    </row>
    <row r="75" spans="1:9" x14ac:dyDescent="0.25">
      <c r="A75" s="8" t="str">
        <f t="shared" si="3"/>
        <v>2000824.N00</v>
      </c>
      <c r="B75" s="9" t="str">
        <f t="shared" si="4"/>
        <v/>
      </c>
      <c r="C75" s="10">
        <f t="shared" si="5"/>
        <v>43899</v>
      </c>
      <c r="D75">
        <v>2000824</v>
      </c>
      <c r="E75" t="s">
        <v>125</v>
      </c>
      <c r="F75" s="6">
        <v>43903</v>
      </c>
      <c r="H75" t="s">
        <v>188</v>
      </c>
      <c r="I75" t="s">
        <v>120</v>
      </c>
    </row>
    <row r="76" spans="1:9" x14ac:dyDescent="0.25">
      <c r="A76" s="8" t="str">
        <f t="shared" si="3"/>
        <v>2000849.N00</v>
      </c>
      <c r="B76" s="9" t="str">
        <f t="shared" si="4"/>
        <v/>
      </c>
      <c r="C76" s="10">
        <f t="shared" si="5"/>
        <v>43864</v>
      </c>
      <c r="D76">
        <v>2000849</v>
      </c>
      <c r="E76" t="s">
        <v>125</v>
      </c>
      <c r="F76" s="6">
        <v>43868</v>
      </c>
      <c r="H76" t="s">
        <v>188</v>
      </c>
      <c r="I76" t="s">
        <v>120</v>
      </c>
    </row>
    <row r="77" spans="1:9" x14ac:dyDescent="0.25">
      <c r="A77" s="8" t="str">
        <f t="shared" si="3"/>
        <v>2000934.NJ1</v>
      </c>
      <c r="B77" s="9" t="str">
        <f t="shared" si="4"/>
        <v/>
      </c>
      <c r="C77" s="10">
        <f t="shared" si="5"/>
        <v>44011</v>
      </c>
      <c r="D77">
        <v>2000934</v>
      </c>
      <c r="E77" t="s">
        <v>186</v>
      </c>
      <c r="F77" s="6">
        <v>44015</v>
      </c>
      <c r="H77" t="s">
        <v>180</v>
      </c>
      <c r="I77" t="s">
        <v>120</v>
      </c>
    </row>
    <row r="78" spans="1:9" x14ac:dyDescent="0.25">
      <c r="A78" s="8" t="str">
        <f t="shared" si="3"/>
        <v>2001002.NS0</v>
      </c>
      <c r="B78" s="9" t="str">
        <f t="shared" si="4"/>
        <v>4</v>
      </c>
      <c r="C78" s="10">
        <f t="shared" si="5"/>
        <v>44077</v>
      </c>
      <c r="D78">
        <v>2001002</v>
      </c>
      <c r="E78" t="s">
        <v>169</v>
      </c>
      <c r="F78" s="6">
        <v>44078</v>
      </c>
      <c r="G78">
        <v>4</v>
      </c>
      <c r="H78" t="s">
        <v>180</v>
      </c>
      <c r="I78" t="s">
        <v>120</v>
      </c>
    </row>
    <row r="79" spans="1:9" x14ac:dyDescent="0.25">
      <c r="A79" s="8" t="str">
        <f t="shared" si="3"/>
        <v>2001052.UP2</v>
      </c>
      <c r="B79" s="9" t="str">
        <f t="shared" si="4"/>
        <v/>
      </c>
      <c r="C79" s="10">
        <f t="shared" si="5"/>
        <v>43892</v>
      </c>
      <c r="D79">
        <v>2001052</v>
      </c>
      <c r="E79" t="s">
        <v>160</v>
      </c>
      <c r="F79" s="6">
        <v>43896</v>
      </c>
      <c r="H79" t="s">
        <v>180</v>
      </c>
      <c r="I79" t="s">
        <v>120</v>
      </c>
    </row>
    <row r="80" spans="1:9" x14ac:dyDescent="0.25">
      <c r="A80" s="8" t="str">
        <f t="shared" si="3"/>
        <v>2001115.H00</v>
      </c>
      <c r="B80" s="9" t="str">
        <f t="shared" si="4"/>
        <v/>
      </c>
      <c r="C80" s="10">
        <f t="shared" si="5"/>
        <v>43899</v>
      </c>
      <c r="D80">
        <v>2001115</v>
      </c>
      <c r="E80" t="s">
        <v>122</v>
      </c>
      <c r="F80" s="6">
        <v>43903</v>
      </c>
      <c r="H80" t="s">
        <v>188</v>
      </c>
      <c r="I80" t="s">
        <v>120</v>
      </c>
    </row>
    <row r="81" spans="1:9" x14ac:dyDescent="0.25">
      <c r="A81" s="8" t="str">
        <f t="shared" si="3"/>
        <v>2001115.Z00</v>
      </c>
      <c r="B81" s="9" t="str">
        <f t="shared" si="4"/>
        <v/>
      </c>
      <c r="C81" s="10">
        <f t="shared" si="5"/>
        <v>43899</v>
      </c>
      <c r="D81">
        <v>2001115</v>
      </c>
      <c r="E81" t="s">
        <v>158</v>
      </c>
      <c r="F81" s="6">
        <v>43903</v>
      </c>
      <c r="H81" t="s">
        <v>188</v>
      </c>
      <c r="I81" t="s">
        <v>120</v>
      </c>
    </row>
    <row r="82" spans="1:9" x14ac:dyDescent="0.25">
      <c r="A82" s="8" t="str">
        <f t="shared" si="3"/>
        <v>2001127.NF0</v>
      </c>
      <c r="B82" s="9" t="str">
        <f t="shared" si="4"/>
        <v/>
      </c>
      <c r="C82" s="10">
        <f t="shared" si="5"/>
        <v>43906</v>
      </c>
      <c r="D82">
        <v>2001127</v>
      </c>
      <c r="E82" t="s">
        <v>137</v>
      </c>
      <c r="F82" s="6">
        <v>43910</v>
      </c>
      <c r="H82" t="s">
        <v>188</v>
      </c>
      <c r="I82" t="s">
        <v>120</v>
      </c>
    </row>
    <row r="83" spans="1:9" x14ac:dyDescent="0.25">
      <c r="A83" s="8" t="str">
        <f t="shared" si="3"/>
        <v>2001220.NS1</v>
      </c>
      <c r="B83" s="9" t="str">
        <f t="shared" si="4"/>
        <v/>
      </c>
      <c r="C83" s="10">
        <f t="shared" si="5"/>
        <v>44074</v>
      </c>
      <c r="D83">
        <v>2001220</v>
      </c>
      <c r="E83" t="s">
        <v>171</v>
      </c>
      <c r="F83" s="6">
        <v>44078</v>
      </c>
      <c r="H83" t="s">
        <v>180</v>
      </c>
      <c r="I83" t="s">
        <v>120</v>
      </c>
    </row>
    <row r="84" spans="1:9" x14ac:dyDescent="0.25">
      <c r="A84" s="8" t="str">
        <f t="shared" si="3"/>
        <v>2001249.NQL</v>
      </c>
      <c r="B84" s="9" t="str">
        <f t="shared" si="4"/>
        <v/>
      </c>
      <c r="C84" s="10">
        <f t="shared" si="5"/>
        <v>44004</v>
      </c>
      <c r="D84">
        <v>2001249</v>
      </c>
      <c r="E84" t="s">
        <v>259</v>
      </c>
      <c r="F84" s="6">
        <v>44008</v>
      </c>
      <c r="H84" t="s">
        <v>188</v>
      </c>
      <c r="I84" t="s">
        <v>120</v>
      </c>
    </row>
    <row r="85" spans="1:9" x14ac:dyDescent="0.25">
      <c r="A85" s="8" t="str">
        <f t="shared" si="3"/>
        <v>2001356.N00</v>
      </c>
      <c r="B85" s="9" t="str">
        <f t="shared" si="4"/>
        <v>3</v>
      </c>
      <c r="C85" s="10">
        <f t="shared" si="5"/>
        <v>43670</v>
      </c>
      <c r="D85">
        <v>2001356</v>
      </c>
      <c r="E85" t="s">
        <v>125</v>
      </c>
      <c r="F85" s="6">
        <v>43672</v>
      </c>
      <c r="G85">
        <v>31</v>
      </c>
      <c r="H85" t="s">
        <v>191</v>
      </c>
      <c r="I85" t="s">
        <v>120</v>
      </c>
    </row>
    <row r="86" spans="1:9" x14ac:dyDescent="0.25">
      <c r="A86" s="8" t="str">
        <f t="shared" si="3"/>
        <v>2001409.NJ1</v>
      </c>
      <c r="B86" s="9" t="str">
        <f t="shared" si="4"/>
        <v>1</v>
      </c>
      <c r="C86" s="10">
        <f t="shared" si="5"/>
        <v>44011</v>
      </c>
      <c r="D86">
        <v>2001409</v>
      </c>
      <c r="E86" t="s">
        <v>186</v>
      </c>
      <c r="F86" s="6">
        <v>44015</v>
      </c>
      <c r="G86">
        <v>1</v>
      </c>
      <c r="H86" t="s">
        <v>180</v>
      </c>
      <c r="I86" t="s">
        <v>120</v>
      </c>
    </row>
    <row r="87" spans="1:9" x14ac:dyDescent="0.25">
      <c r="A87" s="8" t="str">
        <f t="shared" si="3"/>
        <v>2001409.NJB</v>
      </c>
      <c r="B87" s="9" t="str">
        <f t="shared" si="4"/>
        <v/>
      </c>
      <c r="C87" s="10">
        <f t="shared" si="5"/>
        <v>44032</v>
      </c>
      <c r="D87">
        <v>2001409</v>
      </c>
      <c r="E87" t="s">
        <v>258</v>
      </c>
      <c r="F87" s="6">
        <v>44036</v>
      </c>
      <c r="H87" t="s">
        <v>189</v>
      </c>
      <c r="I87" t="s">
        <v>120</v>
      </c>
    </row>
    <row r="88" spans="1:9" x14ac:dyDescent="0.25">
      <c r="A88" s="8" t="str">
        <f t="shared" si="3"/>
        <v>2001594.Y00</v>
      </c>
      <c r="B88" s="9" t="str">
        <f t="shared" si="4"/>
        <v/>
      </c>
      <c r="C88" s="10">
        <f t="shared" si="5"/>
        <v>44074</v>
      </c>
      <c r="D88">
        <v>2001594</v>
      </c>
      <c r="E88" t="s">
        <v>130</v>
      </c>
      <c r="F88" s="6">
        <v>44078</v>
      </c>
      <c r="H88" t="s">
        <v>180</v>
      </c>
      <c r="I88" t="s">
        <v>120</v>
      </c>
    </row>
    <row r="89" spans="1:9" x14ac:dyDescent="0.25">
      <c r="A89" s="8" t="str">
        <f t="shared" si="3"/>
        <v>2001607.NSB</v>
      </c>
      <c r="B89" s="9" t="str">
        <f t="shared" si="4"/>
        <v/>
      </c>
      <c r="C89" s="10">
        <f t="shared" si="5"/>
        <v>44074</v>
      </c>
      <c r="D89">
        <v>2001607</v>
      </c>
      <c r="E89" t="s">
        <v>208</v>
      </c>
      <c r="F89" s="6">
        <v>44078</v>
      </c>
      <c r="H89" t="s">
        <v>180</v>
      </c>
      <c r="I89" t="s">
        <v>120</v>
      </c>
    </row>
    <row r="90" spans="1:9" x14ac:dyDescent="0.25">
      <c r="A90" s="8" t="str">
        <f t="shared" si="3"/>
        <v>2001616.NS0</v>
      </c>
      <c r="B90" s="9" t="str">
        <f t="shared" si="4"/>
        <v/>
      </c>
      <c r="C90" s="10">
        <f t="shared" si="5"/>
        <v>44067</v>
      </c>
      <c r="D90">
        <v>2001616</v>
      </c>
      <c r="E90" t="s">
        <v>169</v>
      </c>
      <c r="F90" s="6">
        <v>44071</v>
      </c>
      <c r="H90" t="s">
        <v>180</v>
      </c>
      <c r="I90" t="s">
        <v>120</v>
      </c>
    </row>
    <row r="91" spans="1:9" x14ac:dyDescent="0.25">
      <c r="A91" s="8" t="str">
        <f t="shared" si="3"/>
        <v>2001631.0D0</v>
      </c>
      <c r="B91" s="9" t="str">
        <f t="shared" si="4"/>
        <v/>
      </c>
      <c r="C91" s="10">
        <f t="shared" si="5"/>
        <v>44095</v>
      </c>
      <c r="D91">
        <v>2001631</v>
      </c>
      <c r="E91" t="s">
        <v>123</v>
      </c>
      <c r="F91" s="6">
        <v>44099</v>
      </c>
      <c r="H91" t="s">
        <v>189</v>
      </c>
      <c r="I91" t="s">
        <v>120</v>
      </c>
    </row>
    <row r="92" spans="1:9" x14ac:dyDescent="0.25">
      <c r="A92" s="8" t="str">
        <f t="shared" si="3"/>
        <v>2001631.0P0</v>
      </c>
      <c r="B92" s="9" t="str">
        <f t="shared" si="4"/>
        <v/>
      </c>
      <c r="C92" s="10">
        <f t="shared" si="5"/>
        <v>44095</v>
      </c>
      <c r="D92">
        <v>2001631</v>
      </c>
      <c r="E92" t="s">
        <v>119</v>
      </c>
      <c r="F92" s="6">
        <v>44099</v>
      </c>
      <c r="H92" t="s">
        <v>189</v>
      </c>
      <c r="I92" t="s">
        <v>120</v>
      </c>
    </row>
    <row r="93" spans="1:9" x14ac:dyDescent="0.25">
      <c r="A93" s="8" t="str">
        <f t="shared" si="3"/>
        <v>2001651.NI0</v>
      </c>
      <c r="B93" s="9" t="str">
        <f t="shared" si="4"/>
        <v/>
      </c>
      <c r="C93" s="10">
        <f t="shared" si="5"/>
        <v>43892</v>
      </c>
      <c r="D93">
        <v>2001651</v>
      </c>
      <c r="E93" t="s">
        <v>185</v>
      </c>
      <c r="F93" s="6">
        <v>43896</v>
      </c>
      <c r="H93" t="s">
        <v>188</v>
      </c>
      <c r="I93" t="s">
        <v>134</v>
      </c>
    </row>
    <row r="94" spans="1:9" x14ac:dyDescent="0.25">
      <c r="A94" s="8" t="str">
        <f t="shared" si="3"/>
        <v>2001724.NS0</v>
      </c>
      <c r="B94" s="9" t="str">
        <f t="shared" si="4"/>
        <v/>
      </c>
      <c r="C94" s="10">
        <f t="shared" si="5"/>
        <v>44067</v>
      </c>
      <c r="D94">
        <v>2001724</v>
      </c>
      <c r="E94" t="s">
        <v>169</v>
      </c>
      <c r="F94" s="6">
        <v>44071</v>
      </c>
      <c r="H94" t="s">
        <v>180</v>
      </c>
      <c r="I94" t="s">
        <v>120</v>
      </c>
    </row>
    <row r="95" spans="1:9" x14ac:dyDescent="0.25">
      <c r="A95" s="8" t="str">
        <f t="shared" si="3"/>
        <v>2001802.000</v>
      </c>
      <c r="B95" s="9" t="str">
        <f t="shared" si="4"/>
        <v/>
      </c>
      <c r="C95" s="10">
        <f t="shared" si="5"/>
        <v>43969</v>
      </c>
      <c r="D95">
        <v>2001802</v>
      </c>
      <c r="E95">
        <v>0</v>
      </c>
      <c r="F95" s="6">
        <v>43973</v>
      </c>
      <c r="H95" t="s">
        <v>192</v>
      </c>
      <c r="I95" t="s">
        <v>120</v>
      </c>
    </row>
    <row r="96" spans="1:9" x14ac:dyDescent="0.25">
      <c r="A96" s="8" t="str">
        <f t="shared" si="3"/>
        <v>2001802.0P0</v>
      </c>
      <c r="B96" s="9" t="str">
        <f t="shared" si="4"/>
        <v/>
      </c>
      <c r="C96" s="10">
        <f t="shared" si="5"/>
        <v>43969</v>
      </c>
      <c r="D96">
        <v>2001802</v>
      </c>
      <c r="E96" t="s">
        <v>119</v>
      </c>
      <c r="F96" s="6">
        <v>43973</v>
      </c>
      <c r="H96" t="s">
        <v>192</v>
      </c>
      <c r="I96" t="s">
        <v>120</v>
      </c>
    </row>
    <row r="97" spans="1:9" x14ac:dyDescent="0.25">
      <c r="A97" s="8" t="str">
        <f t="shared" si="3"/>
        <v>2001864.NQ0</v>
      </c>
      <c r="B97" s="9" t="str">
        <f t="shared" si="4"/>
        <v>4</v>
      </c>
      <c r="C97" s="10">
        <f t="shared" si="5"/>
        <v>44070</v>
      </c>
      <c r="D97">
        <v>2001864</v>
      </c>
      <c r="E97" t="s">
        <v>165</v>
      </c>
      <c r="F97" s="6">
        <v>44071</v>
      </c>
      <c r="G97">
        <v>43</v>
      </c>
      <c r="H97" t="s">
        <v>189</v>
      </c>
      <c r="I97" t="s">
        <v>120</v>
      </c>
    </row>
    <row r="98" spans="1:9" x14ac:dyDescent="0.25">
      <c r="A98" s="8" t="str">
        <f t="shared" si="3"/>
        <v>2001871.NJ0</v>
      </c>
      <c r="B98" s="9" t="str">
        <f t="shared" si="4"/>
        <v/>
      </c>
      <c r="C98" s="10">
        <f t="shared" si="5"/>
        <v>44032</v>
      </c>
      <c r="D98">
        <v>2001871</v>
      </c>
      <c r="E98" t="s">
        <v>268</v>
      </c>
      <c r="F98" s="6">
        <v>44036</v>
      </c>
      <c r="H98" t="s">
        <v>180</v>
      </c>
      <c r="I98" t="s">
        <v>120</v>
      </c>
    </row>
    <row r="99" spans="1:9" x14ac:dyDescent="0.25">
      <c r="A99" s="8" t="str">
        <f t="shared" si="3"/>
        <v>2001907.NQ0</v>
      </c>
      <c r="B99" s="9" t="str">
        <f t="shared" si="4"/>
        <v/>
      </c>
      <c r="C99" s="10">
        <f t="shared" si="5"/>
        <v>44074</v>
      </c>
      <c r="D99">
        <v>2001907</v>
      </c>
      <c r="E99" t="s">
        <v>165</v>
      </c>
      <c r="F99" s="6">
        <v>44078</v>
      </c>
      <c r="H99" t="s">
        <v>189</v>
      </c>
      <c r="I99" t="s">
        <v>120</v>
      </c>
    </row>
    <row r="100" spans="1:9" x14ac:dyDescent="0.25">
      <c r="A100" s="8" t="str">
        <f t="shared" si="3"/>
        <v>2001918.WS0</v>
      </c>
      <c r="B100" s="9" t="str">
        <f t="shared" si="4"/>
        <v>J</v>
      </c>
      <c r="C100" s="10">
        <f t="shared" si="5"/>
        <v>44035</v>
      </c>
      <c r="D100">
        <v>2001918</v>
      </c>
      <c r="E100" t="s">
        <v>271</v>
      </c>
      <c r="F100" s="6">
        <v>44043</v>
      </c>
      <c r="G100" t="s">
        <v>295</v>
      </c>
      <c r="H100" t="s">
        <v>180</v>
      </c>
      <c r="I100" t="s">
        <v>120</v>
      </c>
    </row>
    <row r="101" spans="1:9" x14ac:dyDescent="0.25">
      <c r="A101" s="8" t="str">
        <f t="shared" si="3"/>
        <v>2002011.NV0</v>
      </c>
      <c r="B101" s="9" t="str">
        <f t="shared" si="4"/>
        <v/>
      </c>
      <c r="C101" s="10">
        <f t="shared" si="5"/>
        <v>43983</v>
      </c>
      <c r="D101">
        <v>2002011</v>
      </c>
      <c r="E101" t="s">
        <v>126</v>
      </c>
      <c r="F101" s="6">
        <v>43987</v>
      </c>
      <c r="H101" t="s">
        <v>188</v>
      </c>
      <c r="I101" t="s">
        <v>120</v>
      </c>
    </row>
    <row r="102" spans="1:9" x14ac:dyDescent="0.25">
      <c r="A102" s="8" t="str">
        <f t="shared" si="3"/>
        <v>2002013.YJ1</v>
      </c>
      <c r="B102" s="9" t="str">
        <f t="shared" si="4"/>
        <v/>
      </c>
      <c r="C102" s="10">
        <f t="shared" si="5"/>
        <v>44011</v>
      </c>
      <c r="D102">
        <v>2002013</v>
      </c>
      <c r="E102" t="s">
        <v>267</v>
      </c>
      <c r="F102" s="6">
        <v>44015</v>
      </c>
      <c r="H102" t="s">
        <v>180</v>
      </c>
      <c r="I102" t="s">
        <v>120</v>
      </c>
    </row>
    <row r="103" spans="1:9" x14ac:dyDescent="0.25">
      <c r="A103" s="8" t="str">
        <f t="shared" si="3"/>
        <v>2002025.XJ0</v>
      </c>
      <c r="B103" s="9" t="str">
        <f t="shared" si="4"/>
        <v/>
      </c>
      <c r="C103" s="10">
        <f t="shared" si="5"/>
        <v>44039</v>
      </c>
      <c r="D103">
        <v>2002025</v>
      </c>
      <c r="E103" t="s">
        <v>292</v>
      </c>
      <c r="F103" s="6">
        <v>44043</v>
      </c>
      <c r="H103" t="s">
        <v>180</v>
      </c>
      <c r="I103" t="s">
        <v>120</v>
      </c>
    </row>
    <row r="104" spans="1:9" x14ac:dyDescent="0.25">
      <c r="A104" s="8" t="str">
        <f t="shared" si="3"/>
        <v>2002137.RELI</v>
      </c>
      <c r="B104" s="9" t="str">
        <f t="shared" si="4"/>
        <v>2</v>
      </c>
      <c r="C104" s="10">
        <f t="shared" si="5"/>
        <v>44040</v>
      </c>
      <c r="D104">
        <v>2002137</v>
      </c>
      <c r="E104" t="s">
        <v>230</v>
      </c>
      <c r="F104" s="6">
        <v>44043</v>
      </c>
      <c r="G104">
        <v>25</v>
      </c>
      <c r="H104" t="s">
        <v>180</v>
      </c>
      <c r="I104" t="s">
        <v>120</v>
      </c>
    </row>
    <row r="105" spans="1:9" x14ac:dyDescent="0.25">
      <c r="A105" s="8" t="str">
        <f t="shared" si="3"/>
        <v>2002139.ZP1</v>
      </c>
      <c r="B105" s="9" t="str">
        <f t="shared" si="4"/>
        <v>3</v>
      </c>
      <c r="C105" s="10">
        <f t="shared" si="5"/>
        <v>44041</v>
      </c>
      <c r="D105">
        <v>2002139</v>
      </c>
      <c r="E105" t="s">
        <v>141</v>
      </c>
      <c r="F105" s="6">
        <v>44043</v>
      </c>
      <c r="G105">
        <v>33</v>
      </c>
      <c r="H105" t="s">
        <v>180</v>
      </c>
      <c r="I105" t="s">
        <v>120</v>
      </c>
    </row>
    <row r="106" spans="1:9" x14ac:dyDescent="0.25">
      <c r="A106" s="8" t="str">
        <f t="shared" si="3"/>
        <v>2002144.ZP2</v>
      </c>
      <c r="B106" s="9" t="str">
        <f t="shared" si="4"/>
        <v>2</v>
      </c>
      <c r="C106" s="10">
        <f t="shared" si="5"/>
        <v>43977</v>
      </c>
      <c r="D106">
        <v>2002144</v>
      </c>
      <c r="E106" t="s">
        <v>151</v>
      </c>
      <c r="F106" s="6">
        <v>43980</v>
      </c>
      <c r="G106">
        <v>24</v>
      </c>
      <c r="H106" t="s">
        <v>180</v>
      </c>
      <c r="I106" t="s">
        <v>120</v>
      </c>
    </row>
    <row r="107" spans="1:9" x14ac:dyDescent="0.25">
      <c r="A107" s="8" t="str">
        <f t="shared" si="3"/>
        <v>2002154.NQ0</v>
      </c>
      <c r="B107" s="9" t="str">
        <f t="shared" si="4"/>
        <v/>
      </c>
      <c r="C107" s="10">
        <f t="shared" si="5"/>
        <v>44067</v>
      </c>
      <c r="D107">
        <v>2002154</v>
      </c>
      <c r="E107" t="s">
        <v>165</v>
      </c>
      <c r="F107" s="6">
        <v>44071</v>
      </c>
      <c r="H107" t="s">
        <v>188</v>
      </c>
      <c r="I107" t="s">
        <v>120</v>
      </c>
    </row>
    <row r="108" spans="1:9" x14ac:dyDescent="0.25">
      <c r="A108" s="8" t="str">
        <f t="shared" si="3"/>
        <v>2002182.YS0</v>
      </c>
      <c r="B108" s="9" t="str">
        <f t="shared" si="4"/>
        <v/>
      </c>
      <c r="C108" s="10">
        <f t="shared" si="5"/>
        <v>44074</v>
      </c>
      <c r="D108">
        <v>2002182</v>
      </c>
      <c r="E108" t="s">
        <v>275</v>
      </c>
      <c r="F108" s="6">
        <v>44078</v>
      </c>
      <c r="H108" t="s">
        <v>180</v>
      </c>
      <c r="I108" t="s">
        <v>120</v>
      </c>
    </row>
    <row r="109" spans="1:9" x14ac:dyDescent="0.25">
      <c r="A109" s="8" t="str">
        <f t="shared" si="3"/>
        <v>2002276.NS0</v>
      </c>
      <c r="B109" s="9" t="str">
        <f t="shared" si="4"/>
        <v>1</v>
      </c>
      <c r="C109" s="10">
        <f t="shared" si="5"/>
        <v>44067</v>
      </c>
      <c r="D109">
        <v>2002276</v>
      </c>
      <c r="E109" t="s">
        <v>169</v>
      </c>
      <c r="F109" s="6">
        <v>44071</v>
      </c>
      <c r="G109">
        <v>13</v>
      </c>
      <c r="H109" t="s">
        <v>180</v>
      </c>
      <c r="I109" t="s">
        <v>120</v>
      </c>
    </row>
    <row r="110" spans="1:9" x14ac:dyDescent="0.25">
      <c r="A110" s="8" t="str">
        <f t="shared" si="3"/>
        <v>2002323.N00</v>
      </c>
      <c r="B110" s="9" t="str">
        <f t="shared" si="4"/>
        <v>1</v>
      </c>
      <c r="C110" s="10">
        <f t="shared" si="5"/>
        <v>44067</v>
      </c>
      <c r="D110">
        <v>2002323</v>
      </c>
      <c r="E110" t="s">
        <v>125</v>
      </c>
      <c r="F110" s="6">
        <v>44071</v>
      </c>
      <c r="G110">
        <v>13</v>
      </c>
      <c r="H110" t="s">
        <v>194</v>
      </c>
      <c r="I110" t="s">
        <v>120</v>
      </c>
    </row>
    <row r="111" spans="1:9" x14ac:dyDescent="0.25">
      <c r="A111" s="8" t="str">
        <f t="shared" si="3"/>
        <v>2002323.NQ0</v>
      </c>
      <c r="B111" s="9" t="str">
        <f t="shared" si="4"/>
        <v>1</v>
      </c>
      <c r="C111" s="10">
        <f t="shared" si="5"/>
        <v>44074</v>
      </c>
      <c r="D111">
        <v>2002323</v>
      </c>
      <c r="E111" t="s">
        <v>165</v>
      </c>
      <c r="F111" s="6">
        <v>44078</v>
      </c>
      <c r="G111">
        <v>13</v>
      </c>
      <c r="H111" t="s">
        <v>189</v>
      </c>
      <c r="I111" t="s">
        <v>120</v>
      </c>
    </row>
    <row r="112" spans="1:9" x14ac:dyDescent="0.25">
      <c r="A112" s="8" t="str">
        <f t="shared" si="3"/>
        <v>2002324.H01</v>
      </c>
      <c r="B112" s="9" t="str">
        <f t="shared" si="4"/>
        <v>2</v>
      </c>
      <c r="C112" s="10">
        <f t="shared" si="5"/>
        <v>44068</v>
      </c>
      <c r="D112">
        <v>2002324</v>
      </c>
      <c r="E112" t="s">
        <v>145</v>
      </c>
      <c r="F112" s="6">
        <v>44071</v>
      </c>
      <c r="G112">
        <v>22</v>
      </c>
      <c r="H112" t="s">
        <v>180</v>
      </c>
      <c r="I112" t="s">
        <v>120</v>
      </c>
    </row>
    <row r="113" spans="1:9" x14ac:dyDescent="0.25">
      <c r="A113" s="8" t="str">
        <f t="shared" si="3"/>
        <v>2002334.RELI</v>
      </c>
      <c r="B113" s="9" t="str">
        <f t="shared" si="4"/>
        <v/>
      </c>
      <c r="C113" s="10" t="str">
        <f t="shared" si="5"/>
        <v/>
      </c>
      <c r="D113">
        <v>2002334</v>
      </c>
      <c r="E113" t="s">
        <v>230</v>
      </c>
      <c r="F113" s="6"/>
      <c r="H113" t="s">
        <v>180</v>
      </c>
      <c r="I113" t="s">
        <v>120</v>
      </c>
    </row>
    <row r="114" spans="1:9" x14ac:dyDescent="0.25">
      <c r="A114" s="8" t="str">
        <f t="shared" si="3"/>
        <v>2002464.N00</v>
      </c>
      <c r="B114" s="9" t="str">
        <f t="shared" si="4"/>
        <v/>
      </c>
      <c r="C114" s="10">
        <f t="shared" si="5"/>
        <v>43899</v>
      </c>
      <c r="D114">
        <v>2002464</v>
      </c>
      <c r="E114" t="s">
        <v>125</v>
      </c>
      <c r="F114" s="6">
        <v>43903</v>
      </c>
      <c r="H114" t="s">
        <v>194</v>
      </c>
      <c r="I114" t="s">
        <v>120</v>
      </c>
    </row>
    <row r="115" spans="1:9" x14ac:dyDescent="0.25">
      <c r="A115" s="8" t="str">
        <f t="shared" si="3"/>
        <v>2002465.N00</v>
      </c>
      <c r="B115" s="9" t="str">
        <f t="shared" si="4"/>
        <v/>
      </c>
      <c r="C115" s="10">
        <f t="shared" si="5"/>
        <v>43955</v>
      </c>
      <c r="D115">
        <v>2002465</v>
      </c>
      <c r="E115" t="s">
        <v>125</v>
      </c>
      <c r="F115" s="6">
        <v>43959</v>
      </c>
      <c r="H115" t="s">
        <v>194</v>
      </c>
      <c r="I115" t="s">
        <v>120</v>
      </c>
    </row>
    <row r="116" spans="1:9" x14ac:dyDescent="0.25">
      <c r="A116" s="8" t="str">
        <f t="shared" si="3"/>
        <v>2002512.NS1</v>
      </c>
      <c r="B116" s="9" t="str">
        <f t="shared" si="4"/>
        <v/>
      </c>
      <c r="C116" s="10">
        <f t="shared" si="5"/>
        <v>44074</v>
      </c>
      <c r="D116">
        <v>2002512</v>
      </c>
      <c r="E116" t="s">
        <v>171</v>
      </c>
      <c r="F116" s="6">
        <v>44078</v>
      </c>
      <c r="H116" t="s">
        <v>180</v>
      </c>
      <c r="I116" t="s">
        <v>120</v>
      </c>
    </row>
    <row r="117" spans="1:9" x14ac:dyDescent="0.25">
      <c r="A117" s="8" t="str">
        <f t="shared" si="3"/>
        <v>2002570.NS0</v>
      </c>
      <c r="B117" s="9" t="str">
        <f t="shared" si="4"/>
        <v>2</v>
      </c>
      <c r="C117" s="10">
        <f t="shared" si="5"/>
        <v>43984</v>
      </c>
      <c r="D117">
        <v>2002570</v>
      </c>
      <c r="E117" t="s">
        <v>169</v>
      </c>
      <c r="F117" s="6">
        <v>43987</v>
      </c>
      <c r="G117">
        <v>20</v>
      </c>
      <c r="H117" t="s">
        <v>180</v>
      </c>
      <c r="I117" t="s">
        <v>120</v>
      </c>
    </row>
    <row r="118" spans="1:9" x14ac:dyDescent="0.25">
      <c r="A118" s="8" t="str">
        <f t="shared" si="3"/>
        <v>2002579.N0L</v>
      </c>
      <c r="B118" s="9" t="str">
        <f t="shared" si="4"/>
        <v/>
      </c>
      <c r="C118" s="10">
        <f t="shared" si="5"/>
        <v>44074</v>
      </c>
      <c r="D118">
        <v>2002579</v>
      </c>
      <c r="E118" t="s">
        <v>133</v>
      </c>
      <c r="F118" s="6">
        <v>44078</v>
      </c>
      <c r="H118" t="s">
        <v>194</v>
      </c>
      <c r="I118" t="s">
        <v>120</v>
      </c>
    </row>
    <row r="119" spans="1:9" x14ac:dyDescent="0.25">
      <c r="A119" s="8" t="str">
        <f t="shared" si="3"/>
        <v>2002579.NS0</v>
      </c>
      <c r="B119" s="9" t="str">
        <f t="shared" si="4"/>
        <v/>
      </c>
      <c r="C119" s="10">
        <f t="shared" si="5"/>
        <v>44074</v>
      </c>
      <c r="D119">
        <v>2002579</v>
      </c>
      <c r="E119" t="s">
        <v>169</v>
      </c>
      <c r="F119" s="6">
        <v>44078</v>
      </c>
      <c r="H119" t="s">
        <v>180</v>
      </c>
      <c r="I119" t="s">
        <v>120</v>
      </c>
    </row>
    <row r="120" spans="1:9" x14ac:dyDescent="0.25">
      <c r="A120" s="8" t="str">
        <f t="shared" si="3"/>
        <v>2002594.NS0</v>
      </c>
      <c r="B120" s="9" t="str">
        <f t="shared" si="4"/>
        <v/>
      </c>
      <c r="C120" s="10">
        <f t="shared" si="5"/>
        <v>44067</v>
      </c>
      <c r="D120">
        <v>2002594</v>
      </c>
      <c r="E120" t="s">
        <v>169</v>
      </c>
      <c r="F120" s="6">
        <v>44071</v>
      </c>
      <c r="H120" t="s">
        <v>180</v>
      </c>
      <c r="I120" t="s">
        <v>120</v>
      </c>
    </row>
    <row r="121" spans="1:9" x14ac:dyDescent="0.25">
      <c r="A121" s="8" t="str">
        <f t="shared" si="3"/>
        <v>2002614.000</v>
      </c>
      <c r="B121" s="9" t="str">
        <f t="shared" si="4"/>
        <v/>
      </c>
      <c r="C121" s="10">
        <f t="shared" si="5"/>
        <v>44081</v>
      </c>
      <c r="D121">
        <v>2002614</v>
      </c>
      <c r="E121">
        <v>0</v>
      </c>
      <c r="F121" s="6">
        <v>44085</v>
      </c>
      <c r="H121" t="s">
        <v>189</v>
      </c>
      <c r="I121" t="s">
        <v>120</v>
      </c>
    </row>
    <row r="122" spans="1:9" x14ac:dyDescent="0.25">
      <c r="A122" s="8" t="str">
        <f t="shared" si="3"/>
        <v>2002615.000</v>
      </c>
      <c r="B122" s="9" t="str">
        <f t="shared" si="4"/>
        <v/>
      </c>
      <c r="C122" s="10">
        <f t="shared" si="5"/>
        <v>44074</v>
      </c>
      <c r="D122">
        <v>2002615</v>
      </c>
      <c r="E122">
        <v>0</v>
      </c>
      <c r="F122" s="6">
        <v>44078</v>
      </c>
      <c r="H122" t="s">
        <v>189</v>
      </c>
      <c r="I122" t="s">
        <v>120</v>
      </c>
    </row>
    <row r="123" spans="1:9" x14ac:dyDescent="0.25">
      <c r="A123" s="8" t="str">
        <f t="shared" si="3"/>
        <v>2002674.000</v>
      </c>
      <c r="B123" s="9" t="str">
        <f t="shared" si="4"/>
        <v/>
      </c>
      <c r="C123" s="10">
        <f t="shared" si="5"/>
        <v>44011</v>
      </c>
      <c r="D123">
        <v>2002674</v>
      </c>
      <c r="E123">
        <v>0</v>
      </c>
      <c r="F123" s="6">
        <v>44015</v>
      </c>
      <c r="H123" t="s">
        <v>191</v>
      </c>
      <c r="I123" t="s">
        <v>120</v>
      </c>
    </row>
    <row r="124" spans="1:9" x14ac:dyDescent="0.25">
      <c r="A124" s="8" t="str">
        <f t="shared" si="3"/>
        <v>2002679.UP0</v>
      </c>
      <c r="B124" s="9" t="str">
        <f t="shared" si="4"/>
        <v>2</v>
      </c>
      <c r="C124" s="10">
        <f t="shared" si="5"/>
        <v>43970</v>
      </c>
      <c r="D124">
        <v>2002679</v>
      </c>
      <c r="E124" t="s">
        <v>136</v>
      </c>
      <c r="F124" s="6">
        <v>43973</v>
      </c>
      <c r="G124">
        <v>20</v>
      </c>
      <c r="H124" t="s">
        <v>180</v>
      </c>
      <c r="I124" t="s">
        <v>120</v>
      </c>
    </row>
    <row r="125" spans="1:9" x14ac:dyDescent="0.25">
      <c r="A125" s="8" t="str">
        <f t="shared" si="3"/>
        <v>2002769.U02</v>
      </c>
      <c r="B125" s="9" t="str">
        <f t="shared" si="4"/>
        <v>V</v>
      </c>
      <c r="C125" s="10">
        <f t="shared" si="5"/>
        <v>44064</v>
      </c>
      <c r="D125">
        <v>2002769</v>
      </c>
      <c r="E125" t="s">
        <v>149</v>
      </c>
      <c r="F125" s="6">
        <v>44071</v>
      </c>
      <c r="G125" t="s">
        <v>228</v>
      </c>
      <c r="H125" t="s">
        <v>180</v>
      </c>
      <c r="I125" t="s">
        <v>120</v>
      </c>
    </row>
    <row r="126" spans="1:9" x14ac:dyDescent="0.25">
      <c r="A126" s="8" t="str">
        <f t="shared" si="3"/>
        <v>2002773.NS0</v>
      </c>
      <c r="B126" s="9" t="str">
        <f t="shared" si="4"/>
        <v/>
      </c>
      <c r="C126" s="10">
        <f t="shared" si="5"/>
        <v>44074</v>
      </c>
      <c r="D126">
        <v>2002773</v>
      </c>
      <c r="E126" t="s">
        <v>169</v>
      </c>
      <c r="F126" s="6">
        <v>44078</v>
      </c>
      <c r="H126" t="s">
        <v>180</v>
      </c>
      <c r="I126" t="s">
        <v>120</v>
      </c>
    </row>
    <row r="127" spans="1:9" x14ac:dyDescent="0.25">
      <c r="A127" s="8" t="str">
        <f t="shared" si="3"/>
        <v>2002794.YS1</v>
      </c>
      <c r="B127" s="9" t="str">
        <f t="shared" si="4"/>
        <v/>
      </c>
      <c r="C127" s="10">
        <f t="shared" si="5"/>
        <v>44074</v>
      </c>
      <c r="D127">
        <v>2002794</v>
      </c>
      <c r="E127" t="s">
        <v>273</v>
      </c>
      <c r="F127" s="6">
        <v>44078</v>
      </c>
      <c r="H127" t="s">
        <v>180</v>
      </c>
      <c r="I127" t="s">
        <v>120</v>
      </c>
    </row>
    <row r="128" spans="1:9" x14ac:dyDescent="0.25">
      <c r="A128" s="8" t="str">
        <f t="shared" si="3"/>
        <v>2002833.Y03</v>
      </c>
      <c r="B128" s="9" t="str">
        <f t="shared" si="4"/>
        <v/>
      </c>
      <c r="C128" s="10">
        <f t="shared" si="5"/>
        <v>43976</v>
      </c>
      <c r="D128">
        <v>2002833</v>
      </c>
      <c r="E128" t="s">
        <v>223</v>
      </c>
      <c r="F128" s="6">
        <v>43980</v>
      </c>
      <c r="H128" t="s">
        <v>191</v>
      </c>
      <c r="I128" t="s">
        <v>120</v>
      </c>
    </row>
    <row r="129" spans="1:9" x14ac:dyDescent="0.25">
      <c r="A129" s="8" t="str">
        <f t="shared" si="3"/>
        <v>2002847.PFI</v>
      </c>
      <c r="B129" s="9" t="str">
        <f t="shared" si="4"/>
        <v>4</v>
      </c>
      <c r="C129" s="10" t="str">
        <f t="shared" si="5"/>
        <v/>
      </c>
      <c r="D129">
        <v>2002847</v>
      </c>
      <c r="E129" t="s">
        <v>172</v>
      </c>
      <c r="F129" s="6"/>
      <c r="G129">
        <v>4</v>
      </c>
      <c r="H129" t="s">
        <v>190</v>
      </c>
      <c r="I129" t="s">
        <v>120</v>
      </c>
    </row>
    <row r="130" spans="1:9" x14ac:dyDescent="0.25">
      <c r="A130" s="8" t="str">
        <f t="shared" ref="A130:A193" si="6">IF(D130="","",IF(E130=0,CONCATENATE(D130,".",E130,"00"),CONCATENATE(D130,".",E130)))</f>
        <v>2002864.000</v>
      </c>
      <c r="B130" s="9" t="str">
        <f t="shared" ref="B130:B193" si="7">LEFT(G130,1)</f>
        <v/>
      </c>
      <c r="C130" s="10">
        <f t="shared" ref="C130:C193" si="8">IF(F130="","",IF(B130="",F130-4,IF(B130="1",F130-4,IF(B130="2",F130-3,IF(B130="3",F130-2,IF(B130="4",F130-1,IF(B130="V",F130-7,IF(B130="J",F130-8,F130))))))))</f>
        <v>43955</v>
      </c>
      <c r="D130">
        <v>2002864</v>
      </c>
      <c r="E130">
        <v>0</v>
      </c>
      <c r="F130" s="6">
        <v>43959</v>
      </c>
      <c r="H130" t="s">
        <v>224</v>
      </c>
      <c r="I130" t="s">
        <v>120</v>
      </c>
    </row>
    <row r="131" spans="1:9" x14ac:dyDescent="0.25">
      <c r="A131" s="8" t="str">
        <f t="shared" si="6"/>
        <v>2002911.NJ0</v>
      </c>
      <c r="B131" s="9" t="str">
        <f t="shared" si="7"/>
        <v/>
      </c>
      <c r="C131" s="10">
        <f t="shared" si="8"/>
        <v>44074</v>
      </c>
      <c r="D131">
        <v>2002911</v>
      </c>
      <c r="E131" t="s">
        <v>268</v>
      </c>
      <c r="F131" s="6">
        <v>44078</v>
      </c>
      <c r="H131" t="s">
        <v>180</v>
      </c>
      <c r="I131" t="s">
        <v>120</v>
      </c>
    </row>
    <row r="132" spans="1:9" x14ac:dyDescent="0.25">
      <c r="A132" s="8" t="str">
        <f t="shared" si="6"/>
        <v>2002936.NQ0</v>
      </c>
      <c r="B132" s="9" t="str">
        <f t="shared" si="7"/>
        <v/>
      </c>
      <c r="C132" s="10">
        <f t="shared" si="8"/>
        <v>44074</v>
      </c>
      <c r="D132">
        <v>2002936</v>
      </c>
      <c r="E132" t="s">
        <v>165</v>
      </c>
      <c r="F132" s="6">
        <v>44078</v>
      </c>
      <c r="H132" t="s">
        <v>188</v>
      </c>
      <c r="I132" t="s">
        <v>120</v>
      </c>
    </row>
    <row r="133" spans="1:9" x14ac:dyDescent="0.25">
      <c r="A133" s="8" t="str">
        <f t="shared" si="6"/>
        <v>2002969.NJ2</v>
      </c>
      <c r="B133" s="9" t="str">
        <f t="shared" si="7"/>
        <v/>
      </c>
      <c r="C133" s="10">
        <f t="shared" si="8"/>
        <v>44004</v>
      </c>
      <c r="D133">
        <v>2002969</v>
      </c>
      <c r="E133" t="s">
        <v>253</v>
      </c>
      <c r="F133" s="6">
        <v>44008</v>
      </c>
      <c r="H133" t="s">
        <v>180</v>
      </c>
      <c r="I133" t="s">
        <v>120</v>
      </c>
    </row>
    <row r="134" spans="1:9" x14ac:dyDescent="0.25">
      <c r="A134" s="8" t="str">
        <f t="shared" si="6"/>
        <v>2002994.NI0</v>
      </c>
      <c r="B134" s="9" t="str">
        <f t="shared" si="7"/>
        <v/>
      </c>
      <c r="C134" s="10">
        <f t="shared" si="8"/>
        <v>44067</v>
      </c>
      <c r="D134">
        <v>2002994</v>
      </c>
      <c r="E134" t="s">
        <v>185</v>
      </c>
      <c r="F134" s="6">
        <v>44071</v>
      </c>
      <c r="H134" t="s">
        <v>188</v>
      </c>
      <c r="I134" t="s">
        <v>120</v>
      </c>
    </row>
    <row r="135" spans="1:9" x14ac:dyDescent="0.25">
      <c r="A135" s="8" t="str">
        <f t="shared" si="6"/>
        <v>2003109.NJ2</v>
      </c>
      <c r="B135" s="9" t="str">
        <f t="shared" si="7"/>
        <v/>
      </c>
      <c r="C135" s="10">
        <f t="shared" si="8"/>
        <v>44025</v>
      </c>
      <c r="D135">
        <v>2003109</v>
      </c>
      <c r="E135" t="s">
        <v>253</v>
      </c>
      <c r="F135" s="6">
        <v>44029</v>
      </c>
      <c r="H135" t="s">
        <v>180</v>
      </c>
      <c r="I135" t="s">
        <v>120</v>
      </c>
    </row>
    <row r="136" spans="1:9" x14ac:dyDescent="0.25">
      <c r="A136" s="8" t="str">
        <f t="shared" si="6"/>
        <v>2003123.NS0</v>
      </c>
      <c r="B136" s="9" t="str">
        <f t="shared" si="7"/>
        <v/>
      </c>
      <c r="C136" s="10">
        <f t="shared" si="8"/>
        <v>44074</v>
      </c>
      <c r="D136">
        <v>2003123</v>
      </c>
      <c r="E136" t="s">
        <v>169</v>
      </c>
      <c r="F136" s="6">
        <v>44078</v>
      </c>
      <c r="H136" t="s">
        <v>180</v>
      </c>
      <c r="I136" t="s">
        <v>120</v>
      </c>
    </row>
    <row r="137" spans="1:9" x14ac:dyDescent="0.25">
      <c r="A137" s="8" t="str">
        <f t="shared" si="6"/>
        <v>2003153.H01</v>
      </c>
      <c r="B137" s="9" t="str">
        <f t="shared" si="7"/>
        <v/>
      </c>
      <c r="C137" s="10">
        <f t="shared" si="8"/>
        <v>44095</v>
      </c>
      <c r="D137">
        <v>2003153</v>
      </c>
      <c r="E137" t="s">
        <v>145</v>
      </c>
      <c r="F137" s="6">
        <v>44099</v>
      </c>
      <c r="H137" t="s">
        <v>189</v>
      </c>
      <c r="I137" t="s">
        <v>120</v>
      </c>
    </row>
    <row r="138" spans="1:9" x14ac:dyDescent="0.25">
      <c r="A138" s="8" t="str">
        <f t="shared" si="6"/>
        <v>2003173.YS2</v>
      </c>
      <c r="B138" s="9" t="str">
        <f t="shared" si="7"/>
        <v>4</v>
      </c>
      <c r="C138" s="10">
        <f t="shared" si="8"/>
        <v>44070</v>
      </c>
      <c r="D138">
        <v>2003173</v>
      </c>
      <c r="E138" t="s">
        <v>293</v>
      </c>
      <c r="F138" s="6">
        <v>44071</v>
      </c>
      <c r="G138">
        <v>43</v>
      </c>
      <c r="H138" t="s">
        <v>180</v>
      </c>
      <c r="I138" t="s">
        <v>120</v>
      </c>
    </row>
    <row r="139" spans="1:9" x14ac:dyDescent="0.25">
      <c r="A139" s="8" t="str">
        <f t="shared" si="6"/>
        <v>2003213.NI0</v>
      </c>
      <c r="B139" s="9" t="str">
        <f t="shared" si="7"/>
        <v/>
      </c>
      <c r="C139" s="10">
        <f t="shared" si="8"/>
        <v>44067</v>
      </c>
      <c r="D139">
        <v>2003213</v>
      </c>
      <c r="E139" t="s">
        <v>185</v>
      </c>
      <c r="F139" s="6">
        <v>44071</v>
      </c>
      <c r="H139" t="s">
        <v>188</v>
      </c>
      <c r="I139" t="s">
        <v>120</v>
      </c>
    </row>
    <row r="140" spans="1:9" x14ac:dyDescent="0.25">
      <c r="A140" s="8" t="str">
        <f t="shared" si="6"/>
        <v>2003237.NS0</v>
      </c>
      <c r="B140" s="9" t="str">
        <f t="shared" si="7"/>
        <v>4</v>
      </c>
      <c r="C140" s="10">
        <f t="shared" si="8"/>
        <v>44070</v>
      </c>
      <c r="D140">
        <v>2003237</v>
      </c>
      <c r="E140" t="s">
        <v>169</v>
      </c>
      <c r="F140" s="6">
        <v>44071</v>
      </c>
      <c r="G140">
        <v>41</v>
      </c>
      <c r="H140" t="s">
        <v>180</v>
      </c>
      <c r="I140" t="s">
        <v>120</v>
      </c>
    </row>
    <row r="141" spans="1:9" x14ac:dyDescent="0.25">
      <c r="A141" s="8" t="str">
        <f t="shared" si="6"/>
        <v>2003251.NS0</v>
      </c>
      <c r="B141" s="9" t="str">
        <f t="shared" si="7"/>
        <v/>
      </c>
      <c r="C141" s="10">
        <f t="shared" si="8"/>
        <v>44032</v>
      </c>
      <c r="D141">
        <v>2003251</v>
      </c>
      <c r="E141" t="s">
        <v>169</v>
      </c>
      <c r="F141" s="6">
        <v>44036</v>
      </c>
      <c r="H141" t="s">
        <v>180</v>
      </c>
      <c r="I141" t="s">
        <v>120</v>
      </c>
    </row>
    <row r="142" spans="1:9" x14ac:dyDescent="0.25">
      <c r="A142" s="8" t="str">
        <f t="shared" si="6"/>
        <v>2003264.H00</v>
      </c>
      <c r="B142" s="9" t="str">
        <f t="shared" si="7"/>
        <v>V</v>
      </c>
      <c r="C142" s="10">
        <f t="shared" si="8"/>
        <v>44022</v>
      </c>
      <c r="D142">
        <v>2003264</v>
      </c>
      <c r="E142" t="s">
        <v>122</v>
      </c>
      <c r="F142" s="6">
        <v>44029</v>
      </c>
      <c r="G142" t="s">
        <v>142</v>
      </c>
      <c r="H142" t="s">
        <v>180</v>
      </c>
      <c r="I142" t="s">
        <v>120</v>
      </c>
    </row>
    <row r="143" spans="1:9" x14ac:dyDescent="0.25">
      <c r="A143" s="8" t="str">
        <f t="shared" si="6"/>
        <v>2003292.NV0</v>
      </c>
      <c r="B143" s="9" t="str">
        <f t="shared" si="7"/>
        <v/>
      </c>
      <c r="C143" s="10">
        <f t="shared" si="8"/>
        <v>44074</v>
      </c>
      <c r="D143">
        <v>2003292</v>
      </c>
      <c r="E143" t="s">
        <v>126</v>
      </c>
      <c r="F143" s="6">
        <v>44078</v>
      </c>
      <c r="H143" t="s">
        <v>180</v>
      </c>
      <c r="I143" t="s">
        <v>120</v>
      </c>
    </row>
    <row r="144" spans="1:9" x14ac:dyDescent="0.25">
      <c r="A144" s="8" t="str">
        <f t="shared" si="6"/>
        <v>2003299.NF0</v>
      </c>
      <c r="B144" s="9" t="str">
        <f t="shared" si="7"/>
        <v/>
      </c>
      <c r="C144" s="10">
        <f t="shared" si="8"/>
        <v>43983</v>
      </c>
      <c r="D144">
        <v>2003299</v>
      </c>
      <c r="E144" t="s">
        <v>137</v>
      </c>
      <c r="F144" s="6">
        <v>43987</v>
      </c>
      <c r="H144" t="s">
        <v>188</v>
      </c>
      <c r="I144" t="s">
        <v>120</v>
      </c>
    </row>
    <row r="145" spans="1:9" x14ac:dyDescent="0.25">
      <c r="A145" s="8" t="str">
        <f t="shared" si="6"/>
        <v>2003343.U00</v>
      </c>
      <c r="B145" s="9" t="str">
        <f t="shared" si="7"/>
        <v>2</v>
      </c>
      <c r="C145" s="10">
        <f t="shared" si="8"/>
        <v>44005</v>
      </c>
      <c r="D145">
        <v>2003343</v>
      </c>
      <c r="E145" t="s">
        <v>131</v>
      </c>
      <c r="F145" s="6">
        <v>44008</v>
      </c>
      <c r="G145">
        <v>20</v>
      </c>
      <c r="H145" t="s">
        <v>180</v>
      </c>
      <c r="I145" t="s">
        <v>120</v>
      </c>
    </row>
    <row r="146" spans="1:9" x14ac:dyDescent="0.25">
      <c r="A146" s="8" t="str">
        <f t="shared" si="6"/>
        <v>2003343.UP0</v>
      </c>
      <c r="B146" s="9" t="str">
        <f t="shared" si="7"/>
        <v>2</v>
      </c>
      <c r="C146" s="10">
        <f t="shared" si="8"/>
        <v>44005</v>
      </c>
      <c r="D146">
        <v>2003343</v>
      </c>
      <c r="E146" t="s">
        <v>136</v>
      </c>
      <c r="F146" s="6">
        <v>44008</v>
      </c>
      <c r="G146">
        <v>20</v>
      </c>
      <c r="H146" t="s">
        <v>180</v>
      </c>
      <c r="I146" t="s">
        <v>120</v>
      </c>
    </row>
    <row r="147" spans="1:9" x14ac:dyDescent="0.25">
      <c r="A147" s="8" t="str">
        <f t="shared" si="6"/>
        <v>2003357.NS0</v>
      </c>
      <c r="B147" s="9" t="str">
        <f t="shared" si="7"/>
        <v>2</v>
      </c>
      <c r="C147" s="10">
        <f t="shared" si="8"/>
        <v>44040</v>
      </c>
      <c r="D147">
        <v>2003357</v>
      </c>
      <c r="E147" t="s">
        <v>169</v>
      </c>
      <c r="F147" s="6">
        <v>44043</v>
      </c>
      <c r="G147">
        <v>24</v>
      </c>
      <c r="H147" t="s">
        <v>180</v>
      </c>
      <c r="I147" t="s">
        <v>120</v>
      </c>
    </row>
    <row r="148" spans="1:9" x14ac:dyDescent="0.25">
      <c r="A148" s="8" t="str">
        <f t="shared" si="6"/>
        <v>2003359.NS1</v>
      </c>
      <c r="B148" s="9" t="str">
        <f t="shared" si="7"/>
        <v>1</v>
      </c>
      <c r="C148" s="10">
        <f t="shared" si="8"/>
        <v>44039</v>
      </c>
      <c r="D148">
        <v>2003359</v>
      </c>
      <c r="E148" t="s">
        <v>171</v>
      </c>
      <c r="F148" s="6">
        <v>44043</v>
      </c>
      <c r="G148">
        <v>11</v>
      </c>
      <c r="H148" t="s">
        <v>180</v>
      </c>
      <c r="I148" t="s">
        <v>120</v>
      </c>
    </row>
    <row r="149" spans="1:9" x14ac:dyDescent="0.25">
      <c r="A149" s="8" t="str">
        <f t="shared" si="6"/>
        <v>2003359.YS2</v>
      </c>
      <c r="B149" s="9" t="str">
        <f t="shared" si="7"/>
        <v>1</v>
      </c>
      <c r="C149" s="10">
        <f t="shared" si="8"/>
        <v>44039</v>
      </c>
      <c r="D149">
        <v>2003359</v>
      </c>
      <c r="E149" t="s">
        <v>293</v>
      </c>
      <c r="F149" s="6">
        <v>44043</v>
      </c>
      <c r="G149">
        <v>11</v>
      </c>
      <c r="H149" t="s">
        <v>180</v>
      </c>
      <c r="I149" t="s">
        <v>120</v>
      </c>
    </row>
    <row r="150" spans="1:9" x14ac:dyDescent="0.25">
      <c r="A150" s="8" t="str">
        <f t="shared" si="6"/>
        <v>2003926.Z00</v>
      </c>
      <c r="B150" s="9" t="str">
        <f t="shared" si="7"/>
        <v>2</v>
      </c>
      <c r="C150" s="10">
        <f t="shared" si="8"/>
        <v>44012</v>
      </c>
      <c r="D150">
        <v>2003926</v>
      </c>
      <c r="E150" t="s">
        <v>158</v>
      </c>
      <c r="F150" s="6">
        <v>44015</v>
      </c>
      <c r="G150">
        <v>20</v>
      </c>
      <c r="H150" t="s">
        <v>180</v>
      </c>
      <c r="I150" t="s">
        <v>120</v>
      </c>
    </row>
    <row r="151" spans="1:9" x14ac:dyDescent="0.25">
      <c r="A151" s="8" t="str">
        <f t="shared" si="6"/>
        <v>2003947.N00</v>
      </c>
      <c r="B151" s="9" t="str">
        <f t="shared" si="7"/>
        <v>4</v>
      </c>
      <c r="C151" s="10">
        <f t="shared" si="8"/>
        <v>44070</v>
      </c>
      <c r="D151">
        <v>2003947</v>
      </c>
      <c r="E151" t="s">
        <v>125</v>
      </c>
      <c r="F151" s="6">
        <v>44071</v>
      </c>
      <c r="G151">
        <v>41</v>
      </c>
      <c r="H151" t="s">
        <v>194</v>
      </c>
      <c r="I151" t="s">
        <v>120</v>
      </c>
    </row>
    <row r="152" spans="1:9" x14ac:dyDescent="0.25">
      <c r="A152" s="8" t="str">
        <f t="shared" si="6"/>
        <v>2003954.TS1</v>
      </c>
      <c r="B152" s="9" t="str">
        <f t="shared" si="7"/>
        <v/>
      </c>
      <c r="C152" s="10">
        <f t="shared" si="8"/>
        <v>44081</v>
      </c>
      <c r="D152">
        <v>2003954</v>
      </c>
      <c r="E152" t="s">
        <v>301</v>
      </c>
      <c r="F152" s="6">
        <v>44085</v>
      </c>
      <c r="H152" t="s">
        <v>189</v>
      </c>
      <c r="I152" t="s">
        <v>120</v>
      </c>
    </row>
    <row r="153" spans="1:9" x14ac:dyDescent="0.25">
      <c r="A153" s="8" t="str">
        <f t="shared" si="6"/>
        <v>2003972.PFI</v>
      </c>
      <c r="B153" s="9" t="str">
        <f t="shared" si="7"/>
        <v>4</v>
      </c>
      <c r="C153" s="10" t="str">
        <f t="shared" si="8"/>
        <v/>
      </c>
      <c r="D153">
        <v>2003972</v>
      </c>
      <c r="E153" t="s">
        <v>172</v>
      </c>
      <c r="F153" s="6"/>
      <c r="G153">
        <v>4</v>
      </c>
      <c r="H153" t="s">
        <v>194</v>
      </c>
      <c r="I153" t="s">
        <v>120</v>
      </c>
    </row>
    <row r="154" spans="1:9" x14ac:dyDescent="0.25">
      <c r="A154" s="8" t="str">
        <f t="shared" si="6"/>
        <v>2003973.PFI</v>
      </c>
      <c r="B154" s="9" t="str">
        <f t="shared" si="7"/>
        <v>4</v>
      </c>
      <c r="C154" s="10" t="str">
        <f t="shared" si="8"/>
        <v/>
      </c>
      <c r="D154">
        <v>2003973</v>
      </c>
      <c r="E154" t="s">
        <v>172</v>
      </c>
      <c r="F154" s="6"/>
      <c r="G154">
        <v>4</v>
      </c>
      <c r="H154" t="s">
        <v>189</v>
      </c>
      <c r="I154" t="s">
        <v>120</v>
      </c>
    </row>
    <row r="155" spans="1:9" x14ac:dyDescent="0.25">
      <c r="A155" s="8" t="str">
        <f t="shared" si="6"/>
        <v>2003974.PFI</v>
      </c>
      <c r="B155" s="9" t="str">
        <f t="shared" si="7"/>
        <v>4</v>
      </c>
      <c r="C155" s="10" t="str">
        <f t="shared" si="8"/>
        <v/>
      </c>
      <c r="D155">
        <v>2003974</v>
      </c>
      <c r="E155" t="s">
        <v>172</v>
      </c>
      <c r="F155" s="6"/>
      <c r="G155">
        <v>4</v>
      </c>
      <c r="H155" t="s">
        <v>190</v>
      </c>
      <c r="I155" t="s">
        <v>120</v>
      </c>
    </row>
    <row r="156" spans="1:9" x14ac:dyDescent="0.25">
      <c r="A156" s="8" t="str">
        <f t="shared" si="6"/>
        <v>2004014.RELI</v>
      </c>
      <c r="B156" s="9" t="str">
        <f t="shared" si="7"/>
        <v>1</v>
      </c>
      <c r="C156" s="10">
        <f t="shared" si="8"/>
        <v>44011</v>
      </c>
      <c r="D156">
        <v>2004014</v>
      </c>
      <c r="E156" t="s">
        <v>230</v>
      </c>
      <c r="F156" s="6">
        <v>44015</v>
      </c>
      <c r="G156">
        <v>10</v>
      </c>
      <c r="H156" t="s">
        <v>180</v>
      </c>
      <c r="I156" t="s">
        <v>120</v>
      </c>
    </row>
    <row r="157" spans="1:9" x14ac:dyDescent="0.25">
      <c r="A157" s="8" t="str">
        <f t="shared" si="6"/>
        <v>2004017.N0L</v>
      </c>
      <c r="B157" s="9" t="str">
        <f t="shared" si="7"/>
        <v/>
      </c>
      <c r="C157" s="10">
        <f t="shared" si="8"/>
        <v>43983</v>
      </c>
      <c r="D157">
        <v>2004017</v>
      </c>
      <c r="E157" t="s">
        <v>133</v>
      </c>
      <c r="F157" s="6">
        <v>43987</v>
      </c>
      <c r="H157" t="s">
        <v>188</v>
      </c>
      <c r="I157" t="s">
        <v>120</v>
      </c>
    </row>
    <row r="158" spans="1:9" x14ac:dyDescent="0.25">
      <c r="A158" s="8" t="str">
        <f t="shared" si="6"/>
        <v>2004042.N00</v>
      </c>
      <c r="B158" s="9" t="str">
        <f t="shared" si="7"/>
        <v>1</v>
      </c>
      <c r="C158" s="10">
        <f t="shared" si="8"/>
        <v>44074</v>
      </c>
      <c r="D158">
        <v>2004042</v>
      </c>
      <c r="E158" t="s">
        <v>125</v>
      </c>
      <c r="F158" s="6">
        <v>44078</v>
      </c>
      <c r="G158">
        <v>14</v>
      </c>
      <c r="H158" t="s">
        <v>188</v>
      </c>
      <c r="I158" t="s">
        <v>120</v>
      </c>
    </row>
    <row r="159" spans="1:9" x14ac:dyDescent="0.25">
      <c r="A159" s="8" t="str">
        <f t="shared" si="6"/>
        <v>2004073.NS0</v>
      </c>
      <c r="B159" s="9" t="str">
        <f t="shared" si="7"/>
        <v/>
      </c>
      <c r="C159" s="10">
        <f t="shared" si="8"/>
        <v>44074</v>
      </c>
      <c r="D159">
        <v>2004073</v>
      </c>
      <c r="E159" t="s">
        <v>169</v>
      </c>
      <c r="F159" s="6">
        <v>44078</v>
      </c>
      <c r="H159" t="s">
        <v>180</v>
      </c>
      <c r="I159" t="s">
        <v>120</v>
      </c>
    </row>
    <row r="160" spans="1:9" x14ac:dyDescent="0.25">
      <c r="A160" s="8" t="str">
        <f t="shared" si="6"/>
        <v>2004081.XP0</v>
      </c>
      <c r="B160" s="9" t="str">
        <f t="shared" si="7"/>
        <v/>
      </c>
      <c r="C160" s="10">
        <f t="shared" si="8"/>
        <v>44095</v>
      </c>
      <c r="D160">
        <v>2004081</v>
      </c>
      <c r="E160" t="s">
        <v>181</v>
      </c>
      <c r="F160" s="6">
        <v>44099</v>
      </c>
      <c r="H160" t="s">
        <v>266</v>
      </c>
      <c r="I160" t="s">
        <v>120</v>
      </c>
    </row>
    <row r="161" spans="1:9" x14ac:dyDescent="0.25">
      <c r="A161" s="8" t="str">
        <f t="shared" si="6"/>
        <v>2004093.0S0</v>
      </c>
      <c r="B161" s="9" t="str">
        <f t="shared" si="7"/>
        <v/>
      </c>
      <c r="C161" s="10">
        <f t="shared" si="8"/>
        <v>44074</v>
      </c>
      <c r="D161">
        <v>2004093</v>
      </c>
      <c r="E161" t="s">
        <v>174</v>
      </c>
      <c r="F161" s="6">
        <v>44078</v>
      </c>
      <c r="H161" t="s">
        <v>180</v>
      </c>
      <c r="I161" t="s">
        <v>120</v>
      </c>
    </row>
    <row r="162" spans="1:9" x14ac:dyDescent="0.25">
      <c r="A162" s="8" t="str">
        <f t="shared" si="6"/>
        <v>2004101.NS0</v>
      </c>
      <c r="B162" s="9" t="str">
        <f t="shared" si="7"/>
        <v>1</v>
      </c>
      <c r="C162" s="10">
        <f t="shared" si="8"/>
        <v>44067</v>
      </c>
      <c r="D162">
        <v>2004101</v>
      </c>
      <c r="E162" t="s">
        <v>169</v>
      </c>
      <c r="F162" s="6">
        <v>44071</v>
      </c>
      <c r="G162">
        <v>12</v>
      </c>
      <c r="H162" t="s">
        <v>180</v>
      </c>
      <c r="I162" t="s">
        <v>120</v>
      </c>
    </row>
    <row r="163" spans="1:9" x14ac:dyDescent="0.25">
      <c r="A163" s="8" t="str">
        <f t="shared" si="6"/>
        <v>2004114.NQ0</v>
      </c>
      <c r="B163" s="9" t="str">
        <f t="shared" si="7"/>
        <v/>
      </c>
      <c r="C163" s="10">
        <f t="shared" si="8"/>
        <v>43955</v>
      </c>
      <c r="D163">
        <v>2004114</v>
      </c>
      <c r="E163" t="s">
        <v>165</v>
      </c>
      <c r="F163" s="6">
        <v>43959</v>
      </c>
      <c r="H163" t="s">
        <v>188</v>
      </c>
      <c r="I163" t="s">
        <v>120</v>
      </c>
    </row>
    <row r="164" spans="1:9" x14ac:dyDescent="0.25">
      <c r="A164" s="8" t="str">
        <f t="shared" si="6"/>
        <v>2004134.UJ1</v>
      </c>
      <c r="B164" s="9" t="str">
        <f t="shared" si="7"/>
        <v/>
      </c>
      <c r="C164" s="10">
        <f t="shared" si="8"/>
        <v>44074</v>
      </c>
      <c r="D164">
        <v>2004134</v>
      </c>
      <c r="E164" t="s">
        <v>302</v>
      </c>
      <c r="F164" s="6">
        <v>44078</v>
      </c>
      <c r="H164" t="s">
        <v>180</v>
      </c>
      <c r="I164" t="s">
        <v>120</v>
      </c>
    </row>
    <row r="165" spans="1:9" x14ac:dyDescent="0.25">
      <c r="A165" s="8" t="str">
        <f t="shared" si="6"/>
        <v>2004154.N00</v>
      </c>
      <c r="B165" s="9" t="str">
        <f t="shared" si="7"/>
        <v/>
      </c>
      <c r="C165" s="10">
        <f t="shared" si="8"/>
        <v>43955</v>
      </c>
      <c r="D165">
        <v>2004154</v>
      </c>
      <c r="E165" t="s">
        <v>125</v>
      </c>
      <c r="F165" s="6">
        <v>43959</v>
      </c>
      <c r="H165" t="s">
        <v>188</v>
      </c>
      <c r="I165" t="s">
        <v>120</v>
      </c>
    </row>
    <row r="166" spans="1:9" x14ac:dyDescent="0.25">
      <c r="A166" s="8" t="str">
        <f t="shared" si="6"/>
        <v>2004173.NS0</v>
      </c>
      <c r="B166" s="9" t="str">
        <f t="shared" si="7"/>
        <v>1</v>
      </c>
      <c r="C166" s="10">
        <f t="shared" si="8"/>
        <v>44032</v>
      </c>
      <c r="D166">
        <v>2004173</v>
      </c>
      <c r="E166" t="s">
        <v>169</v>
      </c>
      <c r="F166" s="6">
        <v>44036</v>
      </c>
      <c r="G166">
        <v>11</v>
      </c>
      <c r="H166" t="s">
        <v>180</v>
      </c>
      <c r="I166" t="s">
        <v>120</v>
      </c>
    </row>
    <row r="167" spans="1:9" x14ac:dyDescent="0.25">
      <c r="A167" s="8" t="str">
        <f t="shared" si="6"/>
        <v>2004180.YS9</v>
      </c>
      <c r="B167" s="9" t="str">
        <f t="shared" si="7"/>
        <v/>
      </c>
      <c r="C167" s="10">
        <f t="shared" si="8"/>
        <v>44109</v>
      </c>
      <c r="D167">
        <v>2004180</v>
      </c>
      <c r="E167" t="s">
        <v>303</v>
      </c>
      <c r="F167" s="6">
        <v>44113</v>
      </c>
      <c r="H167" t="s">
        <v>180</v>
      </c>
      <c r="I167" t="s">
        <v>120</v>
      </c>
    </row>
    <row r="168" spans="1:9" x14ac:dyDescent="0.25">
      <c r="A168" s="8" t="str">
        <f t="shared" si="6"/>
        <v>2004201.XSE</v>
      </c>
      <c r="B168" s="9" t="str">
        <f t="shared" si="7"/>
        <v>2</v>
      </c>
      <c r="C168" s="10">
        <f t="shared" si="8"/>
        <v>44040</v>
      </c>
      <c r="D168">
        <v>2004201</v>
      </c>
      <c r="E168" t="s">
        <v>294</v>
      </c>
      <c r="F168" s="6">
        <v>44043</v>
      </c>
      <c r="G168">
        <v>22</v>
      </c>
      <c r="H168" t="s">
        <v>180</v>
      </c>
      <c r="I168" t="s">
        <v>120</v>
      </c>
    </row>
    <row r="169" spans="1:9" x14ac:dyDescent="0.25">
      <c r="A169" s="8" t="str">
        <f t="shared" si="6"/>
        <v>2004238.PFI</v>
      </c>
      <c r="B169" s="9" t="str">
        <f t="shared" si="7"/>
        <v>4</v>
      </c>
      <c r="C169" s="10" t="str">
        <f t="shared" si="8"/>
        <v/>
      </c>
      <c r="D169">
        <v>2004238</v>
      </c>
      <c r="E169" t="s">
        <v>172</v>
      </c>
      <c r="F169" s="6"/>
      <c r="G169">
        <v>4</v>
      </c>
      <c r="H169" t="s">
        <v>190</v>
      </c>
      <c r="I169" t="s">
        <v>120</v>
      </c>
    </row>
    <row r="170" spans="1:9" x14ac:dyDescent="0.25">
      <c r="A170" s="8" t="str">
        <f t="shared" si="6"/>
        <v>2004239.PFI</v>
      </c>
      <c r="B170" s="9" t="str">
        <f t="shared" si="7"/>
        <v>4</v>
      </c>
      <c r="C170" s="10" t="str">
        <f t="shared" si="8"/>
        <v/>
      </c>
      <c r="D170">
        <v>2004239</v>
      </c>
      <c r="E170" t="s">
        <v>172</v>
      </c>
      <c r="F170" s="6"/>
      <c r="G170">
        <v>4</v>
      </c>
      <c r="H170" t="s">
        <v>190</v>
      </c>
      <c r="I170" t="s">
        <v>120</v>
      </c>
    </row>
    <row r="171" spans="1:9" x14ac:dyDescent="0.25">
      <c r="A171" s="8" t="str">
        <f t="shared" si="6"/>
        <v>2004241.PFI</v>
      </c>
      <c r="B171" s="9" t="str">
        <f t="shared" si="7"/>
        <v>4</v>
      </c>
      <c r="C171" s="10" t="str">
        <f t="shared" si="8"/>
        <v/>
      </c>
      <c r="D171">
        <v>2004241</v>
      </c>
      <c r="E171" t="s">
        <v>172</v>
      </c>
      <c r="F171" s="6"/>
      <c r="G171">
        <v>4</v>
      </c>
      <c r="H171" t="s">
        <v>189</v>
      </c>
      <c r="I171" t="s">
        <v>120</v>
      </c>
    </row>
    <row r="172" spans="1:9" x14ac:dyDescent="0.25">
      <c r="A172" s="8" t="str">
        <f t="shared" si="6"/>
        <v>2004275.NJ0</v>
      </c>
      <c r="B172" s="9" t="str">
        <f t="shared" si="7"/>
        <v/>
      </c>
      <c r="C172" s="10" t="str">
        <f t="shared" si="8"/>
        <v/>
      </c>
      <c r="D172">
        <v>2004275</v>
      </c>
      <c r="E172" t="s">
        <v>268</v>
      </c>
      <c r="F172" s="6"/>
      <c r="H172" t="s">
        <v>188</v>
      </c>
      <c r="I172" t="s">
        <v>120</v>
      </c>
    </row>
    <row r="173" spans="1:9" x14ac:dyDescent="0.25">
      <c r="A173" s="8" t="str">
        <f t="shared" si="6"/>
        <v>2004275.YS0</v>
      </c>
      <c r="B173" s="9" t="str">
        <f t="shared" si="7"/>
        <v>3</v>
      </c>
      <c r="C173" s="10">
        <f t="shared" si="8"/>
        <v>44013</v>
      </c>
      <c r="D173">
        <v>2004275</v>
      </c>
      <c r="E173" t="s">
        <v>275</v>
      </c>
      <c r="F173" s="6">
        <v>44015</v>
      </c>
      <c r="G173">
        <v>32</v>
      </c>
      <c r="H173" t="s">
        <v>180</v>
      </c>
      <c r="I173" t="s">
        <v>120</v>
      </c>
    </row>
    <row r="174" spans="1:9" x14ac:dyDescent="0.25">
      <c r="A174" s="8" t="str">
        <f t="shared" si="6"/>
        <v>2004287.CS2</v>
      </c>
      <c r="B174" s="9" t="str">
        <f t="shared" si="7"/>
        <v>3</v>
      </c>
      <c r="C174" s="10">
        <f t="shared" si="8"/>
        <v>44027</v>
      </c>
      <c r="D174">
        <v>2004287</v>
      </c>
      <c r="E174" t="s">
        <v>272</v>
      </c>
      <c r="F174" s="6">
        <v>44029</v>
      </c>
      <c r="G174">
        <v>31</v>
      </c>
      <c r="H174" t="s">
        <v>180</v>
      </c>
      <c r="I174" t="s">
        <v>120</v>
      </c>
    </row>
    <row r="175" spans="1:9" x14ac:dyDescent="0.25">
      <c r="A175" s="8" t="str">
        <f t="shared" si="6"/>
        <v>2004306.NS0</v>
      </c>
      <c r="B175" s="9" t="str">
        <f t="shared" si="7"/>
        <v>V</v>
      </c>
      <c r="C175" s="10">
        <f t="shared" si="8"/>
        <v>44036</v>
      </c>
      <c r="D175">
        <v>2004306</v>
      </c>
      <c r="E175" t="s">
        <v>169</v>
      </c>
      <c r="F175" s="6">
        <v>44043</v>
      </c>
      <c r="G175" t="s">
        <v>228</v>
      </c>
      <c r="H175" t="s">
        <v>180</v>
      </c>
      <c r="I175" t="s">
        <v>120</v>
      </c>
    </row>
    <row r="176" spans="1:9" x14ac:dyDescent="0.25">
      <c r="A176" s="8" t="str">
        <f t="shared" si="6"/>
        <v>2004327.X00</v>
      </c>
      <c r="B176" s="9" t="str">
        <f t="shared" si="7"/>
        <v>2</v>
      </c>
      <c r="C176" s="10">
        <f t="shared" si="8"/>
        <v>44068</v>
      </c>
      <c r="D176">
        <v>2004327</v>
      </c>
      <c r="E176" t="s">
        <v>225</v>
      </c>
      <c r="F176" s="6">
        <v>44071</v>
      </c>
      <c r="G176">
        <v>23</v>
      </c>
      <c r="H176" t="s">
        <v>180</v>
      </c>
      <c r="I176" t="s">
        <v>120</v>
      </c>
    </row>
    <row r="177" spans="1:9" x14ac:dyDescent="0.25">
      <c r="A177" s="8" t="str">
        <f t="shared" si="6"/>
        <v>2004327.XP0</v>
      </c>
      <c r="B177" s="9" t="str">
        <f t="shared" si="7"/>
        <v>2</v>
      </c>
      <c r="C177" s="10">
        <f t="shared" si="8"/>
        <v>44068</v>
      </c>
      <c r="D177">
        <v>2004327</v>
      </c>
      <c r="E177" t="s">
        <v>181</v>
      </c>
      <c r="F177" s="6">
        <v>44071</v>
      </c>
      <c r="G177">
        <v>23</v>
      </c>
      <c r="H177" t="s">
        <v>180</v>
      </c>
      <c r="I177" t="s">
        <v>120</v>
      </c>
    </row>
    <row r="178" spans="1:9" x14ac:dyDescent="0.25">
      <c r="A178" s="8" t="str">
        <f t="shared" si="6"/>
        <v>2004334.NQ0</v>
      </c>
      <c r="B178" s="9" t="str">
        <f t="shared" si="7"/>
        <v>4</v>
      </c>
      <c r="C178" s="10">
        <f t="shared" si="8"/>
        <v>44077</v>
      </c>
      <c r="D178">
        <v>2004334</v>
      </c>
      <c r="E178" t="s">
        <v>165</v>
      </c>
      <c r="F178" s="6">
        <v>44078</v>
      </c>
      <c r="G178">
        <v>44</v>
      </c>
      <c r="H178" t="s">
        <v>194</v>
      </c>
      <c r="I178" t="s">
        <v>120</v>
      </c>
    </row>
    <row r="179" spans="1:9" x14ac:dyDescent="0.25">
      <c r="A179" s="8" t="str">
        <f t="shared" si="6"/>
        <v>2004348.HP0</v>
      </c>
      <c r="B179" s="9" t="str">
        <f t="shared" si="7"/>
        <v/>
      </c>
      <c r="C179" s="10">
        <f t="shared" si="8"/>
        <v>44074</v>
      </c>
      <c r="D179">
        <v>2004348</v>
      </c>
      <c r="E179" t="s">
        <v>121</v>
      </c>
      <c r="F179" s="6">
        <v>44078</v>
      </c>
      <c r="H179" t="s">
        <v>180</v>
      </c>
      <c r="I179" t="s">
        <v>120</v>
      </c>
    </row>
    <row r="180" spans="1:9" x14ac:dyDescent="0.25">
      <c r="A180" s="8" t="str">
        <f t="shared" si="6"/>
        <v>2004349.HSL</v>
      </c>
      <c r="B180" s="9" t="str">
        <f t="shared" si="7"/>
        <v/>
      </c>
      <c r="C180" s="10">
        <f t="shared" si="8"/>
        <v>44074</v>
      </c>
      <c r="D180">
        <v>2004349</v>
      </c>
      <c r="E180" t="s">
        <v>304</v>
      </c>
      <c r="F180" s="6">
        <v>44078</v>
      </c>
      <c r="H180" t="s">
        <v>180</v>
      </c>
      <c r="I180" t="s">
        <v>120</v>
      </c>
    </row>
    <row r="181" spans="1:9" x14ac:dyDescent="0.25">
      <c r="A181" s="8" t="str">
        <f t="shared" si="6"/>
        <v>2004356.PFI</v>
      </c>
      <c r="B181" s="9" t="str">
        <f t="shared" si="7"/>
        <v>4</v>
      </c>
      <c r="C181" s="10" t="str">
        <f t="shared" si="8"/>
        <v/>
      </c>
      <c r="D181">
        <v>2004356</v>
      </c>
      <c r="E181" t="s">
        <v>172</v>
      </c>
      <c r="F181" s="6"/>
      <c r="G181">
        <v>4</v>
      </c>
      <c r="H181" t="s">
        <v>190</v>
      </c>
      <c r="I181" t="s">
        <v>120</v>
      </c>
    </row>
    <row r="182" spans="1:9" x14ac:dyDescent="0.25">
      <c r="A182" s="8" t="str">
        <f t="shared" si="6"/>
        <v>2004361.PFI</v>
      </c>
      <c r="B182" s="9" t="str">
        <f t="shared" si="7"/>
        <v>4</v>
      </c>
      <c r="C182" s="10" t="str">
        <f t="shared" si="8"/>
        <v/>
      </c>
      <c r="D182">
        <v>2004361</v>
      </c>
      <c r="E182" t="s">
        <v>172</v>
      </c>
      <c r="F182" s="6"/>
      <c r="G182">
        <v>4</v>
      </c>
      <c r="H182" t="s">
        <v>189</v>
      </c>
      <c r="I182" t="s">
        <v>120</v>
      </c>
    </row>
    <row r="183" spans="1:9" x14ac:dyDescent="0.25">
      <c r="A183" s="8" t="str">
        <f t="shared" si="6"/>
        <v>2004366.HSL</v>
      </c>
      <c r="B183" s="9" t="str">
        <f t="shared" si="7"/>
        <v>1</v>
      </c>
      <c r="C183" s="10">
        <f t="shared" si="8"/>
        <v>44067</v>
      </c>
      <c r="D183">
        <v>2004366</v>
      </c>
      <c r="E183" t="s">
        <v>304</v>
      </c>
      <c r="F183" s="6">
        <v>44071</v>
      </c>
      <c r="G183">
        <v>12</v>
      </c>
      <c r="H183" t="s">
        <v>180</v>
      </c>
      <c r="I183" t="s">
        <v>120</v>
      </c>
    </row>
    <row r="184" spans="1:9" x14ac:dyDescent="0.25">
      <c r="A184" s="8" t="str">
        <f t="shared" si="6"/>
        <v>2005023.NI0</v>
      </c>
      <c r="B184" s="9" t="str">
        <f t="shared" si="7"/>
        <v>1</v>
      </c>
      <c r="C184" s="10" t="str">
        <f t="shared" si="8"/>
        <v/>
      </c>
      <c r="D184">
        <v>2005023</v>
      </c>
      <c r="E184" t="s">
        <v>185</v>
      </c>
      <c r="F184" s="6"/>
      <c r="G184">
        <v>1</v>
      </c>
      <c r="H184" t="s">
        <v>180</v>
      </c>
      <c r="I184" t="s">
        <v>120</v>
      </c>
    </row>
    <row r="185" spans="1:9" x14ac:dyDescent="0.25">
      <c r="A185" s="8" t="str">
        <f t="shared" si="6"/>
        <v>2005025.ZO2</v>
      </c>
      <c r="B185" s="9" t="str">
        <f t="shared" si="7"/>
        <v>V</v>
      </c>
      <c r="C185" s="10">
        <f t="shared" si="8"/>
        <v>44008</v>
      </c>
      <c r="D185">
        <v>2005025</v>
      </c>
      <c r="E185" t="s">
        <v>168</v>
      </c>
      <c r="F185" s="6">
        <v>44015</v>
      </c>
      <c r="G185" t="s">
        <v>228</v>
      </c>
      <c r="H185" t="s">
        <v>180</v>
      </c>
      <c r="I185" t="s">
        <v>120</v>
      </c>
    </row>
    <row r="186" spans="1:9" x14ac:dyDescent="0.25">
      <c r="A186" s="8" t="str">
        <f t="shared" si="6"/>
        <v>2005051.000</v>
      </c>
      <c r="B186" s="9" t="str">
        <f t="shared" si="7"/>
        <v/>
      </c>
      <c r="C186" s="10">
        <f t="shared" si="8"/>
        <v>44074</v>
      </c>
      <c r="D186">
        <v>2005051</v>
      </c>
      <c r="E186">
        <v>0</v>
      </c>
      <c r="F186" s="6">
        <v>44078</v>
      </c>
      <c r="H186" t="s">
        <v>180</v>
      </c>
      <c r="I186" t="s">
        <v>120</v>
      </c>
    </row>
    <row r="187" spans="1:9" x14ac:dyDescent="0.25">
      <c r="A187" s="8" t="str">
        <f t="shared" si="6"/>
        <v>2005051.0P0</v>
      </c>
      <c r="B187" s="9" t="str">
        <f t="shared" si="7"/>
        <v/>
      </c>
      <c r="C187" s="10">
        <f t="shared" si="8"/>
        <v>44074</v>
      </c>
      <c r="D187">
        <v>2005051</v>
      </c>
      <c r="E187" t="s">
        <v>119</v>
      </c>
      <c r="F187" s="6">
        <v>44078</v>
      </c>
      <c r="H187" t="s">
        <v>180</v>
      </c>
      <c r="I187" t="s">
        <v>120</v>
      </c>
    </row>
    <row r="188" spans="1:9" x14ac:dyDescent="0.25">
      <c r="A188" s="8" t="str">
        <f t="shared" si="6"/>
        <v>2005057.000</v>
      </c>
      <c r="B188" s="9" t="str">
        <f t="shared" si="7"/>
        <v/>
      </c>
      <c r="C188" s="10">
        <f t="shared" si="8"/>
        <v>44074</v>
      </c>
      <c r="D188">
        <v>2005057</v>
      </c>
      <c r="E188">
        <v>0</v>
      </c>
      <c r="F188" s="6">
        <v>44078</v>
      </c>
      <c r="H188" t="s">
        <v>180</v>
      </c>
      <c r="I188" t="s">
        <v>120</v>
      </c>
    </row>
    <row r="189" spans="1:9" x14ac:dyDescent="0.25">
      <c r="A189" s="8" t="str">
        <f t="shared" si="6"/>
        <v>2005057.0P0</v>
      </c>
      <c r="B189" s="9" t="str">
        <f t="shared" si="7"/>
        <v/>
      </c>
      <c r="C189" s="10">
        <f t="shared" si="8"/>
        <v>44074</v>
      </c>
      <c r="D189">
        <v>2005057</v>
      </c>
      <c r="E189" t="s">
        <v>119</v>
      </c>
      <c r="F189" s="6">
        <v>44078</v>
      </c>
      <c r="H189" t="s">
        <v>180</v>
      </c>
      <c r="I189" t="s">
        <v>120</v>
      </c>
    </row>
    <row r="190" spans="1:9" x14ac:dyDescent="0.25">
      <c r="A190" s="8" t="str">
        <f t="shared" si="6"/>
        <v>2005067.Y02</v>
      </c>
      <c r="B190" s="9" t="str">
        <f t="shared" si="7"/>
        <v/>
      </c>
      <c r="C190" s="10">
        <f t="shared" si="8"/>
        <v>44011</v>
      </c>
      <c r="D190">
        <v>2005067</v>
      </c>
      <c r="E190" t="s">
        <v>144</v>
      </c>
      <c r="F190" s="6">
        <v>44015</v>
      </c>
      <c r="H190" t="s">
        <v>190</v>
      </c>
      <c r="I190" t="s">
        <v>120</v>
      </c>
    </row>
    <row r="191" spans="1:9" x14ac:dyDescent="0.25">
      <c r="A191" s="8" t="str">
        <f t="shared" si="6"/>
        <v>2005112.NI0</v>
      </c>
      <c r="B191" s="9" t="str">
        <f t="shared" si="7"/>
        <v/>
      </c>
      <c r="C191" s="10">
        <f t="shared" si="8"/>
        <v>44074</v>
      </c>
      <c r="D191">
        <v>2005112</v>
      </c>
      <c r="E191" t="s">
        <v>185</v>
      </c>
      <c r="F191" s="6">
        <v>44078</v>
      </c>
      <c r="H191" t="s">
        <v>188</v>
      </c>
      <c r="I191" t="s">
        <v>120</v>
      </c>
    </row>
    <row r="192" spans="1:9" x14ac:dyDescent="0.25">
      <c r="A192" s="8" t="str">
        <f t="shared" si="6"/>
        <v>2005129.U02</v>
      </c>
      <c r="B192" s="9" t="str">
        <f t="shared" si="7"/>
        <v/>
      </c>
      <c r="C192" s="10">
        <f t="shared" si="8"/>
        <v>44074</v>
      </c>
      <c r="D192">
        <v>2005129</v>
      </c>
      <c r="E192" t="s">
        <v>149</v>
      </c>
      <c r="F192" s="6">
        <v>44078</v>
      </c>
      <c r="H192" t="s">
        <v>180</v>
      </c>
      <c r="I192" t="s">
        <v>120</v>
      </c>
    </row>
    <row r="193" spans="1:9" x14ac:dyDescent="0.25">
      <c r="A193" s="8" t="str">
        <f t="shared" si="6"/>
        <v>2005129.Y02</v>
      </c>
      <c r="B193" s="9" t="str">
        <f t="shared" si="7"/>
        <v/>
      </c>
      <c r="C193" s="10">
        <f t="shared" si="8"/>
        <v>44074</v>
      </c>
      <c r="D193">
        <v>2005129</v>
      </c>
      <c r="E193" t="s">
        <v>144</v>
      </c>
      <c r="F193" s="6">
        <v>44078</v>
      </c>
      <c r="H193" t="s">
        <v>180</v>
      </c>
      <c r="I193" t="s">
        <v>120</v>
      </c>
    </row>
    <row r="194" spans="1:9" x14ac:dyDescent="0.25">
      <c r="A194" s="8" t="str">
        <f t="shared" ref="A194:A257" si="9">IF(D194="","",IF(E194=0,CONCATENATE(D194,".",E194,"00"),CONCATENATE(D194,".",E194)))</f>
        <v>2005135.N00</v>
      </c>
      <c r="B194" s="9" t="str">
        <f t="shared" ref="B194:B257" si="10">LEFT(G194,1)</f>
        <v/>
      </c>
      <c r="C194" s="10">
        <f t="shared" ref="C194:C257" si="11">IF(F194="","",IF(B194="",F194-4,IF(B194="1",F194-4,IF(B194="2",F194-3,IF(B194="3",F194-2,IF(B194="4",F194-1,IF(B194="V",F194-7,IF(B194="J",F194-8,F194))))))))</f>
        <v>43969</v>
      </c>
      <c r="D194">
        <v>2005135</v>
      </c>
      <c r="E194" t="s">
        <v>125</v>
      </c>
      <c r="F194" s="6">
        <v>43973</v>
      </c>
      <c r="H194" t="s">
        <v>188</v>
      </c>
      <c r="I194" t="s">
        <v>120</v>
      </c>
    </row>
    <row r="195" spans="1:9" x14ac:dyDescent="0.25">
      <c r="A195" s="8" t="str">
        <f t="shared" si="9"/>
        <v>2005145.0P0</v>
      </c>
      <c r="B195" s="9" t="str">
        <f t="shared" si="10"/>
        <v/>
      </c>
      <c r="C195" s="10">
        <f t="shared" si="11"/>
        <v>44004</v>
      </c>
      <c r="D195">
        <v>2005145</v>
      </c>
      <c r="E195" t="s">
        <v>119</v>
      </c>
      <c r="F195" s="6">
        <v>44008</v>
      </c>
      <c r="H195" t="s">
        <v>191</v>
      </c>
      <c r="I195" t="s">
        <v>120</v>
      </c>
    </row>
    <row r="196" spans="1:9" x14ac:dyDescent="0.25">
      <c r="A196" s="8" t="str">
        <f t="shared" si="9"/>
        <v>2005160.U00</v>
      </c>
      <c r="B196" s="9" t="str">
        <f t="shared" si="10"/>
        <v>1</v>
      </c>
      <c r="C196" s="10">
        <f t="shared" si="11"/>
        <v>44102</v>
      </c>
      <c r="D196">
        <v>2005160</v>
      </c>
      <c r="E196" t="s">
        <v>131</v>
      </c>
      <c r="F196" s="6">
        <v>44106</v>
      </c>
      <c r="G196">
        <v>1</v>
      </c>
      <c r="H196" t="s">
        <v>189</v>
      </c>
      <c r="I196" t="s">
        <v>120</v>
      </c>
    </row>
    <row r="197" spans="1:9" x14ac:dyDescent="0.25">
      <c r="A197" s="8" t="str">
        <f t="shared" si="9"/>
        <v>2005160.UP0</v>
      </c>
      <c r="B197" s="9" t="str">
        <f t="shared" si="10"/>
        <v>1</v>
      </c>
      <c r="C197" s="10">
        <f t="shared" si="11"/>
        <v>44102</v>
      </c>
      <c r="D197">
        <v>2005160</v>
      </c>
      <c r="E197" t="s">
        <v>136</v>
      </c>
      <c r="F197" s="6">
        <v>44106</v>
      </c>
      <c r="G197">
        <v>1</v>
      </c>
      <c r="H197" t="s">
        <v>189</v>
      </c>
      <c r="I197" t="s">
        <v>120</v>
      </c>
    </row>
    <row r="198" spans="1:9" x14ac:dyDescent="0.25">
      <c r="A198" s="8" t="str">
        <f t="shared" si="9"/>
        <v>2005180.RELI</v>
      </c>
      <c r="B198" s="9" t="str">
        <f t="shared" si="10"/>
        <v>V</v>
      </c>
      <c r="C198" s="10">
        <f t="shared" si="11"/>
        <v>44036</v>
      </c>
      <c r="D198">
        <v>2005180</v>
      </c>
      <c r="E198" t="s">
        <v>230</v>
      </c>
      <c r="F198" s="6">
        <v>44043</v>
      </c>
      <c r="G198" t="s">
        <v>124</v>
      </c>
      <c r="H198" t="s">
        <v>180</v>
      </c>
      <c r="I198" t="s">
        <v>120</v>
      </c>
    </row>
    <row r="199" spans="1:9" x14ac:dyDescent="0.25">
      <c r="A199" s="8" t="str">
        <f t="shared" si="9"/>
        <v>2005217.HS1</v>
      </c>
      <c r="B199" s="9" t="str">
        <f t="shared" si="10"/>
        <v>1</v>
      </c>
      <c r="C199" s="10">
        <f t="shared" si="11"/>
        <v>44067</v>
      </c>
      <c r="D199">
        <v>2005217</v>
      </c>
      <c r="E199" t="s">
        <v>269</v>
      </c>
      <c r="F199" s="6">
        <v>44071</v>
      </c>
      <c r="G199">
        <v>11</v>
      </c>
      <c r="H199" t="s">
        <v>180</v>
      </c>
      <c r="I199" t="s">
        <v>120</v>
      </c>
    </row>
    <row r="200" spans="1:9" x14ac:dyDescent="0.25">
      <c r="A200" s="8" t="str">
        <f t="shared" si="9"/>
        <v>2005217.NS0</v>
      </c>
      <c r="B200" s="9" t="str">
        <f t="shared" si="10"/>
        <v>1</v>
      </c>
      <c r="C200" s="10">
        <f t="shared" si="11"/>
        <v>44067</v>
      </c>
      <c r="D200">
        <v>2005217</v>
      </c>
      <c r="E200" t="s">
        <v>169</v>
      </c>
      <c r="F200" s="6">
        <v>44071</v>
      </c>
      <c r="G200">
        <v>11</v>
      </c>
      <c r="H200" t="s">
        <v>180</v>
      </c>
      <c r="I200" t="s">
        <v>120</v>
      </c>
    </row>
    <row r="201" spans="1:9" x14ac:dyDescent="0.25">
      <c r="A201" s="8" t="str">
        <f t="shared" si="9"/>
        <v>2005223.0P0</v>
      </c>
      <c r="B201" s="9" t="str">
        <f t="shared" si="10"/>
        <v/>
      </c>
      <c r="C201" s="10">
        <f t="shared" si="11"/>
        <v>44004</v>
      </c>
      <c r="D201">
        <v>2005223</v>
      </c>
      <c r="E201" t="s">
        <v>119</v>
      </c>
      <c r="F201" s="6">
        <v>44008</v>
      </c>
      <c r="H201" t="s">
        <v>193</v>
      </c>
      <c r="I201" t="s">
        <v>120</v>
      </c>
    </row>
    <row r="202" spans="1:9" x14ac:dyDescent="0.25">
      <c r="A202" s="8" t="str">
        <f t="shared" si="9"/>
        <v>2005243.X00</v>
      </c>
      <c r="B202" s="9" t="str">
        <f t="shared" si="10"/>
        <v/>
      </c>
      <c r="C202" s="10">
        <f t="shared" si="11"/>
        <v>44004</v>
      </c>
      <c r="D202">
        <v>2005243</v>
      </c>
      <c r="E202" t="s">
        <v>225</v>
      </c>
      <c r="F202" s="6">
        <v>44008</v>
      </c>
      <c r="H202" t="s">
        <v>191</v>
      </c>
      <c r="I202" t="s">
        <v>120</v>
      </c>
    </row>
    <row r="203" spans="1:9" x14ac:dyDescent="0.25">
      <c r="A203" s="8" t="str">
        <f t="shared" si="9"/>
        <v>2005254.NI0</v>
      </c>
      <c r="B203" s="9" t="str">
        <f t="shared" si="10"/>
        <v/>
      </c>
      <c r="C203" s="10">
        <f t="shared" si="11"/>
        <v>43976</v>
      </c>
      <c r="D203">
        <v>2005254</v>
      </c>
      <c r="E203" t="s">
        <v>185</v>
      </c>
      <c r="F203" s="6">
        <v>43980</v>
      </c>
      <c r="H203" t="s">
        <v>188</v>
      </c>
      <c r="I203" t="s">
        <v>120</v>
      </c>
    </row>
    <row r="204" spans="1:9" x14ac:dyDescent="0.25">
      <c r="A204" s="8" t="str">
        <f t="shared" si="9"/>
        <v>2005317.NS0</v>
      </c>
      <c r="B204" s="9" t="str">
        <f t="shared" si="10"/>
        <v/>
      </c>
      <c r="C204" s="10">
        <f t="shared" si="11"/>
        <v>44025</v>
      </c>
      <c r="D204">
        <v>2005317</v>
      </c>
      <c r="E204" t="s">
        <v>169</v>
      </c>
      <c r="F204" s="6">
        <v>44029</v>
      </c>
      <c r="H204" t="s">
        <v>188</v>
      </c>
      <c r="I204" t="s">
        <v>120</v>
      </c>
    </row>
    <row r="205" spans="1:9" x14ac:dyDescent="0.25">
      <c r="A205" s="8" t="str">
        <f t="shared" si="9"/>
        <v>2005342.T02</v>
      </c>
      <c r="B205" s="9" t="str">
        <f t="shared" si="10"/>
        <v>2</v>
      </c>
      <c r="C205" s="10">
        <f t="shared" si="11"/>
        <v>44033</v>
      </c>
      <c r="D205">
        <v>2005342</v>
      </c>
      <c r="E205" t="s">
        <v>170</v>
      </c>
      <c r="F205" s="6">
        <v>44036</v>
      </c>
      <c r="G205">
        <v>21</v>
      </c>
      <c r="H205" t="s">
        <v>180</v>
      </c>
      <c r="I205" t="s">
        <v>120</v>
      </c>
    </row>
    <row r="206" spans="1:9" x14ac:dyDescent="0.25">
      <c r="A206" s="8" t="str">
        <f t="shared" si="9"/>
        <v>2005342.Z03</v>
      </c>
      <c r="B206" s="9" t="str">
        <f t="shared" si="10"/>
        <v>2</v>
      </c>
      <c r="C206" s="10">
        <f t="shared" si="11"/>
        <v>44033</v>
      </c>
      <c r="D206">
        <v>2005342</v>
      </c>
      <c r="E206" t="s">
        <v>153</v>
      </c>
      <c r="F206" s="6">
        <v>44036</v>
      </c>
      <c r="G206">
        <v>21</v>
      </c>
      <c r="H206" t="s">
        <v>180</v>
      </c>
      <c r="I206" t="s">
        <v>120</v>
      </c>
    </row>
    <row r="207" spans="1:9" x14ac:dyDescent="0.25">
      <c r="A207" s="8" t="str">
        <f t="shared" si="9"/>
        <v>2005342.ZS3</v>
      </c>
      <c r="B207" s="9" t="str">
        <f t="shared" si="10"/>
        <v>V</v>
      </c>
      <c r="C207" s="10">
        <f t="shared" si="11"/>
        <v>44064</v>
      </c>
      <c r="D207">
        <v>2005342</v>
      </c>
      <c r="E207" t="s">
        <v>305</v>
      </c>
      <c r="F207" s="6">
        <v>44071</v>
      </c>
      <c r="G207" t="s">
        <v>228</v>
      </c>
      <c r="H207" t="s">
        <v>180</v>
      </c>
      <c r="I207" t="s">
        <v>120</v>
      </c>
    </row>
    <row r="208" spans="1:9" x14ac:dyDescent="0.25">
      <c r="A208" s="8" t="str">
        <f t="shared" si="9"/>
        <v>2005364.0S0</v>
      </c>
      <c r="B208" s="9" t="str">
        <f t="shared" si="10"/>
        <v>J</v>
      </c>
      <c r="C208" s="10">
        <f t="shared" si="11"/>
        <v>44063</v>
      </c>
      <c r="D208">
        <v>2005364</v>
      </c>
      <c r="E208" t="s">
        <v>174</v>
      </c>
      <c r="F208" s="6">
        <v>44071</v>
      </c>
      <c r="G208" t="s">
        <v>306</v>
      </c>
      <c r="H208" t="s">
        <v>180</v>
      </c>
      <c r="I208" t="s">
        <v>120</v>
      </c>
    </row>
    <row r="209" spans="1:9" x14ac:dyDescent="0.25">
      <c r="A209" s="8" t="str">
        <f t="shared" si="9"/>
        <v>2005387.H00</v>
      </c>
      <c r="B209" s="9" t="str">
        <f t="shared" si="10"/>
        <v/>
      </c>
      <c r="C209" s="10">
        <f t="shared" si="11"/>
        <v>44074</v>
      </c>
      <c r="D209">
        <v>2005387</v>
      </c>
      <c r="E209" t="s">
        <v>122</v>
      </c>
      <c r="F209" s="6">
        <v>44078</v>
      </c>
      <c r="H209" t="s">
        <v>180</v>
      </c>
      <c r="I209" t="s">
        <v>120</v>
      </c>
    </row>
    <row r="210" spans="1:9" x14ac:dyDescent="0.25">
      <c r="A210" s="8" t="str">
        <f t="shared" si="9"/>
        <v>2005387.HP0</v>
      </c>
      <c r="B210" s="9" t="str">
        <f t="shared" si="10"/>
        <v/>
      </c>
      <c r="C210" s="10">
        <f t="shared" si="11"/>
        <v>44074</v>
      </c>
      <c r="D210">
        <v>2005387</v>
      </c>
      <c r="E210" t="s">
        <v>121</v>
      </c>
      <c r="F210" s="6">
        <v>44078</v>
      </c>
      <c r="H210" t="s">
        <v>180</v>
      </c>
      <c r="I210" t="s">
        <v>120</v>
      </c>
    </row>
    <row r="211" spans="1:9" x14ac:dyDescent="0.25">
      <c r="A211" s="8" t="str">
        <f t="shared" si="9"/>
        <v>2005387.Y01</v>
      </c>
      <c r="B211" s="9" t="str">
        <f t="shared" si="10"/>
        <v/>
      </c>
      <c r="C211" s="10">
        <f t="shared" si="11"/>
        <v>44074</v>
      </c>
      <c r="D211">
        <v>2005387</v>
      </c>
      <c r="E211" t="s">
        <v>132</v>
      </c>
      <c r="F211" s="6">
        <v>44078</v>
      </c>
      <c r="H211" t="s">
        <v>180</v>
      </c>
      <c r="I211" t="s">
        <v>120</v>
      </c>
    </row>
    <row r="212" spans="1:9" x14ac:dyDescent="0.25">
      <c r="A212" s="8" t="str">
        <f t="shared" si="9"/>
        <v>2005393.H02</v>
      </c>
      <c r="B212" s="9" t="str">
        <f t="shared" si="10"/>
        <v/>
      </c>
      <c r="C212" s="10">
        <f t="shared" si="11"/>
        <v>44011</v>
      </c>
      <c r="D212">
        <v>2005393</v>
      </c>
      <c r="E212" t="s">
        <v>156</v>
      </c>
      <c r="F212" s="6">
        <v>44015</v>
      </c>
      <c r="H212" t="s">
        <v>188</v>
      </c>
      <c r="I212" t="s">
        <v>120</v>
      </c>
    </row>
    <row r="213" spans="1:9" x14ac:dyDescent="0.25">
      <c r="A213" s="8" t="str">
        <f t="shared" si="9"/>
        <v>2005395.NV0</v>
      </c>
      <c r="B213" s="9" t="str">
        <f t="shared" si="10"/>
        <v/>
      </c>
      <c r="C213" s="10">
        <f t="shared" si="11"/>
        <v>44074</v>
      </c>
      <c r="D213">
        <v>2005395</v>
      </c>
      <c r="E213" t="s">
        <v>126</v>
      </c>
      <c r="F213" s="6">
        <v>44078</v>
      </c>
      <c r="H213" t="s">
        <v>188</v>
      </c>
      <c r="I213" t="s">
        <v>120</v>
      </c>
    </row>
    <row r="214" spans="1:9" x14ac:dyDescent="0.25">
      <c r="A214" s="8" t="str">
        <f t="shared" si="9"/>
        <v>2005406.N00</v>
      </c>
      <c r="B214" s="9" t="str">
        <f t="shared" si="10"/>
        <v/>
      </c>
      <c r="C214" s="10">
        <f t="shared" si="11"/>
        <v>43976</v>
      </c>
      <c r="D214">
        <v>2005406</v>
      </c>
      <c r="E214" t="s">
        <v>125</v>
      </c>
      <c r="F214" s="6">
        <v>43980</v>
      </c>
      <c r="H214" t="s">
        <v>188</v>
      </c>
      <c r="I214" t="s">
        <v>120</v>
      </c>
    </row>
    <row r="215" spans="1:9" x14ac:dyDescent="0.25">
      <c r="A215" s="8" t="str">
        <f t="shared" si="9"/>
        <v>2005415.H01</v>
      </c>
      <c r="B215" s="9" t="str">
        <f t="shared" si="10"/>
        <v/>
      </c>
      <c r="C215" s="10">
        <f t="shared" si="11"/>
        <v>44074</v>
      </c>
      <c r="D215">
        <v>2005415</v>
      </c>
      <c r="E215" t="s">
        <v>145</v>
      </c>
      <c r="F215" s="6">
        <v>44078</v>
      </c>
      <c r="H215" t="s">
        <v>180</v>
      </c>
      <c r="I215" t="s">
        <v>120</v>
      </c>
    </row>
    <row r="216" spans="1:9" x14ac:dyDescent="0.25">
      <c r="A216" s="8" t="str">
        <f t="shared" si="9"/>
        <v>2005415.ZP1</v>
      </c>
      <c r="B216" s="9" t="str">
        <f t="shared" si="10"/>
        <v/>
      </c>
      <c r="C216" s="10">
        <f t="shared" si="11"/>
        <v>44074</v>
      </c>
      <c r="D216">
        <v>2005415</v>
      </c>
      <c r="E216" t="s">
        <v>141</v>
      </c>
      <c r="F216" s="6">
        <v>44078</v>
      </c>
      <c r="H216" t="s">
        <v>180</v>
      </c>
      <c r="I216" t="s">
        <v>120</v>
      </c>
    </row>
    <row r="217" spans="1:9" x14ac:dyDescent="0.25">
      <c r="A217" s="8" t="str">
        <f t="shared" si="9"/>
        <v>2005431.N00</v>
      </c>
      <c r="B217" s="9" t="str">
        <f t="shared" si="10"/>
        <v>1</v>
      </c>
      <c r="C217" s="10">
        <f t="shared" si="11"/>
        <v>43976</v>
      </c>
      <c r="D217">
        <v>2005431</v>
      </c>
      <c r="E217" t="s">
        <v>125</v>
      </c>
      <c r="F217" s="6">
        <v>43980</v>
      </c>
      <c r="G217">
        <v>10</v>
      </c>
      <c r="H217" t="s">
        <v>188</v>
      </c>
      <c r="I217" t="s">
        <v>120</v>
      </c>
    </row>
    <row r="218" spans="1:9" x14ac:dyDescent="0.25">
      <c r="A218" s="8" t="str">
        <f t="shared" si="9"/>
        <v>2005436.H00</v>
      </c>
      <c r="B218" s="9" t="str">
        <f t="shared" si="10"/>
        <v>2</v>
      </c>
      <c r="C218" s="10">
        <f t="shared" si="11"/>
        <v>44068</v>
      </c>
      <c r="D218">
        <v>2005436</v>
      </c>
      <c r="E218" t="s">
        <v>122</v>
      </c>
      <c r="F218" s="6">
        <v>44071</v>
      </c>
      <c r="G218">
        <v>25</v>
      </c>
      <c r="H218" t="s">
        <v>180</v>
      </c>
      <c r="I218" t="s">
        <v>120</v>
      </c>
    </row>
    <row r="219" spans="1:9" x14ac:dyDescent="0.25">
      <c r="A219" s="8" t="str">
        <f t="shared" si="9"/>
        <v>2005436.Y00</v>
      </c>
      <c r="B219" s="9" t="str">
        <f t="shared" si="10"/>
        <v/>
      </c>
      <c r="C219" s="10">
        <f t="shared" si="11"/>
        <v>44088</v>
      </c>
      <c r="D219">
        <v>2005436</v>
      </c>
      <c r="E219" t="s">
        <v>130</v>
      </c>
      <c r="F219" s="6">
        <v>44092</v>
      </c>
      <c r="H219" t="s">
        <v>189</v>
      </c>
      <c r="I219" t="s">
        <v>120</v>
      </c>
    </row>
    <row r="220" spans="1:9" x14ac:dyDescent="0.25">
      <c r="A220" s="8" t="str">
        <f t="shared" si="9"/>
        <v>2005436.ZP2</v>
      </c>
      <c r="B220" s="9" t="str">
        <f t="shared" si="10"/>
        <v/>
      </c>
      <c r="C220" s="10">
        <f t="shared" si="11"/>
        <v>44088</v>
      </c>
      <c r="D220">
        <v>2005436</v>
      </c>
      <c r="E220" t="s">
        <v>151</v>
      </c>
      <c r="F220" s="6">
        <v>44092</v>
      </c>
      <c r="H220" t="s">
        <v>180</v>
      </c>
      <c r="I220" t="s">
        <v>120</v>
      </c>
    </row>
    <row r="221" spans="1:9" x14ac:dyDescent="0.25">
      <c r="A221" s="8" t="str">
        <f t="shared" si="9"/>
        <v>2005477.NS0</v>
      </c>
      <c r="B221" s="9" t="str">
        <f t="shared" si="10"/>
        <v>4</v>
      </c>
      <c r="C221" s="10">
        <f t="shared" si="11"/>
        <v>44070</v>
      </c>
      <c r="D221">
        <v>2005477</v>
      </c>
      <c r="E221" t="s">
        <v>169</v>
      </c>
      <c r="F221" s="6">
        <v>44071</v>
      </c>
      <c r="G221">
        <v>42</v>
      </c>
      <c r="H221" t="s">
        <v>180</v>
      </c>
      <c r="I221" t="s">
        <v>120</v>
      </c>
    </row>
    <row r="222" spans="1:9" x14ac:dyDescent="0.25">
      <c r="A222" s="8" t="str">
        <f t="shared" si="9"/>
        <v>2005488.US0</v>
      </c>
      <c r="B222" s="9" t="str">
        <f t="shared" si="10"/>
        <v>1</v>
      </c>
      <c r="C222" s="10">
        <f t="shared" si="11"/>
        <v>44067</v>
      </c>
      <c r="D222">
        <v>2005488</v>
      </c>
      <c r="E222" t="s">
        <v>276</v>
      </c>
      <c r="F222" s="6">
        <v>44071</v>
      </c>
      <c r="G222">
        <v>11</v>
      </c>
      <c r="H222" t="s">
        <v>180</v>
      </c>
      <c r="I222" t="s">
        <v>120</v>
      </c>
    </row>
    <row r="223" spans="1:9" x14ac:dyDescent="0.25">
      <c r="A223" s="8" t="str">
        <f t="shared" si="9"/>
        <v>2005509.HS2</v>
      </c>
      <c r="B223" s="9" t="str">
        <f t="shared" si="10"/>
        <v>1</v>
      </c>
      <c r="C223" s="10">
        <f t="shared" si="11"/>
        <v>44074</v>
      </c>
      <c r="D223">
        <v>2005509</v>
      </c>
      <c r="E223" t="s">
        <v>256</v>
      </c>
      <c r="F223" s="6">
        <v>44078</v>
      </c>
      <c r="G223">
        <v>1</v>
      </c>
      <c r="H223" t="s">
        <v>180</v>
      </c>
      <c r="I223" t="s">
        <v>120</v>
      </c>
    </row>
    <row r="224" spans="1:9" x14ac:dyDescent="0.25">
      <c r="A224" s="8" t="str">
        <f t="shared" si="9"/>
        <v>2005509.NS0</v>
      </c>
      <c r="B224" s="9" t="str">
        <f t="shared" si="10"/>
        <v>1</v>
      </c>
      <c r="C224" s="10">
        <f t="shared" si="11"/>
        <v>44074</v>
      </c>
      <c r="D224">
        <v>2005509</v>
      </c>
      <c r="E224" t="s">
        <v>169</v>
      </c>
      <c r="F224" s="6">
        <v>44078</v>
      </c>
      <c r="G224">
        <v>1</v>
      </c>
      <c r="H224" t="s">
        <v>180</v>
      </c>
      <c r="I224" t="s">
        <v>120</v>
      </c>
    </row>
    <row r="225" spans="1:9" x14ac:dyDescent="0.25">
      <c r="A225" s="8" t="str">
        <f t="shared" si="9"/>
        <v>2005514.U02</v>
      </c>
      <c r="B225" s="9" t="str">
        <f t="shared" si="10"/>
        <v/>
      </c>
      <c r="C225" s="10">
        <f t="shared" si="11"/>
        <v>44074</v>
      </c>
      <c r="D225">
        <v>2005514</v>
      </c>
      <c r="E225" t="s">
        <v>149</v>
      </c>
      <c r="F225" s="6">
        <v>44078</v>
      </c>
      <c r="H225" t="s">
        <v>180</v>
      </c>
      <c r="I225" t="s">
        <v>120</v>
      </c>
    </row>
    <row r="226" spans="1:9" x14ac:dyDescent="0.25">
      <c r="A226" s="8" t="str">
        <f t="shared" si="9"/>
        <v>2005514.UP2</v>
      </c>
      <c r="B226" s="9" t="str">
        <f t="shared" si="10"/>
        <v/>
      </c>
      <c r="C226" s="10">
        <f t="shared" si="11"/>
        <v>44074</v>
      </c>
      <c r="D226">
        <v>2005514</v>
      </c>
      <c r="E226" t="s">
        <v>160</v>
      </c>
      <c r="F226" s="6">
        <v>44078</v>
      </c>
      <c r="H226" t="s">
        <v>180</v>
      </c>
      <c r="I226" t="s">
        <v>120</v>
      </c>
    </row>
    <row r="227" spans="1:9" x14ac:dyDescent="0.25">
      <c r="A227" s="8" t="str">
        <f t="shared" si="9"/>
        <v>2005515.RELI</v>
      </c>
      <c r="B227" s="9" t="str">
        <f t="shared" si="10"/>
        <v/>
      </c>
      <c r="C227" s="10">
        <f t="shared" si="11"/>
        <v>44039</v>
      </c>
      <c r="D227">
        <v>2005515</v>
      </c>
      <c r="E227" t="s">
        <v>230</v>
      </c>
      <c r="F227" s="6">
        <v>44043</v>
      </c>
      <c r="H227" t="s">
        <v>180</v>
      </c>
      <c r="I227" t="s">
        <v>120</v>
      </c>
    </row>
    <row r="228" spans="1:9" x14ac:dyDescent="0.25">
      <c r="A228" s="8" t="str">
        <f t="shared" si="9"/>
        <v>2005527.T0L</v>
      </c>
      <c r="B228" s="9" t="str">
        <f t="shared" si="10"/>
        <v>2</v>
      </c>
      <c r="C228" s="10">
        <f t="shared" si="11"/>
        <v>44012</v>
      </c>
      <c r="D228">
        <v>2005527</v>
      </c>
      <c r="E228" t="s">
        <v>248</v>
      </c>
      <c r="F228" s="6">
        <v>44015</v>
      </c>
      <c r="G228">
        <v>20</v>
      </c>
      <c r="H228" t="s">
        <v>180</v>
      </c>
      <c r="I228" t="s">
        <v>120</v>
      </c>
    </row>
    <row r="229" spans="1:9" x14ac:dyDescent="0.25">
      <c r="A229" s="8" t="str">
        <f t="shared" si="9"/>
        <v>2005542.000</v>
      </c>
      <c r="B229" s="9" t="str">
        <f t="shared" si="10"/>
        <v/>
      </c>
      <c r="C229" s="10">
        <f t="shared" si="11"/>
        <v>44081</v>
      </c>
      <c r="D229">
        <v>2005542</v>
      </c>
      <c r="E229">
        <v>0</v>
      </c>
      <c r="F229" s="6">
        <v>44085</v>
      </c>
      <c r="H229" t="s">
        <v>192</v>
      </c>
      <c r="I229" t="s">
        <v>120</v>
      </c>
    </row>
    <row r="230" spans="1:9" x14ac:dyDescent="0.25">
      <c r="A230" s="8" t="str">
        <f t="shared" si="9"/>
        <v>2005548.X00</v>
      </c>
      <c r="B230" s="9" t="str">
        <f t="shared" si="10"/>
        <v>2</v>
      </c>
      <c r="C230" s="10">
        <f t="shared" si="11"/>
        <v>44068</v>
      </c>
      <c r="D230">
        <v>2005548</v>
      </c>
      <c r="E230" t="s">
        <v>225</v>
      </c>
      <c r="F230" s="6">
        <v>44071</v>
      </c>
      <c r="G230">
        <v>23</v>
      </c>
      <c r="H230" t="s">
        <v>180</v>
      </c>
      <c r="I230" t="s">
        <v>120</v>
      </c>
    </row>
    <row r="231" spans="1:9" x14ac:dyDescent="0.25">
      <c r="A231" s="8" t="str">
        <f t="shared" si="9"/>
        <v>2005548.XP0</v>
      </c>
      <c r="B231" s="9" t="str">
        <f t="shared" si="10"/>
        <v>2</v>
      </c>
      <c r="C231" s="10">
        <f t="shared" si="11"/>
        <v>44068</v>
      </c>
      <c r="D231">
        <v>2005548</v>
      </c>
      <c r="E231" t="s">
        <v>181</v>
      </c>
      <c r="F231" s="6">
        <v>44071</v>
      </c>
      <c r="G231">
        <v>23</v>
      </c>
      <c r="H231" t="s">
        <v>180</v>
      </c>
      <c r="I231" t="s">
        <v>120</v>
      </c>
    </row>
    <row r="232" spans="1:9" x14ac:dyDescent="0.25">
      <c r="A232" s="8" t="str">
        <f t="shared" si="9"/>
        <v>2005551.YJ1</v>
      </c>
      <c r="B232" s="9" t="str">
        <f t="shared" si="10"/>
        <v/>
      </c>
      <c r="C232" s="10">
        <f t="shared" si="11"/>
        <v>44039</v>
      </c>
      <c r="D232">
        <v>2005551</v>
      </c>
      <c r="E232" t="s">
        <v>267</v>
      </c>
      <c r="F232" s="6">
        <v>44043</v>
      </c>
      <c r="H232" t="s">
        <v>180</v>
      </c>
      <c r="I232" t="s">
        <v>120</v>
      </c>
    </row>
    <row r="233" spans="1:9" x14ac:dyDescent="0.25">
      <c r="A233" s="8" t="str">
        <f t="shared" si="9"/>
        <v>2005598.HS0</v>
      </c>
      <c r="B233" s="9" t="str">
        <f t="shared" si="10"/>
        <v>3</v>
      </c>
      <c r="C233" s="10">
        <f t="shared" si="11"/>
        <v>44076</v>
      </c>
      <c r="D233">
        <v>2005598</v>
      </c>
      <c r="E233" t="s">
        <v>247</v>
      </c>
      <c r="F233" s="6">
        <v>44078</v>
      </c>
      <c r="G233">
        <v>36</v>
      </c>
      <c r="H233" t="s">
        <v>189</v>
      </c>
      <c r="I233" t="s">
        <v>120</v>
      </c>
    </row>
    <row r="234" spans="1:9" x14ac:dyDescent="0.25">
      <c r="A234" s="8" t="str">
        <f t="shared" si="9"/>
        <v>2005598.NJ1</v>
      </c>
      <c r="B234" s="9" t="str">
        <f t="shared" si="10"/>
        <v/>
      </c>
      <c r="C234" s="10">
        <f t="shared" si="11"/>
        <v>44039</v>
      </c>
      <c r="D234">
        <v>2005598</v>
      </c>
      <c r="E234" t="s">
        <v>186</v>
      </c>
      <c r="F234" s="6">
        <v>44043</v>
      </c>
      <c r="H234" t="s">
        <v>180</v>
      </c>
      <c r="I234" t="s">
        <v>120</v>
      </c>
    </row>
    <row r="235" spans="1:9" x14ac:dyDescent="0.25">
      <c r="A235" s="8" t="str">
        <f t="shared" si="9"/>
        <v>2005638.NS0</v>
      </c>
      <c r="B235" s="9" t="str">
        <f t="shared" si="10"/>
        <v/>
      </c>
      <c r="C235" s="10">
        <f t="shared" si="11"/>
        <v>44074</v>
      </c>
      <c r="D235">
        <v>2005638</v>
      </c>
      <c r="E235" t="s">
        <v>169</v>
      </c>
      <c r="F235" s="6">
        <v>44078</v>
      </c>
      <c r="H235" t="s">
        <v>180</v>
      </c>
      <c r="I235" t="s">
        <v>120</v>
      </c>
    </row>
    <row r="236" spans="1:9" x14ac:dyDescent="0.25">
      <c r="A236" s="8" t="str">
        <f t="shared" si="9"/>
        <v>2005647.0S0</v>
      </c>
      <c r="B236" s="9" t="str">
        <f t="shared" si="10"/>
        <v/>
      </c>
      <c r="C236" s="10">
        <f t="shared" si="11"/>
        <v>44074</v>
      </c>
      <c r="D236">
        <v>2005647</v>
      </c>
      <c r="E236" t="s">
        <v>174</v>
      </c>
      <c r="F236" s="6">
        <v>44078</v>
      </c>
      <c r="H236" t="s">
        <v>180</v>
      </c>
      <c r="I236" t="s">
        <v>120</v>
      </c>
    </row>
    <row r="237" spans="1:9" x14ac:dyDescent="0.25">
      <c r="A237" s="8" t="str">
        <f t="shared" si="9"/>
        <v>2005666.H00</v>
      </c>
      <c r="B237" s="9" t="str">
        <f t="shared" si="10"/>
        <v>V</v>
      </c>
      <c r="C237" s="10">
        <f t="shared" si="11"/>
        <v>44036</v>
      </c>
      <c r="D237">
        <v>2005666</v>
      </c>
      <c r="E237" t="s">
        <v>122</v>
      </c>
      <c r="F237" s="6">
        <v>44043</v>
      </c>
      <c r="G237" t="s">
        <v>228</v>
      </c>
      <c r="H237" t="s">
        <v>180</v>
      </c>
      <c r="I237" t="s">
        <v>120</v>
      </c>
    </row>
    <row r="238" spans="1:9" x14ac:dyDescent="0.25">
      <c r="A238" s="8" t="str">
        <f t="shared" si="9"/>
        <v>2005666.Y00</v>
      </c>
      <c r="B238" s="9" t="str">
        <f t="shared" si="10"/>
        <v>V</v>
      </c>
      <c r="C238" s="10">
        <f t="shared" si="11"/>
        <v>44036</v>
      </c>
      <c r="D238">
        <v>2005666</v>
      </c>
      <c r="E238" t="s">
        <v>130</v>
      </c>
      <c r="F238" s="6">
        <v>44043</v>
      </c>
      <c r="G238" t="s">
        <v>228</v>
      </c>
      <c r="H238" t="s">
        <v>180</v>
      </c>
      <c r="I238" t="s">
        <v>120</v>
      </c>
    </row>
    <row r="239" spans="1:9" x14ac:dyDescent="0.25">
      <c r="A239" s="8" t="str">
        <f t="shared" si="9"/>
        <v>2005669.NS0</v>
      </c>
      <c r="B239" s="9" t="str">
        <f t="shared" si="10"/>
        <v/>
      </c>
      <c r="C239" s="10">
        <f t="shared" si="11"/>
        <v>44074</v>
      </c>
      <c r="D239">
        <v>2005669</v>
      </c>
      <c r="E239" t="s">
        <v>169</v>
      </c>
      <c r="F239" s="6">
        <v>44078</v>
      </c>
      <c r="H239" t="s">
        <v>180</v>
      </c>
      <c r="I239" t="s">
        <v>120</v>
      </c>
    </row>
    <row r="240" spans="1:9" x14ac:dyDescent="0.25">
      <c r="A240" s="8" t="str">
        <f t="shared" si="9"/>
        <v>2005695.N0L</v>
      </c>
      <c r="B240" s="9" t="str">
        <f t="shared" si="10"/>
        <v/>
      </c>
      <c r="C240" s="10">
        <f t="shared" si="11"/>
        <v>43983</v>
      </c>
      <c r="D240">
        <v>2005695</v>
      </c>
      <c r="E240" t="s">
        <v>133</v>
      </c>
      <c r="F240" s="6">
        <v>43987</v>
      </c>
      <c r="H240" t="s">
        <v>188</v>
      </c>
      <c r="I240" t="s">
        <v>120</v>
      </c>
    </row>
    <row r="241" spans="1:9" x14ac:dyDescent="0.25">
      <c r="A241" s="8" t="str">
        <f t="shared" si="9"/>
        <v>2005710.0P0</v>
      </c>
      <c r="B241" s="9" t="str">
        <f t="shared" si="10"/>
        <v/>
      </c>
      <c r="C241" s="10">
        <f t="shared" si="11"/>
        <v>44081</v>
      </c>
      <c r="D241">
        <v>2005710</v>
      </c>
      <c r="E241" t="s">
        <v>119</v>
      </c>
      <c r="F241" s="6">
        <v>44085</v>
      </c>
      <c r="H241" t="s">
        <v>266</v>
      </c>
      <c r="I241" t="s">
        <v>120</v>
      </c>
    </row>
    <row r="242" spans="1:9" x14ac:dyDescent="0.25">
      <c r="A242" s="8" t="str">
        <f t="shared" si="9"/>
        <v>2005751.000</v>
      </c>
      <c r="B242" s="9" t="str">
        <f t="shared" si="10"/>
        <v/>
      </c>
      <c r="C242" s="10">
        <f t="shared" si="11"/>
        <v>44074</v>
      </c>
      <c r="D242">
        <v>2005751</v>
      </c>
      <c r="E242">
        <v>0</v>
      </c>
      <c r="F242" s="6">
        <v>44078</v>
      </c>
      <c r="H242" t="s">
        <v>180</v>
      </c>
      <c r="I242" t="s">
        <v>120</v>
      </c>
    </row>
    <row r="243" spans="1:9" x14ac:dyDescent="0.25">
      <c r="A243" s="8" t="str">
        <f t="shared" si="9"/>
        <v>2005796.HPL</v>
      </c>
      <c r="B243" s="9" t="str">
        <f t="shared" si="10"/>
        <v>2</v>
      </c>
      <c r="C243" s="10">
        <f t="shared" si="11"/>
        <v>44033</v>
      </c>
      <c r="D243">
        <v>2005796</v>
      </c>
      <c r="E243" t="s">
        <v>128</v>
      </c>
      <c r="F243" s="6">
        <v>44036</v>
      </c>
      <c r="G243">
        <v>20</v>
      </c>
      <c r="H243" t="s">
        <v>180</v>
      </c>
      <c r="I243" t="s">
        <v>120</v>
      </c>
    </row>
    <row r="244" spans="1:9" x14ac:dyDescent="0.25">
      <c r="A244" s="8" t="str">
        <f t="shared" si="9"/>
        <v>2005796.K01</v>
      </c>
      <c r="B244" s="9" t="str">
        <f t="shared" si="10"/>
        <v>2</v>
      </c>
      <c r="C244" s="10">
        <f t="shared" si="11"/>
        <v>44033</v>
      </c>
      <c r="D244">
        <v>2005796</v>
      </c>
      <c r="E244" t="s">
        <v>255</v>
      </c>
      <c r="F244" s="6">
        <v>44036</v>
      </c>
      <c r="G244">
        <v>20</v>
      </c>
      <c r="H244" t="s">
        <v>180</v>
      </c>
      <c r="I244" t="s">
        <v>120</v>
      </c>
    </row>
    <row r="245" spans="1:9" x14ac:dyDescent="0.25">
      <c r="A245" s="8" t="str">
        <f t="shared" si="9"/>
        <v>2005796.T01</v>
      </c>
      <c r="B245" s="9" t="str">
        <f t="shared" si="10"/>
        <v>2</v>
      </c>
      <c r="C245" s="10">
        <f t="shared" si="11"/>
        <v>44033</v>
      </c>
      <c r="D245">
        <v>2005796</v>
      </c>
      <c r="E245" t="s">
        <v>146</v>
      </c>
      <c r="F245" s="6">
        <v>44036</v>
      </c>
      <c r="G245">
        <v>20</v>
      </c>
      <c r="H245" t="s">
        <v>180</v>
      </c>
      <c r="I245" t="s">
        <v>120</v>
      </c>
    </row>
    <row r="246" spans="1:9" x14ac:dyDescent="0.25">
      <c r="A246" s="8" t="str">
        <f t="shared" si="9"/>
        <v>2005796.TP1</v>
      </c>
      <c r="B246" s="9" t="str">
        <f t="shared" si="10"/>
        <v>2</v>
      </c>
      <c r="C246" s="10">
        <f t="shared" si="11"/>
        <v>44033</v>
      </c>
      <c r="D246">
        <v>2005796</v>
      </c>
      <c r="E246" t="s">
        <v>209</v>
      </c>
      <c r="F246" s="6">
        <v>44036</v>
      </c>
      <c r="G246">
        <v>20</v>
      </c>
      <c r="H246" t="s">
        <v>180</v>
      </c>
      <c r="I246" t="s">
        <v>120</v>
      </c>
    </row>
    <row r="247" spans="1:9" x14ac:dyDescent="0.25">
      <c r="A247" s="8" t="str">
        <f t="shared" si="9"/>
        <v>2005796.Y00</v>
      </c>
      <c r="B247" s="9" t="str">
        <f t="shared" si="10"/>
        <v>2</v>
      </c>
      <c r="C247" s="10">
        <f t="shared" si="11"/>
        <v>44033</v>
      </c>
      <c r="D247">
        <v>2005796</v>
      </c>
      <c r="E247" t="s">
        <v>130</v>
      </c>
      <c r="F247" s="6">
        <v>44036</v>
      </c>
      <c r="G247">
        <v>20</v>
      </c>
      <c r="H247" t="s">
        <v>180</v>
      </c>
      <c r="I247" t="s">
        <v>120</v>
      </c>
    </row>
    <row r="248" spans="1:9" x14ac:dyDescent="0.25">
      <c r="A248" s="8" t="str">
        <f t="shared" si="9"/>
        <v>2005816.000</v>
      </c>
      <c r="B248" s="9" t="str">
        <f t="shared" si="10"/>
        <v/>
      </c>
      <c r="C248" s="10">
        <f t="shared" si="11"/>
        <v>44088</v>
      </c>
      <c r="D248">
        <v>2005816</v>
      </c>
      <c r="E248">
        <v>0</v>
      </c>
      <c r="F248" s="6">
        <v>44092</v>
      </c>
      <c r="H248" t="s">
        <v>189</v>
      </c>
      <c r="I248" t="s">
        <v>120</v>
      </c>
    </row>
    <row r="249" spans="1:9" x14ac:dyDescent="0.25">
      <c r="A249" s="8" t="str">
        <f t="shared" si="9"/>
        <v>2005823.NV0</v>
      </c>
      <c r="B249" s="9" t="str">
        <f t="shared" si="10"/>
        <v/>
      </c>
      <c r="C249" s="10">
        <f t="shared" si="11"/>
        <v>44067</v>
      </c>
      <c r="D249">
        <v>2005823</v>
      </c>
      <c r="E249" t="s">
        <v>126</v>
      </c>
      <c r="F249" s="6">
        <v>44071</v>
      </c>
      <c r="H249" t="s">
        <v>180</v>
      </c>
      <c r="I249" t="s">
        <v>120</v>
      </c>
    </row>
    <row r="250" spans="1:9" x14ac:dyDescent="0.25">
      <c r="A250" s="8" t="str">
        <f t="shared" si="9"/>
        <v>2005847.0P1</v>
      </c>
      <c r="B250" s="9" t="str">
        <f t="shared" si="10"/>
        <v>3</v>
      </c>
      <c r="C250" s="10">
        <f t="shared" si="11"/>
        <v>44069</v>
      </c>
      <c r="D250">
        <v>2005847</v>
      </c>
      <c r="E250" t="s">
        <v>238</v>
      </c>
      <c r="F250" s="6">
        <v>44071</v>
      </c>
      <c r="G250">
        <v>31</v>
      </c>
      <c r="H250" t="s">
        <v>180</v>
      </c>
      <c r="I250" t="s">
        <v>120</v>
      </c>
    </row>
    <row r="251" spans="1:9" x14ac:dyDescent="0.25">
      <c r="A251" s="8" t="str">
        <f t="shared" si="9"/>
        <v>2005847.Y02</v>
      </c>
      <c r="B251" s="9" t="str">
        <f t="shared" si="10"/>
        <v>3</v>
      </c>
      <c r="C251" s="10">
        <f t="shared" si="11"/>
        <v>44041</v>
      </c>
      <c r="D251">
        <v>2005847</v>
      </c>
      <c r="E251" t="s">
        <v>144</v>
      </c>
      <c r="F251" s="6">
        <v>44043</v>
      </c>
      <c r="G251">
        <v>31</v>
      </c>
      <c r="H251" t="s">
        <v>180</v>
      </c>
      <c r="I251" t="s">
        <v>134</v>
      </c>
    </row>
    <row r="252" spans="1:9" x14ac:dyDescent="0.25">
      <c r="A252" s="8" t="str">
        <f t="shared" si="9"/>
        <v>2005879.U02</v>
      </c>
      <c r="B252" s="9" t="str">
        <f t="shared" si="10"/>
        <v/>
      </c>
      <c r="C252" s="10">
        <f t="shared" si="11"/>
        <v>44074</v>
      </c>
      <c r="D252">
        <v>2005879</v>
      </c>
      <c r="E252" t="s">
        <v>149</v>
      </c>
      <c r="F252" s="6">
        <v>44078</v>
      </c>
      <c r="H252" t="s">
        <v>180</v>
      </c>
      <c r="I252" t="s">
        <v>120</v>
      </c>
    </row>
    <row r="253" spans="1:9" x14ac:dyDescent="0.25">
      <c r="A253" s="8" t="str">
        <f t="shared" si="9"/>
        <v>2005890.RELI</v>
      </c>
      <c r="B253" s="9" t="str">
        <f t="shared" si="10"/>
        <v/>
      </c>
      <c r="C253" s="10">
        <f t="shared" si="11"/>
        <v>44074</v>
      </c>
      <c r="D253">
        <v>2005890</v>
      </c>
      <c r="E253" t="s">
        <v>230</v>
      </c>
      <c r="F253" s="6">
        <v>44078</v>
      </c>
      <c r="H253" t="s">
        <v>180</v>
      </c>
      <c r="I253" t="s">
        <v>120</v>
      </c>
    </row>
    <row r="254" spans="1:9" x14ac:dyDescent="0.25">
      <c r="A254" s="8" t="str">
        <f t="shared" si="9"/>
        <v>2005898.UP2</v>
      </c>
      <c r="B254" s="9" t="str">
        <f t="shared" si="10"/>
        <v/>
      </c>
      <c r="C254" s="10">
        <f t="shared" si="11"/>
        <v>44116</v>
      </c>
      <c r="D254">
        <v>2005898</v>
      </c>
      <c r="E254" t="s">
        <v>160</v>
      </c>
      <c r="F254" s="6">
        <v>44120</v>
      </c>
      <c r="H254" t="s">
        <v>191</v>
      </c>
      <c r="I254" t="s">
        <v>120</v>
      </c>
    </row>
    <row r="255" spans="1:9" x14ac:dyDescent="0.25">
      <c r="A255" s="8" t="str">
        <f t="shared" si="9"/>
        <v>2005899.UP0</v>
      </c>
      <c r="B255" s="9" t="str">
        <f t="shared" si="10"/>
        <v>4</v>
      </c>
      <c r="C255" s="10">
        <f t="shared" si="11"/>
        <v>44070</v>
      </c>
      <c r="D255">
        <v>2005899</v>
      </c>
      <c r="E255" t="s">
        <v>136</v>
      </c>
      <c r="F255" s="6">
        <v>44071</v>
      </c>
      <c r="G255">
        <v>43</v>
      </c>
      <c r="H255" t="s">
        <v>180</v>
      </c>
      <c r="I255" t="s">
        <v>120</v>
      </c>
    </row>
    <row r="256" spans="1:9" x14ac:dyDescent="0.25">
      <c r="A256" s="8" t="str">
        <f t="shared" si="9"/>
        <v>2005900.X00</v>
      </c>
      <c r="B256" s="9" t="str">
        <f t="shared" si="10"/>
        <v/>
      </c>
      <c r="C256" s="10">
        <f t="shared" si="11"/>
        <v>44081</v>
      </c>
      <c r="D256">
        <v>2005900</v>
      </c>
      <c r="E256" t="s">
        <v>225</v>
      </c>
      <c r="F256" s="6">
        <v>44085</v>
      </c>
      <c r="H256" t="s">
        <v>189</v>
      </c>
      <c r="I256" t="s">
        <v>120</v>
      </c>
    </row>
    <row r="257" spans="1:9" x14ac:dyDescent="0.25">
      <c r="A257" s="8" t="str">
        <f t="shared" si="9"/>
        <v>2005944.U01</v>
      </c>
      <c r="B257" s="9" t="str">
        <f t="shared" si="10"/>
        <v/>
      </c>
      <c r="C257" s="10">
        <f t="shared" si="11"/>
        <v>44088</v>
      </c>
      <c r="D257">
        <v>2005944</v>
      </c>
      <c r="E257" t="s">
        <v>150</v>
      </c>
      <c r="F257" s="6">
        <v>44092</v>
      </c>
      <c r="H257" t="s">
        <v>189</v>
      </c>
      <c r="I257" t="s">
        <v>120</v>
      </c>
    </row>
    <row r="258" spans="1:9" x14ac:dyDescent="0.25">
      <c r="A258" s="8" t="str">
        <f t="shared" ref="A258:A321" si="12">IF(D258="","",IF(E258=0,CONCATENATE(D258,".",E258,"00"),CONCATENATE(D258,".",E258)))</f>
        <v>2005951.0S0</v>
      </c>
      <c r="B258" s="9" t="str">
        <f t="shared" ref="B258:B321" si="13">LEFT(G258,1)</f>
        <v/>
      </c>
      <c r="C258" s="10">
        <f t="shared" ref="C258:C321" si="14">IF(F258="","",IF(B258="",F258-4,IF(B258="1",F258-4,IF(B258="2",F258-3,IF(B258="3",F258-2,IF(B258="4",F258-1,IF(B258="V",F258-7,IF(B258="J",F258-8,F258))))))))</f>
        <v>44081</v>
      </c>
      <c r="D258">
        <v>2005951</v>
      </c>
      <c r="E258" t="s">
        <v>174</v>
      </c>
      <c r="F258" s="6">
        <v>44085</v>
      </c>
      <c r="H258" t="s">
        <v>180</v>
      </c>
      <c r="I258" t="s">
        <v>120</v>
      </c>
    </row>
    <row r="259" spans="1:9" x14ac:dyDescent="0.25">
      <c r="A259" s="8" t="str">
        <f t="shared" si="12"/>
        <v>2005954.0S0</v>
      </c>
      <c r="B259" s="9" t="str">
        <f t="shared" si="13"/>
        <v/>
      </c>
      <c r="C259" s="10">
        <f t="shared" si="14"/>
        <v>44081</v>
      </c>
      <c r="D259">
        <v>2005954</v>
      </c>
      <c r="E259" t="s">
        <v>174</v>
      </c>
      <c r="F259" s="6">
        <v>44085</v>
      </c>
      <c r="H259" t="s">
        <v>180</v>
      </c>
      <c r="I259" t="s">
        <v>120</v>
      </c>
    </row>
    <row r="260" spans="1:9" x14ac:dyDescent="0.25">
      <c r="A260" s="8" t="str">
        <f t="shared" si="12"/>
        <v>2005954.NS0</v>
      </c>
      <c r="B260" s="9" t="str">
        <f t="shared" si="13"/>
        <v/>
      </c>
      <c r="C260" s="10">
        <f t="shared" si="14"/>
        <v>44081</v>
      </c>
      <c r="D260">
        <v>2005954</v>
      </c>
      <c r="E260" t="s">
        <v>169</v>
      </c>
      <c r="F260" s="6">
        <v>44085</v>
      </c>
      <c r="H260" t="s">
        <v>180</v>
      </c>
      <c r="I260" t="s">
        <v>120</v>
      </c>
    </row>
    <row r="261" spans="1:9" x14ac:dyDescent="0.25">
      <c r="A261" s="8" t="str">
        <f t="shared" si="12"/>
        <v>2005954.US0</v>
      </c>
      <c r="B261" s="9" t="str">
        <f t="shared" si="13"/>
        <v/>
      </c>
      <c r="C261" s="10">
        <f t="shared" si="14"/>
        <v>44081</v>
      </c>
      <c r="D261">
        <v>2005954</v>
      </c>
      <c r="E261" t="s">
        <v>276</v>
      </c>
      <c r="F261" s="6">
        <v>44085</v>
      </c>
      <c r="H261" t="s">
        <v>180</v>
      </c>
      <c r="I261" t="s">
        <v>120</v>
      </c>
    </row>
    <row r="262" spans="1:9" x14ac:dyDescent="0.25">
      <c r="A262" s="8" t="str">
        <f t="shared" si="12"/>
        <v>2005959.C00</v>
      </c>
      <c r="B262" s="9" t="str">
        <f t="shared" si="13"/>
        <v/>
      </c>
      <c r="C262" s="10">
        <f t="shared" si="14"/>
        <v>44074</v>
      </c>
      <c r="D262">
        <v>2005959</v>
      </c>
      <c r="E262" t="s">
        <v>147</v>
      </c>
      <c r="F262" s="6">
        <v>44078</v>
      </c>
      <c r="H262" t="s">
        <v>180</v>
      </c>
      <c r="I262" t="s">
        <v>120</v>
      </c>
    </row>
    <row r="263" spans="1:9" x14ac:dyDescent="0.25">
      <c r="A263" s="8" t="str">
        <f t="shared" si="12"/>
        <v>2005961.000</v>
      </c>
      <c r="B263" s="9" t="str">
        <f t="shared" si="13"/>
        <v/>
      </c>
      <c r="C263" s="10">
        <f t="shared" si="14"/>
        <v>44004</v>
      </c>
      <c r="D263">
        <v>2005961</v>
      </c>
      <c r="E263">
        <v>0</v>
      </c>
      <c r="F263" s="6">
        <v>44008</v>
      </c>
      <c r="H263" t="s">
        <v>191</v>
      </c>
      <c r="I263" t="s">
        <v>120</v>
      </c>
    </row>
    <row r="264" spans="1:9" x14ac:dyDescent="0.25">
      <c r="A264" s="8" t="str">
        <f t="shared" si="12"/>
        <v>2005968.0P0</v>
      </c>
      <c r="B264" s="9" t="str">
        <f t="shared" si="13"/>
        <v/>
      </c>
      <c r="C264" s="10">
        <f t="shared" si="14"/>
        <v>44074</v>
      </c>
      <c r="D264">
        <v>2005968</v>
      </c>
      <c r="E264" t="s">
        <v>119</v>
      </c>
      <c r="F264" s="6">
        <v>44078</v>
      </c>
      <c r="H264" t="s">
        <v>180</v>
      </c>
      <c r="I264" t="s">
        <v>120</v>
      </c>
    </row>
    <row r="265" spans="1:9" x14ac:dyDescent="0.25">
      <c r="A265" s="8" t="str">
        <f t="shared" si="12"/>
        <v>2005973.NQ0</v>
      </c>
      <c r="B265" s="9" t="str">
        <f t="shared" si="13"/>
        <v>1</v>
      </c>
      <c r="C265" s="10">
        <f t="shared" si="14"/>
        <v>44067</v>
      </c>
      <c r="D265">
        <v>2005973</v>
      </c>
      <c r="E265" t="s">
        <v>165</v>
      </c>
      <c r="F265" s="6">
        <v>44071</v>
      </c>
      <c r="G265">
        <v>13</v>
      </c>
      <c r="H265" t="s">
        <v>194</v>
      </c>
      <c r="I265" t="s">
        <v>120</v>
      </c>
    </row>
    <row r="266" spans="1:9" x14ac:dyDescent="0.25">
      <c r="A266" s="8" t="str">
        <f t="shared" si="12"/>
        <v>2005980.HS1</v>
      </c>
      <c r="B266" s="9" t="str">
        <f t="shared" si="13"/>
        <v>3</v>
      </c>
      <c r="C266" s="10">
        <f t="shared" si="14"/>
        <v>44034</v>
      </c>
      <c r="D266">
        <v>2005980</v>
      </c>
      <c r="E266" t="s">
        <v>269</v>
      </c>
      <c r="F266" s="6">
        <v>44036</v>
      </c>
      <c r="G266">
        <v>30</v>
      </c>
      <c r="H266" t="s">
        <v>180</v>
      </c>
      <c r="I266" t="s">
        <v>120</v>
      </c>
    </row>
    <row r="267" spans="1:9" x14ac:dyDescent="0.25">
      <c r="A267" s="8" t="str">
        <f t="shared" si="12"/>
        <v>2005980.HSB</v>
      </c>
      <c r="B267" s="9" t="str">
        <f t="shared" si="13"/>
        <v>3</v>
      </c>
      <c r="C267" s="10">
        <f t="shared" si="14"/>
        <v>44041</v>
      </c>
      <c r="D267">
        <v>2005980</v>
      </c>
      <c r="E267" t="s">
        <v>282</v>
      </c>
      <c r="F267" s="6">
        <v>44043</v>
      </c>
      <c r="G267">
        <v>30</v>
      </c>
      <c r="H267" t="s">
        <v>180</v>
      </c>
      <c r="I267" t="s">
        <v>120</v>
      </c>
    </row>
    <row r="268" spans="1:9" x14ac:dyDescent="0.25">
      <c r="A268" s="8" t="str">
        <f t="shared" si="12"/>
        <v>2005980.SAVE2</v>
      </c>
      <c r="B268" s="9" t="str">
        <f t="shared" si="13"/>
        <v/>
      </c>
      <c r="C268" s="10">
        <f t="shared" si="14"/>
        <v>44032</v>
      </c>
      <c r="D268">
        <v>2005980</v>
      </c>
      <c r="E268" t="s">
        <v>283</v>
      </c>
      <c r="F268" s="6">
        <v>44036</v>
      </c>
      <c r="H268" t="s">
        <v>188</v>
      </c>
      <c r="I268" t="s">
        <v>120</v>
      </c>
    </row>
    <row r="269" spans="1:9" x14ac:dyDescent="0.25">
      <c r="A269" s="8" t="str">
        <f t="shared" si="12"/>
        <v>2006012.000</v>
      </c>
      <c r="B269" s="9" t="str">
        <f t="shared" si="13"/>
        <v/>
      </c>
      <c r="C269" s="10">
        <f t="shared" si="14"/>
        <v>44088</v>
      </c>
      <c r="D269">
        <v>2006012</v>
      </c>
      <c r="E269">
        <v>0</v>
      </c>
      <c r="F269" s="6">
        <v>44092</v>
      </c>
      <c r="H269" t="s">
        <v>189</v>
      </c>
      <c r="I269" t="s">
        <v>120</v>
      </c>
    </row>
    <row r="270" spans="1:9" x14ac:dyDescent="0.25">
      <c r="A270" s="8" t="str">
        <f t="shared" si="12"/>
        <v>2006017.UP1</v>
      </c>
      <c r="B270" s="9" t="str">
        <f t="shared" si="13"/>
        <v/>
      </c>
      <c r="C270" s="10">
        <f t="shared" si="14"/>
        <v>44074</v>
      </c>
      <c r="D270">
        <v>2006017</v>
      </c>
      <c r="E270" t="s">
        <v>164</v>
      </c>
      <c r="F270" s="6">
        <v>44078</v>
      </c>
      <c r="H270" t="s">
        <v>180</v>
      </c>
      <c r="I270" t="s">
        <v>120</v>
      </c>
    </row>
    <row r="271" spans="1:9" x14ac:dyDescent="0.25">
      <c r="A271" s="8" t="str">
        <f t="shared" si="12"/>
        <v>2006018.U00</v>
      </c>
      <c r="B271" s="9" t="str">
        <f t="shared" si="13"/>
        <v/>
      </c>
      <c r="C271" s="10">
        <f t="shared" si="14"/>
        <v>44109</v>
      </c>
      <c r="D271">
        <v>2006018</v>
      </c>
      <c r="E271" t="s">
        <v>131</v>
      </c>
      <c r="F271" s="6">
        <v>44113</v>
      </c>
      <c r="H271" t="s">
        <v>192</v>
      </c>
      <c r="I271" t="s">
        <v>120</v>
      </c>
    </row>
    <row r="272" spans="1:9" x14ac:dyDescent="0.25">
      <c r="A272" s="8" t="str">
        <f t="shared" si="12"/>
        <v>2006018.UP0</v>
      </c>
      <c r="B272" s="9" t="str">
        <f t="shared" si="13"/>
        <v/>
      </c>
      <c r="C272" s="10">
        <f t="shared" si="14"/>
        <v>44109</v>
      </c>
      <c r="D272">
        <v>2006018</v>
      </c>
      <c r="E272" t="s">
        <v>136</v>
      </c>
      <c r="F272" s="6">
        <v>44113</v>
      </c>
      <c r="H272" t="s">
        <v>192</v>
      </c>
      <c r="I272" t="s">
        <v>120</v>
      </c>
    </row>
    <row r="273" spans="1:9" x14ac:dyDescent="0.25">
      <c r="A273" s="8" t="str">
        <f t="shared" si="12"/>
        <v>2006043.HP0</v>
      </c>
      <c r="B273" s="9" t="str">
        <f t="shared" si="13"/>
        <v/>
      </c>
      <c r="C273" s="10">
        <f t="shared" si="14"/>
        <v>44025</v>
      </c>
      <c r="D273">
        <v>2006043</v>
      </c>
      <c r="E273" t="s">
        <v>121</v>
      </c>
      <c r="F273" s="6">
        <v>44029</v>
      </c>
      <c r="H273" t="s">
        <v>192</v>
      </c>
      <c r="I273" t="s">
        <v>120</v>
      </c>
    </row>
    <row r="274" spans="1:9" x14ac:dyDescent="0.25">
      <c r="A274" s="8" t="str">
        <f t="shared" si="12"/>
        <v>2006072.000</v>
      </c>
      <c r="B274" s="9" t="str">
        <f t="shared" si="13"/>
        <v/>
      </c>
      <c r="C274" s="10">
        <f t="shared" si="14"/>
        <v>44074</v>
      </c>
      <c r="D274">
        <v>2006072</v>
      </c>
      <c r="E274">
        <v>0</v>
      </c>
      <c r="F274" s="6">
        <v>44078</v>
      </c>
      <c r="H274" t="s">
        <v>180</v>
      </c>
      <c r="I274" t="s">
        <v>120</v>
      </c>
    </row>
    <row r="275" spans="1:9" x14ac:dyDescent="0.25">
      <c r="A275" s="8" t="str">
        <f t="shared" si="12"/>
        <v>2006080.NV0</v>
      </c>
      <c r="B275" s="9" t="str">
        <f t="shared" si="13"/>
        <v/>
      </c>
      <c r="C275" s="10">
        <f t="shared" si="14"/>
        <v>44074</v>
      </c>
      <c r="D275">
        <v>2006080</v>
      </c>
      <c r="E275" t="s">
        <v>126</v>
      </c>
      <c r="F275" s="6">
        <v>44078</v>
      </c>
      <c r="H275" t="s">
        <v>180</v>
      </c>
      <c r="I275" t="s">
        <v>120</v>
      </c>
    </row>
    <row r="276" spans="1:9" x14ac:dyDescent="0.25">
      <c r="A276" s="8" t="str">
        <f t="shared" si="12"/>
        <v>2006147.NQ0</v>
      </c>
      <c r="B276" s="9" t="str">
        <f t="shared" si="13"/>
        <v/>
      </c>
      <c r="C276" s="10">
        <f t="shared" si="14"/>
        <v>43990</v>
      </c>
      <c r="D276">
        <v>2006147</v>
      </c>
      <c r="E276" t="s">
        <v>165</v>
      </c>
      <c r="F276" s="6">
        <v>43994</v>
      </c>
      <c r="H276" t="s">
        <v>188</v>
      </c>
      <c r="I276" t="s">
        <v>120</v>
      </c>
    </row>
    <row r="277" spans="1:9" x14ac:dyDescent="0.25">
      <c r="A277" s="8" t="str">
        <f t="shared" si="12"/>
        <v>2006152.000</v>
      </c>
      <c r="B277" s="9" t="str">
        <f t="shared" si="13"/>
        <v/>
      </c>
      <c r="C277" s="10">
        <f t="shared" si="14"/>
        <v>44074</v>
      </c>
      <c r="D277">
        <v>2006152</v>
      </c>
      <c r="E277">
        <v>0</v>
      </c>
      <c r="F277" s="6">
        <v>44078</v>
      </c>
      <c r="H277" t="s">
        <v>180</v>
      </c>
      <c r="I277" t="s">
        <v>120</v>
      </c>
    </row>
    <row r="278" spans="1:9" x14ac:dyDescent="0.25">
      <c r="A278" s="8" t="str">
        <f t="shared" si="12"/>
        <v>2006152.0P0</v>
      </c>
      <c r="B278" s="9" t="str">
        <f t="shared" si="13"/>
        <v/>
      </c>
      <c r="C278" s="10">
        <f t="shared" si="14"/>
        <v>44074</v>
      </c>
      <c r="D278">
        <v>2006152</v>
      </c>
      <c r="E278" t="s">
        <v>119</v>
      </c>
      <c r="F278" s="6">
        <v>44078</v>
      </c>
      <c r="H278" t="s">
        <v>180</v>
      </c>
      <c r="I278" t="s">
        <v>120</v>
      </c>
    </row>
    <row r="279" spans="1:9" x14ac:dyDescent="0.25">
      <c r="A279" s="8" t="str">
        <f t="shared" si="12"/>
        <v>2006153.XP0</v>
      </c>
      <c r="B279" s="9" t="str">
        <f t="shared" si="13"/>
        <v>2</v>
      </c>
      <c r="C279" s="10">
        <f t="shared" si="14"/>
        <v>44068</v>
      </c>
      <c r="D279">
        <v>2006153</v>
      </c>
      <c r="E279" t="s">
        <v>181</v>
      </c>
      <c r="F279" s="6">
        <v>44071</v>
      </c>
      <c r="G279">
        <v>23</v>
      </c>
      <c r="H279" t="s">
        <v>180</v>
      </c>
      <c r="I279" t="s">
        <v>120</v>
      </c>
    </row>
    <row r="280" spans="1:9" x14ac:dyDescent="0.25">
      <c r="A280" s="8" t="str">
        <f t="shared" si="12"/>
        <v>2006170.TP2</v>
      </c>
      <c r="B280" s="9" t="str">
        <f t="shared" si="13"/>
        <v>4</v>
      </c>
      <c r="C280" s="10">
        <f t="shared" si="14"/>
        <v>44042</v>
      </c>
      <c r="D280">
        <v>2006170</v>
      </c>
      <c r="E280" t="s">
        <v>265</v>
      </c>
      <c r="F280" s="6">
        <v>44043</v>
      </c>
      <c r="G280">
        <v>41</v>
      </c>
      <c r="H280" t="s">
        <v>180</v>
      </c>
      <c r="I280" t="s">
        <v>120</v>
      </c>
    </row>
    <row r="281" spans="1:9" x14ac:dyDescent="0.25">
      <c r="A281" s="8" t="str">
        <f t="shared" si="12"/>
        <v>2006195.U00</v>
      </c>
      <c r="B281" s="9" t="str">
        <f t="shared" si="13"/>
        <v/>
      </c>
      <c r="C281" s="10">
        <f t="shared" si="14"/>
        <v>44067</v>
      </c>
      <c r="D281">
        <v>2006195</v>
      </c>
      <c r="E281" t="s">
        <v>131</v>
      </c>
      <c r="F281" s="6">
        <v>44071</v>
      </c>
      <c r="H281" t="s">
        <v>188</v>
      </c>
      <c r="I281" t="s">
        <v>120</v>
      </c>
    </row>
    <row r="282" spans="1:9" x14ac:dyDescent="0.25">
      <c r="A282" s="8" t="str">
        <f t="shared" si="12"/>
        <v>2006195.Y00</v>
      </c>
      <c r="B282" s="9" t="str">
        <f t="shared" si="13"/>
        <v/>
      </c>
      <c r="C282" s="10">
        <f t="shared" si="14"/>
        <v>44025</v>
      </c>
      <c r="D282">
        <v>2006195</v>
      </c>
      <c r="E282" t="s">
        <v>130</v>
      </c>
      <c r="F282" s="6">
        <v>44029</v>
      </c>
      <c r="H282" t="s">
        <v>188</v>
      </c>
      <c r="I282" t="s">
        <v>120</v>
      </c>
    </row>
    <row r="283" spans="1:9" x14ac:dyDescent="0.25">
      <c r="A283" s="8" t="str">
        <f t="shared" si="12"/>
        <v>2006199.NS0</v>
      </c>
      <c r="B283" s="9" t="str">
        <f t="shared" si="13"/>
        <v/>
      </c>
      <c r="C283" s="10">
        <f t="shared" si="14"/>
        <v>44067</v>
      </c>
      <c r="D283">
        <v>2006199</v>
      </c>
      <c r="E283" t="s">
        <v>169</v>
      </c>
      <c r="F283" s="6">
        <v>44071</v>
      </c>
      <c r="H283" t="s">
        <v>180</v>
      </c>
      <c r="I283" t="s">
        <v>120</v>
      </c>
    </row>
    <row r="284" spans="1:9" x14ac:dyDescent="0.25">
      <c r="A284" s="8" t="str">
        <f t="shared" si="12"/>
        <v>2006206.0S0</v>
      </c>
      <c r="B284" s="9" t="str">
        <f t="shared" si="13"/>
        <v/>
      </c>
      <c r="C284" s="10">
        <f t="shared" si="14"/>
        <v>44081</v>
      </c>
      <c r="D284">
        <v>2006206</v>
      </c>
      <c r="E284" t="s">
        <v>174</v>
      </c>
      <c r="F284" s="6">
        <v>44085</v>
      </c>
      <c r="H284" t="s">
        <v>188</v>
      </c>
      <c r="I284" t="s">
        <v>120</v>
      </c>
    </row>
    <row r="285" spans="1:9" x14ac:dyDescent="0.25">
      <c r="A285" s="8" t="str">
        <f t="shared" si="12"/>
        <v>2006212.000</v>
      </c>
      <c r="B285" s="9" t="str">
        <f t="shared" si="13"/>
        <v/>
      </c>
      <c r="C285" s="10">
        <f t="shared" si="14"/>
        <v>44081</v>
      </c>
      <c r="D285">
        <v>2006212</v>
      </c>
      <c r="E285">
        <v>0</v>
      </c>
      <c r="F285" s="6">
        <v>44085</v>
      </c>
      <c r="H285" t="s">
        <v>180</v>
      </c>
      <c r="I285" t="s">
        <v>120</v>
      </c>
    </row>
    <row r="286" spans="1:9" x14ac:dyDescent="0.25">
      <c r="A286" s="8" t="str">
        <f t="shared" si="12"/>
        <v>2006216.T01</v>
      </c>
      <c r="B286" s="9" t="str">
        <f t="shared" si="13"/>
        <v>1</v>
      </c>
      <c r="C286" s="10">
        <f t="shared" si="14"/>
        <v>44067</v>
      </c>
      <c r="D286">
        <v>2006216</v>
      </c>
      <c r="E286" t="s">
        <v>146</v>
      </c>
      <c r="F286" s="6">
        <v>44071</v>
      </c>
      <c r="G286">
        <v>14</v>
      </c>
      <c r="H286" t="s">
        <v>180</v>
      </c>
      <c r="I286" t="s">
        <v>120</v>
      </c>
    </row>
    <row r="287" spans="1:9" x14ac:dyDescent="0.25">
      <c r="A287" s="8" t="str">
        <f t="shared" si="12"/>
        <v>2006222.H00</v>
      </c>
      <c r="B287" s="9" t="str">
        <f t="shared" si="13"/>
        <v/>
      </c>
      <c r="C287" s="10">
        <f t="shared" si="14"/>
        <v>44081</v>
      </c>
      <c r="D287">
        <v>2006222</v>
      </c>
      <c r="E287" t="s">
        <v>122</v>
      </c>
      <c r="F287" s="6">
        <v>44085</v>
      </c>
      <c r="H287" t="s">
        <v>180</v>
      </c>
      <c r="I287" t="s">
        <v>120</v>
      </c>
    </row>
    <row r="288" spans="1:9" x14ac:dyDescent="0.25">
      <c r="A288" s="8" t="str">
        <f t="shared" si="12"/>
        <v>2006227.NV0</v>
      </c>
      <c r="B288" s="9" t="str">
        <f t="shared" si="13"/>
        <v>2</v>
      </c>
      <c r="C288" s="10">
        <f t="shared" si="14"/>
        <v>44040</v>
      </c>
      <c r="D288">
        <v>2006227</v>
      </c>
      <c r="E288" t="s">
        <v>126</v>
      </c>
      <c r="F288" s="6">
        <v>44043</v>
      </c>
      <c r="G288">
        <v>22</v>
      </c>
      <c r="H288" t="s">
        <v>194</v>
      </c>
      <c r="I288" t="s">
        <v>120</v>
      </c>
    </row>
    <row r="289" spans="1:9" x14ac:dyDescent="0.25">
      <c r="A289" s="8" t="str">
        <f t="shared" si="12"/>
        <v>2006233.T0L</v>
      </c>
      <c r="B289" s="9" t="str">
        <f t="shared" si="13"/>
        <v>3</v>
      </c>
      <c r="C289" s="10">
        <f t="shared" si="14"/>
        <v>44041</v>
      </c>
      <c r="D289">
        <v>2006233</v>
      </c>
      <c r="E289" t="s">
        <v>248</v>
      </c>
      <c r="F289" s="6">
        <v>44043</v>
      </c>
      <c r="G289">
        <v>35</v>
      </c>
      <c r="H289" t="s">
        <v>180</v>
      </c>
      <c r="I289" t="s">
        <v>120</v>
      </c>
    </row>
    <row r="290" spans="1:9" x14ac:dyDescent="0.25">
      <c r="A290" s="8" t="str">
        <f t="shared" si="12"/>
        <v>2006248.NV0</v>
      </c>
      <c r="B290" s="9" t="str">
        <f t="shared" si="13"/>
        <v/>
      </c>
      <c r="C290" s="10">
        <f t="shared" si="14"/>
        <v>43997</v>
      </c>
      <c r="D290">
        <v>2006248</v>
      </c>
      <c r="E290" t="s">
        <v>126</v>
      </c>
      <c r="F290" s="6">
        <v>44001</v>
      </c>
      <c r="H290" t="s">
        <v>188</v>
      </c>
      <c r="I290" t="s">
        <v>120</v>
      </c>
    </row>
    <row r="291" spans="1:9" x14ac:dyDescent="0.25">
      <c r="A291" s="8" t="str">
        <f t="shared" si="12"/>
        <v>2006258.000</v>
      </c>
      <c r="B291" s="9" t="str">
        <f t="shared" si="13"/>
        <v/>
      </c>
      <c r="C291" s="10">
        <f t="shared" si="14"/>
        <v>44067</v>
      </c>
      <c r="D291">
        <v>2006258</v>
      </c>
      <c r="E291">
        <v>0</v>
      </c>
      <c r="F291" s="6">
        <v>44071</v>
      </c>
      <c r="H291" t="s">
        <v>192</v>
      </c>
      <c r="I291" t="s">
        <v>120</v>
      </c>
    </row>
    <row r="292" spans="1:9" x14ac:dyDescent="0.25">
      <c r="A292" s="8" t="str">
        <f t="shared" si="12"/>
        <v>2006267.000</v>
      </c>
      <c r="B292" s="9" t="str">
        <f t="shared" si="13"/>
        <v/>
      </c>
      <c r="C292" s="10">
        <f t="shared" si="14"/>
        <v>44081</v>
      </c>
      <c r="D292">
        <v>2006267</v>
      </c>
      <c r="E292">
        <v>0</v>
      </c>
      <c r="F292" s="6">
        <v>44085</v>
      </c>
      <c r="H292" t="s">
        <v>180</v>
      </c>
      <c r="I292" t="s">
        <v>120</v>
      </c>
    </row>
    <row r="293" spans="1:9" x14ac:dyDescent="0.25">
      <c r="A293" s="8" t="str">
        <f t="shared" si="12"/>
        <v>2006269.U02</v>
      </c>
      <c r="B293" s="9" t="str">
        <f t="shared" si="13"/>
        <v>3</v>
      </c>
      <c r="C293" s="10">
        <f t="shared" si="14"/>
        <v>44069</v>
      </c>
      <c r="D293">
        <v>2006269</v>
      </c>
      <c r="E293" t="s">
        <v>149</v>
      </c>
      <c r="F293" s="6">
        <v>44071</v>
      </c>
      <c r="G293">
        <v>34</v>
      </c>
      <c r="H293" t="s">
        <v>180</v>
      </c>
      <c r="I293" t="s">
        <v>120</v>
      </c>
    </row>
    <row r="294" spans="1:9" x14ac:dyDescent="0.25">
      <c r="A294" s="8" t="str">
        <f t="shared" si="12"/>
        <v>2006269.Y02</v>
      </c>
      <c r="B294" s="9" t="str">
        <f t="shared" si="13"/>
        <v>3</v>
      </c>
      <c r="C294" s="10">
        <f t="shared" si="14"/>
        <v>44069</v>
      </c>
      <c r="D294">
        <v>2006269</v>
      </c>
      <c r="E294" t="s">
        <v>144</v>
      </c>
      <c r="F294" s="6">
        <v>44071</v>
      </c>
      <c r="G294">
        <v>34</v>
      </c>
      <c r="H294" t="s">
        <v>180</v>
      </c>
      <c r="I294" t="s">
        <v>120</v>
      </c>
    </row>
    <row r="295" spans="1:9" x14ac:dyDescent="0.25">
      <c r="A295" s="8" t="str">
        <f t="shared" si="12"/>
        <v>2006269.Z02</v>
      </c>
      <c r="B295" s="9" t="str">
        <f t="shared" si="13"/>
        <v>3</v>
      </c>
      <c r="C295" s="10">
        <f t="shared" si="14"/>
        <v>44069</v>
      </c>
      <c r="D295">
        <v>2006269</v>
      </c>
      <c r="E295" t="s">
        <v>260</v>
      </c>
      <c r="F295" s="6">
        <v>44071</v>
      </c>
      <c r="G295">
        <v>34</v>
      </c>
      <c r="H295" t="s">
        <v>180</v>
      </c>
      <c r="I295" t="s">
        <v>120</v>
      </c>
    </row>
    <row r="296" spans="1:9" x14ac:dyDescent="0.25">
      <c r="A296" s="8" t="str">
        <f t="shared" si="12"/>
        <v>2006287.Y0L</v>
      </c>
      <c r="B296" s="9" t="str">
        <f t="shared" si="13"/>
        <v/>
      </c>
      <c r="C296" s="10">
        <f t="shared" si="14"/>
        <v>44074</v>
      </c>
      <c r="D296">
        <v>2006287</v>
      </c>
      <c r="E296" t="s">
        <v>173</v>
      </c>
      <c r="F296" s="6">
        <v>44078</v>
      </c>
      <c r="H296" t="s">
        <v>180</v>
      </c>
      <c r="I296" t="s">
        <v>120</v>
      </c>
    </row>
    <row r="297" spans="1:9" x14ac:dyDescent="0.25">
      <c r="A297" s="8" t="str">
        <f t="shared" si="12"/>
        <v>2006290.Y01</v>
      </c>
      <c r="B297" s="9" t="str">
        <f t="shared" si="13"/>
        <v>4</v>
      </c>
      <c r="C297" s="10">
        <f t="shared" si="14"/>
        <v>44035</v>
      </c>
      <c r="D297">
        <v>2006290</v>
      </c>
      <c r="E297" t="s">
        <v>132</v>
      </c>
      <c r="F297" s="6">
        <v>44036</v>
      </c>
      <c r="G297">
        <v>42</v>
      </c>
      <c r="H297" t="s">
        <v>180</v>
      </c>
      <c r="I297" t="s">
        <v>120</v>
      </c>
    </row>
    <row r="298" spans="1:9" x14ac:dyDescent="0.25">
      <c r="A298" s="8" t="str">
        <f t="shared" si="12"/>
        <v>2006303.NS0</v>
      </c>
      <c r="B298" s="9" t="str">
        <f t="shared" si="13"/>
        <v/>
      </c>
      <c r="C298" s="10">
        <f t="shared" si="14"/>
        <v>44074</v>
      </c>
      <c r="D298">
        <v>2006303</v>
      </c>
      <c r="E298" t="s">
        <v>169</v>
      </c>
      <c r="F298" s="6">
        <v>44078</v>
      </c>
      <c r="H298" t="s">
        <v>180</v>
      </c>
      <c r="I298" t="s">
        <v>120</v>
      </c>
    </row>
    <row r="299" spans="1:9" x14ac:dyDescent="0.25">
      <c r="A299" s="8" t="str">
        <f t="shared" si="12"/>
        <v>2006305.000</v>
      </c>
      <c r="B299" s="9" t="str">
        <f t="shared" si="13"/>
        <v/>
      </c>
      <c r="C299" s="10">
        <f t="shared" si="14"/>
        <v>44074</v>
      </c>
      <c r="D299">
        <v>2006305</v>
      </c>
      <c r="E299">
        <v>0</v>
      </c>
      <c r="F299" s="6">
        <v>44078</v>
      </c>
      <c r="H299" t="s">
        <v>180</v>
      </c>
      <c r="I299" t="s">
        <v>120</v>
      </c>
    </row>
    <row r="300" spans="1:9" x14ac:dyDescent="0.25">
      <c r="A300" s="8" t="str">
        <f t="shared" si="12"/>
        <v>2006306.000</v>
      </c>
      <c r="B300" s="9" t="str">
        <f t="shared" si="13"/>
        <v/>
      </c>
      <c r="C300" s="10">
        <f t="shared" si="14"/>
        <v>44025</v>
      </c>
      <c r="D300">
        <v>2006306</v>
      </c>
      <c r="E300">
        <v>0</v>
      </c>
      <c r="F300" s="6">
        <v>44029</v>
      </c>
      <c r="H300" t="s">
        <v>191</v>
      </c>
      <c r="I300" t="s">
        <v>120</v>
      </c>
    </row>
    <row r="301" spans="1:9" x14ac:dyDescent="0.25">
      <c r="A301" s="8" t="str">
        <f t="shared" si="12"/>
        <v>2006307.NV0</v>
      </c>
      <c r="B301" s="9" t="str">
        <f t="shared" si="13"/>
        <v/>
      </c>
      <c r="C301" s="10">
        <f t="shared" si="14"/>
        <v>44074</v>
      </c>
      <c r="D301">
        <v>2006307</v>
      </c>
      <c r="E301" t="s">
        <v>126</v>
      </c>
      <c r="F301" s="6">
        <v>44078</v>
      </c>
      <c r="H301" t="s">
        <v>188</v>
      </c>
      <c r="I301" t="s">
        <v>120</v>
      </c>
    </row>
    <row r="302" spans="1:9" x14ac:dyDescent="0.25">
      <c r="A302" s="8" t="str">
        <f t="shared" si="12"/>
        <v>2006314.XP2</v>
      </c>
      <c r="B302" s="9" t="str">
        <f t="shared" si="13"/>
        <v>V</v>
      </c>
      <c r="C302" s="10">
        <f t="shared" si="14"/>
        <v>44022</v>
      </c>
      <c r="D302">
        <v>2006314</v>
      </c>
      <c r="E302" t="s">
        <v>233</v>
      </c>
      <c r="F302" s="6">
        <v>44029</v>
      </c>
      <c r="G302" t="s">
        <v>228</v>
      </c>
      <c r="H302" t="s">
        <v>180</v>
      </c>
      <c r="I302" t="s">
        <v>120</v>
      </c>
    </row>
    <row r="303" spans="1:9" x14ac:dyDescent="0.25">
      <c r="A303" s="8" t="str">
        <f t="shared" si="12"/>
        <v>2006319.U01</v>
      </c>
      <c r="B303" s="9" t="str">
        <f t="shared" si="13"/>
        <v>1</v>
      </c>
      <c r="C303" s="10">
        <f t="shared" si="14"/>
        <v>44067</v>
      </c>
      <c r="D303">
        <v>2006319</v>
      </c>
      <c r="E303" t="s">
        <v>150</v>
      </c>
      <c r="F303" s="6">
        <v>44071</v>
      </c>
      <c r="G303">
        <v>11</v>
      </c>
      <c r="H303" t="s">
        <v>180</v>
      </c>
      <c r="I303" t="s">
        <v>120</v>
      </c>
    </row>
    <row r="304" spans="1:9" x14ac:dyDescent="0.25">
      <c r="A304" s="8" t="str">
        <f t="shared" si="12"/>
        <v>2006319.UP0</v>
      </c>
      <c r="B304" s="9" t="str">
        <f t="shared" si="13"/>
        <v>1</v>
      </c>
      <c r="C304" s="10">
        <f t="shared" si="14"/>
        <v>44067</v>
      </c>
      <c r="D304">
        <v>2006319</v>
      </c>
      <c r="E304" t="s">
        <v>136</v>
      </c>
      <c r="F304" s="6">
        <v>44071</v>
      </c>
      <c r="G304">
        <v>11</v>
      </c>
      <c r="H304" t="s">
        <v>180</v>
      </c>
      <c r="I304" t="s">
        <v>120</v>
      </c>
    </row>
    <row r="305" spans="1:9" x14ac:dyDescent="0.25">
      <c r="A305" s="8" t="str">
        <f t="shared" si="12"/>
        <v>2006319.X00</v>
      </c>
      <c r="B305" s="9" t="str">
        <f t="shared" si="13"/>
        <v>1</v>
      </c>
      <c r="C305" s="10">
        <f t="shared" si="14"/>
        <v>44067</v>
      </c>
      <c r="D305">
        <v>2006319</v>
      </c>
      <c r="E305" t="s">
        <v>225</v>
      </c>
      <c r="F305" s="6">
        <v>44071</v>
      </c>
      <c r="G305">
        <v>11</v>
      </c>
      <c r="H305" t="s">
        <v>180</v>
      </c>
      <c r="I305" t="s">
        <v>120</v>
      </c>
    </row>
    <row r="306" spans="1:9" x14ac:dyDescent="0.25">
      <c r="A306" s="8" t="str">
        <f t="shared" si="12"/>
        <v>2006329.UP0</v>
      </c>
      <c r="B306" s="9" t="str">
        <f t="shared" si="13"/>
        <v/>
      </c>
      <c r="C306" s="10">
        <f t="shared" si="14"/>
        <v>44081</v>
      </c>
      <c r="D306">
        <v>2006329</v>
      </c>
      <c r="E306" t="s">
        <v>136</v>
      </c>
      <c r="F306" s="6">
        <v>44085</v>
      </c>
      <c r="H306" t="s">
        <v>189</v>
      </c>
      <c r="I306" t="s">
        <v>120</v>
      </c>
    </row>
    <row r="307" spans="1:9" x14ac:dyDescent="0.25">
      <c r="A307" s="8" t="str">
        <f t="shared" si="12"/>
        <v>2006334.Y00</v>
      </c>
      <c r="B307" s="9" t="str">
        <f t="shared" si="13"/>
        <v>3</v>
      </c>
      <c r="C307" s="10">
        <f t="shared" si="14"/>
        <v>44076</v>
      </c>
      <c r="D307">
        <v>2006334</v>
      </c>
      <c r="E307" t="s">
        <v>130</v>
      </c>
      <c r="F307" s="6">
        <v>44078</v>
      </c>
      <c r="G307">
        <v>3</v>
      </c>
      <c r="H307" t="s">
        <v>180</v>
      </c>
      <c r="I307" t="s">
        <v>120</v>
      </c>
    </row>
    <row r="308" spans="1:9" x14ac:dyDescent="0.25">
      <c r="A308" s="8" t="str">
        <f t="shared" si="12"/>
        <v>2006335.Y00</v>
      </c>
      <c r="B308" s="9" t="str">
        <f t="shared" si="13"/>
        <v/>
      </c>
      <c r="C308" s="10">
        <f t="shared" si="14"/>
        <v>44032</v>
      </c>
      <c r="D308">
        <v>2006335</v>
      </c>
      <c r="E308" t="s">
        <v>130</v>
      </c>
      <c r="F308" s="6">
        <v>44036</v>
      </c>
      <c r="H308" t="s">
        <v>192</v>
      </c>
      <c r="I308" t="s">
        <v>120</v>
      </c>
    </row>
    <row r="309" spans="1:9" x14ac:dyDescent="0.25">
      <c r="A309" s="8" t="str">
        <f t="shared" si="12"/>
        <v>2006340.U00</v>
      </c>
      <c r="B309" s="9" t="str">
        <f t="shared" si="13"/>
        <v/>
      </c>
      <c r="C309" s="10">
        <f t="shared" si="14"/>
        <v>44067</v>
      </c>
      <c r="D309">
        <v>2006340</v>
      </c>
      <c r="E309" t="s">
        <v>131</v>
      </c>
      <c r="F309" s="6">
        <v>44071</v>
      </c>
      <c r="H309" t="s">
        <v>193</v>
      </c>
      <c r="I309" t="s">
        <v>120</v>
      </c>
    </row>
    <row r="310" spans="1:9" x14ac:dyDescent="0.25">
      <c r="A310" s="8" t="str">
        <f t="shared" si="12"/>
        <v>2006340.U01</v>
      </c>
      <c r="B310" s="9" t="str">
        <f t="shared" si="13"/>
        <v/>
      </c>
      <c r="C310" s="10">
        <f t="shared" si="14"/>
        <v>44067</v>
      </c>
      <c r="D310">
        <v>2006340</v>
      </c>
      <c r="E310" t="s">
        <v>150</v>
      </c>
      <c r="F310" s="6">
        <v>44071</v>
      </c>
      <c r="H310" t="s">
        <v>193</v>
      </c>
      <c r="I310" t="s">
        <v>120</v>
      </c>
    </row>
    <row r="311" spans="1:9" x14ac:dyDescent="0.25">
      <c r="A311" s="8" t="str">
        <f t="shared" si="12"/>
        <v>2006340.Y00</v>
      </c>
      <c r="B311" s="9" t="str">
        <f t="shared" si="13"/>
        <v/>
      </c>
      <c r="C311" s="10">
        <f t="shared" si="14"/>
        <v>44067</v>
      </c>
      <c r="D311">
        <v>2006340</v>
      </c>
      <c r="E311" t="s">
        <v>130</v>
      </c>
      <c r="F311" s="6">
        <v>44071</v>
      </c>
      <c r="H311" t="s">
        <v>193</v>
      </c>
      <c r="I311" t="s">
        <v>120</v>
      </c>
    </row>
    <row r="312" spans="1:9" x14ac:dyDescent="0.25">
      <c r="A312" s="8" t="str">
        <f t="shared" si="12"/>
        <v>2006340.Y01</v>
      </c>
      <c r="B312" s="9" t="str">
        <f t="shared" si="13"/>
        <v/>
      </c>
      <c r="C312" s="10">
        <f t="shared" si="14"/>
        <v>44067</v>
      </c>
      <c r="D312">
        <v>2006340</v>
      </c>
      <c r="E312" t="s">
        <v>132</v>
      </c>
      <c r="F312" s="6">
        <v>44071</v>
      </c>
      <c r="H312" t="s">
        <v>193</v>
      </c>
      <c r="I312" t="s">
        <v>120</v>
      </c>
    </row>
    <row r="313" spans="1:9" x14ac:dyDescent="0.25">
      <c r="A313" s="8" t="str">
        <f t="shared" si="12"/>
        <v>2006349.XP0</v>
      </c>
      <c r="B313" s="9" t="str">
        <f t="shared" si="13"/>
        <v/>
      </c>
      <c r="C313" s="10">
        <f t="shared" si="14"/>
        <v>44074</v>
      </c>
      <c r="D313">
        <v>2006349</v>
      </c>
      <c r="E313" t="s">
        <v>181</v>
      </c>
      <c r="F313" s="6">
        <v>44078</v>
      </c>
      <c r="H313" t="s">
        <v>180</v>
      </c>
      <c r="I313" t="s">
        <v>120</v>
      </c>
    </row>
    <row r="314" spans="1:9" x14ac:dyDescent="0.25">
      <c r="A314" s="8" t="str">
        <f t="shared" si="12"/>
        <v>2006378.0P0</v>
      </c>
      <c r="B314" s="9" t="str">
        <f t="shared" si="13"/>
        <v>4</v>
      </c>
      <c r="C314" s="10">
        <f t="shared" si="14"/>
        <v>44070</v>
      </c>
      <c r="D314">
        <v>2006378</v>
      </c>
      <c r="E314" t="s">
        <v>119</v>
      </c>
      <c r="F314" s="6">
        <v>44071</v>
      </c>
      <c r="G314">
        <v>43</v>
      </c>
      <c r="H314" t="s">
        <v>180</v>
      </c>
      <c r="I314" t="s">
        <v>120</v>
      </c>
    </row>
    <row r="315" spans="1:9" x14ac:dyDescent="0.25">
      <c r="A315" s="8" t="str">
        <f t="shared" si="12"/>
        <v>2006381.X00</v>
      </c>
      <c r="B315" s="9" t="str">
        <f t="shared" si="13"/>
        <v/>
      </c>
      <c r="C315" s="10">
        <f t="shared" si="14"/>
        <v>44025</v>
      </c>
      <c r="D315">
        <v>2006381</v>
      </c>
      <c r="E315" t="s">
        <v>225</v>
      </c>
      <c r="F315" s="6">
        <v>44029</v>
      </c>
      <c r="H315" t="s">
        <v>191</v>
      </c>
      <c r="I315" t="s">
        <v>120</v>
      </c>
    </row>
    <row r="316" spans="1:9" x14ac:dyDescent="0.25">
      <c r="A316" s="8" t="str">
        <f t="shared" si="12"/>
        <v>2006387.000</v>
      </c>
      <c r="B316" s="9" t="str">
        <f t="shared" si="13"/>
        <v>4</v>
      </c>
      <c r="C316" s="10">
        <f t="shared" si="14"/>
        <v>44070</v>
      </c>
      <c r="D316">
        <v>2006387</v>
      </c>
      <c r="E316">
        <v>0</v>
      </c>
      <c r="F316" s="6">
        <v>44071</v>
      </c>
      <c r="G316">
        <v>42</v>
      </c>
      <c r="H316" t="s">
        <v>180</v>
      </c>
      <c r="I316" t="s">
        <v>120</v>
      </c>
    </row>
    <row r="317" spans="1:9" x14ac:dyDescent="0.25">
      <c r="A317" s="8" t="str">
        <f t="shared" si="12"/>
        <v>2006410.H00</v>
      </c>
      <c r="B317" s="9" t="str">
        <f t="shared" si="13"/>
        <v>4</v>
      </c>
      <c r="C317" s="10">
        <f t="shared" si="14"/>
        <v>44070</v>
      </c>
      <c r="D317">
        <v>2006410</v>
      </c>
      <c r="E317" t="s">
        <v>122</v>
      </c>
      <c r="F317" s="6">
        <v>44071</v>
      </c>
      <c r="G317">
        <v>42</v>
      </c>
      <c r="H317" t="s">
        <v>180</v>
      </c>
      <c r="I317" t="s">
        <v>120</v>
      </c>
    </row>
    <row r="318" spans="1:9" x14ac:dyDescent="0.25">
      <c r="A318" s="8" t="str">
        <f t="shared" si="12"/>
        <v>2006410.HC0</v>
      </c>
      <c r="B318" s="9" t="str">
        <f t="shared" si="13"/>
        <v>4</v>
      </c>
      <c r="C318" s="10">
        <f t="shared" si="14"/>
        <v>44070</v>
      </c>
      <c r="D318">
        <v>2006410</v>
      </c>
      <c r="E318" t="s">
        <v>229</v>
      </c>
      <c r="F318" s="6">
        <v>44071</v>
      </c>
      <c r="G318">
        <v>42</v>
      </c>
      <c r="H318" t="s">
        <v>180</v>
      </c>
      <c r="I318" t="s">
        <v>120</v>
      </c>
    </row>
    <row r="319" spans="1:9" x14ac:dyDescent="0.25">
      <c r="A319" s="8" t="str">
        <f t="shared" si="12"/>
        <v>2006410.N0L</v>
      </c>
      <c r="B319" s="9" t="str">
        <f t="shared" si="13"/>
        <v>4</v>
      </c>
      <c r="C319" s="10">
        <f t="shared" si="14"/>
        <v>44070</v>
      </c>
      <c r="D319">
        <v>2006410</v>
      </c>
      <c r="E319" t="s">
        <v>133</v>
      </c>
      <c r="F319" s="6">
        <v>44071</v>
      </c>
      <c r="G319">
        <v>42</v>
      </c>
      <c r="H319" t="s">
        <v>189</v>
      </c>
      <c r="I319" t="s">
        <v>120</v>
      </c>
    </row>
    <row r="320" spans="1:9" x14ac:dyDescent="0.25">
      <c r="A320" s="8" t="str">
        <f t="shared" si="12"/>
        <v>2006410.NM0</v>
      </c>
      <c r="B320" s="9" t="str">
        <f t="shared" si="13"/>
        <v>4</v>
      </c>
      <c r="C320" s="10">
        <f t="shared" si="14"/>
        <v>44070</v>
      </c>
      <c r="D320">
        <v>2006410</v>
      </c>
      <c r="E320" t="s">
        <v>154</v>
      </c>
      <c r="F320" s="6">
        <v>44071</v>
      </c>
      <c r="G320">
        <v>42</v>
      </c>
      <c r="H320" t="s">
        <v>189</v>
      </c>
      <c r="I320" t="s">
        <v>120</v>
      </c>
    </row>
    <row r="321" spans="1:9" x14ac:dyDescent="0.25">
      <c r="A321" s="8" t="str">
        <f t="shared" si="12"/>
        <v>2006412.U02</v>
      </c>
      <c r="B321" s="9" t="str">
        <f t="shared" si="13"/>
        <v>4</v>
      </c>
      <c r="C321" s="10">
        <f t="shared" si="14"/>
        <v>44077</v>
      </c>
      <c r="D321">
        <v>2006412</v>
      </c>
      <c r="E321" t="s">
        <v>149</v>
      </c>
      <c r="F321" s="6">
        <v>44078</v>
      </c>
      <c r="G321">
        <v>4</v>
      </c>
      <c r="H321" t="s">
        <v>180</v>
      </c>
      <c r="I321" t="s">
        <v>120</v>
      </c>
    </row>
    <row r="322" spans="1:9" x14ac:dyDescent="0.25">
      <c r="A322" s="8" t="str">
        <f t="shared" ref="A322:A385" si="15">IF(D322="","",IF(E322=0,CONCATENATE(D322,".",E322,"00"),CONCATENATE(D322,".",E322)))</f>
        <v>2006412.Y02</v>
      </c>
      <c r="B322" s="9" t="str">
        <f t="shared" ref="B322:B385" si="16">LEFT(G322,1)</f>
        <v>4</v>
      </c>
      <c r="C322" s="10">
        <f t="shared" ref="C322:C385" si="17">IF(F322="","",IF(B322="",F322-4,IF(B322="1",F322-4,IF(B322="2",F322-3,IF(B322="3",F322-2,IF(B322="4",F322-1,IF(B322="V",F322-7,IF(B322="J",F322-8,F322))))))))</f>
        <v>44077</v>
      </c>
      <c r="D322">
        <v>2006412</v>
      </c>
      <c r="E322" t="s">
        <v>144</v>
      </c>
      <c r="F322" s="6">
        <v>44078</v>
      </c>
      <c r="G322">
        <v>4</v>
      </c>
      <c r="H322" t="s">
        <v>180</v>
      </c>
      <c r="I322" t="s">
        <v>120</v>
      </c>
    </row>
    <row r="323" spans="1:9" x14ac:dyDescent="0.25">
      <c r="A323" s="8" t="str">
        <f t="shared" si="15"/>
        <v>2006413.UP2</v>
      </c>
      <c r="B323" s="9" t="str">
        <f t="shared" si="16"/>
        <v>4</v>
      </c>
      <c r="C323" s="10">
        <f t="shared" si="17"/>
        <v>44077</v>
      </c>
      <c r="D323">
        <v>2006413</v>
      </c>
      <c r="E323" t="s">
        <v>160</v>
      </c>
      <c r="F323" s="6">
        <v>44078</v>
      </c>
      <c r="G323">
        <v>4</v>
      </c>
      <c r="H323" t="s">
        <v>180</v>
      </c>
      <c r="I323" t="s">
        <v>120</v>
      </c>
    </row>
    <row r="324" spans="1:9" x14ac:dyDescent="0.25">
      <c r="A324" s="8" t="str">
        <f t="shared" si="15"/>
        <v>2006415.T00</v>
      </c>
      <c r="B324" s="9" t="str">
        <f t="shared" si="16"/>
        <v>4</v>
      </c>
      <c r="C324" s="10">
        <f t="shared" si="17"/>
        <v>44042</v>
      </c>
      <c r="D324">
        <v>2006415</v>
      </c>
      <c r="E324" t="s">
        <v>159</v>
      </c>
      <c r="F324" s="6">
        <v>44043</v>
      </c>
      <c r="G324">
        <v>41</v>
      </c>
      <c r="H324" t="s">
        <v>180</v>
      </c>
      <c r="I324" t="s">
        <v>120</v>
      </c>
    </row>
    <row r="325" spans="1:9" x14ac:dyDescent="0.25">
      <c r="A325" s="8" t="str">
        <f t="shared" si="15"/>
        <v>2006416.HP0</v>
      </c>
      <c r="B325" s="9" t="str">
        <f t="shared" si="16"/>
        <v>1</v>
      </c>
      <c r="C325" s="10">
        <f t="shared" si="17"/>
        <v>44067</v>
      </c>
      <c r="D325">
        <v>2006416</v>
      </c>
      <c r="E325" t="s">
        <v>121</v>
      </c>
      <c r="F325" s="6">
        <v>44071</v>
      </c>
      <c r="G325">
        <v>12</v>
      </c>
      <c r="H325" t="s">
        <v>180</v>
      </c>
      <c r="I325" t="s">
        <v>120</v>
      </c>
    </row>
    <row r="326" spans="1:9" x14ac:dyDescent="0.25">
      <c r="A326" s="8" t="str">
        <f t="shared" si="15"/>
        <v>2006425.K00</v>
      </c>
      <c r="B326" s="9" t="str">
        <f t="shared" si="16"/>
        <v/>
      </c>
      <c r="C326" s="10">
        <f t="shared" si="17"/>
        <v>44074</v>
      </c>
      <c r="D326">
        <v>2006425</v>
      </c>
      <c r="E326" t="s">
        <v>257</v>
      </c>
      <c r="F326" s="6">
        <v>44078</v>
      </c>
      <c r="H326" t="s">
        <v>180</v>
      </c>
      <c r="I326" t="s">
        <v>120</v>
      </c>
    </row>
    <row r="327" spans="1:9" x14ac:dyDescent="0.25">
      <c r="A327" s="8" t="str">
        <f t="shared" si="15"/>
        <v>2006432.H00</v>
      </c>
      <c r="B327" s="9" t="str">
        <f t="shared" si="16"/>
        <v>2</v>
      </c>
      <c r="C327" s="10">
        <f t="shared" si="17"/>
        <v>44068</v>
      </c>
      <c r="D327">
        <v>2006432</v>
      </c>
      <c r="E327" t="s">
        <v>122</v>
      </c>
      <c r="F327" s="6">
        <v>44071</v>
      </c>
      <c r="G327">
        <v>22</v>
      </c>
      <c r="H327" t="s">
        <v>180</v>
      </c>
      <c r="I327" t="s">
        <v>120</v>
      </c>
    </row>
    <row r="328" spans="1:9" x14ac:dyDescent="0.25">
      <c r="A328" s="8" t="str">
        <f t="shared" si="15"/>
        <v>2006432.HP2</v>
      </c>
      <c r="B328" s="9" t="str">
        <f t="shared" si="16"/>
        <v>2</v>
      </c>
      <c r="C328" s="10">
        <f t="shared" si="17"/>
        <v>44068</v>
      </c>
      <c r="D328">
        <v>2006432</v>
      </c>
      <c r="E328" t="s">
        <v>138</v>
      </c>
      <c r="F328" s="6">
        <v>44071</v>
      </c>
      <c r="G328">
        <v>22</v>
      </c>
      <c r="H328" t="s">
        <v>180</v>
      </c>
      <c r="I328" t="s">
        <v>120</v>
      </c>
    </row>
    <row r="329" spans="1:9" x14ac:dyDescent="0.25">
      <c r="A329" s="8" t="str">
        <f t="shared" si="15"/>
        <v>2006442.000</v>
      </c>
      <c r="B329" s="9" t="str">
        <f t="shared" si="16"/>
        <v/>
      </c>
      <c r="C329" s="10">
        <f t="shared" si="17"/>
        <v>44116</v>
      </c>
      <c r="D329">
        <v>2006442</v>
      </c>
      <c r="E329">
        <v>0</v>
      </c>
      <c r="F329" s="6">
        <v>44120</v>
      </c>
      <c r="H329" t="s">
        <v>192</v>
      </c>
      <c r="I329" t="s">
        <v>120</v>
      </c>
    </row>
    <row r="330" spans="1:9" x14ac:dyDescent="0.25">
      <c r="A330" s="8" t="str">
        <f t="shared" si="15"/>
        <v>2006442.0P0</v>
      </c>
      <c r="B330" s="9" t="str">
        <f t="shared" si="16"/>
        <v/>
      </c>
      <c r="C330" s="10">
        <f t="shared" si="17"/>
        <v>44116</v>
      </c>
      <c r="D330">
        <v>2006442</v>
      </c>
      <c r="E330" t="s">
        <v>119</v>
      </c>
      <c r="F330" s="6">
        <v>44120</v>
      </c>
      <c r="H330" t="s">
        <v>192</v>
      </c>
      <c r="I330" t="s">
        <v>120</v>
      </c>
    </row>
    <row r="331" spans="1:9" x14ac:dyDescent="0.25">
      <c r="A331" s="8" t="str">
        <f t="shared" si="15"/>
        <v>2006444.N0L</v>
      </c>
      <c r="B331" s="9" t="str">
        <f t="shared" si="16"/>
        <v>3</v>
      </c>
      <c r="C331" s="10">
        <f t="shared" si="17"/>
        <v>43992</v>
      </c>
      <c r="D331">
        <v>2006444</v>
      </c>
      <c r="E331" t="s">
        <v>133</v>
      </c>
      <c r="F331" s="6">
        <v>43994</v>
      </c>
      <c r="G331">
        <v>3</v>
      </c>
      <c r="H331" t="s">
        <v>188</v>
      </c>
      <c r="I331" t="s">
        <v>120</v>
      </c>
    </row>
    <row r="332" spans="1:9" x14ac:dyDescent="0.25">
      <c r="A332" s="8" t="str">
        <f t="shared" si="15"/>
        <v>2006445.0P0</v>
      </c>
      <c r="B332" s="9" t="str">
        <f t="shared" si="16"/>
        <v>4</v>
      </c>
      <c r="C332" s="10">
        <f t="shared" si="17"/>
        <v>44028</v>
      </c>
      <c r="D332">
        <v>2006445</v>
      </c>
      <c r="E332" t="s">
        <v>119</v>
      </c>
      <c r="F332" s="6">
        <v>44029</v>
      </c>
      <c r="G332">
        <v>40</v>
      </c>
      <c r="H332" t="s">
        <v>180</v>
      </c>
      <c r="I332" t="s">
        <v>120</v>
      </c>
    </row>
    <row r="333" spans="1:9" x14ac:dyDescent="0.25">
      <c r="A333" s="8" t="str">
        <f t="shared" si="15"/>
        <v>2006446.H00</v>
      </c>
      <c r="B333" s="9" t="str">
        <f t="shared" si="16"/>
        <v/>
      </c>
      <c r="C333" s="10">
        <f t="shared" si="17"/>
        <v>44081</v>
      </c>
      <c r="D333">
        <v>2006446</v>
      </c>
      <c r="E333" t="s">
        <v>122</v>
      </c>
      <c r="F333" s="6">
        <v>44085</v>
      </c>
      <c r="H333" t="s">
        <v>180</v>
      </c>
      <c r="I333" t="s">
        <v>120</v>
      </c>
    </row>
    <row r="334" spans="1:9" x14ac:dyDescent="0.25">
      <c r="A334" s="8" t="str">
        <f t="shared" si="15"/>
        <v>2006446.HP0</v>
      </c>
      <c r="B334" s="9" t="str">
        <f t="shared" si="16"/>
        <v/>
      </c>
      <c r="C334" s="10">
        <f t="shared" si="17"/>
        <v>44081</v>
      </c>
      <c r="D334">
        <v>2006446</v>
      </c>
      <c r="E334" t="s">
        <v>121</v>
      </c>
      <c r="F334" s="6">
        <v>44085</v>
      </c>
      <c r="H334" t="s">
        <v>180</v>
      </c>
      <c r="I334" t="s">
        <v>120</v>
      </c>
    </row>
    <row r="335" spans="1:9" x14ac:dyDescent="0.25">
      <c r="A335" s="8" t="str">
        <f t="shared" si="15"/>
        <v>2006446.Y00</v>
      </c>
      <c r="B335" s="9" t="str">
        <f t="shared" si="16"/>
        <v/>
      </c>
      <c r="C335" s="10">
        <f t="shared" si="17"/>
        <v>44081</v>
      </c>
      <c r="D335">
        <v>2006446</v>
      </c>
      <c r="E335" t="s">
        <v>130</v>
      </c>
      <c r="F335" s="6">
        <v>44085</v>
      </c>
      <c r="H335" t="s">
        <v>189</v>
      </c>
      <c r="I335" t="s">
        <v>120</v>
      </c>
    </row>
    <row r="336" spans="1:9" x14ac:dyDescent="0.25">
      <c r="A336" s="8" t="str">
        <f t="shared" si="15"/>
        <v>2006448.U01</v>
      </c>
      <c r="B336" s="9" t="str">
        <f t="shared" si="16"/>
        <v/>
      </c>
      <c r="C336" s="10">
        <f t="shared" si="17"/>
        <v>44074</v>
      </c>
      <c r="D336">
        <v>2006448</v>
      </c>
      <c r="E336" t="s">
        <v>150</v>
      </c>
      <c r="F336" s="6">
        <v>44078</v>
      </c>
      <c r="H336" t="s">
        <v>180</v>
      </c>
      <c r="I336" t="s">
        <v>120</v>
      </c>
    </row>
    <row r="337" spans="1:9" x14ac:dyDescent="0.25">
      <c r="A337" s="8" t="str">
        <f t="shared" si="15"/>
        <v>2006449.X00</v>
      </c>
      <c r="B337" s="9" t="str">
        <f t="shared" si="16"/>
        <v>4</v>
      </c>
      <c r="C337" s="10">
        <f t="shared" si="17"/>
        <v>44070</v>
      </c>
      <c r="D337">
        <v>2006449</v>
      </c>
      <c r="E337" t="s">
        <v>225</v>
      </c>
      <c r="F337" s="6">
        <v>44071</v>
      </c>
      <c r="G337">
        <v>41</v>
      </c>
      <c r="H337" t="s">
        <v>180</v>
      </c>
      <c r="I337" t="s">
        <v>120</v>
      </c>
    </row>
    <row r="338" spans="1:9" x14ac:dyDescent="0.25">
      <c r="A338" s="8" t="str">
        <f t="shared" si="15"/>
        <v>2006461.XP1</v>
      </c>
      <c r="B338" s="9" t="str">
        <f t="shared" si="16"/>
        <v>2</v>
      </c>
      <c r="C338" s="10">
        <f t="shared" si="17"/>
        <v>44040</v>
      </c>
      <c r="D338">
        <v>2006461</v>
      </c>
      <c r="E338" t="s">
        <v>234</v>
      </c>
      <c r="F338" s="6">
        <v>44043</v>
      </c>
      <c r="G338">
        <v>22</v>
      </c>
      <c r="H338" t="s">
        <v>180</v>
      </c>
      <c r="I338" t="s">
        <v>120</v>
      </c>
    </row>
    <row r="339" spans="1:9" x14ac:dyDescent="0.25">
      <c r="A339" s="8" t="str">
        <f t="shared" si="15"/>
        <v>2006488.H00</v>
      </c>
      <c r="B339" s="9" t="str">
        <f t="shared" si="16"/>
        <v/>
      </c>
      <c r="C339" s="10">
        <f t="shared" si="17"/>
        <v>44074</v>
      </c>
      <c r="D339">
        <v>2006488</v>
      </c>
      <c r="E339" t="s">
        <v>122</v>
      </c>
      <c r="F339" s="6">
        <v>44078</v>
      </c>
      <c r="H339" t="s">
        <v>180</v>
      </c>
      <c r="I339" t="s">
        <v>120</v>
      </c>
    </row>
    <row r="340" spans="1:9" x14ac:dyDescent="0.25">
      <c r="A340" s="8" t="str">
        <f t="shared" si="15"/>
        <v>2006488.HPL</v>
      </c>
      <c r="B340" s="9" t="str">
        <f t="shared" si="16"/>
        <v/>
      </c>
      <c r="C340" s="10">
        <f t="shared" si="17"/>
        <v>44074</v>
      </c>
      <c r="D340">
        <v>2006488</v>
      </c>
      <c r="E340" t="s">
        <v>128</v>
      </c>
      <c r="F340" s="6">
        <v>44078</v>
      </c>
      <c r="H340" t="s">
        <v>180</v>
      </c>
      <c r="I340" t="s">
        <v>120</v>
      </c>
    </row>
    <row r="341" spans="1:9" x14ac:dyDescent="0.25">
      <c r="A341" s="8" t="str">
        <f t="shared" si="15"/>
        <v>2006495.N0L</v>
      </c>
      <c r="B341" s="9" t="str">
        <f t="shared" si="16"/>
        <v/>
      </c>
      <c r="C341" s="10">
        <f t="shared" si="17"/>
        <v>44032</v>
      </c>
      <c r="D341">
        <v>2006495</v>
      </c>
      <c r="E341" t="s">
        <v>133</v>
      </c>
      <c r="F341" s="6">
        <v>44036</v>
      </c>
      <c r="H341" t="s">
        <v>192</v>
      </c>
      <c r="I341" t="s">
        <v>120</v>
      </c>
    </row>
    <row r="342" spans="1:9" x14ac:dyDescent="0.25">
      <c r="A342" s="8" t="str">
        <f t="shared" si="15"/>
        <v>2006495.RELI</v>
      </c>
      <c r="B342" s="9" t="str">
        <f t="shared" si="16"/>
        <v/>
      </c>
      <c r="C342" s="10">
        <f t="shared" si="17"/>
        <v>44074</v>
      </c>
      <c r="D342">
        <v>2006495</v>
      </c>
      <c r="E342" t="s">
        <v>230</v>
      </c>
      <c r="F342" s="6">
        <v>44078</v>
      </c>
      <c r="H342" t="s">
        <v>180</v>
      </c>
      <c r="I342" t="s">
        <v>120</v>
      </c>
    </row>
    <row r="343" spans="1:9" x14ac:dyDescent="0.25">
      <c r="A343" s="8" t="str">
        <f t="shared" si="15"/>
        <v>2006498.000</v>
      </c>
      <c r="B343" s="9" t="str">
        <f t="shared" si="16"/>
        <v/>
      </c>
      <c r="C343" s="10">
        <f t="shared" si="17"/>
        <v>44074</v>
      </c>
      <c r="D343">
        <v>2006498</v>
      </c>
      <c r="E343">
        <v>0</v>
      </c>
      <c r="F343" s="6">
        <v>44078</v>
      </c>
      <c r="H343" t="s">
        <v>180</v>
      </c>
      <c r="I343" t="s">
        <v>120</v>
      </c>
    </row>
    <row r="344" spans="1:9" x14ac:dyDescent="0.25">
      <c r="A344" s="8" t="str">
        <f t="shared" si="15"/>
        <v>2006498.0P0</v>
      </c>
      <c r="B344" s="9" t="str">
        <f t="shared" si="16"/>
        <v/>
      </c>
      <c r="C344" s="10">
        <f t="shared" si="17"/>
        <v>44074</v>
      </c>
      <c r="D344">
        <v>2006498</v>
      </c>
      <c r="E344" t="s">
        <v>119</v>
      </c>
      <c r="F344" s="6">
        <v>44078</v>
      </c>
      <c r="H344" t="s">
        <v>180</v>
      </c>
      <c r="I344" t="s">
        <v>120</v>
      </c>
    </row>
    <row r="345" spans="1:9" x14ac:dyDescent="0.25">
      <c r="A345" s="8" t="str">
        <f t="shared" si="15"/>
        <v>2006510.Y00</v>
      </c>
      <c r="B345" s="9" t="str">
        <f t="shared" si="16"/>
        <v>3</v>
      </c>
      <c r="C345" s="10">
        <f t="shared" si="17"/>
        <v>44076</v>
      </c>
      <c r="D345">
        <v>2006510</v>
      </c>
      <c r="E345" t="s">
        <v>130</v>
      </c>
      <c r="F345" s="6">
        <v>44078</v>
      </c>
      <c r="G345">
        <v>3</v>
      </c>
      <c r="H345" t="s">
        <v>180</v>
      </c>
      <c r="I345" t="s">
        <v>120</v>
      </c>
    </row>
    <row r="346" spans="1:9" x14ac:dyDescent="0.25">
      <c r="A346" s="8" t="str">
        <f t="shared" si="15"/>
        <v>2006511.N0L</v>
      </c>
      <c r="B346" s="9" t="str">
        <f t="shared" si="16"/>
        <v/>
      </c>
      <c r="C346" s="10">
        <f t="shared" si="17"/>
        <v>44074</v>
      </c>
      <c r="D346">
        <v>2006511</v>
      </c>
      <c r="E346" t="s">
        <v>133</v>
      </c>
      <c r="F346" s="6">
        <v>44078</v>
      </c>
      <c r="H346" t="s">
        <v>194</v>
      </c>
      <c r="I346" t="s">
        <v>120</v>
      </c>
    </row>
    <row r="347" spans="1:9" x14ac:dyDescent="0.25">
      <c r="A347" s="8" t="str">
        <f t="shared" si="15"/>
        <v>2006513.N00</v>
      </c>
      <c r="B347" s="9" t="str">
        <f t="shared" si="16"/>
        <v>3</v>
      </c>
      <c r="C347" s="10">
        <f t="shared" si="17"/>
        <v>44034</v>
      </c>
      <c r="D347">
        <v>2006513</v>
      </c>
      <c r="E347" t="s">
        <v>125</v>
      </c>
      <c r="F347" s="6">
        <v>44036</v>
      </c>
      <c r="G347">
        <v>32</v>
      </c>
      <c r="H347" t="s">
        <v>194</v>
      </c>
      <c r="I347" t="s">
        <v>120</v>
      </c>
    </row>
    <row r="348" spans="1:9" x14ac:dyDescent="0.25">
      <c r="A348" s="8" t="str">
        <f t="shared" si="15"/>
        <v>2006562.X00</v>
      </c>
      <c r="B348" s="9" t="str">
        <f t="shared" si="16"/>
        <v>1</v>
      </c>
      <c r="C348" s="10">
        <f t="shared" si="17"/>
        <v>44074</v>
      </c>
      <c r="D348">
        <v>2006562</v>
      </c>
      <c r="E348" t="s">
        <v>225</v>
      </c>
      <c r="F348" s="6">
        <v>44078</v>
      </c>
      <c r="G348">
        <v>11</v>
      </c>
      <c r="H348" t="s">
        <v>180</v>
      </c>
      <c r="I348" t="s">
        <v>120</v>
      </c>
    </row>
    <row r="349" spans="1:9" x14ac:dyDescent="0.25">
      <c r="A349" s="8" t="str">
        <f t="shared" si="15"/>
        <v>2006588.000</v>
      </c>
      <c r="B349" s="9" t="str">
        <f t="shared" si="16"/>
        <v>3</v>
      </c>
      <c r="C349" s="10">
        <f t="shared" si="17"/>
        <v>44090</v>
      </c>
      <c r="D349">
        <v>2006588</v>
      </c>
      <c r="E349">
        <v>0</v>
      </c>
      <c r="F349" s="6">
        <v>44092</v>
      </c>
      <c r="G349">
        <v>3</v>
      </c>
      <c r="H349" t="s">
        <v>189</v>
      </c>
      <c r="I349" t="s">
        <v>120</v>
      </c>
    </row>
    <row r="350" spans="1:9" x14ac:dyDescent="0.25">
      <c r="A350" s="8" t="str">
        <f t="shared" si="15"/>
        <v>2006590.000</v>
      </c>
      <c r="B350" s="9" t="str">
        <f t="shared" si="16"/>
        <v/>
      </c>
      <c r="C350" s="10">
        <f t="shared" si="17"/>
        <v>44074</v>
      </c>
      <c r="D350">
        <v>2006590</v>
      </c>
      <c r="E350">
        <v>0</v>
      </c>
      <c r="F350" s="6">
        <v>44078</v>
      </c>
      <c r="H350" t="s">
        <v>180</v>
      </c>
      <c r="I350" t="s">
        <v>120</v>
      </c>
    </row>
    <row r="351" spans="1:9" x14ac:dyDescent="0.25">
      <c r="A351" s="8" t="str">
        <f t="shared" si="15"/>
        <v>2006599.C00</v>
      </c>
      <c r="B351" s="9" t="str">
        <f t="shared" si="16"/>
        <v>3</v>
      </c>
      <c r="C351" s="10">
        <f t="shared" si="17"/>
        <v>44069</v>
      </c>
      <c r="D351">
        <v>2006599</v>
      </c>
      <c r="E351" t="s">
        <v>147</v>
      </c>
      <c r="F351" s="6">
        <v>44071</v>
      </c>
      <c r="G351">
        <v>31</v>
      </c>
      <c r="H351" t="s">
        <v>180</v>
      </c>
      <c r="I351" t="s">
        <v>120</v>
      </c>
    </row>
    <row r="352" spans="1:9" x14ac:dyDescent="0.25">
      <c r="A352" s="8" t="str">
        <f t="shared" si="15"/>
        <v>2006607.000</v>
      </c>
      <c r="B352" s="9" t="str">
        <f t="shared" si="16"/>
        <v>1</v>
      </c>
      <c r="C352" s="10">
        <f t="shared" si="17"/>
        <v>44074</v>
      </c>
      <c r="D352">
        <v>2006607</v>
      </c>
      <c r="E352">
        <v>0</v>
      </c>
      <c r="F352" s="6">
        <v>44078</v>
      </c>
      <c r="G352">
        <v>1</v>
      </c>
      <c r="H352" t="s">
        <v>180</v>
      </c>
      <c r="I352" t="s">
        <v>120</v>
      </c>
    </row>
    <row r="353" spans="1:9" x14ac:dyDescent="0.25">
      <c r="A353" s="8" t="str">
        <f t="shared" si="15"/>
        <v>2006607.0P0</v>
      </c>
      <c r="B353" s="9" t="str">
        <f t="shared" si="16"/>
        <v>1</v>
      </c>
      <c r="C353" s="10">
        <f t="shared" si="17"/>
        <v>44074</v>
      </c>
      <c r="D353">
        <v>2006607</v>
      </c>
      <c r="E353" t="s">
        <v>119</v>
      </c>
      <c r="F353" s="6">
        <v>44078</v>
      </c>
      <c r="G353">
        <v>1</v>
      </c>
      <c r="H353" t="s">
        <v>180</v>
      </c>
      <c r="I353" t="s">
        <v>120</v>
      </c>
    </row>
    <row r="354" spans="1:9" x14ac:dyDescent="0.25">
      <c r="A354" s="8" t="str">
        <f t="shared" si="15"/>
        <v>2006612.H00</v>
      </c>
      <c r="B354" s="9" t="str">
        <f t="shared" si="16"/>
        <v>3</v>
      </c>
      <c r="C354" s="10">
        <f t="shared" si="17"/>
        <v>44069</v>
      </c>
      <c r="D354">
        <v>2006612</v>
      </c>
      <c r="E354" t="s">
        <v>122</v>
      </c>
      <c r="F354" s="6">
        <v>44071</v>
      </c>
      <c r="G354">
        <v>31</v>
      </c>
      <c r="H354" t="s">
        <v>180</v>
      </c>
      <c r="I354" t="s">
        <v>120</v>
      </c>
    </row>
    <row r="355" spans="1:9" x14ac:dyDescent="0.25">
      <c r="A355" s="8" t="str">
        <f t="shared" si="15"/>
        <v>2006631.N0L</v>
      </c>
      <c r="B355" s="9" t="str">
        <f t="shared" si="16"/>
        <v/>
      </c>
      <c r="C355" s="10">
        <f t="shared" si="17"/>
        <v>44004</v>
      </c>
      <c r="D355">
        <v>2006631</v>
      </c>
      <c r="E355" t="s">
        <v>133</v>
      </c>
      <c r="F355" s="6">
        <v>44008</v>
      </c>
      <c r="H355" t="s">
        <v>188</v>
      </c>
      <c r="I355" t="s">
        <v>120</v>
      </c>
    </row>
    <row r="356" spans="1:9" x14ac:dyDescent="0.25">
      <c r="A356" s="8" t="str">
        <f t="shared" si="15"/>
        <v>2006635.0P0</v>
      </c>
      <c r="B356" s="9" t="str">
        <f t="shared" si="16"/>
        <v>3</v>
      </c>
      <c r="C356" s="10">
        <f t="shared" si="17"/>
        <v>44069</v>
      </c>
      <c r="D356">
        <v>2006635</v>
      </c>
      <c r="E356" t="s">
        <v>119</v>
      </c>
      <c r="F356" s="6">
        <v>44071</v>
      </c>
      <c r="G356">
        <v>33</v>
      </c>
      <c r="H356" t="s">
        <v>180</v>
      </c>
      <c r="I356" t="s">
        <v>120</v>
      </c>
    </row>
    <row r="357" spans="1:9" x14ac:dyDescent="0.25">
      <c r="A357" s="8" t="str">
        <f t="shared" si="15"/>
        <v>2006653.Y03</v>
      </c>
      <c r="B357" s="9" t="str">
        <f t="shared" si="16"/>
        <v>3</v>
      </c>
      <c r="C357" s="10">
        <f t="shared" si="17"/>
        <v>44069</v>
      </c>
      <c r="D357">
        <v>2006653</v>
      </c>
      <c r="E357" t="s">
        <v>223</v>
      </c>
      <c r="F357" s="6">
        <v>44071</v>
      </c>
      <c r="G357">
        <v>31</v>
      </c>
      <c r="H357" t="s">
        <v>180</v>
      </c>
      <c r="I357" t="s">
        <v>120</v>
      </c>
    </row>
    <row r="358" spans="1:9" x14ac:dyDescent="0.25">
      <c r="A358" s="8" t="str">
        <f t="shared" si="15"/>
        <v>2006657.RELI</v>
      </c>
      <c r="B358" s="9" t="str">
        <f t="shared" si="16"/>
        <v>2</v>
      </c>
      <c r="C358" s="10">
        <f t="shared" si="17"/>
        <v>44068</v>
      </c>
      <c r="D358">
        <v>2006657</v>
      </c>
      <c r="E358" t="s">
        <v>230</v>
      </c>
      <c r="F358" s="6">
        <v>44071</v>
      </c>
      <c r="G358">
        <v>25</v>
      </c>
      <c r="H358" t="s">
        <v>180</v>
      </c>
      <c r="I358" t="s">
        <v>120</v>
      </c>
    </row>
    <row r="359" spans="1:9" x14ac:dyDescent="0.25">
      <c r="A359" s="8" t="str">
        <f t="shared" si="15"/>
        <v>2006658.ZO3</v>
      </c>
      <c r="B359" s="9" t="str">
        <f t="shared" si="16"/>
        <v>V</v>
      </c>
      <c r="C359" s="10">
        <f t="shared" si="17"/>
        <v>44029</v>
      </c>
      <c r="D359">
        <v>2006658</v>
      </c>
      <c r="E359" t="s">
        <v>152</v>
      </c>
      <c r="F359" s="6">
        <v>44036</v>
      </c>
      <c r="G359" t="s">
        <v>228</v>
      </c>
      <c r="H359" t="s">
        <v>180</v>
      </c>
      <c r="I359" t="s">
        <v>120</v>
      </c>
    </row>
    <row r="360" spans="1:9" x14ac:dyDescent="0.25">
      <c r="A360" s="8" t="str">
        <f t="shared" si="15"/>
        <v>2006668.H01</v>
      </c>
      <c r="B360" s="9" t="str">
        <f t="shared" si="16"/>
        <v>1</v>
      </c>
      <c r="C360" s="10">
        <f t="shared" si="17"/>
        <v>44032</v>
      </c>
      <c r="D360">
        <v>2006668</v>
      </c>
      <c r="E360" t="s">
        <v>145</v>
      </c>
      <c r="F360" s="6">
        <v>44036</v>
      </c>
      <c r="G360">
        <v>10</v>
      </c>
      <c r="H360" t="s">
        <v>180</v>
      </c>
      <c r="I360" t="s">
        <v>120</v>
      </c>
    </row>
    <row r="361" spans="1:9" x14ac:dyDescent="0.25">
      <c r="A361" s="8" t="str">
        <f t="shared" si="15"/>
        <v>2006675.000</v>
      </c>
      <c r="B361" s="9" t="str">
        <f t="shared" si="16"/>
        <v/>
      </c>
      <c r="C361" s="10">
        <f t="shared" si="17"/>
        <v>44074</v>
      </c>
      <c r="D361">
        <v>2006675</v>
      </c>
      <c r="E361">
        <v>0</v>
      </c>
      <c r="F361" s="6">
        <v>44078</v>
      </c>
      <c r="H361" t="s">
        <v>180</v>
      </c>
      <c r="I361" t="s">
        <v>120</v>
      </c>
    </row>
    <row r="362" spans="1:9" x14ac:dyDescent="0.25">
      <c r="A362" s="8" t="str">
        <f t="shared" si="15"/>
        <v>2006688.H00</v>
      </c>
      <c r="B362" s="9" t="str">
        <f t="shared" si="16"/>
        <v/>
      </c>
      <c r="C362" s="10">
        <f t="shared" si="17"/>
        <v>44081</v>
      </c>
      <c r="D362">
        <v>2006688</v>
      </c>
      <c r="E362" t="s">
        <v>122</v>
      </c>
      <c r="F362" s="6">
        <v>44085</v>
      </c>
      <c r="H362" t="s">
        <v>180</v>
      </c>
      <c r="I362" t="s">
        <v>120</v>
      </c>
    </row>
    <row r="363" spans="1:9" x14ac:dyDescent="0.25">
      <c r="A363" s="8" t="str">
        <f t="shared" si="15"/>
        <v>2006694.000</v>
      </c>
      <c r="B363" s="9" t="str">
        <f t="shared" si="16"/>
        <v/>
      </c>
      <c r="C363" s="10">
        <f t="shared" si="17"/>
        <v>44032</v>
      </c>
      <c r="D363">
        <v>2006694</v>
      </c>
      <c r="E363">
        <v>0</v>
      </c>
      <c r="F363" s="6">
        <v>44036</v>
      </c>
      <c r="H363" t="s">
        <v>192</v>
      </c>
      <c r="I363" t="s">
        <v>120</v>
      </c>
    </row>
    <row r="364" spans="1:9" x14ac:dyDescent="0.25">
      <c r="A364" s="8" t="str">
        <f t="shared" si="15"/>
        <v>2006694.X00</v>
      </c>
      <c r="B364" s="9" t="str">
        <f t="shared" si="16"/>
        <v/>
      </c>
      <c r="C364" s="10">
        <f t="shared" si="17"/>
        <v>44032</v>
      </c>
      <c r="D364">
        <v>2006694</v>
      </c>
      <c r="E364" t="s">
        <v>225</v>
      </c>
      <c r="F364" s="6">
        <v>44036</v>
      </c>
      <c r="H364" t="s">
        <v>192</v>
      </c>
      <c r="I364" t="s">
        <v>120</v>
      </c>
    </row>
    <row r="365" spans="1:9" x14ac:dyDescent="0.25">
      <c r="A365" s="8" t="str">
        <f t="shared" si="15"/>
        <v>2006696.000</v>
      </c>
      <c r="B365" s="9" t="str">
        <f t="shared" si="16"/>
        <v/>
      </c>
      <c r="C365" s="10">
        <f t="shared" si="17"/>
        <v>44088</v>
      </c>
      <c r="D365">
        <v>2006696</v>
      </c>
      <c r="E365">
        <v>0</v>
      </c>
      <c r="F365" s="6">
        <v>44092</v>
      </c>
      <c r="H365" t="s">
        <v>189</v>
      </c>
      <c r="I365" t="s">
        <v>120</v>
      </c>
    </row>
    <row r="366" spans="1:9" x14ac:dyDescent="0.25">
      <c r="A366" s="8" t="str">
        <f t="shared" si="15"/>
        <v>2006723.U00</v>
      </c>
      <c r="B366" s="9" t="str">
        <f t="shared" si="16"/>
        <v/>
      </c>
      <c r="C366" s="10">
        <f t="shared" si="17"/>
        <v>44039</v>
      </c>
      <c r="D366">
        <v>2006723</v>
      </c>
      <c r="E366" t="s">
        <v>131</v>
      </c>
      <c r="F366" s="6">
        <v>44043</v>
      </c>
      <c r="H366" t="s">
        <v>192</v>
      </c>
      <c r="I366" t="s">
        <v>120</v>
      </c>
    </row>
    <row r="367" spans="1:9" x14ac:dyDescent="0.25">
      <c r="A367" s="8" t="str">
        <f t="shared" si="15"/>
        <v>2006726.HP0</v>
      </c>
      <c r="B367" s="9" t="str">
        <f t="shared" si="16"/>
        <v>4</v>
      </c>
      <c r="C367" s="10">
        <f t="shared" si="17"/>
        <v>44042</v>
      </c>
      <c r="D367">
        <v>2006726</v>
      </c>
      <c r="E367" t="s">
        <v>121</v>
      </c>
      <c r="F367" s="6">
        <v>44043</v>
      </c>
      <c r="G367">
        <v>41</v>
      </c>
      <c r="H367" t="s">
        <v>180</v>
      </c>
      <c r="I367" t="s">
        <v>120</v>
      </c>
    </row>
    <row r="368" spans="1:9" x14ac:dyDescent="0.25">
      <c r="A368" s="8" t="str">
        <f t="shared" si="15"/>
        <v>2006727.RELI</v>
      </c>
      <c r="B368" s="9" t="str">
        <f t="shared" si="16"/>
        <v/>
      </c>
      <c r="C368" s="10">
        <f t="shared" si="17"/>
        <v>44074</v>
      </c>
      <c r="D368">
        <v>2006727</v>
      </c>
      <c r="E368" t="s">
        <v>230</v>
      </c>
      <c r="F368" s="6">
        <v>44078</v>
      </c>
      <c r="H368" t="s">
        <v>180</v>
      </c>
      <c r="I368" t="s">
        <v>120</v>
      </c>
    </row>
    <row r="369" spans="1:9" x14ac:dyDescent="0.25">
      <c r="A369" s="8" t="str">
        <f t="shared" si="15"/>
        <v>2006731.H00</v>
      </c>
      <c r="B369" s="9" t="str">
        <f t="shared" si="16"/>
        <v>4</v>
      </c>
      <c r="C369" s="10">
        <f t="shared" si="17"/>
        <v>44070</v>
      </c>
      <c r="D369">
        <v>2006731</v>
      </c>
      <c r="E369" t="s">
        <v>122</v>
      </c>
      <c r="F369" s="6">
        <v>44071</v>
      </c>
      <c r="G369">
        <v>43</v>
      </c>
      <c r="H369" t="s">
        <v>180</v>
      </c>
      <c r="I369" t="s">
        <v>120</v>
      </c>
    </row>
    <row r="370" spans="1:9" x14ac:dyDescent="0.25">
      <c r="A370" s="8" t="str">
        <f t="shared" si="15"/>
        <v>2006731.HP2</v>
      </c>
      <c r="B370" s="9" t="str">
        <f t="shared" si="16"/>
        <v>4</v>
      </c>
      <c r="C370" s="10">
        <f t="shared" si="17"/>
        <v>44070</v>
      </c>
      <c r="D370">
        <v>2006731</v>
      </c>
      <c r="E370" t="s">
        <v>138</v>
      </c>
      <c r="F370" s="6">
        <v>44071</v>
      </c>
      <c r="G370">
        <v>43</v>
      </c>
      <c r="H370" t="s">
        <v>180</v>
      </c>
      <c r="I370" t="s">
        <v>120</v>
      </c>
    </row>
    <row r="371" spans="1:9" x14ac:dyDescent="0.25">
      <c r="A371" s="8" t="str">
        <f t="shared" si="15"/>
        <v>2006731.Y01</v>
      </c>
      <c r="B371" s="9" t="str">
        <f t="shared" si="16"/>
        <v>4</v>
      </c>
      <c r="C371" s="10">
        <f t="shared" si="17"/>
        <v>44070</v>
      </c>
      <c r="D371">
        <v>2006731</v>
      </c>
      <c r="E371" t="s">
        <v>132</v>
      </c>
      <c r="F371" s="6">
        <v>44071</v>
      </c>
      <c r="G371">
        <v>43</v>
      </c>
      <c r="H371" t="s">
        <v>180</v>
      </c>
      <c r="I371" t="s">
        <v>120</v>
      </c>
    </row>
    <row r="372" spans="1:9" x14ac:dyDescent="0.25">
      <c r="A372" s="8" t="str">
        <f t="shared" si="15"/>
        <v>2006733.000</v>
      </c>
      <c r="B372" s="9" t="str">
        <f t="shared" si="16"/>
        <v/>
      </c>
      <c r="C372" s="10">
        <f t="shared" si="17"/>
        <v>44074</v>
      </c>
      <c r="D372">
        <v>2006733</v>
      </c>
      <c r="E372">
        <v>0</v>
      </c>
      <c r="F372" s="6">
        <v>44078</v>
      </c>
      <c r="H372" t="s">
        <v>180</v>
      </c>
      <c r="I372" t="s">
        <v>120</v>
      </c>
    </row>
    <row r="373" spans="1:9" x14ac:dyDescent="0.25">
      <c r="A373" s="8" t="str">
        <f t="shared" si="15"/>
        <v>2006733.0P0</v>
      </c>
      <c r="B373" s="9" t="str">
        <f t="shared" si="16"/>
        <v/>
      </c>
      <c r="C373" s="10">
        <f t="shared" si="17"/>
        <v>44074</v>
      </c>
      <c r="D373">
        <v>2006733</v>
      </c>
      <c r="E373" t="s">
        <v>119</v>
      </c>
      <c r="F373" s="6">
        <v>44078</v>
      </c>
      <c r="H373" t="s">
        <v>180</v>
      </c>
      <c r="I373" t="s">
        <v>120</v>
      </c>
    </row>
    <row r="374" spans="1:9" x14ac:dyDescent="0.25">
      <c r="A374" s="8" t="str">
        <f t="shared" si="15"/>
        <v>2006733.Y02</v>
      </c>
      <c r="B374" s="9" t="str">
        <f t="shared" si="16"/>
        <v/>
      </c>
      <c r="C374" s="10">
        <f t="shared" si="17"/>
        <v>44074</v>
      </c>
      <c r="D374">
        <v>2006733</v>
      </c>
      <c r="E374" t="s">
        <v>144</v>
      </c>
      <c r="F374" s="6">
        <v>44078</v>
      </c>
      <c r="H374" t="s">
        <v>180</v>
      </c>
      <c r="I374" t="s">
        <v>120</v>
      </c>
    </row>
    <row r="375" spans="1:9" x14ac:dyDescent="0.25">
      <c r="A375" s="8" t="str">
        <f t="shared" si="15"/>
        <v>2006738.Y00</v>
      </c>
      <c r="B375" s="9" t="str">
        <f t="shared" si="16"/>
        <v/>
      </c>
      <c r="C375" s="10">
        <f t="shared" si="17"/>
        <v>44074</v>
      </c>
      <c r="D375">
        <v>2006738</v>
      </c>
      <c r="E375" t="s">
        <v>130</v>
      </c>
      <c r="F375" s="6">
        <v>44078</v>
      </c>
      <c r="H375" t="s">
        <v>180</v>
      </c>
      <c r="I375" t="s">
        <v>120</v>
      </c>
    </row>
    <row r="376" spans="1:9" x14ac:dyDescent="0.25">
      <c r="A376" s="8" t="str">
        <f t="shared" si="15"/>
        <v>2006744.Z01</v>
      </c>
      <c r="B376" s="9" t="str">
        <f t="shared" si="16"/>
        <v>4</v>
      </c>
      <c r="C376" s="10">
        <f t="shared" si="17"/>
        <v>44042</v>
      </c>
      <c r="D376">
        <v>2006744</v>
      </c>
      <c r="E376" t="s">
        <v>135</v>
      </c>
      <c r="F376" s="6">
        <v>44043</v>
      </c>
      <c r="G376">
        <v>41</v>
      </c>
      <c r="H376" t="s">
        <v>180</v>
      </c>
      <c r="I376" t="s">
        <v>120</v>
      </c>
    </row>
    <row r="377" spans="1:9" x14ac:dyDescent="0.25">
      <c r="A377" s="8" t="str">
        <f t="shared" si="15"/>
        <v>2006744.ZP1</v>
      </c>
      <c r="B377" s="9" t="str">
        <f t="shared" si="16"/>
        <v>4</v>
      </c>
      <c r="C377" s="10">
        <f t="shared" si="17"/>
        <v>44042</v>
      </c>
      <c r="D377">
        <v>2006744</v>
      </c>
      <c r="E377" t="s">
        <v>141</v>
      </c>
      <c r="F377" s="6">
        <v>44043</v>
      </c>
      <c r="G377">
        <v>41</v>
      </c>
      <c r="H377" t="s">
        <v>180</v>
      </c>
      <c r="I377" t="s">
        <v>120</v>
      </c>
    </row>
    <row r="378" spans="1:9" x14ac:dyDescent="0.25">
      <c r="A378" s="8" t="str">
        <f t="shared" si="15"/>
        <v>2006745.ZP2</v>
      </c>
      <c r="B378" s="9" t="str">
        <f t="shared" si="16"/>
        <v>2</v>
      </c>
      <c r="C378" s="10">
        <f t="shared" si="17"/>
        <v>44068</v>
      </c>
      <c r="D378">
        <v>2006745</v>
      </c>
      <c r="E378" t="s">
        <v>151</v>
      </c>
      <c r="F378" s="6">
        <v>44071</v>
      </c>
      <c r="G378">
        <v>23</v>
      </c>
      <c r="H378" t="s">
        <v>180</v>
      </c>
      <c r="I378" t="s">
        <v>120</v>
      </c>
    </row>
    <row r="379" spans="1:9" x14ac:dyDescent="0.25">
      <c r="A379" s="8" t="str">
        <f t="shared" si="15"/>
        <v>2006748.000</v>
      </c>
      <c r="B379" s="9" t="str">
        <f t="shared" si="16"/>
        <v/>
      </c>
      <c r="C379" s="10">
        <f t="shared" si="17"/>
        <v>44074</v>
      </c>
      <c r="D379">
        <v>2006748</v>
      </c>
      <c r="E379">
        <v>0</v>
      </c>
      <c r="F379" s="6">
        <v>44078</v>
      </c>
      <c r="H379" t="s">
        <v>180</v>
      </c>
      <c r="I379" t="s">
        <v>120</v>
      </c>
    </row>
    <row r="380" spans="1:9" x14ac:dyDescent="0.25">
      <c r="A380" s="8" t="str">
        <f t="shared" si="15"/>
        <v>2006748.Y00</v>
      </c>
      <c r="B380" s="9" t="str">
        <f t="shared" si="16"/>
        <v/>
      </c>
      <c r="C380" s="10">
        <f t="shared" si="17"/>
        <v>44074</v>
      </c>
      <c r="D380">
        <v>2006748</v>
      </c>
      <c r="E380" t="s">
        <v>130</v>
      </c>
      <c r="F380" s="6">
        <v>44078</v>
      </c>
      <c r="H380" t="s">
        <v>180</v>
      </c>
      <c r="I380" t="s">
        <v>120</v>
      </c>
    </row>
    <row r="381" spans="1:9" x14ac:dyDescent="0.25">
      <c r="A381" s="8" t="str">
        <f t="shared" si="15"/>
        <v>2006749.UP0</v>
      </c>
      <c r="B381" s="9" t="str">
        <f t="shared" si="16"/>
        <v/>
      </c>
      <c r="C381" s="10">
        <f t="shared" si="17"/>
        <v>44074</v>
      </c>
      <c r="D381">
        <v>2006749</v>
      </c>
      <c r="E381" t="s">
        <v>136</v>
      </c>
      <c r="F381" s="6">
        <v>44078</v>
      </c>
      <c r="H381" t="s">
        <v>180</v>
      </c>
      <c r="I381" t="s">
        <v>120</v>
      </c>
    </row>
    <row r="382" spans="1:9" x14ac:dyDescent="0.25">
      <c r="A382" s="8" t="str">
        <f t="shared" si="15"/>
        <v>2006753.H01</v>
      </c>
      <c r="B382" s="9" t="str">
        <f t="shared" si="16"/>
        <v/>
      </c>
      <c r="C382" s="10">
        <f t="shared" si="17"/>
        <v>44032</v>
      </c>
      <c r="D382">
        <v>2006753</v>
      </c>
      <c r="E382" t="s">
        <v>145</v>
      </c>
      <c r="F382" s="6">
        <v>44036</v>
      </c>
      <c r="H382" t="s">
        <v>191</v>
      </c>
      <c r="I382" t="s">
        <v>120</v>
      </c>
    </row>
    <row r="383" spans="1:9" x14ac:dyDescent="0.25">
      <c r="A383" s="8" t="str">
        <f t="shared" si="15"/>
        <v>2006762.HPL</v>
      </c>
      <c r="B383" s="9" t="str">
        <f t="shared" si="16"/>
        <v/>
      </c>
      <c r="C383" s="10">
        <f t="shared" si="17"/>
        <v>44088</v>
      </c>
      <c r="D383">
        <v>2006762</v>
      </c>
      <c r="E383" t="s">
        <v>128</v>
      </c>
      <c r="F383" s="6">
        <v>44092</v>
      </c>
      <c r="H383" t="s">
        <v>189</v>
      </c>
      <c r="I383" t="s">
        <v>120</v>
      </c>
    </row>
    <row r="384" spans="1:9" x14ac:dyDescent="0.25">
      <c r="A384" s="8" t="str">
        <f t="shared" si="15"/>
        <v>2006764.CP0</v>
      </c>
      <c r="B384" s="9" t="str">
        <f t="shared" si="16"/>
        <v/>
      </c>
      <c r="C384" s="10">
        <f t="shared" si="17"/>
        <v>44039</v>
      </c>
      <c r="D384">
        <v>2006764</v>
      </c>
      <c r="E384" t="s">
        <v>148</v>
      </c>
      <c r="F384" s="6">
        <v>44043</v>
      </c>
      <c r="H384" t="s">
        <v>192</v>
      </c>
      <c r="I384" t="s">
        <v>120</v>
      </c>
    </row>
    <row r="385" spans="1:9" x14ac:dyDescent="0.25">
      <c r="A385" s="8" t="str">
        <f t="shared" si="15"/>
        <v>2006772.Y00</v>
      </c>
      <c r="B385" s="9" t="str">
        <f t="shared" si="16"/>
        <v/>
      </c>
      <c r="C385" s="10">
        <f t="shared" si="17"/>
        <v>44074</v>
      </c>
      <c r="D385">
        <v>2006772</v>
      </c>
      <c r="E385" t="s">
        <v>130</v>
      </c>
      <c r="F385" s="6">
        <v>44078</v>
      </c>
      <c r="H385" t="s">
        <v>192</v>
      </c>
      <c r="I385" t="s">
        <v>120</v>
      </c>
    </row>
    <row r="386" spans="1:9" x14ac:dyDescent="0.25">
      <c r="A386" s="8" t="str">
        <f t="shared" ref="A386:A449" si="18">IF(D386="","",IF(E386=0,CONCATENATE(D386,".",E386,"00"),CONCATENATE(D386,".",E386)))</f>
        <v>2006791.0P0</v>
      </c>
      <c r="B386" s="9" t="str">
        <f t="shared" ref="B386:B449" si="19">LEFT(G386,1)</f>
        <v>4</v>
      </c>
      <c r="C386" s="10">
        <f t="shared" ref="C386:C449" si="20">IF(F386="","",IF(B386="",F386-4,IF(B386="1",F386-4,IF(B386="2",F386-3,IF(B386="3",F386-2,IF(B386="4",F386-1,IF(B386="V",F386-7,IF(B386="J",F386-8,F386))))))))</f>
        <v>44070</v>
      </c>
      <c r="D386">
        <v>2006791</v>
      </c>
      <c r="E386" t="s">
        <v>119</v>
      </c>
      <c r="F386" s="6">
        <v>44071</v>
      </c>
      <c r="G386">
        <v>42</v>
      </c>
      <c r="H386" t="s">
        <v>180</v>
      </c>
      <c r="I386" t="s">
        <v>120</v>
      </c>
    </row>
    <row r="387" spans="1:9" x14ac:dyDescent="0.25">
      <c r="A387" s="8" t="str">
        <f t="shared" si="18"/>
        <v>2006792.Y02</v>
      </c>
      <c r="B387" s="9" t="str">
        <f t="shared" si="19"/>
        <v>4</v>
      </c>
      <c r="C387" s="10">
        <f t="shared" si="20"/>
        <v>44070</v>
      </c>
      <c r="D387">
        <v>2006792</v>
      </c>
      <c r="E387" t="s">
        <v>144</v>
      </c>
      <c r="F387" s="6">
        <v>44071</v>
      </c>
      <c r="G387">
        <v>42</v>
      </c>
      <c r="H387" t="s">
        <v>180</v>
      </c>
      <c r="I387" t="s">
        <v>120</v>
      </c>
    </row>
    <row r="388" spans="1:9" x14ac:dyDescent="0.25">
      <c r="A388" s="8" t="str">
        <f t="shared" si="18"/>
        <v>2006794.N00</v>
      </c>
      <c r="B388" s="9" t="str">
        <f t="shared" si="19"/>
        <v>1</v>
      </c>
      <c r="C388" s="10">
        <f t="shared" si="20"/>
        <v>44067</v>
      </c>
      <c r="D388">
        <v>2006794</v>
      </c>
      <c r="E388" t="s">
        <v>125</v>
      </c>
      <c r="F388" s="6">
        <v>44071</v>
      </c>
      <c r="G388">
        <v>16</v>
      </c>
      <c r="H388" t="s">
        <v>194</v>
      </c>
      <c r="I388" t="s">
        <v>120</v>
      </c>
    </row>
    <row r="389" spans="1:9" x14ac:dyDescent="0.25">
      <c r="A389" s="8" t="str">
        <f t="shared" si="18"/>
        <v>2006804.UP2</v>
      </c>
      <c r="B389" s="9" t="str">
        <f t="shared" si="19"/>
        <v/>
      </c>
      <c r="C389" s="10">
        <f t="shared" si="20"/>
        <v>44074</v>
      </c>
      <c r="D389">
        <v>2006804</v>
      </c>
      <c r="E389" t="s">
        <v>160</v>
      </c>
      <c r="F389" s="6">
        <v>44078</v>
      </c>
      <c r="H389" t="s">
        <v>180</v>
      </c>
      <c r="I389" t="s">
        <v>120</v>
      </c>
    </row>
    <row r="390" spans="1:9" x14ac:dyDescent="0.25">
      <c r="A390" s="8" t="str">
        <f t="shared" si="18"/>
        <v>2006805.XP2</v>
      </c>
      <c r="B390" s="9" t="str">
        <f t="shared" si="19"/>
        <v>V</v>
      </c>
      <c r="C390" s="10">
        <f t="shared" si="20"/>
        <v>44064</v>
      </c>
      <c r="D390">
        <v>2006805</v>
      </c>
      <c r="E390" t="s">
        <v>233</v>
      </c>
      <c r="F390" s="6">
        <v>44071</v>
      </c>
      <c r="G390" t="s">
        <v>155</v>
      </c>
      <c r="H390" t="s">
        <v>180</v>
      </c>
      <c r="I390" t="s">
        <v>120</v>
      </c>
    </row>
    <row r="391" spans="1:9" x14ac:dyDescent="0.25">
      <c r="A391" s="8" t="str">
        <f t="shared" si="18"/>
        <v>2006808.Y00</v>
      </c>
      <c r="B391" s="9" t="str">
        <f t="shared" si="19"/>
        <v>4</v>
      </c>
      <c r="C391" s="10">
        <f t="shared" si="20"/>
        <v>44042</v>
      </c>
      <c r="D391">
        <v>2006808</v>
      </c>
      <c r="E391" t="s">
        <v>130</v>
      </c>
      <c r="F391" s="6">
        <v>44043</v>
      </c>
      <c r="G391">
        <v>42</v>
      </c>
      <c r="H391" t="s">
        <v>180</v>
      </c>
      <c r="I391" t="s">
        <v>120</v>
      </c>
    </row>
    <row r="392" spans="1:9" x14ac:dyDescent="0.25">
      <c r="A392" s="8" t="str">
        <f t="shared" si="18"/>
        <v>2006810.HP0</v>
      </c>
      <c r="B392" s="9" t="str">
        <f t="shared" si="19"/>
        <v>3</v>
      </c>
      <c r="C392" s="10">
        <f t="shared" si="20"/>
        <v>44041</v>
      </c>
      <c r="D392">
        <v>2006810</v>
      </c>
      <c r="E392" t="s">
        <v>121</v>
      </c>
      <c r="F392" s="6">
        <v>44043</v>
      </c>
      <c r="G392">
        <v>30</v>
      </c>
      <c r="H392" t="s">
        <v>180</v>
      </c>
      <c r="I392" t="s">
        <v>120</v>
      </c>
    </row>
    <row r="393" spans="1:9" x14ac:dyDescent="0.25">
      <c r="A393" s="8" t="str">
        <f t="shared" si="18"/>
        <v>2006810.Y02</v>
      </c>
      <c r="B393" s="9" t="str">
        <f t="shared" si="19"/>
        <v>3</v>
      </c>
      <c r="C393" s="10">
        <f t="shared" si="20"/>
        <v>44041</v>
      </c>
      <c r="D393">
        <v>2006810</v>
      </c>
      <c r="E393" t="s">
        <v>144</v>
      </c>
      <c r="F393" s="6">
        <v>44043</v>
      </c>
      <c r="G393">
        <v>30</v>
      </c>
      <c r="H393" t="s">
        <v>180</v>
      </c>
      <c r="I393" t="s">
        <v>120</v>
      </c>
    </row>
    <row r="394" spans="1:9" x14ac:dyDescent="0.25">
      <c r="A394" s="8" t="str">
        <f t="shared" si="18"/>
        <v>2006820.Y00</v>
      </c>
      <c r="B394" s="9" t="str">
        <f t="shared" si="19"/>
        <v>3</v>
      </c>
      <c r="C394" s="10">
        <f t="shared" si="20"/>
        <v>44069</v>
      </c>
      <c r="D394">
        <v>2006820</v>
      </c>
      <c r="E394" t="s">
        <v>130</v>
      </c>
      <c r="F394" s="6">
        <v>44071</v>
      </c>
      <c r="G394">
        <v>31</v>
      </c>
      <c r="H394" t="s">
        <v>180</v>
      </c>
      <c r="I394" t="s">
        <v>120</v>
      </c>
    </row>
    <row r="395" spans="1:9" x14ac:dyDescent="0.25">
      <c r="A395" s="8" t="str">
        <f t="shared" si="18"/>
        <v>2006821.YS0</v>
      </c>
      <c r="B395" s="9" t="str">
        <f t="shared" si="19"/>
        <v/>
      </c>
      <c r="C395" s="10">
        <f t="shared" si="20"/>
        <v>44074</v>
      </c>
      <c r="D395">
        <v>2006821</v>
      </c>
      <c r="E395" t="s">
        <v>275</v>
      </c>
      <c r="F395" s="6">
        <v>44078</v>
      </c>
      <c r="H395" t="s">
        <v>189</v>
      </c>
      <c r="I395" t="s">
        <v>120</v>
      </c>
    </row>
    <row r="396" spans="1:9" x14ac:dyDescent="0.25">
      <c r="A396" s="8" t="str">
        <f t="shared" si="18"/>
        <v>2006823.H01</v>
      </c>
      <c r="B396" s="9" t="str">
        <f t="shared" si="19"/>
        <v/>
      </c>
      <c r="C396" s="10">
        <f t="shared" si="20"/>
        <v>44074</v>
      </c>
      <c r="D396">
        <v>2006823</v>
      </c>
      <c r="E396" t="s">
        <v>145</v>
      </c>
      <c r="F396" s="6">
        <v>44078</v>
      </c>
      <c r="H396" t="s">
        <v>180</v>
      </c>
      <c r="I396" t="s">
        <v>120</v>
      </c>
    </row>
    <row r="397" spans="1:9" x14ac:dyDescent="0.25">
      <c r="A397" s="8" t="str">
        <f t="shared" si="18"/>
        <v>2006840.Y00</v>
      </c>
      <c r="B397" s="9" t="str">
        <f t="shared" si="19"/>
        <v>3</v>
      </c>
      <c r="C397" s="10">
        <f t="shared" si="20"/>
        <v>44069</v>
      </c>
      <c r="D397">
        <v>2006840</v>
      </c>
      <c r="E397" t="s">
        <v>130</v>
      </c>
      <c r="F397" s="6">
        <v>44071</v>
      </c>
      <c r="G397">
        <v>31</v>
      </c>
      <c r="H397" t="s">
        <v>180</v>
      </c>
      <c r="I397" t="s">
        <v>120</v>
      </c>
    </row>
    <row r="398" spans="1:9" x14ac:dyDescent="0.25">
      <c r="A398" s="8" t="str">
        <f t="shared" si="18"/>
        <v>2006852.CP0</v>
      </c>
      <c r="B398" s="9" t="str">
        <f t="shared" si="19"/>
        <v>4</v>
      </c>
      <c r="C398" s="10">
        <f t="shared" si="20"/>
        <v>44042</v>
      </c>
      <c r="D398">
        <v>2006852</v>
      </c>
      <c r="E398" t="s">
        <v>148</v>
      </c>
      <c r="F398" s="6">
        <v>44043</v>
      </c>
      <c r="G398">
        <v>45</v>
      </c>
      <c r="H398" t="s">
        <v>180</v>
      </c>
      <c r="I398" t="s">
        <v>120</v>
      </c>
    </row>
    <row r="399" spans="1:9" x14ac:dyDescent="0.25">
      <c r="A399" s="8" t="str">
        <f t="shared" si="18"/>
        <v>2006855.HP0</v>
      </c>
      <c r="B399" s="9" t="str">
        <f t="shared" si="19"/>
        <v>1</v>
      </c>
      <c r="C399" s="10">
        <f t="shared" si="20"/>
        <v>44067</v>
      </c>
      <c r="D399">
        <v>2006855</v>
      </c>
      <c r="E399" t="s">
        <v>121</v>
      </c>
      <c r="F399" s="6">
        <v>44071</v>
      </c>
      <c r="G399">
        <v>14</v>
      </c>
      <c r="H399" t="s">
        <v>180</v>
      </c>
      <c r="I399" t="s">
        <v>120</v>
      </c>
    </row>
    <row r="400" spans="1:9" x14ac:dyDescent="0.25">
      <c r="A400" s="8" t="str">
        <f t="shared" si="18"/>
        <v>2006859.U02</v>
      </c>
      <c r="B400" s="9" t="str">
        <f t="shared" si="19"/>
        <v>4</v>
      </c>
      <c r="C400" s="10">
        <f t="shared" si="20"/>
        <v>44070</v>
      </c>
      <c r="D400">
        <v>2006859</v>
      </c>
      <c r="E400" t="s">
        <v>149</v>
      </c>
      <c r="F400" s="6">
        <v>44071</v>
      </c>
      <c r="G400">
        <v>41</v>
      </c>
      <c r="H400" t="s">
        <v>180</v>
      </c>
      <c r="I400" t="s">
        <v>120</v>
      </c>
    </row>
    <row r="401" spans="1:9" x14ac:dyDescent="0.25">
      <c r="A401" s="8" t="str">
        <f t="shared" si="18"/>
        <v>2006859.UP2</v>
      </c>
      <c r="B401" s="9" t="str">
        <f t="shared" si="19"/>
        <v>4</v>
      </c>
      <c r="C401" s="10">
        <f t="shared" si="20"/>
        <v>44070</v>
      </c>
      <c r="D401">
        <v>2006859</v>
      </c>
      <c r="E401" t="s">
        <v>160</v>
      </c>
      <c r="F401" s="6">
        <v>44071</v>
      </c>
      <c r="G401">
        <v>41</v>
      </c>
      <c r="H401" t="s">
        <v>180</v>
      </c>
      <c r="I401" t="s">
        <v>120</v>
      </c>
    </row>
    <row r="402" spans="1:9" x14ac:dyDescent="0.25">
      <c r="A402" s="8" t="str">
        <f t="shared" si="18"/>
        <v>2006859.Y02</v>
      </c>
      <c r="B402" s="9" t="str">
        <f t="shared" si="19"/>
        <v>4</v>
      </c>
      <c r="C402" s="10">
        <f t="shared" si="20"/>
        <v>44070</v>
      </c>
      <c r="D402">
        <v>2006859</v>
      </c>
      <c r="E402" t="s">
        <v>144</v>
      </c>
      <c r="F402" s="6">
        <v>44071</v>
      </c>
      <c r="G402">
        <v>41</v>
      </c>
      <c r="H402" t="s">
        <v>180</v>
      </c>
      <c r="I402" t="s">
        <v>120</v>
      </c>
    </row>
    <row r="403" spans="1:9" x14ac:dyDescent="0.25">
      <c r="A403" s="8" t="str">
        <f t="shared" si="18"/>
        <v>2006862.H01</v>
      </c>
      <c r="B403" s="9" t="str">
        <f t="shared" si="19"/>
        <v/>
      </c>
      <c r="C403" s="10">
        <f t="shared" si="20"/>
        <v>44109</v>
      </c>
      <c r="D403">
        <v>2006862</v>
      </c>
      <c r="E403" t="s">
        <v>145</v>
      </c>
      <c r="F403" s="6">
        <v>44113</v>
      </c>
      <c r="H403" t="s">
        <v>192</v>
      </c>
      <c r="I403" t="s">
        <v>120</v>
      </c>
    </row>
    <row r="404" spans="1:9" x14ac:dyDescent="0.25">
      <c r="A404" s="8" t="str">
        <f t="shared" si="18"/>
        <v>2006862.HP1</v>
      </c>
      <c r="B404" s="9" t="str">
        <f t="shared" si="19"/>
        <v/>
      </c>
      <c r="C404" s="10">
        <f t="shared" si="20"/>
        <v>44109</v>
      </c>
      <c r="D404">
        <v>2006862</v>
      </c>
      <c r="E404" t="s">
        <v>129</v>
      </c>
      <c r="F404" s="6">
        <v>44113</v>
      </c>
      <c r="H404" t="s">
        <v>192</v>
      </c>
      <c r="I404" t="s">
        <v>120</v>
      </c>
    </row>
    <row r="405" spans="1:9" x14ac:dyDescent="0.25">
      <c r="A405" s="8" t="str">
        <f t="shared" si="18"/>
        <v>2006864.HP0</v>
      </c>
      <c r="B405" s="9" t="str">
        <f t="shared" si="19"/>
        <v>4</v>
      </c>
      <c r="C405" s="10">
        <f t="shared" si="20"/>
        <v>44042</v>
      </c>
      <c r="D405">
        <v>2006864</v>
      </c>
      <c r="E405" t="s">
        <v>121</v>
      </c>
      <c r="F405" s="6">
        <v>44043</v>
      </c>
      <c r="G405">
        <v>41</v>
      </c>
      <c r="H405" t="s">
        <v>180</v>
      </c>
      <c r="I405" t="s">
        <v>120</v>
      </c>
    </row>
    <row r="406" spans="1:9" x14ac:dyDescent="0.25">
      <c r="A406" s="8" t="str">
        <f t="shared" si="18"/>
        <v>2006865.0P0</v>
      </c>
      <c r="B406" s="9" t="str">
        <f t="shared" si="19"/>
        <v/>
      </c>
      <c r="C406" s="10">
        <f t="shared" si="20"/>
        <v>44074</v>
      </c>
      <c r="D406">
        <v>2006865</v>
      </c>
      <c r="E406" t="s">
        <v>119</v>
      </c>
      <c r="F406" s="6">
        <v>44078</v>
      </c>
      <c r="H406" t="s">
        <v>180</v>
      </c>
      <c r="I406" t="s">
        <v>120</v>
      </c>
    </row>
    <row r="407" spans="1:9" x14ac:dyDescent="0.25">
      <c r="A407" s="8" t="str">
        <f t="shared" si="18"/>
        <v>2006867.Y00</v>
      </c>
      <c r="B407" s="9" t="str">
        <f t="shared" si="19"/>
        <v/>
      </c>
      <c r="C407" s="10">
        <f t="shared" si="20"/>
        <v>44074</v>
      </c>
      <c r="D407">
        <v>2006867</v>
      </c>
      <c r="E407" t="s">
        <v>130</v>
      </c>
      <c r="F407" s="6">
        <v>44078</v>
      </c>
      <c r="H407" t="s">
        <v>180</v>
      </c>
      <c r="I407" t="s">
        <v>120</v>
      </c>
    </row>
    <row r="408" spans="1:9" x14ac:dyDescent="0.25">
      <c r="A408" s="8" t="str">
        <f t="shared" si="18"/>
        <v>2006868.RELI</v>
      </c>
      <c r="B408" s="9" t="str">
        <f t="shared" si="19"/>
        <v/>
      </c>
      <c r="C408" s="10">
        <f t="shared" si="20"/>
        <v>44081</v>
      </c>
      <c r="D408">
        <v>2006868</v>
      </c>
      <c r="E408" t="s">
        <v>230</v>
      </c>
      <c r="F408" s="6">
        <v>44085</v>
      </c>
      <c r="H408" t="s">
        <v>180</v>
      </c>
      <c r="I408" t="s">
        <v>120</v>
      </c>
    </row>
    <row r="409" spans="1:9" x14ac:dyDescent="0.25">
      <c r="A409" s="8" t="str">
        <f t="shared" si="18"/>
        <v>2006871.X00</v>
      </c>
      <c r="B409" s="9" t="str">
        <f t="shared" si="19"/>
        <v>2</v>
      </c>
      <c r="C409" s="10">
        <f t="shared" si="20"/>
        <v>44068</v>
      </c>
      <c r="D409">
        <v>2006871</v>
      </c>
      <c r="E409" t="s">
        <v>225</v>
      </c>
      <c r="F409" s="6">
        <v>44071</v>
      </c>
      <c r="G409">
        <v>23</v>
      </c>
      <c r="H409" t="s">
        <v>180</v>
      </c>
      <c r="I409" t="s">
        <v>120</v>
      </c>
    </row>
    <row r="410" spans="1:9" x14ac:dyDescent="0.25">
      <c r="A410" s="8" t="str">
        <f t="shared" si="18"/>
        <v>2006875.H01</v>
      </c>
      <c r="B410" s="9" t="str">
        <f t="shared" si="19"/>
        <v>3</v>
      </c>
      <c r="C410" s="10">
        <f t="shared" si="20"/>
        <v>44069</v>
      </c>
      <c r="D410">
        <v>2006875</v>
      </c>
      <c r="E410" t="s">
        <v>145</v>
      </c>
      <c r="F410" s="6">
        <v>44071</v>
      </c>
      <c r="G410">
        <v>34</v>
      </c>
      <c r="H410" t="s">
        <v>180</v>
      </c>
      <c r="I410" t="s">
        <v>120</v>
      </c>
    </row>
    <row r="411" spans="1:9" x14ac:dyDescent="0.25">
      <c r="A411" s="8" t="str">
        <f t="shared" si="18"/>
        <v>2006876.0P0</v>
      </c>
      <c r="B411" s="9" t="str">
        <f t="shared" si="19"/>
        <v/>
      </c>
      <c r="C411" s="10">
        <f t="shared" si="20"/>
        <v>44032</v>
      </c>
      <c r="D411">
        <v>2006876</v>
      </c>
      <c r="E411" t="s">
        <v>119</v>
      </c>
      <c r="F411" s="6">
        <v>44036</v>
      </c>
      <c r="H411" t="s">
        <v>192</v>
      </c>
      <c r="I411" t="s">
        <v>120</v>
      </c>
    </row>
    <row r="412" spans="1:9" x14ac:dyDescent="0.25">
      <c r="A412" s="8" t="str">
        <f t="shared" si="18"/>
        <v>2006877.T00</v>
      </c>
      <c r="B412" s="9" t="str">
        <f t="shared" si="19"/>
        <v/>
      </c>
      <c r="C412" s="10">
        <f t="shared" si="20"/>
        <v>44116</v>
      </c>
      <c r="D412">
        <v>2006877</v>
      </c>
      <c r="E412" t="s">
        <v>159</v>
      </c>
      <c r="F412" s="6">
        <v>44120</v>
      </c>
      <c r="H412" t="s">
        <v>192</v>
      </c>
      <c r="I412" t="s">
        <v>120</v>
      </c>
    </row>
    <row r="413" spans="1:9" x14ac:dyDescent="0.25">
      <c r="A413" s="8" t="str">
        <f t="shared" si="18"/>
        <v>2006880.Y00</v>
      </c>
      <c r="B413" s="9" t="str">
        <f t="shared" si="19"/>
        <v/>
      </c>
      <c r="C413" s="10">
        <f t="shared" si="20"/>
        <v>44081</v>
      </c>
      <c r="D413">
        <v>2006880</v>
      </c>
      <c r="E413" t="s">
        <v>130</v>
      </c>
      <c r="F413" s="6">
        <v>44085</v>
      </c>
      <c r="H413" t="s">
        <v>189</v>
      </c>
      <c r="I413" t="s">
        <v>120</v>
      </c>
    </row>
    <row r="414" spans="1:9" x14ac:dyDescent="0.25">
      <c r="A414" s="8" t="str">
        <f t="shared" si="18"/>
        <v>2006882.000</v>
      </c>
      <c r="B414" s="9" t="str">
        <f t="shared" si="19"/>
        <v/>
      </c>
      <c r="C414" s="10">
        <f t="shared" si="20"/>
        <v>44067</v>
      </c>
      <c r="D414">
        <v>2006882</v>
      </c>
      <c r="E414">
        <v>0</v>
      </c>
      <c r="F414" s="6">
        <v>44071</v>
      </c>
      <c r="H414" t="s">
        <v>191</v>
      </c>
      <c r="I414" t="s">
        <v>120</v>
      </c>
    </row>
    <row r="415" spans="1:9" x14ac:dyDescent="0.25">
      <c r="A415" s="8" t="str">
        <f t="shared" si="18"/>
        <v>2006882.Y00</v>
      </c>
      <c r="B415" s="9" t="str">
        <f t="shared" si="19"/>
        <v/>
      </c>
      <c r="C415" s="10">
        <f t="shared" si="20"/>
        <v>44067</v>
      </c>
      <c r="D415">
        <v>2006882</v>
      </c>
      <c r="E415" t="s">
        <v>130</v>
      </c>
      <c r="F415" s="6">
        <v>44071</v>
      </c>
      <c r="H415" t="s">
        <v>191</v>
      </c>
      <c r="I415" t="s">
        <v>120</v>
      </c>
    </row>
    <row r="416" spans="1:9" x14ac:dyDescent="0.25">
      <c r="A416" s="8" t="str">
        <f t="shared" si="18"/>
        <v>2006883.0P0</v>
      </c>
      <c r="B416" s="9" t="str">
        <f t="shared" si="19"/>
        <v>3</v>
      </c>
      <c r="C416" s="10">
        <f t="shared" si="20"/>
        <v>44076</v>
      </c>
      <c r="D416">
        <v>2006883</v>
      </c>
      <c r="E416" t="s">
        <v>119</v>
      </c>
      <c r="F416" s="6">
        <v>44078</v>
      </c>
      <c r="G416">
        <v>3</v>
      </c>
      <c r="H416" t="s">
        <v>180</v>
      </c>
      <c r="I416" t="s">
        <v>120</v>
      </c>
    </row>
    <row r="417" spans="1:9" x14ac:dyDescent="0.25">
      <c r="A417" s="8" t="str">
        <f t="shared" si="18"/>
        <v>2006885.0P0</v>
      </c>
      <c r="B417" s="9" t="str">
        <f t="shared" si="19"/>
        <v>3</v>
      </c>
      <c r="C417" s="10">
        <f t="shared" si="20"/>
        <v>44041</v>
      </c>
      <c r="D417">
        <v>2006885</v>
      </c>
      <c r="E417" t="s">
        <v>119</v>
      </c>
      <c r="F417" s="6">
        <v>44043</v>
      </c>
      <c r="G417">
        <v>30</v>
      </c>
      <c r="H417" t="s">
        <v>180</v>
      </c>
      <c r="I417" t="s">
        <v>120</v>
      </c>
    </row>
    <row r="418" spans="1:9" x14ac:dyDescent="0.25">
      <c r="A418" s="8" t="str">
        <f t="shared" si="18"/>
        <v>2006889.000</v>
      </c>
      <c r="B418" s="9" t="str">
        <f t="shared" si="19"/>
        <v/>
      </c>
      <c r="C418" s="10">
        <f t="shared" si="20"/>
        <v>44088</v>
      </c>
      <c r="D418">
        <v>2006889</v>
      </c>
      <c r="E418">
        <v>0</v>
      </c>
      <c r="F418" s="6">
        <v>44092</v>
      </c>
      <c r="H418" t="s">
        <v>189</v>
      </c>
      <c r="I418" t="s">
        <v>120</v>
      </c>
    </row>
    <row r="419" spans="1:9" x14ac:dyDescent="0.25">
      <c r="A419" s="8" t="str">
        <f t="shared" si="18"/>
        <v>2006893.ZP1</v>
      </c>
      <c r="B419" s="9" t="str">
        <f t="shared" si="19"/>
        <v/>
      </c>
      <c r="C419" s="10">
        <f t="shared" si="20"/>
        <v>44074</v>
      </c>
      <c r="D419">
        <v>2006893</v>
      </c>
      <c r="E419" t="s">
        <v>141</v>
      </c>
      <c r="F419" s="6">
        <v>44078</v>
      </c>
      <c r="H419" t="s">
        <v>180</v>
      </c>
      <c r="I419" t="s">
        <v>120</v>
      </c>
    </row>
    <row r="420" spans="1:9" x14ac:dyDescent="0.25">
      <c r="A420" s="8" t="str">
        <f t="shared" si="18"/>
        <v>2006896.000</v>
      </c>
      <c r="B420" s="9" t="str">
        <f t="shared" si="19"/>
        <v/>
      </c>
      <c r="C420" s="10">
        <f t="shared" si="20"/>
        <v>44088</v>
      </c>
      <c r="D420">
        <v>2006896</v>
      </c>
      <c r="E420">
        <v>0</v>
      </c>
      <c r="F420" s="6">
        <v>44092</v>
      </c>
      <c r="H420" t="s">
        <v>189</v>
      </c>
      <c r="I420" t="s">
        <v>120</v>
      </c>
    </row>
    <row r="421" spans="1:9" x14ac:dyDescent="0.25">
      <c r="A421" s="8" t="str">
        <f t="shared" si="18"/>
        <v>2006903.000</v>
      </c>
      <c r="B421" s="9" t="str">
        <f t="shared" si="19"/>
        <v/>
      </c>
      <c r="C421" s="10">
        <f t="shared" si="20"/>
        <v>44102</v>
      </c>
      <c r="D421">
        <v>2006903</v>
      </c>
      <c r="E421">
        <v>0</v>
      </c>
      <c r="F421" s="6">
        <v>44106</v>
      </c>
      <c r="H421" t="s">
        <v>189</v>
      </c>
      <c r="I421" t="s">
        <v>120</v>
      </c>
    </row>
    <row r="422" spans="1:9" x14ac:dyDescent="0.25">
      <c r="A422" s="8" t="str">
        <f t="shared" si="18"/>
        <v>2006906.0P0</v>
      </c>
      <c r="B422" s="9" t="str">
        <f t="shared" si="19"/>
        <v/>
      </c>
      <c r="C422" s="10">
        <f t="shared" si="20"/>
        <v>44039</v>
      </c>
      <c r="D422">
        <v>2006906</v>
      </c>
      <c r="E422" t="s">
        <v>119</v>
      </c>
      <c r="F422" s="6">
        <v>44043</v>
      </c>
      <c r="H422" t="s">
        <v>191</v>
      </c>
      <c r="I422" t="s">
        <v>120</v>
      </c>
    </row>
    <row r="423" spans="1:9" x14ac:dyDescent="0.25">
      <c r="A423" s="8" t="str">
        <f t="shared" si="18"/>
        <v>2006922.Y00</v>
      </c>
      <c r="B423" s="9" t="str">
        <f t="shared" si="19"/>
        <v>3</v>
      </c>
      <c r="C423" s="10">
        <f t="shared" si="20"/>
        <v>44069</v>
      </c>
      <c r="D423">
        <v>2006922</v>
      </c>
      <c r="E423" t="s">
        <v>130</v>
      </c>
      <c r="F423" s="6">
        <v>44071</v>
      </c>
      <c r="G423">
        <v>30</v>
      </c>
      <c r="H423" t="s">
        <v>180</v>
      </c>
      <c r="I423" t="s">
        <v>120</v>
      </c>
    </row>
    <row r="424" spans="1:9" x14ac:dyDescent="0.25">
      <c r="A424" s="8" t="str">
        <f t="shared" si="18"/>
        <v>2006930.RELI</v>
      </c>
      <c r="B424" s="9" t="str">
        <f t="shared" si="19"/>
        <v>V</v>
      </c>
      <c r="C424" s="10">
        <f t="shared" si="20"/>
        <v>44078</v>
      </c>
      <c r="D424">
        <v>2006930</v>
      </c>
      <c r="E424" t="s">
        <v>230</v>
      </c>
      <c r="F424" s="6">
        <v>44085</v>
      </c>
      <c r="G424" t="s">
        <v>142</v>
      </c>
      <c r="H424" t="s">
        <v>180</v>
      </c>
      <c r="I424" t="s">
        <v>120</v>
      </c>
    </row>
    <row r="425" spans="1:9" x14ac:dyDescent="0.25">
      <c r="A425" s="8" t="str">
        <f t="shared" si="18"/>
        <v>2006931.000</v>
      </c>
      <c r="B425" s="9" t="str">
        <f t="shared" si="19"/>
        <v/>
      </c>
      <c r="C425" s="10">
        <f t="shared" si="20"/>
        <v>44081</v>
      </c>
      <c r="D425">
        <v>2006931</v>
      </c>
      <c r="E425">
        <v>0</v>
      </c>
      <c r="F425" s="6">
        <v>44085</v>
      </c>
      <c r="H425" t="s">
        <v>189</v>
      </c>
      <c r="I425" t="s">
        <v>120</v>
      </c>
    </row>
    <row r="426" spans="1:9" x14ac:dyDescent="0.25">
      <c r="A426" s="8" t="str">
        <f t="shared" si="18"/>
        <v>2006931.0P0</v>
      </c>
      <c r="B426" s="9" t="str">
        <f t="shared" si="19"/>
        <v/>
      </c>
      <c r="C426" s="10">
        <f t="shared" si="20"/>
        <v>44081</v>
      </c>
      <c r="D426">
        <v>2006931</v>
      </c>
      <c r="E426" t="s">
        <v>119</v>
      </c>
      <c r="F426" s="6">
        <v>44085</v>
      </c>
      <c r="H426" t="s">
        <v>266</v>
      </c>
      <c r="I426" t="s">
        <v>120</v>
      </c>
    </row>
    <row r="427" spans="1:9" x14ac:dyDescent="0.25">
      <c r="A427" s="8" t="str">
        <f t="shared" si="18"/>
        <v>2006931.Y00</v>
      </c>
      <c r="B427" s="9" t="str">
        <f t="shared" si="19"/>
        <v/>
      </c>
      <c r="C427" s="10">
        <f t="shared" si="20"/>
        <v>44081</v>
      </c>
      <c r="D427">
        <v>2006931</v>
      </c>
      <c r="E427" t="s">
        <v>130</v>
      </c>
      <c r="F427" s="6">
        <v>44085</v>
      </c>
      <c r="H427" t="s">
        <v>189</v>
      </c>
      <c r="I427" t="s">
        <v>120</v>
      </c>
    </row>
    <row r="428" spans="1:9" x14ac:dyDescent="0.25">
      <c r="A428" s="8" t="str">
        <f t="shared" si="18"/>
        <v>2006934.000</v>
      </c>
      <c r="B428" s="9" t="str">
        <f t="shared" si="19"/>
        <v/>
      </c>
      <c r="C428" s="10">
        <f t="shared" si="20"/>
        <v>44032</v>
      </c>
      <c r="D428">
        <v>2006934</v>
      </c>
      <c r="E428">
        <v>0</v>
      </c>
      <c r="F428" s="6">
        <v>44036</v>
      </c>
      <c r="H428" t="s">
        <v>191</v>
      </c>
      <c r="I428" t="s">
        <v>120</v>
      </c>
    </row>
    <row r="429" spans="1:9" x14ac:dyDescent="0.25">
      <c r="A429" s="8" t="str">
        <f t="shared" si="18"/>
        <v>2006934.0P0</v>
      </c>
      <c r="B429" s="9" t="str">
        <f t="shared" si="19"/>
        <v/>
      </c>
      <c r="C429" s="10">
        <f t="shared" si="20"/>
        <v>44032</v>
      </c>
      <c r="D429">
        <v>2006934</v>
      </c>
      <c r="E429" t="s">
        <v>119</v>
      </c>
      <c r="F429" s="6">
        <v>44036</v>
      </c>
      <c r="H429" t="s">
        <v>191</v>
      </c>
      <c r="I429" t="s">
        <v>120</v>
      </c>
    </row>
    <row r="430" spans="1:9" x14ac:dyDescent="0.25">
      <c r="A430" s="8" t="str">
        <f t="shared" si="18"/>
        <v>2006944.UPL</v>
      </c>
      <c r="B430" s="9" t="str">
        <f t="shared" si="19"/>
        <v/>
      </c>
      <c r="C430" s="10">
        <f t="shared" si="20"/>
        <v>44074</v>
      </c>
      <c r="D430">
        <v>2006944</v>
      </c>
      <c r="E430" t="s">
        <v>143</v>
      </c>
      <c r="F430" s="6">
        <v>44078</v>
      </c>
      <c r="H430" t="s">
        <v>180</v>
      </c>
      <c r="I430" t="s">
        <v>120</v>
      </c>
    </row>
    <row r="431" spans="1:9" x14ac:dyDescent="0.25">
      <c r="A431" s="8" t="str">
        <f t="shared" si="18"/>
        <v>2006960.NS0</v>
      </c>
      <c r="B431" s="9" t="str">
        <f t="shared" si="19"/>
        <v/>
      </c>
      <c r="C431" s="10">
        <f t="shared" si="20"/>
        <v>44039</v>
      </c>
      <c r="D431">
        <v>2006960</v>
      </c>
      <c r="E431" t="s">
        <v>169</v>
      </c>
      <c r="F431" s="6">
        <v>44043</v>
      </c>
      <c r="H431" t="s">
        <v>180</v>
      </c>
      <c r="I431" t="s">
        <v>120</v>
      </c>
    </row>
    <row r="432" spans="1:9" x14ac:dyDescent="0.25">
      <c r="A432" s="8" t="str">
        <f t="shared" si="18"/>
        <v>2006967.Y01</v>
      </c>
      <c r="B432" s="9" t="str">
        <f t="shared" si="19"/>
        <v/>
      </c>
      <c r="C432" s="10">
        <f t="shared" si="20"/>
        <v>44032</v>
      </c>
      <c r="D432">
        <v>2006967</v>
      </c>
      <c r="E432" t="s">
        <v>132</v>
      </c>
      <c r="F432" s="6">
        <v>44036</v>
      </c>
      <c r="H432" t="s">
        <v>192</v>
      </c>
      <c r="I432" t="s">
        <v>120</v>
      </c>
    </row>
    <row r="433" spans="1:9" x14ac:dyDescent="0.25">
      <c r="A433" s="8" t="str">
        <f t="shared" si="18"/>
        <v>2006971.0P0</v>
      </c>
      <c r="B433" s="9" t="str">
        <f t="shared" si="19"/>
        <v>V</v>
      </c>
      <c r="C433" s="10">
        <f t="shared" si="20"/>
        <v>44029</v>
      </c>
      <c r="D433">
        <v>2006971</v>
      </c>
      <c r="E433" t="s">
        <v>119</v>
      </c>
      <c r="F433" s="6">
        <v>44036</v>
      </c>
      <c r="G433" t="s">
        <v>127</v>
      </c>
      <c r="H433" t="s">
        <v>180</v>
      </c>
      <c r="I433" t="s">
        <v>120</v>
      </c>
    </row>
    <row r="434" spans="1:9" x14ac:dyDescent="0.25">
      <c r="A434" s="8" t="str">
        <f t="shared" si="18"/>
        <v>2006975.H00</v>
      </c>
      <c r="B434" s="9" t="str">
        <f t="shared" si="19"/>
        <v>3</v>
      </c>
      <c r="C434" s="10">
        <f t="shared" si="20"/>
        <v>44069</v>
      </c>
      <c r="D434">
        <v>2006975</v>
      </c>
      <c r="E434" t="s">
        <v>122</v>
      </c>
      <c r="F434" s="6">
        <v>44071</v>
      </c>
      <c r="G434">
        <v>31</v>
      </c>
      <c r="H434" t="s">
        <v>180</v>
      </c>
      <c r="I434" t="s">
        <v>120</v>
      </c>
    </row>
    <row r="435" spans="1:9" x14ac:dyDescent="0.25">
      <c r="A435" s="8" t="str">
        <f t="shared" si="18"/>
        <v>2006975.HP0</v>
      </c>
      <c r="B435" s="9" t="str">
        <f t="shared" si="19"/>
        <v>3</v>
      </c>
      <c r="C435" s="10">
        <f t="shared" si="20"/>
        <v>44069</v>
      </c>
      <c r="D435">
        <v>2006975</v>
      </c>
      <c r="E435" t="s">
        <v>121</v>
      </c>
      <c r="F435" s="6">
        <v>44071</v>
      </c>
      <c r="G435">
        <v>31</v>
      </c>
      <c r="H435" t="s">
        <v>180</v>
      </c>
      <c r="I435" t="s">
        <v>120</v>
      </c>
    </row>
    <row r="436" spans="1:9" x14ac:dyDescent="0.25">
      <c r="A436" s="8" t="str">
        <f t="shared" si="18"/>
        <v>2006975.Y01</v>
      </c>
      <c r="B436" s="9" t="str">
        <f t="shared" si="19"/>
        <v>3</v>
      </c>
      <c r="C436" s="10">
        <f t="shared" si="20"/>
        <v>44069</v>
      </c>
      <c r="D436">
        <v>2006975</v>
      </c>
      <c r="E436" t="s">
        <v>132</v>
      </c>
      <c r="F436" s="6">
        <v>44071</v>
      </c>
      <c r="G436">
        <v>31</v>
      </c>
      <c r="H436" t="s">
        <v>180</v>
      </c>
      <c r="I436" t="s">
        <v>120</v>
      </c>
    </row>
    <row r="437" spans="1:9" x14ac:dyDescent="0.25">
      <c r="A437" s="8" t="str">
        <f t="shared" si="18"/>
        <v>2006977.000</v>
      </c>
      <c r="B437" s="9" t="str">
        <f t="shared" si="19"/>
        <v/>
      </c>
      <c r="C437" s="10">
        <f t="shared" si="20"/>
        <v>44109</v>
      </c>
      <c r="D437">
        <v>2006977</v>
      </c>
      <c r="E437">
        <v>0</v>
      </c>
      <c r="F437" s="6">
        <v>44113</v>
      </c>
      <c r="H437" t="s">
        <v>189</v>
      </c>
      <c r="I437" t="s">
        <v>120</v>
      </c>
    </row>
    <row r="438" spans="1:9" x14ac:dyDescent="0.25">
      <c r="A438" s="8" t="str">
        <f t="shared" si="18"/>
        <v>2006987.0P0</v>
      </c>
      <c r="B438" s="9" t="str">
        <f t="shared" si="19"/>
        <v>2</v>
      </c>
      <c r="C438" s="10">
        <f t="shared" si="20"/>
        <v>44068</v>
      </c>
      <c r="D438">
        <v>2006987</v>
      </c>
      <c r="E438" t="s">
        <v>119</v>
      </c>
      <c r="F438" s="6">
        <v>44071</v>
      </c>
      <c r="G438">
        <v>21</v>
      </c>
      <c r="H438" t="s">
        <v>180</v>
      </c>
      <c r="I438" t="s">
        <v>120</v>
      </c>
    </row>
    <row r="439" spans="1:9" x14ac:dyDescent="0.25">
      <c r="A439" s="8" t="str">
        <f t="shared" si="18"/>
        <v>2006994.U00</v>
      </c>
      <c r="B439" s="9" t="str">
        <f t="shared" si="19"/>
        <v/>
      </c>
      <c r="C439" s="10">
        <f t="shared" si="20"/>
        <v>44074</v>
      </c>
      <c r="D439">
        <v>2006994</v>
      </c>
      <c r="E439" t="s">
        <v>131</v>
      </c>
      <c r="F439" s="6">
        <v>44078</v>
      </c>
      <c r="H439" t="s">
        <v>180</v>
      </c>
      <c r="I439" t="s">
        <v>120</v>
      </c>
    </row>
    <row r="440" spans="1:9" x14ac:dyDescent="0.25">
      <c r="A440" s="8" t="str">
        <f t="shared" si="18"/>
        <v>2006998.U01</v>
      </c>
      <c r="B440" s="9" t="str">
        <f t="shared" si="19"/>
        <v>1</v>
      </c>
      <c r="C440" s="10">
        <f t="shared" si="20"/>
        <v>44067</v>
      </c>
      <c r="D440">
        <v>2006998</v>
      </c>
      <c r="E440" t="s">
        <v>150</v>
      </c>
      <c r="F440" s="6">
        <v>44071</v>
      </c>
      <c r="G440">
        <v>10</v>
      </c>
      <c r="H440" t="s">
        <v>180</v>
      </c>
      <c r="I440" t="s">
        <v>120</v>
      </c>
    </row>
    <row r="441" spans="1:9" x14ac:dyDescent="0.25">
      <c r="A441" s="8" t="str">
        <f t="shared" si="18"/>
        <v>2006998.Y01</v>
      </c>
      <c r="B441" s="9" t="str">
        <f t="shared" si="19"/>
        <v>1</v>
      </c>
      <c r="C441" s="10">
        <f t="shared" si="20"/>
        <v>44067</v>
      </c>
      <c r="D441">
        <v>2006998</v>
      </c>
      <c r="E441" t="s">
        <v>132</v>
      </c>
      <c r="F441" s="6">
        <v>44071</v>
      </c>
      <c r="G441">
        <v>10</v>
      </c>
      <c r="H441" t="s">
        <v>180</v>
      </c>
      <c r="I441" t="s">
        <v>120</v>
      </c>
    </row>
    <row r="442" spans="1:9" x14ac:dyDescent="0.25">
      <c r="A442" s="8" t="str">
        <f t="shared" si="18"/>
        <v>2006999.X00</v>
      </c>
      <c r="B442" s="9" t="str">
        <f t="shared" si="19"/>
        <v>3</v>
      </c>
      <c r="C442" s="10">
        <f t="shared" si="20"/>
        <v>44069</v>
      </c>
      <c r="D442">
        <v>2006999</v>
      </c>
      <c r="E442" t="s">
        <v>225</v>
      </c>
      <c r="F442" s="6">
        <v>44071</v>
      </c>
      <c r="G442">
        <v>31</v>
      </c>
      <c r="H442" t="s">
        <v>180</v>
      </c>
      <c r="I442" t="s">
        <v>120</v>
      </c>
    </row>
    <row r="443" spans="1:9" x14ac:dyDescent="0.25">
      <c r="A443" s="8" t="str">
        <f t="shared" si="18"/>
        <v>2007001.NF0</v>
      </c>
      <c r="B443" s="9" t="str">
        <f t="shared" si="19"/>
        <v/>
      </c>
      <c r="C443" s="10">
        <f t="shared" si="20"/>
        <v>44074</v>
      </c>
      <c r="D443">
        <v>2007001</v>
      </c>
      <c r="E443" t="s">
        <v>137</v>
      </c>
      <c r="F443" s="6">
        <v>44078</v>
      </c>
      <c r="H443" t="s">
        <v>183</v>
      </c>
      <c r="I443" t="s">
        <v>120</v>
      </c>
    </row>
    <row r="444" spans="1:9" x14ac:dyDescent="0.25">
      <c r="A444" s="8" t="str">
        <f t="shared" si="18"/>
        <v>2007011.U00</v>
      </c>
      <c r="B444" s="9" t="str">
        <f t="shared" si="19"/>
        <v>1</v>
      </c>
      <c r="C444" s="10">
        <f t="shared" si="20"/>
        <v>44067</v>
      </c>
      <c r="D444">
        <v>2007011</v>
      </c>
      <c r="E444" t="s">
        <v>131</v>
      </c>
      <c r="F444" s="6">
        <v>44071</v>
      </c>
      <c r="G444">
        <v>14</v>
      </c>
      <c r="H444" t="s">
        <v>180</v>
      </c>
      <c r="I444" t="s">
        <v>120</v>
      </c>
    </row>
    <row r="445" spans="1:9" x14ac:dyDescent="0.25">
      <c r="A445" s="8" t="str">
        <f t="shared" si="18"/>
        <v>2007014.0P0</v>
      </c>
      <c r="B445" s="9" t="str">
        <f t="shared" si="19"/>
        <v>1</v>
      </c>
      <c r="C445" s="10">
        <f t="shared" si="20"/>
        <v>44067</v>
      </c>
      <c r="D445">
        <v>2007014</v>
      </c>
      <c r="E445" t="s">
        <v>119</v>
      </c>
      <c r="F445" s="6">
        <v>44071</v>
      </c>
      <c r="G445">
        <v>12</v>
      </c>
      <c r="H445" t="s">
        <v>180</v>
      </c>
      <c r="I445" t="s">
        <v>120</v>
      </c>
    </row>
    <row r="446" spans="1:9" x14ac:dyDescent="0.25">
      <c r="A446" s="8" t="str">
        <f t="shared" si="18"/>
        <v>2007017.X00</v>
      </c>
      <c r="B446" s="9" t="str">
        <f t="shared" si="19"/>
        <v>1</v>
      </c>
      <c r="C446" s="10">
        <f t="shared" si="20"/>
        <v>44067</v>
      </c>
      <c r="D446">
        <v>2007017</v>
      </c>
      <c r="E446" t="s">
        <v>225</v>
      </c>
      <c r="F446" s="6">
        <v>44071</v>
      </c>
      <c r="G446">
        <v>12</v>
      </c>
      <c r="H446" t="s">
        <v>180</v>
      </c>
      <c r="I446" t="s">
        <v>120</v>
      </c>
    </row>
    <row r="447" spans="1:9" x14ac:dyDescent="0.25">
      <c r="A447" s="8" t="str">
        <f t="shared" si="18"/>
        <v>2007025.000</v>
      </c>
      <c r="B447" s="9" t="str">
        <f t="shared" si="19"/>
        <v/>
      </c>
      <c r="C447" s="10">
        <f t="shared" si="20"/>
        <v>44088</v>
      </c>
      <c r="D447">
        <v>2007025</v>
      </c>
      <c r="E447">
        <v>0</v>
      </c>
      <c r="F447" s="6">
        <v>44092</v>
      </c>
      <c r="H447" t="s">
        <v>189</v>
      </c>
      <c r="I447" t="s">
        <v>120</v>
      </c>
    </row>
    <row r="448" spans="1:9" x14ac:dyDescent="0.25">
      <c r="A448" s="8" t="str">
        <f t="shared" si="18"/>
        <v>2007046.000</v>
      </c>
      <c r="B448" s="9" t="str">
        <f t="shared" si="19"/>
        <v/>
      </c>
      <c r="C448" s="10">
        <f t="shared" si="20"/>
        <v>44116</v>
      </c>
      <c r="D448">
        <v>2007046</v>
      </c>
      <c r="E448">
        <v>0</v>
      </c>
      <c r="F448" s="6">
        <v>44120</v>
      </c>
      <c r="H448" t="s">
        <v>189</v>
      </c>
      <c r="I448" t="s">
        <v>120</v>
      </c>
    </row>
    <row r="449" spans="1:9" x14ac:dyDescent="0.25">
      <c r="A449" s="8" t="str">
        <f t="shared" si="18"/>
        <v>2007046.C00</v>
      </c>
      <c r="B449" s="9" t="str">
        <f t="shared" si="19"/>
        <v/>
      </c>
      <c r="C449" s="10">
        <f t="shared" si="20"/>
        <v>44116</v>
      </c>
      <c r="D449">
        <v>2007046</v>
      </c>
      <c r="E449" t="s">
        <v>147</v>
      </c>
      <c r="F449" s="6">
        <v>44120</v>
      </c>
      <c r="H449" t="s">
        <v>189</v>
      </c>
      <c r="I449" t="s">
        <v>120</v>
      </c>
    </row>
    <row r="450" spans="1:9" x14ac:dyDescent="0.25">
      <c r="A450" s="8" t="str">
        <f t="shared" ref="A450:A513" si="21">IF(D450="","",IF(E450=0,CONCATENATE(D450,".",E450,"00"),CONCATENATE(D450,".",E450)))</f>
        <v>2007047.H01</v>
      </c>
      <c r="B450" s="9" t="str">
        <f t="shared" ref="B450:B513" si="22">LEFT(G450,1)</f>
        <v/>
      </c>
      <c r="C450" s="10">
        <f t="shared" ref="C450:C513" si="23">IF(F450="","",IF(B450="",F450-4,IF(B450="1",F450-4,IF(B450="2",F450-3,IF(B450="3",F450-2,IF(B450="4",F450-1,IF(B450="V",F450-7,IF(B450="J",F450-8,F450))))))))</f>
        <v>44081</v>
      </c>
      <c r="D450">
        <v>2007047</v>
      </c>
      <c r="E450" t="s">
        <v>145</v>
      </c>
      <c r="F450" s="6">
        <v>44085</v>
      </c>
      <c r="H450" t="s">
        <v>180</v>
      </c>
      <c r="I450" t="s">
        <v>120</v>
      </c>
    </row>
    <row r="451" spans="1:9" x14ac:dyDescent="0.25">
      <c r="A451" s="8" t="str">
        <f t="shared" si="21"/>
        <v>2007049.Y02</v>
      </c>
      <c r="B451" s="9" t="str">
        <f t="shared" si="22"/>
        <v>1</v>
      </c>
      <c r="C451" s="10">
        <f t="shared" si="23"/>
        <v>44095</v>
      </c>
      <c r="D451">
        <v>2007049</v>
      </c>
      <c r="E451" t="s">
        <v>144</v>
      </c>
      <c r="F451" s="6">
        <v>44099</v>
      </c>
      <c r="G451">
        <v>1</v>
      </c>
      <c r="H451" t="s">
        <v>189</v>
      </c>
      <c r="I451" t="s">
        <v>120</v>
      </c>
    </row>
    <row r="452" spans="1:9" x14ac:dyDescent="0.25">
      <c r="A452" s="8" t="str">
        <f t="shared" si="21"/>
        <v>2007056.H00</v>
      </c>
      <c r="B452" s="9" t="str">
        <f t="shared" si="22"/>
        <v/>
      </c>
      <c r="C452" s="10">
        <f t="shared" si="23"/>
        <v>44081</v>
      </c>
      <c r="D452">
        <v>2007056</v>
      </c>
      <c r="E452" t="s">
        <v>122</v>
      </c>
      <c r="F452" s="6">
        <v>44085</v>
      </c>
      <c r="H452" t="s">
        <v>180</v>
      </c>
      <c r="I452" t="s">
        <v>120</v>
      </c>
    </row>
    <row r="453" spans="1:9" x14ac:dyDescent="0.25">
      <c r="A453" s="8" t="str">
        <f t="shared" si="21"/>
        <v>2007057.Y00</v>
      </c>
      <c r="B453" s="9" t="str">
        <f t="shared" si="22"/>
        <v/>
      </c>
      <c r="C453" s="10">
        <f t="shared" si="23"/>
        <v>44088</v>
      </c>
      <c r="D453">
        <v>2007057</v>
      </c>
      <c r="E453" t="s">
        <v>130</v>
      </c>
      <c r="F453" s="6">
        <v>44092</v>
      </c>
      <c r="H453" t="s">
        <v>189</v>
      </c>
      <c r="I453" t="s">
        <v>120</v>
      </c>
    </row>
    <row r="454" spans="1:9" x14ac:dyDescent="0.25">
      <c r="A454" s="8" t="str">
        <f t="shared" si="21"/>
        <v>2007061.XP0</v>
      </c>
      <c r="B454" s="9" t="str">
        <f t="shared" si="22"/>
        <v>4</v>
      </c>
      <c r="C454" s="10">
        <f t="shared" si="23"/>
        <v>44042</v>
      </c>
      <c r="D454">
        <v>2007061</v>
      </c>
      <c r="E454" t="s">
        <v>181</v>
      </c>
      <c r="F454" s="6">
        <v>44043</v>
      </c>
      <c r="G454">
        <v>41</v>
      </c>
      <c r="H454" t="s">
        <v>180</v>
      </c>
      <c r="I454" t="s">
        <v>120</v>
      </c>
    </row>
    <row r="455" spans="1:9" x14ac:dyDescent="0.25">
      <c r="A455" s="8" t="str">
        <f t="shared" si="21"/>
        <v>2007072.C00</v>
      </c>
      <c r="B455" s="9" t="str">
        <f t="shared" si="22"/>
        <v/>
      </c>
      <c r="C455" s="10">
        <f t="shared" si="23"/>
        <v>44074</v>
      </c>
      <c r="D455">
        <v>2007072</v>
      </c>
      <c r="E455" t="s">
        <v>147</v>
      </c>
      <c r="F455" s="6">
        <v>44078</v>
      </c>
      <c r="H455" t="s">
        <v>180</v>
      </c>
      <c r="I455" t="s">
        <v>120</v>
      </c>
    </row>
    <row r="456" spans="1:9" x14ac:dyDescent="0.25">
      <c r="A456" s="8" t="str">
        <f t="shared" si="21"/>
        <v>2007073.H00</v>
      </c>
      <c r="B456" s="9" t="str">
        <f t="shared" si="22"/>
        <v/>
      </c>
      <c r="C456" s="10">
        <f t="shared" si="23"/>
        <v>44074</v>
      </c>
      <c r="D456">
        <v>2007073</v>
      </c>
      <c r="E456" t="s">
        <v>122</v>
      </c>
      <c r="F456" s="6">
        <v>44078</v>
      </c>
      <c r="H456" t="s">
        <v>180</v>
      </c>
      <c r="I456" t="s">
        <v>120</v>
      </c>
    </row>
    <row r="457" spans="1:9" x14ac:dyDescent="0.25">
      <c r="A457" s="8" t="str">
        <f t="shared" si="21"/>
        <v>2007073.Z00</v>
      </c>
      <c r="B457" s="9" t="str">
        <f t="shared" si="22"/>
        <v/>
      </c>
      <c r="C457" s="10">
        <f t="shared" si="23"/>
        <v>44074</v>
      </c>
      <c r="D457">
        <v>2007073</v>
      </c>
      <c r="E457" t="s">
        <v>158</v>
      </c>
      <c r="F457" s="6">
        <v>44078</v>
      </c>
      <c r="H457" t="s">
        <v>180</v>
      </c>
      <c r="I457" t="s">
        <v>120</v>
      </c>
    </row>
    <row r="458" spans="1:9" x14ac:dyDescent="0.25">
      <c r="A458" s="8" t="str">
        <f t="shared" si="21"/>
        <v>2007079.000</v>
      </c>
      <c r="B458" s="9" t="str">
        <f t="shared" si="22"/>
        <v/>
      </c>
      <c r="C458" s="10">
        <f t="shared" si="23"/>
        <v>44109</v>
      </c>
      <c r="D458">
        <v>2007079</v>
      </c>
      <c r="E458">
        <v>0</v>
      </c>
      <c r="F458" s="6">
        <v>44113</v>
      </c>
      <c r="H458" t="s">
        <v>192</v>
      </c>
      <c r="I458" t="s">
        <v>120</v>
      </c>
    </row>
    <row r="459" spans="1:9" x14ac:dyDescent="0.25">
      <c r="A459" s="8" t="str">
        <f t="shared" si="21"/>
        <v>2007080.000</v>
      </c>
      <c r="B459" s="9" t="str">
        <f t="shared" si="22"/>
        <v/>
      </c>
      <c r="C459" s="10">
        <f t="shared" si="23"/>
        <v>44109</v>
      </c>
      <c r="D459">
        <v>2007080</v>
      </c>
      <c r="E459">
        <v>0</v>
      </c>
      <c r="F459" s="6">
        <v>44113</v>
      </c>
      <c r="H459" t="s">
        <v>192</v>
      </c>
      <c r="I459" t="s">
        <v>120</v>
      </c>
    </row>
    <row r="460" spans="1:9" x14ac:dyDescent="0.25">
      <c r="A460" s="8" t="str">
        <f t="shared" si="21"/>
        <v>2007082.HP1</v>
      </c>
      <c r="B460" s="9" t="str">
        <f t="shared" si="22"/>
        <v/>
      </c>
      <c r="C460" s="10">
        <f t="shared" si="23"/>
        <v>44088</v>
      </c>
      <c r="D460">
        <v>2007082</v>
      </c>
      <c r="E460" t="s">
        <v>129</v>
      </c>
      <c r="F460" s="6">
        <v>44092</v>
      </c>
      <c r="H460" t="s">
        <v>189</v>
      </c>
      <c r="I460" t="s">
        <v>134</v>
      </c>
    </row>
    <row r="461" spans="1:9" x14ac:dyDescent="0.25">
      <c r="A461" s="8" t="str">
        <f t="shared" si="21"/>
        <v>2007094.H01</v>
      </c>
      <c r="B461" s="9" t="str">
        <f t="shared" si="22"/>
        <v>V</v>
      </c>
      <c r="C461" s="10">
        <f t="shared" si="23"/>
        <v>44078</v>
      </c>
      <c r="D461">
        <v>2007094</v>
      </c>
      <c r="E461" t="s">
        <v>145</v>
      </c>
      <c r="F461" s="6">
        <v>44085</v>
      </c>
      <c r="G461" t="s">
        <v>124</v>
      </c>
      <c r="H461" t="s">
        <v>180</v>
      </c>
      <c r="I461" t="s">
        <v>120</v>
      </c>
    </row>
    <row r="462" spans="1:9" x14ac:dyDescent="0.25">
      <c r="A462" s="8" t="str">
        <f t="shared" si="21"/>
        <v>2007094.T01</v>
      </c>
      <c r="B462" s="9" t="str">
        <f t="shared" si="22"/>
        <v>V</v>
      </c>
      <c r="C462" s="10">
        <f t="shared" si="23"/>
        <v>44078</v>
      </c>
      <c r="D462">
        <v>2007094</v>
      </c>
      <c r="E462" t="s">
        <v>146</v>
      </c>
      <c r="F462" s="6">
        <v>44085</v>
      </c>
      <c r="G462" t="s">
        <v>124</v>
      </c>
      <c r="H462" t="s">
        <v>180</v>
      </c>
      <c r="I462" t="s">
        <v>120</v>
      </c>
    </row>
    <row r="463" spans="1:9" x14ac:dyDescent="0.25">
      <c r="A463" s="8" t="str">
        <f t="shared" si="21"/>
        <v>2007102.Z01</v>
      </c>
      <c r="B463" s="9" t="str">
        <f t="shared" si="22"/>
        <v>V</v>
      </c>
      <c r="C463" s="10">
        <f t="shared" si="23"/>
        <v>44064</v>
      </c>
      <c r="D463">
        <v>2007102</v>
      </c>
      <c r="E463" t="s">
        <v>135</v>
      </c>
      <c r="F463" s="6">
        <v>44071</v>
      </c>
      <c r="G463" t="s">
        <v>142</v>
      </c>
      <c r="H463" t="s">
        <v>180</v>
      </c>
      <c r="I463" t="s">
        <v>120</v>
      </c>
    </row>
    <row r="464" spans="1:9" x14ac:dyDescent="0.25">
      <c r="A464" s="8" t="str">
        <f t="shared" si="21"/>
        <v>2007102.ZP1</v>
      </c>
      <c r="B464" s="9" t="str">
        <f t="shared" si="22"/>
        <v>V</v>
      </c>
      <c r="C464" s="10">
        <f t="shared" si="23"/>
        <v>44064</v>
      </c>
      <c r="D464">
        <v>2007102</v>
      </c>
      <c r="E464" t="s">
        <v>141</v>
      </c>
      <c r="F464" s="6">
        <v>44071</v>
      </c>
      <c r="G464" t="s">
        <v>142</v>
      </c>
      <c r="H464" t="s">
        <v>180</v>
      </c>
      <c r="I464" t="s">
        <v>120</v>
      </c>
    </row>
    <row r="465" spans="1:9" x14ac:dyDescent="0.25">
      <c r="A465" s="8" t="str">
        <f t="shared" si="21"/>
        <v>2007103.000</v>
      </c>
      <c r="B465" s="9" t="str">
        <f t="shared" si="22"/>
        <v>1</v>
      </c>
      <c r="C465" s="10">
        <f t="shared" si="23"/>
        <v>44074</v>
      </c>
      <c r="D465">
        <v>2007103</v>
      </c>
      <c r="E465">
        <v>0</v>
      </c>
      <c r="F465" s="6">
        <v>44078</v>
      </c>
      <c r="G465">
        <v>1</v>
      </c>
      <c r="H465" t="s">
        <v>180</v>
      </c>
      <c r="I465" t="s">
        <v>120</v>
      </c>
    </row>
    <row r="466" spans="1:9" x14ac:dyDescent="0.25">
      <c r="A466" s="8" t="str">
        <f t="shared" si="21"/>
        <v>2007103.H00</v>
      </c>
      <c r="B466" s="9" t="str">
        <f t="shared" si="22"/>
        <v>1</v>
      </c>
      <c r="C466" s="10">
        <f t="shared" si="23"/>
        <v>44074</v>
      </c>
      <c r="D466">
        <v>2007103</v>
      </c>
      <c r="E466" t="s">
        <v>122</v>
      </c>
      <c r="F466" s="6">
        <v>44078</v>
      </c>
      <c r="G466">
        <v>1</v>
      </c>
      <c r="H466" t="s">
        <v>180</v>
      </c>
      <c r="I466" t="s">
        <v>120</v>
      </c>
    </row>
    <row r="467" spans="1:9" x14ac:dyDescent="0.25">
      <c r="A467" s="8" t="str">
        <f t="shared" si="21"/>
        <v>2007103.T00</v>
      </c>
      <c r="B467" s="9" t="str">
        <f t="shared" si="22"/>
        <v>1</v>
      </c>
      <c r="C467" s="10">
        <f t="shared" si="23"/>
        <v>44081</v>
      </c>
      <c r="D467">
        <v>2007103</v>
      </c>
      <c r="E467" t="s">
        <v>159</v>
      </c>
      <c r="F467" s="6">
        <v>44085</v>
      </c>
      <c r="G467">
        <v>1</v>
      </c>
      <c r="H467" t="s">
        <v>266</v>
      </c>
      <c r="I467" t="s">
        <v>120</v>
      </c>
    </row>
    <row r="468" spans="1:9" x14ac:dyDescent="0.25">
      <c r="A468" s="8" t="str">
        <f t="shared" si="21"/>
        <v>2007104.U01</v>
      </c>
      <c r="B468" s="9" t="str">
        <f t="shared" si="22"/>
        <v/>
      </c>
      <c r="C468" s="10">
        <f t="shared" si="23"/>
        <v>44081</v>
      </c>
      <c r="D468">
        <v>2007104</v>
      </c>
      <c r="E468" t="s">
        <v>150</v>
      </c>
      <c r="F468" s="6">
        <v>44085</v>
      </c>
      <c r="H468" t="s">
        <v>191</v>
      </c>
      <c r="I468" t="s">
        <v>120</v>
      </c>
    </row>
    <row r="469" spans="1:9" x14ac:dyDescent="0.25">
      <c r="A469" s="8" t="str">
        <f t="shared" si="21"/>
        <v>2007104.U02</v>
      </c>
      <c r="B469" s="9" t="str">
        <f t="shared" si="22"/>
        <v/>
      </c>
      <c r="C469" s="10">
        <f t="shared" si="23"/>
        <v>44081</v>
      </c>
      <c r="D469">
        <v>2007104</v>
      </c>
      <c r="E469" t="s">
        <v>149</v>
      </c>
      <c r="F469" s="6">
        <v>44085</v>
      </c>
      <c r="H469" t="s">
        <v>191</v>
      </c>
      <c r="I469" t="s">
        <v>120</v>
      </c>
    </row>
    <row r="470" spans="1:9" x14ac:dyDescent="0.25">
      <c r="A470" s="8" t="str">
        <f t="shared" si="21"/>
        <v>2007104.UP2</v>
      </c>
      <c r="B470" s="9" t="str">
        <f t="shared" si="22"/>
        <v/>
      </c>
      <c r="C470" s="10">
        <f t="shared" si="23"/>
        <v>44081</v>
      </c>
      <c r="D470">
        <v>2007104</v>
      </c>
      <c r="E470" t="s">
        <v>160</v>
      </c>
      <c r="F470" s="6">
        <v>44085</v>
      </c>
      <c r="H470" t="s">
        <v>191</v>
      </c>
      <c r="I470" t="s">
        <v>120</v>
      </c>
    </row>
    <row r="471" spans="1:9" x14ac:dyDescent="0.25">
      <c r="A471" s="8" t="str">
        <f t="shared" si="21"/>
        <v>2007105.H00</v>
      </c>
      <c r="B471" s="9" t="str">
        <f t="shared" si="22"/>
        <v/>
      </c>
      <c r="C471" s="10">
        <f t="shared" si="23"/>
        <v>44081</v>
      </c>
      <c r="D471">
        <v>2007105</v>
      </c>
      <c r="E471" t="s">
        <v>122</v>
      </c>
      <c r="F471" s="6">
        <v>44085</v>
      </c>
      <c r="H471" t="s">
        <v>266</v>
      </c>
      <c r="I471" t="s">
        <v>120</v>
      </c>
    </row>
    <row r="472" spans="1:9" x14ac:dyDescent="0.25">
      <c r="A472" s="8" t="str">
        <f t="shared" si="21"/>
        <v>2007108.RELI</v>
      </c>
      <c r="B472" s="9" t="str">
        <f t="shared" si="22"/>
        <v>V</v>
      </c>
      <c r="C472" s="10">
        <f t="shared" si="23"/>
        <v>44036</v>
      </c>
      <c r="D472">
        <v>2007108</v>
      </c>
      <c r="E472" t="s">
        <v>230</v>
      </c>
      <c r="F472" s="6">
        <v>44043</v>
      </c>
      <c r="G472" t="s">
        <v>124</v>
      </c>
      <c r="H472" t="s">
        <v>180</v>
      </c>
      <c r="I472" t="s">
        <v>120</v>
      </c>
    </row>
    <row r="473" spans="1:9" x14ac:dyDescent="0.25">
      <c r="A473" s="8" t="str">
        <f t="shared" si="21"/>
        <v>2007110.000</v>
      </c>
      <c r="B473" s="9" t="str">
        <f t="shared" si="22"/>
        <v/>
      </c>
      <c r="C473" s="10">
        <f t="shared" si="23"/>
        <v>44039</v>
      </c>
      <c r="D473">
        <v>2007110</v>
      </c>
      <c r="E473">
        <v>0</v>
      </c>
      <c r="F473" s="6">
        <v>44043</v>
      </c>
      <c r="H473" t="s">
        <v>191</v>
      </c>
      <c r="I473" t="s">
        <v>120</v>
      </c>
    </row>
    <row r="474" spans="1:9" x14ac:dyDescent="0.25">
      <c r="A474" s="8" t="str">
        <f t="shared" si="21"/>
        <v>2007110.X00</v>
      </c>
      <c r="B474" s="9" t="str">
        <f t="shared" si="22"/>
        <v/>
      </c>
      <c r="C474" s="10">
        <f t="shared" si="23"/>
        <v>44039</v>
      </c>
      <c r="D474">
        <v>2007110</v>
      </c>
      <c r="E474" t="s">
        <v>225</v>
      </c>
      <c r="F474" s="6">
        <v>44043</v>
      </c>
      <c r="H474" t="s">
        <v>191</v>
      </c>
      <c r="I474" t="s">
        <v>120</v>
      </c>
    </row>
    <row r="475" spans="1:9" x14ac:dyDescent="0.25">
      <c r="A475" s="8" t="str">
        <f t="shared" si="21"/>
        <v>2007110.XP0</v>
      </c>
      <c r="B475" s="9" t="str">
        <f t="shared" si="22"/>
        <v/>
      </c>
      <c r="C475" s="10">
        <f t="shared" si="23"/>
        <v>44039</v>
      </c>
      <c r="D475">
        <v>2007110</v>
      </c>
      <c r="E475" t="s">
        <v>181</v>
      </c>
      <c r="F475" s="6">
        <v>44043</v>
      </c>
      <c r="H475" t="s">
        <v>191</v>
      </c>
      <c r="I475" t="s">
        <v>120</v>
      </c>
    </row>
    <row r="476" spans="1:9" x14ac:dyDescent="0.25">
      <c r="A476" s="8" t="str">
        <f t="shared" si="21"/>
        <v>2007114.N0L</v>
      </c>
      <c r="B476" s="9" t="str">
        <f t="shared" si="22"/>
        <v/>
      </c>
      <c r="C476" s="10">
        <f t="shared" si="23"/>
        <v>44074</v>
      </c>
      <c r="D476">
        <v>2007114</v>
      </c>
      <c r="E476" t="s">
        <v>133</v>
      </c>
      <c r="F476" s="6">
        <v>44078</v>
      </c>
      <c r="H476" t="s">
        <v>194</v>
      </c>
      <c r="I476" t="s">
        <v>120</v>
      </c>
    </row>
    <row r="477" spans="1:9" x14ac:dyDescent="0.25">
      <c r="A477" s="8" t="str">
        <f t="shared" si="21"/>
        <v>2007114.Y02</v>
      </c>
      <c r="B477" s="9" t="str">
        <f t="shared" si="22"/>
        <v/>
      </c>
      <c r="C477" s="10">
        <f t="shared" si="23"/>
        <v>44074</v>
      </c>
      <c r="D477">
        <v>2007114</v>
      </c>
      <c r="E477" t="s">
        <v>144</v>
      </c>
      <c r="F477" s="6">
        <v>44078</v>
      </c>
      <c r="H477" t="s">
        <v>180</v>
      </c>
      <c r="I477" t="s">
        <v>120</v>
      </c>
    </row>
    <row r="478" spans="1:9" x14ac:dyDescent="0.25">
      <c r="A478" s="8" t="str">
        <f t="shared" si="21"/>
        <v>2007116.TP0</v>
      </c>
      <c r="B478" s="9" t="str">
        <f t="shared" si="22"/>
        <v>4</v>
      </c>
      <c r="C478" s="10">
        <f t="shared" si="23"/>
        <v>44042</v>
      </c>
      <c r="D478">
        <v>2007116</v>
      </c>
      <c r="E478" t="s">
        <v>184</v>
      </c>
      <c r="F478" s="6">
        <v>44043</v>
      </c>
      <c r="G478">
        <v>41</v>
      </c>
      <c r="H478" t="s">
        <v>180</v>
      </c>
      <c r="I478" t="s">
        <v>120</v>
      </c>
    </row>
    <row r="479" spans="1:9" x14ac:dyDescent="0.25">
      <c r="A479" s="8" t="str">
        <f t="shared" si="21"/>
        <v>2007116.Y01</v>
      </c>
      <c r="B479" s="9" t="str">
        <f t="shared" si="22"/>
        <v>4</v>
      </c>
      <c r="C479" s="10">
        <f t="shared" si="23"/>
        <v>44042</v>
      </c>
      <c r="D479">
        <v>2007116</v>
      </c>
      <c r="E479" t="s">
        <v>132</v>
      </c>
      <c r="F479" s="6">
        <v>44043</v>
      </c>
      <c r="G479">
        <v>41</v>
      </c>
      <c r="H479" t="s">
        <v>180</v>
      </c>
      <c r="I479" t="s">
        <v>120</v>
      </c>
    </row>
    <row r="480" spans="1:9" x14ac:dyDescent="0.25">
      <c r="A480" s="8" t="str">
        <f t="shared" si="21"/>
        <v>2007122.X00</v>
      </c>
      <c r="B480" s="9" t="str">
        <f t="shared" si="22"/>
        <v/>
      </c>
      <c r="C480" s="10">
        <f t="shared" si="23"/>
        <v>44074</v>
      </c>
      <c r="D480">
        <v>2007122</v>
      </c>
      <c r="E480" t="s">
        <v>225</v>
      </c>
      <c r="F480" s="6">
        <v>44078</v>
      </c>
      <c r="H480" t="s">
        <v>180</v>
      </c>
      <c r="I480" t="s">
        <v>120</v>
      </c>
    </row>
    <row r="481" spans="1:9" x14ac:dyDescent="0.25">
      <c r="A481" s="8" t="str">
        <f t="shared" si="21"/>
        <v>2007127.TP2</v>
      </c>
      <c r="B481" s="9" t="str">
        <f t="shared" si="22"/>
        <v>1</v>
      </c>
      <c r="C481" s="10">
        <f t="shared" si="23"/>
        <v>44074</v>
      </c>
      <c r="D481">
        <v>2007127</v>
      </c>
      <c r="E481" t="s">
        <v>265</v>
      </c>
      <c r="F481" s="6">
        <v>44078</v>
      </c>
      <c r="G481">
        <v>1</v>
      </c>
      <c r="H481" t="s">
        <v>180</v>
      </c>
      <c r="I481" t="s">
        <v>120</v>
      </c>
    </row>
    <row r="482" spans="1:9" x14ac:dyDescent="0.25">
      <c r="A482" s="8" t="str">
        <f t="shared" si="21"/>
        <v>2007128.HP0</v>
      </c>
      <c r="B482" s="9" t="str">
        <f t="shared" si="22"/>
        <v>4</v>
      </c>
      <c r="C482" s="10">
        <f t="shared" si="23"/>
        <v>44077</v>
      </c>
      <c r="D482">
        <v>2007128</v>
      </c>
      <c r="E482" t="s">
        <v>121</v>
      </c>
      <c r="F482" s="6">
        <v>44078</v>
      </c>
      <c r="G482">
        <v>4</v>
      </c>
      <c r="H482" t="s">
        <v>180</v>
      </c>
      <c r="I482" t="s">
        <v>120</v>
      </c>
    </row>
    <row r="483" spans="1:9" x14ac:dyDescent="0.25">
      <c r="A483" s="8" t="str">
        <f t="shared" si="21"/>
        <v>2007130.H00</v>
      </c>
      <c r="B483" s="9" t="str">
        <f t="shared" si="22"/>
        <v>4</v>
      </c>
      <c r="C483" s="10">
        <f t="shared" si="23"/>
        <v>44077</v>
      </c>
      <c r="D483">
        <v>2007130</v>
      </c>
      <c r="E483" t="s">
        <v>122</v>
      </c>
      <c r="F483" s="6">
        <v>44078</v>
      </c>
      <c r="G483">
        <v>4</v>
      </c>
      <c r="H483" t="s">
        <v>180</v>
      </c>
      <c r="I483" t="s">
        <v>120</v>
      </c>
    </row>
    <row r="484" spans="1:9" x14ac:dyDescent="0.25">
      <c r="A484" s="8" t="str">
        <f t="shared" si="21"/>
        <v>2007133.XP1</v>
      </c>
      <c r="B484" s="9" t="str">
        <f t="shared" si="22"/>
        <v>4</v>
      </c>
      <c r="C484" s="10">
        <f t="shared" si="23"/>
        <v>44077</v>
      </c>
      <c r="D484">
        <v>2007133</v>
      </c>
      <c r="E484" t="s">
        <v>234</v>
      </c>
      <c r="F484" s="6">
        <v>44078</v>
      </c>
      <c r="G484">
        <v>4</v>
      </c>
      <c r="H484" t="s">
        <v>180</v>
      </c>
      <c r="I484" t="s">
        <v>120</v>
      </c>
    </row>
    <row r="485" spans="1:9" x14ac:dyDescent="0.25">
      <c r="A485" s="8" t="str">
        <f t="shared" si="21"/>
        <v>2007135.X00</v>
      </c>
      <c r="B485" s="9" t="str">
        <f t="shared" si="22"/>
        <v>3</v>
      </c>
      <c r="C485" s="10">
        <f t="shared" si="23"/>
        <v>44069</v>
      </c>
      <c r="D485">
        <v>2007135</v>
      </c>
      <c r="E485" t="s">
        <v>225</v>
      </c>
      <c r="F485" s="6">
        <v>44071</v>
      </c>
      <c r="G485">
        <v>33</v>
      </c>
      <c r="H485" t="s">
        <v>180</v>
      </c>
      <c r="I485" t="s">
        <v>120</v>
      </c>
    </row>
    <row r="486" spans="1:9" x14ac:dyDescent="0.25">
      <c r="A486" s="8" t="str">
        <f t="shared" si="21"/>
        <v>2007138.RELIQ</v>
      </c>
      <c r="B486" s="9" t="str">
        <f t="shared" si="22"/>
        <v/>
      </c>
      <c r="C486" s="10">
        <f t="shared" si="23"/>
        <v>44067</v>
      </c>
      <c r="D486">
        <v>2007138</v>
      </c>
      <c r="E486" t="s">
        <v>281</v>
      </c>
      <c r="F486" s="6">
        <v>44071</v>
      </c>
      <c r="H486" t="s">
        <v>180</v>
      </c>
      <c r="I486" t="s">
        <v>120</v>
      </c>
    </row>
    <row r="487" spans="1:9" x14ac:dyDescent="0.25">
      <c r="A487" s="8" t="str">
        <f t="shared" si="21"/>
        <v>2007146.H01</v>
      </c>
      <c r="B487" s="9" t="str">
        <f t="shared" si="22"/>
        <v>1</v>
      </c>
      <c r="C487" s="10">
        <f t="shared" si="23"/>
        <v>44067</v>
      </c>
      <c r="D487">
        <v>2007146</v>
      </c>
      <c r="E487" t="s">
        <v>145</v>
      </c>
      <c r="F487" s="6">
        <v>44071</v>
      </c>
      <c r="G487">
        <v>10</v>
      </c>
      <c r="H487" t="s">
        <v>180</v>
      </c>
      <c r="I487" t="s">
        <v>120</v>
      </c>
    </row>
    <row r="488" spans="1:9" x14ac:dyDescent="0.25">
      <c r="A488" s="8" t="str">
        <f t="shared" si="21"/>
        <v>2007148.000</v>
      </c>
      <c r="B488" s="9" t="str">
        <f t="shared" si="22"/>
        <v>4</v>
      </c>
      <c r="C488" s="10">
        <f t="shared" si="23"/>
        <v>44105</v>
      </c>
      <c r="D488">
        <v>2007148</v>
      </c>
      <c r="E488">
        <v>0</v>
      </c>
      <c r="F488" s="6">
        <v>44106</v>
      </c>
      <c r="G488">
        <v>4</v>
      </c>
      <c r="H488" t="s">
        <v>189</v>
      </c>
      <c r="I488" t="s">
        <v>120</v>
      </c>
    </row>
    <row r="489" spans="1:9" x14ac:dyDescent="0.25">
      <c r="A489" s="8" t="str">
        <f t="shared" si="21"/>
        <v>2007148.U00</v>
      </c>
      <c r="B489" s="9" t="str">
        <f t="shared" si="22"/>
        <v>4</v>
      </c>
      <c r="C489" s="10">
        <f t="shared" si="23"/>
        <v>44105</v>
      </c>
      <c r="D489">
        <v>2007148</v>
      </c>
      <c r="E489" t="s">
        <v>131</v>
      </c>
      <c r="F489" s="6">
        <v>44106</v>
      </c>
      <c r="G489">
        <v>4</v>
      </c>
      <c r="H489" t="s">
        <v>189</v>
      </c>
      <c r="I489" t="s">
        <v>120</v>
      </c>
    </row>
    <row r="490" spans="1:9" x14ac:dyDescent="0.25">
      <c r="A490" s="8" t="str">
        <f t="shared" si="21"/>
        <v>2007151.NV0</v>
      </c>
      <c r="B490" s="9" t="str">
        <f t="shared" si="22"/>
        <v/>
      </c>
      <c r="C490" s="10">
        <f t="shared" si="23"/>
        <v>44074</v>
      </c>
      <c r="D490">
        <v>2007151</v>
      </c>
      <c r="E490" t="s">
        <v>126</v>
      </c>
      <c r="F490" s="6">
        <v>44078</v>
      </c>
      <c r="H490" t="s">
        <v>180</v>
      </c>
      <c r="I490" t="s">
        <v>120</v>
      </c>
    </row>
    <row r="491" spans="1:9" x14ac:dyDescent="0.25">
      <c r="A491" s="8" t="str">
        <f t="shared" si="21"/>
        <v>2007152.H02</v>
      </c>
      <c r="B491" s="9" t="str">
        <f t="shared" si="22"/>
        <v>2</v>
      </c>
      <c r="C491" s="10">
        <f t="shared" si="23"/>
        <v>44068</v>
      </c>
      <c r="D491">
        <v>2007152</v>
      </c>
      <c r="E491" t="s">
        <v>156</v>
      </c>
      <c r="F491" s="6">
        <v>44071</v>
      </c>
      <c r="G491">
        <v>24</v>
      </c>
      <c r="H491" t="s">
        <v>180</v>
      </c>
      <c r="I491" t="s">
        <v>120</v>
      </c>
    </row>
    <row r="492" spans="1:9" x14ac:dyDescent="0.25">
      <c r="A492" s="8" t="str">
        <f t="shared" si="21"/>
        <v>2007152.HP2</v>
      </c>
      <c r="B492" s="9" t="str">
        <f t="shared" si="22"/>
        <v>2</v>
      </c>
      <c r="C492" s="10">
        <f t="shared" si="23"/>
        <v>44068</v>
      </c>
      <c r="D492">
        <v>2007152</v>
      </c>
      <c r="E492" t="s">
        <v>138</v>
      </c>
      <c r="F492" s="6">
        <v>44071</v>
      </c>
      <c r="G492">
        <v>24</v>
      </c>
      <c r="H492" t="s">
        <v>180</v>
      </c>
      <c r="I492" t="s">
        <v>120</v>
      </c>
    </row>
    <row r="493" spans="1:9" x14ac:dyDescent="0.25">
      <c r="A493" s="8" t="str">
        <f t="shared" si="21"/>
        <v>2007152.TP2</v>
      </c>
      <c r="B493" s="9" t="str">
        <f t="shared" si="22"/>
        <v/>
      </c>
      <c r="C493" s="10">
        <f t="shared" si="23"/>
        <v>44102</v>
      </c>
      <c r="D493">
        <v>2007152</v>
      </c>
      <c r="E493" t="s">
        <v>265</v>
      </c>
      <c r="F493" s="6">
        <v>44106</v>
      </c>
      <c r="H493" t="s">
        <v>189</v>
      </c>
      <c r="I493" t="s">
        <v>120</v>
      </c>
    </row>
    <row r="494" spans="1:9" x14ac:dyDescent="0.25">
      <c r="A494" s="8" t="str">
        <f t="shared" si="21"/>
        <v>2007153.PFI</v>
      </c>
      <c r="B494" s="9" t="str">
        <f t="shared" si="22"/>
        <v/>
      </c>
      <c r="C494" s="10" t="str">
        <f t="shared" si="23"/>
        <v/>
      </c>
      <c r="D494">
        <v>2007153</v>
      </c>
      <c r="E494" t="s">
        <v>172</v>
      </c>
      <c r="F494" s="6"/>
      <c r="H494" t="s">
        <v>188</v>
      </c>
      <c r="I494" t="s">
        <v>120</v>
      </c>
    </row>
    <row r="495" spans="1:9" x14ac:dyDescent="0.25">
      <c r="A495" s="8" t="str">
        <f t="shared" si="21"/>
        <v>2007159.U00</v>
      </c>
      <c r="B495" s="9" t="str">
        <f t="shared" si="22"/>
        <v/>
      </c>
      <c r="C495" s="10">
        <f t="shared" si="23"/>
        <v>44074</v>
      </c>
      <c r="D495">
        <v>2007159</v>
      </c>
      <c r="E495" t="s">
        <v>131</v>
      </c>
      <c r="F495" s="6">
        <v>44078</v>
      </c>
      <c r="H495" t="s">
        <v>180</v>
      </c>
      <c r="I495" t="s">
        <v>120</v>
      </c>
    </row>
    <row r="496" spans="1:9" x14ac:dyDescent="0.25">
      <c r="A496" s="8" t="str">
        <f t="shared" si="21"/>
        <v>2007160.TP0</v>
      </c>
      <c r="B496" s="9" t="str">
        <f t="shared" si="22"/>
        <v/>
      </c>
      <c r="C496" s="10">
        <f t="shared" si="23"/>
        <v>44102</v>
      </c>
      <c r="D496">
        <v>2007160</v>
      </c>
      <c r="E496" t="s">
        <v>184</v>
      </c>
      <c r="F496" s="6">
        <v>44106</v>
      </c>
      <c r="H496" t="s">
        <v>190</v>
      </c>
      <c r="I496" t="s">
        <v>120</v>
      </c>
    </row>
    <row r="497" spans="1:9" x14ac:dyDescent="0.25">
      <c r="A497" s="8" t="str">
        <f t="shared" si="21"/>
        <v>2007161.H02</v>
      </c>
      <c r="B497" s="9" t="str">
        <f t="shared" si="22"/>
        <v/>
      </c>
      <c r="C497" s="10">
        <f t="shared" si="23"/>
        <v>44102</v>
      </c>
      <c r="D497">
        <v>2007161</v>
      </c>
      <c r="E497" t="s">
        <v>156</v>
      </c>
      <c r="F497" s="6">
        <v>44106</v>
      </c>
      <c r="H497" t="s">
        <v>192</v>
      </c>
      <c r="I497" t="s">
        <v>120</v>
      </c>
    </row>
    <row r="498" spans="1:9" x14ac:dyDescent="0.25">
      <c r="A498" s="8" t="str">
        <f t="shared" si="21"/>
        <v>2007163.U02</v>
      </c>
      <c r="B498" s="9" t="str">
        <f t="shared" si="22"/>
        <v/>
      </c>
      <c r="C498" s="10">
        <f t="shared" si="23"/>
        <v>44074</v>
      </c>
      <c r="D498">
        <v>2007163</v>
      </c>
      <c r="E498" t="s">
        <v>149</v>
      </c>
      <c r="F498" s="6">
        <v>44078</v>
      </c>
      <c r="H498" t="s">
        <v>180</v>
      </c>
      <c r="I498" t="s">
        <v>120</v>
      </c>
    </row>
    <row r="499" spans="1:9" x14ac:dyDescent="0.25">
      <c r="A499" s="8" t="str">
        <f t="shared" si="21"/>
        <v>2007163.U03</v>
      </c>
      <c r="B499" s="9" t="str">
        <f t="shared" si="22"/>
        <v/>
      </c>
      <c r="C499" s="10">
        <f t="shared" si="23"/>
        <v>44074</v>
      </c>
      <c r="D499">
        <v>2007163</v>
      </c>
      <c r="E499" t="s">
        <v>167</v>
      </c>
      <c r="F499" s="6">
        <v>44078</v>
      </c>
      <c r="H499" t="s">
        <v>180</v>
      </c>
      <c r="I499" t="s">
        <v>120</v>
      </c>
    </row>
    <row r="500" spans="1:9" x14ac:dyDescent="0.25">
      <c r="A500" s="8" t="str">
        <f t="shared" si="21"/>
        <v>2007163.Z02</v>
      </c>
      <c r="B500" s="9" t="str">
        <f t="shared" si="22"/>
        <v/>
      </c>
      <c r="C500" s="10">
        <f t="shared" si="23"/>
        <v>44074</v>
      </c>
      <c r="D500">
        <v>2007163</v>
      </c>
      <c r="E500" t="s">
        <v>260</v>
      </c>
      <c r="F500" s="6">
        <v>44078</v>
      </c>
      <c r="H500" t="s">
        <v>180</v>
      </c>
      <c r="I500" t="s">
        <v>120</v>
      </c>
    </row>
    <row r="501" spans="1:9" x14ac:dyDescent="0.25">
      <c r="A501" s="8" t="str">
        <f t="shared" si="21"/>
        <v>2007164.000</v>
      </c>
      <c r="B501" s="9" t="str">
        <f t="shared" si="22"/>
        <v>4</v>
      </c>
      <c r="C501" s="10">
        <f t="shared" si="23"/>
        <v>44077</v>
      </c>
      <c r="D501">
        <v>2007164</v>
      </c>
      <c r="E501">
        <v>0</v>
      </c>
      <c r="F501" s="6">
        <v>44078</v>
      </c>
      <c r="G501">
        <v>4</v>
      </c>
      <c r="H501" t="s">
        <v>180</v>
      </c>
      <c r="I501" t="s">
        <v>120</v>
      </c>
    </row>
    <row r="502" spans="1:9" x14ac:dyDescent="0.25">
      <c r="A502" s="8" t="str">
        <f t="shared" si="21"/>
        <v>2007164.NF0</v>
      </c>
      <c r="B502" s="9" t="str">
        <f t="shared" si="22"/>
        <v>4</v>
      </c>
      <c r="C502" s="10">
        <f t="shared" si="23"/>
        <v>44077</v>
      </c>
      <c r="D502">
        <v>2007164</v>
      </c>
      <c r="E502" t="s">
        <v>137</v>
      </c>
      <c r="F502" s="6">
        <v>44078</v>
      </c>
      <c r="G502">
        <v>4</v>
      </c>
      <c r="H502" t="s">
        <v>183</v>
      </c>
      <c r="I502" t="s">
        <v>120</v>
      </c>
    </row>
    <row r="503" spans="1:9" x14ac:dyDescent="0.25">
      <c r="A503" s="8" t="str">
        <f t="shared" si="21"/>
        <v>2007164.NM0</v>
      </c>
      <c r="B503" s="9" t="str">
        <f t="shared" si="22"/>
        <v>4</v>
      </c>
      <c r="C503" s="10">
        <f t="shared" si="23"/>
        <v>44077</v>
      </c>
      <c r="D503">
        <v>2007164</v>
      </c>
      <c r="E503" t="s">
        <v>154</v>
      </c>
      <c r="F503" s="6">
        <v>44078</v>
      </c>
      <c r="G503">
        <v>4</v>
      </c>
      <c r="H503" t="s">
        <v>189</v>
      </c>
      <c r="I503" t="s">
        <v>120</v>
      </c>
    </row>
    <row r="504" spans="1:9" x14ac:dyDescent="0.25">
      <c r="A504" s="8" t="str">
        <f t="shared" si="21"/>
        <v>2007165.Z00</v>
      </c>
      <c r="B504" s="9" t="str">
        <f t="shared" si="22"/>
        <v>4</v>
      </c>
      <c r="C504" s="10">
        <f t="shared" si="23"/>
        <v>44077</v>
      </c>
      <c r="D504">
        <v>2007165</v>
      </c>
      <c r="E504" t="s">
        <v>158</v>
      </c>
      <c r="F504" s="6">
        <v>44078</v>
      </c>
      <c r="G504">
        <v>4</v>
      </c>
      <c r="H504" t="s">
        <v>180</v>
      </c>
      <c r="I504" t="s">
        <v>120</v>
      </c>
    </row>
    <row r="505" spans="1:9" x14ac:dyDescent="0.25">
      <c r="A505" s="8" t="str">
        <f t="shared" si="21"/>
        <v>2007165.Z02</v>
      </c>
      <c r="B505" s="9" t="str">
        <f t="shared" si="22"/>
        <v>4</v>
      </c>
      <c r="C505" s="10">
        <f t="shared" si="23"/>
        <v>44077</v>
      </c>
      <c r="D505">
        <v>2007165</v>
      </c>
      <c r="E505" t="s">
        <v>260</v>
      </c>
      <c r="F505" s="6">
        <v>44078</v>
      </c>
      <c r="G505">
        <v>4</v>
      </c>
      <c r="H505" t="s">
        <v>180</v>
      </c>
      <c r="I505" t="s">
        <v>120</v>
      </c>
    </row>
    <row r="506" spans="1:9" x14ac:dyDescent="0.25">
      <c r="A506" s="8" t="str">
        <f t="shared" si="21"/>
        <v>2007165.ZPL</v>
      </c>
      <c r="B506" s="9" t="str">
        <f t="shared" si="22"/>
        <v>4</v>
      </c>
      <c r="C506" s="10">
        <f t="shared" si="23"/>
        <v>44077</v>
      </c>
      <c r="D506">
        <v>2007165</v>
      </c>
      <c r="E506" t="s">
        <v>182</v>
      </c>
      <c r="F506" s="6">
        <v>44078</v>
      </c>
      <c r="G506">
        <v>4</v>
      </c>
      <c r="H506" t="s">
        <v>180</v>
      </c>
      <c r="I506" t="s">
        <v>120</v>
      </c>
    </row>
    <row r="507" spans="1:9" x14ac:dyDescent="0.25">
      <c r="A507" s="8" t="str">
        <f t="shared" si="21"/>
        <v>2007169.0P0</v>
      </c>
      <c r="B507" s="9" t="str">
        <f t="shared" si="22"/>
        <v>V</v>
      </c>
      <c r="C507" s="10">
        <f t="shared" si="23"/>
        <v>44064</v>
      </c>
      <c r="D507">
        <v>2007169</v>
      </c>
      <c r="E507" t="s">
        <v>119</v>
      </c>
      <c r="F507" s="6">
        <v>44071</v>
      </c>
      <c r="G507" t="s">
        <v>139</v>
      </c>
      <c r="H507" t="s">
        <v>180</v>
      </c>
      <c r="I507" t="s">
        <v>120</v>
      </c>
    </row>
    <row r="508" spans="1:9" x14ac:dyDescent="0.25">
      <c r="A508" s="8" t="str">
        <f t="shared" si="21"/>
        <v>2007171.000</v>
      </c>
      <c r="B508" s="9" t="str">
        <f t="shared" si="22"/>
        <v/>
      </c>
      <c r="C508" s="10">
        <f t="shared" si="23"/>
        <v>44039</v>
      </c>
      <c r="D508">
        <v>2007171</v>
      </c>
      <c r="E508">
        <v>0</v>
      </c>
      <c r="F508" s="6">
        <v>44043</v>
      </c>
      <c r="H508" t="s">
        <v>192</v>
      </c>
      <c r="I508" t="s">
        <v>120</v>
      </c>
    </row>
    <row r="509" spans="1:9" x14ac:dyDescent="0.25">
      <c r="A509" s="8" t="str">
        <f t="shared" si="21"/>
        <v>2007175.NM0</v>
      </c>
      <c r="B509" s="9" t="str">
        <f t="shared" si="22"/>
        <v>2</v>
      </c>
      <c r="C509" s="10">
        <f t="shared" si="23"/>
        <v>44068</v>
      </c>
      <c r="D509">
        <v>2007175</v>
      </c>
      <c r="E509" t="s">
        <v>154</v>
      </c>
      <c r="F509" s="6">
        <v>44071</v>
      </c>
      <c r="G509">
        <v>22</v>
      </c>
      <c r="H509" t="s">
        <v>189</v>
      </c>
      <c r="I509" t="s">
        <v>120</v>
      </c>
    </row>
    <row r="510" spans="1:9" x14ac:dyDescent="0.25">
      <c r="A510" s="8" t="str">
        <f t="shared" si="21"/>
        <v>2007177.UPL</v>
      </c>
      <c r="B510" s="9" t="str">
        <f t="shared" si="22"/>
        <v/>
      </c>
      <c r="C510" s="10">
        <f t="shared" si="23"/>
        <v>44074</v>
      </c>
      <c r="D510">
        <v>2007177</v>
      </c>
      <c r="E510" t="s">
        <v>143</v>
      </c>
      <c r="F510" s="6">
        <v>44078</v>
      </c>
      <c r="H510" t="s">
        <v>180</v>
      </c>
      <c r="I510" t="s">
        <v>120</v>
      </c>
    </row>
    <row r="511" spans="1:9" x14ac:dyDescent="0.25">
      <c r="A511" s="8" t="str">
        <f t="shared" si="21"/>
        <v>2007183.U01</v>
      </c>
      <c r="B511" s="9" t="str">
        <f t="shared" si="22"/>
        <v/>
      </c>
      <c r="C511" s="10">
        <f t="shared" si="23"/>
        <v>44074</v>
      </c>
      <c r="D511">
        <v>2007183</v>
      </c>
      <c r="E511" t="s">
        <v>150</v>
      </c>
      <c r="F511" s="6">
        <v>44078</v>
      </c>
      <c r="H511" t="s">
        <v>180</v>
      </c>
      <c r="I511" t="s">
        <v>120</v>
      </c>
    </row>
    <row r="512" spans="1:9" x14ac:dyDescent="0.25">
      <c r="A512" s="8" t="str">
        <f t="shared" si="21"/>
        <v>2007183.Y01</v>
      </c>
      <c r="B512" s="9" t="str">
        <f t="shared" si="22"/>
        <v/>
      </c>
      <c r="C512" s="10">
        <f t="shared" si="23"/>
        <v>44074</v>
      </c>
      <c r="D512">
        <v>2007183</v>
      </c>
      <c r="E512" t="s">
        <v>132</v>
      </c>
      <c r="F512" s="6">
        <v>44078</v>
      </c>
      <c r="H512" t="s">
        <v>180</v>
      </c>
      <c r="I512" t="s">
        <v>120</v>
      </c>
    </row>
    <row r="513" spans="1:9" x14ac:dyDescent="0.25">
      <c r="A513" s="8" t="str">
        <f t="shared" si="21"/>
        <v>2007185.000</v>
      </c>
      <c r="B513" s="9" t="str">
        <f t="shared" si="22"/>
        <v>3</v>
      </c>
      <c r="C513" s="10">
        <f t="shared" si="23"/>
        <v>44076</v>
      </c>
      <c r="D513">
        <v>2007185</v>
      </c>
      <c r="E513">
        <v>0</v>
      </c>
      <c r="F513" s="6">
        <v>44078</v>
      </c>
      <c r="G513">
        <v>3</v>
      </c>
      <c r="H513" t="s">
        <v>180</v>
      </c>
      <c r="I513" t="s">
        <v>120</v>
      </c>
    </row>
    <row r="514" spans="1:9" x14ac:dyDescent="0.25">
      <c r="A514" s="8" t="str">
        <f t="shared" ref="A514:A577" si="24">IF(D514="","",IF(E514=0,CONCATENATE(D514,".",E514,"00"),CONCATENATE(D514,".",E514)))</f>
        <v>2007186.000</v>
      </c>
      <c r="B514" s="9" t="str">
        <f t="shared" ref="B514:B577" si="25">LEFT(G514,1)</f>
        <v>3</v>
      </c>
      <c r="C514" s="10">
        <f t="shared" ref="C514:C577" si="26">IF(F514="","",IF(B514="",F514-4,IF(B514="1",F514-4,IF(B514="2",F514-3,IF(B514="3",F514-2,IF(B514="4",F514-1,IF(B514="V",F514-7,IF(B514="J",F514-8,F514))))))))</f>
        <v>44076</v>
      </c>
      <c r="D514">
        <v>2007186</v>
      </c>
      <c r="E514">
        <v>0</v>
      </c>
      <c r="F514" s="6">
        <v>44078</v>
      </c>
      <c r="G514">
        <v>3</v>
      </c>
      <c r="H514" t="s">
        <v>180</v>
      </c>
      <c r="I514" t="s">
        <v>120</v>
      </c>
    </row>
    <row r="515" spans="1:9" x14ac:dyDescent="0.25">
      <c r="A515" s="8" t="str">
        <f t="shared" si="24"/>
        <v>2007186.Y00</v>
      </c>
      <c r="B515" s="9" t="str">
        <f t="shared" si="25"/>
        <v>3</v>
      </c>
      <c r="C515" s="10">
        <f t="shared" si="26"/>
        <v>44076</v>
      </c>
      <c r="D515">
        <v>2007186</v>
      </c>
      <c r="E515" t="s">
        <v>130</v>
      </c>
      <c r="F515" s="6">
        <v>44078</v>
      </c>
      <c r="G515">
        <v>3</v>
      </c>
      <c r="H515" t="s">
        <v>180</v>
      </c>
      <c r="I515" t="s">
        <v>120</v>
      </c>
    </row>
    <row r="516" spans="1:9" x14ac:dyDescent="0.25">
      <c r="A516" s="8" t="str">
        <f t="shared" si="24"/>
        <v>2007187.U02</v>
      </c>
      <c r="B516" s="9" t="str">
        <f t="shared" si="25"/>
        <v>3</v>
      </c>
      <c r="C516" s="10">
        <f t="shared" si="26"/>
        <v>44083</v>
      </c>
      <c r="D516">
        <v>2007187</v>
      </c>
      <c r="E516" t="s">
        <v>149</v>
      </c>
      <c r="F516" s="6">
        <v>44085</v>
      </c>
      <c r="G516">
        <v>3</v>
      </c>
      <c r="H516" t="s">
        <v>189</v>
      </c>
      <c r="I516" t="s">
        <v>120</v>
      </c>
    </row>
    <row r="517" spans="1:9" x14ac:dyDescent="0.25">
      <c r="A517" s="8" t="str">
        <f t="shared" si="24"/>
        <v>2007188.U00</v>
      </c>
      <c r="B517" s="9" t="str">
        <f t="shared" si="25"/>
        <v/>
      </c>
      <c r="C517" s="10">
        <f t="shared" si="26"/>
        <v>44074</v>
      </c>
      <c r="D517">
        <v>2007188</v>
      </c>
      <c r="E517" t="s">
        <v>131</v>
      </c>
      <c r="F517" s="6">
        <v>44078</v>
      </c>
      <c r="H517" t="s">
        <v>180</v>
      </c>
      <c r="I517" t="s">
        <v>120</v>
      </c>
    </row>
    <row r="518" spans="1:9" x14ac:dyDescent="0.25">
      <c r="A518" s="8" t="str">
        <f t="shared" si="24"/>
        <v>2007191.U02</v>
      </c>
      <c r="B518" s="9" t="str">
        <f t="shared" si="25"/>
        <v/>
      </c>
      <c r="C518" s="10">
        <f t="shared" si="26"/>
        <v>44074</v>
      </c>
      <c r="D518">
        <v>2007191</v>
      </c>
      <c r="E518" t="s">
        <v>149</v>
      </c>
      <c r="F518" s="6">
        <v>44078</v>
      </c>
      <c r="H518" t="s">
        <v>180</v>
      </c>
      <c r="I518" t="s">
        <v>120</v>
      </c>
    </row>
    <row r="519" spans="1:9" x14ac:dyDescent="0.25">
      <c r="A519" s="8" t="str">
        <f t="shared" si="24"/>
        <v>2007191.Y02</v>
      </c>
      <c r="B519" s="9" t="str">
        <f t="shared" si="25"/>
        <v>4</v>
      </c>
      <c r="C519" s="10">
        <f t="shared" si="26"/>
        <v>44077</v>
      </c>
      <c r="D519">
        <v>2007191</v>
      </c>
      <c r="E519" t="s">
        <v>144</v>
      </c>
      <c r="F519" s="6">
        <v>44078</v>
      </c>
      <c r="G519">
        <v>41</v>
      </c>
      <c r="H519" t="s">
        <v>180</v>
      </c>
      <c r="I519" t="s">
        <v>120</v>
      </c>
    </row>
    <row r="520" spans="1:9" x14ac:dyDescent="0.25">
      <c r="A520" s="8" t="str">
        <f t="shared" si="24"/>
        <v>2007192.H00</v>
      </c>
      <c r="B520" s="9" t="str">
        <f t="shared" si="25"/>
        <v/>
      </c>
      <c r="C520" s="10">
        <f t="shared" si="26"/>
        <v>44074</v>
      </c>
      <c r="D520">
        <v>2007192</v>
      </c>
      <c r="E520" t="s">
        <v>122</v>
      </c>
      <c r="F520" s="6">
        <v>44078</v>
      </c>
      <c r="H520" t="s">
        <v>180</v>
      </c>
      <c r="I520" t="s">
        <v>120</v>
      </c>
    </row>
    <row r="521" spans="1:9" x14ac:dyDescent="0.25">
      <c r="A521" s="8" t="str">
        <f t="shared" si="24"/>
        <v>2007192.H02</v>
      </c>
      <c r="B521" s="9" t="str">
        <f t="shared" si="25"/>
        <v/>
      </c>
      <c r="C521" s="10">
        <f t="shared" si="26"/>
        <v>44074</v>
      </c>
      <c r="D521">
        <v>2007192</v>
      </c>
      <c r="E521" t="s">
        <v>156</v>
      </c>
      <c r="F521" s="6">
        <v>44078</v>
      </c>
      <c r="H521" t="s">
        <v>180</v>
      </c>
      <c r="I521" t="s">
        <v>120</v>
      </c>
    </row>
    <row r="522" spans="1:9" x14ac:dyDescent="0.25">
      <c r="A522" s="8" t="str">
        <f t="shared" si="24"/>
        <v>2007192.Y02</v>
      </c>
      <c r="B522" s="9" t="str">
        <f t="shared" si="25"/>
        <v/>
      </c>
      <c r="C522" s="10">
        <f t="shared" si="26"/>
        <v>44074</v>
      </c>
      <c r="D522">
        <v>2007192</v>
      </c>
      <c r="E522" t="s">
        <v>144</v>
      </c>
      <c r="F522" s="6">
        <v>44078</v>
      </c>
      <c r="H522" t="s">
        <v>180</v>
      </c>
      <c r="I522" t="s">
        <v>120</v>
      </c>
    </row>
    <row r="523" spans="1:9" x14ac:dyDescent="0.25">
      <c r="A523" s="8" t="str">
        <f t="shared" si="24"/>
        <v>2007193.Y00</v>
      </c>
      <c r="B523" s="9" t="str">
        <f t="shared" si="25"/>
        <v/>
      </c>
      <c r="C523" s="10">
        <f t="shared" si="26"/>
        <v>44081</v>
      </c>
      <c r="D523">
        <v>2007193</v>
      </c>
      <c r="E523" t="s">
        <v>130</v>
      </c>
      <c r="F523" s="6">
        <v>44085</v>
      </c>
      <c r="H523" t="s">
        <v>192</v>
      </c>
      <c r="I523" t="s">
        <v>120</v>
      </c>
    </row>
    <row r="524" spans="1:9" x14ac:dyDescent="0.25">
      <c r="A524" s="8" t="str">
        <f t="shared" si="24"/>
        <v>2007202.N00</v>
      </c>
      <c r="B524" s="9" t="str">
        <f t="shared" si="25"/>
        <v>4</v>
      </c>
      <c r="C524" s="10">
        <f t="shared" si="26"/>
        <v>44070</v>
      </c>
      <c r="D524">
        <v>2007202</v>
      </c>
      <c r="E524" t="s">
        <v>125</v>
      </c>
      <c r="F524" s="6">
        <v>44071</v>
      </c>
      <c r="G524">
        <v>41</v>
      </c>
      <c r="H524" t="s">
        <v>194</v>
      </c>
      <c r="I524" t="s">
        <v>120</v>
      </c>
    </row>
    <row r="525" spans="1:9" x14ac:dyDescent="0.25">
      <c r="A525" s="8" t="str">
        <f t="shared" si="24"/>
        <v>2007203.T02</v>
      </c>
      <c r="B525" s="9" t="str">
        <f t="shared" si="25"/>
        <v/>
      </c>
      <c r="C525" s="10">
        <f t="shared" si="26"/>
        <v>44081</v>
      </c>
      <c r="D525">
        <v>2007203</v>
      </c>
      <c r="E525" t="s">
        <v>170</v>
      </c>
      <c r="F525" s="6">
        <v>44085</v>
      </c>
      <c r="H525" t="s">
        <v>180</v>
      </c>
      <c r="I525" t="s">
        <v>120</v>
      </c>
    </row>
    <row r="526" spans="1:9" x14ac:dyDescent="0.25">
      <c r="A526" s="8" t="str">
        <f t="shared" si="24"/>
        <v>2007203.UP0</v>
      </c>
      <c r="B526" s="9" t="str">
        <f t="shared" si="25"/>
        <v/>
      </c>
      <c r="C526" s="10">
        <f t="shared" si="26"/>
        <v>44074</v>
      </c>
      <c r="D526">
        <v>2007203</v>
      </c>
      <c r="E526" t="s">
        <v>136</v>
      </c>
      <c r="F526" s="6">
        <v>44078</v>
      </c>
      <c r="H526" t="s">
        <v>180</v>
      </c>
      <c r="I526" t="s">
        <v>120</v>
      </c>
    </row>
    <row r="527" spans="1:9" x14ac:dyDescent="0.25">
      <c r="A527" s="8" t="str">
        <f t="shared" si="24"/>
        <v>2007204.U02</v>
      </c>
      <c r="B527" s="9" t="str">
        <f t="shared" si="25"/>
        <v/>
      </c>
      <c r="C527" s="10">
        <f t="shared" si="26"/>
        <v>44165</v>
      </c>
      <c r="D527">
        <v>2007204</v>
      </c>
      <c r="E527" t="s">
        <v>149</v>
      </c>
      <c r="F527" s="6">
        <v>44169</v>
      </c>
      <c r="H527" t="s">
        <v>189</v>
      </c>
      <c r="I527" t="s">
        <v>120</v>
      </c>
    </row>
    <row r="528" spans="1:9" x14ac:dyDescent="0.25">
      <c r="A528" s="8" t="str">
        <f t="shared" si="24"/>
        <v>2007204.Y02</v>
      </c>
      <c r="B528" s="9" t="str">
        <f t="shared" si="25"/>
        <v/>
      </c>
      <c r="C528" s="10">
        <f t="shared" si="26"/>
        <v>44165</v>
      </c>
      <c r="D528">
        <v>2007204</v>
      </c>
      <c r="E528" t="s">
        <v>144</v>
      </c>
      <c r="F528" s="6">
        <v>44169</v>
      </c>
      <c r="H528" t="s">
        <v>189</v>
      </c>
      <c r="I528" t="s">
        <v>120</v>
      </c>
    </row>
    <row r="529" spans="1:9" x14ac:dyDescent="0.25">
      <c r="A529" s="8" t="str">
        <f t="shared" si="24"/>
        <v>2007206.000</v>
      </c>
      <c r="B529" s="9" t="str">
        <f t="shared" si="25"/>
        <v>4</v>
      </c>
      <c r="C529" s="10">
        <f t="shared" si="26"/>
        <v>44077</v>
      </c>
      <c r="D529">
        <v>2007206</v>
      </c>
      <c r="E529">
        <v>0</v>
      </c>
      <c r="F529" s="6">
        <v>44078</v>
      </c>
      <c r="G529">
        <v>41</v>
      </c>
      <c r="H529" t="s">
        <v>180</v>
      </c>
      <c r="I529" t="s">
        <v>120</v>
      </c>
    </row>
    <row r="530" spans="1:9" x14ac:dyDescent="0.25">
      <c r="A530" s="8" t="str">
        <f t="shared" si="24"/>
        <v>2007209.U01</v>
      </c>
      <c r="B530" s="9" t="str">
        <f t="shared" si="25"/>
        <v>3</v>
      </c>
      <c r="C530" s="10">
        <f t="shared" si="26"/>
        <v>44069</v>
      </c>
      <c r="D530">
        <v>2007209</v>
      </c>
      <c r="E530" t="s">
        <v>150</v>
      </c>
      <c r="F530" s="6">
        <v>44071</v>
      </c>
      <c r="G530">
        <v>32</v>
      </c>
      <c r="H530" t="s">
        <v>180</v>
      </c>
      <c r="I530" t="s">
        <v>120</v>
      </c>
    </row>
    <row r="531" spans="1:9" x14ac:dyDescent="0.25">
      <c r="A531" s="8" t="str">
        <f t="shared" si="24"/>
        <v>2007211.000</v>
      </c>
      <c r="B531" s="9" t="str">
        <f t="shared" si="25"/>
        <v/>
      </c>
      <c r="C531" s="10">
        <f t="shared" si="26"/>
        <v>44074</v>
      </c>
      <c r="D531">
        <v>2007211</v>
      </c>
      <c r="E531">
        <v>0</v>
      </c>
      <c r="F531" s="6">
        <v>44078</v>
      </c>
      <c r="H531" t="s">
        <v>180</v>
      </c>
      <c r="I531" t="s">
        <v>120</v>
      </c>
    </row>
    <row r="532" spans="1:9" x14ac:dyDescent="0.25">
      <c r="A532" s="8" t="str">
        <f t="shared" si="24"/>
        <v>2007211.Y00</v>
      </c>
      <c r="B532" s="9" t="str">
        <f t="shared" si="25"/>
        <v/>
      </c>
      <c r="C532" s="10">
        <f t="shared" si="26"/>
        <v>44074</v>
      </c>
      <c r="D532">
        <v>2007211</v>
      </c>
      <c r="E532" t="s">
        <v>130</v>
      </c>
      <c r="F532" s="6">
        <v>44078</v>
      </c>
      <c r="H532" t="s">
        <v>180</v>
      </c>
      <c r="I532" t="s">
        <v>120</v>
      </c>
    </row>
    <row r="533" spans="1:9" x14ac:dyDescent="0.25">
      <c r="A533" s="8" t="str">
        <f t="shared" si="24"/>
        <v>2007212.000</v>
      </c>
      <c r="B533" s="9" t="str">
        <f t="shared" si="25"/>
        <v/>
      </c>
      <c r="C533" s="10">
        <f t="shared" si="26"/>
        <v>44074</v>
      </c>
      <c r="D533">
        <v>2007212</v>
      </c>
      <c r="E533">
        <v>0</v>
      </c>
      <c r="F533" s="6">
        <v>44078</v>
      </c>
      <c r="H533" t="s">
        <v>191</v>
      </c>
      <c r="I533" t="s">
        <v>120</v>
      </c>
    </row>
    <row r="534" spans="1:9" x14ac:dyDescent="0.25">
      <c r="A534" s="8" t="str">
        <f t="shared" si="24"/>
        <v>2007214.N00</v>
      </c>
      <c r="B534" s="9" t="str">
        <f t="shared" si="25"/>
        <v>4</v>
      </c>
      <c r="C534" s="10">
        <f t="shared" si="26"/>
        <v>44077</v>
      </c>
      <c r="D534">
        <v>2007214</v>
      </c>
      <c r="E534" t="s">
        <v>125</v>
      </c>
      <c r="F534" s="6">
        <v>44078</v>
      </c>
      <c r="G534">
        <v>41</v>
      </c>
      <c r="H534" t="s">
        <v>194</v>
      </c>
      <c r="I534" t="s">
        <v>120</v>
      </c>
    </row>
    <row r="535" spans="1:9" x14ac:dyDescent="0.25">
      <c r="A535" s="8" t="str">
        <f t="shared" si="24"/>
        <v>2007215.0P0</v>
      </c>
      <c r="B535" s="9" t="str">
        <f t="shared" si="25"/>
        <v>3</v>
      </c>
      <c r="C535" s="10">
        <f t="shared" si="26"/>
        <v>44069</v>
      </c>
      <c r="D535">
        <v>2007215</v>
      </c>
      <c r="E535" t="s">
        <v>119</v>
      </c>
      <c r="F535" s="6">
        <v>44071</v>
      </c>
      <c r="G535">
        <v>32</v>
      </c>
      <c r="H535" t="s">
        <v>180</v>
      </c>
      <c r="I535" t="s">
        <v>120</v>
      </c>
    </row>
    <row r="536" spans="1:9" x14ac:dyDescent="0.25">
      <c r="A536" s="8" t="str">
        <f t="shared" si="24"/>
        <v>2007215.TP0</v>
      </c>
      <c r="B536" s="9" t="str">
        <f t="shared" si="25"/>
        <v>3</v>
      </c>
      <c r="C536" s="10">
        <f t="shared" si="26"/>
        <v>44069</v>
      </c>
      <c r="D536">
        <v>2007215</v>
      </c>
      <c r="E536" t="s">
        <v>184</v>
      </c>
      <c r="F536" s="6">
        <v>44071</v>
      </c>
      <c r="G536">
        <v>32</v>
      </c>
      <c r="H536" t="s">
        <v>180</v>
      </c>
      <c r="I536" t="s">
        <v>120</v>
      </c>
    </row>
    <row r="537" spans="1:9" x14ac:dyDescent="0.25">
      <c r="A537" s="8" t="str">
        <f t="shared" si="24"/>
        <v>2007226.HP0</v>
      </c>
      <c r="B537" s="9" t="str">
        <f t="shared" si="25"/>
        <v>4</v>
      </c>
      <c r="C537" s="10">
        <f t="shared" si="26"/>
        <v>44077</v>
      </c>
      <c r="D537">
        <v>2007226</v>
      </c>
      <c r="E537" t="s">
        <v>121</v>
      </c>
      <c r="F537" s="6">
        <v>44078</v>
      </c>
      <c r="G537">
        <v>41</v>
      </c>
      <c r="H537" t="s">
        <v>180</v>
      </c>
      <c r="I537" t="s">
        <v>120</v>
      </c>
    </row>
    <row r="538" spans="1:9" x14ac:dyDescent="0.25">
      <c r="A538" s="8" t="str">
        <f t="shared" si="24"/>
        <v>2007229.0P0</v>
      </c>
      <c r="B538" s="9" t="str">
        <f t="shared" si="25"/>
        <v>4</v>
      </c>
      <c r="C538" s="10">
        <f t="shared" si="26"/>
        <v>44042</v>
      </c>
      <c r="D538">
        <v>2007229</v>
      </c>
      <c r="E538" t="s">
        <v>119</v>
      </c>
      <c r="F538" s="6">
        <v>44043</v>
      </c>
      <c r="G538">
        <v>41</v>
      </c>
      <c r="H538" t="s">
        <v>180</v>
      </c>
      <c r="I538" t="s">
        <v>120</v>
      </c>
    </row>
    <row r="539" spans="1:9" x14ac:dyDescent="0.25">
      <c r="A539" s="8" t="str">
        <f t="shared" si="24"/>
        <v>2007230.000</v>
      </c>
      <c r="B539" s="9" t="str">
        <f t="shared" si="25"/>
        <v/>
      </c>
      <c r="C539" s="10">
        <f t="shared" si="26"/>
        <v>44095</v>
      </c>
      <c r="D539">
        <v>2007230</v>
      </c>
      <c r="E539">
        <v>0</v>
      </c>
      <c r="F539" s="6">
        <v>44099</v>
      </c>
      <c r="H539" t="s">
        <v>189</v>
      </c>
      <c r="I539" t="s">
        <v>120</v>
      </c>
    </row>
    <row r="540" spans="1:9" x14ac:dyDescent="0.25">
      <c r="A540" s="8" t="str">
        <f t="shared" si="24"/>
        <v>2007230.0P0</v>
      </c>
      <c r="B540" s="9" t="str">
        <f t="shared" si="25"/>
        <v/>
      </c>
      <c r="C540" s="10">
        <f t="shared" si="26"/>
        <v>44095</v>
      </c>
      <c r="D540">
        <v>2007230</v>
      </c>
      <c r="E540" t="s">
        <v>119</v>
      </c>
      <c r="F540" s="6">
        <v>44099</v>
      </c>
      <c r="H540" t="s">
        <v>189</v>
      </c>
      <c r="I540" t="s">
        <v>120</v>
      </c>
    </row>
    <row r="541" spans="1:9" x14ac:dyDescent="0.25">
      <c r="A541" s="8" t="str">
        <f t="shared" si="24"/>
        <v>2007237.000</v>
      </c>
      <c r="B541" s="9" t="str">
        <f t="shared" si="25"/>
        <v/>
      </c>
      <c r="C541" s="10">
        <f t="shared" si="26"/>
        <v>44074</v>
      </c>
      <c r="D541">
        <v>2007237</v>
      </c>
      <c r="E541">
        <v>0</v>
      </c>
      <c r="F541" s="6">
        <v>44078</v>
      </c>
      <c r="H541" t="s">
        <v>180</v>
      </c>
      <c r="I541" t="s">
        <v>120</v>
      </c>
    </row>
    <row r="542" spans="1:9" x14ac:dyDescent="0.25">
      <c r="A542" s="8" t="str">
        <f t="shared" si="24"/>
        <v>2007237.C00</v>
      </c>
      <c r="B542" s="9" t="str">
        <f t="shared" si="25"/>
        <v/>
      </c>
      <c r="C542" s="10">
        <f t="shared" si="26"/>
        <v>44074</v>
      </c>
      <c r="D542">
        <v>2007237</v>
      </c>
      <c r="E542" t="s">
        <v>147</v>
      </c>
      <c r="F542" s="6">
        <v>44078</v>
      </c>
      <c r="H542" t="s">
        <v>180</v>
      </c>
      <c r="I542" t="s">
        <v>120</v>
      </c>
    </row>
    <row r="543" spans="1:9" x14ac:dyDescent="0.25">
      <c r="A543" s="8" t="str">
        <f t="shared" si="24"/>
        <v>2007240.H00</v>
      </c>
      <c r="B543" s="9" t="str">
        <f t="shared" si="25"/>
        <v>4</v>
      </c>
      <c r="C543" s="10">
        <f t="shared" si="26"/>
        <v>44091</v>
      </c>
      <c r="D543">
        <v>2007240</v>
      </c>
      <c r="E543" t="s">
        <v>122</v>
      </c>
      <c r="F543" s="6">
        <v>44092</v>
      </c>
      <c r="G543">
        <v>4</v>
      </c>
      <c r="H543" t="s">
        <v>189</v>
      </c>
      <c r="I543" t="s">
        <v>120</v>
      </c>
    </row>
    <row r="544" spans="1:9" x14ac:dyDescent="0.25">
      <c r="A544" s="8" t="str">
        <f t="shared" si="24"/>
        <v>2007240.NML</v>
      </c>
      <c r="B544" s="9" t="str">
        <f t="shared" si="25"/>
        <v>4</v>
      </c>
      <c r="C544" s="10">
        <f t="shared" si="26"/>
        <v>44091</v>
      </c>
      <c r="D544">
        <v>2007240</v>
      </c>
      <c r="E544" t="s">
        <v>162</v>
      </c>
      <c r="F544" s="6">
        <v>44092</v>
      </c>
      <c r="G544">
        <v>4</v>
      </c>
      <c r="H544" t="s">
        <v>189</v>
      </c>
      <c r="I544" t="s">
        <v>120</v>
      </c>
    </row>
    <row r="545" spans="1:9" x14ac:dyDescent="0.25">
      <c r="A545" s="8" t="str">
        <f t="shared" si="24"/>
        <v>2007241.ZP2</v>
      </c>
      <c r="B545" s="9" t="str">
        <f t="shared" si="25"/>
        <v>4</v>
      </c>
      <c r="C545" s="10">
        <f t="shared" si="26"/>
        <v>44077</v>
      </c>
      <c r="D545">
        <v>2007241</v>
      </c>
      <c r="E545" t="s">
        <v>151</v>
      </c>
      <c r="F545" s="6">
        <v>44078</v>
      </c>
      <c r="G545">
        <v>4</v>
      </c>
      <c r="H545" t="s">
        <v>180</v>
      </c>
      <c r="I545" t="s">
        <v>120</v>
      </c>
    </row>
    <row r="546" spans="1:9" x14ac:dyDescent="0.25">
      <c r="A546" s="8" t="str">
        <f t="shared" si="24"/>
        <v>2007242.000</v>
      </c>
      <c r="B546" s="9" t="str">
        <f t="shared" si="25"/>
        <v/>
      </c>
      <c r="C546" s="10">
        <f t="shared" si="26"/>
        <v>44116</v>
      </c>
      <c r="D546">
        <v>2007242</v>
      </c>
      <c r="E546">
        <v>0</v>
      </c>
      <c r="F546" s="6">
        <v>44120</v>
      </c>
      <c r="H546" t="s">
        <v>192</v>
      </c>
      <c r="I546" t="s">
        <v>120</v>
      </c>
    </row>
    <row r="547" spans="1:9" x14ac:dyDescent="0.25">
      <c r="A547" s="8" t="str">
        <f t="shared" si="24"/>
        <v>2007247.Y00</v>
      </c>
      <c r="B547" s="9" t="str">
        <f t="shared" si="25"/>
        <v/>
      </c>
      <c r="C547" s="10">
        <f t="shared" si="26"/>
        <v>44074</v>
      </c>
      <c r="D547">
        <v>2007247</v>
      </c>
      <c r="E547" t="s">
        <v>130</v>
      </c>
      <c r="F547" s="6">
        <v>44078</v>
      </c>
      <c r="H547" t="s">
        <v>180</v>
      </c>
      <c r="I547" t="s">
        <v>120</v>
      </c>
    </row>
    <row r="548" spans="1:9" x14ac:dyDescent="0.25">
      <c r="A548" s="8" t="str">
        <f t="shared" si="24"/>
        <v>2007248.X00</v>
      </c>
      <c r="B548" s="9" t="str">
        <f t="shared" si="25"/>
        <v/>
      </c>
      <c r="C548" s="10">
        <f t="shared" si="26"/>
        <v>44081</v>
      </c>
      <c r="D548">
        <v>2007248</v>
      </c>
      <c r="E548" t="s">
        <v>225</v>
      </c>
      <c r="F548" s="6">
        <v>44085</v>
      </c>
      <c r="H548" t="s">
        <v>180</v>
      </c>
      <c r="I548" t="s">
        <v>120</v>
      </c>
    </row>
    <row r="549" spans="1:9" x14ac:dyDescent="0.25">
      <c r="A549" s="8" t="str">
        <f t="shared" si="24"/>
        <v>2007252.H00</v>
      </c>
      <c r="B549" s="9" t="str">
        <f t="shared" si="25"/>
        <v>3</v>
      </c>
      <c r="C549" s="10">
        <f t="shared" si="26"/>
        <v>44069</v>
      </c>
      <c r="D549">
        <v>2007252</v>
      </c>
      <c r="E549" t="s">
        <v>122</v>
      </c>
      <c r="F549" s="6">
        <v>44071</v>
      </c>
      <c r="G549">
        <v>32</v>
      </c>
      <c r="H549" t="s">
        <v>180</v>
      </c>
      <c r="I549" t="s">
        <v>120</v>
      </c>
    </row>
    <row r="550" spans="1:9" x14ac:dyDescent="0.25">
      <c r="A550" s="8" t="str">
        <f t="shared" si="24"/>
        <v>2007252.HP0</v>
      </c>
      <c r="B550" s="9" t="str">
        <f t="shared" si="25"/>
        <v>3</v>
      </c>
      <c r="C550" s="10">
        <f t="shared" si="26"/>
        <v>44069</v>
      </c>
      <c r="D550">
        <v>2007252</v>
      </c>
      <c r="E550" t="s">
        <v>121</v>
      </c>
      <c r="F550" s="6">
        <v>44071</v>
      </c>
      <c r="G550">
        <v>32</v>
      </c>
      <c r="H550" t="s">
        <v>180</v>
      </c>
      <c r="I550" t="s">
        <v>120</v>
      </c>
    </row>
    <row r="551" spans="1:9" x14ac:dyDescent="0.25">
      <c r="A551" s="8" t="str">
        <f t="shared" si="24"/>
        <v>2007255.000</v>
      </c>
      <c r="B551" s="9" t="str">
        <f t="shared" si="25"/>
        <v>3</v>
      </c>
      <c r="C551" s="10">
        <f t="shared" si="26"/>
        <v>44069</v>
      </c>
      <c r="D551">
        <v>2007255</v>
      </c>
      <c r="E551">
        <v>0</v>
      </c>
      <c r="F551" s="6">
        <v>44071</v>
      </c>
      <c r="G551">
        <v>34</v>
      </c>
      <c r="H551" t="s">
        <v>180</v>
      </c>
      <c r="I551" t="s">
        <v>120</v>
      </c>
    </row>
    <row r="552" spans="1:9" x14ac:dyDescent="0.25">
      <c r="A552" s="8" t="str">
        <f t="shared" si="24"/>
        <v>2007256.UP2</v>
      </c>
      <c r="B552" s="9" t="str">
        <f t="shared" si="25"/>
        <v/>
      </c>
      <c r="C552" s="10">
        <f t="shared" si="26"/>
        <v>44074</v>
      </c>
      <c r="D552">
        <v>2007256</v>
      </c>
      <c r="E552" t="s">
        <v>160</v>
      </c>
      <c r="F552" s="6">
        <v>44078</v>
      </c>
      <c r="H552" t="s">
        <v>180</v>
      </c>
      <c r="I552" t="s">
        <v>120</v>
      </c>
    </row>
    <row r="553" spans="1:9" x14ac:dyDescent="0.25">
      <c r="A553" s="8" t="str">
        <f t="shared" si="24"/>
        <v>2007261.U02</v>
      </c>
      <c r="B553" s="9" t="str">
        <f t="shared" si="25"/>
        <v/>
      </c>
      <c r="C553" s="10">
        <f t="shared" si="26"/>
        <v>44109</v>
      </c>
      <c r="D553">
        <v>2007261</v>
      </c>
      <c r="E553" t="s">
        <v>149</v>
      </c>
      <c r="F553" s="6">
        <v>44113</v>
      </c>
      <c r="H553" t="s">
        <v>192</v>
      </c>
      <c r="I553" t="s">
        <v>120</v>
      </c>
    </row>
    <row r="554" spans="1:9" x14ac:dyDescent="0.25">
      <c r="A554" s="8" t="str">
        <f t="shared" si="24"/>
        <v>2007261.Y02</v>
      </c>
      <c r="B554" s="9" t="str">
        <f t="shared" si="25"/>
        <v/>
      </c>
      <c r="C554" s="10">
        <f t="shared" si="26"/>
        <v>44109</v>
      </c>
      <c r="D554">
        <v>2007261</v>
      </c>
      <c r="E554" t="s">
        <v>144</v>
      </c>
      <c r="F554" s="6">
        <v>44113</v>
      </c>
      <c r="H554" t="s">
        <v>192</v>
      </c>
      <c r="I554" t="s">
        <v>120</v>
      </c>
    </row>
    <row r="555" spans="1:9" x14ac:dyDescent="0.25">
      <c r="A555" s="8" t="str">
        <f t="shared" si="24"/>
        <v>2007261.ZO2</v>
      </c>
      <c r="B555" s="9" t="str">
        <f t="shared" si="25"/>
        <v/>
      </c>
      <c r="C555" s="10">
        <f t="shared" si="26"/>
        <v>44109</v>
      </c>
      <c r="D555">
        <v>2007261</v>
      </c>
      <c r="E555" t="s">
        <v>168</v>
      </c>
      <c r="F555" s="6">
        <v>44113</v>
      </c>
      <c r="H555" t="s">
        <v>192</v>
      </c>
      <c r="I555" t="s">
        <v>120</v>
      </c>
    </row>
    <row r="556" spans="1:9" x14ac:dyDescent="0.25">
      <c r="A556" s="8" t="str">
        <f t="shared" si="24"/>
        <v>2007263.T00</v>
      </c>
      <c r="B556" s="9" t="str">
        <f t="shared" si="25"/>
        <v/>
      </c>
      <c r="C556" s="10">
        <f t="shared" si="26"/>
        <v>44109</v>
      </c>
      <c r="D556">
        <v>2007263</v>
      </c>
      <c r="E556" t="s">
        <v>159</v>
      </c>
      <c r="F556" s="6">
        <v>44113</v>
      </c>
      <c r="H556" t="s">
        <v>189</v>
      </c>
      <c r="I556" t="s">
        <v>120</v>
      </c>
    </row>
    <row r="557" spans="1:9" x14ac:dyDescent="0.25">
      <c r="A557" s="8" t="str">
        <f t="shared" si="24"/>
        <v>2007266.H00</v>
      </c>
      <c r="B557" s="9" t="str">
        <f t="shared" si="25"/>
        <v>2</v>
      </c>
      <c r="C557" s="10">
        <f t="shared" si="26"/>
        <v>44068</v>
      </c>
      <c r="D557">
        <v>2007266</v>
      </c>
      <c r="E557" t="s">
        <v>122</v>
      </c>
      <c r="F557" s="6">
        <v>44071</v>
      </c>
      <c r="G557">
        <v>25</v>
      </c>
      <c r="H557" t="s">
        <v>180</v>
      </c>
      <c r="I557" t="s">
        <v>120</v>
      </c>
    </row>
    <row r="558" spans="1:9" x14ac:dyDescent="0.25">
      <c r="A558" s="8" t="str">
        <f t="shared" si="24"/>
        <v>2007266.HP0</v>
      </c>
      <c r="B558" s="9" t="str">
        <f t="shared" si="25"/>
        <v>2</v>
      </c>
      <c r="C558" s="10">
        <f t="shared" si="26"/>
        <v>44068</v>
      </c>
      <c r="D558">
        <v>2007266</v>
      </c>
      <c r="E558" t="s">
        <v>121</v>
      </c>
      <c r="F558" s="6">
        <v>44071</v>
      </c>
      <c r="G558">
        <v>25</v>
      </c>
      <c r="H558" t="s">
        <v>180</v>
      </c>
      <c r="I558" t="s">
        <v>120</v>
      </c>
    </row>
    <row r="559" spans="1:9" x14ac:dyDescent="0.25">
      <c r="A559" s="8" t="str">
        <f t="shared" si="24"/>
        <v>2007267.H02</v>
      </c>
      <c r="B559" s="9" t="str">
        <f t="shared" si="25"/>
        <v>3</v>
      </c>
      <c r="C559" s="10">
        <f t="shared" si="26"/>
        <v>44076</v>
      </c>
      <c r="D559">
        <v>2007267</v>
      </c>
      <c r="E559" t="s">
        <v>156</v>
      </c>
      <c r="F559" s="6">
        <v>44078</v>
      </c>
      <c r="G559">
        <v>3</v>
      </c>
      <c r="H559" t="s">
        <v>180</v>
      </c>
      <c r="I559" t="s">
        <v>120</v>
      </c>
    </row>
    <row r="560" spans="1:9" x14ac:dyDescent="0.25">
      <c r="A560" s="8" t="str">
        <f t="shared" si="24"/>
        <v>2007267.HP2</v>
      </c>
      <c r="B560" s="9" t="str">
        <f t="shared" si="25"/>
        <v>3</v>
      </c>
      <c r="C560" s="10">
        <f t="shared" si="26"/>
        <v>44076</v>
      </c>
      <c r="D560">
        <v>2007267</v>
      </c>
      <c r="E560" t="s">
        <v>138</v>
      </c>
      <c r="F560" s="6">
        <v>44078</v>
      </c>
      <c r="G560">
        <v>3</v>
      </c>
      <c r="H560" t="s">
        <v>180</v>
      </c>
      <c r="I560" t="s">
        <v>120</v>
      </c>
    </row>
    <row r="561" spans="1:9" x14ac:dyDescent="0.25">
      <c r="A561" s="8" t="str">
        <f t="shared" si="24"/>
        <v>2007268.U01</v>
      </c>
      <c r="B561" s="9" t="str">
        <f t="shared" si="25"/>
        <v/>
      </c>
      <c r="C561" s="10">
        <f t="shared" si="26"/>
        <v>44074</v>
      </c>
      <c r="D561">
        <v>2007268</v>
      </c>
      <c r="E561" t="s">
        <v>150</v>
      </c>
      <c r="F561" s="6">
        <v>44078</v>
      </c>
      <c r="H561" t="s">
        <v>180</v>
      </c>
      <c r="I561" t="s">
        <v>120</v>
      </c>
    </row>
    <row r="562" spans="1:9" x14ac:dyDescent="0.25">
      <c r="A562" s="8" t="str">
        <f t="shared" si="24"/>
        <v>2007273.Y00</v>
      </c>
      <c r="B562" s="9" t="str">
        <f t="shared" si="25"/>
        <v>2</v>
      </c>
      <c r="C562" s="10">
        <f t="shared" si="26"/>
        <v>44075</v>
      </c>
      <c r="D562">
        <v>2007273</v>
      </c>
      <c r="E562" t="s">
        <v>130</v>
      </c>
      <c r="F562" s="6">
        <v>44078</v>
      </c>
      <c r="G562">
        <v>2</v>
      </c>
      <c r="H562" t="s">
        <v>180</v>
      </c>
      <c r="I562" t="s">
        <v>120</v>
      </c>
    </row>
    <row r="563" spans="1:9" x14ac:dyDescent="0.25">
      <c r="A563" s="8" t="str">
        <f t="shared" si="24"/>
        <v>2007275.0P0</v>
      </c>
      <c r="B563" s="9" t="str">
        <f t="shared" si="25"/>
        <v>2</v>
      </c>
      <c r="C563" s="10">
        <f t="shared" si="26"/>
        <v>44068</v>
      </c>
      <c r="D563">
        <v>2007275</v>
      </c>
      <c r="E563" t="s">
        <v>119</v>
      </c>
      <c r="F563" s="6">
        <v>44071</v>
      </c>
      <c r="G563">
        <v>21</v>
      </c>
      <c r="H563" t="s">
        <v>180</v>
      </c>
      <c r="I563" t="s">
        <v>120</v>
      </c>
    </row>
    <row r="564" spans="1:9" x14ac:dyDescent="0.25">
      <c r="A564" s="8" t="str">
        <f t="shared" si="24"/>
        <v>2007276.U02</v>
      </c>
      <c r="B564" s="9" t="str">
        <f t="shared" si="25"/>
        <v/>
      </c>
      <c r="C564" s="10">
        <f t="shared" si="26"/>
        <v>44074</v>
      </c>
      <c r="D564">
        <v>2007276</v>
      </c>
      <c r="E564" t="s">
        <v>149</v>
      </c>
      <c r="F564" s="6">
        <v>44078</v>
      </c>
      <c r="H564" t="s">
        <v>180</v>
      </c>
      <c r="I564" t="s">
        <v>120</v>
      </c>
    </row>
    <row r="565" spans="1:9" x14ac:dyDescent="0.25">
      <c r="A565" s="8" t="str">
        <f t="shared" si="24"/>
        <v>2007278.HPL</v>
      </c>
      <c r="B565" s="9" t="str">
        <f t="shared" si="25"/>
        <v/>
      </c>
      <c r="C565" s="10">
        <f t="shared" si="26"/>
        <v>44123</v>
      </c>
      <c r="D565">
        <v>2007278</v>
      </c>
      <c r="E565" t="s">
        <v>128</v>
      </c>
      <c r="F565" s="6">
        <v>44127</v>
      </c>
      <c r="H565" t="s">
        <v>191</v>
      </c>
      <c r="I565" t="s">
        <v>120</v>
      </c>
    </row>
    <row r="566" spans="1:9" x14ac:dyDescent="0.25">
      <c r="A566" s="8" t="str">
        <f t="shared" si="24"/>
        <v>2007279.H00</v>
      </c>
      <c r="B566" s="9" t="str">
        <f t="shared" si="25"/>
        <v>3</v>
      </c>
      <c r="C566" s="10">
        <f t="shared" si="26"/>
        <v>44069</v>
      </c>
      <c r="D566">
        <v>2007279</v>
      </c>
      <c r="E566" t="s">
        <v>122</v>
      </c>
      <c r="F566" s="6">
        <v>44071</v>
      </c>
      <c r="G566">
        <v>33</v>
      </c>
      <c r="H566" t="s">
        <v>180</v>
      </c>
      <c r="I566" t="s">
        <v>120</v>
      </c>
    </row>
    <row r="567" spans="1:9" x14ac:dyDescent="0.25">
      <c r="A567" s="8" t="str">
        <f t="shared" si="24"/>
        <v>2007281.Y02</v>
      </c>
      <c r="B567" s="9" t="str">
        <f t="shared" si="25"/>
        <v/>
      </c>
      <c r="C567" s="10">
        <f t="shared" si="26"/>
        <v>44074</v>
      </c>
      <c r="D567">
        <v>2007281</v>
      </c>
      <c r="E567" t="s">
        <v>144</v>
      </c>
      <c r="F567" s="6">
        <v>44078</v>
      </c>
      <c r="H567" t="s">
        <v>180</v>
      </c>
      <c r="I567" t="s">
        <v>120</v>
      </c>
    </row>
    <row r="568" spans="1:9" x14ac:dyDescent="0.25">
      <c r="A568" s="8" t="str">
        <f t="shared" si="24"/>
        <v>2007291.U02</v>
      </c>
      <c r="B568" s="9" t="str">
        <f t="shared" si="25"/>
        <v/>
      </c>
      <c r="C568" s="10">
        <f t="shared" si="26"/>
        <v>44081</v>
      </c>
      <c r="D568">
        <v>2007291</v>
      </c>
      <c r="E568" t="s">
        <v>149</v>
      </c>
      <c r="F568" s="6">
        <v>44085</v>
      </c>
      <c r="H568" t="s">
        <v>180</v>
      </c>
      <c r="I568" t="s">
        <v>120</v>
      </c>
    </row>
    <row r="569" spans="1:9" x14ac:dyDescent="0.25">
      <c r="A569" s="8" t="str">
        <f t="shared" si="24"/>
        <v>2007291.Y02</v>
      </c>
      <c r="B569" s="9" t="str">
        <f t="shared" si="25"/>
        <v/>
      </c>
      <c r="C569" s="10">
        <f t="shared" si="26"/>
        <v>44081</v>
      </c>
      <c r="D569">
        <v>2007291</v>
      </c>
      <c r="E569" t="s">
        <v>144</v>
      </c>
      <c r="F569" s="6">
        <v>44085</v>
      </c>
      <c r="H569" t="s">
        <v>180</v>
      </c>
      <c r="I569" t="s">
        <v>120</v>
      </c>
    </row>
    <row r="570" spans="1:9" x14ac:dyDescent="0.25">
      <c r="A570" s="8" t="str">
        <f t="shared" si="24"/>
        <v>2007295.H00</v>
      </c>
      <c r="B570" s="9" t="str">
        <f t="shared" si="25"/>
        <v>2</v>
      </c>
      <c r="C570" s="10">
        <f t="shared" si="26"/>
        <v>44068</v>
      </c>
      <c r="D570">
        <v>2007295</v>
      </c>
      <c r="E570" t="s">
        <v>122</v>
      </c>
      <c r="F570" s="6">
        <v>44071</v>
      </c>
      <c r="G570">
        <v>20</v>
      </c>
      <c r="H570" t="s">
        <v>180</v>
      </c>
      <c r="I570" t="s">
        <v>120</v>
      </c>
    </row>
    <row r="571" spans="1:9" x14ac:dyDescent="0.25">
      <c r="A571" s="8" t="str">
        <f t="shared" si="24"/>
        <v>2007295.HP0</v>
      </c>
      <c r="B571" s="9" t="str">
        <f t="shared" si="25"/>
        <v>2</v>
      </c>
      <c r="C571" s="10">
        <f t="shared" si="26"/>
        <v>44068</v>
      </c>
      <c r="D571">
        <v>2007295</v>
      </c>
      <c r="E571" t="s">
        <v>121</v>
      </c>
      <c r="F571" s="6">
        <v>44071</v>
      </c>
      <c r="G571">
        <v>20</v>
      </c>
      <c r="H571" t="s">
        <v>180</v>
      </c>
      <c r="I571" t="s">
        <v>120</v>
      </c>
    </row>
    <row r="572" spans="1:9" x14ac:dyDescent="0.25">
      <c r="A572" s="8" t="str">
        <f t="shared" si="24"/>
        <v>2007295.X01</v>
      </c>
      <c r="B572" s="9" t="str">
        <f t="shared" si="25"/>
        <v>2</v>
      </c>
      <c r="C572" s="10">
        <f t="shared" si="26"/>
        <v>44068</v>
      </c>
      <c r="D572">
        <v>2007295</v>
      </c>
      <c r="E572" t="s">
        <v>161</v>
      </c>
      <c r="F572" s="6">
        <v>44071</v>
      </c>
      <c r="G572">
        <v>20</v>
      </c>
      <c r="H572" t="s">
        <v>180</v>
      </c>
      <c r="I572" t="s">
        <v>120</v>
      </c>
    </row>
    <row r="573" spans="1:9" x14ac:dyDescent="0.25">
      <c r="A573" s="8" t="str">
        <f t="shared" si="24"/>
        <v>2007296.UP1</v>
      </c>
      <c r="B573" s="9" t="str">
        <f t="shared" si="25"/>
        <v/>
      </c>
      <c r="C573" s="10">
        <f t="shared" si="26"/>
        <v>44074</v>
      </c>
      <c r="D573">
        <v>2007296</v>
      </c>
      <c r="E573" t="s">
        <v>164</v>
      </c>
      <c r="F573" s="6">
        <v>44078</v>
      </c>
      <c r="H573" t="s">
        <v>180</v>
      </c>
      <c r="I573" t="s">
        <v>120</v>
      </c>
    </row>
    <row r="574" spans="1:9" x14ac:dyDescent="0.25">
      <c r="A574" s="8" t="str">
        <f t="shared" si="24"/>
        <v>2007297.U00</v>
      </c>
      <c r="B574" s="9" t="str">
        <f t="shared" si="25"/>
        <v>3</v>
      </c>
      <c r="C574" s="10">
        <f t="shared" si="26"/>
        <v>44076</v>
      </c>
      <c r="D574">
        <v>2007297</v>
      </c>
      <c r="E574" t="s">
        <v>131</v>
      </c>
      <c r="F574" s="6">
        <v>44078</v>
      </c>
      <c r="G574">
        <v>3</v>
      </c>
      <c r="H574" t="s">
        <v>180</v>
      </c>
      <c r="I574" t="s">
        <v>120</v>
      </c>
    </row>
    <row r="575" spans="1:9" x14ac:dyDescent="0.25">
      <c r="A575" s="8" t="str">
        <f t="shared" si="24"/>
        <v>2007299.ZPL</v>
      </c>
      <c r="B575" s="9" t="str">
        <f t="shared" si="25"/>
        <v>3</v>
      </c>
      <c r="C575" s="10">
        <f t="shared" si="26"/>
        <v>44069</v>
      </c>
      <c r="D575">
        <v>2007299</v>
      </c>
      <c r="E575" t="s">
        <v>182</v>
      </c>
      <c r="F575" s="6">
        <v>44071</v>
      </c>
      <c r="G575">
        <v>33</v>
      </c>
      <c r="H575" t="s">
        <v>180</v>
      </c>
      <c r="I575" t="s">
        <v>120</v>
      </c>
    </row>
    <row r="576" spans="1:9" x14ac:dyDescent="0.25">
      <c r="A576" s="8" t="str">
        <f t="shared" si="24"/>
        <v>2007301.UP2</v>
      </c>
      <c r="B576" s="9" t="str">
        <f t="shared" si="25"/>
        <v/>
      </c>
      <c r="C576" s="10">
        <f t="shared" si="26"/>
        <v>44074</v>
      </c>
      <c r="D576">
        <v>2007301</v>
      </c>
      <c r="E576" t="s">
        <v>160</v>
      </c>
      <c r="F576" s="6">
        <v>44078</v>
      </c>
      <c r="H576" t="s">
        <v>180</v>
      </c>
      <c r="I576" t="s">
        <v>120</v>
      </c>
    </row>
    <row r="577" spans="1:9" x14ac:dyDescent="0.25">
      <c r="A577" s="8" t="str">
        <f t="shared" si="24"/>
        <v>2007301.UP3</v>
      </c>
      <c r="B577" s="9" t="str">
        <f t="shared" si="25"/>
        <v/>
      </c>
      <c r="C577" s="10">
        <f t="shared" si="26"/>
        <v>44074</v>
      </c>
      <c r="D577">
        <v>2007301</v>
      </c>
      <c r="E577" t="s">
        <v>284</v>
      </c>
      <c r="F577" s="6">
        <v>44078</v>
      </c>
      <c r="H577" t="s">
        <v>180</v>
      </c>
      <c r="I577" t="s">
        <v>120</v>
      </c>
    </row>
    <row r="578" spans="1:9" x14ac:dyDescent="0.25">
      <c r="A578" s="8" t="str">
        <f t="shared" ref="A578:A641" si="27">IF(D578="","",IF(E578=0,CONCATENATE(D578,".",E578,"00"),CONCATENATE(D578,".",E578)))</f>
        <v>2007302.000</v>
      </c>
      <c r="B578" s="9" t="str">
        <f t="shared" ref="B578:B641" si="28">LEFT(G578,1)</f>
        <v/>
      </c>
      <c r="C578" s="10">
        <f t="shared" ref="C578:C641" si="29">IF(F578="","",IF(B578="",F578-4,IF(B578="1",F578-4,IF(B578="2",F578-3,IF(B578="3",F578-2,IF(B578="4",F578-1,IF(B578="V",F578-7,IF(B578="J",F578-8,F578))))))))</f>
        <v>44074</v>
      </c>
      <c r="D578">
        <v>2007302</v>
      </c>
      <c r="E578">
        <v>0</v>
      </c>
      <c r="F578" s="6">
        <v>44078</v>
      </c>
      <c r="H578" t="s">
        <v>180</v>
      </c>
      <c r="I578" t="s">
        <v>120</v>
      </c>
    </row>
    <row r="579" spans="1:9" x14ac:dyDescent="0.25">
      <c r="A579" s="8" t="str">
        <f t="shared" si="27"/>
        <v>2007302.UP0</v>
      </c>
      <c r="B579" s="9" t="str">
        <f t="shared" si="28"/>
        <v/>
      </c>
      <c r="C579" s="10">
        <f t="shared" si="29"/>
        <v>44074</v>
      </c>
      <c r="D579">
        <v>2007302</v>
      </c>
      <c r="E579" t="s">
        <v>136</v>
      </c>
      <c r="F579" s="6">
        <v>44078</v>
      </c>
      <c r="H579" t="s">
        <v>180</v>
      </c>
      <c r="I579" t="s">
        <v>120</v>
      </c>
    </row>
    <row r="580" spans="1:9" x14ac:dyDescent="0.25">
      <c r="A580" s="8" t="str">
        <f t="shared" si="27"/>
        <v>2007303.H00</v>
      </c>
      <c r="B580" s="9" t="str">
        <f t="shared" si="28"/>
        <v>1</v>
      </c>
      <c r="C580" s="10">
        <f t="shared" si="29"/>
        <v>44067</v>
      </c>
      <c r="D580">
        <v>2007303</v>
      </c>
      <c r="E580" t="s">
        <v>122</v>
      </c>
      <c r="F580" s="6">
        <v>44071</v>
      </c>
      <c r="G580">
        <v>12</v>
      </c>
      <c r="H580" t="s">
        <v>180</v>
      </c>
      <c r="I580" t="s">
        <v>120</v>
      </c>
    </row>
    <row r="581" spans="1:9" x14ac:dyDescent="0.25">
      <c r="A581" s="8" t="str">
        <f t="shared" si="27"/>
        <v>2007306.000</v>
      </c>
      <c r="B581" s="9" t="str">
        <f t="shared" si="28"/>
        <v>1</v>
      </c>
      <c r="C581" s="10">
        <f t="shared" si="29"/>
        <v>44102</v>
      </c>
      <c r="D581">
        <v>2007306</v>
      </c>
      <c r="E581">
        <v>0</v>
      </c>
      <c r="F581" s="6">
        <v>44106</v>
      </c>
      <c r="G581">
        <v>1</v>
      </c>
      <c r="H581" t="s">
        <v>189</v>
      </c>
      <c r="I581" t="s">
        <v>120</v>
      </c>
    </row>
    <row r="582" spans="1:9" x14ac:dyDescent="0.25">
      <c r="A582" s="8" t="str">
        <f t="shared" si="27"/>
        <v>2007306.0P0</v>
      </c>
      <c r="B582" s="9" t="str">
        <f t="shared" si="28"/>
        <v>1</v>
      </c>
      <c r="C582" s="10">
        <f t="shared" si="29"/>
        <v>44102</v>
      </c>
      <c r="D582">
        <v>2007306</v>
      </c>
      <c r="E582" t="s">
        <v>119</v>
      </c>
      <c r="F582" s="6">
        <v>44106</v>
      </c>
      <c r="G582">
        <v>1</v>
      </c>
      <c r="H582" t="s">
        <v>189</v>
      </c>
      <c r="I582" t="s">
        <v>120</v>
      </c>
    </row>
    <row r="583" spans="1:9" x14ac:dyDescent="0.25">
      <c r="A583" s="8" t="str">
        <f t="shared" si="27"/>
        <v>2007307.Z02</v>
      </c>
      <c r="B583" s="9" t="str">
        <f t="shared" si="28"/>
        <v>3</v>
      </c>
      <c r="C583" s="10">
        <f t="shared" si="29"/>
        <v>44069</v>
      </c>
      <c r="D583">
        <v>2007307</v>
      </c>
      <c r="E583" t="s">
        <v>260</v>
      </c>
      <c r="F583" s="6">
        <v>44071</v>
      </c>
      <c r="G583">
        <v>32</v>
      </c>
      <c r="H583" t="s">
        <v>180</v>
      </c>
      <c r="I583" t="s">
        <v>120</v>
      </c>
    </row>
    <row r="584" spans="1:9" x14ac:dyDescent="0.25">
      <c r="A584" s="8" t="str">
        <f t="shared" si="27"/>
        <v>2007309.Y02</v>
      </c>
      <c r="B584" s="9" t="str">
        <f t="shared" si="28"/>
        <v/>
      </c>
      <c r="C584" s="10">
        <f t="shared" si="29"/>
        <v>44074</v>
      </c>
      <c r="D584">
        <v>2007309</v>
      </c>
      <c r="E584" t="s">
        <v>144</v>
      </c>
      <c r="F584" s="6">
        <v>44078</v>
      </c>
      <c r="H584" t="s">
        <v>180</v>
      </c>
      <c r="I584" t="s">
        <v>120</v>
      </c>
    </row>
    <row r="585" spans="1:9" x14ac:dyDescent="0.25">
      <c r="A585" s="8" t="str">
        <f t="shared" si="27"/>
        <v>2007310.H01</v>
      </c>
      <c r="B585" s="9" t="str">
        <f t="shared" si="28"/>
        <v>3</v>
      </c>
      <c r="C585" s="10">
        <f t="shared" si="29"/>
        <v>44069</v>
      </c>
      <c r="D585">
        <v>2007310</v>
      </c>
      <c r="E585" t="s">
        <v>145</v>
      </c>
      <c r="F585" s="6">
        <v>44071</v>
      </c>
      <c r="G585">
        <v>32</v>
      </c>
      <c r="H585" t="s">
        <v>180</v>
      </c>
      <c r="I585" t="s">
        <v>120</v>
      </c>
    </row>
    <row r="586" spans="1:9" x14ac:dyDescent="0.25">
      <c r="A586" s="8" t="str">
        <f t="shared" si="27"/>
        <v>2007312.Y00</v>
      </c>
      <c r="B586" s="9" t="str">
        <f t="shared" si="28"/>
        <v/>
      </c>
      <c r="C586" s="10">
        <f t="shared" si="29"/>
        <v>44074</v>
      </c>
      <c r="D586">
        <v>2007312</v>
      </c>
      <c r="E586" t="s">
        <v>130</v>
      </c>
      <c r="F586" s="6">
        <v>44078</v>
      </c>
      <c r="H586" t="s">
        <v>180</v>
      </c>
      <c r="I586" t="s">
        <v>120</v>
      </c>
    </row>
    <row r="587" spans="1:9" x14ac:dyDescent="0.25">
      <c r="A587" s="8" t="str">
        <f t="shared" si="27"/>
        <v>2007318.0P0</v>
      </c>
      <c r="B587" s="9" t="str">
        <f t="shared" si="28"/>
        <v/>
      </c>
      <c r="C587" s="10">
        <f t="shared" si="29"/>
        <v>44074</v>
      </c>
      <c r="D587">
        <v>2007318</v>
      </c>
      <c r="E587" t="s">
        <v>119</v>
      </c>
      <c r="F587" s="6">
        <v>44078</v>
      </c>
      <c r="H587" t="s">
        <v>191</v>
      </c>
      <c r="I587" t="s">
        <v>120</v>
      </c>
    </row>
    <row r="588" spans="1:9" x14ac:dyDescent="0.25">
      <c r="A588" s="8" t="str">
        <f t="shared" si="27"/>
        <v>2007320.X00</v>
      </c>
      <c r="B588" s="9" t="str">
        <f t="shared" si="28"/>
        <v/>
      </c>
      <c r="C588" s="10">
        <f t="shared" si="29"/>
        <v>44039</v>
      </c>
      <c r="D588">
        <v>2007320</v>
      </c>
      <c r="E588" t="s">
        <v>225</v>
      </c>
      <c r="F588" s="6">
        <v>44043</v>
      </c>
      <c r="H588" t="s">
        <v>191</v>
      </c>
      <c r="I588" t="s">
        <v>120</v>
      </c>
    </row>
    <row r="589" spans="1:9" x14ac:dyDescent="0.25">
      <c r="A589" s="8" t="str">
        <f t="shared" si="27"/>
        <v>2007323.H00</v>
      </c>
      <c r="B589" s="9" t="str">
        <f t="shared" si="28"/>
        <v>2</v>
      </c>
      <c r="C589" s="10">
        <f t="shared" si="29"/>
        <v>44068</v>
      </c>
      <c r="D589">
        <v>2007323</v>
      </c>
      <c r="E589" t="s">
        <v>122</v>
      </c>
      <c r="F589" s="6">
        <v>44071</v>
      </c>
      <c r="G589">
        <v>22</v>
      </c>
      <c r="H589" t="s">
        <v>180</v>
      </c>
      <c r="I589" t="s">
        <v>120</v>
      </c>
    </row>
    <row r="590" spans="1:9" x14ac:dyDescent="0.25">
      <c r="A590" s="8" t="str">
        <f t="shared" si="27"/>
        <v>2007326.CP0</v>
      </c>
      <c r="B590" s="9" t="str">
        <f t="shared" si="28"/>
        <v/>
      </c>
      <c r="C590" s="10">
        <f t="shared" si="29"/>
        <v>44074</v>
      </c>
      <c r="D590">
        <v>2007326</v>
      </c>
      <c r="E590" t="s">
        <v>148</v>
      </c>
      <c r="F590" s="6">
        <v>44078</v>
      </c>
      <c r="H590" t="s">
        <v>180</v>
      </c>
      <c r="I590" t="s">
        <v>120</v>
      </c>
    </row>
    <row r="591" spans="1:9" x14ac:dyDescent="0.25">
      <c r="A591" s="8" t="str">
        <f t="shared" si="27"/>
        <v>2007329.X00</v>
      </c>
      <c r="B591" s="9" t="str">
        <f t="shared" si="28"/>
        <v>3</v>
      </c>
      <c r="C591" s="10">
        <f t="shared" si="29"/>
        <v>44069</v>
      </c>
      <c r="D591">
        <v>2007329</v>
      </c>
      <c r="E591" t="s">
        <v>225</v>
      </c>
      <c r="F591" s="6">
        <v>44071</v>
      </c>
      <c r="G591">
        <v>31</v>
      </c>
      <c r="H591" t="s">
        <v>180</v>
      </c>
      <c r="I591" t="s">
        <v>120</v>
      </c>
    </row>
    <row r="592" spans="1:9" x14ac:dyDescent="0.25">
      <c r="A592" s="8" t="str">
        <f t="shared" si="27"/>
        <v>2007332.H02</v>
      </c>
      <c r="B592" s="9" t="str">
        <f t="shared" si="28"/>
        <v/>
      </c>
      <c r="C592" s="10">
        <f t="shared" si="29"/>
        <v>44074</v>
      </c>
      <c r="D592">
        <v>2007332</v>
      </c>
      <c r="E592" t="s">
        <v>156</v>
      </c>
      <c r="F592" s="6">
        <v>44078</v>
      </c>
      <c r="H592" t="s">
        <v>180</v>
      </c>
      <c r="I592" t="s">
        <v>120</v>
      </c>
    </row>
    <row r="593" spans="1:9" x14ac:dyDescent="0.25">
      <c r="A593" s="8" t="str">
        <f t="shared" si="27"/>
        <v>2007332.T02</v>
      </c>
      <c r="B593" s="9" t="str">
        <f t="shared" si="28"/>
        <v/>
      </c>
      <c r="C593" s="10">
        <f t="shared" si="29"/>
        <v>44074</v>
      </c>
      <c r="D593">
        <v>2007332</v>
      </c>
      <c r="E593" t="s">
        <v>170</v>
      </c>
      <c r="F593" s="6">
        <v>44078</v>
      </c>
      <c r="H593" t="s">
        <v>266</v>
      </c>
      <c r="I593" t="s">
        <v>120</v>
      </c>
    </row>
    <row r="594" spans="1:9" x14ac:dyDescent="0.25">
      <c r="A594" s="8" t="str">
        <f t="shared" si="27"/>
        <v>2007332.U02</v>
      </c>
      <c r="B594" s="9" t="str">
        <f t="shared" si="28"/>
        <v/>
      </c>
      <c r="C594" s="10">
        <f t="shared" si="29"/>
        <v>44074</v>
      </c>
      <c r="D594">
        <v>2007332</v>
      </c>
      <c r="E594" t="s">
        <v>149</v>
      </c>
      <c r="F594" s="6">
        <v>44078</v>
      </c>
      <c r="H594" t="s">
        <v>180</v>
      </c>
      <c r="I594" t="s">
        <v>120</v>
      </c>
    </row>
    <row r="595" spans="1:9" x14ac:dyDescent="0.25">
      <c r="A595" s="8" t="str">
        <f t="shared" si="27"/>
        <v>2007332.Y02</v>
      </c>
      <c r="B595" s="9" t="str">
        <f t="shared" si="28"/>
        <v/>
      </c>
      <c r="C595" s="10">
        <f t="shared" si="29"/>
        <v>44074</v>
      </c>
      <c r="D595">
        <v>2007332</v>
      </c>
      <c r="E595" t="s">
        <v>144</v>
      </c>
      <c r="F595" s="6">
        <v>44078</v>
      </c>
      <c r="H595" t="s">
        <v>180</v>
      </c>
      <c r="I595" t="s">
        <v>120</v>
      </c>
    </row>
    <row r="596" spans="1:9" x14ac:dyDescent="0.25">
      <c r="A596" s="8" t="str">
        <f t="shared" si="27"/>
        <v>2007334.U00</v>
      </c>
      <c r="B596" s="9" t="str">
        <f t="shared" si="28"/>
        <v/>
      </c>
      <c r="C596" s="10">
        <f t="shared" si="29"/>
        <v>44074</v>
      </c>
      <c r="D596">
        <v>2007334</v>
      </c>
      <c r="E596" t="s">
        <v>131</v>
      </c>
      <c r="F596" s="6">
        <v>44078</v>
      </c>
      <c r="H596" t="s">
        <v>180</v>
      </c>
      <c r="I596" t="s">
        <v>120</v>
      </c>
    </row>
    <row r="597" spans="1:9" x14ac:dyDescent="0.25">
      <c r="A597" s="8" t="str">
        <f t="shared" si="27"/>
        <v>2007334.Y00</v>
      </c>
      <c r="B597" s="9" t="str">
        <f t="shared" si="28"/>
        <v/>
      </c>
      <c r="C597" s="10">
        <f t="shared" si="29"/>
        <v>44074</v>
      </c>
      <c r="D597">
        <v>2007334</v>
      </c>
      <c r="E597" t="s">
        <v>130</v>
      </c>
      <c r="F597" s="6">
        <v>44078</v>
      </c>
      <c r="H597" t="s">
        <v>180</v>
      </c>
      <c r="I597" t="s">
        <v>120</v>
      </c>
    </row>
    <row r="598" spans="1:9" x14ac:dyDescent="0.25">
      <c r="A598" s="8" t="str">
        <f t="shared" si="27"/>
        <v>2007337.Y01</v>
      </c>
      <c r="B598" s="9" t="str">
        <f t="shared" si="28"/>
        <v/>
      </c>
      <c r="C598" s="10">
        <f t="shared" si="29"/>
        <v>44116</v>
      </c>
      <c r="D598">
        <v>2007337</v>
      </c>
      <c r="E598" t="s">
        <v>132</v>
      </c>
      <c r="F598" s="6">
        <v>44120</v>
      </c>
      <c r="H598" t="s">
        <v>189</v>
      </c>
      <c r="I598" t="s">
        <v>120</v>
      </c>
    </row>
    <row r="599" spans="1:9" x14ac:dyDescent="0.25">
      <c r="A599" s="8" t="str">
        <f t="shared" si="27"/>
        <v>2007338.K00</v>
      </c>
      <c r="B599" s="9" t="str">
        <f t="shared" si="28"/>
        <v/>
      </c>
      <c r="C599" s="10">
        <f t="shared" si="29"/>
        <v>44088</v>
      </c>
      <c r="D599">
        <v>2007338</v>
      </c>
      <c r="E599" t="s">
        <v>257</v>
      </c>
      <c r="F599" s="6">
        <v>44092</v>
      </c>
      <c r="H599" t="s">
        <v>189</v>
      </c>
      <c r="I599" t="s">
        <v>120</v>
      </c>
    </row>
    <row r="600" spans="1:9" x14ac:dyDescent="0.25">
      <c r="A600" s="8" t="str">
        <f t="shared" si="27"/>
        <v>2007340.U00</v>
      </c>
      <c r="B600" s="9" t="str">
        <f t="shared" si="28"/>
        <v/>
      </c>
      <c r="C600" s="10">
        <f t="shared" si="29"/>
        <v>44102</v>
      </c>
      <c r="D600">
        <v>2007340</v>
      </c>
      <c r="E600" t="s">
        <v>131</v>
      </c>
      <c r="F600" s="6">
        <v>44106</v>
      </c>
      <c r="H600" t="s">
        <v>189</v>
      </c>
      <c r="I600" t="s">
        <v>120</v>
      </c>
    </row>
    <row r="601" spans="1:9" x14ac:dyDescent="0.25">
      <c r="A601" s="8" t="str">
        <f t="shared" si="27"/>
        <v>2007340.Y00</v>
      </c>
      <c r="B601" s="9" t="str">
        <f t="shared" si="28"/>
        <v/>
      </c>
      <c r="C601" s="10">
        <f t="shared" si="29"/>
        <v>44102</v>
      </c>
      <c r="D601">
        <v>2007340</v>
      </c>
      <c r="E601" t="s">
        <v>130</v>
      </c>
      <c r="F601" s="6">
        <v>44106</v>
      </c>
      <c r="H601" t="s">
        <v>189</v>
      </c>
      <c r="I601" t="s">
        <v>120</v>
      </c>
    </row>
    <row r="602" spans="1:9" x14ac:dyDescent="0.25">
      <c r="A602" s="8" t="str">
        <f t="shared" si="27"/>
        <v>2007341.H00</v>
      </c>
      <c r="B602" s="9" t="str">
        <f t="shared" si="28"/>
        <v/>
      </c>
      <c r="C602" s="10">
        <f t="shared" si="29"/>
        <v>44067</v>
      </c>
      <c r="D602">
        <v>2007341</v>
      </c>
      <c r="E602" t="s">
        <v>122</v>
      </c>
      <c r="F602" s="6">
        <v>44071</v>
      </c>
      <c r="H602" t="s">
        <v>190</v>
      </c>
      <c r="I602" t="s">
        <v>120</v>
      </c>
    </row>
    <row r="603" spans="1:9" x14ac:dyDescent="0.25">
      <c r="A603" s="8" t="str">
        <f t="shared" si="27"/>
        <v>2007347.H00</v>
      </c>
      <c r="B603" s="9" t="str">
        <f t="shared" si="28"/>
        <v/>
      </c>
      <c r="C603" s="10">
        <f t="shared" si="29"/>
        <v>44074</v>
      </c>
      <c r="D603">
        <v>2007347</v>
      </c>
      <c r="E603" t="s">
        <v>122</v>
      </c>
      <c r="F603" s="6">
        <v>44078</v>
      </c>
      <c r="H603" t="s">
        <v>180</v>
      </c>
      <c r="I603" t="s">
        <v>120</v>
      </c>
    </row>
    <row r="604" spans="1:9" x14ac:dyDescent="0.25">
      <c r="A604" s="8" t="str">
        <f t="shared" si="27"/>
        <v>2007347.HP0</v>
      </c>
      <c r="B604" s="9" t="str">
        <f t="shared" si="28"/>
        <v/>
      </c>
      <c r="C604" s="10">
        <f t="shared" si="29"/>
        <v>44074</v>
      </c>
      <c r="D604">
        <v>2007347</v>
      </c>
      <c r="E604" t="s">
        <v>121</v>
      </c>
      <c r="F604" s="6">
        <v>44078</v>
      </c>
      <c r="H604" t="s">
        <v>180</v>
      </c>
      <c r="I604" t="s">
        <v>120</v>
      </c>
    </row>
    <row r="605" spans="1:9" x14ac:dyDescent="0.25">
      <c r="A605" s="8" t="str">
        <f t="shared" si="27"/>
        <v>2007347.U01</v>
      </c>
      <c r="B605" s="9" t="str">
        <f t="shared" si="28"/>
        <v/>
      </c>
      <c r="C605" s="10">
        <f t="shared" si="29"/>
        <v>44074</v>
      </c>
      <c r="D605">
        <v>2007347</v>
      </c>
      <c r="E605" t="s">
        <v>150</v>
      </c>
      <c r="F605" s="6">
        <v>44078</v>
      </c>
      <c r="H605" t="s">
        <v>180</v>
      </c>
      <c r="I605" t="s">
        <v>120</v>
      </c>
    </row>
    <row r="606" spans="1:9" x14ac:dyDescent="0.25">
      <c r="A606" s="8" t="str">
        <f t="shared" si="27"/>
        <v>2007347.Y01</v>
      </c>
      <c r="B606" s="9" t="str">
        <f t="shared" si="28"/>
        <v/>
      </c>
      <c r="C606" s="10">
        <f t="shared" si="29"/>
        <v>44074</v>
      </c>
      <c r="D606">
        <v>2007347</v>
      </c>
      <c r="E606" t="s">
        <v>132</v>
      </c>
      <c r="F606" s="6">
        <v>44078</v>
      </c>
      <c r="H606" t="s">
        <v>180</v>
      </c>
      <c r="I606" t="s">
        <v>120</v>
      </c>
    </row>
    <row r="607" spans="1:9" x14ac:dyDescent="0.25">
      <c r="A607" s="8" t="str">
        <f t="shared" si="27"/>
        <v>2007348.0P0</v>
      </c>
      <c r="B607" s="9" t="str">
        <f t="shared" si="28"/>
        <v>2</v>
      </c>
      <c r="C607" s="10">
        <f t="shared" si="29"/>
        <v>44068</v>
      </c>
      <c r="D607">
        <v>2007348</v>
      </c>
      <c r="E607" t="s">
        <v>119</v>
      </c>
      <c r="F607" s="6">
        <v>44071</v>
      </c>
      <c r="G607">
        <v>23</v>
      </c>
      <c r="H607" t="s">
        <v>180</v>
      </c>
      <c r="I607" t="s">
        <v>120</v>
      </c>
    </row>
    <row r="608" spans="1:9" x14ac:dyDescent="0.25">
      <c r="A608" s="8" t="str">
        <f t="shared" si="27"/>
        <v>2007349.000</v>
      </c>
      <c r="B608" s="9" t="str">
        <f t="shared" si="28"/>
        <v/>
      </c>
      <c r="C608" s="10">
        <f t="shared" si="29"/>
        <v>44088</v>
      </c>
      <c r="D608">
        <v>2007349</v>
      </c>
      <c r="E608">
        <v>0</v>
      </c>
      <c r="F608" s="6">
        <v>44092</v>
      </c>
      <c r="H608" t="s">
        <v>189</v>
      </c>
      <c r="I608" t="s">
        <v>120</v>
      </c>
    </row>
    <row r="609" spans="1:9" x14ac:dyDescent="0.25">
      <c r="A609" s="8" t="str">
        <f t="shared" si="27"/>
        <v>2007352.Z00</v>
      </c>
      <c r="B609" s="9" t="str">
        <f t="shared" si="28"/>
        <v/>
      </c>
      <c r="C609" s="10">
        <f t="shared" si="29"/>
        <v>44074</v>
      </c>
      <c r="D609">
        <v>2007352</v>
      </c>
      <c r="E609" t="s">
        <v>158</v>
      </c>
      <c r="F609" s="6">
        <v>44078</v>
      </c>
      <c r="H609" t="s">
        <v>180</v>
      </c>
      <c r="I609" t="s">
        <v>120</v>
      </c>
    </row>
    <row r="610" spans="1:9" x14ac:dyDescent="0.25">
      <c r="A610" s="8" t="str">
        <f t="shared" si="27"/>
        <v>2007353.HPL</v>
      </c>
      <c r="B610" s="9" t="str">
        <f t="shared" si="28"/>
        <v>1</v>
      </c>
      <c r="C610" s="10">
        <f t="shared" si="29"/>
        <v>44081</v>
      </c>
      <c r="D610">
        <v>2007353</v>
      </c>
      <c r="E610" t="s">
        <v>128</v>
      </c>
      <c r="F610" s="6">
        <v>44085</v>
      </c>
      <c r="G610">
        <v>1</v>
      </c>
      <c r="H610" t="s">
        <v>180</v>
      </c>
      <c r="I610" t="s">
        <v>120</v>
      </c>
    </row>
    <row r="611" spans="1:9" x14ac:dyDescent="0.25">
      <c r="A611" s="8" t="str">
        <f t="shared" si="27"/>
        <v>2007362.HP1</v>
      </c>
      <c r="B611" s="9" t="str">
        <f t="shared" si="28"/>
        <v>2</v>
      </c>
      <c r="C611" s="10">
        <f t="shared" si="29"/>
        <v>44068</v>
      </c>
      <c r="D611">
        <v>2007362</v>
      </c>
      <c r="E611" t="s">
        <v>129</v>
      </c>
      <c r="F611" s="6">
        <v>44071</v>
      </c>
      <c r="G611">
        <v>23</v>
      </c>
      <c r="H611" t="s">
        <v>180</v>
      </c>
      <c r="I611" t="s">
        <v>120</v>
      </c>
    </row>
    <row r="612" spans="1:9" x14ac:dyDescent="0.25">
      <c r="A612" s="8" t="str">
        <f t="shared" si="27"/>
        <v>2007363.X00</v>
      </c>
      <c r="B612" s="9" t="str">
        <f t="shared" si="28"/>
        <v>1</v>
      </c>
      <c r="C612" s="10">
        <f t="shared" si="29"/>
        <v>44074</v>
      </c>
      <c r="D612">
        <v>2007363</v>
      </c>
      <c r="E612" t="s">
        <v>225</v>
      </c>
      <c r="F612" s="6">
        <v>44078</v>
      </c>
      <c r="G612">
        <v>1</v>
      </c>
      <c r="H612" t="s">
        <v>180</v>
      </c>
      <c r="I612" t="s">
        <v>120</v>
      </c>
    </row>
    <row r="613" spans="1:9" x14ac:dyDescent="0.25">
      <c r="A613" s="8" t="str">
        <f t="shared" si="27"/>
        <v>2007364.Y01</v>
      </c>
      <c r="B613" s="9" t="str">
        <f t="shared" si="28"/>
        <v/>
      </c>
      <c r="C613" s="10">
        <f t="shared" si="29"/>
        <v>44074</v>
      </c>
      <c r="D613">
        <v>2007364</v>
      </c>
      <c r="E613" t="s">
        <v>132</v>
      </c>
      <c r="F613" s="6">
        <v>44078</v>
      </c>
      <c r="H613" t="s">
        <v>180</v>
      </c>
      <c r="I613" t="s">
        <v>120</v>
      </c>
    </row>
    <row r="614" spans="1:9" x14ac:dyDescent="0.25">
      <c r="A614" s="8" t="str">
        <f t="shared" si="27"/>
        <v>2007367.U00</v>
      </c>
      <c r="B614" s="9" t="str">
        <f t="shared" si="28"/>
        <v/>
      </c>
      <c r="C614" s="10">
        <f t="shared" si="29"/>
        <v>44074</v>
      </c>
      <c r="D614">
        <v>2007367</v>
      </c>
      <c r="E614" t="s">
        <v>131</v>
      </c>
      <c r="F614" s="6">
        <v>44078</v>
      </c>
      <c r="H614" t="s">
        <v>180</v>
      </c>
      <c r="I614" t="s">
        <v>120</v>
      </c>
    </row>
    <row r="615" spans="1:9" x14ac:dyDescent="0.25">
      <c r="A615" s="8" t="str">
        <f t="shared" si="27"/>
        <v>2007368.U01</v>
      </c>
      <c r="B615" s="9" t="str">
        <f t="shared" si="28"/>
        <v/>
      </c>
      <c r="C615" s="10">
        <f t="shared" si="29"/>
        <v>44074</v>
      </c>
      <c r="D615">
        <v>2007368</v>
      </c>
      <c r="E615" t="s">
        <v>150</v>
      </c>
      <c r="F615" s="6">
        <v>44078</v>
      </c>
      <c r="H615" t="s">
        <v>180</v>
      </c>
      <c r="I615" t="s">
        <v>120</v>
      </c>
    </row>
    <row r="616" spans="1:9" x14ac:dyDescent="0.25">
      <c r="A616" s="8" t="str">
        <f t="shared" si="27"/>
        <v>2007368.UP1</v>
      </c>
      <c r="B616" s="9" t="str">
        <f t="shared" si="28"/>
        <v/>
      </c>
      <c r="C616" s="10">
        <f t="shared" si="29"/>
        <v>44074</v>
      </c>
      <c r="D616">
        <v>2007368</v>
      </c>
      <c r="E616" t="s">
        <v>164</v>
      </c>
      <c r="F616" s="6">
        <v>44078</v>
      </c>
      <c r="H616" t="s">
        <v>180</v>
      </c>
      <c r="I616" t="s">
        <v>120</v>
      </c>
    </row>
    <row r="617" spans="1:9" x14ac:dyDescent="0.25">
      <c r="A617" s="8" t="str">
        <f t="shared" si="27"/>
        <v>2007368.Y01</v>
      </c>
      <c r="B617" s="9" t="str">
        <f t="shared" si="28"/>
        <v/>
      </c>
      <c r="C617" s="10">
        <f t="shared" si="29"/>
        <v>44074</v>
      </c>
      <c r="D617">
        <v>2007368</v>
      </c>
      <c r="E617" t="s">
        <v>132</v>
      </c>
      <c r="F617" s="6">
        <v>44078</v>
      </c>
      <c r="H617" t="s">
        <v>180</v>
      </c>
      <c r="I617" t="s">
        <v>120</v>
      </c>
    </row>
    <row r="618" spans="1:9" x14ac:dyDescent="0.25">
      <c r="A618" s="8" t="str">
        <f t="shared" si="27"/>
        <v>2007369.0P0</v>
      </c>
      <c r="B618" s="9" t="str">
        <f t="shared" si="28"/>
        <v/>
      </c>
      <c r="C618" s="10">
        <f t="shared" si="29"/>
        <v>44074</v>
      </c>
      <c r="D618">
        <v>2007369</v>
      </c>
      <c r="E618" t="s">
        <v>119</v>
      </c>
      <c r="F618" s="6">
        <v>44078</v>
      </c>
      <c r="H618" t="s">
        <v>180</v>
      </c>
      <c r="I618" t="s">
        <v>120</v>
      </c>
    </row>
    <row r="619" spans="1:9" x14ac:dyDescent="0.25">
      <c r="A619" s="8" t="str">
        <f t="shared" si="27"/>
        <v>2007373.Y00</v>
      </c>
      <c r="B619" s="9" t="str">
        <f t="shared" si="28"/>
        <v>3</v>
      </c>
      <c r="C619" s="10">
        <f t="shared" si="29"/>
        <v>44076</v>
      </c>
      <c r="D619">
        <v>2007373</v>
      </c>
      <c r="E619" t="s">
        <v>130</v>
      </c>
      <c r="F619" s="6">
        <v>44078</v>
      </c>
      <c r="G619">
        <v>3</v>
      </c>
      <c r="H619" t="s">
        <v>189</v>
      </c>
      <c r="I619" t="s">
        <v>120</v>
      </c>
    </row>
    <row r="620" spans="1:9" x14ac:dyDescent="0.25">
      <c r="A620" s="8" t="str">
        <f t="shared" si="27"/>
        <v>2007374.X00</v>
      </c>
      <c r="B620" s="9" t="str">
        <f t="shared" si="28"/>
        <v>1</v>
      </c>
      <c r="C620" s="10">
        <f t="shared" si="29"/>
        <v>44039</v>
      </c>
      <c r="D620">
        <v>2007374</v>
      </c>
      <c r="E620" t="s">
        <v>225</v>
      </c>
      <c r="F620" s="6">
        <v>44043</v>
      </c>
      <c r="G620">
        <v>10</v>
      </c>
      <c r="H620" t="s">
        <v>180</v>
      </c>
      <c r="I620" t="s">
        <v>120</v>
      </c>
    </row>
    <row r="621" spans="1:9" x14ac:dyDescent="0.25">
      <c r="A621" s="8" t="str">
        <f t="shared" si="27"/>
        <v>2007377.000</v>
      </c>
      <c r="B621" s="9" t="str">
        <f t="shared" si="28"/>
        <v>1</v>
      </c>
      <c r="C621" s="10">
        <f t="shared" si="29"/>
        <v>44074</v>
      </c>
      <c r="D621">
        <v>2007377</v>
      </c>
      <c r="E621">
        <v>0</v>
      </c>
      <c r="F621" s="6">
        <v>44078</v>
      </c>
      <c r="G621">
        <v>11</v>
      </c>
      <c r="H621" t="s">
        <v>180</v>
      </c>
      <c r="I621" t="s">
        <v>120</v>
      </c>
    </row>
    <row r="622" spans="1:9" x14ac:dyDescent="0.25">
      <c r="A622" s="8" t="str">
        <f t="shared" si="27"/>
        <v>2007383.H01</v>
      </c>
      <c r="B622" s="9" t="str">
        <f t="shared" si="28"/>
        <v>1</v>
      </c>
      <c r="C622" s="10">
        <f t="shared" si="29"/>
        <v>44067</v>
      </c>
      <c r="D622">
        <v>2007383</v>
      </c>
      <c r="E622" t="s">
        <v>145</v>
      </c>
      <c r="F622" s="6">
        <v>44071</v>
      </c>
      <c r="G622">
        <v>11</v>
      </c>
      <c r="H622" t="s">
        <v>180</v>
      </c>
      <c r="I622" t="s">
        <v>120</v>
      </c>
    </row>
    <row r="623" spans="1:9" x14ac:dyDescent="0.25">
      <c r="A623" s="8" t="str">
        <f t="shared" si="27"/>
        <v>2007385.Y01</v>
      </c>
      <c r="B623" s="9" t="str">
        <f t="shared" si="28"/>
        <v>1</v>
      </c>
      <c r="C623" s="10">
        <f t="shared" si="29"/>
        <v>44074</v>
      </c>
      <c r="D623">
        <v>2007385</v>
      </c>
      <c r="E623" t="s">
        <v>132</v>
      </c>
      <c r="F623" s="6">
        <v>44078</v>
      </c>
      <c r="G623">
        <v>11</v>
      </c>
      <c r="H623" t="s">
        <v>180</v>
      </c>
      <c r="I623" t="s">
        <v>120</v>
      </c>
    </row>
    <row r="624" spans="1:9" x14ac:dyDescent="0.25">
      <c r="A624" s="8" t="str">
        <f t="shared" si="27"/>
        <v>2007388.000</v>
      </c>
      <c r="B624" s="9" t="str">
        <f t="shared" si="28"/>
        <v/>
      </c>
      <c r="C624" s="10">
        <f t="shared" si="29"/>
        <v>44074</v>
      </c>
      <c r="D624">
        <v>2007388</v>
      </c>
      <c r="E624">
        <v>0</v>
      </c>
      <c r="F624" s="6">
        <v>44078</v>
      </c>
      <c r="H624" t="s">
        <v>180</v>
      </c>
      <c r="I624" t="s">
        <v>120</v>
      </c>
    </row>
    <row r="625" spans="1:9" x14ac:dyDescent="0.25">
      <c r="A625" s="8" t="str">
        <f t="shared" si="27"/>
        <v>2007389.Y02</v>
      </c>
      <c r="B625" s="9" t="str">
        <f t="shared" si="28"/>
        <v/>
      </c>
      <c r="C625" s="10">
        <f t="shared" si="29"/>
        <v>44074</v>
      </c>
      <c r="D625">
        <v>2007389</v>
      </c>
      <c r="E625" t="s">
        <v>144</v>
      </c>
      <c r="F625" s="6">
        <v>44078</v>
      </c>
      <c r="H625" t="s">
        <v>180</v>
      </c>
      <c r="I625" t="s">
        <v>120</v>
      </c>
    </row>
    <row r="626" spans="1:9" x14ac:dyDescent="0.25">
      <c r="A626" s="8" t="str">
        <f t="shared" si="27"/>
        <v>2007394.H00</v>
      </c>
      <c r="B626" s="9" t="str">
        <f t="shared" si="28"/>
        <v>4</v>
      </c>
      <c r="C626" s="10">
        <f t="shared" si="29"/>
        <v>44070</v>
      </c>
      <c r="D626">
        <v>2007394</v>
      </c>
      <c r="E626" t="s">
        <v>122</v>
      </c>
      <c r="F626" s="6">
        <v>44071</v>
      </c>
      <c r="G626">
        <v>42</v>
      </c>
      <c r="H626" t="s">
        <v>180</v>
      </c>
      <c r="I626" t="s">
        <v>120</v>
      </c>
    </row>
    <row r="627" spans="1:9" x14ac:dyDescent="0.25">
      <c r="A627" s="8" t="str">
        <f t="shared" si="27"/>
        <v>2007395.Y00</v>
      </c>
      <c r="B627" s="9" t="str">
        <f t="shared" si="28"/>
        <v>1</v>
      </c>
      <c r="C627" s="10">
        <f t="shared" si="29"/>
        <v>44074</v>
      </c>
      <c r="D627">
        <v>2007395</v>
      </c>
      <c r="E627" t="s">
        <v>130</v>
      </c>
      <c r="F627" s="6">
        <v>44078</v>
      </c>
      <c r="G627">
        <v>1</v>
      </c>
      <c r="H627" t="s">
        <v>180</v>
      </c>
      <c r="I627" t="s">
        <v>120</v>
      </c>
    </row>
    <row r="628" spans="1:9" x14ac:dyDescent="0.25">
      <c r="A628" s="8" t="str">
        <f t="shared" si="27"/>
        <v>2007397.000</v>
      </c>
      <c r="B628" s="9" t="str">
        <f t="shared" si="28"/>
        <v/>
      </c>
      <c r="C628" s="10">
        <f t="shared" si="29"/>
        <v>44081</v>
      </c>
      <c r="D628">
        <v>2007397</v>
      </c>
      <c r="E628">
        <v>0</v>
      </c>
      <c r="F628" s="6">
        <v>44085</v>
      </c>
      <c r="H628" t="s">
        <v>180</v>
      </c>
      <c r="I628" t="s">
        <v>120</v>
      </c>
    </row>
    <row r="629" spans="1:9" x14ac:dyDescent="0.25">
      <c r="A629" s="8" t="str">
        <f t="shared" si="27"/>
        <v>2007398.Z00</v>
      </c>
      <c r="B629" s="9" t="str">
        <f t="shared" si="28"/>
        <v>3</v>
      </c>
      <c r="C629" s="10">
        <f t="shared" si="29"/>
        <v>44069</v>
      </c>
      <c r="D629">
        <v>2007398</v>
      </c>
      <c r="E629" t="s">
        <v>158</v>
      </c>
      <c r="F629" s="6">
        <v>44071</v>
      </c>
      <c r="G629">
        <v>33</v>
      </c>
      <c r="H629" t="s">
        <v>180</v>
      </c>
      <c r="I629" t="s">
        <v>120</v>
      </c>
    </row>
    <row r="630" spans="1:9" x14ac:dyDescent="0.25">
      <c r="A630" s="8" t="str">
        <f t="shared" si="27"/>
        <v>2007399.0P0</v>
      </c>
      <c r="B630" s="9" t="str">
        <f t="shared" si="28"/>
        <v/>
      </c>
      <c r="C630" s="10">
        <f t="shared" si="29"/>
        <v>44081</v>
      </c>
      <c r="D630">
        <v>2007399</v>
      </c>
      <c r="E630" t="s">
        <v>119</v>
      </c>
      <c r="F630" s="6">
        <v>44085</v>
      </c>
      <c r="H630" t="s">
        <v>180</v>
      </c>
      <c r="I630" t="s">
        <v>120</v>
      </c>
    </row>
    <row r="631" spans="1:9" x14ac:dyDescent="0.25">
      <c r="A631" s="8" t="str">
        <f t="shared" si="27"/>
        <v>2007400.U00</v>
      </c>
      <c r="B631" s="9" t="str">
        <f t="shared" si="28"/>
        <v/>
      </c>
      <c r="C631" s="10">
        <f t="shared" si="29"/>
        <v>44074</v>
      </c>
      <c r="D631">
        <v>2007400</v>
      </c>
      <c r="E631" t="s">
        <v>131</v>
      </c>
      <c r="F631" s="6">
        <v>44078</v>
      </c>
      <c r="H631" t="s">
        <v>180</v>
      </c>
      <c r="I631" t="s">
        <v>120</v>
      </c>
    </row>
    <row r="632" spans="1:9" x14ac:dyDescent="0.25">
      <c r="A632" s="8" t="str">
        <f t="shared" si="27"/>
        <v>2007400.Y00</v>
      </c>
      <c r="B632" s="9" t="str">
        <f t="shared" si="28"/>
        <v/>
      </c>
      <c r="C632" s="10">
        <f t="shared" si="29"/>
        <v>44074</v>
      </c>
      <c r="D632">
        <v>2007400</v>
      </c>
      <c r="E632" t="s">
        <v>130</v>
      </c>
      <c r="F632" s="6">
        <v>44078</v>
      </c>
      <c r="H632" t="s">
        <v>180</v>
      </c>
      <c r="I632" t="s">
        <v>120</v>
      </c>
    </row>
    <row r="633" spans="1:9" x14ac:dyDescent="0.25">
      <c r="A633" s="8" t="str">
        <f t="shared" si="27"/>
        <v>2007402.000</v>
      </c>
      <c r="B633" s="9" t="str">
        <f t="shared" si="28"/>
        <v>2</v>
      </c>
      <c r="C633" s="10">
        <f t="shared" si="29"/>
        <v>44068</v>
      </c>
      <c r="D633">
        <v>2007402</v>
      </c>
      <c r="E633">
        <v>0</v>
      </c>
      <c r="F633" s="6">
        <v>44071</v>
      </c>
      <c r="G633">
        <v>21</v>
      </c>
      <c r="H633" t="s">
        <v>180</v>
      </c>
      <c r="I633" t="s">
        <v>120</v>
      </c>
    </row>
    <row r="634" spans="1:9" x14ac:dyDescent="0.25">
      <c r="A634" s="8" t="str">
        <f t="shared" si="27"/>
        <v>2007407.0P0</v>
      </c>
      <c r="B634" s="9" t="str">
        <f t="shared" si="28"/>
        <v/>
      </c>
      <c r="C634" s="10">
        <f t="shared" si="29"/>
        <v>44081</v>
      </c>
      <c r="D634">
        <v>2007407</v>
      </c>
      <c r="E634" t="s">
        <v>119</v>
      </c>
      <c r="F634" s="6">
        <v>44085</v>
      </c>
      <c r="H634" t="s">
        <v>180</v>
      </c>
      <c r="I634" t="s">
        <v>120</v>
      </c>
    </row>
    <row r="635" spans="1:9" x14ac:dyDescent="0.25">
      <c r="A635" s="8" t="str">
        <f t="shared" si="27"/>
        <v>2007408.U01</v>
      </c>
      <c r="B635" s="9" t="str">
        <f t="shared" si="28"/>
        <v/>
      </c>
      <c r="C635" s="10">
        <f t="shared" si="29"/>
        <v>44074</v>
      </c>
      <c r="D635">
        <v>2007408</v>
      </c>
      <c r="E635" t="s">
        <v>150</v>
      </c>
      <c r="F635" s="6">
        <v>44078</v>
      </c>
      <c r="H635" t="s">
        <v>180</v>
      </c>
      <c r="I635" t="s">
        <v>120</v>
      </c>
    </row>
    <row r="636" spans="1:9" x14ac:dyDescent="0.25">
      <c r="A636" s="8" t="str">
        <f t="shared" si="27"/>
        <v>2007408.Y01</v>
      </c>
      <c r="B636" s="9" t="str">
        <f t="shared" si="28"/>
        <v/>
      </c>
      <c r="C636" s="10">
        <f t="shared" si="29"/>
        <v>44074</v>
      </c>
      <c r="D636">
        <v>2007408</v>
      </c>
      <c r="E636" t="s">
        <v>132</v>
      </c>
      <c r="F636" s="6">
        <v>44078</v>
      </c>
      <c r="H636" t="s">
        <v>180</v>
      </c>
      <c r="I636" t="s">
        <v>120</v>
      </c>
    </row>
    <row r="637" spans="1:9" x14ac:dyDescent="0.25">
      <c r="A637" s="8" t="str">
        <f t="shared" si="27"/>
        <v>2007409.000</v>
      </c>
      <c r="B637" s="9" t="str">
        <f t="shared" si="28"/>
        <v/>
      </c>
      <c r="C637" s="10">
        <f t="shared" si="29"/>
        <v>44081</v>
      </c>
      <c r="D637">
        <v>2007409</v>
      </c>
      <c r="E637">
        <v>0</v>
      </c>
      <c r="F637" s="6">
        <v>44085</v>
      </c>
      <c r="H637" t="s">
        <v>180</v>
      </c>
      <c r="I637" t="s">
        <v>120</v>
      </c>
    </row>
    <row r="638" spans="1:9" x14ac:dyDescent="0.25">
      <c r="A638" s="8" t="str">
        <f t="shared" si="27"/>
        <v>2007410.HP1</v>
      </c>
      <c r="B638" s="9" t="str">
        <f t="shared" si="28"/>
        <v/>
      </c>
      <c r="C638" s="10">
        <f t="shared" si="29"/>
        <v>44102</v>
      </c>
      <c r="D638">
        <v>2007410</v>
      </c>
      <c r="E638" t="s">
        <v>129</v>
      </c>
      <c r="F638" s="6">
        <v>44106</v>
      </c>
      <c r="H638" t="s">
        <v>189</v>
      </c>
      <c r="I638" t="s">
        <v>120</v>
      </c>
    </row>
    <row r="639" spans="1:9" x14ac:dyDescent="0.25">
      <c r="A639" s="8" t="str">
        <f t="shared" si="27"/>
        <v>2007411.XP0</v>
      </c>
      <c r="B639" s="9" t="str">
        <f t="shared" si="28"/>
        <v>4</v>
      </c>
      <c r="C639" s="10">
        <f t="shared" si="29"/>
        <v>44070</v>
      </c>
      <c r="D639">
        <v>2007411</v>
      </c>
      <c r="E639" t="s">
        <v>181</v>
      </c>
      <c r="F639" s="6">
        <v>44071</v>
      </c>
      <c r="G639">
        <v>42</v>
      </c>
      <c r="H639" t="s">
        <v>180</v>
      </c>
      <c r="I639" t="s">
        <v>120</v>
      </c>
    </row>
    <row r="640" spans="1:9" x14ac:dyDescent="0.25">
      <c r="A640" s="8" t="str">
        <f t="shared" si="27"/>
        <v>2007412.0P0</v>
      </c>
      <c r="B640" s="9" t="str">
        <f t="shared" si="28"/>
        <v>4</v>
      </c>
      <c r="C640" s="10">
        <f t="shared" si="29"/>
        <v>44070</v>
      </c>
      <c r="D640">
        <v>2007412</v>
      </c>
      <c r="E640" t="s">
        <v>119</v>
      </c>
      <c r="F640" s="6">
        <v>44071</v>
      </c>
      <c r="G640">
        <v>42</v>
      </c>
      <c r="H640" t="s">
        <v>180</v>
      </c>
      <c r="I640" t="s">
        <v>120</v>
      </c>
    </row>
    <row r="641" spans="1:9" x14ac:dyDescent="0.25">
      <c r="A641" s="8" t="str">
        <f t="shared" si="27"/>
        <v>2007418.Y00</v>
      </c>
      <c r="B641" s="9" t="str">
        <f t="shared" si="28"/>
        <v/>
      </c>
      <c r="C641" s="10">
        <f t="shared" si="29"/>
        <v>44074</v>
      </c>
      <c r="D641">
        <v>2007418</v>
      </c>
      <c r="E641" t="s">
        <v>130</v>
      </c>
      <c r="F641" s="6">
        <v>44078</v>
      </c>
      <c r="H641" t="s">
        <v>180</v>
      </c>
      <c r="I641" t="s">
        <v>120</v>
      </c>
    </row>
    <row r="642" spans="1:9" x14ac:dyDescent="0.25">
      <c r="A642" s="8" t="str">
        <f t="shared" ref="A642:A705" si="30">IF(D642="","",IF(E642=0,CONCATENATE(D642,".",E642,"00"),CONCATENATE(D642,".",E642)))</f>
        <v>2007419.N00</v>
      </c>
      <c r="B642" s="9" t="str">
        <f t="shared" ref="B642:B705" si="31">LEFT(G642,1)</f>
        <v/>
      </c>
      <c r="C642" s="10">
        <f t="shared" ref="C642:C705" si="32">IF(F642="","",IF(B642="",F642-4,IF(B642="1",F642-4,IF(B642="2",F642-3,IF(B642="3",F642-2,IF(B642="4",F642-1,IF(B642="V",F642-7,IF(B642="J",F642-8,F642))))))))</f>
        <v>44074</v>
      </c>
      <c r="D642">
        <v>2007419</v>
      </c>
      <c r="E642" t="s">
        <v>125</v>
      </c>
      <c r="F642" s="6">
        <v>44078</v>
      </c>
      <c r="H642" t="s">
        <v>188</v>
      </c>
      <c r="I642" t="s">
        <v>120</v>
      </c>
    </row>
    <row r="643" spans="1:9" x14ac:dyDescent="0.25">
      <c r="A643" s="8" t="str">
        <f t="shared" si="30"/>
        <v>2007421.000</v>
      </c>
      <c r="B643" s="9" t="str">
        <f t="shared" si="31"/>
        <v>1</v>
      </c>
      <c r="C643" s="10">
        <f t="shared" si="32"/>
        <v>44074</v>
      </c>
      <c r="D643">
        <v>2007421</v>
      </c>
      <c r="E643">
        <v>0</v>
      </c>
      <c r="F643" s="6">
        <v>44078</v>
      </c>
      <c r="G643">
        <v>1</v>
      </c>
      <c r="H643" t="s">
        <v>180</v>
      </c>
      <c r="I643" t="s">
        <v>120</v>
      </c>
    </row>
    <row r="644" spans="1:9" x14ac:dyDescent="0.25">
      <c r="A644" s="8" t="str">
        <f t="shared" si="30"/>
        <v>2007422.000</v>
      </c>
      <c r="B644" s="9" t="str">
        <f t="shared" si="31"/>
        <v/>
      </c>
      <c r="C644" s="10">
        <f t="shared" si="32"/>
        <v>44109</v>
      </c>
      <c r="D644">
        <v>2007422</v>
      </c>
      <c r="E644">
        <v>0</v>
      </c>
      <c r="F644" s="6">
        <v>44113</v>
      </c>
      <c r="H644" t="s">
        <v>189</v>
      </c>
      <c r="I644" t="s">
        <v>120</v>
      </c>
    </row>
    <row r="645" spans="1:9" x14ac:dyDescent="0.25">
      <c r="A645" s="8" t="str">
        <f t="shared" si="30"/>
        <v>2007422.C00</v>
      </c>
      <c r="B645" s="9" t="str">
        <f t="shared" si="31"/>
        <v/>
      </c>
      <c r="C645" s="10">
        <f t="shared" si="32"/>
        <v>44109</v>
      </c>
      <c r="D645">
        <v>2007422</v>
      </c>
      <c r="E645" t="s">
        <v>147</v>
      </c>
      <c r="F645" s="6">
        <v>44113</v>
      </c>
      <c r="H645" t="s">
        <v>189</v>
      </c>
      <c r="I645" t="s">
        <v>120</v>
      </c>
    </row>
    <row r="646" spans="1:9" x14ac:dyDescent="0.25">
      <c r="A646" s="8" t="str">
        <f t="shared" si="30"/>
        <v>2007425.H00</v>
      </c>
      <c r="B646" s="9" t="str">
        <f t="shared" si="31"/>
        <v/>
      </c>
      <c r="C646" s="10">
        <f t="shared" si="32"/>
        <v>44074</v>
      </c>
      <c r="D646">
        <v>2007425</v>
      </c>
      <c r="E646" t="s">
        <v>122</v>
      </c>
      <c r="F646" s="6">
        <v>44078</v>
      </c>
      <c r="H646" t="s">
        <v>180</v>
      </c>
      <c r="I646" t="s">
        <v>120</v>
      </c>
    </row>
    <row r="647" spans="1:9" x14ac:dyDescent="0.25">
      <c r="A647" s="8" t="str">
        <f t="shared" si="30"/>
        <v>2007425.HPL</v>
      </c>
      <c r="B647" s="9" t="str">
        <f t="shared" si="31"/>
        <v/>
      </c>
      <c r="C647" s="10">
        <f t="shared" si="32"/>
        <v>44074</v>
      </c>
      <c r="D647">
        <v>2007425</v>
      </c>
      <c r="E647" t="s">
        <v>128</v>
      </c>
      <c r="F647" s="6">
        <v>44078</v>
      </c>
      <c r="H647" t="s">
        <v>180</v>
      </c>
      <c r="I647" t="s">
        <v>120</v>
      </c>
    </row>
    <row r="648" spans="1:9" x14ac:dyDescent="0.25">
      <c r="A648" s="8" t="str">
        <f t="shared" si="30"/>
        <v>2007425.UP1</v>
      </c>
      <c r="B648" s="9" t="str">
        <f t="shared" si="31"/>
        <v/>
      </c>
      <c r="C648" s="10">
        <f t="shared" si="32"/>
        <v>44074</v>
      </c>
      <c r="D648">
        <v>2007425</v>
      </c>
      <c r="E648" t="s">
        <v>164</v>
      </c>
      <c r="F648" s="6">
        <v>44078</v>
      </c>
      <c r="H648" t="s">
        <v>180</v>
      </c>
      <c r="I648" t="s">
        <v>120</v>
      </c>
    </row>
    <row r="649" spans="1:9" x14ac:dyDescent="0.25">
      <c r="A649" s="8" t="str">
        <f t="shared" si="30"/>
        <v>2007425.Y01</v>
      </c>
      <c r="B649" s="9" t="str">
        <f t="shared" si="31"/>
        <v/>
      </c>
      <c r="C649" s="10">
        <f t="shared" si="32"/>
        <v>44074</v>
      </c>
      <c r="D649">
        <v>2007425</v>
      </c>
      <c r="E649" t="s">
        <v>132</v>
      </c>
      <c r="F649" s="6">
        <v>44078</v>
      </c>
      <c r="H649" t="s">
        <v>180</v>
      </c>
      <c r="I649" t="s">
        <v>120</v>
      </c>
    </row>
    <row r="650" spans="1:9" x14ac:dyDescent="0.25">
      <c r="A650" s="8" t="str">
        <f t="shared" si="30"/>
        <v>2007426.000</v>
      </c>
      <c r="B650" s="9" t="str">
        <f t="shared" si="31"/>
        <v>1</v>
      </c>
      <c r="C650" s="10">
        <f t="shared" si="32"/>
        <v>44109</v>
      </c>
      <c r="D650">
        <v>2007426</v>
      </c>
      <c r="E650">
        <v>0</v>
      </c>
      <c r="F650" s="6">
        <v>44113</v>
      </c>
      <c r="G650">
        <v>1</v>
      </c>
      <c r="H650" t="s">
        <v>189</v>
      </c>
      <c r="I650" t="s">
        <v>120</v>
      </c>
    </row>
    <row r="651" spans="1:9" x14ac:dyDescent="0.25">
      <c r="A651" s="8" t="str">
        <f t="shared" si="30"/>
        <v>2007427.000</v>
      </c>
      <c r="B651" s="9" t="str">
        <f t="shared" si="31"/>
        <v/>
      </c>
      <c r="C651" s="10">
        <f t="shared" si="32"/>
        <v>44081</v>
      </c>
      <c r="D651">
        <v>2007427</v>
      </c>
      <c r="E651">
        <v>0</v>
      </c>
      <c r="F651" s="6">
        <v>44085</v>
      </c>
      <c r="H651" t="s">
        <v>191</v>
      </c>
      <c r="I651" t="s">
        <v>120</v>
      </c>
    </row>
    <row r="652" spans="1:9" x14ac:dyDescent="0.25">
      <c r="A652" s="8" t="str">
        <f t="shared" si="30"/>
        <v>2007427.C00</v>
      </c>
      <c r="B652" s="9" t="str">
        <f t="shared" si="31"/>
        <v/>
      </c>
      <c r="C652" s="10">
        <f t="shared" si="32"/>
        <v>44081</v>
      </c>
      <c r="D652">
        <v>2007427</v>
      </c>
      <c r="E652" t="s">
        <v>147</v>
      </c>
      <c r="F652" s="6">
        <v>44085</v>
      </c>
      <c r="H652" t="s">
        <v>191</v>
      </c>
      <c r="I652" t="s">
        <v>120</v>
      </c>
    </row>
    <row r="653" spans="1:9" x14ac:dyDescent="0.25">
      <c r="A653" s="8" t="str">
        <f t="shared" si="30"/>
        <v>2007427.UP0</v>
      </c>
      <c r="B653" s="9" t="str">
        <f t="shared" si="31"/>
        <v/>
      </c>
      <c r="C653" s="10">
        <f t="shared" si="32"/>
        <v>44081</v>
      </c>
      <c r="D653">
        <v>2007427</v>
      </c>
      <c r="E653" t="s">
        <v>136</v>
      </c>
      <c r="F653" s="6">
        <v>44085</v>
      </c>
      <c r="H653" t="s">
        <v>191</v>
      </c>
      <c r="I653" t="s">
        <v>120</v>
      </c>
    </row>
    <row r="654" spans="1:9" x14ac:dyDescent="0.25">
      <c r="A654" s="8" t="str">
        <f t="shared" si="30"/>
        <v>2007427.Y00</v>
      </c>
      <c r="B654" s="9" t="str">
        <f t="shared" si="31"/>
        <v/>
      </c>
      <c r="C654" s="10">
        <f t="shared" si="32"/>
        <v>44081</v>
      </c>
      <c r="D654">
        <v>2007427</v>
      </c>
      <c r="E654" t="s">
        <v>130</v>
      </c>
      <c r="F654" s="6">
        <v>44085</v>
      </c>
      <c r="H654" t="s">
        <v>191</v>
      </c>
      <c r="I654" t="s">
        <v>120</v>
      </c>
    </row>
    <row r="655" spans="1:9" x14ac:dyDescent="0.25">
      <c r="A655" s="8" t="str">
        <f t="shared" si="30"/>
        <v>2007430.X00</v>
      </c>
      <c r="B655" s="9" t="str">
        <f t="shared" si="31"/>
        <v>3</v>
      </c>
      <c r="C655" s="10">
        <f t="shared" si="32"/>
        <v>44041</v>
      </c>
      <c r="D655">
        <v>2007430</v>
      </c>
      <c r="E655" t="s">
        <v>225</v>
      </c>
      <c r="F655" s="6">
        <v>44043</v>
      </c>
      <c r="G655">
        <v>36</v>
      </c>
      <c r="H655" t="s">
        <v>180</v>
      </c>
      <c r="I655" t="s">
        <v>120</v>
      </c>
    </row>
    <row r="656" spans="1:9" x14ac:dyDescent="0.25">
      <c r="A656" s="8" t="str">
        <f t="shared" si="30"/>
        <v>2007432.000</v>
      </c>
      <c r="B656" s="9" t="str">
        <f t="shared" si="31"/>
        <v/>
      </c>
      <c r="C656" s="10">
        <f t="shared" si="32"/>
        <v>44102</v>
      </c>
      <c r="D656">
        <v>2007432</v>
      </c>
      <c r="E656">
        <v>0</v>
      </c>
      <c r="F656" s="6">
        <v>44106</v>
      </c>
      <c r="H656" t="s">
        <v>180</v>
      </c>
      <c r="I656" t="s">
        <v>120</v>
      </c>
    </row>
    <row r="657" spans="1:9" x14ac:dyDescent="0.25">
      <c r="A657" s="8" t="str">
        <f t="shared" si="30"/>
        <v>2007432.H00</v>
      </c>
      <c r="B657" s="9" t="str">
        <f t="shared" si="31"/>
        <v/>
      </c>
      <c r="C657" s="10">
        <f t="shared" si="32"/>
        <v>44102</v>
      </c>
      <c r="D657">
        <v>2007432</v>
      </c>
      <c r="E657" t="s">
        <v>122</v>
      </c>
      <c r="F657" s="6">
        <v>44106</v>
      </c>
      <c r="H657" t="s">
        <v>189</v>
      </c>
      <c r="I657" t="s">
        <v>120</v>
      </c>
    </row>
    <row r="658" spans="1:9" x14ac:dyDescent="0.25">
      <c r="A658" s="8" t="str">
        <f t="shared" si="30"/>
        <v>2007443.H00</v>
      </c>
      <c r="B658" s="9" t="str">
        <f t="shared" si="31"/>
        <v>3</v>
      </c>
      <c r="C658" s="10">
        <f t="shared" si="32"/>
        <v>44069</v>
      </c>
      <c r="D658">
        <v>2007443</v>
      </c>
      <c r="E658" t="s">
        <v>122</v>
      </c>
      <c r="F658" s="6">
        <v>44071</v>
      </c>
      <c r="G658">
        <v>34</v>
      </c>
      <c r="H658" t="s">
        <v>180</v>
      </c>
      <c r="I658" t="s">
        <v>120</v>
      </c>
    </row>
    <row r="659" spans="1:9" x14ac:dyDescent="0.25">
      <c r="A659" s="8" t="str">
        <f t="shared" si="30"/>
        <v>2007444.000</v>
      </c>
      <c r="B659" s="9" t="str">
        <f t="shared" si="31"/>
        <v/>
      </c>
      <c r="C659" s="10">
        <f t="shared" si="32"/>
        <v>44088</v>
      </c>
      <c r="D659">
        <v>2007444</v>
      </c>
      <c r="E659">
        <v>0</v>
      </c>
      <c r="F659" s="6">
        <v>44092</v>
      </c>
      <c r="H659" t="s">
        <v>180</v>
      </c>
      <c r="I659" t="s">
        <v>120</v>
      </c>
    </row>
    <row r="660" spans="1:9" x14ac:dyDescent="0.25">
      <c r="A660" s="8" t="str">
        <f t="shared" si="30"/>
        <v>2007450.U0L</v>
      </c>
      <c r="B660" s="9" t="str">
        <f t="shared" si="31"/>
        <v>1</v>
      </c>
      <c r="C660" s="10">
        <f t="shared" si="32"/>
        <v>44081</v>
      </c>
      <c r="D660">
        <v>2007450</v>
      </c>
      <c r="E660" t="s">
        <v>263</v>
      </c>
      <c r="F660" s="6">
        <v>44085</v>
      </c>
      <c r="G660">
        <v>1</v>
      </c>
      <c r="H660" t="s">
        <v>189</v>
      </c>
      <c r="I660" t="s">
        <v>120</v>
      </c>
    </row>
    <row r="661" spans="1:9" x14ac:dyDescent="0.25">
      <c r="A661" s="8" t="str">
        <f t="shared" si="30"/>
        <v>2007452.U02</v>
      </c>
      <c r="B661" s="9" t="str">
        <f t="shared" si="31"/>
        <v>2</v>
      </c>
      <c r="C661" s="10">
        <f t="shared" si="32"/>
        <v>44068</v>
      </c>
      <c r="D661">
        <v>2007452</v>
      </c>
      <c r="E661" t="s">
        <v>149</v>
      </c>
      <c r="F661" s="6">
        <v>44071</v>
      </c>
      <c r="G661">
        <v>25</v>
      </c>
      <c r="H661" t="s">
        <v>180</v>
      </c>
      <c r="I661" t="s">
        <v>120</v>
      </c>
    </row>
    <row r="662" spans="1:9" x14ac:dyDescent="0.25">
      <c r="A662" s="8" t="str">
        <f t="shared" si="30"/>
        <v>2007452.Z00</v>
      </c>
      <c r="B662" s="9" t="str">
        <f t="shared" si="31"/>
        <v>2</v>
      </c>
      <c r="C662" s="10">
        <f t="shared" si="32"/>
        <v>44068</v>
      </c>
      <c r="D662">
        <v>2007452</v>
      </c>
      <c r="E662" t="s">
        <v>158</v>
      </c>
      <c r="F662" s="6">
        <v>44071</v>
      </c>
      <c r="G662">
        <v>25</v>
      </c>
      <c r="H662" t="s">
        <v>180</v>
      </c>
      <c r="I662" t="s">
        <v>120</v>
      </c>
    </row>
    <row r="663" spans="1:9" x14ac:dyDescent="0.25">
      <c r="A663" s="8" t="str">
        <f t="shared" si="30"/>
        <v>2007456.XP0</v>
      </c>
      <c r="B663" s="9" t="str">
        <f t="shared" si="31"/>
        <v>2</v>
      </c>
      <c r="C663" s="10">
        <f t="shared" si="32"/>
        <v>44068</v>
      </c>
      <c r="D663">
        <v>2007456</v>
      </c>
      <c r="E663" t="s">
        <v>181</v>
      </c>
      <c r="F663" s="6">
        <v>44071</v>
      </c>
      <c r="G663">
        <v>21</v>
      </c>
      <c r="H663" t="s">
        <v>180</v>
      </c>
      <c r="I663" t="s">
        <v>120</v>
      </c>
    </row>
    <row r="664" spans="1:9" x14ac:dyDescent="0.25">
      <c r="A664" s="8" t="str">
        <f t="shared" si="30"/>
        <v>2007462.UP0</v>
      </c>
      <c r="B664" s="9" t="str">
        <f t="shared" si="31"/>
        <v/>
      </c>
      <c r="C664" s="10">
        <f t="shared" si="32"/>
        <v>44074</v>
      </c>
      <c r="D664">
        <v>2007462</v>
      </c>
      <c r="E664" t="s">
        <v>136</v>
      </c>
      <c r="F664" s="6">
        <v>44078</v>
      </c>
      <c r="H664" t="s">
        <v>180</v>
      </c>
      <c r="I664" t="s">
        <v>120</v>
      </c>
    </row>
    <row r="665" spans="1:9" x14ac:dyDescent="0.25">
      <c r="A665" s="8" t="str">
        <f t="shared" si="30"/>
        <v>2007464.U00</v>
      </c>
      <c r="B665" s="9" t="str">
        <f t="shared" si="31"/>
        <v/>
      </c>
      <c r="C665" s="10">
        <f t="shared" si="32"/>
        <v>44074</v>
      </c>
      <c r="D665">
        <v>2007464</v>
      </c>
      <c r="E665" t="s">
        <v>131</v>
      </c>
      <c r="F665" s="6">
        <v>44078</v>
      </c>
      <c r="H665" t="s">
        <v>180</v>
      </c>
      <c r="I665" t="s">
        <v>120</v>
      </c>
    </row>
    <row r="666" spans="1:9" x14ac:dyDescent="0.25">
      <c r="A666" s="8" t="str">
        <f t="shared" si="30"/>
        <v>2007464.UP0</v>
      </c>
      <c r="B666" s="9" t="str">
        <f t="shared" si="31"/>
        <v/>
      </c>
      <c r="C666" s="10">
        <f t="shared" si="32"/>
        <v>44074</v>
      </c>
      <c r="D666">
        <v>2007464</v>
      </c>
      <c r="E666" t="s">
        <v>136</v>
      </c>
      <c r="F666" s="6">
        <v>44078</v>
      </c>
      <c r="H666" t="s">
        <v>180</v>
      </c>
      <c r="I666" t="s">
        <v>120</v>
      </c>
    </row>
    <row r="667" spans="1:9" x14ac:dyDescent="0.25">
      <c r="A667" s="8" t="str">
        <f t="shared" si="30"/>
        <v>2007465.UP0</v>
      </c>
      <c r="B667" s="9" t="str">
        <f t="shared" si="31"/>
        <v/>
      </c>
      <c r="C667" s="10">
        <f t="shared" si="32"/>
        <v>44074</v>
      </c>
      <c r="D667">
        <v>2007465</v>
      </c>
      <c r="E667" t="s">
        <v>136</v>
      </c>
      <c r="F667" s="6">
        <v>44078</v>
      </c>
      <c r="H667" t="s">
        <v>180</v>
      </c>
      <c r="I667" t="s">
        <v>120</v>
      </c>
    </row>
    <row r="668" spans="1:9" x14ac:dyDescent="0.25">
      <c r="A668" s="8" t="str">
        <f t="shared" si="30"/>
        <v>2007466.YJ0</v>
      </c>
      <c r="B668" s="9" t="str">
        <f t="shared" si="31"/>
        <v/>
      </c>
      <c r="C668" s="10">
        <f t="shared" si="32"/>
        <v>44074</v>
      </c>
      <c r="D668">
        <v>2007466</v>
      </c>
      <c r="E668" t="s">
        <v>307</v>
      </c>
      <c r="F668" s="6">
        <v>44078</v>
      </c>
      <c r="H668" t="s">
        <v>180</v>
      </c>
      <c r="I668" t="s">
        <v>120</v>
      </c>
    </row>
    <row r="669" spans="1:9" x14ac:dyDescent="0.25">
      <c r="A669" s="8" t="str">
        <f t="shared" si="30"/>
        <v>2007470.Y00</v>
      </c>
      <c r="B669" s="9" t="str">
        <f t="shared" si="31"/>
        <v/>
      </c>
      <c r="C669" s="10">
        <f t="shared" si="32"/>
        <v>44074</v>
      </c>
      <c r="D669">
        <v>2007470</v>
      </c>
      <c r="E669" t="s">
        <v>130</v>
      </c>
      <c r="F669" s="6">
        <v>44078</v>
      </c>
      <c r="H669" t="s">
        <v>180</v>
      </c>
      <c r="I669" t="s">
        <v>120</v>
      </c>
    </row>
    <row r="670" spans="1:9" x14ac:dyDescent="0.25">
      <c r="A670" s="8" t="str">
        <f t="shared" si="30"/>
        <v>2007472.X00</v>
      </c>
      <c r="B670" s="9" t="str">
        <f t="shared" si="31"/>
        <v>1</v>
      </c>
      <c r="C670" s="10">
        <f t="shared" si="32"/>
        <v>44074</v>
      </c>
      <c r="D670">
        <v>2007472</v>
      </c>
      <c r="E670" t="s">
        <v>225</v>
      </c>
      <c r="F670" s="6">
        <v>44078</v>
      </c>
      <c r="G670">
        <v>1</v>
      </c>
      <c r="H670" t="s">
        <v>180</v>
      </c>
      <c r="I670" t="s">
        <v>120</v>
      </c>
    </row>
    <row r="671" spans="1:9" x14ac:dyDescent="0.25">
      <c r="A671" s="8" t="str">
        <f t="shared" si="30"/>
        <v>2007472.XP0</v>
      </c>
      <c r="B671" s="9" t="str">
        <f t="shared" si="31"/>
        <v>1</v>
      </c>
      <c r="C671" s="10">
        <f t="shared" si="32"/>
        <v>44074</v>
      </c>
      <c r="D671">
        <v>2007472</v>
      </c>
      <c r="E671" t="s">
        <v>181</v>
      </c>
      <c r="F671" s="6">
        <v>44078</v>
      </c>
      <c r="G671">
        <v>1</v>
      </c>
      <c r="H671" t="s">
        <v>180</v>
      </c>
      <c r="I671" t="s">
        <v>120</v>
      </c>
    </row>
    <row r="672" spans="1:9" x14ac:dyDescent="0.25">
      <c r="A672" s="8" t="str">
        <f t="shared" si="30"/>
        <v>2007473.RELI</v>
      </c>
      <c r="B672" s="9" t="str">
        <f t="shared" si="31"/>
        <v/>
      </c>
      <c r="C672" s="10">
        <f t="shared" si="32"/>
        <v>44067</v>
      </c>
      <c r="D672">
        <v>2007473</v>
      </c>
      <c r="E672" t="s">
        <v>230</v>
      </c>
      <c r="F672" s="6">
        <v>44071</v>
      </c>
      <c r="H672" t="s">
        <v>188</v>
      </c>
      <c r="I672" t="s">
        <v>120</v>
      </c>
    </row>
    <row r="673" spans="1:9" x14ac:dyDescent="0.25">
      <c r="A673" s="8" t="str">
        <f t="shared" si="30"/>
        <v>2007476.Z00</v>
      </c>
      <c r="B673" s="9" t="str">
        <f t="shared" si="31"/>
        <v/>
      </c>
      <c r="C673" s="10">
        <f t="shared" si="32"/>
        <v>44074</v>
      </c>
      <c r="D673">
        <v>2007476</v>
      </c>
      <c r="E673" t="s">
        <v>158</v>
      </c>
      <c r="F673" s="6">
        <v>44078</v>
      </c>
      <c r="H673" t="s">
        <v>180</v>
      </c>
      <c r="I673" t="s">
        <v>120</v>
      </c>
    </row>
    <row r="674" spans="1:9" x14ac:dyDescent="0.25">
      <c r="A674" s="8" t="str">
        <f t="shared" si="30"/>
        <v>2007478.Y00</v>
      </c>
      <c r="B674" s="9" t="str">
        <f t="shared" si="31"/>
        <v/>
      </c>
      <c r="C674" s="10">
        <f t="shared" si="32"/>
        <v>44074</v>
      </c>
      <c r="D674">
        <v>2007478</v>
      </c>
      <c r="E674" t="s">
        <v>130</v>
      </c>
      <c r="F674" s="6">
        <v>44078</v>
      </c>
      <c r="H674" t="s">
        <v>180</v>
      </c>
      <c r="I674" t="s">
        <v>120</v>
      </c>
    </row>
    <row r="675" spans="1:9" x14ac:dyDescent="0.25">
      <c r="A675" s="8" t="str">
        <f t="shared" si="30"/>
        <v>2007480.000</v>
      </c>
      <c r="B675" s="9" t="str">
        <f t="shared" si="31"/>
        <v/>
      </c>
      <c r="C675" s="10">
        <f t="shared" si="32"/>
        <v>44039</v>
      </c>
      <c r="D675">
        <v>2007480</v>
      </c>
      <c r="E675">
        <v>0</v>
      </c>
      <c r="F675" s="6">
        <v>44043</v>
      </c>
      <c r="H675" t="s">
        <v>191</v>
      </c>
      <c r="I675" t="s">
        <v>120</v>
      </c>
    </row>
    <row r="676" spans="1:9" x14ac:dyDescent="0.25">
      <c r="A676" s="8" t="str">
        <f t="shared" si="30"/>
        <v>2007483.H01</v>
      </c>
      <c r="B676" s="9" t="str">
        <f t="shared" si="31"/>
        <v/>
      </c>
      <c r="C676" s="10">
        <f t="shared" si="32"/>
        <v>44074</v>
      </c>
      <c r="D676">
        <v>2007483</v>
      </c>
      <c r="E676" t="s">
        <v>145</v>
      </c>
      <c r="F676" s="6">
        <v>44078</v>
      </c>
      <c r="H676" t="s">
        <v>180</v>
      </c>
      <c r="I676" t="s">
        <v>120</v>
      </c>
    </row>
    <row r="677" spans="1:9" x14ac:dyDescent="0.25">
      <c r="A677" s="8" t="str">
        <f t="shared" si="30"/>
        <v>2007483.Y01</v>
      </c>
      <c r="B677" s="9" t="str">
        <f t="shared" si="31"/>
        <v/>
      </c>
      <c r="C677" s="10">
        <f t="shared" si="32"/>
        <v>44074</v>
      </c>
      <c r="D677">
        <v>2007483</v>
      </c>
      <c r="E677" t="s">
        <v>132</v>
      </c>
      <c r="F677" s="6">
        <v>44078</v>
      </c>
      <c r="H677" t="s">
        <v>180</v>
      </c>
      <c r="I677" t="s">
        <v>120</v>
      </c>
    </row>
    <row r="678" spans="1:9" x14ac:dyDescent="0.25">
      <c r="A678" s="8" t="str">
        <f t="shared" si="30"/>
        <v>2007485.H00</v>
      </c>
      <c r="B678" s="9" t="str">
        <f t="shared" si="31"/>
        <v/>
      </c>
      <c r="C678" s="10">
        <f t="shared" si="32"/>
        <v>44074</v>
      </c>
      <c r="D678">
        <v>2007485</v>
      </c>
      <c r="E678" t="s">
        <v>122</v>
      </c>
      <c r="F678" s="6">
        <v>44078</v>
      </c>
      <c r="H678" t="s">
        <v>180</v>
      </c>
      <c r="I678" t="s">
        <v>120</v>
      </c>
    </row>
    <row r="679" spans="1:9" x14ac:dyDescent="0.25">
      <c r="A679" s="8" t="str">
        <f t="shared" si="30"/>
        <v>2007485.HP0</v>
      </c>
      <c r="B679" s="9" t="str">
        <f t="shared" si="31"/>
        <v/>
      </c>
      <c r="C679" s="10">
        <f t="shared" si="32"/>
        <v>44074</v>
      </c>
      <c r="D679">
        <v>2007485</v>
      </c>
      <c r="E679" t="s">
        <v>121</v>
      </c>
      <c r="F679" s="6">
        <v>44078</v>
      </c>
      <c r="H679" t="s">
        <v>180</v>
      </c>
      <c r="I679" t="s">
        <v>120</v>
      </c>
    </row>
    <row r="680" spans="1:9" x14ac:dyDescent="0.25">
      <c r="A680" s="8" t="str">
        <f t="shared" si="30"/>
        <v>2007485.Y01</v>
      </c>
      <c r="B680" s="9" t="str">
        <f t="shared" si="31"/>
        <v/>
      </c>
      <c r="C680" s="10">
        <f t="shared" si="32"/>
        <v>44074</v>
      </c>
      <c r="D680">
        <v>2007485</v>
      </c>
      <c r="E680" t="s">
        <v>132</v>
      </c>
      <c r="F680" s="6">
        <v>44078</v>
      </c>
      <c r="H680" t="s">
        <v>180</v>
      </c>
      <c r="I680" t="s">
        <v>120</v>
      </c>
    </row>
    <row r="681" spans="1:9" x14ac:dyDescent="0.25">
      <c r="A681" s="8" t="str">
        <f t="shared" si="30"/>
        <v>2007486.U01</v>
      </c>
      <c r="B681" s="9" t="str">
        <f t="shared" si="31"/>
        <v/>
      </c>
      <c r="C681" s="10">
        <f t="shared" si="32"/>
        <v>44074</v>
      </c>
      <c r="D681">
        <v>2007486</v>
      </c>
      <c r="E681" t="s">
        <v>150</v>
      </c>
      <c r="F681" s="6">
        <v>44078</v>
      </c>
      <c r="H681" t="s">
        <v>180</v>
      </c>
      <c r="I681" t="s">
        <v>120</v>
      </c>
    </row>
    <row r="682" spans="1:9" x14ac:dyDescent="0.25">
      <c r="A682" s="8" t="str">
        <f t="shared" si="30"/>
        <v>2007487.H00</v>
      </c>
      <c r="B682" s="9" t="str">
        <f t="shared" si="31"/>
        <v>1</v>
      </c>
      <c r="C682" s="10">
        <f t="shared" si="32"/>
        <v>44088</v>
      </c>
      <c r="D682">
        <v>2007487</v>
      </c>
      <c r="E682" t="s">
        <v>122</v>
      </c>
      <c r="F682" s="6">
        <v>44092</v>
      </c>
      <c r="G682">
        <v>11</v>
      </c>
      <c r="H682" t="s">
        <v>192</v>
      </c>
      <c r="I682" t="s">
        <v>120</v>
      </c>
    </row>
    <row r="683" spans="1:9" x14ac:dyDescent="0.25">
      <c r="A683" s="8" t="str">
        <f t="shared" si="30"/>
        <v>2007489.H00</v>
      </c>
      <c r="B683" s="9" t="str">
        <f t="shared" si="31"/>
        <v/>
      </c>
      <c r="C683" s="10">
        <f t="shared" si="32"/>
        <v>44074</v>
      </c>
      <c r="D683">
        <v>2007489</v>
      </c>
      <c r="E683" t="s">
        <v>122</v>
      </c>
      <c r="F683" s="6">
        <v>44078</v>
      </c>
      <c r="H683" t="s">
        <v>180</v>
      </c>
      <c r="I683" t="s">
        <v>120</v>
      </c>
    </row>
    <row r="684" spans="1:9" x14ac:dyDescent="0.25">
      <c r="A684" s="8" t="str">
        <f t="shared" si="30"/>
        <v>2007489.Y01</v>
      </c>
      <c r="B684" s="9" t="str">
        <f t="shared" si="31"/>
        <v/>
      </c>
      <c r="C684" s="10">
        <f t="shared" si="32"/>
        <v>44074</v>
      </c>
      <c r="D684">
        <v>2007489</v>
      </c>
      <c r="E684" t="s">
        <v>132</v>
      </c>
      <c r="F684" s="6">
        <v>44078</v>
      </c>
      <c r="H684" t="s">
        <v>189</v>
      </c>
      <c r="I684" t="s">
        <v>120</v>
      </c>
    </row>
    <row r="685" spans="1:9" x14ac:dyDescent="0.25">
      <c r="A685" s="8" t="str">
        <f t="shared" si="30"/>
        <v>2007490.KP1</v>
      </c>
      <c r="B685" s="9" t="str">
        <f t="shared" si="31"/>
        <v/>
      </c>
      <c r="C685" s="10">
        <f t="shared" si="32"/>
        <v>44081</v>
      </c>
      <c r="D685">
        <v>2007490</v>
      </c>
      <c r="E685" t="s">
        <v>285</v>
      </c>
      <c r="F685" s="6">
        <v>44085</v>
      </c>
      <c r="H685" t="s">
        <v>180</v>
      </c>
      <c r="I685" t="s">
        <v>120</v>
      </c>
    </row>
    <row r="686" spans="1:9" x14ac:dyDescent="0.25">
      <c r="A686" s="8" t="str">
        <f t="shared" si="30"/>
        <v>2007491.U00</v>
      </c>
      <c r="B686" s="9" t="str">
        <f t="shared" si="31"/>
        <v/>
      </c>
      <c r="C686" s="10">
        <f t="shared" si="32"/>
        <v>44074</v>
      </c>
      <c r="D686">
        <v>2007491</v>
      </c>
      <c r="E686" t="s">
        <v>131</v>
      </c>
      <c r="F686" s="6">
        <v>44078</v>
      </c>
      <c r="H686" t="s">
        <v>180</v>
      </c>
      <c r="I686" t="s">
        <v>120</v>
      </c>
    </row>
    <row r="687" spans="1:9" x14ac:dyDescent="0.25">
      <c r="A687" s="8" t="str">
        <f t="shared" si="30"/>
        <v>2007494.UP2</v>
      </c>
      <c r="B687" s="9" t="str">
        <f t="shared" si="31"/>
        <v/>
      </c>
      <c r="C687" s="10">
        <f t="shared" si="32"/>
        <v>44081</v>
      </c>
      <c r="D687">
        <v>2007494</v>
      </c>
      <c r="E687" t="s">
        <v>160</v>
      </c>
      <c r="F687" s="6">
        <v>44085</v>
      </c>
      <c r="H687" t="s">
        <v>180</v>
      </c>
      <c r="I687" t="s">
        <v>120</v>
      </c>
    </row>
    <row r="688" spans="1:9" x14ac:dyDescent="0.25">
      <c r="A688" s="8" t="str">
        <f t="shared" si="30"/>
        <v>2007494.Y02</v>
      </c>
      <c r="B688" s="9" t="str">
        <f t="shared" si="31"/>
        <v/>
      </c>
      <c r="C688" s="10">
        <f t="shared" si="32"/>
        <v>44081</v>
      </c>
      <c r="D688">
        <v>2007494</v>
      </c>
      <c r="E688" t="s">
        <v>144</v>
      </c>
      <c r="F688" s="6">
        <v>44085</v>
      </c>
      <c r="H688" t="s">
        <v>189</v>
      </c>
      <c r="I688" t="s">
        <v>120</v>
      </c>
    </row>
    <row r="689" spans="1:9" x14ac:dyDescent="0.25">
      <c r="A689" s="8" t="str">
        <f t="shared" si="30"/>
        <v>2007496.H00</v>
      </c>
      <c r="B689" s="9" t="str">
        <f t="shared" si="31"/>
        <v/>
      </c>
      <c r="C689" s="10">
        <f t="shared" si="32"/>
        <v>44074</v>
      </c>
      <c r="D689">
        <v>2007496</v>
      </c>
      <c r="E689" t="s">
        <v>122</v>
      </c>
      <c r="F689" s="6">
        <v>44078</v>
      </c>
      <c r="H689" t="s">
        <v>180</v>
      </c>
      <c r="I689" t="s">
        <v>120</v>
      </c>
    </row>
    <row r="690" spans="1:9" x14ac:dyDescent="0.25">
      <c r="A690" s="8" t="str">
        <f t="shared" si="30"/>
        <v>2007498.000</v>
      </c>
      <c r="B690" s="9" t="str">
        <f t="shared" si="31"/>
        <v/>
      </c>
      <c r="C690" s="10">
        <f t="shared" si="32"/>
        <v>44074</v>
      </c>
      <c r="D690">
        <v>2007498</v>
      </c>
      <c r="E690">
        <v>0</v>
      </c>
      <c r="F690" s="6">
        <v>44078</v>
      </c>
      <c r="H690" t="s">
        <v>180</v>
      </c>
      <c r="I690" t="s">
        <v>120</v>
      </c>
    </row>
    <row r="691" spans="1:9" x14ac:dyDescent="0.25">
      <c r="A691" s="8" t="str">
        <f t="shared" si="30"/>
        <v>2007507.000</v>
      </c>
      <c r="B691" s="9" t="str">
        <f t="shared" si="31"/>
        <v/>
      </c>
      <c r="C691" s="10">
        <f t="shared" si="32"/>
        <v>44039</v>
      </c>
      <c r="D691">
        <v>2007507</v>
      </c>
      <c r="E691">
        <v>0</v>
      </c>
      <c r="F691" s="6">
        <v>44043</v>
      </c>
      <c r="H691" t="s">
        <v>191</v>
      </c>
      <c r="I691" t="s">
        <v>120</v>
      </c>
    </row>
    <row r="692" spans="1:9" x14ac:dyDescent="0.25">
      <c r="A692" s="8" t="str">
        <f t="shared" si="30"/>
        <v>2007508.000</v>
      </c>
      <c r="B692" s="9" t="str">
        <f t="shared" si="31"/>
        <v/>
      </c>
      <c r="C692" s="10">
        <f t="shared" si="32"/>
        <v>44032</v>
      </c>
      <c r="D692">
        <v>2007508</v>
      </c>
      <c r="E692">
        <v>0</v>
      </c>
      <c r="F692" s="6">
        <v>44036</v>
      </c>
      <c r="H692" t="s">
        <v>191</v>
      </c>
      <c r="I692" t="s">
        <v>120</v>
      </c>
    </row>
    <row r="693" spans="1:9" x14ac:dyDescent="0.25">
      <c r="A693" s="8" t="str">
        <f t="shared" si="30"/>
        <v>2007510.H00</v>
      </c>
      <c r="B693" s="9" t="str">
        <f t="shared" si="31"/>
        <v>4</v>
      </c>
      <c r="C693" s="10">
        <f t="shared" si="32"/>
        <v>44091</v>
      </c>
      <c r="D693">
        <v>2007510</v>
      </c>
      <c r="E693" t="s">
        <v>122</v>
      </c>
      <c r="F693" s="6">
        <v>44092</v>
      </c>
      <c r="G693">
        <v>4</v>
      </c>
      <c r="H693" t="s">
        <v>189</v>
      </c>
      <c r="I693" t="s">
        <v>120</v>
      </c>
    </row>
    <row r="694" spans="1:9" x14ac:dyDescent="0.25">
      <c r="A694" s="8" t="str">
        <f t="shared" si="30"/>
        <v>2007511.ZP3</v>
      </c>
      <c r="B694" s="9" t="str">
        <f t="shared" si="31"/>
        <v>V</v>
      </c>
      <c r="C694" s="10">
        <f t="shared" si="32"/>
        <v>44064</v>
      </c>
      <c r="D694">
        <v>2007511</v>
      </c>
      <c r="E694" t="s">
        <v>140</v>
      </c>
      <c r="F694" s="6">
        <v>44071</v>
      </c>
      <c r="G694" t="s">
        <v>155</v>
      </c>
      <c r="H694" t="s">
        <v>180</v>
      </c>
      <c r="I694" t="s">
        <v>120</v>
      </c>
    </row>
    <row r="695" spans="1:9" x14ac:dyDescent="0.25">
      <c r="A695" s="8" t="str">
        <f t="shared" si="30"/>
        <v>2007516.N00</v>
      </c>
      <c r="B695" s="9" t="str">
        <f t="shared" si="31"/>
        <v>4</v>
      </c>
      <c r="C695" s="10">
        <f t="shared" si="32"/>
        <v>44077</v>
      </c>
      <c r="D695">
        <v>2007516</v>
      </c>
      <c r="E695" t="s">
        <v>125</v>
      </c>
      <c r="F695" s="6">
        <v>44078</v>
      </c>
      <c r="G695">
        <v>41</v>
      </c>
      <c r="H695" t="s">
        <v>194</v>
      </c>
      <c r="I695" t="s">
        <v>120</v>
      </c>
    </row>
    <row r="696" spans="1:9" x14ac:dyDescent="0.25">
      <c r="A696" s="8" t="str">
        <f t="shared" si="30"/>
        <v>2007518.000</v>
      </c>
      <c r="B696" s="9" t="str">
        <f t="shared" si="31"/>
        <v>2</v>
      </c>
      <c r="C696" s="10">
        <f t="shared" si="32"/>
        <v>44103</v>
      </c>
      <c r="D696">
        <v>2007518</v>
      </c>
      <c r="E696">
        <v>0</v>
      </c>
      <c r="F696" s="6">
        <v>44106</v>
      </c>
      <c r="G696">
        <v>2</v>
      </c>
      <c r="H696" t="s">
        <v>189</v>
      </c>
      <c r="I696" t="s">
        <v>120</v>
      </c>
    </row>
    <row r="697" spans="1:9" x14ac:dyDescent="0.25">
      <c r="A697" s="8" t="str">
        <f t="shared" si="30"/>
        <v>2007518.KP0</v>
      </c>
      <c r="B697" s="9" t="str">
        <f t="shared" si="31"/>
        <v>2</v>
      </c>
      <c r="C697" s="10">
        <f t="shared" si="32"/>
        <v>44103</v>
      </c>
      <c r="D697">
        <v>2007518</v>
      </c>
      <c r="E697" t="s">
        <v>270</v>
      </c>
      <c r="F697" s="6">
        <v>44106</v>
      </c>
      <c r="G697">
        <v>2</v>
      </c>
      <c r="H697" t="s">
        <v>189</v>
      </c>
      <c r="I697" t="s">
        <v>120</v>
      </c>
    </row>
    <row r="698" spans="1:9" x14ac:dyDescent="0.25">
      <c r="A698" s="8" t="str">
        <f t="shared" si="30"/>
        <v>2007521.U01</v>
      </c>
      <c r="B698" s="9" t="str">
        <f t="shared" si="31"/>
        <v/>
      </c>
      <c r="C698" s="10">
        <f t="shared" si="32"/>
        <v>44081</v>
      </c>
      <c r="D698">
        <v>2007521</v>
      </c>
      <c r="E698" t="s">
        <v>150</v>
      </c>
      <c r="F698" s="6">
        <v>44085</v>
      </c>
      <c r="H698" t="s">
        <v>189</v>
      </c>
      <c r="I698" t="s">
        <v>120</v>
      </c>
    </row>
    <row r="699" spans="1:9" x14ac:dyDescent="0.25">
      <c r="A699" s="8" t="str">
        <f t="shared" si="30"/>
        <v>2007522.000</v>
      </c>
      <c r="B699" s="9" t="str">
        <f t="shared" si="31"/>
        <v>4</v>
      </c>
      <c r="C699" s="10">
        <f t="shared" si="32"/>
        <v>44077</v>
      </c>
      <c r="D699">
        <v>2007522</v>
      </c>
      <c r="E699">
        <v>0</v>
      </c>
      <c r="F699" s="6">
        <v>44078</v>
      </c>
      <c r="G699">
        <v>4</v>
      </c>
      <c r="H699" t="s">
        <v>180</v>
      </c>
      <c r="I699" t="s">
        <v>120</v>
      </c>
    </row>
    <row r="700" spans="1:9" x14ac:dyDescent="0.25">
      <c r="A700" s="8" t="str">
        <f t="shared" si="30"/>
        <v>2007522.Y00</v>
      </c>
      <c r="B700" s="9" t="str">
        <f t="shared" si="31"/>
        <v>4</v>
      </c>
      <c r="C700" s="10">
        <f t="shared" si="32"/>
        <v>44077</v>
      </c>
      <c r="D700">
        <v>2007522</v>
      </c>
      <c r="E700" t="s">
        <v>130</v>
      </c>
      <c r="F700" s="6">
        <v>44078</v>
      </c>
      <c r="G700">
        <v>4</v>
      </c>
      <c r="H700" t="s">
        <v>180</v>
      </c>
      <c r="I700" t="s">
        <v>120</v>
      </c>
    </row>
    <row r="701" spans="1:9" x14ac:dyDescent="0.25">
      <c r="A701" s="8" t="str">
        <f t="shared" si="30"/>
        <v>2007525.U00</v>
      </c>
      <c r="B701" s="9" t="str">
        <f t="shared" si="31"/>
        <v/>
      </c>
      <c r="C701" s="10">
        <f t="shared" si="32"/>
        <v>44074</v>
      </c>
      <c r="D701">
        <v>2007525</v>
      </c>
      <c r="E701" t="s">
        <v>131</v>
      </c>
      <c r="F701" s="6">
        <v>44078</v>
      </c>
      <c r="H701" t="s">
        <v>180</v>
      </c>
      <c r="I701" t="s">
        <v>120</v>
      </c>
    </row>
    <row r="702" spans="1:9" x14ac:dyDescent="0.25">
      <c r="A702" s="8" t="str">
        <f t="shared" si="30"/>
        <v>2007526.000</v>
      </c>
      <c r="B702" s="9" t="str">
        <f t="shared" si="31"/>
        <v>2</v>
      </c>
      <c r="C702" s="10">
        <f t="shared" si="32"/>
        <v>44068</v>
      </c>
      <c r="D702">
        <v>2007526</v>
      </c>
      <c r="E702">
        <v>0</v>
      </c>
      <c r="F702" s="6">
        <v>44071</v>
      </c>
      <c r="G702">
        <v>23</v>
      </c>
      <c r="H702" t="s">
        <v>180</v>
      </c>
      <c r="I702" t="s">
        <v>120</v>
      </c>
    </row>
    <row r="703" spans="1:9" x14ac:dyDescent="0.25">
      <c r="A703" s="8" t="str">
        <f t="shared" si="30"/>
        <v>2007526.0P0</v>
      </c>
      <c r="B703" s="9" t="str">
        <f t="shared" si="31"/>
        <v>2</v>
      </c>
      <c r="C703" s="10">
        <f t="shared" si="32"/>
        <v>44068</v>
      </c>
      <c r="D703">
        <v>2007526</v>
      </c>
      <c r="E703" t="s">
        <v>119</v>
      </c>
      <c r="F703" s="6">
        <v>44071</v>
      </c>
      <c r="G703">
        <v>23</v>
      </c>
      <c r="H703" t="s">
        <v>180</v>
      </c>
      <c r="I703" t="s">
        <v>120</v>
      </c>
    </row>
    <row r="704" spans="1:9" x14ac:dyDescent="0.25">
      <c r="A704" s="8" t="str">
        <f t="shared" si="30"/>
        <v>2007528.X00</v>
      </c>
      <c r="B704" s="9" t="str">
        <f t="shared" si="31"/>
        <v>4</v>
      </c>
      <c r="C704" s="10">
        <f t="shared" si="32"/>
        <v>44070</v>
      </c>
      <c r="D704">
        <v>2007528</v>
      </c>
      <c r="E704" t="s">
        <v>225</v>
      </c>
      <c r="F704" s="6">
        <v>44071</v>
      </c>
      <c r="G704">
        <v>43</v>
      </c>
      <c r="H704" t="s">
        <v>180</v>
      </c>
      <c r="I704" t="s">
        <v>120</v>
      </c>
    </row>
    <row r="705" spans="1:9" x14ac:dyDescent="0.25">
      <c r="A705" s="8" t="str">
        <f t="shared" si="30"/>
        <v>2007528.XP0</v>
      </c>
      <c r="B705" s="9" t="str">
        <f t="shared" si="31"/>
        <v>4</v>
      </c>
      <c r="C705" s="10">
        <f t="shared" si="32"/>
        <v>44070</v>
      </c>
      <c r="D705">
        <v>2007528</v>
      </c>
      <c r="E705" t="s">
        <v>181</v>
      </c>
      <c r="F705" s="6">
        <v>44071</v>
      </c>
      <c r="G705">
        <v>43</v>
      </c>
      <c r="H705" t="s">
        <v>180</v>
      </c>
      <c r="I705" t="s">
        <v>120</v>
      </c>
    </row>
    <row r="706" spans="1:9" x14ac:dyDescent="0.25">
      <c r="A706" s="8" t="str">
        <f t="shared" ref="A706:A769" si="33">IF(D706="","",IF(E706=0,CONCATENATE(D706,".",E706,"00"),CONCATENATE(D706,".",E706)))</f>
        <v>2007529.Y00</v>
      </c>
      <c r="B706" s="9" t="str">
        <f t="shared" ref="B706:B769" si="34">LEFT(G706,1)</f>
        <v/>
      </c>
      <c r="C706" s="10">
        <f t="shared" ref="C706:C769" si="35">IF(F706="","",IF(B706="",F706-4,IF(B706="1",F706-4,IF(B706="2",F706-3,IF(B706="3",F706-2,IF(B706="4",F706-1,IF(B706="V",F706-7,IF(B706="J",F706-8,F706))))))))</f>
        <v>44074</v>
      </c>
      <c r="D706">
        <v>2007529</v>
      </c>
      <c r="E706" t="s">
        <v>130</v>
      </c>
      <c r="F706" s="6">
        <v>44078</v>
      </c>
      <c r="H706" t="s">
        <v>180</v>
      </c>
      <c r="I706" t="s">
        <v>120</v>
      </c>
    </row>
    <row r="707" spans="1:9" x14ac:dyDescent="0.25">
      <c r="A707" s="8" t="str">
        <f t="shared" si="33"/>
        <v>2007530.UP0</v>
      </c>
      <c r="B707" s="9" t="str">
        <f t="shared" si="34"/>
        <v/>
      </c>
      <c r="C707" s="10">
        <f t="shared" si="35"/>
        <v>44074</v>
      </c>
      <c r="D707">
        <v>2007530</v>
      </c>
      <c r="E707" t="s">
        <v>136</v>
      </c>
      <c r="F707" s="6">
        <v>44078</v>
      </c>
      <c r="H707" t="s">
        <v>180</v>
      </c>
      <c r="I707" t="s">
        <v>120</v>
      </c>
    </row>
    <row r="708" spans="1:9" x14ac:dyDescent="0.25">
      <c r="A708" s="8" t="str">
        <f t="shared" si="33"/>
        <v>2007531.0P0</v>
      </c>
      <c r="B708" s="9" t="str">
        <f t="shared" si="34"/>
        <v>1</v>
      </c>
      <c r="C708" s="10">
        <f t="shared" si="35"/>
        <v>44067</v>
      </c>
      <c r="D708">
        <v>2007531</v>
      </c>
      <c r="E708" t="s">
        <v>119</v>
      </c>
      <c r="F708" s="6">
        <v>44071</v>
      </c>
      <c r="G708">
        <v>12</v>
      </c>
      <c r="H708" t="s">
        <v>180</v>
      </c>
      <c r="I708" t="s">
        <v>120</v>
      </c>
    </row>
    <row r="709" spans="1:9" x14ac:dyDescent="0.25">
      <c r="A709" s="8" t="str">
        <f t="shared" si="33"/>
        <v>2007533.U0L</v>
      </c>
      <c r="B709" s="9" t="str">
        <f t="shared" si="34"/>
        <v/>
      </c>
      <c r="C709" s="10">
        <f t="shared" si="35"/>
        <v>44074</v>
      </c>
      <c r="D709">
        <v>2007533</v>
      </c>
      <c r="E709" t="s">
        <v>263</v>
      </c>
      <c r="F709" s="6">
        <v>44078</v>
      </c>
      <c r="H709" t="s">
        <v>180</v>
      </c>
      <c r="I709" t="s">
        <v>120</v>
      </c>
    </row>
    <row r="710" spans="1:9" x14ac:dyDescent="0.25">
      <c r="A710" s="8" t="str">
        <f t="shared" si="33"/>
        <v>2007539.UP2</v>
      </c>
      <c r="B710" s="9" t="str">
        <f t="shared" si="34"/>
        <v/>
      </c>
      <c r="C710" s="10">
        <f t="shared" si="35"/>
        <v>44074</v>
      </c>
      <c r="D710">
        <v>2007539</v>
      </c>
      <c r="E710" t="s">
        <v>160</v>
      </c>
      <c r="F710" s="6">
        <v>44078</v>
      </c>
      <c r="H710" t="s">
        <v>180</v>
      </c>
      <c r="I710" t="s">
        <v>120</v>
      </c>
    </row>
    <row r="711" spans="1:9" x14ac:dyDescent="0.25">
      <c r="A711" s="8" t="str">
        <f t="shared" si="33"/>
        <v>2007540.000</v>
      </c>
      <c r="B711" s="9" t="str">
        <f t="shared" si="34"/>
        <v>4</v>
      </c>
      <c r="C711" s="10">
        <f t="shared" si="35"/>
        <v>44091</v>
      </c>
      <c r="D711">
        <v>2007540</v>
      </c>
      <c r="E711">
        <v>0</v>
      </c>
      <c r="F711" s="6">
        <v>44092</v>
      </c>
      <c r="G711">
        <v>4</v>
      </c>
      <c r="H711" t="s">
        <v>189</v>
      </c>
      <c r="I711" t="s">
        <v>120</v>
      </c>
    </row>
    <row r="712" spans="1:9" x14ac:dyDescent="0.25">
      <c r="A712" s="8" t="str">
        <f t="shared" si="33"/>
        <v>2007542.Y00</v>
      </c>
      <c r="B712" s="9" t="str">
        <f t="shared" si="34"/>
        <v/>
      </c>
      <c r="C712" s="10">
        <f t="shared" si="35"/>
        <v>44074</v>
      </c>
      <c r="D712">
        <v>2007542</v>
      </c>
      <c r="E712" t="s">
        <v>130</v>
      </c>
      <c r="F712" s="6">
        <v>44078</v>
      </c>
      <c r="H712" t="s">
        <v>180</v>
      </c>
      <c r="I712" t="s">
        <v>120</v>
      </c>
    </row>
    <row r="713" spans="1:9" x14ac:dyDescent="0.25">
      <c r="A713" s="8" t="str">
        <f t="shared" si="33"/>
        <v>2007543.000</v>
      </c>
      <c r="B713" s="9" t="str">
        <f t="shared" si="34"/>
        <v/>
      </c>
      <c r="C713" s="10">
        <f t="shared" si="35"/>
        <v>44081</v>
      </c>
      <c r="D713">
        <v>2007543</v>
      </c>
      <c r="E713">
        <v>0</v>
      </c>
      <c r="F713" s="6">
        <v>44085</v>
      </c>
      <c r="H713" t="s">
        <v>180</v>
      </c>
      <c r="I713" t="s">
        <v>120</v>
      </c>
    </row>
    <row r="714" spans="1:9" x14ac:dyDescent="0.25">
      <c r="A714" s="8" t="str">
        <f t="shared" si="33"/>
        <v>2007544.000</v>
      </c>
      <c r="B714" s="9" t="str">
        <f t="shared" si="34"/>
        <v>4</v>
      </c>
      <c r="C714" s="10">
        <f t="shared" si="35"/>
        <v>44077</v>
      </c>
      <c r="D714">
        <v>2007544</v>
      </c>
      <c r="E714">
        <v>0</v>
      </c>
      <c r="F714" s="6">
        <v>44078</v>
      </c>
      <c r="G714">
        <v>41</v>
      </c>
      <c r="H714" t="s">
        <v>180</v>
      </c>
      <c r="I714" t="s">
        <v>120</v>
      </c>
    </row>
    <row r="715" spans="1:9" x14ac:dyDescent="0.25">
      <c r="A715" s="8" t="str">
        <f t="shared" si="33"/>
        <v>2007544.NM0</v>
      </c>
      <c r="B715" s="9" t="str">
        <f t="shared" si="34"/>
        <v>4</v>
      </c>
      <c r="C715" s="10">
        <f t="shared" si="35"/>
        <v>44077</v>
      </c>
      <c r="D715">
        <v>2007544</v>
      </c>
      <c r="E715" t="s">
        <v>154</v>
      </c>
      <c r="F715" s="6">
        <v>44078</v>
      </c>
      <c r="G715">
        <v>41</v>
      </c>
      <c r="H715" t="s">
        <v>189</v>
      </c>
      <c r="I715" t="s">
        <v>120</v>
      </c>
    </row>
    <row r="716" spans="1:9" x14ac:dyDescent="0.25">
      <c r="A716" s="8" t="str">
        <f t="shared" si="33"/>
        <v>2007545.0P0</v>
      </c>
      <c r="B716" s="9" t="str">
        <f t="shared" si="34"/>
        <v/>
      </c>
      <c r="C716" s="10">
        <f t="shared" si="35"/>
        <v>44088</v>
      </c>
      <c r="D716">
        <v>2007545</v>
      </c>
      <c r="E716" t="s">
        <v>119</v>
      </c>
      <c r="F716" s="6">
        <v>44092</v>
      </c>
      <c r="H716" t="s">
        <v>189</v>
      </c>
      <c r="I716" t="s">
        <v>120</v>
      </c>
    </row>
    <row r="717" spans="1:9" x14ac:dyDescent="0.25">
      <c r="A717" s="8" t="str">
        <f t="shared" si="33"/>
        <v>2007546.H01</v>
      </c>
      <c r="B717" s="9" t="str">
        <f t="shared" si="34"/>
        <v>2</v>
      </c>
      <c r="C717" s="10">
        <f t="shared" si="35"/>
        <v>44068</v>
      </c>
      <c r="D717">
        <v>2007546</v>
      </c>
      <c r="E717" t="s">
        <v>145</v>
      </c>
      <c r="F717" s="6">
        <v>44071</v>
      </c>
      <c r="G717">
        <v>22</v>
      </c>
      <c r="H717" t="s">
        <v>180</v>
      </c>
      <c r="I717" t="s">
        <v>120</v>
      </c>
    </row>
    <row r="718" spans="1:9" x14ac:dyDescent="0.25">
      <c r="A718" s="8" t="str">
        <f t="shared" si="33"/>
        <v>2007548.HP2</v>
      </c>
      <c r="B718" s="9" t="str">
        <f t="shared" si="34"/>
        <v>4</v>
      </c>
      <c r="C718" s="10">
        <f t="shared" si="35"/>
        <v>44070</v>
      </c>
      <c r="D718">
        <v>2007548</v>
      </c>
      <c r="E718" t="s">
        <v>138</v>
      </c>
      <c r="F718" s="6">
        <v>44071</v>
      </c>
      <c r="G718">
        <v>43</v>
      </c>
      <c r="H718" t="s">
        <v>180</v>
      </c>
      <c r="I718" t="s">
        <v>120</v>
      </c>
    </row>
    <row r="719" spans="1:9" x14ac:dyDescent="0.25">
      <c r="A719" s="8" t="str">
        <f t="shared" si="33"/>
        <v>2007550.H00</v>
      </c>
      <c r="B719" s="9" t="str">
        <f t="shared" si="34"/>
        <v>2</v>
      </c>
      <c r="C719" s="10">
        <f t="shared" si="35"/>
        <v>44068</v>
      </c>
      <c r="D719">
        <v>2007550</v>
      </c>
      <c r="E719" t="s">
        <v>122</v>
      </c>
      <c r="F719" s="6">
        <v>44071</v>
      </c>
      <c r="G719">
        <v>21</v>
      </c>
      <c r="H719" t="s">
        <v>180</v>
      </c>
      <c r="I719" t="s">
        <v>120</v>
      </c>
    </row>
    <row r="720" spans="1:9" x14ac:dyDescent="0.25">
      <c r="A720" s="8" t="str">
        <f t="shared" si="33"/>
        <v>2007552.U02</v>
      </c>
      <c r="B720" s="9" t="str">
        <f t="shared" si="34"/>
        <v/>
      </c>
      <c r="C720" s="10">
        <f t="shared" si="35"/>
        <v>44074</v>
      </c>
      <c r="D720">
        <v>2007552</v>
      </c>
      <c r="E720" t="s">
        <v>149</v>
      </c>
      <c r="F720" s="6">
        <v>44078</v>
      </c>
      <c r="H720" t="s">
        <v>180</v>
      </c>
      <c r="I720" t="s">
        <v>120</v>
      </c>
    </row>
    <row r="721" spans="1:9" x14ac:dyDescent="0.25">
      <c r="A721" s="8" t="str">
        <f t="shared" si="33"/>
        <v>2007553.Y00</v>
      </c>
      <c r="B721" s="9" t="str">
        <f t="shared" si="34"/>
        <v>1</v>
      </c>
      <c r="C721" s="10">
        <f t="shared" si="35"/>
        <v>44074</v>
      </c>
      <c r="D721">
        <v>2007553</v>
      </c>
      <c r="E721" t="s">
        <v>130</v>
      </c>
      <c r="F721" s="6">
        <v>44078</v>
      </c>
      <c r="G721">
        <v>1</v>
      </c>
      <c r="H721" t="s">
        <v>180</v>
      </c>
      <c r="I721" t="s">
        <v>120</v>
      </c>
    </row>
    <row r="722" spans="1:9" x14ac:dyDescent="0.25">
      <c r="A722" s="8" t="str">
        <f t="shared" si="33"/>
        <v>2007554.000</v>
      </c>
      <c r="B722" s="9" t="str">
        <f t="shared" si="34"/>
        <v/>
      </c>
      <c r="C722" s="10">
        <f t="shared" si="35"/>
        <v>44081</v>
      </c>
      <c r="D722">
        <v>2007554</v>
      </c>
      <c r="E722">
        <v>0</v>
      </c>
      <c r="F722" s="6">
        <v>44085</v>
      </c>
      <c r="H722" t="s">
        <v>180</v>
      </c>
      <c r="I722" t="s">
        <v>120</v>
      </c>
    </row>
    <row r="723" spans="1:9" x14ac:dyDescent="0.25">
      <c r="A723" s="8" t="str">
        <f t="shared" si="33"/>
        <v>2007555.000</v>
      </c>
      <c r="B723" s="9" t="str">
        <f t="shared" si="34"/>
        <v/>
      </c>
      <c r="C723" s="10">
        <f t="shared" si="35"/>
        <v>44074</v>
      </c>
      <c r="D723">
        <v>2007555</v>
      </c>
      <c r="E723">
        <v>0</v>
      </c>
      <c r="F723" s="6">
        <v>44078</v>
      </c>
      <c r="H723" t="s">
        <v>180</v>
      </c>
      <c r="I723" t="s">
        <v>120</v>
      </c>
    </row>
    <row r="724" spans="1:9" x14ac:dyDescent="0.25">
      <c r="A724" s="8" t="str">
        <f t="shared" si="33"/>
        <v>2007555.Y00</v>
      </c>
      <c r="B724" s="9" t="str">
        <f t="shared" si="34"/>
        <v/>
      </c>
      <c r="C724" s="10">
        <f t="shared" si="35"/>
        <v>44074</v>
      </c>
      <c r="D724">
        <v>2007555</v>
      </c>
      <c r="E724" t="s">
        <v>130</v>
      </c>
      <c r="F724" s="6">
        <v>44078</v>
      </c>
      <c r="H724" t="s">
        <v>180</v>
      </c>
      <c r="I724" t="s">
        <v>120</v>
      </c>
    </row>
    <row r="725" spans="1:9" x14ac:dyDescent="0.25">
      <c r="A725" s="8" t="str">
        <f t="shared" si="33"/>
        <v>2007556.0P0</v>
      </c>
      <c r="B725" s="9" t="str">
        <f t="shared" si="34"/>
        <v/>
      </c>
      <c r="C725" s="10">
        <f t="shared" si="35"/>
        <v>44074</v>
      </c>
      <c r="D725">
        <v>2007556</v>
      </c>
      <c r="E725" t="s">
        <v>119</v>
      </c>
      <c r="F725" s="6">
        <v>44078</v>
      </c>
      <c r="H725" t="s">
        <v>180</v>
      </c>
      <c r="I725" t="s">
        <v>120</v>
      </c>
    </row>
    <row r="726" spans="1:9" x14ac:dyDescent="0.25">
      <c r="A726" s="8" t="str">
        <f t="shared" si="33"/>
        <v>2007557.ZP2</v>
      </c>
      <c r="B726" s="9" t="str">
        <f t="shared" si="34"/>
        <v>4</v>
      </c>
      <c r="C726" s="10">
        <f t="shared" si="35"/>
        <v>44070</v>
      </c>
      <c r="D726">
        <v>2007557</v>
      </c>
      <c r="E726" t="s">
        <v>151</v>
      </c>
      <c r="F726" s="6">
        <v>44071</v>
      </c>
      <c r="G726">
        <v>43</v>
      </c>
      <c r="H726" t="s">
        <v>180</v>
      </c>
      <c r="I726" t="s">
        <v>120</v>
      </c>
    </row>
    <row r="727" spans="1:9" x14ac:dyDescent="0.25">
      <c r="A727" s="8" t="str">
        <f t="shared" si="33"/>
        <v>2007558.Y00</v>
      </c>
      <c r="B727" s="9" t="str">
        <f t="shared" si="34"/>
        <v>3</v>
      </c>
      <c r="C727" s="10">
        <f t="shared" si="35"/>
        <v>44076</v>
      </c>
      <c r="D727">
        <v>2007558</v>
      </c>
      <c r="E727" t="s">
        <v>130</v>
      </c>
      <c r="F727" s="6">
        <v>44078</v>
      </c>
      <c r="G727">
        <v>3</v>
      </c>
      <c r="H727" t="s">
        <v>180</v>
      </c>
      <c r="I727" t="s">
        <v>120</v>
      </c>
    </row>
    <row r="728" spans="1:9" x14ac:dyDescent="0.25">
      <c r="A728" s="8" t="str">
        <f t="shared" si="33"/>
        <v>2007559.H00</v>
      </c>
      <c r="B728" s="9" t="str">
        <f t="shared" si="34"/>
        <v/>
      </c>
      <c r="C728" s="10">
        <f t="shared" si="35"/>
        <v>44081</v>
      </c>
      <c r="D728">
        <v>2007559</v>
      </c>
      <c r="E728" t="s">
        <v>122</v>
      </c>
      <c r="F728" s="6">
        <v>44085</v>
      </c>
      <c r="H728" t="s">
        <v>189</v>
      </c>
      <c r="I728" t="s">
        <v>120</v>
      </c>
    </row>
    <row r="729" spans="1:9" x14ac:dyDescent="0.25">
      <c r="A729" s="8" t="str">
        <f t="shared" si="33"/>
        <v>2007563.000</v>
      </c>
      <c r="B729" s="9" t="str">
        <f t="shared" si="34"/>
        <v>V</v>
      </c>
      <c r="C729" s="10">
        <f t="shared" si="35"/>
        <v>44064</v>
      </c>
      <c r="D729">
        <v>2007563</v>
      </c>
      <c r="E729">
        <v>0</v>
      </c>
      <c r="F729" s="6">
        <v>44071</v>
      </c>
      <c r="G729" t="s">
        <v>139</v>
      </c>
      <c r="H729" t="s">
        <v>180</v>
      </c>
      <c r="I729" t="s">
        <v>120</v>
      </c>
    </row>
    <row r="730" spans="1:9" x14ac:dyDescent="0.25">
      <c r="A730" s="8" t="str">
        <f t="shared" si="33"/>
        <v>2007564.000</v>
      </c>
      <c r="B730" s="9" t="str">
        <f t="shared" si="34"/>
        <v/>
      </c>
      <c r="C730" s="10">
        <f t="shared" si="35"/>
        <v>44074</v>
      </c>
      <c r="D730">
        <v>2007564</v>
      </c>
      <c r="E730">
        <v>0</v>
      </c>
      <c r="F730" s="6">
        <v>44078</v>
      </c>
      <c r="H730" t="s">
        <v>180</v>
      </c>
      <c r="I730" t="s">
        <v>120</v>
      </c>
    </row>
    <row r="731" spans="1:9" x14ac:dyDescent="0.25">
      <c r="A731" s="8" t="str">
        <f t="shared" si="33"/>
        <v>2007564.Y00</v>
      </c>
      <c r="B731" s="9" t="str">
        <f t="shared" si="34"/>
        <v/>
      </c>
      <c r="C731" s="10">
        <f t="shared" si="35"/>
        <v>44074</v>
      </c>
      <c r="D731">
        <v>2007564</v>
      </c>
      <c r="E731" t="s">
        <v>130</v>
      </c>
      <c r="F731" s="6">
        <v>44078</v>
      </c>
      <c r="H731" t="s">
        <v>180</v>
      </c>
      <c r="I731" t="s">
        <v>120</v>
      </c>
    </row>
    <row r="732" spans="1:9" x14ac:dyDescent="0.25">
      <c r="A732" s="8" t="str">
        <f t="shared" si="33"/>
        <v>2007566.000</v>
      </c>
      <c r="B732" s="9" t="str">
        <f t="shared" si="34"/>
        <v>1</v>
      </c>
      <c r="C732" s="10">
        <f t="shared" si="35"/>
        <v>44130</v>
      </c>
      <c r="D732">
        <v>2007566</v>
      </c>
      <c r="E732">
        <v>0</v>
      </c>
      <c r="F732" s="6">
        <v>44134</v>
      </c>
      <c r="G732">
        <v>1</v>
      </c>
      <c r="H732" t="s">
        <v>189</v>
      </c>
      <c r="I732" t="s">
        <v>120</v>
      </c>
    </row>
    <row r="733" spans="1:9" x14ac:dyDescent="0.25">
      <c r="A733" s="8" t="str">
        <f t="shared" si="33"/>
        <v>2007569.000</v>
      </c>
      <c r="B733" s="9" t="str">
        <f t="shared" si="34"/>
        <v/>
      </c>
      <c r="C733" s="10">
        <f t="shared" si="35"/>
        <v>44074</v>
      </c>
      <c r="D733">
        <v>2007569</v>
      </c>
      <c r="E733">
        <v>0</v>
      </c>
      <c r="F733" s="6">
        <v>44078</v>
      </c>
      <c r="H733" t="s">
        <v>180</v>
      </c>
      <c r="I733" t="s">
        <v>120</v>
      </c>
    </row>
    <row r="734" spans="1:9" x14ac:dyDescent="0.25">
      <c r="A734" s="8" t="str">
        <f t="shared" si="33"/>
        <v>2007569.Y00</v>
      </c>
      <c r="B734" s="9" t="str">
        <f t="shared" si="34"/>
        <v/>
      </c>
      <c r="C734" s="10">
        <f t="shared" si="35"/>
        <v>44074</v>
      </c>
      <c r="D734">
        <v>2007569</v>
      </c>
      <c r="E734" t="s">
        <v>130</v>
      </c>
      <c r="F734" s="6">
        <v>44078</v>
      </c>
      <c r="H734" t="s">
        <v>180</v>
      </c>
      <c r="I734" t="s">
        <v>120</v>
      </c>
    </row>
    <row r="735" spans="1:9" x14ac:dyDescent="0.25">
      <c r="A735" s="8" t="str">
        <f t="shared" si="33"/>
        <v>2007570.TP3</v>
      </c>
      <c r="B735" s="9" t="str">
        <f t="shared" si="34"/>
        <v/>
      </c>
      <c r="C735" s="10">
        <f t="shared" si="35"/>
        <v>44102</v>
      </c>
      <c r="D735">
        <v>2007570</v>
      </c>
      <c r="E735" t="s">
        <v>286</v>
      </c>
      <c r="F735" s="6">
        <v>44106</v>
      </c>
      <c r="H735" t="s">
        <v>189</v>
      </c>
      <c r="I735" t="s">
        <v>120</v>
      </c>
    </row>
    <row r="736" spans="1:9" x14ac:dyDescent="0.25">
      <c r="A736" s="8" t="str">
        <f t="shared" si="33"/>
        <v>2007570.ZP2</v>
      </c>
      <c r="B736" s="9" t="str">
        <f t="shared" si="34"/>
        <v/>
      </c>
      <c r="C736" s="10">
        <f t="shared" si="35"/>
        <v>44074</v>
      </c>
      <c r="D736">
        <v>2007570</v>
      </c>
      <c r="E736" t="s">
        <v>151</v>
      </c>
      <c r="F736" s="6">
        <v>44078</v>
      </c>
      <c r="H736" t="s">
        <v>180</v>
      </c>
      <c r="I736" t="s">
        <v>120</v>
      </c>
    </row>
    <row r="737" spans="1:9" x14ac:dyDescent="0.25">
      <c r="A737" s="8" t="str">
        <f t="shared" si="33"/>
        <v>2007572.NS0</v>
      </c>
      <c r="B737" s="9" t="str">
        <f t="shared" si="34"/>
        <v/>
      </c>
      <c r="C737" s="10">
        <f t="shared" si="35"/>
        <v>44074</v>
      </c>
      <c r="D737">
        <v>2007572</v>
      </c>
      <c r="E737" t="s">
        <v>169</v>
      </c>
      <c r="F737" s="6">
        <v>44078</v>
      </c>
      <c r="H737" t="s">
        <v>180</v>
      </c>
      <c r="I737" t="s">
        <v>120</v>
      </c>
    </row>
    <row r="738" spans="1:9" x14ac:dyDescent="0.25">
      <c r="A738" s="8" t="str">
        <f t="shared" si="33"/>
        <v>2007573.H00</v>
      </c>
      <c r="B738" s="9" t="str">
        <f t="shared" si="34"/>
        <v/>
      </c>
      <c r="C738" s="10">
        <f t="shared" si="35"/>
        <v>44074</v>
      </c>
      <c r="D738">
        <v>2007573</v>
      </c>
      <c r="E738" t="s">
        <v>122</v>
      </c>
      <c r="F738" s="6">
        <v>44078</v>
      </c>
      <c r="H738" t="s">
        <v>180</v>
      </c>
      <c r="I738" t="s">
        <v>120</v>
      </c>
    </row>
    <row r="739" spans="1:9" x14ac:dyDescent="0.25">
      <c r="A739" s="8" t="str">
        <f t="shared" si="33"/>
        <v>2007573.HP0</v>
      </c>
      <c r="B739" s="9" t="str">
        <f t="shared" si="34"/>
        <v/>
      </c>
      <c r="C739" s="10">
        <f t="shared" si="35"/>
        <v>44074</v>
      </c>
      <c r="D739">
        <v>2007573</v>
      </c>
      <c r="E739" t="s">
        <v>121</v>
      </c>
      <c r="F739" s="6">
        <v>44078</v>
      </c>
      <c r="H739" t="s">
        <v>180</v>
      </c>
      <c r="I739" t="s">
        <v>120</v>
      </c>
    </row>
    <row r="740" spans="1:9" x14ac:dyDescent="0.25">
      <c r="A740" s="8" t="str">
        <f t="shared" si="33"/>
        <v>2007573.Y01</v>
      </c>
      <c r="B740" s="9" t="str">
        <f t="shared" si="34"/>
        <v/>
      </c>
      <c r="C740" s="10">
        <f t="shared" si="35"/>
        <v>44074</v>
      </c>
      <c r="D740">
        <v>2007573</v>
      </c>
      <c r="E740" t="s">
        <v>132</v>
      </c>
      <c r="F740" s="6">
        <v>44078</v>
      </c>
      <c r="H740" t="s">
        <v>180</v>
      </c>
      <c r="I740" t="s">
        <v>120</v>
      </c>
    </row>
    <row r="741" spans="1:9" x14ac:dyDescent="0.25">
      <c r="A741" s="8" t="str">
        <f t="shared" si="33"/>
        <v>2007582.TP0</v>
      </c>
      <c r="B741" s="9" t="str">
        <f t="shared" si="34"/>
        <v>3</v>
      </c>
      <c r="C741" s="10">
        <f t="shared" si="35"/>
        <v>44069</v>
      </c>
      <c r="D741">
        <v>2007582</v>
      </c>
      <c r="E741" t="s">
        <v>184</v>
      </c>
      <c r="F741" s="6">
        <v>44071</v>
      </c>
      <c r="G741">
        <v>31</v>
      </c>
      <c r="H741" t="s">
        <v>180</v>
      </c>
      <c r="I741" t="s">
        <v>120</v>
      </c>
    </row>
    <row r="742" spans="1:9" x14ac:dyDescent="0.25">
      <c r="A742" s="8" t="str">
        <f t="shared" si="33"/>
        <v>2007585.Y03</v>
      </c>
      <c r="B742" s="9" t="str">
        <f t="shared" si="34"/>
        <v/>
      </c>
      <c r="C742" s="10">
        <f t="shared" si="35"/>
        <v>44074</v>
      </c>
      <c r="D742">
        <v>2007585</v>
      </c>
      <c r="E742" t="s">
        <v>223</v>
      </c>
      <c r="F742" s="6">
        <v>44078</v>
      </c>
      <c r="H742" t="s">
        <v>180</v>
      </c>
      <c r="I742" t="s">
        <v>120</v>
      </c>
    </row>
    <row r="743" spans="1:9" x14ac:dyDescent="0.25">
      <c r="A743" s="8" t="str">
        <f t="shared" si="33"/>
        <v>2007587.0P0</v>
      </c>
      <c r="B743" s="9" t="str">
        <f t="shared" si="34"/>
        <v/>
      </c>
      <c r="C743" s="10">
        <f t="shared" si="35"/>
        <v>44088</v>
      </c>
      <c r="D743">
        <v>2007587</v>
      </c>
      <c r="E743" t="s">
        <v>119</v>
      </c>
      <c r="F743" s="6">
        <v>44092</v>
      </c>
      <c r="H743" t="s">
        <v>189</v>
      </c>
      <c r="I743" t="s">
        <v>120</v>
      </c>
    </row>
    <row r="744" spans="1:9" x14ac:dyDescent="0.25">
      <c r="A744" s="8" t="str">
        <f t="shared" si="33"/>
        <v>2007588.0J1</v>
      </c>
      <c r="B744" s="9" t="str">
        <f t="shared" si="34"/>
        <v/>
      </c>
      <c r="C744" s="10">
        <f t="shared" si="35"/>
        <v>44074</v>
      </c>
      <c r="D744">
        <v>2007588</v>
      </c>
      <c r="E744" t="s">
        <v>274</v>
      </c>
      <c r="F744" s="6">
        <v>44078</v>
      </c>
      <c r="H744" t="s">
        <v>235</v>
      </c>
      <c r="I744" t="s">
        <v>120</v>
      </c>
    </row>
    <row r="745" spans="1:9" x14ac:dyDescent="0.25">
      <c r="A745" s="8" t="str">
        <f t="shared" si="33"/>
        <v>2007589.000</v>
      </c>
      <c r="B745" s="9" t="str">
        <f t="shared" si="34"/>
        <v/>
      </c>
      <c r="C745" s="10">
        <f t="shared" si="35"/>
        <v>44074</v>
      </c>
      <c r="D745">
        <v>2007589</v>
      </c>
      <c r="E745">
        <v>0</v>
      </c>
      <c r="F745" s="6">
        <v>44078</v>
      </c>
      <c r="H745" t="s">
        <v>180</v>
      </c>
      <c r="I745" t="s">
        <v>120</v>
      </c>
    </row>
    <row r="746" spans="1:9" x14ac:dyDescent="0.25">
      <c r="A746" s="8" t="str">
        <f t="shared" si="33"/>
        <v>2007589.0P0</v>
      </c>
      <c r="B746" s="9" t="str">
        <f t="shared" si="34"/>
        <v/>
      </c>
      <c r="C746" s="10">
        <f t="shared" si="35"/>
        <v>44074</v>
      </c>
      <c r="D746">
        <v>2007589</v>
      </c>
      <c r="E746" t="s">
        <v>119</v>
      </c>
      <c r="F746" s="6">
        <v>44078</v>
      </c>
      <c r="H746" t="s">
        <v>180</v>
      </c>
      <c r="I746" t="s">
        <v>120</v>
      </c>
    </row>
    <row r="747" spans="1:9" x14ac:dyDescent="0.25">
      <c r="A747" s="8" t="str">
        <f t="shared" si="33"/>
        <v>2007589.Y00</v>
      </c>
      <c r="B747" s="9" t="str">
        <f t="shared" si="34"/>
        <v/>
      </c>
      <c r="C747" s="10">
        <f t="shared" si="35"/>
        <v>44074</v>
      </c>
      <c r="D747">
        <v>2007589</v>
      </c>
      <c r="E747" t="s">
        <v>130</v>
      </c>
      <c r="F747" s="6">
        <v>44078</v>
      </c>
      <c r="H747" t="s">
        <v>180</v>
      </c>
      <c r="I747" t="s">
        <v>120</v>
      </c>
    </row>
    <row r="748" spans="1:9" x14ac:dyDescent="0.25">
      <c r="A748" s="8" t="str">
        <f t="shared" si="33"/>
        <v>2007590.NM0</v>
      </c>
      <c r="B748" s="9" t="str">
        <f t="shared" si="34"/>
        <v/>
      </c>
      <c r="C748" s="10">
        <f t="shared" si="35"/>
        <v>44074</v>
      </c>
      <c r="D748">
        <v>2007590</v>
      </c>
      <c r="E748" t="s">
        <v>154</v>
      </c>
      <c r="F748" s="6">
        <v>44078</v>
      </c>
      <c r="H748" t="s">
        <v>189</v>
      </c>
      <c r="I748" t="s">
        <v>120</v>
      </c>
    </row>
    <row r="749" spans="1:9" x14ac:dyDescent="0.25">
      <c r="A749" s="8" t="str">
        <f t="shared" si="33"/>
        <v>2007592.H00</v>
      </c>
      <c r="B749" s="9" t="str">
        <f t="shared" si="34"/>
        <v/>
      </c>
      <c r="C749" s="10">
        <f t="shared" si="35"/>
        <v>44074</v>
      </c>
      <c r="D749">
        <v>2007592</v>
      </c>
      <c r="E749" t="s">
        <v>122</v>
      </c>
      <c r="F749" s="6">
        <v>44078</v>
      </c>
      <c r="H749" t="s">
        <v>180</v>
      </c>
      <c r="I749" t="s">
        <v>120</v>
      </c>
    </row>
    <row r="750" spans="1:9" x14ac:dyDescent="0.25">
      <c r="A750" s="8" t="str">
        <f t="shared" si="33"/>
        <v>2007592.T00</v>
      </c>
      <c r="B750" s="9" t="str">
        <f t="shared" si="34"/>
        <v/>
      </c>
      <c r="C750" s="10">
        <f t="shared" si="35"/>
        <v>44081</v>
      </c>
      <c r="D750">
        <v>2007592</v>
      </c>
      <c r="E750" t="s">
        <v>159</v>
      </c>
      <c r="F750" s="6">
        <v>44085</v>
      </c>
      <c r="H750" t="s">
        <v>266</v>
      </c>
      <c r="I750" t="s">
        <v>120</v>
      </c>
    </row>
    <row r="751" spans="1:9" x14ac:dyDescent="0.25">
      <c r="A751" s="8" t="str">
        <f t="shared" si="33"/>
        <v>2007592.T03</v>
      </c>
      <c r="B751" s="9" t="str">
        <f t="shared" si="34"/>
        <v/>
      </c>
      <c r="C751" s="10">
        <f t="shared" si="35"/>
        <v>44074</v>
      </c>
      <c r="D751">
        <v>2007592</v>
      </c>
      <c r="E751" t="s">
        <v>297</v>
      </c>
      <c r="F751" s="6">
        <v>44078</v>
      </c>
      <c r="H751" t="s">
        <v>180</v>
      </c>
      <c r="I751" t="s">
        <v>120</v>
      </c>
    </row>
    <row r="752" spans="1:9" x14ac:dyDescent="0.25">
      <c r="A752" s="8" t="str">
        <f t="shared" si="33"/>
        <v>2007592.X03</v>
      </c>
      <c r="B752" s="9" t="str">
        <f t="shared" si="34"/>
        <v/>
      </c>
      <c r="C752" s="10">
        <f t="shared" si="35"/>
        <v>44074</v>
      </c>
      <c r="D752">
        <v>2007592</v>
      </c>
      <c r="E752" t="s">
        <v>296</v>
      </c>
      <c r="F752" s="6">
        <v>44078</v>
      </c>
      <c r="H752" t="s">
        <v>180</v>
      </c>
      <c r="I752" t="s">
        <v>120</v>
      </c>
    </row>
    <row r="753" spans="1:9" x14ac:dyDescent="0.25">
      <c r="A753" s="8" t="str">
        <f t="shared" si="33"/>
        <v>2007594.0P1</v>
      </c>
      <c r="B753" s="9" t="str">
        <f t="shared" si="34"/>
        <v/>
      </c>
      <c r="C753" s="10">
        <f t="shared" si="35"/>
        <v>44074</v>
      </c>
      <c r="D753">
        <v>2007594</v>
      </c>
      <c r="E753" t="s">
        <v>238</v>
      </c>
      <c r="F753" s="6">
        <v>44078</v>
      </c>
      <c r="H753" t="s">
        <v>180</v>
      </c>
      <c r="I753" t="s">
        <v>120</v>
      </c>
    </row>
    <row r="754" spans="1:9" x14ac:dyDescent="0.25">
      <c r="A754" s="8" t="str">
        <f t="shared" si="33"/>
        <v>2007597.000</v>
      </c>
      <c r="B754" s="9" t="str">
        <f t="shared" si="34"/>
        <v>1</v>
      </c>
      <c r="C754" s="10">
        <f t="shared" si="35"/>
        <v>44074</v>
      </c>
      <c r="D754">
        <v>2007597</v>
      </c>
      <c r="E754">
        <v>0</v>
      </c>
      <c r="F754" s="6">
        <v>44078</v>
      </c>
      <c r="G754">
        <v>1</v>
      </c>
      <c r="H754" t="s">
        <v>180</v>
      </c>
      <c r="I754" t="s">
        <v>120</v>
      </c>
    </row>
    <row r="755" spans="1:9" x14ac:dyDescent="0.25">
      <c r="A755" s="8" t="str">
        <f t="shared" si="33"/>
        <v>2007597.0P0</v>
      </c>
      <c r="B755" s="9" t="str">
        <f t="shared" si="34"/>
        <v>1</v>
      </c>
      <c r="C755" s="10">
        <f t="shared" si="35"/>
        <v>44074</v>
      </c>
      <c r="D755">
        <v>2007597</v>
      </c>
      <c r="E755" t="s">
        <v>119</v>
      </c>
      <c r="F755" s="6">
        <v>44078</v>
      </c>
      <c r="G755">
        <v>1</v>
      </c>
      <c r="H755" t="s">
        <v>180</v>
      </c>
      <c r="I755" t="s">
        <v>120</v>
      </c>
    </row>
    <row r="756" spans="1:9" x14ac:dyDescent="0.25">
      <c r="A756" s="8" t="str">
        <f t="shared" si="33"/>
        <v>2007597.Y00</v>
      </c>
      <c r="B756" s="9" t="str">
        <f t="shared" si="34"/>
        <v>1</v>
      </c>
      <c r="C756" s="10">
        <f t="shared" si="35"/>
        <v>44074</v>
      </c>
      <c r="D756">
        <v>2007597</v>
      </c>
      <c r="E756" t="s">
        <v>130</v>
      </c>
      <c r="F756" s="6">
        <v>44078</v>
      </c>
      <c r="G756">
        <v>1</v>
      </c>
      <c r="H756" t="s">
        <v>180</v>
      </c>
      <c r="I756" t="s">
        <v>120</v>
      </c>
    </row>
    <row r="757" spans="1:9" x14ac:dyDescent="0.25">
      <c r="A757" s="8" t="str">
        <f t="shared" si="33"/>
        <v>2007599.HP0</v>
      </c>
      <c r="B757" s="9" t="str">
        <f t="shared" si="34"/>
        <v>1</v>
      </c>
      <c r="C757" s="10">
        <f t="shared" si="35"/>
        <v>44067</v>
      </c>
      <c r="D757">
        <v>2007599</v>
      </c>
      <c r="E757" t="s">
        <v>121</v>
      </c>
      <c r="F757" s="6">
        <v>44071</v>
      </c>
      <c r="G757">
        <v>14</v>
      </c>
      <c r="H757" t="s">
        <v>180</v>
      </c>
      <c r="I757" t="s">
        <v>120</v>
      </c>
    </row>
    <row r="758" spans="1:9" x14ac:dyDescent="0.25">
      <c r="A758" s="8" t="str">
        <f t="shared" si="33"/>
        <v>2007603.0P0</v>
      </c>
      <c r="B758" s="9" t="str">
        <f t="shared" si="34"/>
        <v>2</v>
      </c>
      <c r="C758" s="10">
        <f t="shared" si="35"/>
        <v>44068</v>
      </c>
      <c r="D758">
        <v>2007603</v>
      </c>
      <c r="E758" t="s">
        <v>119</v>
      </c>
      <c r="F758" s="6">
        <v>44071</v>
      </c>
      <c r="G758">
        <v>25</v>
      </c>
      <c r="H758" t="s">
        <v>180</v>
      </c>
      <c r="I758" t="s">
        <v>120</v>
      </c>
    </row>
    <row r="759" spans="1:9" x14ac:dyDescent="0.25">
      <c r="A759" s="8" t="str">
        <f t="shared" si="33"/>
        <v>2007605.000</v>
      </c>
      <c r="B759" s="9" t="str">
        <f t="shared" si="34"/>
        <v>3</v>
      </c>
      <c r="C759" s="10">
        <f t="shared" si="35"/>
        <v>44097</v>
      </c>
      <c r="D759">
        <v>2007605</v>
      </c>
      <c r="E759">
        <v>0</v>
      </c>
      <c r="F759" s="6">
        <v>44099</v>
      </c>
      <c r="G759">
        <v>3</v>
      </c>
      <c r="H759" t="s">
        <v>189</v>
      </c>
      <c r="I759" t="s">
        <v>120</v>
      </c>
    </row>
    <row r="760" spans="1:9" x14ac:dyDescent="0.25">
      <c r="A760" s="8" t="str">
        <f t="shared" si="33"/>
        <v>2007605.0P0</v>
      </c>
      <c r="B760" s="9" t="str">
        <f t="shared" si="34"/>
        <v>3</v>
      </c>
      <c r="C760" s="10">
        <f t="shared" si="35"/>
        <v>44097</v>
      </c>
      <c r="D760">
        <v>2007605</v>
      </c>
      <c r="E760" t="s">
        <v>119</v>
      </c>
      <c r="F760" s="6">
        <v>44099</v>
      </c>
      <c r="G760">
        <v>3</v>
      </c>
      <c r="H760" t="s">
        <v>189</v>
      </c>
      <c r="I760" t="s">
        <v>120</v>
      </c>
    </row>
    <row r="761" spans="1:9" x14ac:dyDescent="0.25">
      <c r="A761" s="8" t="str">
        <f t="shared" si="33"/>
        <v>2007606.000</v>
      </c>
      <c r="B761" s="9" t="str">
        <f t="shared" si="34"/>
        <v>3</v>
      </c>
      <c r="C761" s="10">
        <f t="shared" si="35"/>
        <v>44090</v>
      </c>
      <c r="D761">
        <v>2007606</v>
      </c>
      <c r="E761">
        <v>0</v>
      </c>
      <c r="F761" s="6">
        <v>44092</v>
      </c>
      <c r="G761">
        <v>3</v>
      </c>
      <c r="H761" t="s">
        <v>189</v>
      </c>
      <c r="I761" t="s">
        <v>120</v>
      </c>
    </row>
    <row r="762" spans="1:9" x14ac:dyDescent="0.25">
      <c r="A762" s="8" t="str">
        <f t="shared" si="33"/>
        <v>2007606.0P0</v>
      </c>
      <c r="B762" s="9" t="str">
        <f t="shared" si="34"/>
        <v>3</v>
      </c>
      <c r="C762" s="10">
        <f t="shared" si="35"/>
        <v>44090</v>
      </c>
      <c r="D762">
        <v>2007606</v>
      </c>
      <c r="E762" t="s">
        <v>119</v>
      </c>
      <c r="F762" s="6">
        <v>44092</v>
      </c>
      <c r="G762">
        <v>3</v>
      </c>
      <c r="H762" t="s">
        <v>189</v>
      </c>
      <c r="I762" t="s">
        <v>120</v>
      </c>
    </row>
    <row r="763" spans="1:9" x14ac:dyDescent="0.25">
      <c r="A763" s="8" t="str">
        <f t="shared" si="33"/>
        <v>2007606.HP2</v>
      </c>
      <c r="B763" s="9" t="str">
        <f t="shared" si="34"/>
        <v>3</v>
      </c>
      <c r="C763" s="10">
        <f t="shared" si="35"/>
        <v>44090</v>
      </c>
      <c r="D763">
        <v>2007606</v>
      </c>
      <c r="E763" t="s">
        <v>138</v>
      </c>
      <c r="F763" s="6">
        <v>44092</v>
      </c>
      <c r="G763">
        <v>3</v>
      </c>
      <c r="H763" t="s">
        <v>180</v>
      </c>
      <c r="I763" t="s">
        <v>120</v>
      </c>
    </row>
    <row r="764" spans="1:9" x14ac:dyDescent="0.25">
      <c r="A764" s="8" t="str">
        <f t="shared" si="33"/>
        <v>2007606.Y00</v>
      </c>
      <c r="B764" s="9" t="str">
        <f t="shared" si="34"/>
        <v>3</v>
      </c>
      <c r="C764" s="10">
        <f t="shared" si="35"/>
        <v>44090</v>
      </c>
      <c r="D764">
        <v>2007606</v>
      </c>
      <c r="E764" t="s">
        <v>130</v>
      </c>
      <c r="F764" s="6">
        <v>44092</v>
      </c>
      <c r="G764">
        <v>3</v>
      </c>
      <c r="H764" t="s">
        <v>189</v>
      </c>
      <c r="I764" t="s">
        <v>120</v>
      </c>
    </row>
    <row r="765" spans="1:9" x14ac:dyDescent="0.25">
      <c r="A765" s="8" t="str">
        <f t="shared" si="33"/>
        <v>2007607.H00</v>
      </c>
      <c r="B765" s="9" t="str">
        <f t="shared" si="34"/>
        <v>3</v>
      </c>
      <c r="C765" s="10">
        <f t="shared" si="35"/>
        <v>44104</v>
      </c>
      <c r="D765">
        <v>2007607</v>
      </c>
      <c r="E765" t="s">
        <v>122</v>
      </c>
      <c r="F765" s="6">
        <v>44106</v>
      </c>
      <c r="G765">
        <v>3</v>
      </c>
      <c r="H765" t="s">
        <v>189</v>
      </c>
      <c r="I765" t="s">
        <v>120</v>
      </c>
    </row>
    <row r="766" spans="1:9" x14ac:dyDescent="0.25">
      <c r="A766" s="8" t="str">
        <f t="shared" si="33"/>
        <v>2007607.HP0</v>
      </c>
      <c r="B766" s="9" t="str">
        <f t="shared" si="34"/>
        <v>3</v>
      </c>
      <c r="C766" s="10">
        <f t="shared" si="35"/>
        <v>44104</v>
      </c>
      <c r="D766">
        <v>2007607</v>
      </c>
      <c r="E766" t="s">
        <v>121</v>
      </c>
      <c r="F766" s="6">
        <v>44106</v>
      </c>
      <c r="G766">
        <v>3</v>
      </c>
      <c r="H766" t="s">
        <v>189</v>
      </c>
      <c r="I766" t="s">
        <v>120</v>
      </c>
    </row>
    <row r="767" spans="1:9" x14ac:dyDescent="0.25">
      <c r="A767" s="8" t="str">
        <f t="shared" si="33"/>
        <v>2007607.Y01</v>
      </c>
      <c r="B767" s="9" t="str">
        <f t="shared" si="34"/>
        <v>3</v>
      </c>
      <c r="C767" s="10">
        <f t="shared" si="35"/>
        <v>44104</v>
      </c>
      <c r="D767">
        <v>2007607</v>
      </c>
      <c r="E767" t="s">
        <v>132</v>
      </c>
      <c r="F767" s="6">
        <v>44106</v>
      </c>
      <c r="G767">
        <v>3</v>
      </c>
      <c r="H767" t="s">
        <v>189</v>
      </c>
      <c r="I767" t="s">
        <v>120</v>
      </c>
    </row>
    <row r="768" spans="1:9" x14ac:dyDescent="0.25">
      <c r="A768" s="8" t="str">
        <f t="shared" si="33"/>
        <v>2007608.0P0</v>
      </c>
      <c r="B768" s="9" t="str">
        <f t="shared" si="34"/>
        <v/>
      </c>
      <c r="C768" s="10">
        <f t="shared" si="35"/>
        <v>44067</v>
      </c>
      <c r="D768">
        <v>2007608</v>
      </c>
      <c r="E768" t="s">
        <v>119</v>
      </c>
      <c r="F768" s="6">
        <v>44071</v>
      </c>
      <c r="H768" t="s">
        <v>191</v>
      </c>
      <c r="I768" t="s">
        <v>120</v>
      </c>
    </row>
    <row r="769" spans="1:9" x14ac:dyDescent="0.25">
      <c r="A769" s="8" t="str">
        <f t="shared" si="33"/>
        <v>2007610.000</v>
      </c>
      <c r="B769" s="9" t="str">
        <f t="shared" si="34"/>
        <v/>
      </c>
      <c r="C769" s="10">
        <f t="shared" si="35"/>
        <v>44081</v>
      </c>
      <c r="D769">
        <v>2007610</v>
      </c>
      <c r="E769">
        <v>0</v>
      </c>
      <c r="F769" s="6">
        <v>44085</v>
      </c>
      <c r="H769" t="s">
        <v>180</v>
      </c>
      <c r="I769" t="s">
        <v>120</v>
      </c>
    </row>
    <row r="770" spans="1:9" x14ac:dyDescent="0.25">
      <c r="A770" s="8" t="str">
        <f t="shared" ref="A770:A833" si="36">IF(D770="","",IF(E770=0,CONCATENATE(D770,".",E770,"00"),CONCATENATE(D770,".",E770)))</f>
        <v>2007610.NV0</v>
      </c>
      <c r="B770" s="9" t="str">
        <f t="shared" ref="B770:B833" si="37">LEFT(G770,1)</f>
        <v/>
      </c>
      <c r="C770" s="10">
        <f t="shared" ref="C770:C833" si="38">IF(F770="","",IF(B770="",F770-4,IF(B770="1",F770-4,IF(B770="2",F770-3,IF(B770="3",F770-2,IF(B770="4",F770-1,IF(B770="V",F770-7,IF(B770="J",F770-8,F770))))))))</f>
        <v>44081</v>
      </c>
      <c r="D770">
        <v>2007610</v>
      </c>
      <c r="E770" t="s">
        <v>126</v>
      </c>
      <c r="F770" s="6">
        <v>44085</v>
      </c>
      <c r="H770" t="s">
        <v>194</v>
      </c>
      <c r="I770" t="s">
        <v>120</v>
      </c>
    </row>
    <row r="771" spans="1:9" x14ac:dyDescent="0.25">
      <c r="A771" s="8" t="str">
        <f t="shared" si="36"/>
        <v>2007610.Y00</v>
      </c>
      <c r="B771" s="9" t="str">
        <f t="shared" si="37"/>
        <v/>
      </c>
      <c r="C771" s="10">
        <f t="shared" si="38"/>
        <v>44081</v>
      </c>
      <c r="D771">
        <v>2007610</v>
      </c>
      <c r="E771" t="s">
        <v>130</v>
      </c>
      <c r="F771" s="6">
        <v>44085</v>
      </c>
      <c r="H771" t="s">
        <v>189</v>
      </c>
      <c r="I771" t="s">
        <v>120</v>
      </c>
    </row>
    <row r="772" spans="1:9" x14ac:dyDescent="0.25">
      <c r="A772" s="8" t="str">
        <f t="shared" si="36"/>
        <v>2007611.C00</v>
      </c>
      <c r="B772" s="9" t="str">
        <f t="shared" si="37"/>
        <v>2</v>
      </c>
      <c r="C772" s="10">
        <f t="shared" si="38"/>
        <v>44068</v>
      </c>
      <c r="D772">
        <v>2007611</v>
      </c>
      <c r="E772" t="s">
        <v>147</v>
      </c>
      <c r="F772" s="6">
        <v>44071</v>
      </c>
      <c r="G772">
        <v>23</v>
      </c>
      <c r="H772" t="s">
        <v>180</v>
      </c>
      <c r="I772" t="s">
        <v>120</v>
      </c>
    </row>
    <row r="773" spans="1:9" x14ac:dyDescent="0.25">
      <c r="A773" s="8" t="str">
        <f t="shared" si="36"/>
        <v>2007612.U02</v>
      </c>
      <c r="B773" s="9" t="str">
        <f t="shared" si="37"/>
        <v/>
      </c>
      <c r="C773" s="10">
        <f t="shared" si="38"/>
        <v>44081</v>
      </c>
      <c r="D773">
        <v>2007612</v>
      </c>
      <c r="E773" t="s">
        <v>149</v>
      </c>
      <c r="F773" s="6">
        <v>44085</v>
      </c>
      <c r="H773" t="s">
        <v>180</v>
      </c>
      <c r="I773" t="s">
        <v>120</v>
      </c>
    </row>
    <row r="774" spans="1:9" x14ac:dyDescent="0.25">
      <c r="A774" s="8" t="str">
        <f t="shared" si="36"/>
        <v>2007612.UP2</v>
      </c>
      <c r="B774" s="9" t="str">
        <f t="shared" si="37"/>
        <v/>
      </c>
      <c r="C774" s="10">
        <f t="shared" si="38"/>
        <v>44081</v>
      </c>
      <c r="D774">
        <v>2007612</v>
      </c>
      <c r="E774" t="s">
        <v>160</v>
      </c>
      <c r="F774" s="6">
        <v>44085</v>
      </c>
      <c r="H774" t="s">
        <v>180</v>
      </c>
      <c r="I774" t="s">
        <v>120</v>
      </c>
    </row>
    <row r="775" spans="1:9" x14ac:dyDescent="0.25">
      <c r="A775" s="8" t="str">
        <f t="shared" si="36"/>
        <v>2007612.Y02</v>
      </c>
      <c r="B775" s="9" t="str">
        <f t="shared" si="37"/>
        <v/>
      </c>
      <c r="C775" s="10">
        <f t="shared" si="38"/>
        <v>44081</v>
      </c>
      <c r="D775">
        <v>2007612</v>
      </c>
      <c r="E775" t="s">
        <v>144</v>
      </c>
      <c r="F775" s="6">
        <v>44085</v>
      </c>
      <c r="H775" t="s">
        <v>189</v>
      </c>
      <c r="I775" t="s">
        <v>120</v>
      </c>
    </row>
    <row r="776" spans="1:9" x14ac:dyDescent="0.25">
      <c r="A776" s="8" t="str">
        <f t="shared" si="36"/>
        <v>2007614.H00</v>
      </c>
      <c r="B776" s="9" t="str">
        <f t="shared" si="37"/>
        <v/>
      </c>
      <c r="C776" s="10">
        <f t="shared" si="38"/>
        <v>44074</v>
      </c>
      <c r="D776">
        <v>2007614</v>
      </c>
      <c r="E776" t="s">
        <v>122</v>
      </c>
      <c r="F776" s="6">
        <v>44078</v>
      </c>
      <c r="H776" t="s">
        <v>180</v>
      </c>
      <c r="I776" t="s">
        <v>120</v>
      </c>
    </row>
    <row r="777" spans="1:9" x14ac:dyDescent="0.25">
      <c r="A777" s="8" t="str">
        <f t="shared" si="36"/>
        <v>2007615.H00</v>
      </c>
      <c r="B777" s="9" t="str">
        <f t="shared" si="37"/>
        <v>1</v>
      </c>
      <c r="C777" s="10">
        <f t="shared" si="38"/>
        <v>44074</v>
      </c>
      <c r="D777">
        <v>2007615</v>
      </c>
      <c r="E777" t="s">
        <v>122</v>
      </c>
      <c r="F777" s="6">
        <v>44078</v>
      </c>
      <c r="G777">
        <v>1</v>
      </c>
      <c r="H777" t="s">
        <v>180</v>
      </c>
      <c r="I777" t="s">
        <v>120</v>
      </c>
    </row>
    <row r="778" spans="1:9" x14ac:dyDescent="0.25">
      <c r="A778" s="8" t="str">
        <f t="shared" si="36"/>
        <v>2007618.X00</v>
      </c>
      <c r="B778" s="9" t="str">
        <f t="shared" si="37"/>
        <v>1</v>
      </c>
      <c r="C778" s="10">
        <f t="shared" si="38"/>
        <v>44067</v>
      </c>
      <c r="D778">
        <v>2007618</v>
      </c>
      <c r="E778" t="s">
        <v>225</v>
      </c>
      <c r="F778" s="6">
        <v>44071</v>
      </c>
      <c r="G778">
        <v>11</v>
      </c>
      <c r="H778" t="s">
        <v>180</v>
      </c>
      <c r="I778" t="s">
        <v>120</v>
      </c>
    </row>
    <row r="779" spans="1:9" x14ac:dyDescent="0.25">
      <c r="A779" s="8" t="str">
        <f t="shared" si="36"/>
        <v>2007618.XP0</v>
      </c>
      <c r="B779" s="9" t="str">
        <f t="shared" si="37"/>
        <v>1</v>
      </c>
      <c r="C779" s="10">
        <f t="shared" si="38"/>
        <v>44067</v>
      </c>
      <c r="D779">
        <v>2007618</v>
      </c>
      <c r="E779" t="s">
        <v>181</v>
      </c>
      <c r="F779" s="6">
        <v>44071</v>
      </c>
      <c r="G779">
        <v>11</v>
      </c>
      <c r="H779" t="s">
        <v>180</v>
      </c>
      <c r="I779" t="s">
        <v>120</v>
      </c>
    </row>
    <row r="780" spans="1:9" x14ac:dyDescent="0.25">
      <c r="A780" s="8" t="str">
        <f t="shared" si="36"/>
        <v>2007620.Z00</v>
      </c>
      <c r="B780" s="9" t="str">
        <f t="shared" si="37"/>
        <v/>
      </c>
      <c r="C780" s="10">
        <f t="shared" si="38"/>
        <v>44074</v>
      </c>
      <c r="D780">
        <v>2007620</v>
      </c>
      <c r="E780" t="s">
        <v>158</v>
      </c>
      <c r="F780" s="6">
        <v>44078</v>
      </c>
      <c r="H780" t="s">
        <v>180</v>
      </c>
      <c r="I780" t="s">
        <v>120</v>
      </c>
    </row>
    <row r="781" spans="1:9" x14ac:dyDescent="0.25">
      <c r="A781" s="8" t="str">
        <f t="shared" si="36"/>
        <v>2007620.ZP0</v>
      </c>
      <c r="B781" s="9" t="str">
        <f t="shared" si="37"/>
        <v/>
      </c>
      <c r="C781" s="10">
        <f t="shared" si="38"/>
        <v>44074</v>
      </c>
      <c r="D781">
        <v>2007620</v>
      </c>
      <c r="E781" t="s">
        <v>252</v>
      </c>
      <c r="F781" s="6">
        <v>44078</v>
      </c>
      <c r="H781" t="s">
        <v>180</v>
      </c>
      <c r="I781" t="s">
        <v>120</v>
      </c>
    </row>
    <row r="782" spans="1:9" x14ac:dyDescent="0.25">
      <c r="A782" s="8" t="str">
        <f t="shared" si="36"/>
        <v>2007621.Y00</v>
      </c>
      <c r="B782" s="9" t="str">
        <f t="shared" si="37"/>
        <v/>
      </c>
      <c r="C782" s="10">
        <f t="shared" si="38"/>
        <v>44081</v>
      </c>
      <c r="D782">
        <v>2007621</v>
      </c>
      <c r="E782" t="s">
        <v>130</v>
      </c>
      <c r="F782" s="6">
        <v>44085</v>
      </c>
      <c r="H782" t="s">
        <v>189</v>
      </c>
      <c r="I782" t="s">
        <v>120</v>
      </c>
    </row>
    <row r="783" spans="1:9" x14ac:dyDescent="0.25">
      <c r="A783" s="8" t="str">
        <f t="shared" si="36"/>
        <v>2007622.X00</v>
      </c>
      <c r="B783" s="9" t="str">
        <f t="shared" si="37"/>
        <v>V</v>
      </c>
      <c r="C783" s="10">
        <f t="shared" si="38"/>
        <v>44064</v>
      </c>
      <c r="D783">
        <v>2007622</v>
      </c>
      <c r="E783" t="s">
        <v>225</v>
      </c>
      <c r="F783" s="6">
        <v>44071</v>
      </c>
      <c r="G783" t="s">
        <v>142</v>
      </c>
      <c r="H783" t="s">
        <v>180</v>
      </c>
      <c r="I783" t="s">
        <v>120</v>
      </c>
    </row>
    <row r="784" spans="1:9" x14ac:dyDescent="0.25">
      <c r="A784" s="8" t="str">
        <f t="shared" si="36"/>
        <v>2007623.Y0D</v>
      </c>
      <c r="B784" s="9" t="str">
        <f t="shared" si="37"/>
        <v/>
      </c>
      <c r="C784" s="10">
        <f t="shared" si="38"/>
        <v>44081</v>
      </c>
      <c r="D784">
        <v>2007623</v>
      </c>
      <c r="E784" t="s">
        <v>157</v>
      </c>
      <c r="F784" s="6">
        <v>44085</v>
      </c>
      <c r="H784" t="s">
        <v>189</v>
      </c>
      <c r="I784" t="s">
        <v>120</v>
      </c>
    </row>
    <row r="785" spans="1:9" x14ac:dyDescent="0.25">
      <c r="A785" s="8" t="str">
        <f t="shared" si="36"/>
        <v>2007630.0P0</v>
      </c>
      <c r="B785" s="9" t="str">
        <f t="shared" si="37"/>
        <v>2</v>
      </c>
      <c r="C785" s="10">
        <f t="shared" si="38"/>
        <v>44068</v>
      </c>
      <c r="D785">
        <v>2007630</v>
      </c>
      <c r="E785" t="s">
        <v>119</v>
      </c>
      <c r="F785" s="6">
        <v>44071</v>
      </c>
      <c r="G785">
        <v>22</v>
      </c>
      <c r="H785" t="s">
        <v>180</v>
      </c>
      <c r="I785" t="s">
        <v>120</v>
      </c>
    </row>
    <row r="786" spans="1:9" x14ac:dyDescent="0.25">
      <c r="A786" s="8" t="str">
        <f t="shared" si="36"/>
        <v>2007631.U01</v>
      </c>
      <c r="B786" s="9" t="str">
        <f t="shared" si="37"/>
        <v/>
      </c>
      <c r="C786" s="10">
        <f t="shared" si="38"/>
        <v>44081</v>
      </c>
      <c r="D786">
        <v>2007631</v>
      </c>
      <c r="E786" t="s">
        <v>150</v>
      </c>
      <c r="F786" s="6">
        <v>44085</v>
      </c>
      <c r="H786" t="s">
        <v>189</v>
      </c>
      <c r="I786" t="s">
        <v>120</v>
      </c>
    </row>
    <row r="787" spans="1:9" x14ac:dyDescent="0.25">
      <c r="A787" s="8" t="str">
        <f t="shared" si="36"/>
        <v>2007631.Y01</v>
      </c>
      <c r="B787" s="9" t="str">
        <f t="shared" si="37"/>
        <v/>
      </c>
      <c r="C787" s="10">
        <f t="shared" si="38"/>
        <v>44081</v>
      </c>
      <c r="D787">
        <v>2007631</v>
      </c>
      <c r="E787" t="s">
        <v>132</v>
      </c>
      <c r="F787" s="6">
        <v>44085</v>
      </c>
      <c r="H787" t="s">
        <v>189</v>
      </c>
      <c r="I787" t="s">
        <v>120</v>
      </c>
    </row>
    <row r="788" spans="1:9" x14ac:dyDescent="0.25">
      <c r="A788" s="8" t="str">
        <f t="shared" si="36"/>
        <v>2007633.U00</v>
      </c>
      <c r="B788" s="9" t="str">
        <f t="shared" si="37"/>
        <v>2</v>
      </c>
      <c r="C788" s="10">
        <f t="shared" si="38"/>
        <v>44068</v>
      </c>
      <c r="D788">
        <v>2007633</v>
      </c>
      <c r="E788" t="s">
        <v>131</v>
      </c>
      <c r="F788" s="6">
        <v>44071</v>
      </c>
      <c r="G788">
        <v>21</v>
      </c>
      <c r="H788" t="s">
        <v>180</v>
      </c>
      <c r="I788" t="s">
        <v>120</v>
      </c>
    </row>
    <row r="789" spans="1:9" x14ac:dyDescent="0.25">
      <c r="A789" s="8" t="str">
        <f t="shared" si="36"/>
        <v>2007633.UP0</v>
      </c>
      <c r="B789" s="9" t="str">
        <f t="shared" si="37"/>
        <v>2</v>
      </c>
      <c r="C789" s="10">
        <f t="shared" si="38"/>
        <v>44068</v>
      </c>
      <c r="D789">
        <v>2007633</v>
      </c>
      <c r="E789" t="s">
        <v>136</v>
      </c>
      <c r="F789" s="6">
        <v>44071</v>
      </c>
      <c r="G789">
        <v>21</v>
      </c>
      <c r="H789" t="s">
        <v>180</v>
      </c>
      <c r="I789" t="s">
        <v>120</v>
      </c>
    </row>
    <row r="790" spans="1:9" x14ac:dyDescent="0.25">
      <c r="A790" s="8" t="str">
        <f t="shared" si="36"/>
        <v>2007639.XP0</v>
      </c>
      <c r="B790" s="9" t="str">
        <f t="shared" si="37"/>
        <v>3</v>
      </c>
      <c r="C790" s="10">
        <f t="shared" si="38"/>
        <v>44069</v>
      </c>
      <c r="D790">
        <v>2007639</v>
      </c>
      <c r="E790" t="s">
        <v>181</v>
      </c>
      <c r="F790" s="6">
        <v>44071</v>
      </c>
      <c r="G790">
        <v>31</v>
      </c>
      <c r="H790" t="s">
        <v>180</v>
      </c>
      <c r="I790" t="s">
        <v>120</v>
      </c>
    </row>
    <row r="791" spans="1:9" x14ac:dyDescent="0.25">
      <c r="A791" s="8" t="str">
        <f t="shared" si="36"/>
        <v>2007641.000</v>
      </c>
      <c r="B791" s="9" t="str">
        <f t="shared" si="37"/>
        <v>3</v>
      </c>
      <c r="C791" s="10">
        <f t="shared" si="38"/>
        <v>44083</v>
      </c>
      <c r="D791">
        <v>2007641</v>
      </c>
      <c r="E791">
        <v>0</v>
      </c>
      <c r="F791" s="6">
        <v>44085</v>
      </c>
      <c r="G791">
        <v>3</v>
      </c>
      <c r="H791" t="s">
        <v>180</v>
      </c>
      <c r="I791" t="s">
        <v>120</v>
      </c>
    </row>
    <row r="792" spans="1:9" x14ac:dyDescent="0.25">
      <c r="A792" s="8" t="str">
        <f t="shared" si="36"/>
        <v>2007641.Y00</v>
      </c>
      <c r="B792" s="9" t="str">
        <f t="shared" si="37"/>
        <v>3</v>
      </c>
      <c r="C792" s="10">
        <f t="shared" si="38"/>
        <v>44083</v>
      </c>
      <c r="D792">
        <v>2007641</v>
      </c>
      <c r="E792" t="s">
        <v>130</v>
      </c>
      <c r="F792" s="6">
        <v>44085</v>
      </c>
      <c r="G792">
        <v>3</v>
      </c>
      <c r="H792" t="s">
        <v>189</v>
      </c>
      <c r="I792" t="s">
        <v>120</v>
      </c>
    </row>
    <row r="793" spans="1:9" x14ac:dyDescent="0.25">
      <c r="A793" s="8" t="str">
        <f t="shared" si="36"/>
        <v>2007642.X00</v>
      </c>
      <c r="B793" s="9" t="str">
        <f t="shared" si="37"/>
        <v/>
      </c>
      <c r="C793" s="10">
        <f t="shared" si="38"/>
        <v>44081</v>
      </c>
      <c r="D793">
        <v>2007642</v>
      </c>
      <c r="E793" t="s">
        <v>225</v>
      </c>
      <c r="F793" s="6">
        <v>44085</v>
      </c>
      <c r="H793" t="s">
        <v>266</v>
      </c>
      <c r="I793" t="s">
        <v>120</v>
      </c>
    </row>
    <row r="794" spans="1:9" x14ac:dyDescent="0.25">
      <c r="A794" s="8" t="str">
        <f t="shared" si="36"/>
        <v>2007643.UPL</v>
      </c>
      <c r="B794" s="9" t="str">
        <f t="shared" si="37"/>
        <v/>
      </c>
      <c r="C794" s="10">
        <f t="shared" si="38"/>
        <v>44088</v>
      </c>
      <c r="D794">
        <v>2007643</v>
      </c>
      <c r="E794" t="s">
        <v>143</v>
      </c>
      <c r="F794" s="6">
        <v>44092</v>
      </c>
      <c r="H794" t="s">
        <v>191</v>
      </c>
      <c r="I794" t="s">
        <v>120</v>
      </c>
    </row>
    <row r="795" spans="1:9" x14ac:dyDescent="0.25">
      <c r="A795" s="8" t="str">
        <f t="shared" si="36"/>
        <v>2007646.H02</v>
      </c>
      <c r="B795" s="9" t="str">
        <f t="shared" si="37"/>
        <v/>
      </c>
      <c r="C795" s="10">
        <f t="shared" si="38"/>
        <v>44081</v>
      </c>
      <c r="D795">
        <v>2007646</v>
      </c>
      <c r="E795" t="s">
        <v>156</v>
      </c>
      <c r="F795" s="6">
        <v>44085</v>
      </c>
      <c r="H795" t="s">
        <v>180</v>
      </c>
      <c r="I795" t="s">
        <v>120</v>
      </c>
    </row>
    <row r="796" spans="1:9" x14ac:dyDescent="0.25">
      <c r="A796" s="8" t="str">
        <f t="shared" si="36"/>
        <v>2007646.Y00</v>
      </c>
      <c r="B796" s="9" t="str">
        <f t="shared" si="37"/>
        <v/>
      </c>
      <c r="C796" s="10">
        <f t="shared" si="38"/>
        <v>44081</v>
      </c>
      <c r="D796">
        <v>2007646</v>
      </c>
      <c r="E796" t="s">
        <v>130</v>
      </c>
      <c r="F796" s="6">
        <v>44085</v>
      </c>
      <c r="H796" t="s">
        <v>189</v>
      </c>
      <c r="I796" t="s">
        <v>120</v>
      </c>
    </row>
    <row r="797" spans="1:9" x14ac:dyDescent="0.25">
      <c r="A797" s="8" t="str">
        <f t="shared" si="36"/>
        <v>2007649.X00</v>
      </c>
      <c r="B797" s="9" t="str">
        <f t="shared" si="37"/>
        <v>3</v>
      </c>
      <c r="C797" s="10">
        <f t="shared" si="38"/>
        <v>44069</v>
      </c>
      <c r="D797">
        <v>2007649</v>
      </c>
      <c r="E797" t="s">
        <v>225</v>
      </c>
      <c r="F797" s="6">
        <v>44071</v>
      </c>
      <c r="G797">
        <v>31</v>
      </c>
      <c r="H797" t="s">
        <v>180</v>
      </c>
      <c r="I797" t="s">
        <v>120</v>
      </c>
    </row>
    <row r="798" spans="1:9" x14ac:dyDescent="0.25">
      <c r="A798" s="8" t="str">
        <f t="shared" si="36"/>
        <v>2007650.XP0</v>
      </c>
      <c r="B798" s="9" t="str">
        <f t="shared" si="37"/>
        <v/>
      </c>
      <c r="C798" s="10">
        <f t="shared" si="38"/>
        <v>44081</v>
      </c>
      <c r="D798">
        <v>2007650</v>
      </c>
      <c r="E798" t="s">
        <v>181</v>
      </c>
      <c r="F798" s="6">
        <v>44085</v>
      </c>
      <c r="H798" t="s">
        <v>180</v>
      </c>
      <c r="I798" t="s">
        <v>120</v>
      </c>
    </row>
    <row r="799" spans="1:9" x14ac:dyDescent="0.25">
      <c r="A799" s="8" t="str">
        <f t="shared" si="36"/>
        <v>2007652.000</v>
      </c>
      <c r="B799" s="9" t="str">
        <f t="shared" si="37"/>
        <v/>
      </c>
      <c r="C799" s="10">
        <f t="shared" si="38"/>
        <v>44081</v>
      </c>
      <c r="D799">
        <v>2007652</v>
      </c>
      <c r="E799">
        <v>0</v>
      </c>
      <c r="F799" s="6">
        <v>44085</v>
      </c>
      <c r="H799" t="s">
        <v>180</v>
      </c>
      <c r="I799" t="s">
        <v>120</v>
      </c>
    </row>
    <row r="800" spans="1:9" x14ac:dyDescent="0.25">
      <c r="A800" s="8" t="str">
        <f t="shared" si="36"/>
        <v>2007652.H01</v>
      </c>
      <c r="B800" s="9" t="str">
        <f t="shared" si="37"/>
        <v/>
      </c>
      <c r="C800" s="10">
        <f t="shared" si="38"/>
        <v>44081</v>
      </c>
      <c r="D800">
        <v>2007652</v>
      </c>
      <c r="E800" t="s">
        <v>145</v>
      </c>
      <c r="F800" s="6">
        <v>44085</v>
      </c>
      <c r="H800" t="s">
        <v>180</v>
      </c>
      <c r="I800" t="s">
        <v>120</v>
      </c>
    </row>
    <row r="801" spans="1:9" x14ac:dyDescent="0.25">
      <c r="A801" s="8" t="str">
        <f t="shared" si="36"/>
        <v>2007652.Y00</v>
      </c>
      <c r="B801" s="9" t="str">
        <f t="shared" si="37"/>
        <v/>
      </c>
      <c r="C801" s="10">
        <f t="shared" si="38"/>
        <v>44081</v>
      </c>
      <c r="D801">
        <v>2007652</v>
      </c>
      <c r="E801" t="s">
        <v>130</v>
      </c>
      <c r="F801" s="6">
        <v>44085</v>
      </c>
      <c r="H801" t="s">
        <v>189</v>
      </c>
      <c r="I801" t="s">
        <v>120</v>
      </c>
    </row>
    <row r="802" spans="1:9" x14ac:dyDescent="0.25">
      <c r="A802" s="8" t="str">
        <f t="shared" si="36"/>
        <v>2007653.000</v>
      </c>
      <c r="B802" s="9" t="str">
        <f t="shared" si="37"/>
        <v/>
      </c>
      <c r="C802" s="10">
        <f t="shared" si="38"/>
        <v>44095</v>
      </c>
      <c r="D802">
        <v>2007653</v>
      </c>
      <c r="E802">
        <v>0</v>
      </c>
      <c r="F802" s="6">
        <v>44099</v>
      </c>
      <c r="H802" t="s">
        <v>189</v>
      </c>
      <c r="I802" t="s">
        <v>120</v>
      </c>
    </row>
    <row r="803" spans="1:9" x14ac:dyDescent="0.25">
      <c r="A803" s="8" t="str">
        <f t="shared" si="36"/>
        <v>2007654.H00</v>
      </c>
      <c r="B803" s="9" t="str">
        <f t="shared" si="37"/>
        <v>1</v>
      </c>
      <c r="C803" s="10">
        <f t="shared" si="38"/>
        <v>44081</v>
      </c>
      <c r="D803">
        <v>2007654</v>
      </c>
      <c r="E803" t="s">
        <v>122</v>
      </c>
      <c r="F803" s="6">
        <v>44085</v>
      </c>
      <c r="G803">
        <v>1</v>
      </c>
      <c r="H803" t="s">
        <v>191</v>
      </c>
      <c r="I803" t="s">
        <v>120</v>
      </c>
    </row>
    <row r="804" spans="1:9" x14ac:dyDescent="0.25">
      <c r="A804" s="8" t="str">
        <f t="shared" si="36"/>
        <v>2007655.XP0</v>
      </c>
      <c r="B804" s="9" t="str">
        <f t="shared" si="37"/>
        <v>1</v>
      </c>
      <c r="C804" s="10">
        <f t="shared" si="38"/>
        <v>44074</v>
      </c>
      <c r="D804">
        <v>2007655</v>
      </c>
      <c r="E804" t="s">
        <v>181</v>
      </c>
      <c r="F804" s="6">
        <v>44078</v>
      </c>
      <c r="G804">
        <v>1</v>
      </c>
      <c r="H804" t="s">
        <v>180</v>
      </c>
      <c r="I804" t="s">
        <v>120</v>
      </c>
    </row>
    <row r="805" spans="1:9" x14ac:dyDescent="0.25">
      <c r="A805" s="8" t="str">
        <f t="shared" si="36"/>
        <v>2007656.0P0</v>
      </c>
      <c r="B805" s="9" t="str">
        <f t="shared" si="37"/>
        <v/>
      </c>
      <c r="C805" s="10">
        <f t="shared" si="38"/>
        <v>44074</v>
      </c>
      <c r="D805">
        <v>2007656</v>
      </c>
      <c r="E805" t="s">
        <v>119</v>
      </c>
      <c r="F805" s="6">
        <v>44078</v>
      </c>
      <c r="H805" t="s">
        <v>180</v>
      </c>
      <c r="I805" t="s">
        <v>120</v>
      </c>
    </row>
    <row r="806" spans="1:9" x14ac:dyDescent="0.25">
      <c r="A806" s="8" t="str">
        <f t="shared" si="36"/>
        <v>2007657.X00</v>
      </c>
      <c r="B806" s="9" t="str">
        <f t="shared" si="37"/>
        <v>2</v>
      </c>
      <c r="C806" s="10">
        <f t="shared" si="38"/>
        <v>44068</v>
      </c>
      <c r="D806">
        <v>2007657</v>
      </c>
      <c r="E806" t="s">
        <v>225</v>
      </c>
      <c r="F806" s="6">
        <v>44071</v>
      </c>
      <c r="G806">
        <v>23</v>
      </c>
      <c r="H806" t="s">
        <v>180</v>
      </c>
      <c r="I806" t="s">
        <v>120</v>
      </c>
    </row>
    <row r="807" spans="1:9" x14ac:dyDescent="0.25">
      <c r="A807" s="8" t="str">
        <f t="shared" si="36"/>
        <v>2007661.0P0</v>
      </c>
      <c r="B807" s="9" t="str">
        <f t="shared" si="37"/>
        <v>3</v>
      </c>
      <c r="C807" s="10">
        <f t="shared" si="38"/>
        <v>44069</v>
      </c>
      <c r="D807">
        <v>2007661</v>
      </c>
      <c r="E807" t="s">
        <v>119</v>
      </c>
      <c r="F807" s="6">
        <v>44071</v>
      </c>
      <c r="G807">
        <v>31</v>
      </c>
      <c r="H807" t="s">
        <v>180</v>
      </c>
      <c r="I807" t="s">
        <v>120</v>
      </c>
    </row>
    <row r="808" spans="1:9" x14ac:dyDescent="0.25">
      <c r="A808" s="8" t="str">
        <f t="shared" si="36"/>
        <v>2007662.U00</v>
      </c>
      <c r="B808" s="9" t="str">
        <f t="shared" si="37"/>
        <v/>
      </c>
      <c r="C808" s="10">
        <f t="shared" si="38"/>
        <v>44081</v>
      </c>
      <c r="D808">
        <v>2007662</v>
      </c>
      <c r="E808" t="s">
        <v>131</v>
      </c>
      <c r="F808" s="6">
        <v>44085</v>
      </c>
      <c r="H808" t="s">
        <v>180</v>
      </c>
      <c r="I808" t="s">
        <v>120</v>
      </c>
    </row>
    <row r="809" spans="1:9" x14ac:dyDescent="0.25">
      <c r="A809" s="8" t="str">
        <f t="shared" si="36"/>
        <v>2007662.UP0</v>
      </c>
      <c r="B809" s="9" t="str">
        <f t="shared" si="37"/>
        <v/>
      </c>
      <c r="C809" s="10">
        <f t="shared" si="38"/>
        <v>44081</v>
      </c>
      <c r="D809">
        <v>2007662</v>
      </c>
      <c r="E809" t="s">
        <v>136</v>
      </c>
      <c r="F809" s="6">
        <v>44085</v>
      </c>
      <c r="H809" t="s">
        <v>180</v>
      </c>
      <c r="I809" t="s">
        <v>120</v>
      </c>
    </row>
    <row r="810" spans="1:9" x14ac:dyDescent="0.25">
      <c r="A810" s="8" t="str">
        <f t="shared" si="36"/>
        <v>2007664.ZO2</v>
      </c>
      <c r="B810" s="9" t="str">
        <f t="shared" si="37"/>
        <v/>
      </c>
      <c r="C810" s="10">
        <f t="shared" si="38"/>
        <v>44081</v>
      </c>
      <c r="D810">
        <v>2007664</v>
      </c>
      <c r="E810" t="s">
        <v>168</v>
      </c>
      <c r="F810" s="6">
        <v>44085</v>
      </c>
      <c r="H810" t="s">
        <v>180</v>
      </c>
      <c r="I810" t="s">
        <v>120</v>
      </c>
    </row>
    <row r="811" spans="1:9" x14ac:dyDescent="0.25">
      <c r="A811" s="8" t="str">
        <f t="shared" si="36"/>
        <v>2007666.000</v>
      </c>
      <c r="B811" s="9" t="str">
        <f t="shared" si="37"/>
        <v>3</v>
      </c>
      <c r="C811" s="10">
        <f t="shared" si="38"/>
        <v>44069</v>
      </c>
      <c r="D811">
        <v>2007666</v>
      </c>
      <c r="E811">
        <v>0</v>
      </c>
      <c r="F811" s="6">
        <v>44071</v>
      </c>
      <c r="G811">
        <v>33</v>
      </c>
      <c r="H811" t="s">
        <v>180</v>
      </c>
      <c r="I811" t="s">
        <v>120</v>
      </c>
    </row>
    <row r="812" spans="1:9" x14ac:dyDescent="0.25">
      <c r="A812" s="8" t="str">
        <f t="shared" si="36"/>
        <v>2007668.X00</v>
      </c>
      <c r="B812" s="9" t="str">
        <f t="shared" si="37"/>
        <v>2</v>
      </c>
      <c r="C812" s="10">
        <f t="shared" si="38"/>
        <v>44068</v>
      </c>
      <c r="D812">
        <v>2007668</v>
      </c>
      <c r="E812" t="s">
        <v>225</v>
      </c>
      <c r="F812" s="6">
        <v>44071</v>
      </c>
      <c r="G812">
        <v>20</v>
      </c>
      <c r="H812" t="s">
        <v>180</v>
      </c>
      <c r="I812" t="s">
        <v>120</v>
      </c>
    </row>
    <row r="813" spans="1:9" x14ac:dyDescent="0.25">
      <c r="A813" s="8" t="str">
        <f t="shared" si="36"/>
        <v>2007669.Z00</v>
      </c>
      <c r="B813" s="9" t="str">
        <f t="shared" si="37"/>
        <v/>
      </c>
      <c r="C813" s="10">
        <f t="shared" si="38"/>
        <v>44081</v>
      </c>
      <c r="D813">
        <v>2007669</v>
      </c>
      <c r="E813" t="s">
        <v>158</v>
      </c>
      <c r="F813" s="6">
        <v>44085</v>
      </c>
      <c r="H813" t="s">
        <v>191</v>
      </c>
      <c r="I813" t="s">
        <v>120</v>
      </c>
    </row>
    <row r="814" spans="1:9" x14ac:dyDescent="0.25">
      <c r="A814" s="8" t="str">
        <f t="shared" si="36"/>
        <v>2007669.Z0E</v>
      </c>
      <c r="B814" s="9" t="str">
        <f t="shared" si="37"/>
        <v/>
      </c>
      <c r="C814" s="10">
        <f t="shared" si="38"/>
        <v>44081</v>
      </c>
      <c r="D814">
        <v>2007669</v>
      </c>
      <c r="E814" t="s">
        <v>226</v>
      </c>
      <c r="F814" s="6">
        <v>44085</v>
      </c>
      <c r="H814" t="s">
        <v>191</v>
      </c>
      <c r="I814" t="s">
        <v>120</v>
      </c>
    </row>
    <row r="815" spans="1:9" x14ac:dyDescent="0.25">
      <c r="A815" s="8" t="str">
        <f t="shared" si="36"/>
        <v>2007670.H00</v>
      </c>
      <c r="B815" s="9" t="str">
        <f t="shared" si="37"/>
        <v/>
      </c>
      <c r="C815" s="10">
        <f t="shared" si="38"/>
        <v>44081</v>
      </c>
      <c r="D815">
        <v>2007670</v>
      </c>
      <c r="E815" t="s">
        <v>122</v>
      </c>
      <c r="F815" s="6">
        <v>44085</v>
      </c>
      <c r="H815" t="s">
        <v>189</v>
      </c>
      <c r="I815" t="s">
        <v>120</v>
      </c>
    </row>
    <row r="816" spans="1:9" x14ac:dyDescent="0.25">
      <c r="A816" s="8" t="str">
        <f t="shared" si="36"/>
        <v>2007673.U00</v>
      </c>
      <c r="B816" s="9" t="str">
        <f t="shared" si="37"/>
        <v/>
      </c>
      <c r="C816" s="10">
        <f t="shared" si="38"/>
        <v>44081</v>
      </c>
      <c r="D816">
        <v>2007673</v>
      </c>
      <c r="E816" t="s">
        <v>131</v>
      </c>
      <c r="F816" s="6">
        <v>44085</v>
      </c>
      <c r="H816" t="s">
        <v>180</v>
      </c>
      <c r="I816" t="s">
        <v>120</v>
      </c>
    </row>
    <row r="817" spans="1:9" x14ac:dyDescent="0.25">
      <c r="A817" s="8" t="str">
        <f t="shared" si="36"/>
        <v>2007674.H00</v>
      </c>
      <c r="B817" s="9" t="str">
        <f t="shared" si="37"/>
        <v/>
      </c>
      <c r="C817" s="10">
        <f t="shared" si="38"/>
        <v>44081</v>
      </c>
      <c r="D817">
        <v>2007674</v>
      </c>
      <c r="E817" t="s">
        <v>122</v>
      </c>
      <c r="F817" s="6">
        <v>44085</v>
      </c>
      <c r="H817" t="s">
        <v>180</v>
      </c>
      <c r="I817" t="s">
        <v>120</v>
      </c>
    </row>
    <row r="818" spans="1:9" x14ac:dyDescent="0.25">
      <c r="A818" s="8" t="str">
        <f t="shared" si="36"/>
        <v>2007674.HP0</v>
      </c>
      <c r="B818" s="9" t="str">
        <f t="shared" si="37"/>
        <v/>
      </c>
      <c r="C818" s="10">
        <f t="shared" si="38"/>
        <v>44081</v>
      </c>
      <c r="D818">
        <v>2007674</v>
      </c>
      <c r="E818" t="s">
        <v>121</v>
      </c>
      <c r="F818" s="6">
        <v>44085</v>
      </c>
      <c r="H818" t="s">
        <v>180</v>
      </c>
      <c r="I818" t="s">
        <v>120</v>
      </c>
    </row>
    <row r="819" spans="1:9" x14ac:dyDescent="0.25">
      <c r="A819" s="8" t="str">
        <f t="shared" si="36"/>
        <v>2007674.NF0</v>
      </c>
      <c r="B819" s="9" t="str">
        <f t="shared" si="37"/>
        <v/>
      </c>
      <c r="C819" s="10">
        <f t="shared" si="38"/>
        <v>44081</v>
      </c>
      <c r="D819">
        <v>2007674</v>
      </c>
      <c r="E819" t="s">
        <v>137</v>
      </c>
      <c r="F819" s="6">
        <v>44085</v>
      </c>
      <c r="H819" t="s">
        <v>183</v>
      </c>
      <c r="I819" t="s">
        <v>120</v>
      </c>
    </row>
    <row r="820" spans="1:9" x14ac:dyDescent="0.25">
      <c r="A820" s="8" t="str">
        <f t="shared" si="36"/>
        <v>2007675.000</v>
      </c>
      <c r="B820" s="9" t="str">
        <f t="shared" si="37"/>
        <v/>
      </c>
      <c r="C820" s="10">
        <f t="shared" si="38"/>
        <v>44074</v>
      </c>
      <c r="D820">
        <v>2007675</v>
      </c>
      <c r="E820">
        <v>0</v>
      </c>
      <c r="F820" s="6">
        <v>44078</v>
      </c>
      <c r="H820" t="s">
        <v>180</v>
      </c>
      <c r="I820" t="s">
        <v>120</v>
      </c>
    </row>
    <row r="821" spans="1:9" x14ac:dyDescent="0.25">
      <c r="A821" s="8" t="str">
        <f t="shared" si="36"/>
        <v>2007678.Y02</v>
      </c>
      <c r="B821" s="9" t="str">
        <f t="shared" si="37"/>
        <v/>
      </c>
      <c r="C821" s="10">
        <f t="shared" si="38"/>
        <v>44081</v>
      </c>
      <c r="D821">
        <v>2007678</v>
      </c>
      <c r="E821" t="s">
        <v>144</v>
      </c>
      <c r="F821" s="6">
        <v>44085</v>
      </c>
      <c r="H821" t="s">
        <v>189</v>
      </c>
      <c r="I821" t="s">
        <v>120</v>
      </c>
    </row>
    <row r="822" spans="1:9" x14ac:dyDescent="0.25">
      <c r="A822" s="8" t="str">
        <f t="shared" si="36"/>
        <v>2007679.000</v>
      </c>
      <c r="B822" s="9" t="str">
        <f t="shared" si="37"/>
        <v/>
      </c>
      <c r="C822" s="10">
        <f t="shared" si="38"/>
        <v>44074</v>
      </c>
      <c r="D822">
        <v>2007679</v>
      </c>
      <c r="E822">
        <v>0</v>
      </c>
      <c r="F822" s="6">
        <v>44078</v>
      </c>
      <c r="H822" t="s">
        <v>180</v>
      </c>
      <c r="I822" t="s">
        <v>120</v>
      </c>
    </row>
    <row r="823" spans="1:9" x14ac:dyDescent="0.25">
      <c r="A823" s="8" t="str">
        <f t="shared" si="36"/>
        <v>2007680.000</v>
      </c>
      <c r="B823" s="9" t="str">
        <f t="shared" si="37"/>
        <v>1</v>
      </c>
      <c r="C823" s="10">
        <f t="shared" si="38"/>
        <v>44081</v>
      </c>
      <c r="D823">
        <v>2007680</v>
      </c>
      <c r="E823">
        <v>0</v>
      </c>
      <c r="F823" s="6">
        <v>44085</v>
      </c>
      <c r="G823">
        <v>11</v>
      </c>
      <c r="H823" t="s">
        <v>180</v>
      </c>
      <c r="I823" t="s">
        <v>120</v>
      </c>
    </row>
    <row r="824" spans="1:9" x14ac:dyDescent="0.25">
      <c r="A824" s="8" t="str">
        <f t="shared" si="36"/>
        <v>2007680.0P0</v>
      </c>
      <c r="B824" s="9" t="str">
        <f t="shared" si="37"/>
        <v>1</v>
      </c>
      <c r="C824" s="10">
        <f t="shared" si="38"/>
        <v>44081</v>
      </c>
      <c r="D824">
        <v>2007680</v>
      </c>
      <c r="E824" t="s">
        <v>119</v>
      </c>
      <c r="F824" s="6">
        <v>44085</v>
      </c>
      <c r="G824">
        <v>11</v>
      </c>
      <c r="H824" t="s">
        <v>180</v>
      </c>
      <c r="I824" t="s">
        <v>120</v>
      </c>
    </row>
    <row r="825" spans="1:9" x14ac:dyDescent="0.25">
      <c r="A825" s="8" t="str">
        <f t="shared" si="36"/>
        <v>2007680.Y0E</v>
      </c>
      <c r="B825" s="9" t="str">
        <f t="shared" si="37"/>
        <v>1</v>
      </c>
      <c r="C825" s="10">
        <f t="shared" si="38"/>
        <v>44081</v>
      </c>
      <c r="D825">
        <v>2007680</v>
      </c>
      <c r="E825" t="s">
        <v>287</v>
      </c>
      <c r="F825" s="6">
        <v>44085</v>
      </c>
      <c r="G825">
        <v>11</v>
      </c>
      <c r="H825" t="s">
        <v>180</v>
      </c>
      <c r="I825" t="s">
        <v>120</v>
      </c>
    </row>
    <row r="826" spans="1:9" x14ac:dyDescent="0.25">
      <c r="A826" s="8" t="str">
        <f t="shared" si="36"/>
        <v>2007681.H00</v>
      </c>
      <c r="B826" s="9" t="str">
        <f t="shared" si="37"/>
        <v/>
      </c>
      <c r="C826" s="10">
        <f t="shared" si="38"/>
        <v>44081</v>
      </c>
      <c r="D826">
        <v>2007681</v>
      </c>
      <c r="E826" t="s">
        <v>122</v>
      </c>
      <c r="F826" s="6">
        <v>44085</v>
      </c>
      <c r="H826" t="s">
        <v>180</v>
      </c>
      <c r="I826" t="s">
        <v>120</v>
      </c>
    </row>
    <row r="827" spans="1:9" x14ac:dyDescent="0.25">
      <c r="A827" s="8" t="str">
        <f t="shared" si="36"/>
        <v>2007681.H02</v>
      </c>
      <c r="B827" s="9" t="str">
        <f t="shared" si="37"/>
        <v/>
      </c>
      <c r="C827" s="10">
        <f t="shared" si="38"/>
        <v>44081</v>
      </c>
      <c r="D827">
        <v>2007681</v>
      </c>
      <c r="E827" t="s">
        <v>156</v>
      </c>
      <c r="F827" s="6">
        <v>44085</v>
      </c>
      <c r="H827" t="s">
        <v>180</v>
      </c>
      <c r="I827" t="s">
        <v>120</v>
      </c>
    </row>
    <row r="828" spans="1:9" x14ac:dyDescent="0.25">
      <c r="A828" s="8" t="str">
        <f t="shared" si="36"/>
        <v>2007681.Y00</v>
      </c>
      <c r="B828" s="9" t="str">
        <f t="shared" si="37"/>
        <v/>
      </c>
      <c r="C828" s="10">
        <f t="shared" si="38"/>
        <v>44081</v>
      </c>
      <c r="D828">
        <v>2007681</v>
      </c>
      <c r="E828" t="s">
        <v>130</v>
      </c>
      <c r="F828" s="6">
        <v>44085</v>
      </c>
      <c r="H828" t="s">
        <v>189</v>
      </c>
      <c r="I828" t="s">
        <v>120</v>
      </c>
    </row>
    <row r="829" spans="1:9" x14ac:dyDescent="0.25">
      <c r="A829" s="8" t="str">
        <f t="shared" si="36"/>
        <v>2007681.Z02</v>
      </c>
      <c r="B829" s="9" t="str">
        <f t="shared" si="37"/>
        <v/>
      </c>
      <c r="C829" s="10">
        <f t="shared" si="38"/>
        <v>44081</v>
      </c>
      <c r="D829">
        <v>2007681</v>
      </c>
      <c r="E829" t="s">
        <v>260</v>
      </c>
      <c r="F829" s="6">
        <v>44085</v>
      </c>
      <c r="H829" t="s">
        <v>180</v>
      </c>
      <c r="I829" t="s">
        <v>120</v>
      </c>
    </row>
    <row r="830" spans="1:9" x14ac:dyDescent="0.25">
      <c r="A830" s="8" t="str">
        <f t="shared" si="36"/>
        <v>2007682.000</v>
      </c>
      <c r="B830" s="9" t="str">
        <f t="shared" si="37"/>
        <v>1</v>
      </c>
      <c r="C830" s="10">
        <f t="shared" si="38"/>
        <v>44088</v>
      </c>
      <c r="D830">
        <v>2007682</v>
      </c>
      <c r="E830">
        <v>0</v>
      </c>
      <c r="F830" s="6">
        <v>44092</v>
      </c>
      <c r="G830">
        <v>1</v>
      </c>
      <c r="H830" t="s">
        <v>189</v>
      </c>
      <c r="I830" t="s">
        <v>120</v>
      </c>
    </row>
    <row r="831" spans="1:9" x14ac:dyDescent="0.25">
      <c r="A831" s="8" t="str">
        <f t="shared" si="36"/>
        <v>2007684.000</v>
      </c>
      <c r="B831" s="9" t="str">
        <f t="shared" si="37"/>
        <v>4</v>
      </c>
      <c r="C831" s="10">
        <f t="shared" si="38"/>
        <v>44077</v>
      </c>
      <c r="D831">
        <v>2007684</v>
      </c>
      <c r="E831">
        <v>0</v>
      </c>
      <c r="F831" s="6">
        <v>44078</v>
      </c>
      <c r="G831">
        <v>41</v>
      </c>
      <c r="H831" t="s">
        <v>180</v>
      </c>
      <c r="I831" t="s">
        <v>120</v>
      </c>
    </row>
    <row r="832" spans="1:9" x14ac:dyDescent="0.25">
      <c r="A832" s="8" t="str">
        <f t="shared" si="36"/>
        <v>2007685.000</v>
      </c>
      <c r="B832" s="9" t="str">
        <f t="shared" si="37"/>
        <v>4</v>
      </c>
      <c r="C832" s="10">
        <f t="shared" si="38"/>
        <v>44077</v>
      </c>
      <c r="D832">
        <v>2007685</v>
      </c>
      <c r="E832">
        <v>0</v>
      </c>
      <c r="F832" s="6">
        <v>44078</v>
      </c>
      <c r="G832">
        <v>41</v>
      </c>
      <c r="H832" t="s">
        <v>180</v>
      </c>
      <c r="I832" t="s">
        <v>120</v>
      </c>
    </row>
    <row r="833" spans="1:9" x14ac:dyDescent="0.25">
      <c r="A833" s="8" t="str">
        <f t="shared" si="36"/>
        <v>2007687.H02</v>
      </c>
      <c r="B833" s="9" t="str">
        <f t="shared" si="37"/>
        <v/>
      </c>
      <c r="C833" s="10">
        <f t="shared" si="38"/>
        <v>44081</v>
      </c>
      <c r="D833">
        <v>2007687</v>
      </c>
      <c r="E833" t="s">
        <v>156</v>
      </c>
      <c r="F833" s="6">
        <v>44085</v>
      </c>
      <c r="H833" t="s">
        <v>180</v>
      </c>
      <c r="I833" t="s">
        <v>120</v>
      </c>
    </row>
    <row r="834" spans="1:9" x14ac:dyDescent="0.25">
      <c r="A834" s="8" t="str">
        <f t="shared" ref="A834:A897" si="39">IF(D834="","",IF(E834=0,CONCATENATE(D834,".",E834,"00"),CONCATENATE(D834,".",E834)))</f>
        <v>2007689.HP0</v>
      </c>
      <c r="B834" s="9" t="str">
        <f t="shared" ref="B834:B897" si="40">LEFT(G834,1)</f>
        <v>1</v>
      </c>
      <c r="C834" s="10">
        <f t="shared" ref="C834:C897" si="41">IF(F834="","",IF(B834="",F834-4,IF(B834="1",F834-4,IF(B834="2",F834-3,IF(B834="3",F834-2,IF(B834="4",F834-1,IF(B834="V",F834-7,IF(B834="J",F834-8,F834))))))))</f>
        <v>44074</v>
      </c>
      <c r="D834">
        <v>2007689</v>
      </c>
      <c r="E834" t="s">
        <v>121</v>
      </c>
      <c r="F834" s="6">
        <v>44078</v>
      </c>
      <c r="G834">
        <v>1</v>
      </c>
      <c r="H834" t="s">
        <v>180</v>
      </c>
      <c r="I834" t="s">
        <v>120</v>
      </c>
    </row>
    <row r="835" spans="1:9" x14ac:dyDescent="0.25">
      <c r="A835" s="8" t="str">
        <f t="shared" si="39"/>
        <v>2007689.Y01</v>
      </c>
      <c r="B835" s="9" t="str">
        <f t="shared" si="40"/>
        <v>1</v>
      </c>
      <c r="C835" s="10">
        <f t="shared" si="41"/>
        <v>44074</v>
      </c>
      <c r="D835">
        <v>2007689</v>
      </c>
      <c r="E835" t="s">
        <v>132</v>
      </c>
      <c r="F835" s="6">
        <v>44078</v>
      </c>
      <c r="G835">
        <v>1</v>
      </c>
      <c r="H835" t="s">
        <v>180</v>
      </c>
      <c r="I835" t="s">
        <v>120</v>
      </c>
    </row>
    <row r="836" spans="1:9" x14ac:dyDescent="0.25">
      <c r="A836" s="8" t="str">
        <f t="shared" si="39"/>
        <v>2007690.X00</v>
      </c>
      <c r="B836" s="9" t="str">
        <f t="shared" si="40"/>
        <v>3</v>
      </c>
      <c r="C836" s="10">
        <f t="shared" si="41"/>
        <v>44069</v>
      </c>
      <c r="D836">
        <v>2007690</v>
      </c>
      <c r="E836" t="s">
        <v>225</v>
      </c>
      <c r="F836" s="6">
        <v>44071</v>
      </c>
      <c r="G836">
        <v>34</v>
      </c>
      <c r="H836" t="s">
        <v>180</v>
      </c>
      <c r="I836" t="s">
        <v>120</v>
      </c>
    </row>
    <row r="837" spans="1:9" x14ac:dyDescent="0.25">
      <c r="A837" s="8" t="str">
        <f t="shared" si="39"/>
        <v>2007693.000</v>
      </c>
      <c r="B837" s="9" t="str">
        <f t="shared" si="40"/>
        <v>4</v>
      </c>
      <c r="C837" s="10">
        <f t="shared" si="41"/>
        <v>44077</v>
      </c>
      <c r="D837">
        <v>2007693</v>
      </c>
      <c r="E837">
        <v>0</v>
      </c>
      <c r="F837" s="6">
        <v>44078</v>
      </c>
      <c r="G837">
        <v>41</v>
      </c>
      <c r="H837" t="s">
        <v>180</v>
      </c>
      <c r="I837" t="s">
        <v>120</v>
      </c>
    </row>
    <row r="838" spans="1:9" x14ac:dyDescent="0.25">
      <c r="A838" s="8" t="str">
        <f t="shared" si="39"/>
        <v>2007695.000</v>
      </c>
      <c r="B838" s="9" t="str">
        <f t="shared" si="40"/>
        <v>4</v>
      </c>
      <c r="C838" s="10">
        <f t="shared" si="41"/>
        <v>44077</v>
      </c>
      <c r="D838">
        <v>2007695</v>
      </c>
      <c r="E838">
        <v>0</v>
      </c>
      <c r="F838" s="6">
        <v>44078</v>
      </c>
      <c r="G838">
        <v>41</v>
      </c>
      <c r="H838" t="s">
        <v>180</v>
      </c>
      <c r="I838" t="s">
        <v>120</v>
      </c>
    </row>
    <row r="839" spans="1:9" x14ac:dyDescent="0.25">
      <c r="A839" s="8" t="str">
        <f t="shared" si="39"/>
        <v>2007700.000</v>
      </c>
      <c r="B839" s="9" t="str">
        <f t="shared" si="40"/>
        <v/>
      </c>
      <c r="C839" s="10">
        <f t="shared" si="41"/>
        <v>44088</v>
      </c>
      <c r="D839">
        <v>2007700</v>
      </c>
      <c r="E839">
        <v>0</v>
      </c>
      <c r="F839" s="6">
        <v>44092</v>
      </c>
      <c r="H839" t="s">
        <v>189</v>
      </c>
      <c r="I839" t="s">
        <v>120</v>
      </c>
    </row>
    <row r="840" spans="1:9" x14ac:dyDescent="0.25">
      <c r="A840" s="8" t="str">
        <f t="shared" si="39"/>
        <v>2007701.UPL</v>
      </c>
      <c r="B840" s="9" t="str">
        <f t="shared" si="40"/>
        <v/>
      </c>
      <c r="C840" s="10">
        <f t="shared" si="41"/>
        <v>44081</v>
      </c>
      <c r="D840">
        <v>2007701</v>
      </c>
      <c r="E840" t="s">
        <v>143</v>
      </c>
      <c r="F840" s="6">
        <v>44085</v>
      </c>
      <c r="H840" t="s">
        <v>180</v>
      </c>
      <c r="I840" t="s">
        <v>120</v>
      </c>
    </row>
    <row r="841" spans="1:9" x14ac:dyDescent="0.25">
      <c r="A841" s="8" t="str">
        <f t="shared" si="39"/>
        <v>2007702.U01</v>
      </c>
      <c r="B841" s="9" t="str">
        <f t="shared" si="40"/>
        <v>V</v>
      </c>
      <c r="C841" s="10">
        <f t="shared" si="41"/>
        <v>44064</v>
      </c>
      <c r="D841">
        <v>2007702</v>
      </c>
      <c r="E841" t="s">
        <v>150</v>
      </c>
      <c r="F841" s="6">
        <v>44071</v>
      </c>
      <c r="G841" t="s">
        <v>308</v>
      </c>
      <c r="H841" t="s">
        <v>180</v>
      </c>
      <c r="I841" t="s">
        <v>120</v>
      </c>
    </row>
    <row r="842" spans="1:9" x14ac:dyDescent="0.25">
      <c r="A842" s="8" t="str">
        <f t="shared" si="39"/>
        <v>2007704.H00</v>
      </c>
      <c r="B842" s="9" t="str">
        <f t="shared" si="40"/>
        <v/>
      </c>
      <c r="C842" s="10">
        <f t="shared" si="41"/>
        <v>44074</v>
      </c>
      <c r="D842">
        <v>2007704</v>
      </c>
      <c r="E842" t="s">
        <v>122</v>
      </c>
      <c r="F842" s="6">
        <v>44078</v>
      </c>
      <c r="H842" t="s">
        <v>180</v>
      </c>
      <c r="I842" t="s">
        <v>120</v>
      </c>
    </row>
    <row r="843" spans="1:9" x14ac:dyDescent="0.25">
      <c r="A843" s="8" t="str">
        <f t="shared" si="39"/>
        <v>2007708.0P0</v>
      </c>
      <c r="B843" s="9" t="str">
        <f t="shared" si="40"/>
        <v>4</v>
      </c>
      <c r="C843" s="10">
        <f t="shared" si="41"/>
        <v>44070</v>
      </c>
      <c r="D843">
        <v>2007708</v>
      </c>
      <c r="E843" t="s">
        <v>119</v>
      </c>
      <c r="F843" s="6">
        <v>44071</v>
      </c>
      <c r="G843">
        <v>41</v>
      </c>
      <c r="H843" t="s">
        <v>180</v>
      </c>
      <c r="I843" t="s">
        <v>120</v>
      </c>
    </row>
    <row r="844" spans="1:9" x14ac:dyDescent="0.25">
      <c r="A844" s="8" t="str">
        <f t="shared" si="39"/>
        <v>2007709.H0L</v>
      </c>
      <c r="B844" s="9" t="str">
        <f t="shared" si="40"/>
        <v>4</v>
      </c>
      <c r="C844" s="10">
        <f t="shared" si="41"/>
        <v>44084</v>
      </c>
      <c r="D844">
        <v>2007709</v>
      </c>
      <c r="E844" t="s">
        <v>261</v>
      </c>
      <c r="F844" s="6">
        <v>44085</v>
      </c>
      <c r="G844">
        <v>4</v>
      </c>
      <c r="H844" t="s">
        <v>189</v>
      </c>
      <c r="I844" t="s">
        <v>120</v>
      </c>
    </row>
    <row r="845" spans="1:9" x14ac:dyDescent="0.25">
      <c r="A845" s="8" t="str">
        <f t="shared" si="39"/>
        <v>2007709.HP0</v>
      </c>
      <c r="B845" s="9" t="str">
        <f t="shared" si="40"/>
        <v>4</v>
      </c>
      <c r="C845" s="10">
        <f t="shared" si="41"/>
        <v>44084</v>
      </c>
      <c r="D845">
        <v>2007709</v>
      </c>
      <c r="E845" t="s">
        <v>121</v>
      </c>
      <c r="F845" s="6">
        <v>44085</v>
      </c>
      <c r="G845">
        <v>4</v>
      </c>
      <c r="H845" t="s">
        <v>180</v>
      </c>
      <c r="I845" t="s">
        <v>120</v>
      </c>
    </row>
    <row r="846" spans="1:9" x14ac:dyDescent="0.25">
      <c r="A846" s="8" t="str">
        <f t="shared" si="39"/>
        <v>2007709.Y01</v>
      </c>
      <c r="B846" s="9" t="str">
        <f t="shared" si="40"/>
        <v>4</v>
      </c>
      <c r="C846" s="10">
        <f t="shared" si="41"/>
        <v>44084</v>
      </c>
      <c r="D846">
        <v>2007709</v>
      </c>
      <c r="E846" t="s">
        <v>132</v>
      </c>
      <c r="F846" s="6">
        <v>44085</v>
      </c>
      <c r="G846">
        <v>4</v>
      </c>
      <c r="H846" t="s">
        <v>189</v>
      </c>
      <c r="I846" t="s">
        <v>120</v>
      </c>
    </row>
    <row r="847" spans="1:9" x14ac:dyDescent="0.25">
      <c r="A847" s="8" t="str">
        <f t="shared" si="39"/>
        <v>2007711.Y00</v>
      </c>
      <c r="B847" s="9" t="str">
        <f t="shared" si="40"/>
        <v/>
      </c>
      <c r="C847" s="10">
        <f t="shared" si="41"/>
        <v>44074</v>
      </c>
      <c r="D847">
        <v>2007711</v>
      </c>
      <c r="E847" t="s">
        <v>130</v>
      </c>
      <c r="F847" s="6">
        <v>44078</v>
      </c>
      <c r="H847" t="s">
        <v>180</v>
      </c>
      <c r="I847" t="s">
        <v>120</v>
      </c>
    </row>
    <row r="848" spans="1:9" x14ac:dyDescent="0.25">
      <c r="A848" s="8" t="str">
        <f t="shared" si="39"/>
        <v>2007713.N00</v>
      </c>
      <c r="B848" s="9" t="str">
        <f t="shared" si="40"/>
        <v/>
      </c>
      <c r="C848" s="10">
        <f t="shared" si="41"/>
        <v>44018</v>
      </c>
      <c r="D848">
        <v>2007713</v>
      </c>
      <c r="E848" t="s">
        <v>125</v>
      </c>
      <c r="F848" s="6">
        <v>44022</v>
      </c>
      <c r="H848" t="s">
        <v>188</v>
      </c>
      <c r="I848" t="s">
        <v>120</v>
      </c>
    </row>
    <row r="849" spans="1:9" x14ac:dyDescent="0.25">
      <c r="A849" s="8" t="str">
        <f t="shared" si="39"/>
        <v>2007714.U02</v>
      </c>
      <c r="B849" s="9" t="str">
        <f t="shared" si="40"/>
        <v/>
      </c>
      <c r="C849" s="10">
        <f t="shared" si="41"/>
        <v>44088</v>
      </c>
      <c r="D849">
        <v>2007714</v>
      </c>
      <c r="E849" t="s">
        <v>149</v>
      </c>
      <c r="F849" s="6">
        <v>44092</v>
      </c>
      <c r="H849" t="s">
        <v>180</v>
      </c>
      <c r="I849" t="s">
        <v>120</v>
      </c>
    </row>
    <row r="850" spans="1:9" x14ac:dyDescent="0.25">
      <c r="A850" s="8" t="str">
        <f t="shared" si="39"/>
        <v>2007715.U02</v>
      </c>
      <c r="B850" s="9" t="str">
        <f t="shared" si="40"/>
        <v/>
      </c>
      <c r="C850" s="10">
        <f t="shared" si="41"/>
        <v>44088</v>
      </c>
      <c r="D850">
        <v>2007715</v>
      </c>
      <c r="E850" t="s">
        <v>149</v>
      </c>
      <c r="F850" s="6">
        <v>44092</v>
      </c>
      <c r="H850" t="s">
        <v>189</v>
      </c>
      <c r="I850" t="s">
        <v>120</v>
      </c>
    </row>
    <row r="851" spans="1:9" x14ac:dyDescent="0.25">
      <c r="A851" s="8" t="str">
        <f t="shared" si="39"/>
        <v>2007720.000</v>
      </c>
      <c r="B851" s="9" t="str">
        <f t="shared" si="40"/>
        <v/>
      </c>
      <c r="C851" s="10">
        <f t="shared" si="41"/>
        <v>44039</v>
      </c>
      <c r="D851">
        <v>2007720</v>
      </c>
      <c r="E851">
        <v>0</v>
      </c>
      <c r="F851" s="6">
        <v>44043</v>
      </c>
      <c r="H851" t="s">
        <v>191</v>
      </c>
      <c r="I851" t="s">
        <v>120</v>
      </c>
    </row>
    <row r="852" spans="1:9" x14ac:dyDescent="0.25">
      <c r="A852" s="8" t="str">
        <f t="shared" si="39"/>
        <v>2007722.U00</v>
      </c>
      <c r="B852" s="9" t="str">
        <f t="shared" si="40"/>
        <v/>
      </c>
      <c r="C852" s="10">
        <f t="shared" si="41"/>
        <v>44081</v>
      </c>
      <c r="D852">
        <v>2007722</v>
      </c>
      <c r="E852" t="s">
        <v>131</v>
      </c>
      <c r="F852" s="6">
        <v>44085</v>
      </c>
      <c r="H852" t="s">
        <v>189</v>
      </c>
      <c r="I852" t="s">
        <v>120</v>
      </c>
    </row>
    <row r="853" spans="1:9" x14ac:dyDescent="0.25">
      <c r="A853" s="8" t="str">
        <f t="shared" si="39"/>
        <v>2007723.000</v>
      </c>
      <c r="B853" s="9" t="str">
        <f t="shared" si="40"/>
        <v>3</v>
      </c>
      <c r="C853" s="10">
        <f t="shared" si="41"/>
        <v>44069</v>
      </c>
      <c r="D853">
        <v>2007723</v>
      </c>
      <c r="E853">
        <v>0</v>
      </c>
      <c r="F853" s="6">
        <v>44071</v>
      </c>
      <c r="G853">
        <v>33</v>
      </c>
      <c r="H853" t="s">
        <v>180</v>
      </c>
      <c r="I853" t="s">
        <v>120</v>
      </c>
    </row>
    <row r="854" spans="1:9" x14ac:dyDescent="0.25">
      <c r="A854" s="8" t="str">
        <f t="shared" si="39"/>
        <v>2007726.000</v>
      </c>
      <c r="B854" s="9" t="str">
        <f t="shared" si="40"/>
        <v/>
      </c>
      <c r="C854" s="10">
        <f t="shared" si="41"/>
        <v>44081</v>
      </c>
      <c r="D854">
        <v>2007726</v>
      </c>
      <c r="E854">
        <v>0</v>
      </c>
      <c r="F854" s="6">
        <v>44085</v>
      </c>
      <c r="H854" t="s">
        <v>180</v>
      </c>
      <c r="I854" t="s">
        <v>120</v>
      </c>
    </row>
    <row r="855" spans="1:9" x14ac:dyDescent="0.25">
      <c r="A855" s="8" t="str">
        <f t="shared" si="39"/>
        <v>2007726.Z02</v>
      </c>
      <c r="B855" s="9" t="str">
        <f t="shared" si="40"/>
        <v/>
      </c>
      <c r="C855" s="10">
        <f t="shared" si="41"/>
        <v>44081</v>
      </c>
      <c r="D855">
        <v>2007726</v>
      </c>
      <c r="E855" t="s">
        <v>260</v>
      </c>
      <c r="F855" s="6">
        <v>44085</v>
      </c>
      <c r="H855" t="s">
        <v>180</v>
      </c>
      <c r="I855" t="s">
        <v>120</v>
      </c>
    </row>
    <row r="856" spans="1:9" x14ac:dyDescent="0.25">
      <c r="A856" s="8" t="str">
        <f t="shared" si="39"/>
        <v>2007728.000</v>
      </c>
      <c r="B856" s="9" t="str">
        <f t="shared" si="40"/>
        <v/>
      </c>
      <c r="C856" s="10">
        <f t="shared" si="41"/>
        <v>44109</v>
      </c>
      <c r="D856">
        <v>2007728</v>
      </c>
      <c r="E856">
        <v>0</v>
      </c>
      <c r="F856" s="6">
        <v>44113</v>
      </c>
      <c r="H856" t="s">
        <v>189</v>
      </c>
      <c r="I856" t="s">
        <v>120</v>
      </c>
    </row>
    <row r="857" spans="1:9" x14ac:dyDescent="0.25">
      <c r="A857" s="8" t="str">
        <f t="shared" si="39"/>
        <v>2007729.U02</v>
      </c>
      <c r="B857" s="9" t="str">
        <f t="shared" si="40"/>
        <v/>
      </c>
      <c r="C857" s="10">
        <f t="shared" si="41"/>
        <v>44081</v>
      </c>
      <c r="D857">
        <v>2007729</v>
      </c>
      <c r="E857" t="s">
        <v>149</v>
      </c>
      <c r="F857" s="6">
        <v>44085</v>
      </c>
      <c r="H857" t="s">
        <v>189</v>
      </c>
      <c r="I857" t="s">
        <v>120</v>
      </c>
    </row>
    <row r="858" spans="1:9" x14ac:dyDescent="0.25">
      <c r="A858" s="8" t="str">
        <f t="shared" si="39"/>
        <v>2007730.000</v>
      </c>
      <c r="B858" s="9" t="str">
        <f t="shared" si="40"/>
        <v/>
      </c>
      <c r="C858" s="10">
        <f t="shared" si="41"/>
        <v>44088</v>
      </c>
      <c r="D858">
        <v>2007730</v>
      </c>
      <c r="E858">
        <v>0</v>
      </c>
      <c r="F858" s="6">
        <v>44092</v>
      </c>
      <c r="H858" t="s">
        <v>189</v>
      </c>
      <c r="I858" t="s">
        <v>120</v>
      </c>
    </row>
    <row r="859" spans="1:9" x14ac:dyDescent="0.25">
      <c r="A859" s="8" t="str">
        <f t="shared" si="39"/>
        <v>2007733.H00</v>
      </c>
      <c r="B859" s="9" t="str">
        <f t="shared" si="40"/>
        <v>1</v>
      </c>
      <c r="C859" s="10">
        <f t="shared" si="41"/>
        <v>44067</v>
      </c>
      <c r="D859">
        <v>2007733</v>
      </c>
      <c r="E859" t="s">
        <v>122</v>
      </c>
      <c r="F859" s="6">
        <v>44071</v>
      </c>
      <c r="G859">
        <v>13</v>
      </c>
      <c r="H859" t="s">
        <v>180</v>
      </c>
      <c r="I859" t="s">
        <v>120</v>
      </c>
    </row>
    <row r="860" spans="1:9" x14ac:dyDescent="0.25">
      <c r="A860" s="8" t="str">
        <f t="shared" si="39"/>
        <v>2007735.HP0</v>
      </c>
      <c r="B860" s="9" t="str">
        <f t="shared" si="40"/>
        <v/>
      </c>
      <c r="C860" s="10">
        <f t="shared" si="41"/>
        <v>44081</v>
      </c>
      <c r="D860">
        <v>2007735</v>
      </c>
      <c r="E860" t="s">
        <v>121</v>
      </c>
      <c r="F860" s="6">
        <v>44085</v>
      </c>
      <c r="H860" t="s">
        <v>180</v>
      </c>
      <c r="I860" t="s">
        <v>120</v>
      </c>
    </row>
    <row r="861" spans="1:9" x14ac:dyDescent="0.25">
      <c r="A861" s="8" t="str">
        <f t="shared" si="39"/>
        <v>2007735.U00</v>
      </c>
      <c r="B861" s="9" t="str">
        <f t="shared" si="40"/>
        <v/>
      </c>
      <c r="C861" s="10">
        <f t="shared" si="41"/>
        <v>44081</v>
      </c>
      <c r="D861">
        <v>2007735</v>
      </c>
      <c r="E861" t="s">
        <v>131</v>
      </c>
      <c r="F861" s="6">
        <v>44085</v>
      </c>
      <c r="H861" t="s">
        <v>189</v>
      </c>
      <c r="I861" t="s">
        <v>120</v>
      </c>
    </row>
    <row r="862" spans="1:9" x14ac:dyDescent="0.25">
      <c r="A862" s="8" t="str">
        <f t="shared" si="39"/>
        <v>2007738.U00</v>
      </c>
      <c r="B862" s="9" t="str">
        <f t="shared" si="40"/>
        <v/>
      </c>
      <c r="C862" s="10">
        <f t="shared" si="41"/>
        <v>44081</v>
      </c>
      <c r="D862">
        <v>2007738</v>
      </c>
      <c r="E862" t="s">
        <v>131</v>
      </c>
      <c r="F862" s="6">
        <v>44085</v>
      </c>
      <c r="H862" t="s">
        <v>189</v>
      </c>
      <c r="I862" t="s">
        <v>120</v>
      </c>
    </row>
    <row r="863" spans="1:9" x14ac:dyDescent="0.25">
      <c r="A863" s="8" t="str">
        <f t="shared" si="39"/>
        <v>2007739.Y02</v>
      </c>
      <c r="B863" s="9" t="str">
        <f t="shared" si="40"/>
        <v/>
      </c>
      <c r="C863" s="10">
        <f t="shared" si="41"/>
        <v>44081</v>
      </c>
      <c r="D863">
        <v>2007739</v>
      </c>
      <c r="E863" t="s">
        <v>144</v>
      </c>
      <c r="F863" s="6">
        <v>44085</v>
      </c>
      <c r="H863" t="s">
        <v>189</v>
      </c>
      <c r="I863" t="s">
        <v>120</v>
      </c>
    </row>
    <row r="864" spans="1:9" x14ac:dyDescent="0.25">
      <c r="A864" s="8" t="str">
        <f t="shared" si="39"/>
        <v>2007740.HP2</v>
      </c>
      <c r="B864" s="9" t="str">
        <f t="shared" si="40"/>
        <v/>
      </c>
      <c r="C864" s="10">
        <f t="shared" si="41"/>
        <v>44081</v>
      </c>
      <c r="D864">
        <v>2007740</v>
      </c>
      <c r="E864" t="s">
        <v>138</v>
      </c>
      <c r="F864" s="6">
        <v>44085</v>
      </c>
      <c r="H864" t="s">
        <v>180</v>
      </c>
      <c r="I864" t="s">
        <v>120</v>
      </c>
    </row>
    <row r="865" spans="1:9" x14ac:dyDescent="0.25">
      <c r="A865" s="8" t="str">
        <f t="shared" si="39"/>
        <v>2007742.Y02</v>
      </c>
      <c r="B865" s="9" t="str">
        <f t="shared" si="40"/>
        <v>2</v>
      </c>
      <c r="C865" s="10">
        <f t="shared" si="41"/>
        <v>44082</v>
      </c>
      <c r="D865">
        <v>2007742</v>
      </c>
      <c r="E865" t="s">
        <v>144</v>
      </c>
      <c r="F865" s="6">
        <v>44085</v>
      </c>
      <c r="G865">
        <v>23</v>
      </c>
      <c r="H865" t="s">
        <v>189</v>
      </c>
      <c r="I865" t="s">
        <v>120</v>
      </c>
    </row>
    <row r="866" spans="1:9" x14ac:dyDescent="0.25">
      <c r="A866" s="8" t="str">
        <f t="shared" si="39"/>
        <v>2007746.0P0</v>
      </c>
      <c r="B866" s="9" t="str">
        <f t="shared" si="40"/>
        <v>3</v>
      </c>
      <c r="C866" s="10">
        <f t="shared" si="41"/>
        <v>44069</v>
      </c>
      <c r="D866">
        <v>2007746</v>
      </c>
      <c r="E866" t="s">
        <v>119</v>
      </c>
      <c r="F866" s="6">
        <v>44071</v>
      </c>
      <c r="G866">
        <v>34</v>
      </c>
      <c r="H866" t="s">
        <v>180</v>
      </c>
      <c r="I866" t="s">
        <v>120</v>
      </c>
    </row>
    <row r="867" spans="1:9" x14ac:dyDescent="0.25">
      <c r="A867" s="8" t="str">
        <f t="shared" si="39"/>
        <v>2007747.H00</v>
      </c>
      <c r="B867" s="9" t="str">
        <f t="shared" si="40"/>
        <v/>
      </c>
      <c r="C867" s="10">
        <f t="shared" si="41"/>
        <v>44144</v>
      </c>
      <c r="D867">
        <v>2007747</v>
      </c>
      <c r="E867" t="s">
        <v>122</v>
      </c>
      <c r="F867" s="6">
        <v>44148</v>
      </c>
      <c r="H867" t="s">
        <v>189</v>
      </c>
      <c r="I867" t="s">
        <v>120</v>
      </c>
    </row>
    <row r="868" spans="1:9" x14ac:dyDescent="0.25">
      <c r="A868" s="8" t="str">
        <f t="shared" si="39"/>
        <v>2007748.0P0</v>
      </c>
      <c r="B868" s="9" t="str">
        <f t="shared" si="40"/>
        <v/>
      </c>
      <c r="C868" s="10">
        <f t="shared" si="41"/>
        <v>44074</v>
      </c>
      <c r="D868">
        <v>2007748</v>
      </c>
      <c r="E868" t="s">
        <v>119</v>
      </c>
      <c r="F868" s="6">
        <v>44078</v>
      </c>
      <c r="H868" t="s">
        <v>180</v>
      </c>
      <c r="I868" t="s">
        <v>120</v>
      </c>
    </row>
    <row r="869" spans="1:9" x14ac:dyDescent="0.25">
      <c r="A869" s="8" t="str">
        <f t="shared" si="39"/>
        <v>2007751.U00</v>
      </c>
      <c r="B869" s="9" t="str">
        <f t="shared" si="40"/>
        <v/>
      </c>
      <c r="C869" s="10">
        <f t="shared" si="41"/>
        <v>44081</v>
      </c>
      <c r="D869">
        <v>2007751</v>
      </c>
      <c r="E869" t="s">
        <v>131</v>
      </c>
      <c r="F869" s="6">
        <v>44085</v>
      </c>
      <c r="H869" t="s">
        <v>189</v>
      </c>
      <c r="I869" t="s">
        <v>120</v>
      </c>
    </row>
    <row r="870" spans="1:9" x14ac:dyDescent="0.25">
      <c r="A870" s="8" t="str">
        <f t="shared" si="39"/>
        <v>2007753.H01</v>
      </c>
      <c r="B870" s="9" t="str">
        <f t="shared" si="40"/>
        <v/>
      </c>
      <c r="C870" s="10">
        <f t="shared" si="41"/>
        <v>44081</v>
      </c>
      <c r="D870">
        <v>2007753</v>
      </c>
      <c r="E870" t="s">
        <v>145</v>
      </c>
      <c r="F870" s="6">
        <v>44085</v>
      </c>
      <c r="H870" t="s">
        <v>180</v>
      </c>
      <c r="I870" t="s">
        <v>120</v>
      </c>
    </row>
    <row r="871" spans="1:9" x14ac:dyDescent="0.25">
      <c r="A871" s="8" t="str">
        <f t="shared" si="39"/>
        <v>2007754.X00</v>
      </c>
      <c r="B871" s="9" t="str">
        <f t="shared" si="40"/>
        <v>4</v>
      </c>
      <c r="C871" s="10">
        <f t="shared" si="41"/>
        <v>44070</v>
      </c>
      <c r="D871">
        <v>2007754</v>
      </c>
      <c r="E871" t="s">
        <v>225</v>
      </c>
      <c r="F871" s="6">
        <v>44071</v>
      </c>
      <c r="G871">
        <v>42</v>
      </c>
      <c r="H871" t="s">
        <v>180</v>
      </c>
      <c r="I871" t="s">
        <v>120</v>
      </c>
    </row>
    <row r="872" spans="1:9" x14ac:dyDescent="0.25">
      <c r="A872" s="8" t="str">
        <f t="shared" si="39"/>
        <v>2007755.U01</v>
      </c>
      <c r="B872" s="9" t="str">
        <f t="shared" si="40"/>
        <v/>
      </c>
      <c r="C872" s="10">
        <f t="shared" si="41"/>
        <v>44081</v>
      </c>
      <c r="D872">
        <v>2007755</v>
      </c>
      <c r="E872" t="s">
        <v>150</v>
      </c>
      <c r="F872" s="6">
        <v>44085</v>
      </c>
      <c r="H872" t="s">
        <v>189</v>
      </c>
      <c r="I872" t="s">
        <v>120</v>
      </c>
    </row>
    <row r="873" spans="1:9" x14ac:dyDescent="0.25">
      <c r="A873" s="8" t="str">
        <f t="shared" si="39"/>
        <v>2007757.000</v>
      </c>
      <c r="B873" s="9" t="str">
        <f t="shared" si="40"/>
        <v>4</v>
      </c>
      <c r="C873" s="10">
        <f t="shared" si="41"/>
        <v>44091</v>
      </c>
      <c r="D873">
        <v>2007757</v>
      </c>
      <c r="E873">
        <v>0</v>
      </c>
      <c r="F873" s="6">
        <v>44092</v>
      </c>
      <c r="G873">
        <v>4</v>
      </c>
      <c r="H873" t="s">
        <v>189</v>
      </c>
      <c r="I873" t="s">
        <v>120</v>
      </c>
    </row>
    <row r="874" spans="1:9" x14ac:dyDescent="0.25">
      <c r="A874" s="8" t="str">
        <f t="shared" si="39"/>
        <v>2007757.HP1</v>
      </c>
      <c r="B874" s="9" t="str">
        <f t="shared" si="40"/>
        <v>4</v>
      </c>
      <c r="C874" s="10">
        <f t="shared" si="41"/>
        <v>44091</v>
      </c>
      <c r="D874">
        <v>2007757</v>
      </c>
      <c r="E874" t="s">
        <v>129</v>
      </c>
      <c r="F874" s="6">
        <v>44092</v>
      </c>
      <c r="G874">
        <v>4</v>
      </c>
      <c r="H874" t="s">
        <v>180</v>
      </c>
      <c r="I874" t="s">
        <v>120</v>
      </c>
    </row>
    <row r="875" spans="1:9" x14ac:dyDescent="0.25">
      <c r="A875" s="8" t="str">
        <f t="shared" si="39"/>
        <v>2007758.Y02</v>
      </c>
      <c r="B875" s="9" t="str">
        <f t="shared" si="40"/>
        <v/>
      </c>
      <c r="C875" s="10">
        <f t="shared" si="41"/>
        <v>44081</v>
      </c>
      <c r="D875">
        <v>2007758</v>
      </c>
      <c r="E875" t="s">
        <v>144</v>
      </c>
      <c r="F875" s="6">
        <v>44085</v>
      </c>
      <c r="H875" t="s">
        <v>189</v>
      </c>
      <c r="I875" t="s">
        <v>120</v>
      </c>
    </row>
    <row r="876" spans="1:9" x14ac:dyDescent="0.25">
      <c r="A876" s="8" t="str">
        <f t="shared" si="39"/>
        <v>2007760.0P0</v>
      </c>
      <c r="B876" s="9" t="str">
        <f t="shared" si="40"/>
        <v>3</v>
      </c>
      <c r="C876" s="10">
        <f t="shared" si="41"/>
        <v>44069</v>
      </c>
      <c r="D876">
        <v>2007760</v>
      </c>
      <c r="E876" t="s">
        <v>119</v>
      </c>
      <c r="F876" s="6">
        <v>44071</v>
      </c>
      <c r="G876">
        <v>30</v>
      </c>
      <c r="H876" t="s">
        <v>180</v>
      </c>
      <c r="I876" t="s">
        <v>120</v>
      </c>
    </row>
    <row r="877" spans="1:9" x14ac:dyDescent="0.25">
      <c r="A877" s="8" t="str">
        <f t="shared" si="39"/>
        <v>2007761.UJ0</v>
      </c>
      <c r="B877" s="9" t="str">
        <f t="shared" si="40"/>
        <v/>
      </c>
      <c r="C877" s="10">
        <f t="shared" si="41"/>
        <v>44074</v>
      </c>
      <c r="D877">
        <v>2007761</v>
      </c>
      <c r="E877" t="s">
        <v>277</v>
      </c>
      <c r="F877" s="6">
        <v>44078</v>
      </c>
      <c r="H877" t="s">
        <v>189</v>
      </c>
      <c r="I877" t="s">
        <v>120</v>
      </c>
    </row>
    <row r="878" spans="1:9" x14ac:dyDescent="0.25">
      <c r="A878" s="8" t="str">
        <f t="shared" si="39"/>
        <v>2007763.H00</v>
      </c>
      <c r="B878" s="9" t="str">
        <f t="shared" si="40"/>
        <v/>
      </c>
      <c r="C878" s="10">
        <f t="shared" si="41"/>
        <v>44081</v>
      </c>
      <c r="D878">
        <v>2007763</v>
      </c>
      <c r="E878" t="s">
        <v>122</v>
      </c>
      <c r="F878" s="6">
        <v>44085</v>
      </c>
      <c r="H878" t="s">
        <v>180</v>
      </c>
      <c r="I878" t="s">
        <v>120</v>
      </c>
    </row>
    <row r="879" spans="1:9" x14ac:dyDescent="0.25">
      <c r="A879" s="8" t="str">
        <f t="shared" si="39"/>
        <v>2007764.Y00</v>
      </c>
      <c r="B879" s="9" t="str">
        <f t="shared" si="40"/>
        <v>4</v>
      </c>
      <c r="C879" s="10">
        <f t="shared" si="41"/>
        <v>44077</v>
      </c>
      <c r="D879">
        <v>2007764</v>
      </c>
      <c r="E879" t="s">
        <v>130</v>
      </c>
      <c r="F879" s="6">
        <v>44078</v>
      </c>
      <c r="G879">
        <v>41</v>
      </c>
      <c r="H879" t="s">
        <v>189</v>
      </c>
      <c r="I879" t="s">
        <v>120</v>
      </c>
    </row>
    <row r="880" spans="1:9" x14ac:dyDescent="0.25">
      <c r="A880" s="8" t="str">
        <f t="shared" si="39"/>
        <v>2007765.0P0</v>
      </c>
      <c r="B880" s="9" t="str">
        <f t="shared" si="40"/>
        <v>3</v>
      </c>
      <c r="C880" s="10">
        <f t="shared" si="41"/>
        <v>44069</v>
      </c>
      <c r="D880">
        <v>2007765</v>
      </c>
      <c r="E880" t="s">
        <v>119</v>
      </c>
      <c r="F880" s="6">
        <v>44071</v>
      </c>
      <c r="G880">
        <v>30</v>
      </c>
      <c r="H880" t="s">
        <v>180</v>
      </c>
      <c r="I880" t="s">
        <v>120</v>
      </c>
    </row>
    <row r="881" spans="1:9" x14ac:dyDescent="0.25">
      <c r="A881" s="8" t="str">
        <f t="shared" si="39"/>
        <v>2007767.0P0</v>
      </c>
      <c r="B881" s="9" t="str">
        <f t="shared" si="40"/>
        <v/>
      </c>
      <c r="C881" s="10">
        <f t="shared" si="41"/>
        <v>44074</v>
      </c>
      <c r="D881">
        <v>2007767</v>
      </c>
      <c r="E881" t="s">
        <v>119</v>
      </c>
      <c r="F881" s="6">
        <v>44078</v>
      </c>
      <c r="H881" t="s">
        <v>180</v>
      </c>
      <c r="I881" t="s">
        <v>120</v>
      </c>
    </row>
    <row r="882" spans="1:9" x14ac:dyDescent="0.25">
      <c r="A882" s="8" t="str">
        <f t="shared" si="39"/>
        <v>2007767.X00</v>
      </c>
      <c r="B882" s="9" t="str">
        <f t="shared" si="40"/>
        <v/>
      </c>
      <c r="C882" s="10">
        <f t="shared" si="41"/>
        <v>44074</v>
      </c>
      <c r="D882">
        <v>2007767</v>
      </c>
      <c r="E882" t="s">
        <v>225</v>
      </c>
      <c r="F882" s="6">
        <v>44078</v>
      </c>
      <c r="H882" t="s">
        <v>180</v>
      </c>
      <c r="I882" t="s">
        <v>120</v>
      </c>
    </row>
    <row r="883" spans="1:9" x14ac:dyDescent="0.25">
      <c r="A883" s="8" t="str">
        <f t="shared" si="39"/>
        <v>2007768.0P0</v>
      </c>
      <c r="B883" s="9" t="str">
        <f t="shared" si="40"/>
        <v>3</v>
      </c>
      <c r="C883" s="10">
        <f t="shared" si="41"/>
        <v>44069</v>
      </c>
      <c r="D883">
        <v>2007768</v>
      </c>
      <c r="E883" t="s">
        <v>119</v>
      </c>
      <c r="F883" s="6">
        <v>44071</v>
      </c>
      <c r="G883">
        <v>31</v>
      </c>
      <c r="H883" t="s">
        <v>180</v>
      </c>
      <c r="I883" t="s">
        <v>120</v>
      </c>
    </row>
    <row r="884" spans="1:9" x14ac:dyDescent="0.25">
      <c r="A884" s="8" t="str">
        <f t="shared" si="39"/>
        <v>2007769.000</v>
      </c>
      <c r="B884" s="9" t="str">
        <f t="shared" si="40"/>
        <v>3</v>
      </c>
      <c r="C884" s="10">
        <f t="shared" si="41"/>
        <v>44083</v>
      </c>
      <c r="D884">
        <v>2007769</v>
      </c>
      <c r="E884">
        <v>0</v>
      </c>
      <c r="F884" s="6">
        <v>44085</v>
      </c>
      <c r="G884">
        <v>3</v>
      </c>
      <c r="H884" t="s">
        <v>180</v>
      </c>
      <c r="I884" t="s">
        <v>120</v>
      </c>
    </row>
    <row r="885" spans="1:9" x14ac:dyDescent="0.25">
      <c r="A885" s="8" t="str">
        <f t="shared" si="39"/>
        <v>2007769.H00</v>
      </c>
      <c r="B885" s="9" t="str">
        <f t="shared" si="40"/>
        <v>3</v>
      </c>
      <c r="C885" s="10">
        <f t="shared" si="41"/>
        <v>44083</v>
      </c>
      <c r="D885">
        <v>2007769</v>
      </c>
      <c r="E885" t="s">
        <v>122</v>
      </c>
      <c r="F885" s="6">
        <v>44085</v>
      </c>
      <c r="G885">
        <v>3</v>
      </c>
      <c r="H885" t="s">
        <v>180</v>
      </c>
      <c r="I885" t="s">
        <v>120</v>
      </c>
    </row>
    <row r="886" spans="1:9" x14ac:dyDescent="0.25">
      <c r="A886" s="8" t="str">
        <f t="shared" si="39"/>
        <v>2007771.H00</v>
      </c>
      <c r="B886" s="9" t="str">
        <f t="shared" si="40"/>
        <v/>
      </c>
      <c r="C886" s="10">
        <f t="shared" si="41"/>
        <v>44081</v>
      </c>
      <c r="D886">
        <v>2007771</v>
      </c>
      <c r="E886" t="s">
        <v>122</v>
      </c>
      <c r="F886" s="6">
        <v>44085</v>
      </c>
      <c r="H886" t="s">
        <v>180</v>
      </c>
      <c r="I886" t="s">
        <v>120</v>
      </c>
    </row>
    <row r="887" spans="1:9" x14ac:dyDescent="0.25">
      <c r="A887" s="8" t="str">
        <f t="shared" si="39"/>
        <v>2007774.U00</v>
      </c>
      <c r="B887" s="9" t="str">
        <f t="shared" si="40"/>
        <v/>
      </c>
      <c r="C887" s="10">
        <f t="shared" si="41"/>
        <v>44081</v>
      </c>
      <c r="D887">
        <v>2007774</v>
      </c>
      <c r="E887" t="s">
        <v>131</v>
      </c>
      <c r="F887" s="6">
        <v>44085</v>
      </c>
      <c r="H887" t="s">
        <v>189</v>
      </c>
      <c r="I887" t="s">
        <v>120</v>
      </c>
    </row>
    <row r="888" spans="1:9" x14ac:dyDescent="0.25">
      <c r="A888" s="8" t="str">
        <f t="shared" si="39"/>
        <v>2007775.Y02</v>
      </c>
      <c r="B888" s="9" t="str">
        <f t="shared" si="40"/>
        <v/>
      </c>
      <c r="C888" s="10">
        <f t="shared" si="41"/>
        <v>44081</v>
      </c>
      <c r="D888">
        <v>2007775</v>
      </c>
      <c r="E888" t="s">
        <v>144</v>
      </c>
      <c r="F888" s="6">
        <v>44085</v>
      </c>
      <c r="H888" t="s">
        <v>189</v>
      </c>
      <c r="I888" t="s">
        <v>120</v>
      </c>
    </row>
    <row r="889" spans="1:9" x14ac:dyDescent="0.25">
      <c r="A889" s="8" t="str">
        <f t="shared" si="39"/>
        <v>2007777.C00</v>
      </c>
      <c r="B889" s="9" t="str">
        <f t="shared" si="40"/>
        <v>3</v>
      </c>
      <c r="C889" s="10">
        <f t="shared" si="41"/>
        <v>44069</v>
      </c>
      <c r="D889">
        <v>2007777</v>
      </c>
      <c r="E889" t="s">
        <v>147</v>
      </c>
      <c r="F889" s="6">
        <v>44071</v>
      </c>
      <c r="G889">
        <v>33</v>
      </c>
      <c r="H889" t="s">
        <v>180</v>
      </c>
      <c r="I889" t="s">
        <v>120</v>
      </c>
    </row>
    <row r="890" spans="1:9" x14ac:dyDescent="0.25">
      <c r="A890" s="8" t="str">
        <f t="shared" si="39"/>
        <v>2007778.H00</v>
      </c>
      <c r="B890" s="9" t="str">
        <f t="shared" si="40"/>
        <v/>
      </c>
      <c r="C890" s="10">
        <f t="shared" si="41"/>
        <v>44081</v>
      </c>
      <c r="D890">
        <v>2007778</v>
      </c>
      <c r="E890" t="s">
        <v>122</v>
      </c>
      <c r="F890" s="6">
        <v>44085</v>
      </c>
      <c r="H890" t="s">
        <v>180</v>
      </c>
      <c r="I890" t="s">
        <v>120</v>
      </c>
    </row>
    <row r="891" spans="1:9" x14ac:dyDescent="0.25">
      <c r="A891" s="8" t="str">
        <f t="shared" si="39"/>
        <v>2007778.U00</v>
      </c>
      <c r="B891" s="9" t="str">
        <f t="shared" si="40"/>
        <v/>
      </c>
      <c r="C891" s="10">
        <f t="shared" si="41"/>
        <v>44081</v>
      </c>
      <c r="D891">
        <v>2007778</v>
      </c>
      <c r="E891" t="s">
        <v>131</v>
      </c>
      <c r="F891" s="6">
        <v>44085</v>
      </c>
      <c r="H891" t="s">
        <v>180</v>
      </c>
      <c r="I891" t="s">
        <v>120</v>
      </c>
    </row>
    <row r="892" spans="1:9" x14ac:dyDescent="0.25">
      <c r="A892" s="8" t="str">
        <f t="shared" si="39"/>
        <v>2007778.Y00</v>
      </c>
      <c r="B892" s="9" t="str">
        <f t="shared" si="40"/>
        <v/>
      </c>
      <c r="C892" s="10">
        <f t="shared" si="41"/>
        <v>44081</v>
      </c>
      <c r="D892">
        <v>2007778</v>
      </c>
      <c r="E892" t="s">
        <v>130</v>
      </c>
      <c r="F892" s="6">
        <v>44085</v>
      </c>
      <c r="H892" t="s">
        <v>189</v>
      </c>
      <c r="I892" t="s">
        <v>120</v>
      </c>
    </row>
    <row r="893" spans="1:9" x14ac:dyDescent="0.25">
      <c r="A893" s="8" t="str">
        <f t="shared" si="39"/>
        <v>2007780.Y0D</v>
      </c>
      <c r="B893" s="9" t="str">
        <f t="shared" si="40"/>
        <v/>
      </c>
      <c r="C893" s="10">
        <f t="shared" si="41"/>
        <v>44081</v>
      </c>
      <c r="D893">
        <v>2007780</v>
      </c>
      <c r="E893" t="s">
        <v>157</v>
      </c>
      <c r="F893" s="6">
        <v>44085</v>
      </c>
      <c r="H893" t="s">
        <v>189</v>
      </c>
      <c r="I893" t="s">
        <v>120</v>
      </c>
    </row>
    <row r="894" spans="1:9" x14ac:dyDescent="0.25">
      <c r="A894" s="8" t="str">
        <f t="shared" si="39"/>
        <v>2007780.Y0E</v>
      </c>
      <c r="B894" s="9" t="str">
        <f t="shared" si="40"/>
        <v/>
      </c>
      <c r="C894" s="10">
        <f t="shared" si="41"/>
        <v>44081</v>
      </c>
      <c r="D894">
        <v>2007780</v>
      </c>
      <c r="E894" t="s">
        <v>287</v>
      </c>
      <c r="F894" s="6">
        <v>44085</v>
      </c>
      <c r="H894" t="s">
        <v>180</v>
      </c>
      <c r="I894" t="s">
        <v>120</v>
      </c>
    </row>
    <row r="895" spans="1:9" x14ac:dyDescent="0.25">
      <c r="A895" s="8" t="str">
        <f t="shared" si="39"/>
        <v>2007781.NOL</v>
      </c>
      <c r="B895" s="9" t="str">
        <f t="shared" si="40"/>
        <v>1</v>
      </c>
      <c r="C895" s="10">
        <f t="shared" si="41"/>
        <v>44067</v>
      </c>
      <c r="D895">
        <v>2007781</v>
      </c>
      <c r="E895" t="s">
        <v>262</v>
      </c>
      <c r="F895" s="6">
        <v>44071</v>
      </c>
      <c r="G895">
        <v>11</v>
      </c>
      <c r="H895" t="s">
        <v>189</v>
      </c>
      <c r="I895" t="s">
        <v>120</v>
      </c>
    </row>
    <row r="896" spans="1:9" x14ac:dyDescent="0.25">
      <c r="A896" s="8" t="str">
        <f t="shared" si="39"/>
        <v>2007781.XP0</v>
      </c>
      <c r="B896" s="9" t="str">
        <f t="shared" si="40"/>
        <v>1</v>
      </c>
      <c r="C896" s="10">
        <f t="shared" si="41"/>
        <v>44067</v>
      </c>
      <c r="D896">
        <v>2007781</v>
      </c>
      <c r="E896" t="s">
        <v>181</v>
      </c>
      <c r="F896" s="6">
        <v>44071</v>
      </c>
      <c r="G896">
        <v>11</v>
      </c>
      <c r="H896" t="s">
        <v>180</v>
      </c>
      <c r="I896" t="s">
        <v>120</v>
      </c>
    </row>
    <row r="897" spans="1:9" x14ac:dyDescent="0.25">
      <c r="A897" s="8" t="str">
        <f t="shared" si="39"/>
        <v>2007782.0P0</v>
      </c>
      <c r="B897" s="9" t="str">
        <f t="shared" si="40"/>
        <v>2</v>
      </c>
      <c r="C897" s="10">
        <f t="shared" si="41"/>
        <v>44068</v>
      </c>
      <c r="D897">
        <v>2007782</v>
      </c>
      <c r="E897" t="s">
        <v>119</v>
      </c>
      <c r="F897" s="6">
        <v>44071</v>
      </c>
      <c r="G897">
        <v>23</v>
      </c>
      <c r="H897" t="s">
        <v>180</v>
      </c>
      <c r="I897" t="s">
        <v>120</v>
      </c>
    </row>
    <row r="898" spans="1:9" x14ac:dyDescent="0.25">
      <c r="A898" s="8" t="str">
        <f t="shared" ref="A898:A961" si="42">IF(D898="","",IF(E898=0,CONCATENATE(D898,".",E898,"00"),CONCATENATE(D898,".",E898)))</f>
        <v>2007789.TPL</v>
      </c>
      <c r="B898" s="9" t="str">
        <f t="shared" ref="B898:B961" si="43">LEFT(G898,1)</f>
        <v/>
      </c>
      <c r="C898" s="10">
        <f t="shared" ref="C898:C961" si="44">IF(F898="","",IF(B898="",F898-4,IF(B898="1",F898-4,IF(B898="2",F898-3,IF(B898="3",F898-2,IF(B898="4",F898-1,IF(B898="V",F898-7,IF(B898="J",F898-8,F898))))))))</f>
        <v>44081</v>
      </c>
      <c r="D898">
        <v>2007789</v>
      </c>
      <c r="E898" t="s">
        <v>288</v>
      </c>
      <c r="F898" s="6">
        <v>44085</v>
      </c>
      <c r="H898" t="s">
        <v>192</v>
      </c>
      <c r="I898" t="s">
        <v>120</v>
      </c>
    </row>
    <row r="899" spans="1:9" x14ac:dyDescent="0.25">
      <c r="A899" s="8" t="str">
        <f t="shared" si="42"/>
        <v>2007790.U01</v>
      </c>
      <c r="B899" s="9" t="str">
        <f t="shared" si="43"/>
        <v/>
      </c>
      <c r="C899" s="10">
        <f t="shared" si="44"/>
        <v>44095</v>
      </c>
      <c r="D899">
        <v>2007790</v>
      </c>
      <c r="E899" t="s">
        <v>150</v>
      </c>
      <c r="F899" s="6">
        <v>44099</v>
      </c>
      <c r="H899" t="s">
        <v>191</v>
      </c>
      <c r="I899" t="s">
        <v>120</v>
      </c>
    </row>
    <row r="900" spans="1:9" x14ac:dyDescent="0.25">
      <c r="A900" s="8" t="str">
        <f t="shared" si="42"/>
        <v>2007790.Y01</v>
      </c>
      <c r="B900" s="9" t="str">
        <f t="shared" si="43"/>
        <v/>
      </c>
      <c r="C900" s="10">
        <f t="shared" si="44"/>
        <v>44095</v>
      </c>
      <c r="D900">
        <v>2007790</v>
      </c>
      <c r="E900" t="s">
        <v>132</v>
      </c>
      <c r="F900" s="6">
        <v>44099</v>
      </c>
      <c r="H900" t="s">
        <v>191</v>
      </c>
      <c r="I900" t="s">
        <v>120</v>
      </c>
    </row>
    <row r="901" spans="1:9" x14ac:dyDescent="0.25">
      <c r="A901" s="8" t="str">
        <f t="shared" si="42"/>
        <v>2007791.U01</v>
      </c>
      <c r="B901" s="9" t="str">
        <f t="shared" si="43"/>
        <v/>
      </c>
      <c r="C901" s="10">
        <f t="shared" si="44"/>
        <v>44095</v>
      </c>
      <c r="D901">
        <v>2007791</v>
      </c>
      <c r="E901" t="s">
        <v>150</v>
      </c>
      <c r="F901" s="6">
        <v>44099</v>
      </c>
      <c r="H901" t="s">
        <v>191</v>
      </c>
      <c r="I901" t="s">
        <v>120</v>
      </c>
    </row>
    <row r="902" spans="1:9" x14ac:dyDescent="0.25">
      <c r="A902" s="8" t="str">
        <f t="shared" si="42"/>
        <v>2007792.X00</v>
      </c>
      <c r="B902" s="9" t="str">
        <f t="shared" si="43"/>
        <v>2</v>
      </c>
      <c r="C902" s="10">
        <f t="shared" si="44"/>
        <v>44068</v>
      </c>
      <c r="D902">
        <v>2007792</v>
      </c>
      <c r="E902" t="s">
        <v>225</v>
      </c>
      <c r="F902" s="6">
        <v>44071</v>
      </c>
      <c r="G902">
        <v>25</v>
      </c>
      <c r="H902" t="s">
        <v>180</v>
      </c>
      <c r="I902" t="s">
        <v>120</v>
      </c>
    </row>
    <row r="903" spans="1:9" x14ac:dyDescent="0.25">
      <c r="A903" s="8" t="str">
        <f t="shared" si="42"/>
        <v>2007795.000</v>
      </c>
      <c r="B903" s="9" t="str">
        <f t="shared" si="43"/>
        <v/>
      </c>
      <c r="C903" s="10">
        <f t="shared" si="44"/>
        <v>44067</v>
      </c>
      <c r="D903">
        <v>2007795</v>
      </c>
      <c r="E903">
        <v>0</v>
      </c>
      <c r="F903" s="6">
        <v>44071</v>
      </c>
      <c r="H903" t="s">
        <v>192</v>
      </c>
      <c r="I903" t="s">
        <v>120</v>
      </c>
    </row>
    <row r="904" spans="1:9" x14ac:dyDescent="0.25">
      <c r="A904" s="8" t="str">
        <f t="shared" si="42"/>
        <v>2007796.U00</v>
      </c>
      <c r="B904" s="9" t="str">
        <f t="shared" si="43"/>
        <v>1</v>
      </c>
      <c r="C904" s="10">
        <f t="shared" si="44"/>
        <v>44081</v>
      </c>
      <c r="D904">
        <v>2007796</v>
      </c>
      <c r="E904" t="s">
        <v>131</v>
      </c>
      <c r="F904" s="6">
        <v>44085</v>
      </c>
      <c r="G904">
        <v>1</v>
      </c>
      <c r="H904" t="s">
        <v>189</v>
      </c>
      <c r="I904" t="s">
        <v>120</v>
      </c>
    </row>
    <row r="905" spans="1:9" x14ac:dyDescent="0.25">
      <c r="A905" s="8" t="str">
        <f t="shared" si="42"/>
        <v>2007798.X00</v>
      </c>
      <c r="B905" s="9" t="str">
        <f t="shared" si="43"/>
        <v>3</v>
      </c>
      <c r="C905" s="10">
        <f t="shared" si="44"/>
        <v>44069</v>
      </c>
      <c r="D905">
        <v>2007798</v>
      </c>
      <c r="E905" t="s">
        <v>225</v>
      </c>
      <c r="F905" s="6">
        <v>44071</v>
      </c>
      <c r="G905">
        <v>31</v>
      </c>
      <c r="H905" t="s">
        <v>180</v>
      </c>
      <c r="I905" t="s">
        <v>120</v>
      </c>
    </row>
    <row r="906" spans="1:9" x14ac:dyDescent="0.25">
      <c r="A906" s="8" t="str">
        <f t="shared" si="42"/>
        <v>2007799.0P0</v>
      </c>
      <c r="B906" s="9" t="str">
        <f t="shared" si="43"/>
        <v>1</v>
      </c>
      <c r="C906" s="10">
        <f t="shared" si="44"/>
        <v>44074</v>
      </c>
      <c r="D906">
        <v>2007799</v>
      </c>
      <c r="E906" t="s">
        <v>119</v>
      </c>
      <c r="F906" s="6">
        <v>44078</v>
      </c>
      <c r="G906">
        <v>1</v>
      </c>
      <c r="H906" t="s">
        <v>180</v>
      </c>
      <c r="I906" t="s">
        <v>120</v>
      </c>
    </row>
    <row r="907" spans="1:9" x14ac:dyDescent="0.25">
      <c r="A907" s="8" t="str">
        <f t="shared" si="42"/>
        <v>2007800.0P0</v>
      </c>
      <c r="B907" s="9" t="str">
        <f t="shared" si="43"/>
        <v>3</v>
      </c>
      <c r="C907" s="10">
        <f t="shared" si="44"/>
        <v>44069</v>
      </c>
      <c r="D907">
        <v>2007800</v>
      </c>
      <c r="E907" t="s">
        <v>119</v>
      </c>
      <c r="F907" s="6">
        <v>44071</v>
      </c>
      <c r="G907">
        <v>31</v>
      </c>
      <c r="H907" t="s">
        <v>180</v>
      </c>
      <c r="I907" t="s">
        <v>120</v>
      </c>
    </row>
    <row r="908" spans="1:9" x14ac:dyDescent="0.25">
      <c r="A908" s="8" t="str">
        <f t="shared" si="42"/>
        <v>2007803.0P0</v>
      </c>
      <c r="B908" s="9" t="str">
        <f t="shared" si="43"/>
        <v/>
      </c>
      <c r="C908" s="10">
        <f t="shared" si="44"/>
        <v>44102</v>
      </c>
      <c r="D908">
        <v>2007803</v>
      </c>
      <c r="E908" t="s">
        <v>119</v>
      </c>
      <c r="F908" s="6">
        <v>44106</v>
      </c>
      <c r="H908" t="s">
        <v>189</v>
      </c>
      <c r="I908" t="s">
        <v>120</v>
      </c>
    </row>
    <row r="909" spans="1:9" x14ac:dyDescent="0.25">
      <c r="A909" s="8" t="str">
        <f t="shared" si="42"/>
        <v>2007804.NM0</v>
      </c>
      <c r="B909" s="9" t="str">
        <f t="shared" si="43"/>
        <v>2</v>
      </c>
      <c r="C909" s="10">
        <f t="shared" si="44"/>
        <v>44068</v>
      </c>
      <c r="D909">
        <v>2007804</v>
      </c>
      <c r="E909" t="s">
        <v>154</v>
      </c>
      <c r="F909" s="6">
        <v>44071</v>
      </c>
      <c r="G909">
        <v>22</v>
      </c>
      <c r="H909" t="s">
        <v>189</v>
      </c>
      <c r="I909" t="s">
        <v>120</v>
      </c>
    </row>
    <row r="910" spans="1:9" x14ac:dyDescent="0.25">
      <c r="A910" s="8" t="str">
        <f t="shared" si="42"/>
        <v>2007808.X00</v>
      </c>
      <c r="B910" s="9" t="str">
        <f t="shared" si="43"/>
        <v/>
      </c>
      <c r="C910" s="10">
        <f t="shared" si="44"/>
        <v>44067</v>
      </c>
      <c r="D910">
        <v>2007808</v>
      </c>
      <c r="E910" t="s">
        <v>225</v>
      </c>
      <c r="F910" s="6">
        <v>44071</v>
      </c>
      <c r="H910" t="s">
        <v>191</v>
      </c>
      <c r="I910" t="s">
        <v>120</v>
      </c>
    </row>
    <row r="911" spans="1:9" x14ac:dyDescent="0.25">
      <c r="A911" s="8" t="str">
        <f t="shared" si="42"/>
        <v>2007808.XP0</v>
      </c>
      <c r="B911" s="9" t="str">
        <f t="shared" si="43"/>
        <v/>
      </c>
      <c r="C911" s="10">
        <f t="shared" si="44"/>
        <v>44067</v>
      </c>
      <c r="D911">
        <v>2007808</v>
      </c>
      <c r="E911" t="s">
        <v>181</v>
      </c>
      <c r="F911" s="6">
        <v>44071</v>
      </c>
      <c r="H911" t="s">
        <v>191</v>
      </c>
      <c r="I911" t="s">
        <v>120</v>
      </c>
    </row>
    <row r="912" spans="1:9" x14ac:dyDescent="0.25">
      <c r="A912" s="8" t="str">
        <f t="shared" si="42"/>
        <v>2007809.N0L</v>
      </c>
      <c r="B912" s="9" t="str">
        <f t="shared" si="43"/>
        <v>3</v>
      </c>
      <c r="C912" s="10">
        <f t="shared" si="44"/>
        <v>44034</v>
      </c>
      <c r="D912">
        <v>2007809</v>
      </c>
      <c r="E912" t="s">
        <v>133</v>
      </c>
      <c r="F912" s="6">
        <v>44036</v>
      </c>
      <c r="G912">
        <v>34</v>
      </c>
      <c r="H912" t="s">
        <v>194</v>
      </c>
      <c r="I912" t="s">
        <v>120</v>
      </c>
    </row>
    <row r="913" spans="1:9" x14ac:dyDescent="0.25">
      <c r="A913" s="8" t="str">
        <f t="shared" si="42"/>
        <v>2007817.H00</v>
      </c>
      <c r="B913" s="9" t="str">
        <f t="shared" si="43"/>
        <v/>
      </c>
      <c r="C913" s="10">
        <f t="shared" si="44"/>
        <v>44095</v>
      </c>
      <c r="D913">
        <v>2007817</v>
      </c>
      <c r="E913" t="s">
        <v>122</v>
      </c>
      <c r="F913" s="6">
        <v>44099</v>
      </c>
      <c r="H913" t="s">
        <v>189</v>
      </c>
      <c r="I913" t="s">
        <v>120</v>
      </c>
    </row>
    <row r="914" spans="1:9" x14ac:dyDescent="0.25">
      <c r="A914" s="8" t="str">
        <f t="shared" si="42"/>
        <v>2007818.HPL</v>
      </c>
      <c r="B914" s="9" t="str">
        <f t="shared" si="43"/>
        <v/>
      </c>
      <c r="C914" s="10">
        <f t="shared" si="44"/>
        <v>44074</v>
      </c>
      <c r="D914">
        <v>2007818</v>
      </c>
      <c r="E914" t="s">
        <v>128</v>
      </c>
      <c r="F914" s="6">
        <v>44078</v>
      </c>
      <c r="H914" t="s">
        <v>192</v>
      </c>
      <c r="I914" t="s">
        <v>120</v>
      </c>
    </row>
    <row r="915" spans="1:9" x14ac:dyDescent="0.25">
      <c r="A915" s="8" t="str">
        <f t="shared" si="42"/>
        <v>2007820.000</v>
      </c>
      <c r="B915" s="9" t="str">
        <f t="shared" si="43"/>
        <v/>
      </c>
      <c r="C915" s="10">
        <f t="shared" si="44"/>
        <v>44102</v>
      </c>
      <c r="D915">
        <v>2007820</v>
      </c>
      <c r="E915">
        <v>0</v>
      </c>
      <c r="F915" s="6">
        <v>44106</v>
      </c>
      <c r="H915" t="s">
        <v>189</v>
      </c>
      <c r="I915" t="s">
        <v>120</v>
      </c>
    </row>
    <row r="916" spans="1:9" x14ac:dyDescent="0.25">
      <c r="A916" s="8" t="str">
        <f t="shared" si="42"/>
        <v>2007820.HP0</v>
      </c>
      <c r="B916" s="9" t="str">
        <f t="shared" si="43"/>
        <v/>
      </c>
      <c r="C916" s="10">
        <f t="shared" si="44"/>
        <v>44102</v>
      </c>
      <c r="D916">
        <v>2007820</v>
      </c>
      <c r="E916" t="s">
        <v>121</v>
      </c>
      <c r="F916" s="6">
        <v>44106</v>
      </c>
      <c r="H916" t="s">
        <v>189</v>
      </c>
      <c r="I916" t="s">
        <v>120</v>
      </c>
    </row>
    <row r="917" spans="1:9" x14ac:dyDescent="0.25">
      <c r="A917" s="8" t="str">
        <f t="shared" si="42"/>
        <v>2007821.000</v>
      </c>
      <c r="B917" s="9" t="str">
        <f t="shared" si="43"/>
        <v/>
      </c>
      <c r="C917" s="10">
        <f t="shared" si="44"/>
        <v>44088</v>
      </c>
      <c r="D917">
        <v>2007821</v>
      </c>
      <c r="E917">
        <v>0</v>
      </c>
      <c r="F917" s="6">
        <v>44092</v>
      </c>
      <c r="H917" t="s">
        <v>189</v>
      </c>
      <c r="I917" t="s">
        <v>120</v>
      </c>
    </row>
    <row r="918" spans="1:9" x14ac:dyDescent="0.25">
      <c r="A918" s="8" t="str">
        <f t="shared" si="42"/>
        <v>2007821.0P0</v>
      </c>
      <c r="B918" s="9" t="str">
        <f t="shared" si="43"/>
        <v/>
      </c>
      <c r="C918" s="10">
        <f t="shared" si="44"/>
        <v>44088</v>
      </c>
      <c r="D918">
        <v>2007821</v>
      </c>
      <c r="E918" t="s">
        <v>119</v>
      </c>
      <c r="F918" s="6">
        <v>44092</v>
      </c>
      <c r="H918" t="s">
        <v>189</v>
      </c>
      <c r="I918" t="s">
        <v>120</v>
      </c>
    </row>
    <row r="919" spans="1:9" x14ac:dyDescent="0.25">
      <c r="A919" s="8" t="str">
        <f t="shared" si="42"/>
        <v>2007822.000</v>
      </c>
      <c r="B919" s="9" t="str">
        <f t="shared" si="43"/>
        <v>4</v>
      </c>
      <c r="C919" s="10">
        <f t="shared" si="44"/>
        <v>44077</v>
      </c>
      <c r="D919">
        <v>2007822</v>
      </c>
      <c r="E919">
        <v>0</v>
      </c>
      <c r="F919" s="6">
        <v>44078</v>
      </c>
      <c r="G919">
        <v>4</v>
      </c>
      <c r="H919" t="s">
        <v>180</v>
      </c>
      <c r="I919" t="s">
        <v>120</v>
      </c>
    </row>
    <row r="920" spans="1:9" x14ac:dyDescent="0.25">
      <c r="A920" s="8" t="str">
        <f t="shared" si="42"/>
        <v>2007823.X00</v>
      </c>
      <c r="B920" s="9" t="str">
        <f t="shared" si="43"/>
        <v>4</v>
      </c>
      <c r="C920" s="10">
        <f t="shared" si="44"/>
        <v>44070</v>
      </c>
      <c r="D920">
        <v>2007823</v>
      </c>
      <c r="E920" t="s">
        <v>225</v>
      </c>
      <c r="F920" s="6">
        <v>44071</v>
      </c>
      <c r="G920">
        <v>41</v>
      </c>
      <c r="H920" t="s">
        <v>180</v>
      </c>
      <c r="I920" t="s">
        <v>120</v>
      </c>
    </row>
    <row r="921" spans="1:9" x14ac:dyDescent="0.25">
      <c r="A921" s="8" t="str">
        <f t="shared" si="42"/>
        <v>2007826.000</v>
      </c>
      <c r="B921" s="9" t="str">
        <f t="shared" si="43"/>
        <v>4</v>
      </c>
      <c r="C921" s="10">
        <f t="shared" si="44"/>
        <v>44098</v>
      </c>
      <c r="D921">
        <v>2007826</v>
      </c>
      <c r="E921">
        <v>0</v>
      </c>
      <c r="F921" s="6">
        <v>44099</v>
      </c>
      <c r="G921">
        <v>4</v>
      </c>
      <c r="H921" t="s">
        <v>189</v>
      </c>
      <c r="I921" t="s">
        <v>120</v>
      </c>
    </row>
    <row r="922" spans="1:9" x14ac:dyDescent="0.25">
      <c r="A922" s="8" t="str">
        <f t="shared" si="42"/>
        <v>2007832.Y00</v>
      </c>
      <c r="B922" s="9" t="str">
        <f t="shared" si="43"/>
        <v>2</v>
      </c>
      <c r="C922" s="10">
        <f t="shared" si="44"/>
        <v>44089</v>
      </c>
      <c r="D922">
        <v>2007832</v>
      </c>
      <c r="E922" t="s">
        <v>130</v>
      </c>
      <c r="F922" s="6">
        <v>44092</v>
      </c>
      <c r="G922">
        <v>2</v>
      </c>
      <c r="H922" t="s">
        <v>189</v>
      </c>
      <c r="I922" t="s">
        <v>120</v>
      </c>
    </row>
    <row r="923" spans="1:9" x14ac:dyDescent="0.25">
      <c r="A923" s="8" t="str">
        <f t="shared" si="42"/>
        <v>2007833.UPL</v>
      </c>
      <c r="B923" s="9" t="str">
        <f t="shared" si="43"/>
        <v/>
      </c>
      <c r="C923" s="10">
        <f t="shared" si="44"/>
        <v>44081</v>
      </c>
      <c r="D923">
        <v>2007833</v>
      </c>
      <c r="E923" t="s">
        <v>143</v>
      </c>
      <c r="F923" s="6">
        <v>44085</v>
      </c>
      <c r="H923" t="s">
        <v>180</v>
      </c>
      <c r="I923" t="s">
        <v>120</v>
      </c>
    </row>
    <row r="924" spans="1:9" x14ac:dyDescent="0.25">
      <c r="A924" s="8" t="str">
        <f t="shared" si="42"/>
        <v>2007836.XP0</v>
      </c>
      <c r="B924" s="9" t="str">
        <f t="shared" si="43"/>
        <v>3</v>
      </c>
      <c r="C924" s="10">
        <f t="shared" si="44"/>
        <v>44069</v>
      </c>
      <c r="D924">
        <v>2007836</v>
      </c>
      <c r="E924" t="s">
        <v>181</v>
      </c>
      <c r="F924" s="6">
        <v>44071</v>
      </c>
      <c r="G924">
        <v>30</v>
      </c>
      <c r="H924" t="s">
        <v>180</v>
      </c>
      <c r="I924" t="s">
        <v>120</v>
      </c>
    </row>
    <row r="925" spans="1:9" x14ac:dyDescent="0.25">
      <c r="A925" s="8" t="str">
        <f t="shared" si="42"/>
        <v>2007837.H00</v>
      </c>
      <c r="B925" s="9" t="str">
        <f t="shared" si="43"/>
        <v>4</v>
      </c>
      <c r="C925" s="10">
        <f t="shared" si="44"/>
        <v>44091</v>
      </c>
      <c r="D925">
        <v>2007837</v>
      </c>
      <c r="E925" t="s">
        <v>122</v>
      </c>
      <c r="F925" s="6">
        <v>44092</v>
      </c>
      <c r="G925">
        <v>4</v>
      </c>
      <c r="H925" t="s">
        <v>189</v>
      </c>
      <c r="I925" t="s">
        <v>120</v>
      </c>
    </row>
    <row r="926" spans="1:9" x14ac:dyDescent="0.25">
      <c r="A926" s="8" t="str">
        <f t="shared" si="42"/>
        <v>2007837.T00</v>
      </c>
      <c r="B926" s="9" t="str">
        <f t="shared" si="43"/>
        <v>4</v>
      </c>
      <c r="C926" s="10">
        <f t="shared" si="44"/>
        <v>44091</v>
      </c>
      <c r="D926">
        <v>2007837</v>
      </c>
      <c r="E926" t="s">
        <v>159</v>
      </c>
      <c r="F926" s="6">
        <v>44092</v>
      </c>
      <c r="G926">
        <v>4</v>
      </c>
      <c r="H926" t="s">
        <v>189</v>
      </c>
      <c r="I926" t="s">
        <v>120</v>
      </c>
    </row>
    <row r="927" spans="1:9" x14ac:dyDescent="0.25">
      <c r="A927" s="8" t="str">
        <f t="shared" si="42"/>
        <v>2007840.0P0</v>
      </c>
      <c r="B927" s="9" t="str">
        <f t="shared" si="43"/>
        <v>2</v>
      </c>
      <c r="C927" s="10">
        <f t="shared" si="44"/>
        <v>44068</v>
      </c>
      <c r="D927">
        <v>2007840</v>
      </c>
      <c r="E927" t="s">
        <v>119</v>
      </c>
      <c r="F927" s="6">
        <v>44071</v>
      </c>
      <c r="G927">
        <v>22</v>
      </c>
      <c r="H927" t="s">
        <v>180</v>
      </c>
      <c r="I927" t="s">
        <v>120</v>
      </c>
    </row>
    <row r="928" spans="1:9" x14ac:dyDescent="0.25">
      <c r="A928" s="8" t="str">
        <f t="shared" si="42"/>
        <v>2007843.0P0</v>
      </c>
      <c r="B928" s="9" t="str">
        <f t="shared" si="43"/>
        <v/>
      </c>
      <c r="C928" s="10">
        <f t="shared" si="44"/>
        <v>44074</v>
      </c>
      <c r="D928">
        <v>2007843</v>
      </c>
      <c r="E928" t="s">
        <v>119</v>
      </c>
      <c r="F928" s="6">
        <v>44078</v>
      </c>
      <c r="H928" t="s">
        <v>180</v>
      </c>
      <c r="I928" t="s">
        <v>120</v>
      </c>
    </row>
    <row r="929" spans="1:9" x14ac:dyDescent="0.25">
      <c r="A929" s="8" t="str">
        <f t="shared" si="42"/>
        <v>2007844.0P0</v>
      </c>
      <c r="B929" s="9" t="str">
        <f t="shared" si="43"/>
        <v>J</v>
      </c>
      <c r="C929" s="10">
        <f t="shared" si="44"/>
        <v>44063</v>
      </c>
      <c r="D929">
        <v>2007844</v>
      </c>
      <c r="E929" t="s">
        <v>119</v>
      </c>
      <c r="F929" s="6">
        <v>44071</v>
      </c>
      <c r="G929" t="s">
        <v>306</v>
      </c>
      <c r="H929" t="s">
        <v>180</v>
      </c>
      <c r="I929" t="s">
        <v>120</v>
      </c>
    </row>
    <row r="930" spans="1:9" x14ac:dyDescent="0.25">
      <c r="A930" s="8" t="str">
        <f t="shared" si="42"/>
        <v>2007845.HP0</v>
      </c>
      <c r="B930" s="9" t="str">
        <f t="shared" si="43"/>
        <v/>
      </c>
      <c r="C930" s="10">
        <f t="shared" si="44"/>
        <v>44081</v>
      </c>
      <c r="D930">
        <v>2007845</v>
      </c>
      <c r="E930" t="s">
        <v>121</v>
      </c>
      <c r="F930" s="6">
        <v>44085</v>
      </c>
      <c r="H930" t="s">
        <v>180</v>
      </c>
      <c r="I930" t="s">
        <v>120</v>
      </c>
    </row>
    <row r="931" spans="1:9" x14ac:dyDescent="0.25">
      <c r="A931" s="8" t="str">
        <f t="shared" si="42"/>
        <v>2007846.000</v>
      </c>
      <c r="B931" s="9" t="str">
        <f t="shared" si="43"/>
        <v>4</v>
      </c>
      <c r="C931" s="10">
        <f t="shared" si="44"/>
        <v>44077</v>
      </c>
      <c r="D931">
        <v>2007846</v>
      </c>
      <c r="E931">
        <v>0</v>
      </c>
      <c r="F931" s="6">
        <v>44078</v>
      </c>
      <c r="G931">
        <v>4</v>
      </c>
      <c r="H931" t="s">
        <v>180</v>
      </c>
      <c r="I931" t="s">
        <v>120</v>
      </c>
    </row>
    <row r="932" spans="1:9" x14ac:dyDescent="0.25">
      <c r="A932" s="8" t="str">
        <f t="shared" si="42"/>
        <v>2007846.ZP3</v>
      </c>
      <c r="B932" s="9" t="str">
        <f t="shared" si="43"/>
        <v>4</v>
      </c>
      <c r="C932" s="10">
        <f t="shared" si="44"/>
        <v>44077</v>
      </c>
      <c r="D932">
        <v>2007846</v>
      </c>
      <c r="E932" t="s">
        <v>140</v>
      </c>
      <c r="F932" s="6">
        <v>44078</v>
      </c>
      <c r="G932">
        <v>4</v>
      </c>
      <c r="H932" t="s">
        <v>180</v>
      </c>
      <c r="I932" t="s">
        <v>120</v>
      </c>
    </row>
    <row r="933" spans="1:9" x14ac:dyDescent="0.25">
      <c r="A933" s="8" t="str">
        <f t="shared" si="42"/>
        <v>2007849.N0L</v>
      </c>
      <c r="B933" s="9" t="str">
        <f t="shared" si="43"/>
        <v>4</v>
      </c>
      <c r="C933" s="10">
        <f t="shared" si="44"/>
        <v>44091</v>
      </c>
      <c r="D933">
        <v>2007849</v>
      </c>
      <c r="E933" t="s">
        <v>133</v>
      </c>
      <c r="F933" s="6">
        <v>44092</v>
      </c>
      <c r="G933">
        <v>4</v>
      </c>
      <c r="H933" t="s">
        <v>194</v>
      </c>
      <c r="I933" t="s">
        <v>120</v>
      </c>
    </row>
    <row r="934" spans="1:9" x14ac:dyDescent="0.25">
      <c r="A934" s="8" t="str">
        <f t="shared" si="42"/>
        <v>2007850.Z01</v>
      </c>
      <c r="B934" s="9" t="str">
        <f t="shared" si="43"/>
        <v>4</v>
      </c>
      <c r="C934" s="10">
        <f t="shared" si="44"/>
        <v>44091</v>
      </c>
      <c r="D934">
        <v>2007850</v>
      </c>
      <c r="E934" t="s">
        <v>135</v>
      </c>
      <c r="F934" s="6">
        <v>44092</v>
      </c>
      <c r="G934">
        <v>4</v>
      </c>
      <c r="H934" t="s">
        <v>189</v>
      </c>
      <c r="I934" t="s">
        <v>120</v>
      </c>
    </row>
    <row r="935" spans="1:9" x14ac:dyDescent="0.25">
      <c r="A935" s="8" t="str">
        <f t="shared" si="42"/>
        <v>2007851.000</v>
      </c>
      <c r="B935" s="9" t="str">
        <f t="shared" si="43"/>
        <v>4</v>
      </c>
      <c r="C935" s="10">
        <f t="shared" si="44"/>
        <v>44091</v>
      </c>
      <c r="D935">
        <v>2007851</v>
      </c>
      <c r="E935">
        <v>0</v>
      </c>
      <c r="F935" s="6">
        <v>44092</v>
      </c>
      <c r="G935">
        <v>4</v>
      </c>
      <c r="H935" t="s">
        <v>189</v>
      </c>
      <c r="I935" t="s">
        <v>120</v>
      </c>
    </row>
    <row r="936" spans="1:9" x14ac:dyDescent="0.25">
      <c r="A936" s="8" t="str">
        <f t="shared" si="42"/>
        <v>2007851.0P0</v>
      </c>
      <c r="B936" s="9" t="str">
        <f t="shared" si="43"/>
        <v>4</v>
      </c>
      <c r="C936" s="10">
        <f t="shared" si="44"/>
        <v>44091</v>
      </c>
      <c r="D936">
        <v>2007851</v>
      </c>
      <c r="E936" t="s">
        <v>119</v>
      </c>
      <c r="F936" s="6">
        <v>44092</v>
      </c>
      <c r="G936">
        <v>4</v>
      </c>
      <c r="H936" t="s">
        <v>189</v>
      </c>
      <c r="I936" t="s">
        <v>120</v>
      </c>
    </row>
    <row r="937" spans="1:9" x14ac:dyDescent="0.25">
      <c r="A937" s="8" t="str">
        <f t="shared" si="42"/>
        <v>2007852.N0L</v>
      </c>
      <c r="B937" s="9" t="str">
        <f t="shared" si="43"/>
        <v>4</v>
      </c>
      <c r="C937" s="10">
        <f t="shared" si="44"/>
        <v>44091</v>
      </c>
      <c r="D937">
        <v>2007852</v>
      </c>
      <c r="E937" t="s">
        <v>133</v>
      </c>
      <c r="F937" s="6">
        <v>44092</v>
      </c>
      <c r="G937">
        <v>4</v>
      </c>
      <c r="H937" t="s">
        <v>194</v>
      </c>
      <c r="I937" t="s">
        <v>120</v>
      </c>
    </row>
    <row r="938" spans="1:9" x14ac:dyDescent="0.25">
      <c r="A938" s="8" t="str">
        <f t="shared" si="42"/>
        <v>2007853.N0L</v>
      </c>
      <c r="B938" s="9" t="str">
        <f t="shared" si="43"/>
        <v>4</v>
      </c>
      <c r="C938" s="10">
        <f t="shared" si="44"/>
        <v>44098</v>
      </c>
      <c r="D938">
        <v>2007853</v>
      </c>
      <c r="E938" t="s">
        <v>133</v>
      </c>
      <c r="F938" s="6">
        <v>44099</v>
      </c>
      <c r="G938">
        <v>4</v>
      </c>
      <c r="H938" t="s">
        <v>189</v>
      </c>
      <c r="I938" t="s">
        <v>120</v>
      </c>
    </row>
    <row r="939" spans="1:9" x14ac:dyDescent="0.25">
      <c r="A939" s="8" t="str">
        <f t="shared" si="42"/>
        <v>2007853.X02</v>
      </c>
      <c r="B939" s="9" t="str">
        <f t="shared" si="43"/>
        <v>4</v>
      </c>
      <c r="C939" s="10">
        <f t="shared" si="44"/>
        <v>44098</v>
      </c>
      <c r="D939">
        <v>2007853</v>
      </c>
      <c r="E939" t="s">
        <v>166</v>
      </c>
      <c r="F939" s="6">
        <v>44099</v>
      </c>
      <c r="G939">
        <v>4</v>
      </c>
      <c r="H939" t="s">
        <v>189</v>
      </c>
      <c r="I939" t="s">
        <v>120</v>
      </c>
    </row>
    <row r="940" spans="1:9" x14ac:dyDescent="0.25">
      <c r="A940" s="8" t="str">
        <f t="shared" si="42"/>
        <v>2007853.Z02</v>
      </c>
      <c r="B940" s="9" t="str">
        <f t="shared" si="43"/>
        <v>4</v>
      </c>
      <c r="C940" s="10">
        <f t="shared" si="44"/>
        <v>44098</v>
      </c>
      <c r="D940">
        <v>2007853</v>
      </c>
      <c r="E940" t="s">
        <v>260</v>
      </c>
      <c r="F940" s="6">
        <v>44099</v>
      </c>
      <c r="G940">
        <v>4</v>
      </c>
      <c r="H940" t="s">
        <v>189</v>
      </c>
      <c r="I940" t="s">
        <v>120</v>
      </c>
    </row>
    <row r="941" spans="1:9" x14ac:dyDescent="0.25">
      <c r="A941" s="8" t="str">
        <f t="shared" si="42"/>
        <v>2007856.Y00</v>
      </c>
      <c r="B941" s="9" t="str">
        <f t="shared" si="43"/>
        <v/>
      </c>
      <c r="C941" s="10">
        <f t="shared" si="44"/>
        <v>44074</v>
      </c>
      <c r="D941">
        <v>2007856</v>
      </c>
      <c r="E941" t="s">
        <v>130</v>
      </c>
      <c r="F941" s="6">
        <v>44078</v>
      </c>
      <c r="H941" t="s">
        <v>180</v>
      </c>
      <c r="I941" t="s">
        <v>120</v>
      </c>
    </row>
    <row r="942" spans="1:9" x14ac:dyDescent="0.25">
      <c r="A942" s="8" t="str">
        <f t="shared" si="42"/>
        <v>2007857.X00</v>
      </c>
      <c r="B942" s="9" t="str">
        <f t="shared" si="43"/>
        <v>4</v>
      </c>
      <c r="C942" s="10">
        <f t="shared" si="44"/>
        <v>44084</v>
      </c>
      <c r="D942">
        <v>2007857</v>
      </c>
      <c r="E942" t="s">
        <v>225</v>
      </c>
      <c r="F942" s="6">
        <v>44085</v>
      </c>
      <c r="G942">
        <v>4</v>
      </c>
      <c r="H942" t="s">
        <v>189</v>
      </c>
      <c r="I942" t="s">
        <v>120</v>
      </c>
    </row>
    <row r="943" spans="1:9" x14ac:dyDescent="0.25">
      <c r="A943" s="8" t="str">
        <f t="shared" si="42"/>
        <v>2007857.XP0</v>
      </c>
      <c r="B943" s="9" t="str">
        <f t="shared" si="43"/>
        <v>4</v>
      </c>
      <c r="C943" s="10">
        <f t="shared" si="44"/>
        <v>44084</v>
      </c>
      <c r="D943">
        <v>2007857</v>
      </c>
      <c r="E943" t="s">
        <v>181</v>
      </c>
      <c r="F943" s="6">
        <v>44085</v>
      </c>
      <c r="G943">
        <v>4</v>
      </c>
      <c r="H943" t="s">
        <v>180</v>
      </c>
      <c r="I943" t="s">
        <v>120</v>
      </c>
    </row>
    <row r="944" spans="1:9" x14ac:dyDescent="0.25">
      <c r="A944" s="8" t="str">
        <f t="shared" si="42"/>
        <v>2007858.X00</v>
      </c>
      <c r="B944" s="9" t="str">
        <f t="shared" si="43"/>
        <v>4</v>
      </c>
      <c r="C944" s="10">
        <f t="shared" si="44"/>
        <v>44091</v>
      </c>
      <c r="D944">
        <v>2007858</v>
      </c>
      <c r="E944" t="s">
        <v>225</v>
      </c>
      <c r="F944" s="6">
        <v>44092</v>
      </c>
      <c r="G944">
        <v>4</v>
      </c>
      <c r="H944" t="s">
        <v>189</v>
      </c>
      <c r="I944" t="s">
        <v>120</v>
      </c>
    </row>
    <row r="945" spans="1:9" x14ac:dyDescent="0.25">
      <c r="A945" s="8" t="str">
        <f t="shared" si="42"/>
        <v>2007858.XP0</v>
      </c>
      <c r="B945" s="9" t="str">
        <f t="shared" si="43"/>
        <v>4</v>
      </c>
      <c r="C945" s="10">
        <f t="shared" si="44"/>
        <v>44091</v>
      </c>
      <c r="D945">
        <v>2007858</v>
      </c>
      <c r="E945" t="s">
        <v>181</v>
      </c>
      <c r="F945" s="6">
        <v>44092</v>
      </c>
      <c r="G945">
        <v>4</v>
      </c>
      <c r="H945" t="s">
        <v>180</v>
      </c>
      <c r="I945" t="s">
        <v>120</v>
      </c>
    </row>
    <row r="946" spans="1:9" x14ac:dyDescent="0.25">
      <c r="A946" s="8" t="str">
        <f t="shared" si="42"/>
        <v>2007860.Y00</v>
      </c>
      <c r="B946" s="9" t="str">
        <f t="shared" si="43"/>
        <v/>
      </c>
      <c r="C946" s="10">
        <f t="shared" si="44"/>
        <v>44081</v>
      </c>
      <c r="D946">
        <v>2007860</v>
      </c>
      <c r="E946" t="s">
        <v>130</v>
      </c>
      <c r="F946" s="6">
        <v>44085</v>
      </c>
      <c r="H946" t="s">
        <v>189</v>
      </c>
      <c r="I946" t="s">
        <v>120</v>
      </c>
    </row>
    <row r="947" spans="1:9" x14ac:dyDescent="0.25">
      <c r="A947" s="8" t="str">
        <f t="shared" si="42"/>
        <v>2007861.NF0</v>
      </c>
      <c r="B947" s="9" t="str">
        <f t="shared" si="43"/>
        <v>2</v>
      </c>
      <c r="C947" s="10">
        <f t="shared" si="44"/>
        <v>44068</v>
      </c>
      <c r="D947">
        <v>2007861</v>
      </c>
      <c r="E947" t="s">
        <v>137</v>
      </c>
      <c r="F947" s="6">
        <v>44071</v>
      </c>
      <c r="G947">
        <v>23</v>
      </c>
      <c r="H947" t="s">
        <v>183</v>
      </c>
      <c r="I947" t="s">
        <v>134</v>
      </c>
    </row>
    <row r="948" spans="1:9" x14ac:dyDescent="0.25">
      <c r="A948" s="8" t="str">
        <f t="shared" si="42"/>
        <v>2007862.H01</v>
      </c>
      <c r="B948" s="9" t="str">
        <f t="shared" si="43"/>
        <v/>
      </c>
      <c r="C948" s="10">
        <f t="shared" si="44"/>
        <v>44081</v>
      </c>
      <c r="D948">
        <v>2007862</v>
      </c>
      <c r="E948" t="s">
        <v>145</v>
      </c>
      <c r="F948" s="6">
        <v>44085</v>
      </c>
      <c r="H948" t="s">
        <v>180</v>
      </c>
      <c r="I948" t="s">
        <v>120</v>
      </c>
    </row>
    <row r="949" spans="1:9" x14ac:dyDescent="0.25">
      <c r="A949" s="8" t="str">
        <f t="shared" si="42"/>
        <v>2007862.Y01</v>
      </c>
      <c r="B949" s="9" t="str">
        <f t="shared" si="43"/>
        <v/>
      </c>
      <c r="C949" s="10">
        <f t="shared" si="44"/>
        <v>44081</v>
      </c>
      <c r="D949">
        <v>2007862</v>
      </c>
      <c r="E949" t="s">
        <v>132</v>
      </c>
      <c r="F949" s="6">
        <v>44085</v>
      </c>
      <c r="H949" t="s">
        <v>189</v>
      </c>
      <c r="I949" t="s">
        <v>120</v>
      </c>
    </row>
    <row r="950" spans="1:9" x14ac:dyDescent="0.25">
      <c r="A950" s="8" t="str">
        <f t="shared" si="42"/>
        <v>2007862.ZO2</v>
      </c>
      <c r="B950" s="9" t="str">
        <f t="shared" si="43"/>
        <v/>
      </c>
      <c r="C950" s="10">
        <f t="shared" si="44"/>
        <v>44081</v>
      </c>
      <c r="D950">
        <v>2007862</v>
      </c>
      <c r="E950" t="s">
        <v>168</v>
      </c>
      <c r="F950" s="6">
        <v>44085</v>
      </c>
      <c r="H950" t="s">
        <v>180</v>
      </c>
      <c r="I950" t="s">
        <v>120</v>
      </c>
    </row>
    <row r="951" spans="1:9" x14ac:dyDescent="0.25">
      <c r="A951" s="8" t="str">
        <f t="shared" si="42"/>
        <v>2007863.X00</v>
      </c>
      <c r="B951" s="9" t="str">
        <f t="shared" si="43"/>
        <v>1</v>
      </c>
      <c r="C951" s="10">
        <f t="shared" si="44"/>
        <v>44067</v>
      </c>
      <c r="D951">
        <v>2007863</v>
      </c>
      <c r="E951" t="s">
        <v>225</v>
      </c>
      <c r="F951" s="6">
        <v>44071</v>
      </c>
      <c r="G951">
        <v>12</v>
      </c>
      <c r="H951" t="s">
        <v>180</v>
      </c>
      <c r="I951" t="s">
        <v>120</v>
      </c>
    </row>
    <row r="952" spans="1:9" x14ac:dyDescent="0.25">
      <c r="A952" s="8" t="str">
        <f t="shared" si="42"/>
        <v>2007867.XP0</v>
      </c>
      <c r="B952" s="9" t="str">
        <f t="shared" si="43"/>
        <v>J</v>
      </c>
      <c r="C952" s="10">
        <f t="shared" si="44"/>
        <v>44063</v>
      </c>
      <c r="D952">
        <v>2007867</v>
      </c>
      <c r="E952" t="s">
        <v>181</v>
      </c>
      <c r="F952" s="6">
        <v>44071</v>
      </c>
      <c r="G952" t="s">
        <v>291</v>
      </c>
      <c r="H952" t="s">
        <v>180</v>
      </c>
      <c r="I952" t="s">
        <v>120</v>
      </c>
    </row>
    <row r="953" spans="1:9" x14ac:dyDescent="0.25">
      <c r="A953" s="8" t="str">
        <f t="shared" si="42"/>
        <v>2007868.000</v>
      </c>
      <c r="B953" s="9" t="str">
        <f t="shared" si="43"/>
        <v/>
      </c>
      <c r="C953" s="10">
        <f t="shared" si="44"/>
        <v>44081</v>
      </c>
      <c r="D953">
        <v>2007868</v>
      </c>
      <c r="E953">
        <v>0</v>
      </c>
      <c r="F953" s="6">
        <v>44085</v>
      </c>
      <c r="H953" t="s">
        <v>180</v>
      </c>
      <c r="I953" t="s">
        <v>120</v>
      </c>
    </row>
    <row r="954" spans="1:9" x14ac:dyDescent="0.25">
      <c r="A954" s="8" t="str">
        <f t="shared" si="42"/>
        <v>2007868.NF0</v>
      </c>
      <c r="B954" s="9" t="str">
        <f t="shared" si="43"/>
        <v/>
      </c>
      <c r="C954" s="10">
        <f t="shared" si="44"/>
        <v>44081</v>
      </c>
      <c r="D954">
        <v>2007868</v>
      </c>
      <c r="E954" t="s">
        <v>137</v>
      </c>
      <c r="F954" s="6">
        <v>44085</v>
      </c>
      <c r="H954" t="s">
        <v>183</v>
      </c>
      <c r="I954" t="s">
        <v>120</v>
      </c>
    </row>
    <row r="955" spans="1:9" x14ac:dyDescent="0.25">
      <c r="A955" s="8" t="str">
        <f t="shared" si="42"/>
        <v>2007868.Y00</v>
      </c>
      <c r="B955" s="9" t="str">
        <f t="shared" si="43"/>
        <v/>
      </c>
      <c r="C955" s="10">
        <f t="shared" si="44"/>
        <v>44081</v>
      </c>
      <c r="D955">
        <v>2007868</v>
      </c>
      <c r="E955" t="s">
        <v>130</v>
      </c>
      <c r="F955" s="6">
        <v>44085</v>
      </c>
      <c r="H955" t="s">
        <v>189</v>
      </c>
      <c r="I955" t="s">
        <v>120</v>
      </c>
    </row>
    <row r="956" spans="1:9" x14ac:dyDescent="0.25">
      <c r="A956" s="8" t="str">
        <f t="shared" si="42"/>
        <v>2007869.H00</v>
      </c>
      <c r="B956" s="9" t="str">
        <f t="shared" si="43"/>
        <v>3</v>
      </c>
      <c r="C956" s="10">
        <f t="shared" si="44"/>
        <v>44083</v>
      </c>
      <c r="D956">
        <v>2007869</v>
      </c>
      <c r="E956" t="s">
        <v>122</v>
      </c>
      <c r="F956" s="6">
        <v>44085</v>
      </c>
      <c r="G956">
        <v>3</v>
      </c>
      <c r="H956" t="s">
        <v>189</v>
      </c>
      <c r="I956" t="s">
        <v>120</v>
      </c>
    </row>
    <row r="957" spans="1:9" x14ac:dyDescent="0.25">
      <c r="A957" s="8" t="str">
        <f t="shared" si="42"/>
        <v>2007869.X01</v>
      </c>
      <c r="B957" s="9" t="str">
        <f t="shared" si="43"/>
        <v>3</v>
      </c>
      <c r="C957" s="10">
        <f t="shared" si="44"/>
        <v>44083</v>
      </c>
      <c r="D957">
        <v>2007869</v>
      </c>
      <c r="E957" t="s">
        <v>161</v>
      </c>
      <c r="F957" s="6">
        <v>44085</v>
      </c>
      <c r="G957">
        <v>3</v>
      </c>
      <c r="H957" t="s">
        <v>189</v>
      </c>
      <c r="I957" t="s">
        <v>120</v>
      </c>
    </row>
    <row r="958" spans="1:9" x14ac:dyDescent="0.25">
      <c r="A958" s="8" t="str">
        <f t="shared" si="42"/>
        <v>2007869.Y01</v>
      </c>
      <c r="B958" s="9" t="str">
        <f t="shared" si="43"/>
        <v>3</v>
      </c>
      <c r="C958" s="10">
        <f t="shared" si="44"/>
        <v>44083</v>
      </c>
      <c r="D958">
        <v>2007869</v>
      </c>
      <c r="E958" t="s">
        <v>132</v>
      </c>
      <c r="F958" s="6">
        <v>44085</v>
      </c>
      <c r="G958">
        <v>3</v>
      </c>
      <c r="H958" t="s">
        <v>189</v>
      </c>
      <c r="I958" t="s">
        <v>120</v>
      </c>
    </row>
    <row r="959" spans="1:9" x14ac:dyDescent="0.25">
      <c r="A959" s="8" t="str">
        <f t="shared" si="42"/>
        <v>2007870.Z01</v>
      </c>
      <c r="B959" s="9" t="str">
        <f t="shared" si="43"/>
        <v/>
      </c>
      <c r="C959" s="10">
        <f t="shared" si="44"/>
        <v>44081</v>
      </c>
      <c r="D959">
        <v>2007870</v>
      </c>
      <c r="E959" t="s">
        <v>135</v>
      </c>
      <c r="F959" s="6">
        <v>44085</v>
      </c>
      <c r="H959" t="s">
        <v>180</v>
      </c>
      <c r="I959" t="s">
        <v>120</v>
      </c>
    </row>
    <row r="960" spans="1:9" x14ac:dyDescent="0.25">
      <c r="A960" s="8" t="str">
        <f t="shared" si="42"/>
        <v>2007872.H01</v>
      </c>
      <c r="B960" s="9" t="str">
        <f t="shared" si="43"/>
        <v/>
      </c>
      <c r="C960" s="10">
        <f t="shared" si="44"/>
        <v>44081</v>
      </c>
      <c r="D960">
        <v>2007872</v>
      </c>
      <c r="E960" t="s">
        <v>145</v>
      </c>
      <c r="F960" s="6">
        <v>44085</v>
      </c>
      <c r="H960" t="s">
        <v>189</v>
      </c>
      <c r="I960" t="s">
        <v>120</v>
      </c>
    </row>
    <row r="961" spans="1:9" x14ac:dyDescent="0.25">
      <c r="A961" s="8" t="str">
        <f t="shared" si="42"/>
        <v>2007873.HP0</v>
      </c>
      <c r="B961" s="9" t="str">
        <f t="shared" si="43"/>
        <v/>
      </c>
      <c r="C961" s="10">
        <f t="shared" si="44"/>
        <v>44081</v>
      </c>
      <c r="D961">
        <v>2007873</v>
      </c>
      <c r="E961" t="s">
        <v>121</v>
      </c>
      <c r="F961" s="6">
        <v>44085</v>
      </c>
      <c r="H961" t="s">
        <v>180</v>
      </c>
      <c r="I961" t="s">
        <v>120</v>
      </c>
    </row>
    <row r="962" spans="1:9" x14ac:dyDescent="0.25">
      <c r="A962" s="8" t="str">
        <f t="shared" ref="A962:A1025" si="45">IF(D962="","",IF(E962=0,CONCATENATE(D962,".",E962,"00"),CONCATENATE(D962,".",E962)))</f>
        <v>2007874.HP1</v>
      </c>
      <c r="B962" s="9" t="str">
        <f t="shared" ref="B962:B1025" si="46">LEFT(G962,1)</f>
        <v/>
      </c>
      <c r="C962" s="10">
        <f t="shared" ref="C962:C1025" si="47">IF(F962="","",IF(B962="",F962-4,IF(B962="1",F962-4,IF(B962="2",F962-3,IF(B962="3",F962-2,IF(B962="4",F962-1,IF(B962="V",F962-7,IF(B962="J",F962-8,F962))))))))</f>
        <v>44081</v>
      </c>
      <c r="D962">
        <v>2007874</v>
      </c>
      <c r="E962" t="s">
        <v>129</v>
      </c>
      <c r="F962" s="6">
        <v>44085</v>
      </c>
      <c r="H962" t="s">
        <v>180</v>
      </c>
      <c r="I962" t="s">
        <v>120</v>
      </c>
    </row>
    <row r="963" spans="1:9" x14ac:dyDescent="0.25">
      <c r="A963" s="8" t="str">
        <f t="shared" si="45"/>
        <v>2007877.U00</v>
      </c>
      <c r="B963" s="9" t="str">
        <f t="shared" si="46"/>
        <v>3</v>
      </c>
      <c r="C963" s="10">
        <f t="shared" si="47"/>
        <v>44097</v>
      </c>
      <c r="D963">
        <v>2007877</v>
      </c>
      <c r="E963" t="s">
        <v>131</v>
      </c>
      <c r="F963" s="6">
        <v>44099</v>
      </c>
      <c r="G963">
        <v>3</v>
      </c>
      <c r="H963" t="s">
        <v>189</v>
      </c>
      <c r="I963" t="s">
        <v>120</v>
      </c>
    </row>
    <row r="964" spans="1:9" x14ac:dyDescent="0.25">
      <c r="A964" s="8" t="str">
        <f t="shared" si="45"/>
        <v>2007877.Y00</v>
      </c>
      <c r="B964" s="9" t="str">
        <f t="shared" si="46"/>
        <v>3</v>
      </c>
      <c r="C964" s="10">
        <f t="shared" si="47"/>
        <v>44097</v>
      </c>
      <c r="D964">
        <v>2007877</v>
      </c>
      <c r="E964" t="s">
        <v>130</v>
      </c>
      <c r="F964" s="6">
        <v>44099</v>
      </c>
      <c r="G964">
        <v>3</v>
      </c>
      <c r="H964" t="s">
        <v>189</v>
      </c>
      <c r="I964" t="s">
        <v>120</v>
      </c>
    </row>
    <row r="965" spans="1:9" x14ac:dyDescent="0.25">
      <c r="A965" s="8" t="str">
        <f t="shared" si="45"/>
        <v>2007878.Y00</v>
      </c>
      <c r="B965" s="9" t="str">
        <f t="shared" si="46"/>
        <v>3</v>
      </c>
      <c r="C965" s="10">
        <f t="shared" si="47"/>
        <v>44083</v>
      </c>
      <c r="D965">
        <v>2007878</v>
      </c>
      <c r="E965" t="s">
        <v>130</v>
      </c>
      <c r="F965" s="6">
        <v>44085</v>
      </c>
      <c r="G965">
        <v>3</v>
      </c>
      <c r="H965" t="s">
        <v>189</v>
      </c>
      <c r="I965" t="s">
        <v>120</v>
      </c>
    </row>
    <row r="966" spans="1:9" x14ac:dyDescent="0.25">
      <c r="A966" s="8" t="str">
        <f t="shared" si="45"/>
        <v>2007879.Y01</v>
      </c>
      <c r="B966" s="9" t="str">
        <f t="shared" si="46"/>
        <v/>
      </c>
      <c r="C966" s="10">
        <f t="shared" si="47"/>
        <v>44081</v>
      </c>
      <c r="D966">
        <v>2007879</v>
      </c>
      <c r="E966" t="s">
        <v>132</v>
      </c>
      <c r="F966" s="6">
        <v>44085</v>
      </c>
      <c r="H966" t="s">
        <v>189</v>
      </c>
      <c r="I966" t="s">
        <v>120</v>
      </c>
    </row>
    <row r="967" spans="1:9" x14ac:dyDescent="0.25">
      <c r="A967" s="8" t="str">
        <f t="shared" si="45"/>
        <v>2007880.000</v>
      </c>
      <c r="B967" s="9" t="str">
        <f t="shared" si="46"/>
        <v>1</v>
      </c>
      <c r="C967" s="10">
        <f t="shared" si="47"/>
        <v>44067</v>
      </c>
      <c r="D967">
        <v>2007880</v>
      </c>
      <c r="E967">
        <v>0</v>
      </c>
      <c r="F967" s="6">
        <v>44071</v>
      </c>
      <c r="G967">
        <v>13</v>
      </c>
      <c r="H967" t="s">
        <v>180</v>
      </c>
      <c r="I967" t="s">
        <v>120</v>
      </c>
    </row>
    <row r="968" spans="1:9" x14ac:dyDescent="0.25">
      <c r="A968" s="8" t="str">
        <f t="shared" si="45"/>
        <v>2007882.H00</v>
      </c>
      <c r="B968" s="9" t="str">
        <f t="shared" si="46"/>
        <v/>
      </c>
      <c r="C968" s="10">
        <f t="shared" si="47"/>
        <v>44081</v>
      </c>
      <c r="D968">
        <v>2007882</v>
      </c>
      <c r="E968" t="s">
        <v>122</v>
      </c>
      <c r="F968" s="6">
        <v>44085</v>
      </c>
      <c r="H968" t="s">
        <v>180</v>
      </c>
      <c r="I968" t="s">
        <v>120</v>
      </c>
    </row>
    <row r="969" spans="1:9" x14ac:dyDescent="0.25">
      <c r="A969" s="8" t="str">
        <f t="shared" si="45"/>
        <v>2007883.0P0</v>
      </c>
      <c r="B969" s="9" t="str">
        <f t="shared" si="46"/>
        <v>1</v>
      </c>
      <c r="C969" s="10">
        <f t="shared" si="47"/>
        <v>44067</v>
      </c>
      <c r="D969">
        <v>2007883</v>
      </c>
      <c r="E969" t="s">
        <v>119</v>
      </c>
      <c r="F969" s="6">
        <v>44071</v>
      </c>
      <c r="G969">
        <v>11</v>
      </c>
      <c r="H969" t="s">
        <v>180</v>
      </c>
      <c r="I969" t="s">
        <v>120</v>
      </c>
    </row>
    <row r="970" spans="1:9" x14ac:dyDescent="0.25">
      <c r="A970" s="8" t="str">
        <f t="shared" si="45"/>
        <v>2007883.NV0</v>
      </c>
      <c r="B970" s="9" t="str">
        <f t="shared" si="46"/>
        <v>1</v>
      </c>
      <c r="C970" s="10">
        <f t="shared" si="47"/>
        <v>44067</v>
      </c>
      <c r="D970">
        <v>2007883</v>
      </c>
      <c r="E970" t="s">
        <v>126</v>
      </c>
      <c r="F970" s="6">
        <v>44071</v>
      </c>
      <c r="G970">
        <v>11</v>
      </c>
      <c r="H970" t="s">
        <v>189</v>
      </c>
      <c r="I970" t="s">
        <v>120</v>
      </c>
    </row>
    <row r="971" spans="1:9" x14ac:dyDescent="0.25">
      <c r="A971" s="8" t="str">
        <f t="shared" si="45"/>
        <v>2007884.H00</v>
      </c>
      <c r="B971" s="9" t="str">
        <f t="shared" si="46"/>
        <v>4</v>
      </c>
      <c r="C971" s="10">
        <f t="shared" si="47"/>
        <v>44084</v>
      </c>
      <c r="D971">
        <v>2007884</v>
      </c>
      <c r="E971" t="s">
        <v>122</v>
      </c>
      <c r="F971" s="6">
        <v>44085</v>
      </c>
      <c r="G971">
        <v>4</v>
      </c>
      <c r="H971" t="s">
        <v>189</v>
      </c>
      <c r="I971" t="s">
        <v>120</v>
      </c>
    </row>
    <row r="972" spans="1:9" x14ac:dyDescent="0.25">
      <c r="A972" s="8" t="str">
        <f t="shared" si="45"/>
        <v>2007886.T01</v>
      </c>
      <c r="B972" s="9" t="str">
        <f t="shared" si="46"/>
        <v/>
      </c>
      <c r="C972" s="10">
        <f t="shared" si="47"/>
        <v>44137</v>
      </c>
      <c r="D972">
        <v>2007886</v>
      </c>
      <c r="E972" t="s">
        <v>146</v>
      </c>
      <c r="F972" s="6">
        <v>44141</v>
      </c>
      <c r="H972" t="s">
        <v>189</v>
      </c>
      <c r="I972" t="s">
        <v>120</v>
      </c>
    </row>
    <row r="973" spans="1:9" x14ac:dyDescent="0.25">
      <c r="A973" s="8" t="str">
        <f t="shared" si="45"/>
        <v>2007887.H00</v>
      </c>
      <c r="B973" s="9" t="str">
        <f t="shared" si="46"/>
        <v/>
      </c>
      <c r="C973" s="10">
        <f t="shared" si="47"/>
        <v>44074</v>
      </c>
      <c r="D973">
        <v>2007887</v>
      </c>
      <c r="E973" t="s">
        <v>122</v>
      </c>
      <c r="F973" s="6">
        <v>44078</v>
      </c>
      <c r="H973" t="s">
        <v>180</v>
      </c>
      <c r="I973" t="s">
        <v>120</v>
      </c>
    </row>
    <row r="974" spans="1:9" x14ac:dyDescent="0.25">
      <c r="A974" s="8" t="str">
        <f t="shared" si="45"/>
        <v>2007888.Z00</v>
      </c>
      <c r="B974" s="9" t="str">
        <f t="shared" si="46"/>
        <v/>
      </c>
      <c r="C974" s="10">
        <f t="shared" si="47"/>
        <v>44081</v>
      </c>
      <c r="D974">
        <v>2007888</v>
      </c>
      <c r="E974" t="s">
        <v>158</v>
      </c>
      <c r="F974" s="6">
        <v>44085</v>
      </c>
      <c r="H974" t="s">
        <v>180</v>
      </c>
      <c r="I974" t="s">
        <v>120</v>
      </c>
    </row>
    <row r="975" spans="1:9" x14ac:dyDescent="0.25">
      <c r="A975" s="8" t="str">
        <f t="shared" si="45"/>
        <v>2007889.000</v>
      </c>
      <c r="B975" s="9" t="str">
        <f t="shared" si="46"/>
        <v/>
      </c>
      <c r="C975" s="10">
        <f t="shared" si="47"/>
        <v>44088</v>
      </c>
      <c r="D975">
        <v>2007889</v>
      </c>
      <c r="E975">
        <v>0</v>
      </c>
      <c r="F975" s="6">
        <v>44092</v>
      </c>
      <c r="H975" t="s">
        <v>189</v>
      </c>
      <c r="I975" t="s">
        <v>120</v>
      </c>
    </row>
    <row r="976" spans="1:9" x14ac:dyDescent="0.25">
      <c r="A976" s="8" t="str">
        <f t="shared" si="45"/>
        <v>2007890.0P0</v>
      </c>
      <c r="B976" s="9" t="str">
        <f t="shared" si="46"/>
        <v>3</v>
      </c>
      <c r="C976" s="10">
        <f t="shared" si="47"/>
        <v>44069</v>
      </c>
      <c r="D976">
        <v>2007890</v>
      </c>
      <c r="E976" t="s">
        <v>119</v>
      </c>
      <c r="F976" s="6">
        <v>44071</v>
      </c>
      <c r="G976">
        <v>34</v>
      </c>
      <c r="H976" t="s">
        <v>180</v>
      </c>
      <c r="I976" t="s">
        <v>120</v>
      </c>
    </row>
    <row r="977" spans="1:9" x14ac:dyDescent="0.25">
      <c r="A977" s="8" t="str">
        <f t="shared" si="45"/>
        <v>2007891.000</v>
      </c>
      <c r="B977" s="9" t="str">
        <f t="shared" si="46"/>
        <v/>
      </c>
      <c r="C977" s="10">
        <f t="shared" si="47"/>
        <v>44088</v>
      </c>
      <c r="D977">
        <v>2007891</v>
      </c>
      <c r="E977">
        <v>0</v>
      </c>
      <c r="F977" s="6">
        <v>44092</v>
      </c>
      <c r="H977" t="s">
        <v>189</v>
      </c>
      <c r="I977" t="s">
        <v>120</v>
      </c>
    </row>
    <row r="978" spans="1:9" x14ac:dyDescent="0.25">
      <c r="A978" s="8" t="str">
        <f t="shared" si="45"/>
        <v>2007893.U02</v>
      </c>
      <c r="B978" s="9" t="str">
        <f t="shared" si="46"/>
        <v/>
      </c>
      <c r="C978" s="10">
        <f t="shared" si="47"/>
        <v>44081</v>
      </c>
      <c r="D978">
        <v>2007893</v>
      </c>
      <c r="E978" t="s">
        <v>149</v>
      </c>
      <c r="F978" s="6">
        <v>44085</v>
      </c>
      <c r="H978" t="s">
        <v>180</v>
      </c>
      <c r="I978" t="s">
        <v>120</v>
      </c>
    </row>
    <row r="979" spans="1:9" x14ac:dyDescent="0.25">
      <c r="A979" s="8" t="str">
        <f t="shared" si="45"/>
        <v>2007893.Y02</v>
      </c>
      <c r="B979" s="9" t="str">
        <f t="shared" si="46"/>
        <v/>
      </c>
      <c r="C979" s="10">
        <f t="shared" si="47"/>
        <v>44081</v>
      </c>
      <c r="D979">
        <v>2007893</v>
      </c>
      <c r="E979" t="s">
        <v>144</v>
      </c>
      <c r="F979" s="6">
        <v>44085</v>
      </c>
      <c r="H979" t="s">
        <v>189</v>
      </c>
      <c r="I979" t="s">
        <v>120</v>
      </c>
    </row>
    <row r="980" spans="1:9" x14ac:dyDescent="0.25">
      <c r="A980" s="8" t="str">
        <f t="shared" si="45"/>
        <v>2007894.ZO3</v>
      </c>
      <c r="B980" s="9" t="str">
        <f t="shared" si="46"/>
        <v/>
      </c>
      <c r="C980" s="10">
        <f t="shared" si="47"/>
        <v>44081</v>
      </c>
      <c r="D980">
        <v>2007894</v>
      </c>
      <c r="E980" t="s">
        <v>152</v>
      </c>
      <c r="F980" s="6">
        <v>44085</v>
      </c>
      <c r="H980" t="s">
        <v>180</v>
      </c>
      <c r="I980" t="s">
        <v>120</v>
      </c>
    </row>
    <row r="981" spans="1:9" x14ac:dyDescent="0.25">
      <c r="A981" s="8" t="str">
        <f t="shared" si="45"/>
        <v>2007898.U00</v>
      </c>
      <c r="B981" s="9" t="str">
        <f t="shared" si="46"/>
        <v/>
      </c>
      <c r="C981" s="10">
        <f t="shared" si="47"/>
        <v>44081</v>
      </c>
      <c r="D981">
        <v>2007898</v>
      </c>
      <c r="E981" t="s">
        <v>131</v>
      </c>
      <c r="F981" s="6">
        <v>44085</v>
      </c>
      <c r="H981" t="s">
        <v>189</v>
      </c>
      <c r="I981" t="s">
        <v>120</v>
      </c>
    </row>
    <row r="982" spans="1:9" x14ac:dyDescent="0.25">
      <c r="A982" s="8" t="str">
        <f t="shared" si="45"/>
        <v>2007899.XP0</v>
      </c>
      <c r="B982" s="9" t="str">
        <f t="shared" si="46"/>
        <v>V</v>
      </c>
      <c r="C982" s="10">
        <f t="shared" si="47"/>
        <v>44064</v>
      </c>
      <c r="D982">
        <v>2007899</v>
      </c>
      <c r="E982" t="s">
        <v>181</v>
      </c>
      <c r="F982" s="6">
        <v>44071</v>
      </c>
      <c r="G982" t="s">
        <v>139</v>
      </c>
      <c r="H982" t="s">
        <v>180</v>
      </c>
      <c r="I982" t="s">
        <v>120</v>
      </c>
    </row>
    <row r="983" spans="1:9" x14ac:dyDescent="0.25">
      <c r="A983" s="8" t="str">
        <f t="shared" si="45"/>
        <v>2007900.000</v>
      </c>
      <c r="B983" s="9" t="str">
        <f t="shared" si="46"/>
        <v/>
      </c>
      <c r="C983" s="10">
        <f t="shared" si="47"/>
        <v>44123</v>
      </c>
      <c r="D983">
        <v>2007900</v>
      </c>
      <c r="E983">
        <v>0</v>
      </c>
      <c r="F983" s="6">
        <v>44127</v>
      </c>
      <c r="H983" t="s">
        <v>189</v>
      </c>
      <c r="I983" t="s">
        <v>120</v>
      </c>
    </row>
    <row r="984" spans="1:9" x14ac:dyDescent="0.25">
      <c r="A984" s="8" t="str">
        <f t="shared" si="45"/>
        <v>2007903.U03</v>
      </c>
      <c r="B984" s="9" t="str">
        <f t="shared" si="46"/>
        <v/>
      </c>
      <c r="C984" s="10">
        <f t="shared" si="47"/>
        <v>44081</v>
      </c>
      <c r="D984">
        <v>2007903</v>
      </c>
      <c r="E984" t="s">
        <v>167</v>
      </c>
      <c r="F984" s="6">
        <v>44085</v>
      </c>
      <c r="H984" t="s">
        <v>189</v>
      </c>
      <c r="I984" t="s">
        <v>120</v>
      </c>
    </row>
    <row r="985" spans="1:9" x14ac:dyDescent="0.25">
      <c r="A985" s="8" t="str">
        <f t="shared" si="45"/>
        <v>2007904.Z00</v>
      </c>
      <c r="B985" s="9" t="str">
        <f t="shared" si="46"/>
        <v/>
      </c>
      <c r="C985" s="10">
        <f t="shared" si="47"/>
        <v>44102</v>
      </c>
      <c r="D985">
        <v>2007904</v>
      </c>
      <c r="E985" t="s">
        <v>158</v>
      </c>
      <c r="F985" s="6">
        <v>44106</v>
      </c>
      <c r="H985" t="s">
        <v>190</v>
      </c>
      <c r="I985" t="s">
        <v>120</v>
      </c>
    </row>
    <row r="986" spans="1:9" x14ac:dyDescent="0.25">
      <c r="A986" s="8" t="str">
        <f t="shared" si="45"/>
        <v>2007905.000</v>
      </c>
      <c r="B986" s="9" t="str">
        <f t="shared" si="46"/>
        <v/>
      </c>
      <c r="C986" s="10">
        <f t="shared" si="47"/>
        <v>44081</v>
      </c>
      <c r="D986">
        <v>2007905</v>
      </c>
      <c r="E986">
        <v>0</v>
      </c>
      <c r="F986" s="6">
        <v>44085</v>
      </c>
      <c r="H986" t="s">
        <v>180</v>
      </c>
      <c r="I986" t="s">
        <v>120</v>
      </c>
    </row>
    <row r="987" spans="1:9" x14ac:dyDescent="0.25">
      <c r="A987" s="8" t="str">
        <f t="shared" si="45"/>
        <v>2007906.U00</v>
      </c>
      <c r="B987" s="9" t="str">
        <f t="shared" si="46"/>
        <v/>
      </c>
      <c r="C987" s="10">
        <f t="shared" si="47"/>
        <v>44081</v>
      </c>
      <c r="D987">
        <v>2007906</v>
      </c>
      <c r="E987" t="s">
        <v>131</v>
      </c>
      <c r="F987" s="6">
        <v>44085</v>
      </c>
      <c r="H987" t="s">
        <v>180</v>
      </c>
      <c r="I987" t="s">
        <v>120</v>
      </c>
    </row>
    <row r="988" spans="1:9" x14ac:dyDescent="0.25">
      <c r="A988" s="8" t="str">
        <f t="shared" si="45"/>
        <v>2007906.Y00</v>
      </c>
      <c r="B988" s="9" t="str">
        <f t="shared" si="46"/>
        <v/>
      </c>
      <c r="C988" s="10">
        <f t="shared" si="47"/>
        <v>44081</v>
      </c>
      <c r="D988">
        <v>2007906</v>
      </c>
      <c r="E988" t="s">
        <v>130</v>
      </c>
      <c r="F988" s="6">
        <v>44085</v>
      </c>
      <c r="H988" t="s">
        <v>189</v>
      </c>
      <c r="I988" t="s">
        <v>120</v>
      </c>
    </row>
    <row r="989" spans="1:9" x14ac:dyDescent="0.25">
      <c r="A989" s="8" t="str">
        <f t="shared" si="45"/>
        <v>2007907.HPL</v>
      </c>
      <c r="B989" s="9" t="str">
        <f t="shared" si="46"/>
        <v>1</v>
      </c>
      <c r="C989" s="10">
        <f t="shared" si="47"/>
        <v>44067</v>
      </c>
      <c r="D989">
        <v>2007907</v>
      </c>
      <c r="E989" t="s">
        <v>128</v>
      </c>
      <c r="F989" s="6">
        <v>44071</v>
      </c>
      <c r="G989">
        <v>12</v>
      </c>
      <c r="H989" t="s">
        <v>180</v>
      </c>
      <c r="I989" t="s">
        <v>120</v>
      </c>
    </row>
    <row r="990" spans="1:9" x14ac:dyDescent="0.25">
      <c r="A990" s="8" t="str">
        <f t="shared" si="45"/>
        <v>2007911.Y00</v>
      </c>
      <c r="B990" s="9" t="str">
        <f t="shared" si="46"/>
        <v/>
      </c>
      <c r="C990" s="10">
        <f t="shared" si="47"/>
        <v>44088</v>
      </c>
      <c r="D990">
        <v>2007911</v>
      </c>
      <c r="E990" t="s">
        <v>130</v>
      </c>
      <c r="F990" s="6">
        <v>44092</v>
      </c>
      <c r="H990" t="s">
        <v>189</v>
      </c>
      <c r="I990" t="s">
        <v>120</v>
      </c>
    </row>
    <row r="991" spans="1:9" x14ac:dyDescent="0.25">
      <c r="A991" s="8" t="str">
        <f t="shared" si="45"/>
        <v>2007912.UP1</v>
      </c>
      <c r="B991" s="9" t="str">
        <f t="shared" si="46"/>
        <v/>
      </c>
      <c r="C991" s="10">
        <f t="shared" si="47"/>
        <v>44088</v>
      </c>
      <c r="D991">
        <v>2007912</v>
      </c>
      <c r="E991" t="s">
        <v>164</v>
      </c>
      <c r="F991" s="6">
        <v>44092</v>
      </c>
      <c r="H991" t="s">
        <v>189</v>
      </c>
      <c r="I991" t="s">
        <v>120</v>
      </c>
    </row>
    <row r="992" spans="1:9" x14ac:dyDescent="0.25">
      <c r="A992" s="8" t="str">
        <f t="shared" si="45"/>
        <v>2007913.H00</v>
      </c>
      <c r="B992" s="9" t="str">
        <f t="shared" si="46"/>
        <v>1</v>
      </c>
      <c r="C992" s="10">
        <f t="shared" si="47"/>
        <v>44088</v>
      </c>
      <c r="D992">
        <v>2007913</v>
      </c>
      <c r="E992" t="s">
        <v>122</v>
      </c>
      <c r="F992" s="6">
        <v>44092</v>
      </c>
      <c r="G992">
        <v>11</v>
      </c>
      <c r="H992" t="s">
        <v>189</v>
      </c>
      <c r="I992" t="s">
        <v>120</v>
      </c>
    </row>
    <row r="993" spans="1:9" x14ac:dyDescent="0.25">
      <c r="A993" s="8" t="str">
        <f t="shared" si="45"/>
        <v>2007913.HP0</v>
      </c>
      <c r="B993" s="9" t="str">
        <f t="shared" si="46"/>
        <v>1</v>
      </c>
      <c r="C993" s="10">
        <f t="shared" si="47"/>
        <v>44088</v>
      </c>
      <c r="D993">
        <v>2007913</v>
      </c>
      <c r="E993" t="s">
        <v>121</v>
      </c>
      <c r="F993" s="6">
        <v>44092</v>
      </c>
      <c r="G993">
        <v>11</v>
      </c>
      <c r="H993" t="s">
        <v>180</v>
      </c>
      <c r="I993" t="s">
        <v>120</v>
      </c>
    </row>
    <row r="994" spans="1:9" x14ac:dyDescent="0.25">
      <c r="A994" s="8" t="str">
        <f t="shared" si="45"/>
        <v>2007913.Y01</v>
      </c>
      <c r="B994" s="9" t="str">
        <f t="shared" si="46"/>
        <v>1</v>
      </c>
      <c r="C994" s="10">
        <f t="shared" si="47"/>
        <v>44088</v>
      </c>
      <c r="D994">
        <v>2007913</v>
      </c>
      <c r="E994" t="s">
        <v>132</v>
      </c>
      <c r="F994" s="6">
        <v>44092</v>
      </c>
      <c r="G994">
        <v>11</v>
      </c>
      <c r="H994" t="s">
        <v>189</v>
      </c>
      <c r="I994" t="s">
        <v>120</v>
      </c>
    </row>
    <row r="995" spans="1:9" x14ac:dyDescent="0.25">
      <c r="A995" s="8" t="str">
        <f t="shared" si="45"/>
        <v>2007914.000</v>
      </c>
      <c r="B995" s="9" t="str">
        <f t="shared" si="46"/>
        <v/>
      </c>
      <c r="C995" s="10">
        <f t="shared" si="47"/>
        <v>44074</v>
      </c>
      <c r="D995">
        <v>2007914</v>
      </c>
      <c r="E995">
        <v>0</v>
      </c>
      <c r="F995" s="6">
        <v>44078</v>
      </c>
      <c r="H995" t="s">
        <v>180</v>
      </c>
      <c r="I995" t="s">
        <v>120</v>
      </c>
    </row>
    <row r="996" spans="1:9" x14ac:dyDescent="0.25">
      <c r="A996" s="8" t="str">
        <f t="shared" si="45"/>
        <v>2007915.H01</v>
      </c>
      <c r="B996" s="9" t="str">
        <f t="shared" si="46"/>
        <v>1</v>
      </c>
      <c r="C996" s="10">
        <f t="shared" si="47"/>
        <v>44088</v>
      </c>
      <c r="D996">
        <v>2007915</v>
      </c>
      <c r="E996" t="s">
        <v>145</v>
      </c>
      <c r="F996" s="6">
        <v>44092</v>
      </c>
      <c r="G996">
        <v>11</v>
      </c>
      <c r="H996" t="s">
        <v>189</v>
      </c>
      <c r="I996" t="s">
        <v>120</v>
      </c>
    </row>
    <row r="997" spans="1:9" x14ac:dyDescent="0.25">
      <c r="A997" s="8" t="str">
        <f t="shared" si="45"/>
        <v>2007915.HP1</v>
      </c>
      <c r="B997" s="9" t="str">
        <f t="shared" si="46"/>
        <v>1</v>
      </c>
      <c r="C997" s="10">
        <f t="shared" si="47"/>
        <v>44088</v>
      </c>
      <c r="D997">
        <v>2007915</v>
      </c>
      <c r="E997" t="s">
        <v>129</v>
      </c>
      <c r="F997" s="6">
        <v>44092</v>
      </c>
      <c r="G997">
        <v>11</v>
      </c>
      <c r="H997" t="s">
        <v>180</v>
      </c>
      <c r="I997" t="s">
        <v>120</v>
      </c>
    </row>
    <row r="998" spans="1:9" x14ac:dyDescent="0.25">
      <c r="A998" s="8" t="str">
        <f t="shared" si="45"/>
        <v>2007915.Y01</v>
      </c>
      <c r="B998" s="9" t="str">
        <f t="shared" si="46"/>
        <v>1</v>
      </c>
      <c r="C998" s="10">
        <f t="shared" si="47"/>
        <v>44088</v>
      </c>
      <c r="D998">
        <v>2007915</v>
      </c>
      <c r="E998" t="s">
        <v>132</v>
      </c>
      <c r="F998" s="6">
        <v>44092</v>
      </c>
      <c r="G998">
        <v>11</v>
      </c>
      <c r="H998" t="s">
        <v>189</v>
      </c>
      <c r="I998" t="s">
        <v>120</v>
      </c>
    </row>
    <row r="999" spans="1:9" x14ac:dyDescent="0.25">
      <c r="A999" s="8" t="str">
        <f t="shared" si="45"/>
        <v>2007916.000</v>
      </c>
      <c r="B999" s="9" t="str">
        <f t="shared" si="46"/>
        <v/>
      </c>
      <c r="C999" s="10">
        <f t="shared" si="47"/>
        <v>44074</v>
      </c>
      <c r="D999">
        <v>2007916</v>
      </c>
      <c r="E999">
        <v>0</v>
      </c>
      <c r="F999" s="6">
        <v>44078</v>
      </c>
      <c r="H999" t="s">
        <v>180</v>
      </c>
      <c r="I999" t="s">
        <v>120</v>
      </c>
    </row>
    <row r="1000" spans="1:9" x14ac:dyDescent="0.25">
      <c r="A1000" s="8" t="str">
        <f t="shared" si="45"/>
        <v>2007918.U00</v>
      </c>
      <c r="B1000" s="9" t="str">
        <f t="shared" si="46"/>
        <v>1</v>
      </c>
      <c r="C1000" s="10">
        <f t="shared" si="47"/>
        <v>44088</v>
      </c>
      <c r="D1000">
        <v>2007918</v>
      </c>
      <c r="E1000" t="s">
        <v>131</v>
      </c>
      <c r="F1000" s="6">
        <v>44092</v>
      </c>
      <c r="G1000">
        <v>1</v>
      </c>
      <c r="H1000" t="s">
        <v>189</v>
      </c>
      <c r="I1000" t="s">
        <v>120</v>
      </c>
    </row>
    <row r="1001" spans="1:9" x14ac:dyDescent="0.25">
      <c r="A1001" s="8" t="str">
        <f t="shared" si="45"/>
        <v>2007918.Y00</v>
      </c>
      <c r="B1001" s="9" t="str">
        <f t="shared" si="46"/>
        <v>1</v>
      </c>
      <c r="C1001" s="10">
        <f t="shared" si="47"/>
        <v>44088</v>
      </c>
      <c r="D1001">
        <v>2007918</v>
      </c>
      <c r="E1001" t="s">
        <v>130</v>
      </c>
      <c r="F1001" s="6">
        <v>44092</v>
      </c>
      <c r="G1001">
        <v>1</v>
      </c>
      <c r="H1001" t="s">
        <v>189</v>
      </c>
      <c r="I1001" t="s">
        <v>120</v>
      </c>
    </row>
    <row r="1002" spans="1:9" x14ac:dyDescent="0.25">
      <c r="A1002" s="8" t="str">
        <f t="shared" si="45"/>
        <v>2007919.000</v>
      </c>
      <c r="B1002" s="9" t="str">
        <f t="shared" si="46"/>
        <v/>
      </c>
      <c r="C1002" s="10">
        <f t="shared" si="47"/>
        <v>44088</v>
      </c>
      <c r="D1002">
        <v>2007919</v>
      </c>
      <c r="E1002">
        <v>0</v>
      </c>
      <c r="F1002" s="6">
        <v>44092</v>
      </c>
      <c r="H1002" t="s">
        <v>189</v>
      </c>
      <c r="I1002" t="s">
        <v>120</v>
      </c>
    </row>
    <row r="1003" spans="1:9" x14ac:dyDescent="0.25">
      <c r="A1003" s="8" t="str">
        <f t="shared" si="45"/>
        <v>2007922.NM0</v>
      </c>
      <c r="B1003" s="9" t="str">
        <f t="shared" si="46"/>
        <v>3</v>
      </c>
      <c r="C1003" s="10">
        <f t="shared" si="47"/>
        <v>44083</v>
      </c>
      <c r="D1003">
        <v>2007922</v>
      </c>
      <c r="E1003" t="s">
        <v>154</v>
      </c>
      <c r="F1003" s="6">
        <v>44085</v>
      </c>
      <c r="G1003">
        <v>3</v>
      </c>
      <c r="H1003" t="s">
        <v>189</v>
      </c>
      <c r="I1003" t="s">
        <v>120</v>
      </c>
    </row>
    <row r="1004" spans="1:9" x14ac:dyDescent="0.25">
      <c r="A1004" s="8" t="str">
        <f t="shared" si="45"/>
        <v>2007922.X00</v>
      </c>
      <c r="B1004" s="9" t="str">
        <f t="shared" si="46"/>
        <v>3</v>
      </c>
      <c r="C1004" s="10">
        <f t="shared" si="47"/>
        <v>44083</v>
      </c>
      <c r="D1004">
        <v>2007922</v>
      </c>
      <c r="E1004" t="s">
        <v>225</v>
      </c>
      <c r="F1004" s="6">
        <v>44085</v>
      </c>
      <c r="G1004">
        <v>3</v>
      </c>
      <c r="H1004" t="s">
        <v>189</v>
      </c>
      <c r="I1004" t="s">
        <v>120</v>
      </c>
    </row>
    <row r="1005" spans="1:9" x14ac:dyDescent="0.25">
      <c r="A1005" s="8" t="str">
        <f t="shared" si="45"/>
        <v>2007923.0P0</v>
      </c>
      <c r="B1005" s="9" t="str">
        <f t="shared" si="46"/>
        <v/>
      </c>
      <c r="C1005" s="10">
        <f t="shared" si="47"/>
        <v>44074</v>
      </c>
      <c r="D1005">
        <v>2007923</v>
      </c>
      <c r="E1005" t="s">
        <v>119</v>
      </c>
      <c r="F1005" s="6">
        <v>44078</v>
      </c>
      <c r="H1005" t="s">
        <v>180</v>
      </c>
      <c r="I1005" t="s">
        <v>120</v>
      </c>
    </row>
    <row r="1006" spans="1:9" x14ac:dyDescent="0.25">
      <c r="A1006" s="8" t="str">
        <f t="shared" si="45"/>
        <v>2007924.HP0</v>
      </c>
      <c r="B1006" s="9" t="str">
        <f t="shared" si="46"/>
        <v/>
      </c>
      <c r="C1006" s="10">
        <f t="shared" si="47"/>
        <v>44088</v>
      </c>
      <c r="D1006">
        <v>2007924</v>
      </c>
      <c r="E1006" t="s">
        <v>121</v>
      </c>
      <c r="F1006" s="6">
        <v>44092</v>
      </c>
      <c r="H1006" t="s">
        <v>189</v>
      </c>
      <c r="I1006" t="s">
        <v>120</v>
      </c>
    </row>
    <row r="1007" spans="1:9" x14ac:dyDescent="0.25">
      <c r="A1007" s="8" t="str">
        <f t="shared" si="45"/>
        <v>2007925.X00</v>
      </c>
      <c r="B1007" s="9" t="str">
        <f t="shared" si="46"/>
        <v/>
      </c>
      <c r="C1007" s="10">
        <f t="shared" si="47"/>
        <v>44074</v>
      </c>
      <c r="D1007">
        <v>2007925</v>
      </c>
      <c r="E1007" t="s">
        <v>225</v>
      </c>
      <c r="F1007" s="6">
        <v>44078</v>
      </c>
      <c r="H1007" t="s">
        <v>180</v>
      </c>
      <c r="I1007" t="s">
        <v>120</v>
      </c>
    </row>
    <row r="1008" spans="1:9" x14ac:dyDescent="0.25">
      <c r="A1008" s="8" t="str">
        <f t="shared" si="45"/>
        <v>2007926.Y0D</v>
      </c>
      <c r="B1008" s="9" t="str">
        <f t="shared" si="46"/>
        <v/>
      </c>
      <c r="C1008" s="10">
        <f t="shared" si="47"/>
        <v>44088</v>
      </c>
      <c r="D1008">
        <v>2007926</v>
      </c>
      <c r="E1008" t="s">
        <v>157</v>
      </c>
      <c r="F1008" s="6">
        <v>44092</v>
      </c>
      <c r="H1008" t="s">
        <v>189</v>
      </c>
      <c r="I1008" t="s">
        <v>120</v>
      </c>
    </row>
    <row r="1009" spans="1:9" x14ac:dyDescent="0.25">
      <c r="A1009" s="8" t="str">
        <f t="shared" si="45"/>
        <v>2007928.0P0</v>
      </c>
      <c r="B1009" s="9" t="str">
        <f t="shared" si="46"/>
        <v/>
      </c>
      <c r="C1009" s="10">
        <f t="shared" si="47"/>
        <v>44074</v>
      </c>
      <c r="D1009">
        <v>2007928</v>
      </c>
      <c r="E1009" t="s">
        <v>119</v>
      </c>
      <c r="F1009" s="6">
        <v>44078</v>
      </c>
      <c r="H1009" t="s">
        <v>180</v>
      </c>
      <c r="I1009" t="s">
        <v>120</v>
      </c>
    </row>
    <row r="1010" spans="1:9" x14ac:dyDescent="0.25">
      <c r="A1010" s="8" t="str">
        <f t="shared" si="45"/>
        <v>2007930.Z00</v>
      </c>
      <c r="B1010" s="9" t="str">
        <f t="shared" si="46"/>
        <v/>
      </c>
      <c r="C1010" s="10">
        <f t="shared" si="47"/>
        <v>44088</v>
      </c>
      <c r="D1010">
        <v>2007930</v>
      </c>
      <c r="E1010" t="s">
        <v>158</v>
      </c>
      <c r="F1010" s="6">
        <v>44092</v>
      </c>
      <c r="H1010" t="s">
        <v>189</v>
      </c>
      <c r="I1010" t="s">
        <v>120</v>
      </c>
    </row>
    <row r="1011" spans="1:9" x14ac:dyDescent="0.25">
      <c r="A1011" s="8" t="str">
        <f t="shared" si="45"/>
        <v>2007930.ZPL</v>
      </c>
      <c r="B1011" s="9" t="str">
        <f t="shared" si="46"/>
        <v/>
      </c>
      <c r="C1011" s="10">
        <f t="shared" si="47"/>
        <v>44088</v>
      </c>
      <c r="D1011">
        <v>2007930</v>
      </c>
      <c r="E1011" t="s">
        <v>182</v>
      </c>
      <c r="F1011" s="6">
        <v>44092</v>
      </c>
      <c r="H1011" t="s">
        <v>180</v>
      </c>
      <c r="I1011" t="s">
        <v>120</v>
      </c>
    </row>
    <row r="1012" spans="1:9" x14ac:dyDescent="0.25">
      <c r="A1012" s="8" t="str">
        <f t="shared" si="45"/>
        <v>2007931.000</v>
      </c>
      <c r="B1012" s="9" t="str">
        <f t="shared" si="46"/>
        <v/>
      </c>
      <c r="C1012" s="10">
        <f t="shared" si="47"/>
        <v>44102</v>
      </c>
      <c r="D1012">
        <v>2007931</v>
      </c>
      <c r="E1012">
        <v>0</v>
      </c>
      <c r="F1012" s="6">
        <v>44106</v>
      </c>
      <c r="H1012" t="s">
        <v>189</v>
      </c>
      <c r="I1012" t="s">
        <v>120</v>
      </c>
    </row>
    <row r="1013" spans="1:9" x14ac:dyDescent="0.25">
      <c r="A1013" s="8" t="str">
        <f t="shared" si="45"/>
        <v>2007931.0P0</v>
      </c>
      <c r="B1013" s="9" t="str">
        <f t="shared" si="46"/>
        <v/>
      </c>
      <c r="C1013" s="10">
        <f t="shared" si="47"/>
        <v>44102</v>
      </c>
      <c r="D1013">
        <v>2007931</v>
      </c>
      <c r="E1013" t="s">
        <v>119</v>
      </c>
      <c r="F1013" s="6">
        <v>44106</v>
      </c>
      <c r="H1013" t="s">
        <v>189</v>
      </c>
      <c r="I1013" t="s">
        <v>120</v>
      </c>
    </row>
    <row r="1014" spans="1:9" x14ac:dyDescent="0.25">
      <c r="A1014" s="8" t="str">
        <f t="shared" si="45"/>
        <v>2007932.0P0</v>
      </c>
      <c r="B1014" s="9" t="str">
        <f t="shared" si="46"/>
        <v/>
      </c>
      <c r="C1014" s="10">
        <f t="shared" si="47"/>
        <v>44074</v>
      </c>
      <c r="D1014">
        <v>2007932</v>
      </c>
      <c r="E1014" t="s">
        <v>119</v>
      </c>
      <c r="F1014" s="6">
        <v>44078</v>
      </c>
      <c r="H1014" t="s">
        <v>180</v>
      </c>
      <c r="I1014" t="s">
        <v>120</v>
      </c>
    </row>
    <row r="1015" spans="1:9" x14ac:dyDescent="0.25">
      <c r="A1015" s="8" t="str">
        <f t="shared" si="45"/>
        <v>2007933.H02</v>
      </c>
      <c r="B1015" s="9" t="str">
        <f t="shared" si="46"/>
        <v/>
      </c>
      <c r="C1015" s="10">
        <f t="shared" si="47"/>
        <v>44088</v>
      </c>
      <c r="D1015">
        <v>2007933</v>
      </c>
      <c r="E1015" t="s">
        <v>156</v>
      </c>
      <c r="F1015" s="6">
        <v>44092</v>
      </c>
      <c r="H1015" t="s">
        <v>189</v>
      </c>
      <c r="I1015" t="s">
        <v>120</v>
      </c>
    </row>
    <row r="1016" spans="1:9" x14ac:dyDescent="0.25">
      <c r="A1016" s="8" t="str">
        <f t="shared" si="45"/>
        <v>2007933.HP2</v>
      </c>
      <c r="B1016" s="9" t="str">
        <f t="shared" si="46"/>
        <v/>
      </c>
      <c r="C1016" s="10">
        <f t="shared" si="47"/>
        <v>44088</v>
      </c>
      <c r="D1016">
        <v>2007933</v>
      </c>
      <c r="E1016" t="s">
        <v>138</v>
      </c>
      <c r="F1016" s="6">
        <v>44092</v>
      </c>
      <c r="H1016" t="s">
        <v>180</v>
      </c>
      <c r="I1016" t="s">
        <v>120</v>
      </c>
    </row>
    <row r="1017" spans="1:9" x14ac:dyDescent="0.25">
      <c r="A1017" s="8" t="str">
        <f t="shared" si="45"/>
        <v>2007934.X00</v>
      </c>
      <c r="B1017" s="9" t="str">
        <f t="shared" si="46"/>
        <v/>
      </c>
      <c r="C1017" s="10">
        <f t="shared" si="47"/>
        <v>44102</v>
      </c>
      <c r="D1017">
        <v>2007934</v>
      </c>
      <c r="E1017" t="s">
        <v>225</v>
      </c>
      <c r="F1017" s="6">
        <v>44106</v>
      </c>
      <c r="H1017" t="s">
        <v>189</v>
      </c>
      <c r="I1017" t="s">
        <v>120</v>
      </c>
    </row>
    <row r="1018" spans="1:9" x14ac:dyDescent="0.25">
      <c r="A1018" s="8" t="str">
        <f t="shared" si="45"/>
        <v>2007934.XP0</v>
      </c>
      <c r="B1018" s="9" t="str">
        <f t="shared" si="46"/>
        <v/>
      </c>
      <c r="C1018" s="10">
        <f t="shared" si="47"/>
        <v>44102</v>
      </c>
      <c r="D1018">
        <v>2007934</v>
      </c>
      <c r="E1018" t="s">
        <v>181</v>
      </c>
      <c r="F1018" s="6">
        <v>44106</v>
      </c>
      <c r="H1018" t="s">
        <v>189</v>
      </c>
      <c r="I1018" t="s">
        <v>120</v>
      </c>
    </row>
    <row r="1019" spans="1:9" x14ac:dyDescent="0.25">
      <c r="A1019" s="8" t="str">
        <f t="shared" si="45"/>
        <v>2007935.Y00</v>
      </c>
      <c r="B1019" s="9" t="str">
        <f t="shared" si="46"/>
        <v>2</v>
      </c>
      <c r="C1019" s="10">
        <f t="shared" si="47"/>
        <v>44089</v>
      </c>
      <c r="D1019">
        <v>2007935</v>
      </c>
      <c r="E1019" t="s">
        <v>130</v>
      </c>
      <c r="F1019" s="6">
        <v>44092</v>
      </c>
      <c r="G1019">
        <v>2</v>
      </c>
      <c r="H1019" t="s">
        <v>189</v>
      </c>
      <c r="I1019" t="s">
        <v>120</v>
      </c>
    </row>
    <row r="1020" spans="1:9" x14ac:dyDescent="0.25">
      <c r="A1020" s="8" t="str">
        <f t="shared" si="45"/>
        <v>2007937.000</v>
      </c>
      <c r="B1020" s="9" t="str">
        <f t="shared" si="46"/>
        <v>1</v>
      </c>
      <c r="C1020" s="10">
        <f t="shared" si="47"/>
        <v>44081</v>
      </c>
      <c r="D1020">
        <v>2007937</v>
      </c>
      <c r="E1020">
        <v>0</v>
      </c>
      <c r="F1020" s="6">
        <v>44085</v>
      </c>
      <c r="G1020">
        <v>1</v>
      </c>
      <c r="H1020" t="s">
        <v>180</v>
      </c>
      <c r="I1020" t="s">
        <v>120</v>
      </c>
    </row>
    <row r="1021" spans="1:9" x14ac:dyDescent="0.25">
      <c r="A1021" s="8" t="str">
        <f t="shared" si="45"/>
        <v>2007937.Y00</v>
      </c>
      <c r="B1021" s="9" t="str">
        <f t="shared" si="46"/>
        <v>1</v>
      </c>
      <c r="C1021" s="10">
        <f t="shared" si="47"/>
        <v>44081</v>
      </c>
      <c r="D1021">
        <v>2007937</v>
      </c>
      <c r="E1021" t="s">
        <v>130</v>
      </c>
      <c r="F1021" s="6">
        <v>44085</v>
      </c>
      <c r="G1021">
        <v>1</v>
      </c>
      <c r="H1021" t="s">
        <v>189</v>
      </c>
      <c r="I1021" t="s">
        <v>120</v>
      </c>
    </row>
    <row r="1022" spans="1:9" x14ac:dyDescent="0.25">
      <c r="A1022" s="8" t="str">
        <f t="shared" si="45"/>
        <v>2007938.N0L</v>
      </c>
      <c r="B1022" s="9" t="str">
        <f t="shared" si="46"/>
        <v>V</v>
      </c>
      <c r="C1022" s="10">
        <f t="shared" si="47"/>
        <v>44036</v>
      </c>
      <c r="D1022">
        <v>2007938</v>
      </c>
      <c r="E1022" t="s">
        <v>133</v>
      </c>
      <c r="F1022" s="6">
        <v>44043</v>
      </c>
      <c r="G1022" t="s">
        <v>139</v>
      </c>
      <c r="H1022" t="s">
        <v>189</v>
      </c>
      <c r="I1022" t="s">
        <v>120</v>
      </c>
    </row>
    <row r="1023" spans="1:9" x14ac:dyDescent="0.25">
      <c r="A1023" s="8" t="str">
        <f t="shared" si="45"/>
        <v>2007940.Y01</v>
      </c>
      <c r="B1023" s="9" t="str">
        <f t="shared" si="46"/>
        <v/>
      </c>
      <c r="C1023" s="10">
        <f t="shared" si="47"/>
        <v>44088</v>
      </c>
      <c r="D1023">
        <v>2007940</v>
      </c>
      <c r="E1023" t="s">
        <v>132</v>
      </c>
      <c r="F1023" s="6">
        <v>44092</v>
      </c>
      <c r="H1023" t="s">
        <v>189</v>
      </c>
      <c r="I1023" t="s">
        <v>120</v>
      </c>
    </row>
    <row r="1024" spans="1:9" x14ac:dyDescent="0.25">
      <c r="A1024" s="8" t="str">
        <f t="shared" si="45"/>
        <v>2007941.000</v>
      </c>
      <c r="B1024" s="9" t="str">
        <f t="shared" si="46"/>
        <v/>
      </c>
      <c r="C1024" s="10">
        <f t="shared" si="47"/>
        <v>44116</v>
      </c>
      <c r="D1024">
        <v>2007941</v>
      </c>
      <c r="E1024">
        <v>0</v>
      </c>
      <c r="F1024" s="6">
        <v>44120</v>
      </c>
      <c r="H1024" t="s">
        <v>189</v>
      </c>
      <c r="I1024" t="s">
        <v>120</v>
      </c>
    </row>
    <row r="1025" spans="1:9" x14ac:dyDescent="0.25">
      <c r="A1025" s="8" t="str">
        <f t="shared" si="45"/>
        <v>2007942.U02</v>
      </c>
      <c r="B1025" s="9" t="str">
        <f t="shared" si="46"/>
        <v/>
      </c>
      <c r="C1025" s="10">
        <f t="shared" si="47"/>
        <v>44067</v>
      </c>
      <c r="D1025">
        <v>2007942</v>
      </c>
      <c r="E1025" t="s">
        <v>149</v>
      </c>
      <c r="F1025" s="6">
        <v>44071</v>
      </c>
      <c r="H1025" t="s">
        <v>188</v>
      </c>
      <c r="I1025" t="s">
        <v>120</v>
      </c>
    </row>
    <row r="1026" spans="1:9" x14ac:dyDescent="0.25">
      <c r="A1026" s="8" t="str">
        <f t="shared" ref="A1026:A1089" si="48">IF(D1026="","",IF(E1026=0,CONCATENATE(D1026,".",E1026,"00"),CONCATENATE(D1026,".",E1026)))</f>
        <v>2007943.HP0</v>
      </c>
      <c r="B1026" s="9" t="str">
        <f t="shared" ref="B1026:B1089" si="49">LEFT(G1026,1)</f>
        <v/>
      </c>
      <c r="C1026" s="10">
        <f t="shared" ref="C1026:C1089" si="50">IF(F1026="","",IF(B1026="",F1026-4,IF(B1026="1",F1026-4,IF(B1026="2",F1026-3,IF(B1026="3",F1026-2,IF(B1026="4",F1026-1,IF(B1026="V",F1026-7,IF(B1026="J",F1026-8,F1026))))))))</f>
        <v>44088</v>
      </c>
      <c r="D1026">
        <v>2007943</v>
      </c>
      <c r="E1026" t="s">
        <v>121</v>
      </c>
      <c r="F1026" s="6">
        <v>44092</v>
      </c>
      <c r="H1026" t="s">
        <v>189</v>
      </c>
      <c r="I1026" t="s">
        <v>120</v>
      </c>
    </row>
    <row r="1027" spans="1:9" x14ac:dyDescent="0.25">
      <c r="A1027" s="8" t="str">
        <f t="shared" si="48"/>
        <v>2007944.H00</v>
      </c>
      <c r="B1027" s="9" t="str">
        <f t="shared" si="49"/>
        <v>4</v>
      </c>
      <c r="C1027" s="10">
        <f t="shared" si="50"/>
        <v>44077</v>
      </c>
      <c r="D1027">
        <v>2007944</v>
      </c>
      <c r="E1027" t="s">
        <v>122</v>
      </c>
      <c r="F1027" s="6">
        <v>44078</v>
      </c>
      <c r="G1027">
        <v>41</v>
      </c>
      <c r="H1027" t="s">
        <v>180</v>
      </c>
      <c r="I1027" t="s">
        <v>120</v>
      </c>
    </row>
    <row r="1028" spans="1:9" x14ac:dyDescent="0.25">
      <c r="A1028" s="8" t="str">
        <f t="shared" si="48"/>
        <v>2007944.HP0</v>
      </c>
      <c r="B1028" s="9" t="str">
        <f t="shared" si="49"/>
        <v>4</v>
      </c>
      <c r="C1028" s="10">
        <f t="shared" si="50"/>
        <v>44077</v>
      </c>
      <c r="D1028">
        <v>2007944</v>
      </c>
      <c r="E1028" t="s">
        <v>121</v>
      </c>
      <c r="F1028" s="6">
        <v>44078</v>
      </c>
      <c r="G1028">
        <v>41</v>
      </c>
      <c r="H1028" t="s">
        <v>180</v>
      </c>
      <c r="I1028" t="s">
        <v>120</v>
      </c>
    </row>
    <row r="1029" spans="1:9" x14ac:dyDescent="0.25">
      <c r="A1029" s="8" t="str">
        <f t="shared" si="48"/>
        <v>2007944.Y01</v>
      </c>
      <c r="B1029" s="9" t="str">
        <f t="shared" si="49"/>
        <v>4</v>
      </c>
      <c r="C1029" s="10">
        <f t="shared" si="50"/>
        <v>44077</v>
      </c>
      <c r="D1029">
        <v>2007944</v>
      </c>
      <c r="E1029" t="s">
        <v>132</v>
      </c>
      <c r="F1029" s="6">
        <v>44078</v>
      </c>
      <c r="G1029">
        <v>41</v>
      </c>
      <c r="H1029" t="s">
        <v>189</v>
      </c>
      <c r="I1029" t="s">
        <v>120</v>
      </c>
    </row>
    <row r="1030" spans="1:9" x14ac:dyDescent="0.25">
      <c r="A1030" s="8" t="str">
        <f t="shared" si="48"/>
        <v>2007945.Y00</v>
      </c>
      <c r="B1030" s="9" t="str">
        <f t="shared" si="49"/>
        <v/>
      </c>
      <c r="C1030" s="10">
        <f t="shared" si="50"/>
        <v>44074</v>
      </c>
      <c r="D1030">
        <v>2007945</v>
      </c>
      <c r="E1030" t="s">
        <v>130</v>
      </c>
      <c r="F1030" s="6">
        <v>44078</v>
      </c>
      <c r="H1030" t="s">
        <v>180</v>
      </c>
      <c r="I1030" t="s">
        <v>120</v>
      </c>
    </row>
    <row r="1031" spans="1:9" x14ac:dyDescent="0.25">
      <c r="A1031" s="8" t="str">
        <f t="shared" si="48"/>
        <v>2007946.000</v>
      </c>
      <c r="B1031" s="9" t="str">
        <f t="shared" si="49"/>
        <v>3</v>
      </c>
      <c r="C1031" s="10">
        <f t="shared" si="50"/>
        <v>44076</v>
      </c>
      <c r="D1031">
        <v>2007946</v>
      </c>
      <c r="E1031">
        <v>0</v>
      </c>
      <c r="F1031" s="6">
        <v>44078</v>
      </c>
      <c r="G1031">
        <v>3</v>
      </c>
      <c r="H1031" t="s">
        <v>180</v>
      </c>
      <c r="I1031" t="s">
        <v>120</v>
      </c>
    </row>
    <row r="1032" spans="1:9" x14ac:dyDescent="0.25">
      <c r="A1032" s="8" t="str">
        <f t="shared" si="48"/>
        <v>2007949.0P0</v>
      </c>
      <c r="B1032" s="9" t="str">
        <f t="shared" si="49"/>
        <v>1</v>
      </c>
      <c r="C1032" s="10">
        <f t="shared" si="50"/>
        <v>44074</v>
      </c>
      <c r="D1032">
        <v>2007949</v>
      </c>
      <c r="E1032" t="s">
        <v>119</v>
      </c>
      <c r="F1032" s="6">
        <v>44078</v>
      </c>
      <c r="G1032">
        <v>1</v>
      </c>
      <c r="H1032" t="s">
        <v>180</v>
      </c>
      <c r="I1032" t="s">
        <v>120</v>
      </c>
    </row>
    <row r="1033" spans="1:9" x14ac:dyDescent="0.25">
      <c r="A1033" s="8" t="str">
        <f t="shared" si="48"/>
        <v>2007950.000</v>
      </c>
      <c r="B1033" s="9" t="str">
        <f t="shared" si="49"/>
        <v/>
      </c>
      <c r="C1033" s="10">
        <f t="shared" si="50"/>
        <v>44074</v>
      </c>
      <c r="D1033">
        <v>2007950</v>
      </c>
      <c r="E1033">
        <v>0</v>
      </c>
      <c r="F1033" s="6">
        <v>44078</v>
      </c>
      <c r="H1033" t="s">
        <v>180</v>
      </c>
      <c r="I1033" t="s">
        <v>120</v>
      </c>
    </row>
    <row r="1034" spans="1:9" x14ac:dyDescent="0.25">
      <c r="A1034" s="8" t="str">
        <f t="shared" si="48"/>
        <v>2007950.X00</v>
      </c>
      <c r="B1034" s="9" t="str">
        <f t="shared" si="49"/>
        <v/>
      </c>
      <c r="C1034" s="10">
        <f t="shared" si="50"/>
        <v>44074</v>
      </c>
      <c r="D1034">
        <v>2007950</v>
      </c>
      <c r="E1034" t="s">
        <v>225</v>
      </c>
      <c r="F1034" s="6">
        <v>44078</v>
      </c>
      <c r="H1034" t="s">
        <v>180</v>
      </c>
      <c r="I1034" t="s">
        <v>120</v>
      </c>
    </row>
    <row r="1035" spans="1:9" x14ac:dyDescent="0.25">
      <c r="A1035" s="8" t="str">
        <f t="shared" si="48"/>
        <v>2007950.XP0</v>
      </c>
      <c r="B1035" s="9" t="str">
        <f t="shared" si="49"/>
        <v/>
      </c>
      <c r="C1035" s="10">
        <f t="shared" si="50"/>
        <v>44074</v>
      </c>
      <c r="D1035">
        <v>2007950</v>
      </c>
      <c r="E1035" t="s">
        <v>181</v>
      </c>
      <c r="F1035" s="6">
        <v>44078</v>
      </c>
      <c r="H1035" t="s">
        <v>180</v>
      </c>
      <c r="I1035" t="s">
        <v>120</v>
      </c>
    </row>
    <row r="1036" spans="1:9" x14ac:dyDescent="0.25">
      <c r="A1036" s="8" t="str">
        <f t="shared" si="48"/>
        <v>2007954.H01</v>
      </c>
      <c r="B1036" s="9" t="str">
        <f t="shared" si="49"/>
        <v/>
      </c>
      <c r="C1036" s="10">
        <f t="shared" si="50"/>
        <v>44088</v>
      </c>
      <c r="D1036">
        <v>2007954</v>
      </c>
      <c r="E1036" t="s">
        <v>145</v>
      </c>
      <c r="F1036" s="6">
        <v>44092</v>
      </c>
      <c r="H1036" t="s">
        <v>190</v>
      </c>
      <c r="I1036" t="s">
        <v>120</v>
      </c>
    </row>
    <row r="1037" spans="1:9" x14ac:dyDescent="0.25">
      <c r="A1037" s="8" t="str">
        <f t="shared" si="48"/>
        <v>2007955.000</v>
      </c>
      <c r="B1037" s="9" t="str">
        <f t="shared" si="49"/>
        <v>3</v>
      </c>
      <c r="C1037" s="10">
        <f t="shared" si="50"/>
        <v>44076</v>
      </c>
      <c r="D1037">
        <v>2007955</v>
      </c>
      <c r="E1037">
        <v>0</v>
      </c>
      <c r="F1037" s="6">
        <v>44078</v>
      </c>
      <c r="G1037">
        <v>3</v>
      </c>
      <c r="H1037" t="s">
        <v>180</v>
      </c>
      <c r="I1037" t="s">
        <v>120</v>
      </c>
    </row>
    <row r="1038" spans="1:9" x14ac:dyDescent="0.25">
      <c r="A1038" s="8" t="str">
        <f t="shared" si="48"/>
        <v>2007956.000</v>
      </c>
      <c r="B1038" s="9" t="str">
        <f t="shared" si="49"/>
        <v/>
      </c>
      <c r="C1038" s="10">
        <f t="shared" si="50"/>
        <v>44088</v>
      </c>
      <c r="D1038">
        <v>2007956</v>
      </c>
      <c r="E1038">
        <v>0</v>
      </c>
      <c r="F1038" s="6">
        <v>44092</v>
      </c>
      <c r="H1038" t="s">
        <v>189</v>
      </c>
      <c r="I1038" t="s">
        <v>120</v>
      </c>
    </row>
    <row r="1039" spans="1:9" x14ac:dyDescent="0.25">
      <c r="A1039" s="8" t="str">
        <f t="shared" si="48"/>
        <v>2007956.Y00</v>
      </c>
      <c r="B1039" s="9" t="str">
        <f t="shared" si="49"/>
        <v/>
      </c>
      <c r="C1039" s="10">
        <f t="shared" si="50"/>
        <v>44088</v>
      </c>
      <c r="D1039">
        <v>2007956</v>
      </c>
      <c r="E1039" t="s">
        <v>130</v>
      </c>
      <c r="F1039" s="6">
        <v>44092</v>
      </c>
      <c r="H1039" t="s">
        <v>189</v>
      </c>
      <c r="I1039" t="s">
        <v>120</v>
      </c>
    </row>
    <row r="1040" spans="1:9" x14ac:dyDescent="0.25">
      <c r="A1040" s="8" t="str">
        <f t="shared" si="48"/>
        <v>2007957.0P0</v>
      </c>
      <c r="B1040" s="9" t="str">
        <f t="shared" si="49"/>
        <v/>
      </c>
      <c r="C1040" s="10">
        <f t="shared" si="50"/>
        <v>44074</v>
      </c>
      <c r="D1040">
        <v>2007957</v>
      </c>
      <c r="E1040" t="s">
        <v>119</v>
      </c>
      <c r="F1040" s="6">
        <v>44078</v>
      </c>
      <c r="H1040" t="s">
        <v>180</v>
      </c>
      <c r="I1040" t="s">
        <v>120</v>
      </c>
    </row>
    <row r="1041" spans="1:9" x14ac:dyDescent="0.25">
      <c r="A1041" s="8" t="str">
        <f t="shared" si="48"/>
        <v>2007958.000</v>
      </c>
      <c r="B1041" s="9" t="str">
        <f t="shared" si="49"/>
        <v/>
      </c>
      <c r="C1041" s="10">
        <f t="shared" si="50"/>
        <v>44074</v>
      </c>
      <c r="D1041">
        <v>2007958</v>
      </c>
      <c r="E1041">
        <v>0</v>
      </c>
      <c r="F1041" s="6">
        <v>44078</v>
      </c>
      <c r="H1041" t="s">
        <v>180</v>
      </c>
      <c r="I1041" t="s">
        <v>120</v>
      </c>
    </row>
    <row r="1042" spans="1:9" x14ac:dyDescent="0.25">
      <c r="A1042" s="8" t="str">
        <f t="shared" si="48"/>
        <v>2007961.000</v>
      </c>
      <c r="B1042" s="9" t="str">
        <f t="shared" si="49"/>
        <v/>
      </c>
      <c r="C1042" s="10">
        <f t="shared" si="50"/>
        <v>44074</v>
      </c>
      <c r="D1042">
        <v>2007961</v>
      </c>
      <c r="E1042">
        <v>0</v>
      </c>
      <c r="F1042" s="6">
        <v>44078</v>
      </c>
      <c r="H1042" t="s">
        <v>180</v>
      </c>
      <c r="I1042" t="s">
        <v>120</v>
      </c>
    </row>
    <row r="1043" spans="1:9" x14ac:dyDescent="0.25">
      <c r="A1043" s="8" t="str">
        <f t="shared" si="48"/>
        <v>2007962.000</v>
      </c>
      <c r="B1043" s="9" t="str">
        <f t="shared" si="49"/>
        <v>2</v>
      </c>
      <c r="C1043" s="10">
        <f t="shared" si="50"/>
        <v>44075</v>
      </c>
      <c r="D1043">
        <v>2007962</v>
      </c>
      <c r="E1043">
        <v>0</v>
      </c>
      <c r="F1043" s="6">
        <v>44078</v>
      </c>
      <c r="G1043">
        <v>2</v>
      </c>
      <c r="H1043" t="s">
        <v>180</v>
      </c>
      <c r="I1043" t="s">
        <v>120</v>
      </c>
    </row>
    <row r="1044" spans="1:9" x14ac:dyDescent="0.25">
      <c r="A1044" s="8" t="str">
        <f t="shared" si="48"/>
        <v>2007967.Y00</v>
      </c>
      <c r="B1044" s="9" t="str">
        <f t="shared" si="49"/>
        <v/>
      </c>
      <c r="C1044" s="10">
        <f t="shared" si="50"/>
        <v>44088</v>
      </c>
      <c r="D1044">
        <v>2007967</v>
      </c>
      <c r="E1044" t="s">
        <v>130</v>
      </c>
      <c r="F1044" s="6">
        <v>44092</v>
      </c>
      <c r="H1044" t="s">
        <v>189</v>
      </c>
      <c r="I1044" t="s">
        <v>120</v>
      </c>
    </row>
    <row r="1045" spans="1:9" x14ac:dyDescent="0.25">
      <c r="A1045" s="8" t="str">
        <f t="shared" si="48"/>
        <v>2007968.C00</v>
      </c>
      <c r="B1045" s="9" t="str">
        <f t="shared" si="49"/>
        <v>3</v>
      </c>
      <c r="C1045" s="10">
        <f t="shared" si="50"/>
        <v>44069</v>
      </c>
      <c r="D1045">
        <v>2007968</v>
      </c>
      <c r="E1045" t="s">
        <v>147</v>
      </c>
      <c r="F1045" s="6">
        <v>44071</v>
      </c>
      <c r="G1045">
        <v>32</v>
      </c>
      <c r="H1045" t="s">
        <v>180</v>
      </c>
      <c r="I1045" t="s">
        <v>120</v>
      </c>
    </row>
    <row r="1046" spans="1:9" x14ac:dyDescent="0.25">
      <c r="A1046" s="8" t="str">
        <f t="shared" si="48"/>
        <v>2007969.U00</v>
      </c>
      <c r="B1046" s="9" t="str">
        <f t="shared" si="49"/>
        <v/>
      </c>
      <c r="C1046" s="10">
        <f t="shared" si="50"/>
        <v>44088</v>
      </c>
      <c r="D1046">
        <v>2007969</v>
      </c>
      <c r="E1046" t="s">
        <v>131</v>
      </c>
      <c r="F1046" s="6">
        <v>44092</v>
      </c>
      <c r="H1046" t="s">
        <v>189</v>
      </c>
      <c r="I1046" t="s">
        <v>120</v>
      </c>
    </row>
    <row r="1047" spans="1:9" x14ac:dyDescent="0.25">
      <c r="A1047" s="8" t="str">
        <f t="shared" si="48"/>
        <v>2007969.Y00</v>
      </c>
      <c r="B1047" s="9" t="str">
        <f t="shared" si="49"/>
        <v/>
      </c>
      <c r="C1047" s="10">
        <f t="shared" si="50"/>
        <v>44088</v>
      </c>
      <c r="D1047">
        <v>2007969</v>
      </c>
      <c r="E1047" t="s">
        <v>130</v>
      </c>
      <c r="F1047" s="6">
        <v>44092</v>
      </c>
      <c r="H1047" t="s">
        <v>189</v>
      </c>
      <c r="I1047" t="s">
        <v>120</v>
      </c>
    </row>
    <row r="1048" spans="1:9" x14ac:dyDescent="0.25">
      <c r="A1048" s="8" t="str">
        <f t="shared" si="48"/>
        <v>2007971.HP2</v>
      </c>
      <c r="B1048" s="9" t="str">
        <f t="shared" si="49"/>
        <v/>
      </c>
      <c r="C1048" s="10">
        <f t="shared" si="50"/>
        <v>44088</v>
      </c>
      <c r="D1048">
        <v>2007971</v>
      </c>
      <c r="E1048" t="s">
        <v>138</v>
      </c>
      <c r="F1048" s="6">
        <v>44092</v>
      </c>
      <c r="H1048" t="s">
        <v>180</v>
      </c>
      <c r="I1048" t="s">
        <v>120</v>
      </c>
    </row>
    <row r="1049" spans="1:9" x14ac:dyDescent="0.25">
      <c r="A1049" s="8" t="str">
        <f t="shared" si="48"/>
        <v>2007972.H00</v>
      </c>
      <c r="B1049" s="9" t="str">
        <f t="shared" si="49"/>
        <v>1</v>
      </c>
      <c r="C1049" s="10">
        <f t="shared" si="50"/>
        <v>44109</v>
      </c>
      <c r="D1049">
        <v>2007972</v>
      </c>
      <c r="E1049" t="s">
        <v>122</v>
      </c>
      <c r="F1049" s="6">
        <v>44113</v>
      </c>
      <c r="G1049">
        <v>1</v>
      </c>
      <c r="H1049" t="s">
        <v>189</v>
      </c>
      <c r="I1049" t="s">
        <v>120</v>
      </c>
    </row>
    <row r="1050" spans="1:9" x14ac:dyDescent="0.25">
      <c r="A1050" s="8" t="str">
        <f t="shared" si="48"/>
        <v>2007973.U00</v>
      </c>
      <c r="B1050" s="9" t="str">
        <f t="shared" si="49"/>
        <v>3</v>
      </c>
      <c r="C1050" s="10">
        <f t="shared" si="50"/>
        <v>44090</v>
      </c>
      <c r="D1050">
        <v>2007973</v>
      </c>
      <c r="E1050" t="s">
        <v>131</v>
      </c>
      <c r="F1050" s="6">
        <v>44092</v>
      </c>
      <c r="G1050">
        <v>3</v>
      </c>
      <c r="H1050" t="s">
        <v>189</v>
      </c>
      <c r="I1050" t="s">
        <v>120</v>
      </c>
    </row>
    <row r="1051" spans="1:9" x14ac:dyDescent="0.25">
      <c r="A1051" s="8" t="str">
        <f t="shared" si="48"/>
        <v>2007974.ZP1</v>
      </c>
      <c r="B1051" s="9" t="str">
        <f t="shared" si="49"/>
        <v/>
      </c>
      <c r="C1051" s="10">
        <f t="shared" si="50"/>
        <v>44074</v>
      </c>
      <c r="D1051">
        <v>2007974</v>
      </c>
      <c r="E1051" t="s">
        <v>141</v>
      </c>
      <c r="F1051" s="6">
        <v>44078</v>
      </c>
      <c r="H1051" t="s">
        <v>180</v>
      </c>
      <c r="I1051" t="s">
        <v>120</v>
      </c>
    </row>
    <row r="1052" spans="1:9" x14ac:dyDescent="0.25">
      <c r="A1052" s="8" t="str">
        <f t="shared" si="48"/>
        <v>2007975.UP0</v>
      </c>
      <c r="B1052" s="9" t="str">
        <f t="shared" si="49"/>
        <v/>
      </c>
      <c r="C1052" s="10">
        <f t="shared" si="50"/>
        <v>44088</v>
      </c>
      <c r="D1052">
        <v>2007975</v>
      </c>
      <c r="E1052" t="s">
        <v>136</v>
      </c>
      <c r="F1052" s="6">
        <v>44092</v>
      </c>
      <c r="H1052" t="s">
        <v>189</v>
      </c>
      <c r="I1052" t="s">
        <v>120</v>
      </c>
    </row>
    <row r="1053" spans="1:9" x14ac:dyDescent="0.25">
      <c r="A1053" s="8" t="str">
        <f t="shared" si="48"/>
        <v>2007976.T02</v>
      </c>
      <c r="B1053" s="9" t="str">
        <f t="shared" si="49"/>
        <v>2</v>
      </c>
      <c r="C1053" s="10">
        <f t="shared" si="50"/>
        <v>44068</v>
      </c>
      <c r="D1053">
        <v>2007976</v>
      </c>
      <c r="E1053" t="s">
        <v>170</v>
      </c>
      <c r="F1053" s="6">
        <v>44071</v>
      </c>
      <c r="G1053">
        <v>25</v>
      </c>
      <c r="H1053" t="s">
        <v>180</v>
      </c>
      <c r="I1053" t="s">
        <v>120</v>
      </c>
    </row>
    <row r="1054" spans="1:9" x14ac:dyDescent="0.25">
      <c r="A1054" s="8" t="str">
        <f t="shared" si="48"/>
        <v>2007977.000</v>
      </c>
      <c r="B1054" s="9" t="str">
        <f t="shared" si="49"/>
        <v/>
      </c>
      <c r="C1054" s="10">
        <f t="shared" si="50"/>
        <v>44088</v>
      </c>
      <c r="D1054">
        <v>2007977</v>
      </c>
      <c r="E1054">
        <v>0</v>
      </c>
      <c r="F1054" s="6">
        <v>44092</v>
      </c>
      <c r="H1054" t="s">
        <v>189</v>
      </c>
      <c r="I1054" t="s">
        <v>120</v>
      </c>
    </row>
    <row r="1055" spans="1:9" x14ac:dyDescent="0.25">
      <c r="A1055" s="8" t="str">
        <f t="shared" si="48"/>
        <v>2007977.0P0</v>
      </c>
      <c r="B1055" s="9" t="str">
        <f t="shared" si="49"/>
        <v/>
      </c>
      <c r="C1055" s="10">
        <f t="shared" si="50"/>
        <v>44088</v>
      </c>
      <c r="D1055">
        <v>2007977</v>
      </c>
      <c r="E1055" t="s">
        <v>119</v>
      </c>
      <c r="F1055" s="6">
        <v>44092</v>
      </c>
      <c r="H1055" t="s">
        <v>189</v>
      </c>
      <c r="I1055" t="s">
        <v>120</v>
      </c>
    </row>
    <row r="1056" spans="1:9" x14ac:dyDescent="0.25">
      <c r="A1056" s="8" t="str">
        <f t="shared" si="48"/>
        <v>2007977.Y00</v>
      </c>
      <c r="B1056" s="9" t="str">
        <f t="shared" si="49"/>
        <v/>
      </c>
      <c r="C1056" s="10">
        <f t="shared" si="50"/>
        <v>44088</v>
      </c>
      <c r="D1056">
        <v>2007977</v>
      </c>
      <c r="E1056" t="s">
        <v>130</v>
      </c>
      <c r="F1056" s="6">
        <v>44092</v>
      </c>
      <c r="H1056" t="s">
        <v>189</v>
      </c>
      <c r="I1056" t="s">
        <v>120</v>
      </c>
    </row>
    <row r="1057" spans="1:9" x14ac:dyDescent="0.25">
      <c r="A1057" s="8" t="str">
        <f t="shared" si="48"/>
        <v>2007978.H00</v>
      </c>
      <c r="B1057" s="9" t="str">
        <f t="shared" si="49"/>
        <v/>
      </c>
      <c r="C1057" s="10">
        <f t="shared" si="50"/>
        <v>44088</v>
      </c>
      <c r="D1057">
        <v>2007978</v>
      </c>
      <c r="E1057" t="s">
        <v>122</v>
      </c>
      <c r="F1057" s="6">
        <v>44092</v>
      </c>
      <c r="H1057" t="s">
        <v>189</v>
      </c>
      <c r="I1057" t="s">
        <v>120</v>
      </c>
    </row>
    <row r="1058" spans="1:9" x14ac:dyDescent="0.25">
      <c r="A1058" s="8" t="str">
        <f t="shared" si="48"/>
        <v>2007978.U01</v>
      </c>
      <c r="B1058" s="9" t="str">
        <f t="shared" si="49"/>
        <v/>
      </c>
      <c r="C1058" s="10">
        <f t="shared" si="50"/>
        <v>44088</v>
      </c>
      <c r="D1058">
        <v>2007978</v>
      </c>
      <c r="E1058" t="s">
        <v>150</v>
      </c>
      <c r="F1058" s="6">
        <v>44092</v>
      </c>
      <c r="H1058" t="s">
        <v>189</v>
      </c>
      <c r="I1058" t="s">
        <v>120</v>
      </c>
    </row>
    <row r="1059" spans="1:9" x14ac:dyDescent="0.25">
      <c r="A1059" s="8" t="str">
        <f t="shared" si="48"/>
        <v>2007978.UP1</v>
      </c>
      <c r="B1059" s="9" t="str">
        <f t="shared" si="49"/>
        <v/>
      </c>
      <c r="C1059" s="10">
        <f t="shared" si="50"/>
        <v>44088</v>
      </c>
      <c r="D1059">
        <v>2007978</v>
      </c>
      <c r="E1059" t="s">
        <v>164</v>
      </c>
      <c r="F1059" s="6">
        <v>44092</v>
      </c>
      <c r="H1059" t="s">
        <v>189</v>
      </c>
      <c r="I1059" t="s">
        <v>120</v>
      </c>
    </row>
    <row r="1060" spans="1:9" x14ac:dyDescent="0.25">
      <c r="A1060" s="8" t="str">
        <f t="shared" si="48"/>
        <v>2007978.Y01</v>
      </c>
      <c r="B1060" s="9" t="str">
        <f t="shared" si="49"/>
        <v/>
      </c>
      <c r="C1060" s="10">
        <f t="shared" si="50"/>
        <v>44088</v>
      </c>
      <c r="D1060">
        <v>2007978</v>
      </c>
      <c r="E1060" t="s">
        <v>132</v>
      </c>
      <c r="F1060" s="6">
        <v>44092</v>
      </c>
      <c r="H1060" t="s">
        <v>189</v>
      </c>
      <c r="I1060" t="s">
        <v>120</v>
      </c>
    </row>
    <row r="1061" spans="1:9" x14ac:dyDescent="0.25">
      <c r="A1061" s="8" t="str">
        <f t="shared" si="48"/>
        <v>2007980.X00</v>
      </c>
      <c r="B1061" s="9" t="str">
        <f t="shared" si="49"/>
        <v/>
      </c>
      <c r="C1061" s="10">
        <f t="shared" si="50"/>
        <v>44074</v>
      </c>
      <c r="D1061">
        <v>2007980</v>
      </c>
      <c r="E1061" t="s">
        <v>225</v>
      </c>
      <c r="F1061" s="6">
        <v>44078</v>
      </c>
      <c r="H1061" t="s">
        <v>180</v>
      </c>
      <c r="I1061" t="s">
        <v>120</v>
      </c>
    </row>
    <row r="1062" spans="1:9" x14ac:dyDescent="0.25">
      <c r="A1062" s="8" t="str">
        <f t="shared" si="48"/>
        <v>2007981.0P0</v>
      </c>
      <c r="B1062" s="9" t="str">
        <f t="shared" si="49"/>
        <v>4</v>
      </c>
      <c r="C1062" s="10">
        <f t="shared" si="50"/>
        <v>44091</v>
      </c>
      <c r="D1062">
        <v>2007981</v>
      </c>
      <c r="E1062" t="s">
        <v>119</v>
      </c>
      <c r="F1062" s="6">
        <v>44092</v>
      </c>
      <c r="G1062">
        <v>41</v>
      </c>
      <c r="H1062" t="s">
        <v>189</v>
      </c>
      <c r="I1062" t="s">
        <v>120</v>
      </c>
    </row>
    <row r="1063" spans="1:9" x14ac:dyDescent="0.25">
      <c r="A1063" s="8" t="str">
        <f t="shared" si="48"/>
        <v>2007981.H00</v>
      </c>
      <c r="B1063" s="9" t="str">
        <f t="shared" si="49"/>
        <v>4</v>
      </c>
      <c r="C1063" s="10">
        <f t="shared" si="50"/>
        <v>44091</v>
      </c>
      <c r="D1063">
        <v>2007981</v>
      </c>
      <c r="E1063" t="s">
        <v>122</v>
      </c>
      <c r="F1063" s="6">
        <v>44092</v>
      </c>
      <c r="G1063">
        <v>41</v>
      </c>
      <c r="H1063" t="s">
        <v>189</v>
      </c>
      <c r="I1063" t="s">
        <v>120</v>
      </c>
    </row>
    <row r="1064" spans="1:9" x14ac:dyDescent="0.25">
      <c r="A1064" s="8" t="str">
        <f t="shared" si="48"/>
        <v>2007981.HP0</v>
      </c>
      <c r="B1064" s="9" t="str">
        <f t="shared" si="49"/>
        <v>4</v>
      </c>
      <c r="C1064" s="10">
        <f t="shared" si="50"/>
        <v>44091</v>
      </c>
      <c r="D1064">
        <v>2007981</v>
      </c>
      <c r="E1064" t="s">
        <v>121</v>
      </c>
      <c r="F1064" s="6">
        <v>44092</v>
      </c>
      <c r="G1064">
        <v>41</v>
      </c>
      <c r="H1064" t="s">
        <v>189</v>
      </c>
      <c r="I1064" t="s">
        <v>120</v>
      </c>
    </row>
    <row r="1065" spans="1:9" x14ac:dyDescent="0.25">
      <c r="A1065" s="8" t="str">
        <f t="shared" si="48"/>
        <v>2007983.000</v>
      </c>
      <c r="B1065" s="9" t="str">
        <f t="shared" si="49"/>
        <v>4</v>
      </c>
      <c r="C1065" s="10">
        <f t="shared" si="50"/>
        <v>44084</v>
      </c>
      <c r="D1065">
        <v>2007983</v>
      </c>
      <c r="E1065">
        <v>0</v>
      </c>
      <c r="F1065" s="6">
        <v>44085</v>
      </c>
      <c r="G1065">
        <v>41</v>
      </c>
      <c r="H1065" t="s">
        <v>189</v>
      </c>
      <c r="I1065" t="s">
        <v>120</v>
      </c>
    </row>
    <row r="1066" spans="1:9" x14ac:dyDescent="0.25">
      <c r="A1066" s="8" t="str">
        <f t="shared" si="48"/>
        <v>2007984.HP0</v>
      </c>
      <c r="B1066" s="9" t="str">
        <f t="shared" si="49"/>
        <v/>
      </c>
      <c r="C1066" s="10">
        <f t="shared" si="50"/>
        <v>44088</v>
      </c>
      <c r="D1066">
        <v>2007984</v>
      </c>
      <c r="E1066" t="s">
        <v>121</v>
      </c>
      <c r="F1066" s="6">
        <v>44092</v>
      </c>
      <c r="H1066" t="s">
        <v>192</v>
      </c>
      <c r="I1066" t="s">
        <v>120</v>
      </c>
    </row>
    <row r="1067" spans="1:9" x14ac:dyDescent="0.25">
      <c r="A1067" s="8" t="str">
        <f t="shared" si="48"/>
        <v>2007985.Z00</v>
      </c>
      <c r="B1067" s="9" t="str">
        <f t="shared" si="49"/>
        <v/>
      </c>
      <c r="C1067" s="10">
        <f t="shared" si="50"/>
        <v>44088</v>
      </c>
      <c r="D1067">
        <v>2007985</v>
      </c>
      <c r="E1067" t="s">
        <v>158</v>
      </c>
      <c r="F1067" s="6">
        <v>44092</v>
      </c>
      <c r="H1067" t="s">
        <v>189</v>
      </c>
      <c r="I1067" t="s">
        <v>120</v>
      </c>
    </row>
    <row r="1068" spans="1:9" x14ac:dyDescent="0.25">
      <c r="A1068" s="8" t="str">
        <f t="shared" si="48"/>
        <v>2007986.0P0</v>
      </c>
      <c r="B1068" s="9" t="str">
        <f t="shared" si="49"/>
        <v/>
      </c>
      <c r="C1068" s="10">
        <f t="shared" si="50"/>
        <v>44074</v>
      </c>
      <c r="D1068">
        <v>2007986</v>
      </c>
      <c r="E1068" t="s">
        <v>119</v>
      </c>
      <c r="F1068" s="6">
        <v>44078</v>
      </c>
      <c r="H1068" t="s">
        <v>180</v>
      </c>
      <c r="I1068" t="s">
        <v>120</v>
      </c>
    </row>
    <row r="1069" spans="1:9" x14ac:dyDescent="0.25">
      <c r="A1069" s="8" t="str">
        <f t="shared" si="48"/>
        <v>2007988.HPL</v>
      </c>
      <c r="B1069" s="9" t="str">
        <f t="shared" si="49"/>
        <v/>
      </c>
      <c r="C1069" s="10">
        <f t="shared" si="50"/>
        <v>44088</v>
      </c>
      <c r="D1069">
        <v>2007988</v>
      </c>
      <c r="E1069" t="s">
        <v>128</v>
      </c>
      <c r="F1069" s="6">
        <v>44092</v>
      </c>
      <c r="H1069" t="s">
        <v>180</v>
      </c>
      <c r="I1069" t="s">
        <v>120</v>
      </c>
    </row>
    <row r="1070" spans="1:9" x14ac:dyDescent="0.25">
      <c r="A1070" s="8" t="str">
        <f t="shared" si="48"/>
        <v>2007989.U02</v>
      </c>
      <c r="B1070" s="9" t="str">
        <f t="shared" si="49"/>
        <v/>
      </c>
      <c r="C1070" s="10">
        <f t="shared" si="50"/>
        <v>44088</v>
      </c>
      <c r="D1070">
        <v>2007989</v>
      </c>
      <c r="E1070" t="s">
        <v>149</v>
      </c>
      <c r="F1070" s="6">
        <v>44092</v>
      </c>
      <c r="H1070" t="s">
        <v>189</v>
      </c>
      <c r="I1070" t="s">
        <v>120</v>
      </c>
    </row>
    <row r="1071" spans="1:9" x14ac:dyDescent="0.25">
      <c r="A1071" s="8" t="str">
        <f t="shared" si="48"/>
        <v>2007989.UP2</v>
      </c>
      <c r="B1071" s="9" t="str">
        <f t="shared" si="49"/>
        <v/>
      </c>
      <c r="C1071" s="10">
        <f t="shared" si="50"/>
        <v>44088</v>
      </c>
      <c r="D1071">
        <v>2007989</v>
      </c>
      <c r="E1071" t="s">
        <v>160</v>
      </c>
      <c r="F1071" s="6">
        <v>44092</v>
      </c>
      <c r="H1071" t="s">
        <v>189</v>
      </c>
      <c r="I1071" t="s">
        <v>120</v>
      </c>
    </row>
    <row r="1072" spans="1:9" x14ac:dyDescent="0.25">
      <c r="A1072" s="8" t="str">
        <f t="shared" si="48"/>
        <v>2007990.Y02</v>
      </c>
      <c r="B1072" s="9" t="str">
        <f t="shared" si="49"/>
        <v/>
      </c>
      <c r="C1072" s="10">
        <f t="shared" si="50"/>
        <v>44088</v>
      </c>
      <c r="D1072">
        <v>2007990</v>
      </c>
      <c r="E1072" t="s">
        <v>144</v>
      </c>
      <c r="F1072" s="6">
        <v>44092</v>
      </c>
      <c r="H1072" t="s">
        <v>189</v>
      </c>
      <c r="I1072" t="s">
        <v>120</v>
      </c>
    </row>
    <row r="1073" spans="1:9" x14ac:dyDescent="0.25">
      <c r="A1073" s="8" t="str">
        <f t="shared" si="48"/>
        <v>2007990.Z02</v>
      </c>
      <c r="B1073" s="9" t="str">
        <f t="shared" si="49"/>
        <v/>
      </c>
      <c r="C1073" s="10">
        <f t="shared" si="50"/>
        <v>44088</v>
      </c>
      <c r="D1073">
        <v>2007990</v>
      </c>
      <c r="E1073" t="s">
        <v>260</v>
      </c>
      <c r="F1073" s="6">
        <v>44092</v>
      </c>
      <c r="H1073" t="s">
        <v>189</v>
      </c>
      <c r="I1073" t="s">
        <v>120</v>
      </c>
    </row>
    <row r="1074" spans="1:9" x14ac:dyDescent="0.25">
      <c r="A1074" s="8" t="str">
        <f t="shared" si="48"/>
        <v>2007990.ZP2</v>
      </c>
      <c r="B1074" s="9" t="str">
        <f t="shared" si="49"/>
        <v/>
      </c>
      <c r="C1074" s="10">
        <f t="shared" si="50"/>
        <v>44088</v>
      </c>
      <c r="D1074">
        <v>2007990</v>
      </c>
      <c r="E1074" t="s">
        <v>151</v>
      </c>
      <c r="F1074" s="6">
        <v>44092</v>
      </c>
      <c r="H1074" t="s">
        <v>180</v>
      </c>
      <c r="I1074" t="s">
        <v>120</v>
      </c>
    </row>
    <row r="1075" spans="1:9" x14ac:dyDescent="0.25">
      <c r="A1075" s="8" t="str">
        <f t="shared" si="48"/>
        <v>2007991.000</v>
      </c>
      <c r="B1075" s="9" t="str">
        <f t="shared" si="49"/>
        <v/>
      </c>
      <c r="C1075" s="10">
        <f t="shared" si="50"/>
        <v>44102</v>
      </c>
      <c r="D1075">
        <v>2007991</v>
      </c>
      <c r="E1075">
        <v>0</v>
      </c>
      <c r="F1075" s="6">
        <v>44106</v>
      </c>
      <c r="H1075" t="s">
        <v>189</v>
      </c>
      <c r="I1075" t="s">
        <v>120</v>
      </c>
    </row>
    <row r="1076" spans="1:9" x14ac:dyDescent="0.25">
      <c r="A1076" s="8" t="str">
        <f t="shared" si="48"/>
        <v>2007991.G00</v>
      </c>
      <c r="B1076" s="9" t="str">
        <f t="shared" si="49"/>
        <v/>
      </c>
      <c r="C1076" s="10">
        <f t="shared" si="50"/>
        <v>44102</v>
      </c>
      <c r="D1076">
        <v>2007991</v>
      </c>
      <c r="E1076" t="s">
        <v>309</v>
      </c>
      <c r="F1076" s="6">
        <v>44106</v>
      </c>
      <c r="H1076" t="s">
        <v>189</v>
      </c>
      <c r="I1076" t="s">
        <v>120</v>
      </c>
    </row>
    <row r="1077" spans="1:9" x14ac:dyDescent="0.25">
      <c r="A1077" s="8" t="str">
        <f t="shared" si="48"/>
        <v>2007991.XP0</v>
      </c>
      <c r="B1077" s="9" t="str">
        <f t="shared" si="49"/>
        <v/>
      </c>
      <c r="C1077" s="10">
        <f t="shared" si="50"/>
        <v>44102</v>
      </c>
      <c r="D1077">
        <v>2007991</v>
      </c>
      <c r="E1077" t="s">
        <v>181</v>
      </c>
      <c r="F1077" s="6">
        <v>44106</v>
      </c>
      <c r="H1077" t="s">
        <v>189</v>
      </c>
      <c r="I1077" t="s">
        <v>120</v>
      </c>
    </row>
    <row r="1078" spans="1:9" x14ac:dyDescent="0.25">
      <c r="A1078" s="8" t="str">
        <f t="shared" si="48"/>
        <v>2007993.H01</v>
      </c>
      <c r="B1078" s="9" t="str">
        <f t="shared" si="49"/>
        <v/>
      </c>
      <c r="C1078" s="10">
        <f t="shared" si="50"/>
        <v>44088</v>
      </c>
      <c r="D1078">
        <v>2007993</v>
      </c>
      <c r="E1078" t="s">
        <v>145</v>
      </c>
      <c r="F1078" s="6">
        <v>44092</v>
      </c>
      <c r="H1078" t="s">
        <v>189</v>
      </c>
      <c r="I1078" t="s">
        <v>120</v>
      </c>
    </row>
    <row r="1079" spans="1:9" x14ac:dyDescent="0.25">
      <c r="A1079" s="8" t="str">
        <f t="shared" si="48"/>
        <v>2007993.Y01</v>
      </c>
      <c r="B1079" s="9" t="str">
        <f t="shared" si="49"/>
        <v/>
      </c>
      <c r="C1079" s="10">
        <f t="shared" si="50"/>
        <v>44088</v>
      </c>
      <c r="D1079">
        <v>2007993</v>
      </c>
      <c r="E1079" t="s">
        <v>132</v>
      </c>
      <c r="F1079" s="6">
        <v>44092</v>
      </c>
      <c r="H1079" t="s">
        <v>189</v>
      </c>
      <c r="I1079" t="s">
        <v>120</v>
      </c>
    </row>
    <row r="1080" spans="1:9" x14ac:dyDescent="0.25">
      <c r="A1080" s="8" t="str">
        <f t="shared" si="48"/>
        <v>2007995.000</v>
      </c>
      <c r="B1080" s="9" t="str">
        <f t="shared" si="49"/>
        <v>1</v>
      </c>
      <c r="C1080" s="10">
        <f t="shared" si="50"/>
        <v>44116</v>
      </c>
      <c r="D1080">
        <v>2007995</v>
      </c>
      <c r="E1080">
        <v>0</v>
      </c>
      <c r="F1080" s="6">
        <v>44120</v>
      </c>
      <c r="G1080">
        <v>1</v>
      </c>
      <c r="H1080" t="s">
        <v>189</v>
      </c>
      <c r="I1080" t="s">
        <v>120</v>
      </c>
    </row>
    <row r="1081" spans="1:9" x14ac:dyDescent="0.25">
      <c r="A1081" s="8" t="str">
        <f t="shared" si="48"/>
        <v>2007995.0P0</v>
      </c>
      <c r="B1081" s="9" t="str">
        <f t="shared" si="49"/>
        <v>1</v>
      </c>
      <c r="C1081" s="10">
        <f t="shared" si="50"/>
        <v>44116</v>
      </c>
      <c r="D1081">
        <v>2007995</v>
      </c>
      <c r="E1081" t="s">
        <v>119</v>
      </c>
      <c r="F1081" s="6">
        <v>44120</v>
      </c>
      <c r="G1081">
        <v>1</v>
      </c>
      <c r="H1081" t="s">
        <v>189</v>
      </c>
      <c r="I1081" t="s">
        <v>120</v>
      </c>
    </row>
    <row r="1082" spans="1:9" x14ac:dyDescent="0.25">
      <c r="A1082" s="8" t="str">
        <f t="shared" si="48"/>
        <v>2007998.000</v>
      </c>
      <c r="B1082" s="9" t="str">
        <f t="shared" si="49"/>
        <v>2</v>
      </c>
      <c r="C1082" s="10">
        <f t="shared" si="50"/>
        <v>44075</v>
      </c>
      <c r="D1082">
        <v>2007998</v>
      </c>
      <c r="E1082">
        <v>0</v>
      </c>
      <c r="F1082" s="6">
        <v>44078</v>
      </c>
      <c r="G1082">
        <v>2</v>
      </c>
      <c r="H1082" t="s">
        <v>180</v>
      </c>
      <c r="I1082" t="s">
        <v>120</v>
      </c>
    </row>
    <row r="1083" spans="1:9" x14ac:dyDescent="0.25">
      <c r="A1083" s="8" t="str">
        <f t="shared" si="48"/>
        <v>2007998.H00</v>
      </c>
      <c r="B1083" s="9" t="str">
        <f t="shared" si="49"/>
        <v>2</v>
      </c>
      <c r="C1083" s="10">
        <f t="shared" si="50"/>
        <v>44075</v>
      </c>
      <c r="D1083">
        <v>2007998</v>
      </c>
      <c r="E1083" t="s">
        <v>122</v>
      </c>
      <c r="F1083" s="6">
        <v>44078</v>
      </c>
      <c r="G1083">
        <v>2</v>
      </c>
      <c r="H1083" t="s">
        <v>180</v>
      </c>
      <c r="I1083" t="s">
        <v>120</v>
      </c>
    </row>
    <row r="1084" spans="1:9" x14ac:dyDescent="0.25">
      <c r="A1084" s="8" t="str">
        <f t="shared" si="48"/>
        <v>2008000.000</v>
      </c>
      <c r="B1084" s="9" t="str">
        <f t="shared" si="49"/>
        <v/>
      </c>
      <c r="C1084" s="10">
        <f t="shared" si="50"/>
        <v>44074</v>
      </c>
      <c r="D1084">
        <v>2008000</v>
      </c>
      <c r="E1084">
        <v>0</v>
      </c>
      <c r="F1084" s="6">
        <v>44078</v>
      </c>
      <c r="H1084" t="s">
        <v>180</v>
      </c>
      <c r="I1084" t="s">
        <v>120</v>
      </c>
    </row>
    <row r="1085" spans="1:9" x14ac:dyDescent="0.25">
      <c r="A1085" s="8" t="str">
        <f t="shared" si="48"/>
        <v>2008000.0P0</v>
      </c>
      <c r="B1085" s="9" t="str">
        <f t="shared" si="49"/>
        <v/>
      </c>
      <c r="C1085" s="10">
        <f t="shared" si="50"/>
        <v>44074</v>
      </c>
      <c r="D1085">
        <v>2008000</v>
      </c>
      <c r="E1085" t="s">
        <v>119</v>
      </c>
      <c r="F1085" s="6">
        <v>44078</v>
      </c>
      <c r="H1085" t="s">
        <v>180</v>
      </c>
      <c r="I1085" t="s">
        <v>120</v>
      </c>
    </row>
    <row r="1086" spans="1:9" x14ac:dyDescent="0.25">
      <c r="A1086" s="8" t="str">
        <f t="shared" si="48"/>
        <v>2008001.HPL</v>
      </c>
      <c r="B1086" s="9" t="str">
        <f t="shared" si="49"/>
        <v/>
      </c>
      <c r="C1086" s="10">
        <f t="shared" si="50"/>
        <v>44144</v>
      </c>
      <c r="D1086">
        <v>2008001</v>
      </c>
      <c r="E1086" t="s">
        <v>128</v>
      </c>
      <c r="F1086" s="6">
        <v>44148</v>
      </c>
      <c r="H1086" t="s">
        <v>189</v>
      </c>
      <c r="I1086" t="s">
        <v>120</v>
      </c>
    </row>
    <row r="1087" spans="1:9" x14ac:dyDescent="0.25">
      <c r="A1087" s="8" t="str">
        <f t="shared" si="48"/>
        <v>2008002.Y00</v>
      </c>
      <c r="B1087" s="9" t="str">
        <f t="shared" si="49"/>
        <v/>
      </c>
      <c r="C1087" s="10">
        <f t="shared" si="50"/>
        <v>44074</v>
      </c>
      <c r="D1087">
        <v>2008002</v>
      </c>
      <c r="E1087" t="s">
        <v>130</v>
      </c>
      <c r="F1087" s="6">
        <v>44078</v>
      </c>
      <c r="H1087" t="s">
        <v>180</v>
      </c>
      <c r="I1087" t="s">
        <v>120</v>
      </c>
    </row>
    <row r="1088" spans="1:9" x14ac:dyDescent="0.25">
      <c r="A1088" s="8" t="str">
        <f t="shared" si="48"/>
        <v>2008003.000</v>
      </c>
      <c r="B1088" s="9" t="str">
        <f t="shared" si="49"/>
        <v/>
      </c>
      <c r="C1088" s="10">
        <f t="shared" si="50"/>
        <v>44102</v>
      </c>
      <c r="D1088">
        <v>2008003</v>
      </c>
      <c r="E1088">
        <v>0</v>
      </c>
      <c r="F1088" s="6">
        <v>44106</v>
      </c>
      <c r="H1088" t="s">
        <v>189</v>
      </c>
      <c r="I1088" t="s">
        <v>120</v>
      </c>
    </row>
    <row r="1089" spans="1:9" x14ac:dyDescent="0.25">
      <c r="A1089" s="8" t="str">
        <f t="shared" si="48"/>
        <v>2008003.H00</v>
      </c>
      <c r="B1089" s="9" t="str">
        <f t="shared" si="49"/>
        <v/>
      </c>
      <c r="C1089" s="10">
        <f t="shared" si="50"/>
        <v>44102</v>
      </c>
      <c r="D1089">
        <v>2008003</v>
      </c>
      <c r="E1089" t="s">
        <v>122</v>
      </c>
      <c r="F1089" s="6">
        <v>44106</v>
      </c>
      <c r="H1089" t="s">
        <v>189</v>
      </c>
      <c r="I1089" t="s">
        <v>120</v>
      </c>
    </row>
    <row r="1090" spans="1:9" x14ac:dyDescent="0.25">
      <c r="A1090" s="8" t="str">
        <f t="shared" ref="A1090:A1153" si="51">IF(D1090="","",IF(E1090=0,CONCATENATE(D1090,".",E1090,"00"),CONCATENATE(D1090,".",E1090)))</f>
        <v>2008003.HP0</v>
      </c>
      <c r="B1090" s="9" t="str">
        <f t="shared" ref="B1090:B1153" si="52">LEFT(G1090,1)</f>
        <v/>
      </c>
      <c r="C1090" s="10">
        <f t="shared" ref="C1090:C1153" si="53">IF(F1090="","",IF(B1090="",F1090-4,IF(B1090="1",F1090-4,IF(B1090="2",F1090-3,IF(B1090="3",F1090-2,IF(B1090="4",F1090-1,IF(B1090="V",F1090-7,IF(B1090="J",F1090-8,F1090))))))))</f>
        <v>44102</v>
      </c>
      <c r="D1090">
        <v>2008003</v>
      </c>
      <c r="E1090" t="s">
        <v>121</v>
      </c>
      <c r="F1090" s="6">
        <v>44106</v>
      </c>
      <c r="H1090" t="s">
        <v>189</v>
      </c>
      <c r="I1090" t="s">
        <v>120</v>
      </c>
    </row>
    <row r="1091" spans="1:9" x14ac:dyDescent="0.25">
      <c r="A1091" s="8" t="str">
        <f t="shared" si="51"/>
        <v>2008006.H00</v>
      </c>
      <c r="B1091" s="9" t="str">
        <f t="shared" si="52"/>
        <v/>
      </c>
      <c r="C1091" s="10">
        <f t="shared" si="53"/>
        <v>44088</v>
      </c>
      <c r="D1091">
        <v>2008006</v>
      </c>
      <c r="E1091" t="s">
        <v>122</v>
      </c>
      <c r="F1091" s="6">
        <v>44092</v>
      </c>
      <c r="H1091" t="s">
        <v>189</v>
      </c>
      <c r="I1091" t="s">
        <v>120</v>
      </c>
    </row>
    <row r="1092" spans="1:9" x14ac:dyDescent="0.25">
      <c r="A1092" s="8" t="str">
        <f t="shared" si="51"/>
        <v>2008006.HP0</v>
      </c>
      <c r="B1092" s="9" t="str">
        <f t="shared" si="52"/>
        <v/>
      </c>
      <c r="C1092" s="10">
        <f t="shared" si="53"/>
        <v>44088</v>
      </c>
      <c r="D1092">
        <v>2008006</v>
      </c>
      <c r="E1092" t="s">
        <v>121</v>
      </c>
      <c r="F1092" s="6">
        <v>44092</v>
      </c>
      <c r="H1092" t="s">
        <v>180</v>
      </c>
      <c r="I1092" t="s">
        <v>120</v>
      </c>
    </row>
    <row r="1093" spans="1:9" x14ac:dyDescent="0.25">
      <c r="A1093" s="8" t="str">
        <f t="shared" si="51"/>
        <v>2008006.Y01</v>
      </c>
      <c r="B1093" s="9" t="str">
        <f t="shared" si="52"/>
        <v/>
      </c>
      <c r="C1093" s="10">
        <f t="shared" si="53"/>
        <v>44088</v>
      </c>
      <c r="D1093">
        <v>2008006</v>
      </c>
      <c r="E1093" t="s">
        <v>132</v>
      </c>
      <c r="F1093" s="6">
        <v>44092</v>
      </c>
      <c r="H1093" t="s">
        <v>189</v>
      </c>
      <c r="I1093" t="s">
        <v>120</v>
      </c>
    </row>
    <row r="1094" spans="1:9" x14ac:dyDescent="0.25">
      <c r="A1094" s="8" t="str">
        <f t="shared" si="51"/>
        <v>2008007.000</v>
      </c>
      <c r="B1094" s="9" t="str">
        <f t="shared" si="52"/>
        <v/>
      </c>
      <c r="C1094" s="10">
        <f t="shared" si="53"/>
        <v>44074</v>
      </c>
      <c r="D1094">
        <v>2008007</v>
      </c>
      <c r="E1094">
        <v>0</v>
      </c>
      <c r="F1094" s="6">
        <v>44078</v>
      </c>
      <c r="H1094" t="s">
        <v>180</v>
      </c>
      <c r="I1094" t="s">
        <v>120</v>
      </c>
    </row>
    <row r="1095" spans="1:9" x14ac:dyDescent="0.25">
      <c r="A1095" s="8" t="str">
        <f t="shared" si="51"/>
        <v>2008008.000</v>
      </c>
      <c r="B1095" s="9" t="str">
        <f t="shared" si="52"/>
        <v/>
      </c>
      <c r="C1095" s="10">
        <f t="shared" si="53"/>
        <v>44074</v>
      </c>
      <c r="D1095">
        <v>2008008</v>
      </c>
      <c r="E1095">
        <v>0</v>
      </c>
      <c r="F1095" s="6">
        <v>44078</v>
      </c>
      <c r="H1095" t="s">
        <v>180</v>
      </c>
      <c r="I1095" t="s">
        <v>120</v>
      </c>
    </row>
    <row r="1096" spans="1:9" x14ac:dyDescent="0.25">
      <c r="A1096" s="8" t="str">
        <f t="shared" si="51"/>
        <v>2008009.XP0</v>
      </c>
      <c r="B1096" s="9" t="str">
        <f t="shared" si="52"/>
        <v/>
      </c>
      <c r="C1096" s="10">
        <f t="shared" si="53"/>
        <v>44074</v>
      </c>
      <c r="D1096">
        <v>2008009</v>
      </c>
      <c r="E1096" t="s">
        <v>181</v>
      </c>
      <c r="F1096" s="6">
        <v>44078</v>
      </c>
      <c r="H1096" t="s">
        <v>180</v>
      </c>
      <c r="I1096" t="s">
        <v>120</v>
      </c>
    </row>
    <row r="1097" spans="1:9" x14ac:dyDescent="0.25">
      <c r="A1097" s="8" t="str">
        <f t="shared" si="51"/>
        <v>2008010.NS0</v>
      </c>
      <c r="B1097" s="9" t="str">
        <f t="shared" si="52"/>
        <v/>
      </c>
      <c r="C1097" s="10">
        <f t="shared" si="53"/>
        <v>44039</v>
      </c>
      <c r="D1097">
        <v>2008010</v>
      </c>
      <c r="E1097" t="s">
        <v>169</v>
      </c>
      <c r="F1097" s="6">
        <v>44043</v>
      </c>
      <c r="H1097" t="s">
        <v>180</v>
      </c>
      <c r="I1097" t="s">
        <v>120</v>
      </c>
    </row>
    <row r="1098" spans="1:9" x14ac:dyDescent="0.25">
      <c r="A1098" s="8" t="str">
        <f t="shared" si="51"/>
        <v>2008011.000</v>
      </c>
      <c r="B1098" s="9" t="str">
        <f t="shared" si="52"/>
        <v>3</v>
      </c>
      <c r="C1098" s="10">
        <f t="shared" si="53"/>
        <v>44104</v>
      </c>
      <c r="D1098">
        <v>2008011</v>
      </c>
      <c r="E1098">
        <v>0</v>
      </c>
      <c r="F1098" s="6">
        <v>44106</v>
      </c>
      <c r="G1098">
        <v>3</v>
      </c>
      <c r="H1098" t="s">
        <v>189</v>
      </c>
      <c r="I1098" t="s">
        <v>120</v>
      </c>
    </row>
    <row r="1099" spans="1:9" x14ac:dyDescent="0.25">
      <c r="A1099" s="8" t="str">
        <f t="shared" si="51"/>
        <v>2008011.0P0</v>
      </c>
      <c r="B1099" s="9" t="str">
        <f t="shared" si="52"/>
        <v>3</v>
      </c>
      <c r="C1099" s="10">
        <f t="shared" si="53"/>
        <v>44104</v>
      </c>
      <c r="D1099">
        <v>2008011</v>
      </c>
      <c r="E1099" t="s">
        <v>119</v>
      </c>
      <c r="F1099" s="6">
        <v>44106</v>
      </c>
      <c r="G1099">
        <v>3</v>
      </c>
      <c r="H1099" t="s">
        <v>189</v>
      </c>
      <c r="I1099" t="s">
        <v>120</v>
      </c>
    </row>
    <row r="1100" spans="1:9" x14ac:dyDescent="0.25">
      <c r="A1100" s="8" t="str">
        <f t="shared" si="51"/>
        <v>2008012.H00</v>
      </c>
      <c r="B1100" s="9" t="str">
        <f t="shared" si="52"/>
        <v>3</v>
      </c>
      <c r="C1100" s="10">
        <f t="shared" si="53"/>
        <v>44097</v>
      </c>
      <c r="D1100">
        <v>2008012</v>
      </c>
      <c r="E1100" t="s">
        <v>122</v>
      </c>
      <c r="F1100" s="6">
        <v>44099</v>
      </c>
      <c r="G1100">
        <v>3</v>
      </c>
      <c r="H1100" t="s">
        <v>189</v>
      </c>
      <c r="I1100" t="s">
        <v>120</v>
      </c>
    </row>
    <row r="1101" spans="1:9" x14ac:dyDescent="0.25">
      <c r="A1101" s="8" t="str">
        <f t="shared" si="51"/>
        <v>2008014.000</v>
      </c>
      <c r="B1101" s="9" t="str">
        <f t="shared" si="52"/>
        <v>3</v>
      </c>
      <c r="C1101" s="10">
        <f t="shared" si="53"/>
        <v>44076</v>
      </c>
      <c r="D1101">
        <v>2008014</v>
      </c>
      <c r="E1101">
        <v>0</v>
      </c>
      <c r="F1101" s="6">
        <v>44078</v>
      </c>
      <c r="G1101">
        <v>3</v>
      </c>
      <c r="H1101" t="s">
        <v>180</v>
      </c>
      <c r="I1101" t="s">
        <v>120</v>
      </c>
    </row>
    <row r="1102" spans="1:9" x14ac:dyDescent="0.25">
      <c r="A1102" s="8" t="str">
        <f t="shared" si="51"/>
        <v>2008016.000</v>
      </c>
      <c r="B1102" s="9" t="str">
        <f t="shared" si="52"/>
        <v/>
      </c>
      <c r="C1102" s="10">
        <f t="shared" si="53"/>
        <v>44088</v>
      </c>
      <c r="D1102">
        <v>2008016</v>
      </c>
      <c r="E1102">
        <v>0</v>
      </c>
      <c r="F1102" s="6">
        <v>44092</v>
      </c>
      <c r="H1102" t="s">
        <v>189</v>
      </c>
      <c r="I1102" t="s">
        <v>120</v>
      </c>
    </row>
    <row r="1103" spans="1:9" x14ac:dyDescent="0.25">
      <c r="A1103" s="8" t="str">
        <f t="shared" si="51"/>
        <v>2008016.0P0</v>
      </c>
      <c r="B1103" s="9" t="str">
        <f t="shared" si="52"/>
        <v/>
      </c>
      <c r="C1103" s="10">
        <f t="shared" si="53"/>
        <v>44088</v>
      </c>
      <c r="D1103">
        <v>2008016</v>
      </c>
      <c r="E1103" t="s">
        <v>119</v>
      </c>
      <c r="F1103" s="6">
        <v>44092</v>
      </c>
      <c r="H1103" t="s">
        <v>189</v>
      </c>
      <c r="I1103" t="s">
        <v>120</v>
      </c>
    </row>
    <row r="1104" spans="1:9" x14ac:dyDescent="0.25">
      <c r="A1104" s="8" t="str">
        <f t="shared" si="51"/>
        <v>2008016.Y00</v>
      </c>
      <c r="B1104" s="9" t="str">
        <f t="shared" si="52"/>
        <v/>
      </c>
      <c r="C1104" s="10">
        <f t="shared" si="53"/>
        <v>44088</v>
      </c>
      <c r="D1104">
        <v>2008016</v>
      </c>
      <c r="E1104" t="s">
        <v>130</v>
      </c>
      <c r="F1104" s="6">
        <v>44092</v>
      </c>
      <c r="H1104" t="s">
        <v>189</v>
      </c>
      <c r="I1104" t="s">
        <v>120</v>
      </c>
    </row>
    <row r="1105" spans="1:9" x14ac:dyDescent="0.25">
      <c r="A1105" s="8" t="str">
        <f t="shared" si="51"/>
        <v>2008017.CP0</v>
      </c>
      <c r="B1105" s="9" t="str">
        <f t="shared" si="52"/>
        <v/>
      </c>
      <c r="C1105" s="10">
        <f t="shared" si="53"/>
        <v>44102</v>
      </c>
      <c r="D1105">
        <v>2008017</v>
      </c>
      <c r="E1105" t="s">
        <v>148</v>
      </c>
      <c r="F1105" s="6">
        <v>44106</v>
      </c>
      <c r="H1105" t="s">
        <v>188</v>
      </c>
      <c r="I1105" t="s">
        <v>120</v>
      </c>
    </row>
    <row r="1106" spans="1:9" x14ac:dyDescent="0.25">
      <c r="A1106" s="8" t="str">
        <f t="shared" si="51"/>
        <v>2008018.000</v>
      </c>
      <c r="B1106" s="9" t="str">
        <f t="shared" si="52"/>
        <v>4</v>
      </c>
      <c r="C1106" s="10">
        <f t="shared" si="53"/>
        <v>44077</v>
      </c>
      <c r="D1106">
        <v>2008018</v>
      </c>
      <c r="E1106">
        <v>0</v>
      </c>
      <c r="F1106" s="6">
        <v>44078</v>
      </c>
      <c r="G1106">
        <v>4</v>
      </c>
      <c r="H1106" t="s">
        <v>180</v>
      </c>
      <c r="I1106" t="s">
        <v>120</v>
      </c>
    </row>
    <row r="1107" spans="1:9" x14ac:dyDescent="0.25">
      <c r="A1107" s="8" t="str">
        <f t="shared" si="51"/>
        <v>2008019.NM0</v>
      </c>
      <c r="B1107" s="9" t="str">
        <f t="shared" si="52"/>
        <v>3</v>
      </c>
      <c r="C1107" s="10">
        <f t="shared" si="53"/>
        <v>44041</v>
      </c>
      <c r="D1107">
        <v>2008019</v>
      </c>
      <c r="E1107" t="s">
        <v>154</v>
      </c>
      <c r="F1107" s="6">
        <v>44043</v>
      </c>
      <c r="G1107">
        <v>35</v>
      </c>
      <c r="H1107" t="s">
        <v>189</v>
      </c>
      <c r="I1107" t="s">
        <v>120</v>
      </c>
    </row>
    <row r="1108" spans="1:9" x14ac:dyDescent="0.25">
      <c r="A1108" s="8" t="str">
        <f t="shared" si="51"/>
        <v>2008020.000</v>
      </c>
      <c r="B1108" s="9" t="str">
        <f t="shared" si="52"/>
        <v/>
      </c>
      <c r="C1108" s="10">
        <f t="shared" si="53"/>
        <v>44074</v>
      </c>
      <c r="D1108">
        <v>2008020</v>
      </c>
      <c r="E1108">
        <v>0</v>
      </c>
      <c r="F1108" s="6">
        <v>44078</v>
      </c>
      <c r="H1108" t="s">
        <v>180</v>
      </c>
      <c r="I1108" t="s">
        <v>120</v>
      </c>
    </row>
    <row r="1109" spans="1:9" x14ac:dyDescent="0.25">
      <c r="A1109" s="8" t="str">
        <f t="shared" si="51"/>
        <v>2008020.0P0</v>
      </c>
      <c r="B1109" s="9" t="str">
        <f t="shared" si="52"/>
        <v/>
      </c>
      <c r="C1109" s="10">
        <f t="shared" si="53"/>
        <v>44074</v>
      </c>
      <c r="D1109">
        <v>2008020</v>
      </c>
      <c r="E1109" t="s">
        <v>119</v>
      </c>
      <c r="F1109" s="6">
        <v>44078</v>
      </c>
      <c r="H1109" t="s">
        <v>180</v>
      </c>
      <c r="I1109" t="s">
        <v>120</v>
      </c>
    </row>
    <row r="1110" spans="1:9" x14ac:dyDescent="0.25">
      <c r="A1110" s="8" t="str">
        <f t="shared" si="51"/>
        <v>2008021.H00</v>
      </c>
      <c r="B1110" s="9" t="str">
        <f t="shared" si="52"/>
        <v/>
      </c>
      <c r="C1110" s="10">
        <f t="shared" si="53"/>
        <v>44088</v>
      </c>
      <c r="D1110">
        <v>2008021</v>
      </c>
      <c r="E1110" t="s">
        <v>122</v>
      </c>
      <c r="F1110" s="6">
        <v>44092</v>
      </c>
      <c r="H1110" t="s">
        <v>189</v>
      </c>
      <c r="I1110" t="s">
        <v>120</v>
      </c>
    </row>
    <row r="1111" spans="1:9" x14ac:dyDescent="0.25">
      <c r="A1111" s="8" t="str">
        <f t="shared" si="51"/>
        <v>2008022.UP2</v>
      </c>
      <c r="B1111" s="9" t="str">
        <f t="shared" si="52"/>
        <v>2</v>
      </c>
      <c r="C1111" s="10">
        <f t="shared" si="53"/>
        <v>44068</v>
      </c>
      <c r="D1111">
        <v>2008022</v>
      </c>
      <c r="E1111" t="s">
        <v>160</v>
      </c>
      <c r="F1111" s="6">
        <v>44071</v>
      </c>
      <c r="G1111">
        <v>20</v>
      </c>
      <c r="H1111" t="s">
        <v>180</v>
      </c>
      <c r="I1111" t="s">
        <v>120</v>
      </c>
    </row>
    <row r="1112" spans="1:9" x14ac:dyDescent="0.25">
      <c r="A1112" s="8" t="str">
        <f t="shared" si="51"/>
        <v>2008023.UP0</v>
      </c>
      <c r="B1112" s="9" t="str">
        <f t="shared" si="52"/>
        <v>2</v>
      </c>
      <c r="C1112" s="10">
        <f t="shared" si="53"/>
        <v>44089</v>
      </c>
      <c r="D1112">
        <v>2008023</v>
      </c>
      <c r="E1112" t="s">
        <v>136</v>
      </c>
      <c r="F1112" s="6">
        <v>44092</v>
      </c>
      <c r="G1112">
        <v>2</v>
      </c>
      <c r="H1112" t="s">
        <v>189</v>
      </c>
      <c r="I1112" t="s">
        <v>120</v>
      </c>
    </row>
    <row r="1113" spans="1:9" x14ac:dyDescent="0.25">
      <c r="A1113" s="8" t="str">
        <f t="shared" si="51"/>
        <v>2008024.HP2</v>
      </c>
      <c r="B1113" s="9" t="str">
        <f t="shared" si="52"/>
        <v/>
      </c>
      <c r="C1113" s="10">
        <f t="shared" si="53"/>
        <v>44088</v>
      </c>
      <c r="D1113">
        <v>2008024</v>
      </c>
      <c r="E1113" t="s">
        <v>138</v>
      </c>
      <c r="F1113" s="6">
        <v>44092</v>
      </c>
      <c r="H1113" t="s">
        <v>180</v>
      </c>
      <c r="I1113" t="s">
        <v>120</v>
      </c>
    </row>
    <row r="1114" spans="1:9" x14ac:dyDescent="0.25">
      <c r="A1114" s="8" t="str">
        <f t="shared" si="51"/>
        <v>2008025.000</v>
      </c>
      <c r="B1114" s="9" t="str">
        <f t="shared" si="52"/>
        <v/>
      </c>
      <c r="C1114" s="10">
        <f t="shared" si="53"/>
        <v>44081</v>
      </c>
      <c r="D1114">
        <v>2008025</v>
      </c>
      <c r="E1114">
        <v>0</v>
      </c>
      <c r="F1114" s="6">
        <v>44085</v>
      </c>
      <c r="H1114" t="s">
        <v>180</v>
      </c>
      <c r="I1114" t="s">
        <v>120</v>
      </c>
    </row>
    <row r="1115" spans="1:9" x14ac:dyDescent="0.25">
      <c r="A1115" s="8" t="str">
        <f t="shared" si="51"/>
        <v>2008025.0P0</v>
      </c>
      <c r="B1115" s="9" t="str">
        <f t="shared" si="52"/>
        <v/>
      </c>
      <c r="C1115" s="10">
        <f t="shared" si="53"/>
        <v>44081</v>
      </c>
      <c r="D1115">
        <v>2008025</v>
      </c>
      <c r="E1115" t="s">
        <v>119</v>
      </c>
      <c r="F1115" s="6">
        <v>44085</v>
      </c>
      <c r="H1115" t="s">
        <v>180</v>
      </c>
      <c r="I1115" t="s">
        <v>120</v>
      </c>
    </row>
    <row r="1116" spans="1:9" x14ac:dyDescent="0.25">
      <c r="A1116" s="8" t="str">
        <f t="shared" si="51"/>
        <v>2008026.X00</v>
      </c>
      <c r="B1116" s="9" t="str">
        <f t="shared" si="52"/>
        <v>1</v>
      </c>
      <c r="C1116" s="10">
        <f t="shared" si="53"/>
        <v>44074</v>
      </c>
      <c r="D1116">
        <v>2008026</v>
      </c>
      <c r="E1116" t="s">
        <v>225</v>
      </c>
      <c r="F1116" s="6">
        <v>44078</v>
      </c>
      <c r="G1116">
        <v>1</v>
      </c>
      <c r="H1116" t="s">
        <v>180</v>
      </c>
      <c r="I1116" t="s">
        <v>120</v>
      </c>
    </row>
    <row r="1117" spans="1:9" x14ac:dyDescent="0.25">
      <c r="A1117" s="8" t="str">
        <f t="shared" si="51"/>
        <v>2008028.0P0</v>
      </c>
      <c r="B1117" s="9" t="str">
        <f t="shared" si="52"/>
        <v/>
      </c>
      <c r="C1117" s="10">
        <f t="shared" si="53"/>
        <v>44074</v>
      </c>
      <c r="D1117">
        <v>2008028</v>
      </c>
      <c r="E1117" t="s">
        <v>119</v>
      </c>
      <c r="F1117" s="6">
        <v>44078</v>
      </c>
      <c r="H1117" t="s">
        <v>180</v>
      </c>
      <c r="I1117" t="s">
        <v>120</v>
      </c>
    </row>
    <row r="1118" spans="1:9" x14ac:dyDescent="0.25">
      <c r="A1118" s="8" t="str">
        <f t="shared" si="51"/>
        <v>2008031.UP0</v>
      </c>
      <c r="B1118" s="9" t="str">
        <f t="shared" si="52"/>
        <v/>
      </c>
      <c r="C1118" s="10">
        <f t="shared" si="53"/>
        <v>44088</v>
      </c>
      <c r="D1118">
        <v>2008031</v>
      </c>
      <c r="E1118" t="s">
        <v>136</v>
      </c>
      <c r="F1118" s="6">
        <v>44092</v>
      </c>
      <c r="H1118" t="s">
        <v>189</v>
      </c>
      <c r="I1118" t="s">
        <v>120</v>
      </c>
    </row>
    <row r="1119" spans="1:9" x14ac:dyDescent="0.25">
      <c r="A1119" s="8" t="str">
        <f t="shared" si="51"/>
        <v>2008032.XP0</v>
      </c>
      <c r="B1119" s="9" t="str">
        <f t="shared" si="52"/>
        <v>4</v>
      </c>
      <c r="C1119" s="10">
        <f t="shared" si="53"/>
        <v>44077</v>
      </c>
      <c r="D1119">
        <v>2008032</v>
      </c>
      <c r="E1119" t="s">
        <v>181</v>
      </c>
      <c r="F1119" s="6">
        <v>44078</v>
      </c>
      <c r="G1119">
        <v>4</v>
      </c>
      <c r="H1119" t="s">
        <v>192</v>
      </c>
      <c r="I1119" t="s">
        <v>120</v>
      </c>
    </row>
    <row r="1120" spans="1:9" x14ac:dyDescent="0.25">
      <c r="A1120" s="8" t="str">
        <f t="shared" si="51"/>
        <v>2008036.X00</v>
      </c>
      <c r="B1120" s="9" t="str">
        <f t="shared" si="52"/>
        <v/>
      </c>
      <c r="C1120" s="10">
        <f t="shared" si="53"/>
        <v>44074</v>
      </c>
      <c r="D1120">
        <v>2008036</v>
      </c>
      <c r="E1120" t="s">
        <v>225</v>
      </c>
      <c r="F1120" s="6">
        <v>44078</v>
      </c>
      <c r="H1120" t="s">
        <v>180</v>
      </c>
      <c r="I1120" t="s">
        <v>120</v>
      </c>
    </row>
    <row r="1121" spans="1:9" x14ac:dyDescent="0.25">
      <c r="A1121" s="8" t="str">
        <f t="shared" si="51"/>
        <v>2008037.Y01</v>
      </c>
      <c r="B1121" s="9" t="str">
        <f t="shared" si="52"/>
        <v/>
      </c>
      <c r="C1121" s="10">
        <f t="shared" si="53"/>
        <v>44088</v>
      </c>
      <c r="D1121">
        <v>2008037</v>
      </c>
      <c r="E1121" t="s">
        <v>132</v>
      </c>
      <c r="F1121" s="6">
        <v>44092</v>
      </c>
      <c r="H1121" t="s">
        <v>189</v>
      </c>
      <c r="I1121" t="s">
        <v>120</v>
      </c>
    </row>
    <row r="1122" spans="1:9" x14ac:dyDescent="0.25">
      <c r="A1122" s="8" t="str">
        <f t="shared" si="51"/>
        <v>2008038.ZP1</v>
      </c>
      <c r="B1122" s="9" t="str">
        <f t="shared" si="52"/>
        <v>2</v>
      </c>
      <c r="C1122" s="10">
        <f t="shared" si="53"/>
        <v>44089</v>
      </c>
      <c r="D1122">
        <v>2008038</v>
      </c>
      <c r="E1122" t="s">
        <v>141</v>
      </c>
      <c r="F1122" s="6">
        <v>44092</v>
      </c>
      <c r="G1122">
        <v>2</v>
      </c>
      <c r="H1122" t="s">
        <v>180</v>
      </c>
      <c r="I1122" t="s">
        <v>120</v>
      </c>
    </row>
    <row r="1123" spans="1:9" x14ac:dyDescent="0.25">
      <c r="A1123" s="8" t="str">
        <f t="shared" si="51"/>
        <v>2008040.U02</v>
      </c>
      <c r="B1123" s="9" t="str">
        <f t="shared" si="52"/>
        <v>1</v>
      </c>
      <c r="C1123" s="10">
        <f t="shared" si="53"/>
        <v>44088</v>
      </c>
      <c r="D1123">
        <v>2008040</v>
      </c>
      <c r="E1123" t="s">
        <v>149</v>
      </c>
      <c r="F1123" s="6">
        <v>44092</v>
      </c>
      <c r="G1123">
        <v>1</v>
      </c>
      <c r="H1123" t="s">
        <v>189</v>
      </c>
      <c r="I1123" t="s">
        <v>120</v>
      </c>
    </row>
    <row r="1124" spans="1:9" x14ac:dyDescent="0.25">
      <c r="A1124" s="8" t="str">
        <f t="shared" si="51"/>
        <v>2008040.Y02</v>
      </c>
      <c r="B1124" s="9" t="str">
        <f t="shared" si="52"/>
        <v>1</v>
      </c>
      <c r="C1124" s="10">
        <f t="shared" si="53"/>
        <v>44088</v>
      </c>
      <c r="D1124">
        <v>2008040</v>
      </c>
      <c r="E1124" t="s">
        <v>144</v>
      </c>
      <c r="F1124" s="6">
        <v>44092</v>
      </c>
      <c r="G1124">
        <v>1</v>
      </c>
      <c r="H1124" t="s">
        <v>189</v>
      </c>
      <c r="I1124" t="s">
        <v>120</v>
      </c>
    </row>
    <row r="1125" spans="1:9" x14ac:dyDescent="0.25">
      <c r="A1125" s="8" t="str">
        <f t="shared" si="51"/>
        <v>2008041.0P0</v>
      </c>
      <c r="B1125" s="9" t="str">
        <f t="shared" si="52"/>
        <v/>
      </c>
      <c r="C1125" s="10">
        <f t="shared" si="53"/>
        <v>44074</v>
      </c>
      <c r="D1125">
        <v>2008041</v>
      </c>
      <c r="E1125" t="s">
        <v>119</v>
      </c>
      <c r="F1125" s="6">
        <v>44078</v>
      </c>
      <c r="H1125" t="s">
        <v>180</v>
      </c>
      <c r="I1125" t="s">
        <v>120</v>
      </c>
    </row>
    <row r="1126" spans="1:9" x14ac:dyDescent="0.25">
      <c r="A1126" s="8" t="str">
        <f t="shared" si="51"/>
        <v>2008044.000</v>
      </c>
      <c r="B1126" s="9" t="str">
        <f t="shared" si="52"/>
        <v/>
      </c>
      <c r="C1126" s="10">
        <f t="shared" si="53"/>
        <v>44074</v>
      </c>
      <c r="D1126">
        <v>2008044</v>
      </c>
      <c r="E1126">
        <v>0</v>
      </c>
      <c r="F1126" s="6">
        <v>44078</v>
      </c>
      <c r="H1126" t="s">
        <v>180</v>
      </c>
      <c r="I1126" t="s">
        <v>120</v>
      </c>
    </row>
    <row r="1127" spans="1:9" x14ac:dyDescent="0.25">
      <c r="A1127" s="8" t="str">
        <f t="shared" si="51"/>
        <v>2008047.000</v>
      </c>
      <c r="B1127" s="9" t="str">
        <f t="shared" si="52"/>
        <v/>
      </c>
      <c r="C1127" s="10">
        <f t="shared" si="53"/>
        <v>44144</v>
      </c>
      <c r="D1127">
        <v>2008047</v>
      </c>
      <c r="E1127">
        <v>0</v>
      </c>
      <c r="F1127" s="6">
        <v>44148</v>
      </c>
      <c r="H1127" t="s">
        <v>189</v>
      </c>
      <c r="I1127" t="s">
        <v>120</v>
      </c>
    </row>
    <row r="1128" spans="1:9" x14ac:dyDescent="0.25">
      <c r="A1128" s="8" t="str">
        <f t="shared" si="51"/>
        <v>2008047.Y00</v>
      </c>
      <c r="B1128" s="9" t="str">
        <f t="shared" si="52"/>
        <v/>
      </c>
      <c r="C1128" s="10">
        <f t="shared" si="53"/>
        <v>44144</v>
      </c>
      <c r="D1128">
        <v>2008047</v>
      </c>
      <c r="E1128" t="s">
        <v>130</v>
      </c>
      <c r="F1128" s="6">
        <v>44148</v>
      </c>
      <c r="H1128" t="s">
        <v>189</v>
      </c>
      <c r="I1128" t="s">
        <v>120</v>
      </c>
    </row>
    <row r="1129" spans="1:9" x14ac:dyDescent="0.25">
      <c r="A1129" s="8" t="str">
        <f t="shared" si="51"/>
        <v>2008048.U02</v>
      </c>
      <c r="B1129" s="9" t="str">
        <f t="shared" si="52"/>
        <v/>
      </c>
      <c r="C1129" s="10">
        <f t="shared" si="53"/>
        <v>44081</v>
      </c>
      <c r="D1129">
        <v>2008048</v>
      </c>
      <c r="E1129" t="s">
        <v>149</v>
      </c>
      <c r="F1129" s="6">
        <v>44085</v>
      </c>
      <c r="H1129" t="s">
        <v>192</v>
      </c>
      <c r="I1129" t="s">
        <v>120</v>
      </c>
    </row>
    <row r="1130" spans="1:9" x14ac:dyDescent="0.25">
      <c r="A1130" s="8" t="str">
        <f t="shared" si="51"/>
        <v>2008048.UP2</v>
      </c>
      <c r="B1130" s="9" t="str">
        <f t="shared" si="52"/>
        <v/>
      </c>
      <c r="C1130" s="10">
        <f t="shared" si="53"/>
        <v>44081</v>
      </c>
      <c r="D1130">
        <v>2008048</v>
      </c>
      <c r="E1130" t="s">
        <v>160</v>
      </c>
      <c r="F1130" s="6">
        <v>44085</v>
      </c>
      <c r="H1130" t="s">
        <v>192</v>
      </c>
      <c r="I1130" t="s">
        <v>120</v>
      </c>
    </row>
    <row r="1131" spans="1:9" x14ac:dyDescent="0.25">
      <c r="A1131" s="8" t="str">
        <f t="shared" si="51"/>
        <v>2008048.Y02</v>
      </c>
      <c r="B1131" s="9" t="str">
        <f t="shared" si="52"/>
        <v/>
      </c>
      <c r="C1131" s="10">
        <f t="shared" si="53"/>
        <v>44081</v>
      </c>
      <c r="D1131">
        <v>2008048</v>
      </c>
      <c r="E1131" t="s">
        <v>144</v>
      </c>
      <c r="F1131" s="6">
        <v>44085</v>
      </c>
      <c r="H1131" t="s">
        <v>192</v>
      </c>
      <c r="I1131" t="s">
        <v>120</v>
      </c>
    </row>
    <row r="1132" spans="1:9" x14ac:dyDescent="0.25">
      <c r="A1132" s="8" t="str">
        <f t="shared" si="51"/>
        <v>2008050.000</v>
      </c>
      <c r="B1132" s="9" t="str">
        <f t="shared" si="52"/>
        <v>3</v>
      </c>
      <c r="C1132" s="10">
        <f t="shared" si="53"/>
        <v>44076</v>
      </c>
      <c r="D1132">
        <v>2008050</v>
      </c>
      <c r="E1132">
        <v>0</v>
      </c>
      <c r="F1132" s="6">
        <v>44078</v>
      </c>
      <c r="G1132">
        <v>3</v>
      </c>
      <c r="H1132" t="s">
        <v>180</v>
      </c>
      <c r="I1132" t="s">
        <v>120</v>
      </c>
    </row>
    <row r="1133" spans="1:9" x14ac:dyDescent="0.25">
      <c r="A1133" s="8" t="str">
        <f t="shared" si="51"/>
        <v>2008051.X00</v>
      </c>
      <c r="B1133" s="9" t="str">
        <f t="shared" si="52"/>
        <v>1</v>
      </c>
      <c r="C1133" s="10">
        <f t="shared" si="53"/>
        <v>44074</v>
      </c>
      <c r="D1133">
        <v>2008051</v>
      </c>
      <c r="E1133" t="s">
        <v>225</v>
      </c>
      <c r="F1133" s="6">
        <v>44078</v>
      </c>
      <c r="G1133">
        <v>1</v>
      </c>
      <c r="H1133" t="s">
        <v>180</v>
      </c>
      <c r="I1133" t="s">
        <v>120</v>
      </c>
    </row>
    <row r="1134" spans="1:9" x14ac:dyDescent="0.25">
      <c r="A1134" s="8" t="str">
        <f t="shared" si="51"/>
        <v>2008052.Y01</v>
      </c>
      <c r="B1134" s="9" t="str">
        <f t="shared" si="52"/>
        <v/>
      </c>
      <c r="C1134" s="10">
        <f t="shared" si="53"/>
        <v>44144</v>
      </c>
      <c r="D1134">
        <v>2008052</v>
      </c>
      <c r="E1134" t="s">
        <v>132</v>
      </c>
      <c r="F1134" s="6">
        <v>44148</v>
      </c>
      <c r="H1134" t="s">
        <v>189</v>
      </c>
      <c r="I1134" t="s">
        <v>120</v>
      </c>
    </row>
    <row r="1135" spans="1:9" x14ac:dyDescent="0.25">
      <c r="A1135" s="8" t="str">
        <f t="shared" si="51"/>
        <v>2008053.H00</v>
      </c>
      <c r="B1135" s="9" t="str">
        <f t="shared" si="52"/>
        <v/>
      </c>
      <c r="C1135" s="10">
        <f t="shared" si="53"/>
        <v>44088</v>
      </c>
      <c r="D1135">
        <v>2008053</v>
      </c>
      <c r="E1135" t="s">
        <v>122</v>
      </c>
      <c r="F1135" s="6">
        <v>44092</v>
      </c>
      <c r="H1135" t="s">
        <v>189</v>
      </c>
      <c r="I1135" t="s">
        <v>120</v>
      </c>
    </row>
    <row r="1136" spans="1:9" x14ac:dyDescent="0.25">
      <c r="A1136" s="8" t="str">
        <f t="shared" si="51"/>
        <v>2008053.HP0</v>
      </c>
      <c r="B1136" s="9" t="str">
        <f t="shared" si="52"/>
        <v/>
      </c>
      <c r="C1136" s="10">
        <f t="shared" si="53"/>
        <v>44088</v>
      </c>
      <c r="D1136">
        <v>2008053</v>
      </c>
      <c r="E1136" t="s">
        <v>121</v>
      </c>
      <c r="F1136" s="6">
        <v>44092</v>
      </c>
      <c r="H1136" t="s">
        <v>180</v>
      </c>
      <c r="I1136" t="s">
        <v>120</v>
      </c>
    </row>
    <row r="1137" spans="1:9" x14ac:dyDescent="0.25">
      <c r="A1137" s="8" t="str">
        <f t="shared" si="51"/>
        <v>2008053.Z00</v>
      </c>
      <c r="B1137" s="9" t="str">
        <f t="shared" si="52"/>
        <v/>
      </c>
      <c r="C1137" s="10">
        <f t="shared" si="53"/>
        <v>44088</v>
      </c>
      <c r="D1137">
        <v>2008053</v>
      </c>
      <c r="E1137" t="s">
        <v>158</v>
      </c>
      <c r="F1137" s="6">
        <v>44092</v>
      </c>
      <c r="H1137" t="s">
        <v>180</v>
      </c>
      <c r="I1137" t="s">
        <v>120</v>
      </c>
    </row>
    <row r="1138" spans="1:9" x14ac:dyDescent="0.25">
      <c r="A1138" s="8" t="str">
        <f t="shared" si="51"/>
        <v>2008054.H00</v>
      </c>
      <c r="B1138" s="9" t="str">
        <f t="shared" si="52"/>
        <v/>
      </c>
      <c r="C1138" s="10">
        <f t="shared" si="53"/>
        <v>44088</v>
      </c>
      <c r="D1138">
        <v>2008054</v>
      </c>
      <c r="E1138" t="s">
        <v>122</v>
      </c>
      <c r="F1138" s="6">
        <v>44092</v>
      </c>
      <c r="H1138" t="s">
        <v>189</v>
      </c>
      <c r="I1138" t="s">
        <v>120</v>
      </c>
    </row>
    <row r="1139" spans="1:9" x14ac:dyDescent="0.25">
      <c r="A1139" s="8" t="str">
        <f t="shared" si="51"/>
        <v>2008054.H02</v>
      </c>
      <c r="B1139" s="9" t="str">
        <f t="shared" si="52"/>
        <v/>
      </c>
      <c r="C1139" s="10">
        <f t="shared" si="53"/>
        <v>44088</v>
      </c>
      <c r="D1139">
        <v>2008054</v>
      </c>
      <c r="E1139" t="s">
        <v>156</v>
      </c>
      <c r="F1139" s="6">
        <v>44092</v>
      </c>
      <c r="H1139" t="s">
        <v>180</v>
      </c>
      <c r="I1139" t="s">
        <v>120</v>
      </c>
    </row>
    <row r="1140" spans="1:9" x14ac:dyDescent="0.25">
      <c r="A1140" s="8" t="str">
        <f t="shared" si="51"/>
        <v>2008054.X01</v>
      </c>
      <c r="B1140" s="9" t="str">
        <f t="shared" si="52"/>
        <v/>
      </c>
      <c r="C1140" s="10">
        <f t="shared" si="53"/>
        <v>44088</v>
      </c>
      <c r="D1140">
        <v>2008054</v>
      </c>
      <c r="E1140" t="s">
        <v>161</v>
      </c>
      <c r="F1140" s="6">
        <v>44092</v>
      </c>
      <c r="H1140" t="s">
        <v>189</v>
      </c>
      <c r="I1140" t="s">
        <v>120</v>
      </c>
    </row>
    <row r="1141" spans="1:9" x14ac:dyDescent="0.25">
      <c r="A1141" s="8" t="str">
        <f t="shared" si="51"/>
        <v>2008054.Y00</v>
      </c>
      <c r="B1141" s="9" t="str">
        <f t="shared" si="52"/>
        <v/>
      </c>
      <c r="C1141" s="10">
        <f t="shared" si="53"/>
        <v>44088</v>
      </c>
      <c r="D1141">
        <v>2008054</v>
      </c>
      <c r="E1141" t="s">
        <v>130</v>
      </c>
      <c r="F1141" s="6">
        <v>44092</v>
      </c>
      <c r="H1141" t="s">
        <v>189</v>
      </c>
      <c r="I1141" t="s">
        <v>120</v>
      </c>
    </row>
    <row r="1142" spans="1:9" x14ac:dyDescent="0.25">
      <c r="A1142" s="8" t="str">
        <f t="shared" si="51"/>
        <v>2008055.000</v>
      </c>
      <c r="B1142" s="9" t="str">
        <f t="shared" si="52"/>
        <v/>
      </c>
      <c r="C1142" s="10">
        <f t="shared" si="53"/>
        <v>44088</v>
      </c>
      <c r="D1142">
        <v>2008055</v>
      </c>
      <c r="E1142">
        <v>0</v>
      </c>
      <c r="F1142" s="6">
        <v>44092</v>
      </c>
      <c r="H1142" t="s">
        <v>189</v>
      </c>
      <c r="I1142" t="s">
        <v>120</v>
      </c>
    </row>
    <row r="1143" spans="1:9" x14ac:dyDescent="0.25">
      <c r="A1143" s="8" t="str">
        <f t="shared" si="51"/>
        <v>2008055.H00</v>
      </c>
      <c r="B1143" s="9" t="str">
        <f t="shared" si="52"/>
        <v/>
      </c>
      <c r="C1143" s="10">
        <f t="shared" si="53"/>
        <v>44088</v>
      </c>
      <c r="D1143">
        <v>2008055</v>
      </c>
      <c r="E1143" t="s">
        <v>122</v>
      </c>
      <c r="F1143" s="6">
        <v>44092</v>
      </c>
      <c r="H1143" t="s">
        <v>189</v>
      </c>
      <c r="I1143" t="s">
        <v>120</v>
      </c>
    </row>
    <row r="1144" spans="1:9" x14ac:dyDescent="0.25">
      <c r="A1144" s="8" t="str">
        <f t="shared" si="51"/>
        <v>2008056.H00</v>
      </c>
      <c r="B1144" s="9" t="str">
        <f t="shared" si="52"/>
        <v/>
      </c>
      <c r="C1144" s="10">
        <f t="shared" si="53"/>
        <v>44088</v>
      </c>
      <c r="D1144">
        <v>2008056</v>
      </c>
      <c r="E1144" t="s">
        <v>122</v>
      </c>
      <c r="F1144" s="6">
        <v>44092</v>
      </c>
      <c r="H1144" t="s">
        <v>189</v>
      </c>
      <c r="I1144" t="s">
        <v>120</v>
      </c>
    </row>
    <row r="1145" spans="1:9" x14ac:dyDescent="0.25">
      <c r="A1145" s="8" t="str">
        <f t="shared" si="51"/>
        <v>2008057.H00</v>
      </c>
      <c r="B1145" s="9" t="str">
        <f t="shared" si="52"/>
        <v/>
      </c>
      <c r="C1145" s="10">
        <f t="shared" si="53"/>
        <v>44088</v>
      </c>
      <c r="D1145">
        <v>2008057</v>
      </c>
      <c r="E1145" t="s">
        <v>122</v>
      </c>
      <c r="F1145" s="6">
        <v>44092</v>
      </c>
      <c r="H1145" t="s">
        <v>189</v>
      </c>
      <c r="I1145" t="s">
        <v>120</v>
      </c>
    </row>
    <row r="1146" spans="1:9" x14ac:dyDescent="0.25">
      <c r="A1146" s="8" t="str">
        <f t="shared" si="51"/>
        <v>2008058.000</v>
      </c>
      <c r="B1146" s="9" t="str">
        <f t="shared" si="52"/>
        <v/>
      </c>
      <c r="C1146" s="10">
        <f t="shared" si="53"/>
        <v>44074</v>
      </c>
      <c r="D1146">
        <v>2008058</v>
      </c>
      <c r="E1146">
        <v>0</v>
      </c>
      <c r="F1146" s="6">
        <v>44078</v>
      </c>
      <c r="H1146" t="s">
        <v>180</v>
      </c>
      <c r="I1146" t="s">
        <v>120</v>
      </c>
    </row>
    <row r="1147" spans="1:9" x14ac:dyDescent="0.25">
      <c r="A1147" s="8" t="str">
        <f t="shared" si="51"/>
        <v>2008058.0P0</v>
      </c>
      <c r="B1147" s="9" t="str">
        <f t="shared" si="52"/>
        <v/>
      </c>
      <c r="C1147" s="10">
        <f t="shared" si="53"/>
        <v>44074</v>
      </c>
      <c r="D1147">
        <v>2008058</v>
      </c>
      <c r="E1147" t="s">
        <v>119</v>
      </c>
      <c r="F1147" s="6">
        <v>44078</v>
      </c>
      <c r="H1147" t="s">
        <v>180</v>
      </c>
      <c r="I1147" t="s">
        <v>120</v>
      </c>
    </row>
    <row r="1148" spans="1:9" x14ac:dyDescent="0.25">
      <c r="A1148" s="8" t="str">
        <f t="shared" si="51"/>
        <v>2008060.000</v>
      </c>
      <c r="B1148" s="9" t="str">
        <f t="shared" si="52"/>
        <v/>
      </c>
      <c r="C1148" s="10">
        <f t="shared" si="53"/>
        <v>44074</v>
      </c>
      <c r="D1148">
        <v>2008060</v>
      </c>
      <c r="E1148">
        <v>0</v>
      </c>
      <c r="F1148" s="6">
        <v>44078</v>
      </c>
      <c r="H1148" t="s">
        <v>180</v>
      </c>
      <c r="I1148" t="s">
        <v>120</v>
      </c>
    </row>
    <row r="1149" spans="1:9" x14ac:dyDescent="0.25">
      <c r="A1149" s="8" t="str">
        <f t="shared" si="51"/>
        <v>2008060.UP0</v>
      </c>
      <c r="B1149" s="9" t="str">
        <f t="shared" si="52"/>
        <v/>
      </c>
      <c r="C1149" s="10">
        <f t="shared" si="53"/>
        <v>44074</v>
      </c>
      <c r="D1149">
        <v>2008060</v>
      </c>
      <c r="E1149" t="s">
        <v>136</v>
      </c>
      <c r="F1149" s="6">
        <v>44078</v>
      </c>
      <c r="H1149" t="s">
        <v>180</v>
      </c>
      <c r="I1149" t="s">
        <v>120</v>
      </c>
    </row>
    <row r="1150" spans="1:9" x14ac:dyDescent="0.25">
      <c r="A1150" s="8" t="str">
        <f t="shared" si="51"/>
        <v>2008062.U02</v>
      </c>
      <c r="B1150" s="9" t="str">
        <f t="shared" si="52"/>
        <v/>
      </c>
      <c r="C1150" s="10">
        <f t="shared" si="53"/>
        <v>44102</v>
      </c>
      <c r="D1150">
        <v>2008062</v>
      </c>
      <c r="E1150" t="s">
        <v>149</v>
      </c>
      <c r="F1150" s="6">
        <v>44106</v>
      </c>
      <c r="H1150" t="s">
        <v>190</v>
      </c>
      <c r="I1150" t="s">
        <v>120</v>
      </c>
    </row>
    <row r="1151" spans="1:9" x14ac:dyDescent="0.25">
      <c r="A1151" s="8" t="str">
        <f t="shared" si="51"/>
        <v>2008064.C00</v>
      </c>
      <c r="B1151" s="9" t="str">
        <f t="shared" si="52"/>
        <v/>
      </c>
      <c r="C1151" s="10">
        <f t="shared" si="53"/>
        <v>44102</v>
      </c>
      <c r="D1151">
        <v>2008064</v>
      </c>
      <c r="E1151" t="s">
        <v>147</v>
      </c>
      <c r="F1151" s="6">
        <v>44106</v>
      </c>
      <c r="H1151" t="s">
        <v>189</v>
      </c>
      <c r="I1151" t="s">
        <v>120</v>
      </c>
    </row>
    <row r="1152" spans="1:9" x14ac:dyDescent="0.25">
      <c r="A1152" s="8" t="str">
        <f t="shared" si="51"/>
        <v>2008065.0P0</v>
      </c>
      <c r="B1152" s="9" t="str">
        <f t="shared" si="52"/>
        <v/>
      </c>
      <c r="C1152" s="10">
        <f t="shared" si="53"/>
        <v>44074</v>
      </c>
      <c r="D1152">
        <v>2008065</v>
      </c>
      <c r="E1152" t="s">
        <v>119</v>
      </c>
      <c r="F1152" s="6">
        <v>44078</v>
      </c>
      <c r="H1152" t="s">
        <v>180</v>
      </c>
      <c r="I1152" t="s">
        <v>120</v>
      </c>
    </row>
    <row r="1153" spans="1:9" x14ac:dyDescent="0.25">
      <c r="A1153" s="8" t="str">
        <f t="shared" si="51"/>
        <v>2008066.H02</v>
      </c>
      <c r="B1153" s="9" t="str">
        <f t="shared" si="52"/>
        <v/>
      </c>
      <c r="C1153" s="10">
        <f t="shared" si="53"/>
        <v>44088</v>
      </c>
      <c r="D1153">
        <v>2008066</v>
      </c>
      <c r="E1153" t="s">
        <v>156</v>
      </c>
      <c r="F1153" s="6">
        <v>44092</v>
      </c>
      <c r="H1153" t="s">
        <v>180</v>
      </c>
      <c r="I1153" t="s">
        <v>120</v>
      </c>
    </row>
    <row r="1154" spans="1:9" x14ac:dyDescent="0.25">
      <c r="A1154" s="8" t="str">
        <f t="shared" ref="A1154:A1217" si="54">IF(D1154="","",IF(E1154=0,CONCATENATE(D1154,".",E1154,"00"),CONCATENATE(D1154,".",E1154)))</f>
        <v>2008067.0P0</v>
      </c>
      <c r="B1154" s="9" t="str">
        <f t="shared" ref="B1154:B1217" si="55">LEFT(G1154,1)</f>
        <v/>
      </c>
      <c r="C1154" s="10">
        <f t="shared" ref="C1154:C1217" si="56">IF(F1154="","",IF(B1154="",F1154-4,IF(B1154="1",F1154-4,IF(B1154="2",F1154-3,IF(B1154="3",F1154-2,IF(B1154="4",F1154-1,IF(B1154="V",F1154-7,IF(B1154="J",F1154-8,F1154))))))))</f>
        <v>44074</v>
      </c>
      <c r="D1154">
        <v>2008067</v>
      </c>
      <c r="E1154" t="s">
        <v>119</v>
      </c>
      <c r="F1154" s="6">
        <v>44078</v>
      </c>
      <c r="H1154" t="s">
        <v>180</v>
      </c>
      <c r="I1154" t="s">
        <v>120</v>
      </c>
    </row>
    <row r="1155" spans="1:9" x14ac:dyDescent="0.25">
      <c r="A1155" s="8" t="str">
        <f t="shared" si="54"/>
        <v>2008068.XP0</v>
      </c>
      <c r="B1155" s="9" t="str">
        <f t="shared" si="55"/>
        <v/>
      </c>
      <c r="C1155" s="10">
        <f t="shared" si="56"/>
        <v>44095</v>
      </c>
      <c r="D1155">
        <v>2008068</v>
      </c>
      <c r="E1155" t="s">
        <v>181</v>
      </c>
      <c r="F1155" s="6">
        <v>44099</v>
      </c>
      <c r="H1155" t="s">
        <v>266</v>
      </c>
      <c r="I1155" t="s">
        <v>120</v>
      </c>
    </row>
    <row r="1156" spans="1:9" x14ac:dyDescent="0.25">
      <c r="A1156" s="8" t="str">
        <f t="shared" si="54"/>
        <v>2008070.000</v>
      </c>
      <c r="B1156" s="9" t="str">
        <f t="shared" si="55"/>
        <v/>
      </c>
      <c r="C1156" s="10">
        <f t="shared" si="56"/>
        <v>44074</v>
      </c>
      <c r="D1156">
        <v>2008070</v>
      </c>
      <c r="E1156">
        <v>0</v>
      </c>
      <c r="F1156" s="6">
        <v>44078</v>
      </c>
      <c r="H1156" t="s">
        <v>180</v>
      </c>
      <c r="I1156" t="s">
        <v>120</v>
      </c>
    </row>
    <row r="1157" spans="1:9" x14ac:dyDescent="0.25">
      <c r="A1157" s="8" t="str">
        <f t="shared" si="54"/>
        <v>2008072.000</v>
      </c>
      <c r="B1157" s="9" t="str">
        <f t="shared" si="55"/>
        <v>3</v>
      </c>
      <c r="C1157" s="10">
        <f t="shared" si="56"/>
        <v>44076</v>
      </c>
      <c r="D1157">
        <v>2008072</v>
      </c>
      <c r="E1157">
        <v>0</v>
      </c>
      <c r="F1157" s="6">
        <v>44078</v>
      </c>
      <c r="G1157">
        <v>3</v>
      </c>
      <c r="H1157" t="s">
        <v>180</v>
      </c>
      <c r="I1157" t="s">
        <v>120</v>
      </c>
    </row>
    <row r="1158" spans="1:9" x14ac:dyDescent="0.25">
      <c r="A1158" s="8" t="str">
        <f t="shared" si="54"/>
        <v>2008073.Z03</v>
      </c>
      <c r="B1158" s="9" t="str">
        <f t="shared" si="55"/>
        <v>2</v>
      </c>
      <c r="C1158" s="10">
        <f t="shared" si="56"/>
        <v>44089</v>
      </c>
      <c r="D1158">
        <v>2008073</v>
      </c>
      <c r="E1158" t="s">
        <v>153</v>
      </c>
      <c r="F1158" s="6">
        <v>44092</v>
      </c>
      <c r="G1158">
        <v>2</v>
      </c>
      <c r="H1158" t="s">
        <v>180</v>
      </c>
      <c r="I1158" t="s">
        <v>120</v>
      </c>
    </row>
    <row r="1159" spans="1:9" x14ac:dyDescent="0.25">
      <c r="A1159" s="8" t="str">
        <f t="shared" si="54"/>
        <v>2008074.000</v>
      </c>
      <c r="B1159" s="9" t="str">
        <f t="shared" si="55"/>
        <v>1</v>
      </c>
      <c r="C1159" s="10">
        <f t="shared" si="56"/>
        <v>44074</v>
      </c>
      <c r="D1159">
        <v>2008074</v>
      </c>
      <c r="E1159">
        <v>0</v>
      </c>
      <c r="F1159" s="6">
        <v>44078</v>
      </c>
      <c r="G1159">
        <v>1</v>
      </c>
      <c r="H1159" t="s">
        <v>180</v>
      </c>
      <c r="I1159" t="s">
        <v>120</v>
      </c>
    </row>
    <row r="1160" spans="1:9" x14ac:dyDescent="0.25">
      <c r="A1160" s="8" t="str">
        <f t="shared" si="54"/>
        <v>2008075.X00</v>
      </c>
      <c r="B1160" s="9" t="str">
        <f t="shared" si="55"/>
        <v/>
      </c>
      <c r="C1160" s="10">
        <f t="shared" si="56"/>
        <v>44074</v>
      </c>
      <c r="D1160">
        <v>2008075</v>
      </c>
      <c r="E1160" t="s">
        <v>225</v>
      </c>
      <c r="F1160" s="6">
        <v>44078</v>
      </c>
      <c r="H1160" t="s">
        <v>180</v>
      </c>
      <c r="I1160" t="s">
        <v>120</v>
      </c>
    </row>
    <row r="1161" spans="1:9" x14ac:dyDescent="0.25">
      <c r="A1161" s="8" t="str">
        <f t="shared" si="54"/>
        <v>2008076.UP0</v>
      </c>
      <c r="B1161" s="9" t="str">
        <f t="shared" si="55"/>
        <v/>
      </c>
      <c r="C1161" s="10">
        <f t="shared" si="56"/>
        <v>44088</v>
      </c>
      <c r="D1161">
        <v>2008076</v>
      </c>
      <c r="E1161" t="s">
        <v>136</v>
      </c>
      <c r="F1161" s="6">
        <v>44092</v>
      </c>
      <c r="H1161" t="s">
        <v>189</v>
      </c>
      <c r="I1161" t="s">
        <v>120</v>
      </c>
    </row>
    <row r="1162" spans="1:9" x14ac:dyDescent="0.25">
      <c r="A1162" s="8" t="str">
        <f t="shared" si="54"/>
        <v>2008077.000</v>
      </c>
      <c r="B1162" s="9" t="str">
        <f t="shared" si="55"/>
        <v/>
      </c>
      <c r="C1162" s="10">
        <f t="shared" si="56"/>
        <v>44074</v>
      </c>
      <c r="D1162">
        <v>2008077</v>
      </c>
      <c r="E1162">
        <v>0</v>
      </c>
      <c r="F1162" s="6">
        <v>44078</v>
      </c>
      <c r="H1162" t="s">
        <v>180</v>
      </c>
      <c r="I1162" t="s">
        <v>120</v>
      </c>
    </row>
    <row r="1163" spans="1:9" x14ac:dyDescent="0.25">
      <c r="A1163" s="8" t="str">
        <f t="shared" si="54"/>
        <v>2008078.Y00</v>
      </c>
      <c r="B1163" s="9" t="str">
        <f t="shared" si="55"/>
        <v/>
      </c>
      <c r="C1163" s="10">
        <f t="shared" si="56"/>
        <v>44088</v>
      </c>
      <c r="D1163">
        <v>2008078</v>
      </c>
      <c r="E1163" t="s">
        <v>130</v>
      </c>
      <c r="F1163" s="6">
        <v>44092</v>
      </c>
      <c r="H1163" t="s">
        <v>189</v>
      </c>
      <c r="I1163" t="s">
        <v>120</v>
      </c>
    </row>
    <row r="1164" spans="1:9" x14ac:dyDescent="0.25">
      <c r="A1164" s="8" t="str">
        <f t="shared" si="54"/>
        <v>2008079.Z02</v>
      </c>
      <c r="B1164" s="9" t="str">
        <f t="shared" si="55"/>
        <v/>
      </c>
      <c r="C1164" s="10">
        <f t="shared" si="56"/>
        <v>44088</v>
      </c>
      <c r="D1164">
        <v>2008079</v>
      </c>
      <c r="E1164" t="s">
        <v>260</v>
      </c>
      <c r="F1164" s="6">
        <v>44092</v>
      </c>
      <c r="H1164" t="s">
        <v>192</v>
      </c>
      <c r="I1164" t="s">
        <v>120</v>
      </c>
    </row>
    <row r="1165" spans="1:9" x14ac:dyDescent="0.25">
      <c r="A1165" s="8" t="str">
        <f t="shared" si="54"/>
        <v>2008081.000</v>
      </c>
      <c r="B1165" s="9" t="str">
        <f t="shared" si="55"/>
        <v/>
      </c>
      <c r="C1165" s="10">
        <f t="shared" si="56"/>
        <v>44074</v>
      </c>
      <c r="D1165">
        <v>2008081</v>
      </c>
      <c r="E1165">
        <v>0</v>
      </c>
      <c r="F1165" s="6">
        <v>44078</v>
      </c>
      <c r="H1165" t="s">
        <v>180</v>
      </c>
      <c r="I1165" t="s">
        <v>120</v>
      </c>
    </row>
    <row r="1166" spans="1:9" x14ac:dyDescent="0.25">
      <c r="A1166" s="8" t="str">
        <f t="shared" si="54"/>
        <v>2008082.Y01</v>
      </c>
      <c r="B1166" s="9" t="str">
        <f t="shared" si="55"/>
        <v/>
      </c>
      <c r="C1166" s="10">
        <f t="shared" si="56"/>
        <v>44074</v>
      </c>
      <c r="D1166">
        <v>2008082</v>
      </c>
      <c r="E1166" t="s">
        <v>132</v>
      </c>
      <c r="F1166" s="6">
        <v>44078</v>
      </c>
      <c r="H1166" t="s">
        <v>180</v>
      </c>
      <c r="I1166" t="s">
        <v>120</v>
      </c>
    </row>
    <row r="1167" spans="1:9" x14ac:dyDescent="0.25">
      <c r="A1167" s="8" t="str">
        <f t="shared" si="54"/>
        <v>2008083.000</v>
      </c>
      <c r="B1167" s="9" t="str">
        <f t="shared" si="55"/>
        <v/>
      </c>
      <c r="C1167" s="10">
        <f t="shared" si="56"/>
        <v>44088</v>
      </c>
      <c r="D1167">
        <v>2008083</v>
      </c>
      <c r="E1167">
        <v>0</v>
      </c>
      <c r="F1167" s="6">
        <v>44092</v>
      </c>
      <c r="H1167" t="s">
        <v>189</v>
      </c>
      <c r="I1167" t="s">
        <v>120</v>
      </c>
    </row>
    <row r="1168" spans="1:9" x14ac:dyDescent="0.25">
      <c r="A1168" s="8" t="str">
        <f t="shared" si="54"/>
        <v>2008083.U03</v>
      </c>
      <c r="B1168" s="9" t="str">
        <f t="shared" si="55"/>
        <v/>
      </c>
      <c r="C1168" s="10">
        <f t="shared" si="56"/>
        <v>44088</v>
      </c>
      <c r="D1168">
        <v>2008083</v>
      </c>
      <c r="E1168" t="s">
        <v>167</v>
      </c>
      <c r="F1168" s="6">
        <v>44092</v>
      </c>
      <c r="H1168" t="s">
        <v>189</v>
      </c>
      <c r="I1168" t="s">
        <v>120</v>
      </c>
    </row>
    <row r="1169" spans="1:9" x14ac:dyDescent="0.25">
      <c r="A1169" s="8" t="str">
        <f t="shared" si="54"/>
        <v>2008083.UP2</v>
      </c>
      <c r="B1169" s="9" t="str">
        <f t="shared" si="55"/>
        <v/>
      </c>
      <c r="C1169" s="10">
        <f t="shared" si="56"/>
        <v>44088</v>
      </c>
      <c r="D1169">
        <v>2008083</v>
      </c>
      <c r="E1169" t="s">
        <v>160</v>
      </c>
      <c r="F1169" s="6">
        <v>44092</v>
      </c>
      <c r="H1169" t="s">
        <v>180</v>
      </c>
      <c r="I1169" t="s">
        <v>120</v>
      </c>
    </row>
    <row r="1170" spans="1:9" x14ac:dyDescent="0.25">
      <c r="A1170" s="8" t="str">
        <f t="shared" si="54"/>
        <v>2008083.X00</v>
      </c>
      <c r="B1170" s="9" t="str">
        <f t="shared" si="55"/>
        <v/>
      </c>
      <c r="C1170" s="10">
        <f t="shared" si="56"/>
        <v>44088</v>
      </c>
      <c r="D1170">
        <v>2008083</v>
      </c>
      <c r="E1170" t="s">
        <v>225</v>
      </c>
      <c r="F1170" s="6">
        <v>44092</v>
      </c>
      <c r="H1170" t="s">
        <v>189</v>
      </c>
      <c r="I1170" t="s">
        <v>120</v>
      </c>
    </row>
    <row r="1171" spans="1:9" x14ac:dyDescent="0.25">
      <c r="A1171" s="8" t="str">
        <f t="shared" si="54"/>
        <v>2008083.Z00</v>
      </c>
      <c r="B1171" s="9" t="str">
        <f t="shared" si="55"/>
        <v/>
      </c>
      <c r="C1171" s="10">
        <f t="shared" si="56"/>
        <v>44088</v>
      </c>
      <c r="D1171">
        <v>2008083</v>
      </c>
      <c r="E1171" t="s">
        <v>158</v>
      </c>
      <c r="F1171" s="6">
        <v>44092</v>
      </c>
      <c r="H1171" t="s">
        <v>189</v>
      </c>
      <c r="I1171" t="s">
        <v>120</v>
      </c>
    </row>
    <row r="1172" spans="1:9" x14ac:dyDescent="0.25">
      <c r="A1172" s="8" t="str">
        <f t="shared" si="54"/>
        <v>2008083.Z0E</v>
      </c>
      <c r="B1172" s="9" t="str">
        <f t="shared" si="55"/>
        <v/>
      </c>
      <c r="C1172" s="10">
        <f t="shared" si="56"/>
        <v>44088</v>
      </c>
      <c r="D1172">
        <v>2008083</v>
      </c>
      <c r="E1172" t="s">
        <v>226</v>
      </c>
      <c r="F1172" s="6">
        <v>44092</v>
      </c>
      <c r="H1172" t="s">
        <v>180</v>
      </c>
      <c r="I1172" t="s">
        <v>120</v>
      </c>
    </row>
    <row r="1173" spans="1:9" x14ac:dyDescent="0.25">
      <c r="A1173" s="8" t="str">
        <f t="shared" si="54"/>
        <v>2008083.ZO2</v>
      </c>
      <c r="B1173" s="9" t="str">
        <f t="shared" si="55"/>
        <v/>
      </c>
      <c r="C1173" s="10">
        <f t="shared" si="56"/>
        <v>44088</v>
      </c>
      <c r="D1173">
        <v>2008083</v>
      </c>
      <c r="E1173" t="s">
        <v>168</v>
      </c>
      <c r="F1173" s="6">
        <v>44092</v>
      </c>
      <c r="H1173" t="s">
        <v>189</v>
      </c>
      <c r="I1173" t="s">
        <v>120</v>
      </c>
    </row>
    <row r="1174" spans="1:9" x14ac:dyDescent="0.25">
      <c r="A1174" s="8" t="str">
        <f t="shared" si="54"/>
        <v>2008084.TPL</v>
      </c>
      <c r="B1174" s="9" t="str">
        <f t="shared" si="55"/>
        <v>1</v>
      </c>
      <c r="C1174" s="10">
        <f t="shared" si="56"/>
        <v>44109</v>
      </c>
      <c r="D1174">
        <v>2008084</v>
      </c>
      <c r="E1174" t="s">
        <v>288</v>
      </c>
      <c r="F1174" s="6">
        <v>44113</v>
      </c>
      <c r="G1174">
        <v>1</v>
      </c>
      <c r="H1174" t="s">
        <v>189</v>
      </c>
      <c r="I1174" t="s">
        <v>120</v>
      </c>
    </row>
    <row r="1175" spans="1:9" x14ac:dyDescent="0.25">
      <c r="A1175" s="8" t="str">
        <f t="shared" si="54"/>
        <v>2008085.HP0</v>
      </c>
      <c r="B1175" s="9" t="str">
        <f t="shared" si="55"/>
        <v>1</v>
      </c>
      <c r="C1175" s="10">
        <f t="shared" si="56"/>
        <v>44088</v>
      </c>
      <c r="D1175">
        <v>2008085</v>
      </c>
      <c r="E1175" t="s">
        <v>121</v>
      </c>
      <c r="F1175" s="6">
        <v>44092</v>
      </c>
      <c r="G1175">
        <v>1</v>
      </c>
      <c r="H1175" t="s">
        <v>180</v>
      </c>
      <c r="I1175" t="s">
        <v>120</v>
      </c>
    </row>
    <row r="1176" spans="1:9" x14ac:dyDescent="0.25">
      <c r="A1176" s="8" t="str">
        <f t="shared" si="54"/>
        <v>2008086.HP2</v>
      </c>
      <c r="B1176" s="9" t="str">
        <f t="shared" si="55"/>
        <v>1</v>
      </c>
      <c r="C1176" s="10">
        <f t="shared" si="56"/>
        <v>44088</v>
      </c>
      <c r="D1176">
        <v>2008086</v>
      </c>
      <c r="E1176" t="s">
        <v>138</v>
      </c>
      <c r="F1176" s="6">
        <v>44092</v>
      </c>
      <c r="G1176">
        <v>1</v>
      </c>
      <c r="H1176" t="s">
        <v>180</v>
      </c>
      <c r="I1176" t="s">
        <v>120</v>
      </c>
    </row>
    <row r="1177" spans="1:9" x14ac:dyDescent="0.25">
      <c r="A1177" s="8" t="str">
        <f t="shared" si="54"/>
        <v>2008087.000</v>
      </c>
      <c r="B1177" s="9" t="str">
        <f t="shared" si="55"/>
        <v/>
      </c>
      <c r="C1177" s="10">
        <f t="shared" si="56"/>
        <v>44088</v>
      </c>
      <c r="D1177">
        <v>2008087</v>
      </c>
      <c r="E1177">
        <v>0</v>
      </c>
      <c r="F1177" s="6">
        <v>44092</v>
      </c>
      <c r="H1177" t="s">
        <v>189</v>
      </c>
      <c r="I1177" t="s">
        <v>120</v>
      </c>
    </row>
    <row r="1178" spans="1:9" x14ac:dyDescent="0.25">
      <c r="A1178" s="8" t="str">
        <f t="shared" si="54"/>
        <v>2008088.Y00</v>
      </c>
      <c r="B1178" s="9" t="str">
        <f t="shared" si="55"/>
        <v/>
      </c>
      <c r="C1178" s="10">
        <f t="shared" si="56"/>
        <v>44088</v>
      </c>
      <c r="D1178">
        <v>2008088</v>
      </c>
      <c r="E1178" t="s">
        <v>130</v>
      </c>
      <c r="F1178" s="6">
        <v>44092</v>
      </c>
      <c r="H1178" t="s">
        <v>189</v>
      </c>
      <c r="I1178" t="s">
        <v>120</v>
      </c>
    </row>
    <row r="1179" spans="1:9" x14ac:dyDescent="0.25">
      <c r="A1179" s="8" t="str">
        <f t="shared" si="54"/>
        <v>2008089.0P0</v>
      </c>
      <c r="B1179" s="9" t="str">
        <f t="shared" si="55"/>
        <v/>
      </c>
      <c r="C1179" s="10">
        <f t="shared" si="56"/>
        <v>44081</v>
      </c>
      <c r="D1179">
        <v>2008089</v>
      </c>
      <c r="E1179" t="s">
        <v>119</v>
      </c>
      <c r="F1179" s="6">
        <v>44085</v>
      </c>
      <c r="H1179" t="s">
        <v>180</v>
      </c>
      <c r="I1179" t="s">
        <v>120</v>
      </c>
    </row>
    <row r="1180" spans="1:9" x14ac:dyDescent="0.25">
      <c r="A1180" s="8" t="str">
        <f t="shared" si="54"/>
        <v>2008090.000</v>
      </c>
      <c r="B1180" s="9" t="str">
        <f t="shared" si="55"/>
        <v/>
      </c>
      <c r="C1180" s="10">
        <f t="shared" si="56"/>
        <v>44074</v>
      </c>
      <c r="D1180">
        <v>2008090</v>
      </c>
      <c r="E1180">
        <v>0</v>
      </c>
      <c r="F1180" s="6">
        <v>44078</v>
      </c>
      <c r="H1180" t="s">
        <v>180</v>
      </c>
      <c r="I1180" t="s">
        <v>120</v>
      </c>
    </row>
    <row r="1181" spans="1:9" x14ac:dyDescent="0.25">
      <c r="A1181" s="8" t="str">
        <f t="shared" si="54"/>
        <v>2008091.XP0</v>
      </c>
      <c r="B1181" s="9" t="str">
        <f t="shared" si="55"/>
        <v>4</v>
      </c>
      <c r="C1181" s="10">
        <f t="shared" si="56"/>
        <v>44112</v>
      </c>
      <c r="D1181">
        <v>2008091</v>
      </c>
      <c r="E1181" t="s">
        <v>181</v>
      </c>
      <c r="F1181" s="6">
        <v>44113</v>
      </c>
      <c r="G1181">
        <v>4</v>
      </c>
      <c r="H1181" t="s">
        <v>189</v>
      </c>
      <c r="I1181" t="s">
        <v>120</v>
      </c>
    </row>
    <row r="1182" spans="1:9" x14ac:dyDescent="0.25">
      <c r="A1182" s="8" t="str">
        <f t="shared" si="54"/>
        <v>2008092.Y01</v>
      </c>
      <c r="B1182" s="9" t="str">
        <f t="shared" si="55"/>
        <v>4</v>
      </c>
      <c r="C1182" s="10">
        <f t="shared" si="56"/>
        <v>44091</v>
      </c>
      <c r="D1182">
        <v>2008092</v>
      </c>
      <c r="E1182" t="s">
        <v>132</v>
      </c>
      <c r="F1182" s="6">
        <v>44092</v>
      </c>
      <c r="G1182">
        <v>4</v>
      </c>
      <c r="H1182" t="s">
        <v>189</v>
      </c>
      <c r="I1182" t="s">
        <v>120</v>
      </c>
    </row>
    <row r="1183" spans="1:9" x14ac:dyDescent="0.25">
      <c r="A1183" s="8" t="str">
        <f t="shared" si="54"/>
        <v>2008093.000</v>
      </c>
      <c r="B1183" s="9" t="str">
        <f t="shared" si="55"/>
        <v/>
      </c>
      <c r="C1183" s="10">
        <f t="shared" si="56"/>
        <v>44095</v>
      </c>
      <c r="D1183">
        <v>2008093</v>
      </c>
      <c r="E1183">
        <v>0</v>
      </c>
      <c r="F1183" s="6">
        <v>44099</v>
      </c>
      <c r="H1183" t="s">
        <v>180</v>
      </c>
      <c r="I1183" t="s">
        <v>120</v>
      </c>
    </row>
    <row r="1184" spans="1:9" x14ac:dyDescent="0.25">
      <c r="A1184" s="8" t="str">
        <f t="shared" si="54"/>
        <v>2008093.0P0</v>
      </c>
      <c r="B1184" s="9" t="str">
        <f t="shared" si="55"/>
        <v/>
      </c>
      <c r="C1184" s="10">
        <f t="shared" si="56"/>
        <v>44095</v>
      </c>
      <c r="D1184">
        <v>2008093</v>
      </c>
      <c r="E1184" t="s">
        <v>119</v>
      </c>
      <c r="F1184" s="6">
        <v>44099</v>
      </c>
      <c r="H1184" t="s">
        <v>189</v>
      </c>
      <c r="I1184" t="s">
        <v>120</v>
      </c>
    </row>
    <row r="1185" spans="1:9" x14ac:dyDescent="0.25">
      <c r="A1185" s="8" t="str">
        <f t="shared" si="54"/>
        <v>2008094.000</v>
      </c>
      <c r="B1185" s="9" t="str">
        <f t="shared" si="55"/>
        <v/>
      </c>
      <c r="C1185" s="10">
        <f t="shared" si="56"/>
        <v>44074</v>
      </c>
      <c r="D1185">
        <v>2008094</v>
      </c>
      <c r="E1185">
        <v>0</v>
      </c>
      <c r="F1185" s="6">
        <v>44078</v>
      </c>
      <c r="H1185" t="s">
        <v>180</v>
      </c>
      <c r="I1185" t="s">
        <v>120</v>
      </c>
    </row>
    <row r="1186" spans="1:9" x14ac:dyDescent="0.25">
      <c r="A1186" s="8" t="str">
        <f t="shared" si="54"/>
        <v>2008097.NI0</v>
      </c>
      <c r="B1186" s="9" t="str">
        <f t="shared" si="55"/>
        <v/>
      </c>
      <c r="C1186" s="10">
        <f t="shared" si="56"/>
        <v>44039</v>
      </c>
      <c r="D1186">
        <v>2008097</v>
      </c>
      <c r="E1186" t="s">
        <v>185</v>
      </c>
      <c r="F1186" s="6">
        <v>44043</v>
      </c>
      <c r="H1186" t="s">
        <v>188</v>
      </c>
      <c r="I1186" t="s">
        <v>120</v>
      </c>
    </row>
    <row r="1187" spans="1:9" x14ac:dyDescent="0.25">
      <c r="A1187" s="8" t="str">
        <f t="shared" si="54"/>
        <v>2008098.Y02</v>
      </c>
      <c r="B1187" s="9" t="str">
        <f t="shared" si="55"/>
        <v/>
      </c>
      <c r="C1187" s="10">
        <f t="shared" si="56"/>
        <v>44088</v>
      </c>
      <c r="D1187">
        <v>2008098</v>
      </c>
      <c r="E1187" t="s">
        <v>144</v>
      </c>
      <c r="F1187" s="6">
        <v>44092</v>
      </c>
      <c r="H1187" t="s">
        <v>189</v>
      </c>
      <c r="I1187" t="s">
        <v>120</v>
      </c>
    </row>
    <row r="1188" spans="1:9" x14ac:dyDescent="0.25">
      <c r="A1188" s="8" t="str">
        <f t="shared" si="54"/>
        <v>2008099.X00</v>
      </c>
      <c r="B1188" s="9" t="str">
        <f t="shared" si="55"/>
        <v>1</v>
      </c>
      <c r="C1188" s="10">
        <f t="shared" si="56"/>
        <v>44074</v>
      </c>
      <c r="D1188">
        <v>2008099</v>
      </c>
      <c r="E1188" t="s">
        <v>225</v>
      </c>
      <c r="F1188" s="6">
        <v>44078</v>
      </c>
      <c r="G1188">
        <v>1</v>
      </c>
      <c r="H1188" t="s">
        <v>180</v>
      </c>
      <c r="I1188" t="s">
        <v>120</v>
      </c>
    </row>
    <row r="1189" spans="1:9" x14ac:dyDescent="0.25">
      <c r="A1189" s="8" t="str">
        <f t="shared" si="54"/>
        <v>2008100.X00</v>
      </c>
      <c r="B1189" s="9" t="str">
        <f t="shared" si="55"/>
        <v/>
      </c>
      <c r="C1189" s="10">
        <f t="shared" si="56"/>
        <v>44081</v>
      </c>
      <c r="D1189">
        <v>2008100</v>
      </c>
      <c r="E1189" t="s">
        <v>225</v>
      </c>
      <c r="F1189" s="6">
        <v>44085</v>
      </c>
      <c r="H1189" t="s">
        <v>180</v>
      </c>
      <c r="I1189" t="s">
        <v>120</v>
      </c>
    </row>
    <row r="1190" spans="1:9" x14ac:dyDescent="0.25">
      <c r="A1190" s="8" t="str">
        <f t="shared" si="54"/>
        <v>2008101.X00</v>
      </c>
      <c r="B1190" s="9" t="str">
        <f t="shared" si="55"/>
        <v/>
      </c>
      <c r="C1190" s="10">
        <f t="shared" si="56"/>
        <v>44095</v>
      </c>
      <c r="D1190">
        <v>2008101</v>
      </c>
      <c r="E1190" t="s">
        <v>225</v>
      </c>
      <c r="F1190" s="6">
        <v>44099</v>
      </c>
      <c r="H1190" t="s">
        <v>189</v>
      </c>
      <c r="I1190" t="s">
        <v>120</v>
      </c>
    </row>
    <row r="1191" spans="1:9" x14ac:dyDescent="0.25">
      <c r="A1191" s="8" t="str">
        <f t="shared" si="54"/>
        <v>2008103.000</v>
      </c>
      <c r="B1191" s="9" t="str">
        <f t="shared" si="55"/>
        <v/>
      </c>
      <c r="C1191" s="10">
        <f t="shared" si="56"/>
        <v>44116</v>
      </c>
      <c r="D1191">
        <v>2008103</v>
      </c>
      <c r="E1191">
        <v>0</v>
      </c>
      <c r="F1191" s="6">
        <v>44120</v>
      </c>
      <c r="H1191" t="s">
        <v>189</v>
      </c>
      <c r="I1191" t="s">
        <v>120</v>
      </c>
    </row>
    <row r="1192" spans="1:9" x14ac:dyDescent="0.25">
      <c r="A1192" s="8" t="str">
        <f t="shared" si="54"/>
        <v>2008103.0P0</v>
      </c>
      <c r="B1192" s="9" t="str">
        <f t="shared" si="55"/>
        <v/>
      </c>
      <c r="C1192" s="10">
        <f t="shared" si="56"/>
        <v>44116</v>
      </c>
      <c r="D1192">
        <v>2008103</v>
      </c>
      <c r="E1192" t="s">
        <v>119</v>
      </c>
      <c r="F1192" s="6">
        <v>44120</v>
      </c>
      <c r="H1192" t="s">
        <v>189</v>
      </c>
      <c r="I1192" t="s">
        <v>120</v>
      </c>
    </row>
    <row r="1193" spans="1:9" x14ac:dyDescent="0.25">
      <c r="A1193" s="8" t="str">
        <f t="shared" si="54"/>
        <v>2008103.H00</v>
      </c>
      <c r="B1193" s="9" t="str">
        <f t="shared" si="55"/>
        <v/>
      </c>
      <c r="C1193" s="10">
        <f t="shared" si="56"/>
        <v>44116</v>
      </c>
      <c r="D1193">
        <v>2008103</v>
      </c>
      <c r="E1193" t="s">
        <v>122</v>
      </c>
      <c r="F1193" s="6">
        <v>44120</v>
      </c>
      <c r="H1193" t="s">
        <v>189</v>
      </c>
      <c r="I1193" t="s">
        <v>120</v>
      </c>
    </row>
    <row r="1194" spans="1:9" x14ac:dyDescent="0.25">
      <c r="A1194" s="8" t="str">
        <f t="shared" si="54"/>
        <v>2008105.0P0</v>
      </c>
      <c r="B1194" s="9" t="str">
        <f t="shared" si="55"/>
        <v>3</v>
      </c>
      <c r="C1194" s="10">
        <f t="shared" si="56"/>
        <v>44076</v>
      </c>
      <c r="D1194">
        <v>2008105</v>
      </c>
      <c r="E1194" t="s">
        <v>119</v>
      </c>
      <c r="F1194" s="6">
        <v>44078</v>
      </c>
      <c r="G1194">
        <v>3</v>
      </c>
      <c r="H1194" t="s">
        <v>180</v>
      </c>
      <c r="I1194" t="s">
        <v>120</v>
      </c>
    </row>
    <row r="1195" spans="1:9" x14ac:dyDescent="0.25">
      <c r="A1195" s="8" t="str">
        <f t="shared" si="54"/>
        <v>2008106.N0L</v>
      </c>
      <c r="B1195" s="9" t="str">
        <f t="shared" si="55"/>
        <v/>
      </c>
      <c r="C1195" s="10">
        <f t="shared" si="56"/>
        <v>44039</v>
      </c>
      <c r="D1195">
        <v>2008106</v>
      </c>
      <c r="E1195" t="s">
        <v>133</v>
      </c>
      <c r="F1195" s="6">
        <v>44043</v>
      </c>
      <c r="H1195" t="s">
        <v>188</v>
      </c>
      <c r="I1195" t="s">
        <v>120</v>
      </c>
    </row>
    <row r="1196" spans="1:9" x14ac:dyDescent="0.25">
      <c r="A1196" s="8" t="str">
        <f t="shared" si="54"/>
        <v>2008107.U01</v>
      </c>
      <c r="B1196" s="9" t="str">
        <f t="shared" si="55"/>
        <v/>
      </c>
      <c r="C1196" s="10">
        <f t="shared" si="56"/>
        <v>44088</v>
      </c>
      <c r="D1196">
        <v>2008107</v>
      </c>
      <c r="E1196" t="s">
        <v>150</v>
      </c>
      <c r="F1196" s="6">
        <v>44092</v>
      </c>
      <c r="H1196" t="s">
        <v>191</v>
      </c>
      <c r="I1196" t="s">
        <v>120</v>
      </c>
    </row>
    <row r="1197" spans="1:9" x14ac:dyDescent="0.25">
      <c r="A1197" s="8" t="str">
        <f t="shared" si="54"/>
        <v>2008108.H01</v>
      </c>
      <c r="B1197" s="9" t="str">
        <f t="shared" si="55"/>
        <v/>
      </c>
      <c r="C1197" s="10">
        <f t="shared" si="56"/>
        <v>44088</v>
      </c>
      <c r="D1197">
        <v>2008108</v>
      </c>
      <c r="E1197" t="s">
        <v>145</v>
      </c>
      <c r="F1197" s="6">
        <v>44092</v>
      </c>
      <c r="H1197" t="s">
        <v>189</v>
      </c>
      <c r="I1197" t="s">
        <v>120</v>
      </c>
    </row>
    <row r="1198" spans="1:9" x14ac:dyDescent="0.25">
      <c r="A1198" s="8" t="str">
        <f t="shared" si="54"/>
        <v>2008110.0P0</v>
      </c>
      <c r="B1198" s="9" t="str">
        <f t="shared" si="55"/>
        <v/>
      </c>
      <c r="C1198" s="10">
        <f t="shared" si="56"/>
        <v>44081</v>
      </c>
      <c r="D1198">
        <v>2008110</v>
      </c>
      <c r="E1198" t="s">
        <v>119</v>
      </c>
      <c r="F1198" s="6">
        <v>44085</v>
      </c>
      <c r="H1198" t="s">
        <v>180</v>
      </c>
      <c r="I1198" t="s">
        <v>120</v>
      </c>
    </row>
    <row r="1199" spans="1:9" x14ac:dyDescent="0.25">
      <c r="A1199" s="8" t="str">
        <f t="shared" si="54"/>
        <v>2008112.000</v>
      </c>
      <c r="B1199" s="9" t="str">
        <f t="shared" si="55"/>
        <v/>
      </c>
      <c r="C1199" s="10">
        <f t="shared" si="56"/>
        <v>44074</v>
      </c>
      <c r="D1199">
        <v>2008112</v>
      </c>
      <c r="E1199">
        <v>0</v>
      </c>
      <c r="F1199" s="6">
        <v>44078</v>
      </c>
      <c r="H1199" t="s">
        <v>180</v>
      </c>
      <c r="I1199" t="s">
        <v>120</v>
      </c>
    </row>
    <row r="1200" spans="1:9" x14ac:dyDescent="0.25">
      <c r="A1200" s="8" t="str">
        <f t="shared" si="54"/>
        <v>2008113.X00</v>
      </c>
      <c r="B1200" s="9" t="str">
        <f t="shared" si="55"/>
        <v/>
      </c>
      <c r="C1200" s="10">
        <f t="shared" si="56"/>
        <v>44081</v>
      </c>
      <c r="D1200">
        <v>2008113</v>
      </c>
      <c r="E1200" t="s">
        <v>225</v>
      </c>
      <c r="F1200" s="6">
        <v>44085</v>
      </c>
      <c r="H1200" t="s">
        <v>180</v>
      </c>
      <c r="I1200" t="s">
        <v>120</v>
      </c>
    </row>
    <row r="1201" spans="1:9" x14ac:dyDescent="0.25">
      <c r="A1201" s="8" t="str">
        <f t="shared" si="54"/>
        <v>2008114.000</v>
      </c>
      <c r="B1201" s="9" t="str">
        <f t="shared" si="55"/>
        <v/>
      </c>
      <c r="C1201" s="10">
        <f t="shared" si="56"/>
        <v>44074</v>
      </c>
      <c r="D1201">
        <v>2008114</v>
      </c>
      <c r="E1201">
        <v>0</v>
      </c>
      <c r="F1201" s="6">
        <v>44078</v>
      </c>
      <c r="H1201" t="s">
        <v>180</v>
      </c>
      <c r="I1201" t="s">
        <v>120</v>
      </c>
    </row>
    <row r="1202" spans="1:9" x14ac:dyDescent="0.25">
      <c r="A1202" s="8" t="str">
        <f t="shared" si="54"/>
        <v>2008114.0P0</v>
      </c>
      <c r="B1202" s="9" t="str">
        <f t="shared" si="55"/>
        <v/>
      </c>
      <c r="C1202" s="10">
        <f t="shared" si="56"/>
        <v>44074</v>
      </c>
      <c r="D1202">
        <v>2008114</v>
      </c>
      <c r="E1202" t="s">
        <v>119</v>
      </c>
      <c r="F1202" s="6">
        <v>44078</v>
      </c>
      <c r="H1202" t="s">
        <v>180</v>
      </c>
      <c r="I1202" t="s">
        <v>120</v>
      </c>
    </row>
    <row r="1203" spans="1:9" x14ac:dyDescent="0.25">
      <c r="A1203" s="8" t="str">
        <f t="shared" si="54"/>
        <v>2008115.XP0</v>
      </c>
      <c r="B1203" s="9" t="str">
        <f t="shared" si="55"/>
        <v/>
      </c>
      <c r="C1203" s="10">
        <f t="shared" si="56"/>
        <v>44102</v>
      </c>
      <c r="D1203">
        <v>2008115</v>
      </c>
      <c r="E1203" t="s">
        <v>181</v>
      </c>
      <c r="F1203" s="6">
        <v>44106</v>
      </c>
      <c r="H1203" t="s">
        <v>191</v>
      </c>
      <c r="I1203" t="s">
        <v>120</v>
      </c>
    </row>
    <row r="1204" spans="1:9" x14ac:dyDescent="0.25">
      <c r="A1204" s="8" t="str">
        <f t="shared" si="54"/>
        <v>2008116.000</v>
      </c>
      <c r="B1204" s="9" t="str">
        <f t="shared" si="55"/>
        <v/>
      </c>
      <c r="C1204" s="10">
        <f t="shared" si="56"/>
        <v>44074</v>
      </c>
      <c r="D1204">
        <v>2008116</v>
      </c>
      <c r="E1204">
        <v>0</v>
      </c>
      <c r="F1204" s="6">
        <v>44078</v>
      </c>
      <c r="H1204" t="s">
        <v>180</v>
      </c>
      <c r="I1204" t="s">
        <v>120</v>
      </c>
    </row>
    <row r="1205" spans="1:9" x14ac:dyDescent="0.25">
      <c r="A1205" s="8" t="str">
        <f t="shared" si="54"/>
        <v>2008117.000</v>
      </c>
      <c r="B1205" s="9" t="str">
        <f t="shared" si="55"/>
        <v/>
      </c>
      <c r="C1205" s="10">
        <f t="shared" si="56"/>
        <v>44074</v>
      </c>
      <c r="D1205">
        <v>2008117</v>
      </c>
      <c r="E1205">
        <v>0</v>
      </c>
      <c r="F1205" s="6">
        <v>44078</v>
      </c>
      <c r="H1205" t="s">
        <v>180</v>
      </c>
      <c r="I1205" t="s">
        <v>120</v>
      </c>
    </row>
    <row r="1206" spans="1:9" x14ac:dyDescent="0.25">
      <c r="A1206" s="8" t="str">
        <f t="shared" si="54"/>
        <v>2008118.Y00</v>
      </c>
      <c r="B1206" s="9" t="str">
        <f t="shared" si="55"/>
        <v>V</v>
      </c>
      <c r="C1206" s="10">
        <f t="shared" si="56"/>
        <v>44064</v>
      </c>
      <c r="D1206">
        <v>2008118</v>
      </c>
      <c r="E1206" t="s">
        <v>130</v>
      </c>
      <c r="F1206" s="6">
        <v>44071</v>
      </c>
      <c r="G1206" t="s">
        <v>139</v>
      </c>
      <c r="H1206" t="s">
        <v>180</v>
      </c>
      <c r="I1206" t="s">
        <v>120</v>
      </c>
    </row>
    <row r="1207" spans="1:9" x14ac:dyDescent="0.25">
      <c r="A1207" s="8" t="str">
        <f t="shared" si="54"/>
        <v>2008120.H00</v>
      </c>
      <c r="B1207" s="9" t="str">
        <f t="shared" si="55"/>
        <v/>
      </c>
      <c r="C1207" s="10">
        <f t="shared" si="56"/>
        <v>44088</v>
      </c>
      <c r="D1207">
        <v>2008120</v>
      </c>
      <c r="E1207" t="s">
        <v>122</v>
      </c>
      <c r="F1207" s="6">
        <v>44092</v>
      </c>
      <c r="H1207" t="s">
        <v>189</v>
      </c>
      <c r="I1207" t="s">
        <v>120</v>
      </c>
    </row>
    <row r="1208" spans="1:9" x14ac:dyDescent="0.25">
      <c r="A1208" s="8" t="str">
        <f t="shared" si="54"/>
        <v>2008123.0P0</v>
      </c>
      <c r="B1208" s="9" t="str">
        <f t="shared" si="55"/>
        <v/>
      </c>
      <c r="C1208" s="10">
        <f t="shared" si="56"/>
        <v>44102</v>
      </c>
      <c r="D1208">
        <v>2008123</v>
      </c>
      <c r="E1208" t="s">
        <v>119</v>
      </c>
      <c r="F1208" s="6">
        <v>44106</v>
      </c>
      <c r="H1208" t="s">
        <v>189</v>
      </c>
      <c r="I1208" t="s">
        <v>120</v>
      </c>
    </row>
    <row r="1209" spans="1:9" x14ac:dyDescent="0.25">
      <c r="A1209" s="8" t="str">
        <f t="shared" si="54"/>
        <v>2008124.X00</v>
      </c>
      <c r="B1209" s="9" t="str">
        <f t="shared" si="55"/>
        <v/>
      </c>
      <c r="C1209" s="10">
        <f t="shared" si="56"/>
        <v>44088</v>
      </c>
      <c r="D1209">
        <v>2008124</v>
      </c>
      <c r="E1209" t="s">
        <v>225</v>
      </c>
      <c r="F1209" s="6">
        <v>44092</v>
      </c>
      <c r="H1209" t="s">
        <v>189</v>
      </c>
      <c r="I1209" t="s">
        <v>120</v>
      </c>
    </row>
    <row r="1210" spans="1:9" x14ac:dyDescent="0.25">
      <c r="A1210" s="8" t="str">
        <f t="shared" si="54"/>
        <v>2008125.000</v>
      </c>
      <c r="B1210" s="9" t="str">
        <f t="shared" si="55"/>
        <v/>
      </c>
      <c r="C1210" s="10">
        <f t="shared" si="56"/>
        <v>44088</v>
      </c>
      <c r="D1210">
        <v>2008125</v>
      </c>
      <c r="E1210">
        <v>0</v>
      </c>
      <c r="F1210" s="6">
        <v>44092</v>
      </c>
      <c r="H1210" t="s">
        <v>189</v>
      </c>
      <c r="I1210" t="s">
        <v>120</v>
      </c>
    </row>
    <row r="1211" spans="1:9" x14ac:dyDescent="0.25">
      <c r="A1211" s="8" t="str">
        <f t="shared" si="54"/>
        <v>2008126.000</v>
      </c>
      <c r="B1211" s="9" t="str">
        <f t="shared" si="55"/>
        <v/>
      </c>
      <c r="C1211" s="10">
        <f t="shared" si="56"/>
        <v>44074</v>
      </c>
      <c r="D1211">
        <v>2008126</v>
      </c>
      <c r="E1211">
        <v>0</v>
      </c>
      <c r="F1211" s="6">
        <v>44078</v>
      </c>
      <c r="H1211" t="s">
        <v>266</v>
      </c>
      <c r="I1211" t="s">
        <v>120</v>
      </c>
    </row>
    <row r="1212" spans="1:9" x14ac:dyDescent="0.25">
      <c r="A1212" s="8" t="str">
        <f t="shared" si="54"/>
        <v>2008127.000</v>
      </c>
      <c r="B1212" s="9" t="str">
        <f t="shared" si="55"/>
        <v/>
      </c>
      <c r="C1212" s="10">
        <f t="shared" si="56"/>
        <v>44088</v>
      </c>
      <c r="D1212">
        <v>2008127</v>
      </c>
      <c r="E1212">
        <v>0</v>
      </c>
      <c r="F1212" s="6">
        <v>44092</v>
      </c>
      <c r="H1212" t="s">
        <v>189</v>
      </c>
      <c r="I1212" t="s">
        <v>120</v>
      </c>
    </row>
    <row r="1213" spans="1:9" x14ac:dyDescent="0.25">
      <c r="A1213" s="8" t="str">
        <f t="shared" si="54"/>
        <v>2008128.H00</v>
      </c>
      <c r="B1213" s="9" t="str">
        <f t="shared" si="55"/>
        <v/>
      </c>
      <c r="C1213" s="10">
        <f t="shared" si="56"/>
        <v>44095</v>
      </c>
      <c r="D1213">
        <v>2008128</v>
      </c>
      <c r="E1213" t="s">
        <v>122</v>
      </c>
      <c r="F1213" s="6">
        <v>44099</v>
      </c>
      <c r="H1213" t="s">
        <v>191</v>
      </c>
      <c r="I1213" t="s">
        <v>120</v>
      </c>
    </row>
    <row r="1214" spans="1:9" x14ac:dyDescent="0.25">
      <c r="A1214" s="8" t="str">
        <f t="shared" si="54"/>
        <v>2008128.HP0</v>
      </c>
      <c r="B1214" s="9" t="str">
        <f t="shared" si="55"/>
        <v/>
      </c>
      <c r="C1214" s="10">
        <f t="shared" si="56"/>
        <v>44095</v>
      </c>
      <c r="D1214">
        <v>2008128</v>
      </c>
      <c r="E1214" t="s">
        <v>121</v>
      </c>
      <c r="F1214" s="6">
        <v>44099</v>
      </c>
      <c r="H1214" t="s">
        <v>191</v>
      </c>
      <c r="I1214" t="s">
        <v>120</v>
      </c>
    </row>
    <row r="1215" spans="1:9" x14ac:dyDescent="0.25">
      <c r="A1215" s="8" t="str">
        <f t="shared" si="54"/>
        <v>2008128.TP0</v>
      </c>
      <c r="B1215" s="9" t="str">
        <f t="shared" si="55"/>
        <v/>
      </c>
      <c r="C1215" s="10">
        <f t="shared" si="56"/>
        <v>44095</v>
      </c>
      <c r="D1215">
        <v>2008128</v>
      </c>
      <c r="E1215" t="s">
        <v>184</v>
      </c>
      <c r="F1215" s="6">
        <v>44099</v>
      </c>
      <c r="H1215" t="s">
        <v>191</v>
      </c>
      <c r="I1215" t="s">
        <v>120</v>
      </c>
    </row>
    <row r="1216" spans="1:9" x14ac:dyDescent="0.25">
      <c r="A1216" s="8" t="str">
        <f t="shared" si="54"/>
        <v>2008129.Y00</v>
      </c>
      <c r="B1216" s="9" t="str">
        <f t="shared" si="55"/>
        <v/>
      </c>
      <c r="C1216" s="10">
        <f t="shared" si="56"/>
        <v>44088</v>
      </c>
      <c r="D1216">
        <v>2008129</v>
      </c>
      <c r="E1216" t="s">
        <v>130</v>
      </c>
      <c r="F1216" s="6">
        <v>44092</v>
      </c>
      <c r="H1216" t="s">
        <v>189</v>
      </c>
      <c r="I1216" t="s">
        <v>120</v>
      </c>
    </row>
    <row r="1217" spans="1:9" x14ac:dyDescent="0.25">
      <c r="A1217" s="8" t="str">
        <f t="shared" si="54"/>
        <v>2008130.000</v>
      </c>
      <c r="B1217" s="9" t="str">
        <f t="shared" si="55"/>
        <v/>
      </c>
      <c r="C1217" s="10">
        <f t="shared" si="56"/>
        <v>44074</v>
      </c>
      <c r="D1217">
        <v>2008130</v>
      </c>
      <c r="E1217">
        <v>0</v>
      </c>
      <c r="F1217" s="6">
        <v>44078</v>
      </c>
      <c r="H1217" t="s">
        <v>180</v>
      </c>
      <c r="I1217" t="s">
        <v>120</v>
      </c>
    </row>
    <row r="1218" spans="1:9" x14ac:dyDescent="0.25">
      <c r="A1218" s="8" t="str">
        <f t="shared" ref="A1218:A1281" si="57">IF(D1218="","",IF(E1218=0,CONCATENATE(D1218,".",E1218,"00"),CONCATENATE(D1218,".",E1218)))</f>
        <v>2008131.XP0</v>
      </c>
      <c r="B1218" s="9" t="str">
        <f t="shared" ref="B1218:B1281" si="58">LEFT(G1218,1)</f>
        <v>3</v>
      </c>
      <c r="C1218" s="10">
        <f t="shared" ref="C1218:C1281" si="59">IF(F1218="","",IF(B1218="",F1218-4,IF(B1218="1",F1218-4,IF(B1218="2",F1218-3,IF(B1218="3",F1218-2,IF(B1218="4",F1218-1,IF(B1218="V",F1218-7,IF(B1218="J",F1218-8,F1218))))))))</f>
        <v>44076</v>
      </c>
      <c r="D1218">
        <v>2008131</v>
      </c>
      <c r="E1218" t="s">
        <v>181</v>
      </c>
      <c r="F1218" s="6">
        <v>44078</v>
      </c>
      <c r="G1218">
        <v>3</v>
      </c>
      <c r="H1218" t="s">
        <v>180</v>
      </c>
      <c r="I1218" t="s">
        <v>120</v>
      </c>
    </row>
    <row r="1219" spans="1:9" x14ac:dyDescent="0.25">
      <c r="A1219" s="8" t="str">
        <f t="shared" si="57"/>
        <v>2008132.0P0</v>
      </c>
      <c r="B1219" s="9" t="str">
        <f t="shared" si="58"/>
        <v/>
      </c>
      <c r="C1219" s="10">
        <f t="shared" si="59"/>
        <v>44074</v>
      </c>
      <c r="D1219">
        <v>2008132</v>
      </c>
      <c r="E1219" t="s">
        <v>119</v>
      </c>
      <c r="F1219" s="6">
        <v>44078</v>
      </c>
      <c r="H1219" t="s">
        <v>180</v>
      </c>
      <c r="I1219" t="s">
        <v>120</v>
      </c>
    </row>
    <row r="1220" spans="1:9" x14ac:dyDescent="0.25">
      <c r="A1220" s="8" t="str">
        <f t="shared" si="57"/>
        <v>2008134.000</v>
      </c>
      <c r="B1220" s="9" t="str">
        <f t="shared" si="58"/>
        <v/>
      </c>
      <c r="C1220" s="10">
        <f t="shared" si="59"/>
        <v>44074</v>
      </c>
      <c r="D1220">
        <v>2008134</v>
      </c>
      <c r="E1220">
        <v>0</v>
      </c>
      <c r="F1220" s="6">
        <v>44078</v>
      </c>
      <c r="H1220" t="s">
        <v>180</v>
      </c>
      <c r="I1220" t="s">
        <v>120</v>
      </c>
    </row>
    <row r="1221" spans="1:9" x14ac:dyDescent="0.25">
      <c r="A1221" s="8" t="str">
        <f t="shared" si="57"/>
        <v>2008135.0P0</v>
      </c>
      <c r="B1221" s="9" t="str">
        <f t="shared" si="58"/>
        <v/>
      </c>
      <c r="C1221" s="10">
        <f t="shared" si="59"/>
        <v>44081</v>
      </c>
      <c r="D1221">
        <v>2008135</v>
      </c>
      <c r="E1221" t="s">
        <v>119</v>
      </c>
      <c r="F1221" s="6">
        <v>44085</v>
      </c>
      <c r="H1221" t="s">
        <v>266</v>
      </c>
      <c r="I1221" t="s">
        <v>120</v>
      </c>
    </row>
    <row r="1222" spans="1:9" x14ac:dyDescent="0.25">
      <c r="A1222" s="8" t="str">
        <f t="shared" si="57"/>
        <v>2008136.000</v>
      </c>
      <c r="B1222" s="9" t="str">
        <f t="shared" si="58"/>
        <v>1</v>
      </c>
      <c r="C1222" s="10">
        <f t="shared" si="59"/>
        <v>44074</v>
      </c>
      <c r="D1222">
        <v>2008136</v>
      </c>
      <c r="E1222">
        <v>0</v>
      </c>
      <c r="F1222" s="6">
        <v>44078</v>
      </c>
      <c r="G1222">
        <v>1</v>
      </c>
      <c r="H1222" t="s">
        <v>180</v>
      </c>
      <c r="I1222" t="s">
        <v>120</v>
      </c>
    </row>
    <row r="1223" spans="1:9" x14ac:dyDescent="0.25">
      <c r="A1223" s="8" t="str">
        <f t="shared" si="57"/>
        <v>2008137.00R</v>
      </c>
      <c r="B1223" s="9" t="str">
        <f t="shared" si="58"/>
        <v>4</v>
      </c>
      <c r="C1223" s="10">
        <f t="shared" si="59"/>
        <v>44070</v>
      </c>
      <c r="D1223">
        <v>2008137</v>
      </c>
      <c r="E1223" t="s">
        <v>264</v>
      </c>
      <c r="F1223" s="6">
        <v>44071</v>
      </c>
      <c r="G1223">
        <v>42</v>
      </c>
      <c r="H1223" t="s">
        <v>180</v>
      </c>
      <c r="I1223" t="s">
        <v>120</v>
      </c>
    </row>
    <row r="1224" spans="1:9" x14ac:dyDescent="0.25">
      <c r="A1224" s="8" t="str">
        <f t="shared" si="57"/>
        <v>2008138.000</v>
      </c>
      <c r="B1224" s="9" t="str">
        <f t="shared" si="58"/>
        <v/>
      </c>
      <c r="C1224" s="10">
        <f t="shared" si="59"/>
        <v>44074</v>
      </c>
      <c r="D1224">
        <v>2008138</v>
      </c>
      <c r="E1224">
        <v>0</v>
      </c>
      <c r="F1224" s="6">
        <v>44078</v>
      </c>
      <c r="H1224" t="s">
        <v>180</v>
      </c>
      <c r="I1224" t="s">
        <v>120</v>
      </c>
    </row>
    <row r="1225" spans="1:9" x14ac:dyDescent="0.25">
      <c r="A1225" s="8" t="str">
        <f t="shared" si="57"/>
        <v>2008139.U00</v>
      </c>
      <c r="B1225" s="9" t="str">
        <f t="shared" si="58"/>
        <v/>
      </c>
      <c r="C1225" s="10">
        <f t="shared" si="59"/>
        <v>44081</v>
      </c>
      <c r="D1225">
        <v>2008139</v>
      </c>
      <c r="E1225" t="s">
        <v>131</v>
      </c>
      <c r="F1225" s="6">
        <v>44085</v>
      </c>
      <c r="H1225" t="s">
        <v>191</v>
      </c>
      <c r="I1225" t="s">
        <v>120</v>
      </c>
    </row>
    <row r="1226" spans="1:9" x14ac:dyDescent="0.25">
      <c r="A1226" s="8" t="str">
        <f t="shared" si="57"/>
        <v>2008139.Y00</v>
      </c>
      <c r="B1226" s="9" t="str">
        <f t="shared" si="58"/>
        <v/>
      </c>
      <c r="C1226" s="10">
        <f t="shared" si="59"/>
        <v>44081</v>
      </c>
      <c r="D1226">
        <v>2008139</v>
      </c>
      <c r="E1226" t="s">
        <v>130</v>
      </c>
      <c r="F1226" s="6">
        <v>44085</v>
      </c>
      <c r="H1226" t="s">
        <v>191</v>
      </c>
      <c r="I1226" t="s">
        <v>120</v>
      </c>
    </row>
    <row r="1227" spans="1:9" x14ac:dyDescent="0.25">
      <c r="A1227" s="8" t="str">
        <f t="shared" si="57"/>
        <v>2008140.0P0</v>
      </c>
      <c r="B1227" s="9" t="str">
        <f t="shared" si="58"/>
        <v>3</v>
      </c>
      <c r="C1227" s="10">
        <f t="shared" si="59"/>
        <v>44076</v>
      </c>
      <c r="D1227">
        <v>2008140</v>
      </c>
      <c r="E1227" t="s">
        <v>119</v>
      </c>
      <c r="F1227" s="6">
        <v>44078</v>
      </c>
      <c r="G1227">
        <v>3</v>
      </c>
      <c r="H1227" t="s">
        <v>180</v>
      </c>
      <c r="I1227" t="s">
        <v>120</v>
      </c>
    </row>
    <row r="1228" spans="1:9" x14ac:dyDescent="0.25">
      <c r="A1228" s="8" t="str">
        <f t="shared" si="57"/>
        <v>2008141.HP1</v>
      </c>
      <c r="B1228" s="9" t="str">
        <f t="shared" si="58"/>
        <v>3</v>
      </c>
      <c r="C1228" s="10">
        <f t="shared" si="59"/>
        <v>44104</v>
      </c>
      <c r="D1228">
        <v>2008141</v>
      </c>
      <c r="E1228" t="s">
        <v>129</v>
      </c>
      <c r="F1228" s="6">
        <v>44106</v>
      </c>
      <c r="G1228">
        <v>3</v>
      </c>
      <c r="H1228" t="s">
        <v>189</v>
      </c>
      <c r="I1228" t="s">
        <v>120</v>
      </c>
    </row>
    <row r="1229" spans="1:9" x14ac:dyDescent="0.25">
      <c r="A1229" s="8" t="str">
        <f t="shared" si="57"/>
        <v>2008141.K00</v>
      </c>
      <c r="B1229" s="9" t="str">
        <f t="shared" si="58"/>
        <v>3</v>
      </c>
      <c r="C1229" s="10">
        <f t="shared" si="59"/>
        <v>44104</v>
      </c>
      <c r="D1229">
        <v>2008141</v>
      </c>
      <c r="E1229" t="s">
        <v>257</v>
      </c>
      <c r="F1229" s="6">
        <v>44106</v>
      </c>
      <c r="G1229">
        <v>3</v>
      </c>
      <c r="H1229" t="s">
        <v>189</v>
      </c>
      <c r="I1229" t="s">
        <v>120</v>
      </c>
    </row>
    <row r="1230" spans="1:9" x14ac:dyDescent="0.25">
      <c r="A1230" s="8" t="str">
        <f t="shared" si="57"/>
        <v>2008142.000</v>
      </c>
      <c r="B1230" s="9" t="str">
        <f t="shared" si="58"/>
        <v/>
      </c>
      <c r="C1230" s="10">
        <f t="shared" si="59"/>
        <v>44074</v>
      </c>
      <c r="D1230">
        <v>2008142</v>
      </c>
      <c r="E1230">
        <v>0</v>
      </c>
      <c r="F1230" s="6">
        <v>44078</v>
      </c>
      <c r="H1230" t="s">
        <v>180</v>
      </c>
      <c r="I1230" t="s">
        <v>120</v>
      </c>
    </row>
    <row r="1231" spans="1:9" x14ac:dyDescent="0.25">
      <c r="A1231" s="8" t="str">
        <f t="shared" si="57"/>
        <v>2008143.000</v>
      </c>
      <c r="B1231" s="9" t="str">
        <f t="shared" si="58"/>
        <v/>
      </c>
      <c r="C1231" s="10">
        <f t="shared" si="59"/>
        <v>44074</v>
      </c>
      <c r="D1231">
        <v>2008143</v>
      </c>
      <c r="E1231">
        <v>0</v>
      </c>
      <c r="F1231" s="6">
        <v>44078</v>
      </c>
      <c r="H1231" t="s">
        <v>180</v>
      </c>
      <c r="I1231" t="s">
        <v>120</v>
      </c>
    </row>
    <row r="1232" spans="1:9" x14ac:dyDescent="0.25">
      <c r="A1232" s="8" t="str">
        <f t="shared" si="57"/>
        <v>2008143.0P0</v>
      </c>
      <c r="B1232" s="9" t="str">
        <f t="shared" si="58"/>
        <v/>
      </c>
      <c r="C1232" s="10">
        <f t="shared" si="59"/>
        <v>44074</v>
      </c>
      <c r="D1232">
        <v>2008143</v>
      </c>
      <c r="E1232" t="s">
        <v>119</v>
      </c>
      <c r="F1232" s="6">
        <v>44078</v>
      </c>
      <c r="H1232" t="s">
        <v>180</v>
      </c>
      <c r="I1232" t="s">
        <v>120</v>
      </c>
    </row>
    <row r="1233" spans="1:9" x14ac:dyDescent="0.25">
      <c r="A1233" s="8" t="str">
        <f t="shared" si="57"/>
        <v>2008144.0P0</v>
      </c>
      <c r="B1233" s="9" t="str">
        <f t="shared" si="58"/>
        <v/>
      </c>
      <c r="C1233" s="10">
        <f t="shared" si="59"/>
        <v>44074</v>
      </c>
      <c r="D1233">
        <v>2008144</v>
      </c>
      <c r="E1233" t="s">
        <v>119</v>
      </c>
      <c r="F1233" s="6">
        <v>44078</v>
      </c>
      <c r="H1233" t="s">
        <v>180</v>
      </c>
      <c r="I1233" t="s">
        <v>120</v>
      </c>
    </row>
    <row r="1234" spans="1:9" x14ac:dyDescent="0.25">
      <c r="A1234" s="8" t="str">
        <f t="shared" si="57"/>
        <v>2008145.NV0</v>
      </c>
      <c r="B1234" s="9" t="str">
        <f t="shared" si="58"/>
        <v>4</v>
      </c>
      <c r="C1234" s="10">
        <f t="shared" si="59"/>
        <v>44098</v>
      </c>
      <c r="D1234">
        <v>2008145</v>
      </c>
      <c r="E1234" t="s">
        <v>126</v>
      </c>
      <c r="F1234" s="6">
        <v>44099</v>
      </c>
      <c r="G1234">
        <v>41</v>
      </c>
      <c r="H1234" t="s">
        <v>194</v>
      </c>
      <c r="I1234" t="s">
        <v>120</v>
      </c>
    </row>
    <row r="1235" spans="1:9" x14ac:dyDescent="0.25">
      <c r="A1235" s="8" t="str">
        <f t="shared" si="57"/>
        <v>2008145.U02</v>
      </c>
      <c r="B1235" s="9" t="str">
        <f t="shared" si="58"/>
        <v>4</v>
      </c>
      <c r="C1235" s="10">
        <f t="shared" si="59"/>
        <v>44098</v>
      </c>
      <c r="D1235">
        <v>2008145</v>
      </c>
      <c r="E1235" t="s">
        <v>149</v>
      </c>
      <c r="F1235" s="6">
        <v>44099</v>
      </c>
      <c r="G1235">
        <v>41</v>
      </c>
      <c r="H1235" t="s">
        <v>189</v>
      </c>
      <c r="I1235" t="s">
        <v>120</v>
      </c>
    </row>
    <row r="1236" spans="1:9" x14ac:dyDescent="0.25">
      <c r="A1236" s="8" t="str">
        <f t="shared" si="57"/>
        <v>2008147.000</v>
      </c>
      <c r="B1236" s="9" t="str">
        <f t="shared" si="58"/>
        <v/>
      </c>
      <c r="C1236" s="10">
        <f t="shared" si="59"/>
        <v>44088</v>
      </c>
      <c r="D1236">
        <v>2008147</v>
      </c>
      <c r="E1236">
        <v>0</v>
      </c>
      <c r="F1236" s="6">
        <v>44092</v>
      </c>
      <c r="H1236" t="s">
        <v>189</v>
      </c>
      <c r="I1236" t="s">
        <v>120</v>
      </c>
    </row>
    <row r="1237" spans="1:9" x14ac:dyDescent="0.25">
      <c r="A1237" s="8" t="str">
        <f t="shared" si="57"/>
        <v>2008148.0P0</v>
      </c>
      <c r="B1237" s="9" t="str">
        <f t="shared" si="58"/>
        <v>1</v>
      </c>
      <c r="C1237" s="10">
        <f t="shared" si="59"/>
        <v>44081</v>
      </c>
      <c r="D1237">
        <v>2008148</v>
      </c>
      <c r="E1237" t="s">
        <v>119</v>
      </c>
      <c r="F1237" s="6">
        <v>44085</v>
      </c>
      <c r="G1237">
        <v>1</v>
      </c>
      <c r="H1237" t="s">
        <v>192</v>
      </c>
      <c r="I1237" t="s">
        <v>134</v>
      </c>
    </row>
    <row r="1238" spans="1:9" x14ac:dyDescent="0.25">
      <c r="A1238" s="8" t="str">
        <f t="shared" si="57"/>
        <v>2008150.XP0</v>
      </c>
      <c r="B1238" s="9" t="str">
        <f t="shared" si="58"/>
        <v/>
      </c>
      <c r="C1238" s="10">
        <f t="shared" si="59"/>
        <v>44074</v>
      </c>
      <c r="D1238">
        <v>2008150</v>
      </c>
      <c r="E1238" t="s">
        <v>181</v>
      </c>
      <c r="F1238" s="6">
        <v>44078</v>
      </c>
      <c r="H1238" t="s">
        <v>180</v>
      </c>
      <c r="I1238" t="s">
        <v>120</v>
      </c>
    </row>
    <row r="1239" spans="1:9" x14ac:dyDescent="0.25">
      <c r="A1239" s="8" t="str">
        <f t="shared" si="57"/>
        <v>2008151.000</v>
      </c>
      <c r="B1239" s="9" t="str">
        <f t="shared" si="58"/>
        <v/>
      </c>
      <c r="C1239" s="10">
        <f t="shared" si="59"/>
        <v>44081</v>
      </c>
      <c r="D1239">
        <v>2008151</v>
      </c>
      <c r="E1239">
        <v>0</v>
      </c>
      <c r="F1239" s="6">
        <v>44085</v>
      </c>
      <c r="H1239" t="s">
        <v>192</v>
      </c>
      <c r="I1239" t="s">
        <v>120</v>
      </c>
    </row>
    <row r="1240" spans="1:9" x14ac:dyDescent="0.25">
      <c r="A1240" s="8" t="str">
        <f t="shared" si="57"/>
        <v>2008152.U00</v>
      </c>
      <c r="B1240" s="9" t="str">
        <f t="shared" si="58"/>
        <v>1</v>
      </c>
      <c r="C1240" s="10">
        <f t="shared" si="59"/>
        <v>44102</v>
      </c>
      <c r="D1240">
        <v>2008152</v>
      </c>
      <c r="E1240" t="s">
        <v>131</v>
      </c>
      <c r="F1240" s="6">
        <v>44106</v>
      </c>
      <c r="G1240">
        <v>1</v>
      </c>
      <c r="H1240" t="s">
        <v>189</v>
      </c>
      <c r="I1240" t="s">
        <v>120</v>
      </c>
    </row>
    <row r="1241" spans="1:9" x14ac:dyDescent="0.25">
      <c r="A1241" s="8" t="str">
        <f t="shared" si="57"/>
        <v>2008153.0P0</v>
      </c>
      <c r="B1241" s="9" t="str">
        <f t="shared" si="58"/>
        <v/>
      </c>
      <c r="C1241" s="10">
        <f t="shared" si="59"/>
        <v>44074</v>
      </c>
      <c r="D1241">
        <v>2008153</v>
      </c>
      <c r="E1241" t="s">
        <v>119</v>
      </c>
      <c r="F1241" s="6">
        <v>44078</v>
      </c>
      <c r="H1241" t="s">
        <v>180</v>
      </c>
      <c r="I1241" t="s">
        <v>120</v>
      </c>
    </row>
    <row r="1242" spans="1:9" x14ac:dyDescent="0.25">
      <c r="A1242" s="8" t="str">
        <f t="shared" si="57"/>
        <v>2008154.0P0</v>
      </c>
      <c r="B1242" s="9" t="str">
        <f t="shared" si="58"/>
        <v>4</v>
      </c>
      <c r="C1242" s="10">
        <f t="shared" si="59"/>
        <v>44091</v>
      </c>
      <c r="D1242">
        <v>2008154</v>
      </c>
      <c r="E1242" t="s">
        <v>119</v>
      </c>
      <c r="F1242" s="6">
        <v>44092</v>
      </c>
      <c r="G1242">
        <v>4</v>
      </c>
      <c r="H1242" t="s">
        <v>189</v>
      </c>
      <c r="I1242" t="s">
        <v>120</v>
      </c>
    </row>
    <row r="1243" spans="1:9" x14ac:dyDescent="0.25">
      <c r="A1243" s="8" t="str">
        <f t="shared" si="57"/>
        <v>2008154.UP0</v>
      </c>
      <c r="B1243" s="9" t="str">
        <f t="shared" si="58"/>
        <v>4</v>
      </c>
      <c r="C1243" s="10">
        <f t="shared" si="59"/>
        <v>44091</v>
      </c>
      <c r="D1243">
        <v>2008154</v>
      </c>
      <c r="E1243" t="s">
        <v>136</v>
      </c>
      <c r="F1243" s="6">
        <v>44092</v>
      </c>
      <c r="G1243">
        <v>4</v>
      </c>
      <c r="H1243" t="s">
        <v>189</v>
      </c>
      <c r="I1243" t="s">
        <v>120</v>
      </c>
    </row>
    <row r="1244" spans="1:9" x14ac:dyDescent="0.25">
      <c r="A1244" s="8" t="str">
        <f t="shared" si="57"/>
        <v>2008155.U02</v>
      </c>
      <c r="B1244" s="9" t="str">
        <f t="shared" si="58"/>
        <v/>
      </c>
      <c r="C1244" s="10">
        <f t="shared" si="59"/>
        <v>44088</v>
      </c>
      <c r="D1244">
        <v>2008155</v>
      </c>
      <c r="E1244" t="s">
        <v>149</v>
      </c>
      <c r="F1244" s="6">
        <v>44092</v>
      </c>
      <c r="H1244" t="s">
        <v>189</v>
      </c>
      <c r="I1244" t="s">
        <v>120</v>
      </c>
    </row>
    <row r="1245" spans="1:9" x14ac:dyDescent="0.25">
      <c r="A1245" s="8" t="str">
        <f t="shared" si="57"/>
        <v>2008155.Y00</v>
      </c>
      <c r="B1245" s="9" t="str">
        <f t="shared" si="58"/>
        <v/>
      </c>
      <c r="C1245" s="10">
        <f t="shared" si="59"/>
        <v>44088</v>
      </c>
      <c r="D1245">
        <v>2008155</v>
      </c>
      <c r="E1245" t="s">
        <v>130</v>
      </c>
      <c r="F1245" s="6">
        <v>44092</v>
      </c>
      <c r="H1245" t="s">
        <v>189</v>
      </c>
      <c r="I1245" t="s">
        <v>120</v>
      </c>
    </row>
    <row r="1246" spans="1:9" x14ac:dyDescent="0.25">
      <c r="A1246" s="8" t="str">
        <f t="shared" si="57"/>
        <v>2008155.ZO2</v>
      </c>
      <c r="B1246" s="9" t="str">
        <f t="shared" si="58"/>
        <v/>
      </c>
      <c r="C1246" s="10">
        <f t="shared" si="59"/>
        <v>44088</v>
      </c>
      <c r="D1246">
        <v>2008155</v>
      </c>
      <c r="E1246" t="s">
        <v>168</v>
      </c>
      <c r="F1246" s="6">
        <v>44092</v>
      </c>
      <c r="H1246" t="s">
        <v>189</v>
      </c>
      <c r="I1246" t="s">
        <v>120</v>
      </c>
    </row>
    <row r="1247" spans="1:9" x14ac:dyDescent="0.25">
      <c r="A1247" s="8" t="str">
        <f t="shared" si="57"/>
        <v>2008156.0P0</v>
      </c>
      <c r="B1247" s="9" t="str">
        <f t="shared" si="58"/>
        <v/>
      </c>
      <c r="C1247" s="10">
        <f t="shared" si="59"/>
        <v>44081</v>
      </c>
      <c r="D1247">
        <v>2008156</v>
      </c>
      <c r="E1247" t="s">
        <v>119</v>
      </c>
      <c r="F1247" s="6">
        <v>44085</v>
      </c>
      <c r="H1247" t="s">
        <v>180</v>
      </c>
      <c r="I1247" t="s">
        <v>120</v>
      </c>
    </row>
    <row r="1248" spans="1:9" x14ac:dyDescent="0.25">
      <c r="A1248" s="8" t="str">
        <f t="shared" si="57"/>
        <v>2008157.000</v>
      </c>
      <c r="B1248" s="9" t="str">
        <f t="shared" si="58"/>
        <v>4</v>
      </c>
      <c r="C1248" s="10">
        <f t="shared" si="59"/>
        <v>44077</v>
      </c>
      <c r="D1248">
        <v>2008157</v>
      </c>
      <c r="E1248">
        <v>0</v>
      </c>
      <c r="F1248" s="6">
        <v>44078</v>
      </c>
      <c r="G1248">
        <v>4</v>
      </c>
      <c r="H1248" t="s">
        <v>180</v>
      </c>
      <c r="I1248" t="s">
        <v>120</v>
      </c>
    </row>
    <row r="1249" spans="1:9" x14ac:dyDescent="0.25">
      <c r="A1249" s="8" t="str">
        <f t="shared" si="57"/>
        <v>2008158.HP2</v>
      </c>
      <c r="B1249" s="9" t="str">
        <f t="shared" si="58"/>
        <v>1</v>
      </c>
      <c r="C1249" s="10">
        <f t="shared" si="59"/>
        <v>44102</v>
      </c>
      <c r="D1249">
        <v>2008158</v>
      </c>
      <c r="E1249" t="s">
        <v>138</v>
      </c>
      <c r="F1249" s="6">
        <v>44106</v>
      </c>
      <c r="G1249">
        <v>1</v>
      </c>
      <c r="H1249" t="s">
        <v>189</v>
      </c>
      <c r="I1249" t="s">
        <v>120</v>
      </c>
    </row>
    <row r="1250" spans="1:9" x14ac:dyDescent="0.25">
      <c r="A1250" s="8" t="str">
        <f t="shared" si="57"/>
        <v>2008159.UP2</v>
      </c>
      <c r="B1250" s="9" t="str">
        <f t="shared" si="58"/>
        <v/>
      </c>
      <c r="C1250" s="10">
        <f t="shared" si="59"/>
        <v>44081</v>
      </c>
      <c r="D1250">
        <v>2008159</v>
      </c>
      <c r="E1250" t="s">
        <v>160</v>
      </c>
      <c r="F1250" s="6">
        <v>44085</v>
      </c>
      <c r="H1250" t="s">
        <v>180</v>
      </c>
      <c r="I1250" t="s">
        <v>120</v>
      </c>
    </row>
    <row r="1251" spans="1:9" x14ac:dyDescent="0.25">
      <c r="A1251" s="8" t="str">
        <f t="shared" si="57"/>
        <v>2008160.000</v>
      </c>
      <c r="B1251" s="9" t="str">
        <f t="shared" si="58"/>
        <v>1</v>
      </c>
      <c r="C1251" s="10">
        <f t="shared" si="59"/>
        <v>44130</v>
      </c>
      <c r="D1251">
        <v>2008160</v>
      </c>
      <c r="E1251">
        <v>0</v>
      </c>
      <c r="F1251" s="6">
        <v>44134</v>
      </c>
      <c r="G1251">
        <v>1</v>
      </c>
      <c r="H1251" t="s">
        <v>189</v>
      </c>
      <c r="I1251" t="s">
        <v>120</v>
      </c>
    </row>
    <row r="1252" spans="1:9" x14ac:dyDescent="0.25">
      <c r="A1252" s="8" t="str">
        <f t="shared" si="57"/>
        <v>2008162.000</v>
      </c>
      <c r="B1252" s="9" t="str">
        <f t="shared" si="58"/>
        <v/>
      </c>
      <c r="C1252" s="10">
        <f t="shared" si="59"/>
        <v>44074</v>
      </c>
      <c r="D1252">
        <v>2008162</v>
      </c>
      <c r="E1252">
        <v>0</v>
      </c>
      <c r="F1252" s="6">
        <v>44078</v>
      </c>
      <c r="H1252" t="s">
        <v>180</v>
      </c>
      <c r="I1252" t="s">
        <v>120</v>
      </c>
    </row>
    <row r="1253" spans="1:9" x14ac:dyDescent="0.25">
      <c r="A1253" s="8" t="str">
        <f t="shared" si="57"/>
        <v>2008162.XP0</v>
      </c>
      <c r="B1253" s="9" t="str">
        <f t="shared" si="58"/>
        <v/>
      </c>
      <c r="C1253" s="10">
        <f t="shared" si="59"/>
        <v>44074</v>
      </c>
      <c r="D1253">
        <v>2008162</v>
      </c>
      <c r="E1253" t="s">
        <v>181</v>
      </c>
      <c r="F1253" s="6">
        <v>44078</v>
      </c>
      <c r="H1253" t="s">
        <v>180</v>
      </c>
      <c r="I1253" t="s">
        <v>120</v>
      </c>
    </row>
    <row r="1254" spans="1:9" x14ac:dyDescent="0.25">
      <c r="A1254" s="8" t="str">
        <f t="shared" si="57"/>
        <v>2008164.H00</v>
      </c>
      <c r="B1254" s="9" t="str">
        <f t="shared" si="58"/>
        <v>1</v>
      </c>
      <c r="C1254" s="10">
        <f t="shared" si="59"/>
        <v>44088</v>
      </c>
      <c r="D1254">
        <v>2008164</v>
      </c>
      <c r="E1254" t="s">
        <v>122</v>
      </c>
      <c r="F1254" s="6">
        <v>44092</v>
      </c>
      <c r="G1254">
        <v>14</v>
      </c>
      <c r="H1254" t="s">
        <v>189</v>
      </c>
      <c r="I1254" t="s">
        <v>120</v>
      </c>
    </row>
    <row r="1255" spans="1:9" x14ac:dyDescent="0.25">
      <c r="A1255" s="8" t="str">
        <f t="shared" si="57"/>
        <v>2008164.T00</v>
      </c>
      <c r="B1255" s="9" t="str">
        <f t="shared" si="58"/>
        <v>1</v>
      </c>
      <c r="C1255" s="10">
        <f t="shared" si="59"/>
        <v>44088</v>
      </c>
      <c r="D1255">
        <v>2008164</v>
      </c>
      <c r="E1255" t="s">
        <v>159</v>
      </c>
      <c r="F1255" s="6">
        <v>44092</v>
      </c>
      <c r="G1255">
        <v>14</v>
      </c>
      <c r="H1255" t="s">
        <v>189</v>
      </c>
      <c r="I1255" t="s">
        <v>120</v>
      </c>
    </row>
    <row r="1256" spans="1:9" x14ac:dyDescent="0.25">
      <c r="A1256" s="8" t="str">
        <f t="shared" si="57"/>
        <v>2008164.Y01</v>
      </c>
      <c r="B1256" s="9" t="str">
        <f t="shared" si="58"/>
        <v>1</v>
      </c>
      <c r="C1256" s="10">
        <f t="shared" si="59"/>
        <v>44088</v>
      </c>
      <c r="D1256">
        <v>2008164</v>
      </c>
      <c r="E1256" t="s">
        <v>132</v>
      </c>
      <c r="F1256" s="6">
        <v>44092</v>
      </c>
      <c r="G1256">
        <v>14</v>
      </c>
      <c r="H1256" t="s">
        <v>189</v>
      </c>
      <c r="I1256" t="s">
        <v>120</v>
      </c>
    </row>
    <row r="1257" spans="1:9" x14ac:dyDescent="0.25">
      <c r="A1257" s="8" t="str">
        <f t="shared" si="57"/>
        <v>2008166.000</v>
      </c>
      <c r="B1257" s="9" t="str">
        <f t="shared" si="58"/>
        <v>3</v>
      </c>
      <c r="C1257" s="10">
        <f t="shared" si="59"/>
        <v>44076</v>
      </c>
      <c r="D1257">
        <v>2008166</v>
      </c>
      <c r="E1257">
        <v>0</v>
      </c>
      <c r="F1257" s="6">
        <v>44078</v>
      </c>
      <c r="G1257">
        <v>3</v>
      </c>
      <c r="H1257" t="s">
        <v>180</v>
      </c>
      <c r="I1257" t="s">
        <v>120</v>
      </c>
    </row>
    <row r="1258" spans="1:9" x14ac:dyDescent="0.25">
      <c r="A1258" s="8" t="str">
        <f t="shared" si="57"/>
        <v>2008166.0P0</v>
      </c>
      <c r="B1258" s="9" t="str">
        <f t="shared" si="58"/>
        <v>3</v>
      </c>
      <c r="C1258" s="10">
        <f t="shared" si="59"/>
        <v>44076</v>
      </c>
      <c r="D1258">
        <v>2008166</v>
      </c>
      <c r="E1258" t="s">
        <v>119</v>
      </c>
      <c r="F1258" s="6">
        <v>44078</v>
      </c>
      <c r="G1258">
        <v>3</v>
      </c>
      <c r="H1258" t="s">
        <v>180</v>
      </c>
      <c r="I1258" t="s">
        <v>120</v>
      </c>
    </row>
    <row r="1259" spans="1:9" x14ac:dyDescent="0.25">
      <c r="A1259" s="8" t="str">
        <f t="shared" si="57"/>
        <v>2008167.000</v>
      </c>
      <c r="B1259" s="9" t="str">
        <f t="shared" si="58"/>
        <v>2</v>
      </c>
      <c r="C1259" s="10">
        <f t="shared" si="59"/>
        <v>44103</v>
      </c>
      <c r="D1259">
        <v>2008167</v>
      </c>
      <c r="E1259">
        <v>0</v>
      </c>
      <c r="F1259" s="6">
        <v>44106</v>
      </c>
      <c r="G1259">
        <v>2</v>
      </c>
      <c r="H1259" t="s">
        <v>189</v>
      </c>
      <c r="I1259" t="s">
        <v>120</v>
      </c>
    </row>
    <row r="1260" spans="1:9" x14ac:dyDescent="0.25">
      <c r="A1260" s="8" t="str">
        <f t="shared" si="57"/>
        <v>2008167.C00</v>
      </c>
      <c r="B1260" s="9" t="str">
        <f t="shared" si="58"/>
        <v>2</v>
      </c>
      <c r="C1260" s="10">
        <f t="shared" si="59"/>
        <v>44103</v>
      </c>
      <c r="D1260">
        <v>2008167</v>
      </c>
      <c r="E1260" t="s">
        <v>147</v>
      </c>
      <c r="F1260" s="6">
        <v>44106</v>
      </c>
      <c r="G1260">
        <v>2</v>
      </c>
      <c r="H1260" t="s">
        <v>189</v>
      </c>
      <c r="I1260" t="s">
        <v>120</v>
      </c>
    </row>
    <row r="1261" spans="1:9" x14ac:dyDescent="0.25">
      <c r="A1261" s="8" t="str">
        <f t="shared" si="57"/>
        <v>2008167.CP0</v>
      </c>
      <c r="B1261" s="9" t="str">
        <f t="shared" si="58"/>
        <v>2</v>
      </c>
      <c r="C1261" s="10">
        <f t="shared" si="59"/>
        <v>44103</v>
      </c>
      <c r="D1261">
        <v>2008167</v>
      </c>
      <c r="E1261" t="s">
        <v>148</v>
      </c>
      <c r="F1261" s="6">
        <v>44106</v>
      </c>
      <c r="G1261">
        <v>2</v>
      </c>
      <c r="H1261" t="s">
        <v>189</v>
      </c>
      <c r="I1261" t="s">
        <v>120</v>
      </c>
    </row>
    <row r="1262" spans="1:9" x14ac:dyDescent="0.25">
      <c r="A1262" s="8" t="str">
        <f t="shared" si="57"/>
        <v>2008168.000</v>
      </c>
      <c r="B1262" s="9" t="str">
        <f t="shared" si="58"/>
        <v/>
      </c>
      <c r="C1262" s="10">
        <f t="shared" si="59"/>
        <v>44074</v>
      </c>
      <c r="D1262">
        <v>2008168</v>
      </c>
      <c r="E1262">
        <v>0</v>
      </c>
      <c r="F1262" s="6">
        <v>44078</v>
      </c>
      <c r="H1262" t="s">
        <v>180</v>
      </c>
      <c r="I1262" t="s">
        <v>120</v>
      </c>
    </row>
    <row r="1263" spans="1:9" x14ac:dyDescent="0.25">
      <c r="A1263" s="8" t="str">
        <f t="shared" si="57"/>
        <v>2008169.X00</v>
      </c>
      <c r="B1263" s="9" t="str">
        <f t="shared" si="58"/>
        <v/>
      </c>
      <c r="C1263" s="10">
        <f t="shared" si="59"/>
        <v>44074</v>
      </c>
      <c r="D1263">
        <v>2008169</v>
      </c>
      <c r="E1263" t="s">
        <v>225</v>
      </c>
      <c r="F1263" s="6">
        <v>44078</v>
      </c>
      <c r="H1263" t="s">
        <v>180</v>
      </c>
      <c r="I1263" t="s">
        <v>120</v>
      </c>
    </row>
    <row r="1264" spans="1:9" x14ac:dyDescent="0.25">
      <c r="A1264" s="8" t="str">
        <f t="shared" si="57"/>
        <v>2008172.000</v>
      </c>
      <c r="B1264" s="9" t="str">
        <f t="shared" si="58"/>
        <v/>
      </c>
      <c r="C1264" s="10">
        <f t="shared" si="59"/>
        <v>44095</v>
      </c>
      <c r="D1264">
        <v>2008172</v>
      </c>
      <c r="E1264">
        <v>0</v>
      </c>
      <c r="F1264" s="6">
        <v>44099</v>
      </c>
      <c r="H1264" t="s">
        <v>189</v>
      </c>
      <c r="I1264" t="s">
        <v>120</v>
      </c>
    </row>
    <row r="1265" spans="1:9" x14ac:dyDescent="0.25">
      <c r="A1265" s="8" t="str">
        <f t="shared" si="57"/>
        <v>2008173.TP1</v>
      </c>
      <c r="B1265" s="9" t="str">
        <f t="shared" si="58"/>
        <v/>
      </c>
      <c r="C1265" s="10">
        <f t="shared" si="59"/>
        <v>44102</v>
      </c>
      <c r="D1265">
        <v>2008173</v>
      </c>
      <c r="E1265" t="s">
        <v>209</v>
      </c>
      <c r="F1265" s="6">
        <v>44106</v>
      </c>
      <c r="H1265" t="s">
        <v>189</v>
      </c>
      <c r="I1265" t="s">
        <v>120</v>
      </c>
    </row>
    <row r="1266" spans="1:9" x14ac:dyDescent="0.25">
      <c r="A1266" s="8" t="str">
        <f t="shared" si="57"/>
        <v>2008173.UP2</v>
      </c>
      <c r="B1266" s="9" t="str">
        <f t="shared" si="58"/>
        <v/>
      </c>
      <c r="C1266" s="10">
        <f t="shared" si="59"/>
        <v>44102</v>
      </c>
      <c r="D1266">
        <v>2008173</v>
      </c>
      <c r="E1266" t="s">
        <v>160</v>
      </c>
      <c r="F1266" s="6">
        <v>44106</v>
      </c>
      <c r="H1266" t="s">
        <v>189</v>
      </c>
      <c r="I1266" t="s">
        <v>120</v>
      </c>
    </row>
    <row r="1267" spans="1:9" x14ac:dyDescent="0.25">
      <c r="A1267" s="8" t="str">
        <f t="shared" si="57"/>
        <v>2008174.000</v>
      </c>
      <c r="B1267" s="9" t="str">
        <f t="shared" si="58"/>
        <v/>
      </c>
      <c r="C1267" s="10">
        <f t="shared" si="59"/>
        <v>44074</v>
      </c>
      <c r="D1267">
        <v>2008174</v>
      </c>
      <c r="E1267">
        <v>0</v>
      </c>
      <c r="F1267" s="6">
        <v>44078</v>
      </c>
      <c r="H1267" t="s">
        <v>180</v>
      </c>
      <c r="I1267" t="s">
        <v>120</v>
      </c>
    </row>
    <row r="1268" spans="1:9" x14ac:dyDescent="0.25">
      <c r="A1268" s="8" t="str">
        <f t="shared" si="57"/>
        <v>2008175.000</v>
      </c>
      <c r="B1268" s="9" t="str">
        <f t="shared" si="58"/>
        <v/>
      </c>
      <c r="C1268" s="10">
        <f t="shared" si="59"/>
        <v>44074</v>
      </c>
      <c r="D1268">
        <v>2008175</v>
      </c>
      <c r="E1268">
        <v>0</v>
      </c>
      <c r="F1268" s="6">
        <v>44078</v>
      </c>
      <c r="H1268" t="s">
        <v>180</v>
      </c>
      <c r="I1268" t="s">
        <v>120</v>
      </c>
    </row>
    <row r="1269" spans="1:9" x14ac:dyDescent="0.25">
      <c r="A1269" s="8" t="str">
        <f t="shared" si="57"/>
        <v>2008176.000</v>
      </c>
      <c r="B1269" s="9" t="str">
        <f t="shared" si="58"/>
        <v>1</v>
      </c>
      <c r="C1269" s="10">
        <f t="shared" si="59"/>
        <v>44074</v>
      </c>
      <c r="D1269">
        <v>2008176</v>
      </c>
      <c r="E1269">
        <v>0</v>
      </c>
      <c r="F1269" s="6">
        <v>44078</v>
      </c>
      <c r="G1269">
        <v>1</v>
      </c>
      <c r="H1269" t="s">
        <v>180</v>
      </c>
      <c r="I1269" t="s">
        <v>120</v>
      </c>
    </row>
    <row r="1270" spans="1:9" x14ac:dyDescent="0.25">
      <c r="A1270" s="8" t="str">
        <f t="shared" si="57"/>
        <v>2008179.Y01</v>
      </c>
      <c r="B1270" s="9" t="str">
        <f t="shared" si="58"/>
        <v>1</v>
      </c>
      <c r="C1270" s="10">
        <f t="shared" si="59"/>
        <v>44088</v>
      </c>
      <c r="D1270">
        <v>2008179</v>
      </c>
      <c r="E1270" t="s">
        <v>132</v>
      </c>
      <c r="F1270" s="6">
        <v>44092</v>
      </c>
      <c r="G1270">
        <v>1</v>
      </c>
      <c r="H1270" t="s">
        <v>189</v>
      </c>
      <c r="I1270" t="s">
        <v>120</v>
      </c>
    </row>
    <row r="1271" spans="1:9" x14ac:dyDescent="0.25">
      <c r="A1271" s="8" t="str">
        <f t="shared" si="57"/>
        <v>2008181.H00</v>
      </c>
      <c r="B1271" s="9" t="str">
        <f t="shared" si="58"/>
        <v>4</v>
      </c>
      <c r="C1271" s="10">
        <f t="shared" si="59"/>
        <v>44098</v>
      </c>
      <c r="D1271">
        <v>2008181</v>
      </c>
      <c r="E1271" t="s">
        <v>122</v>
      </c>
      <c r="F1271" s="6">
        <v>44099</v>
      </c>
      <c r="G1271">
        <v>4</v>
      </c>
      <c r="H1271" t="s">
        <v>189</v>
      </c>
      <c r="I1271" t="s">
        <v>120</v>
      </c>
    </row>
    <row r="1272" spans="1:9" x14ac:dyDescent="0.25">
      <c r="A1272" s="8" t="str">
        <f t="shared" si="57"/>
        <v>2008181.X00</v>
      </c>
      <c r="B1272" s="9" t="str">
        <f t="shared" si="58"/>
        <v>4</v>
      </c>
      <c r="C1272" s="10">
        <f t="shared" si="59"/>
        <v>44098</v>
      </c>
      <c r="D1272">
        <v>2008181</v>
      </c>
      <c r="E1272" t="s">
        <v>225</v>
      </c>
      <c r="F1272" s="6">
        <v>44099</v>
      </c>
      <c r="G1272">
        <v>4</v>
      </c>
      <c r="H1272" t="s">
        <v>189</v>
      </c>
      <c r="I1272" t="s">
        <v>120</v>
      </c>
    </row>
    <row r="1273" spans="1:9" x14ac:dyDescent="0.25">
      <c r="A1273" s="8" t="str">
        <f t="shared" si="57"/>
        <v>2008182.H02</v>
      </c>
      <c r="B1273" s="9" t="str">
        <f t="shared" si="58"/>
        <v/>
      </c>
      <c r="C1273" s="10">
        <f t="shared" si="59"/>
        <v>44088</v>
      </c>
      <c r="D1273">
        <v>2008182</v>
      </c>
      <c r="E1273" t="s">
        <v>156</v>
      </c>
      <c r="F1273" s="6">
        <v>44092</v>
      </c>
      <c r="H1273" t="s">
        <v>189</v>
      </c>
      <c r="I1273" t="s">
        <v>120</v>
      </c>
    </row>
    <row r="1274" spans="1:9" x14ac:dyDescent="0.25">
      <c r="A1274" s="8" t="str">
        <f t="shared" si="57"/>
        <v>2008182.NML</v>
      </c>
      <c r="B1274" s="9" t="str">
        <f t="shared" si="58"/>
        <v/>
      </c>
      <c r="C1274" s="10">
        <f t="shared" si="59"/>
        <v>44088</v>
      </c>
      <c r="D1274">
        <v>2008182</v>
      </c>
      <c r="E1274" t="s">
        <v>162</v>
      </c>
      <c r="F1274" s="6">
        <v>44092</v>
      </c>
      <c r="H1274" t="s">
        <v>189</v>
      </c>
      <c r="I1274" t="s">
        <v>120</v>
      </c>
    </row>
    <row r="1275" spans="1:9" x14ac:dyDescent="0.25">
      <c r="A1275" s="8" t="str">
        <f t="shared" si="57"/>
        <v>2008184.0P0</v>
      </c>
      <c r="B1275" s="9" t="str">
        <f t="shared" si="58"/>
        <v/>
      </c>
      <c r="C1275" s="10">
        <f t="shared" si="59"/>
        <v>44081</v>
      </c>
      <c r="D1275">
        <v>2008184</v>
      </c>
      <c r="E1275" t="s">
        <v>119</v>
      </c>
      <c r="F1275" s="6">
        <v>44085</v>
      </c>
      <c r="H1275" t="s">
        <v>180</v>
      </c>
      <c r="I1275" t="s">
        <v>120</v>
      </c>
    </row>
    <row r="1276" spans="1:9" x14ac:dyDescent="0.25">
      <c r="A1276" s="8" t="str">
        <f t="shared" si="57"/>
        <v>2008185.000</v>
      </c>
      <c r="B1276" s="9" t="str">
        <f t="shared" si="58"/>
        <v/>
      </c>
      <c r="C1276" s="10">
        <f t="shared" si="59"/>
        <v>44074</v>
      </c>
      <c r="D1276">
        <v>2008185</v>
      </c>
      <c r="E1276">
        <v>0</v>
      </c>
      <c r="F1276" s="6">
        <v>44078</v>
      </c>
      <c r="H1276" t="s">
        <v>180</v>
      </c>
      <c r="I1276" t="s">
        <v>120</v>
      </c>
    </row>
    <row r="1277" spans="1:9" x14ac:dyDescent="0.25">
      <c r="A1277" s="8" t="str">
        <f t="shared" si="57"/>
        <v>2008186.U00</v>
      </c>
      <c r="B1277" s="9" t="str">
        <f t="shared" si="58"/>
        <v/>
      </c>
      <c r="C1277" s="10">
        <f t="shared" si="59"/>
        <v>44088</v>
      </c>
      <c r="D1277">
        <v>2008186</v>
      </c>
      <c r="E1277" t="s">
        <v>131</v>
      </c>
      <c r="F1277" s="6">
        <v>44092</v>
      </c>
      <c r="H1277" t="s">
        <v>191</v>
      </c>
      <c r="I1277" t="s">
        <v>120</v>
      </c>
    </row>
    <row r="1278" spans="1:9" x14ac:dyDescent="0.25">
      <c r="A1278" s="8" t="str">
        <f t="shared" si="57"/>
        <v>2008186.UPL</v>
      </c>
      <c r="B1278" s="9" t="str">
        <f t="shared" si="58"/>
        <v/>
      </c>
      <c r="C1278" s="10">
        <f t="shared" si="59"/>
        <v>44088</v>
      </c>
      <c r="D1278">
        <v>2008186</v>
      </c>
      <c r="E1278" t="s">
        <v>143</v>
      </c>
      <c r="F1278" s="6">
        <v>44092</v>
      </c>
      <c r="H1278" t="s">
        <v>191</v>
      </c>
      <c r="I1278" t="s">
        <v>120</v>
      </c>
    </row>
    <row r="1279" spans="1:9" x14ac:dyDescent="0.25">
      <c r="A1279" s="8" t="str">
        <f t="shared" si="57"/>
        <v>2008186.Y00</v>
      </c>
      <c r="B1279" s="9" t="str">
        <f t="shared" si="58"/>
        <v/>
      </c>
      <c r="C1279" s="10">
        <f t="shared" si="59"/>
        <v>44088</v>
      </c>
      <c r="D1279">
        <v>2008186</v>
      </c>
      <c r="E1279" t="s">
        <v>130</v>
      </c>
      <c r="F1279" s="6">
        <v>44092</v>
      </c>
      <c r="H1279" t="s">
        <v>191</v>
      </c>
      <c r="I1279" t="s">
        <v>120</v>
      </c>
    </row>
    <row r="1280" spans="1:9" x14ac:dyDescent="0.25">
      <c r="A1280" s="8" t="str">
        <f t="shared" si="57"/>
        <v>2008187.000</v>
      </c>
      <c r="B1280" s="9" t="str">
        <f t="shared" si="58"/>
        <v>3</v>
      </c>
      <c r="C1280" s="10">
        <f t="shared" si="59"/>
        <v>44090</v>
      </c>
      <c r="D1280">
        <v>2008187</v>
      </c>
      <c r="E1280">
        <v>0</v>
      </c>
      <c r="F1280" s="6">
        <v>44092</v>
      </c>
      <c r="G1280">
        <v>3</v>
      </c>
      <c r="H1280" t="s">
        <v>189</v>
      </c>
      <c r="I1280" t="s">
        <v>120</v>
      </c>
    </row>
    <row r="1281" spans="1:9" x14ac:dyDescent="0.25">
      <c r="A1281" s="8" t="str">
        <f t="shared" si="57"/>
        <v>2008187.Y00</v>
      </c>
      <c r="B1281" s="9" t="str">
        <f t="shared" si="58"/>
        <v>3</v>
      </c>
      <c r="C1281" s="10">
        <f t="shared" si="59"/>
        <v>44090</v>
      </c>
      <c r="D1281">
        <v>2008187</v>
      </c>
      <c r="E1281" t="s">
        <v>130</v>
      </c>
      <c r="F1281" s="6">
        <v>44092</v>
      </c>
      <c r="G1281">
        <v>3</v>
      </c>
      <c r="H1281" t="s">
        <v>189</v>
      </c>
      <c r="I1281" t="s">
        <v>120</v>
      </c>
    </row>
    <row r="1282" spans="1:9" x14ac:dyDescent="0.25">
      <c r="A1282" s="8" t="str">
        <f t="shared" ref="A1282:A1345" si="60">IF(D1282="","",IF(E1282=0,CONCATENATE(D1282,".",E1282,"00"),CONCATENATE(D1282,".",E1282)))</f>
        <v>2008188.000</v>
      </c>
      <c r="B1282" s="9" t="str">
        <f t="shared" ref="B1282:B1345" si="61">LEFT(G1282,1)</f>
        <v>3</v>
      </c>
      <c r="C1282" s="10">
        <f t="shared" ref="C1282:C1345" si="62">IF(F1282="","",IF(B1282="",F1282-4,IF(B1282="1",F1282-4,IF(B1282="2",F1282-3,IF(B1282="3",F1282-2,IF(B1282="4",F1282-1,IF(B1282="V",F1282-7,IF(B1282="J",F1282-8,F1282))))))))</f>
        <v>44076</v>
      </c>
      <c r="D1282">
        <v>2008188</v>
      </c>
      <c r="E1282">
        <v>0</v>
      </c>
      <c r="F1282" s="6">
        <v>44078</v>
      </c>
      <c r="G1282">
        <v>3</v>
      </c>
      <c r="H1282" t="s">
        <v>180</v>
      </c>
      <c r="I1282" t="s">
        <v>120</v>
      </c>
    </row>
    <row r="1283" spans="1:9" x14ac:dyDescent="0.25">
      <c r="A1283" s="8" t="str">
        <f t="shared" si="60"/>
        <v>2008192.Y00</v>
      </c>
      <c r="B1283" s="9" t="str">
        <f t="shared" si="61"/>
        <v>4</v>
      </c>
      <c r="C1283" s="10">
        <f t="shared" si="62"/>
        <v>44084</v>
      </c>
      <c r="D1283">
        <v>2008192</v>
      </c>
      <c r="E1283" t="s">
        <v>130</v>
      </c>
      <c r="F1283" s="6">
        <v>44085</v>
      </c>
      <c r="G1283">
        <v>41</v>
      </c>
      <c r="H1283" t="s">
        <v>189</v>
      </c>
      <c r="I1283" t="s">
        <v>120</v>
      </c>
    </row>
    <row r="1284" spans="1:9" x14ac:dyDescent="0.25">
      <c r="A1284" s="8" t="str">
        <f t="shared" si="60"/>
        <v>2008195.X00</v>
      </c>
      <c r="B1284" s="9" t="str">
        <f t="shared" si="61"/>
        <v/>
      </c>
      <c r="C1284" s="10">
        <f t="shared" si="62"/>
        <v>44074</v>
      </c>
      <c r="D1284">
        <v>2008195</v>
      </c>
      <c r="E1284" t="s">
        <v>225</v>
      </c>
      <c r="F1284" s="6">
        <v>44078</v>
      </c>
      <c r="H1284" t="s">
        <v>180</v>
      </c>
      <c r="I1284" t="s">
        <v>120</v>
      </c>
    </row>
    <row r="1285" spans="1:9" x14ac:dyDescent="0.25">
      <c r="A1285" s="8" t="str">
        <f t="shared" si="60"/>
        <v>2008197.0P0</v>
      </c>
      <c r="B1285" s="9" t="str">
        <f t="shared" si="61"/>
        <v>1</v>
      </c>
      <c r="C1285" s="10">
        <f t="shared" si="62"/>
        <v>44074</v>
      </c>
      <c r="D1285">
        <v>2008197</v>
      </c>
      <c r="E1285" t="s">
        <v>119</v>
      </c>
      <c r="F1285" s="6">
        <v>44078</v>
      </c>
      <c r="G1285">
        <v>1</v>
      </c>
      <c r="H1285" t="s">
        <v>180</v>
      </c>
      <c r="I1285" t="s">
        <v>120</v>
      </c>
    </row>
    <row r="1286" spans="1:9" x14ac:dyDescent="0.25">
      <c r="A1286" s="8" t="str">
        <f t="shared" si="60"/>
        <v>2008198.U01</v>
      </c>
      <c r="B1286" s="9" t="str">
        <f t="shared" si="61"/>
        <v/>
      </c>
      <c r="C1286" s="10">
        <f t="shared" si="62"/>
        <v>44074</v>
      </c>
      <c r="D1286">
        <v>2008198</v>
      </c>
      <c r="E1286" t="s">
        <v>150</v>
      </c>
      <c r="F1286" s="6">
        <v>44078</v>
      </c>
      <c r="H1286" t="s">
        <v>180</v>
      </c>
      <c r="I1286" t="s">
        <v>120</v>
      </c>
    </row>
    <row r="1287" spans="1:9" x14ac:dyDescent="0.25">
      <c r="A1287" s="8" t="str">
        <f t="shared" si="60"/>
        <v>2008198.Y01</v>
      </c>
      <c r="B1287" s="9" t="str">
        <f t="shared" si="61"/>
        <v/>
      </c>
      <c r="C1287" s="10">
        <f t="shared" si="62"/>
        <v>44074</v>
      </c>
      <c r="D1287">
        <v>2008198</v>
      </c>
      <c r="E1287" t="s">
        <v>132</v>
      </c>
      <c r="F1287" s="6">
        <v>44078</v>
      </c>
      <c r="H1287" t="s">
        <v>180</v>
      </c>
      <c r="I1287" t="s">
        <v>120</v>
      </c>
    </row>
    <row r="1288" spans="1:9" x14ac:dyDescent="0.25">
      <c r="A1288" s="8" t="str">
        <f t="shared" si="60"/>
        <v>2008199.000</v>
      </c>
      <c r="B1288" s="9" t="str">
        <f t="shared" si="61"/>
        <v>4</v>
      </c>
      <c r="C1288" s="10">
        <f t="shared" si="62"/>
        <v>44119</v>
      </c>
      <c r="D1288">
        <v>2008199</v>
      </c>
      <c r="E1288">
        <v>0</v>
      </c>
      <c r="F1288" s="6">
        <v>44120</v>
      </c>
      <c r="G1288">
        <v>4</v>
      </c>
      <c r="H1288" t="s">
        <v>189</v>
      </c>
      <c r="I1288" t="s">
        <v>120</v>
      </c>
    </row>
    <row r="1289" spans="1:9" x14ac:dyDescent="0.25">
      <c r="A1289" s="8" t="str">
        <f t="shared" si="60"/>
        <v>2008200.H02</v>
      </c>
      <c r="B1289" s="9" t="str">
        <f t="shared" si="61"/>
        <v/>
      </c>
      <c r="C1289" s="10">
        <f t="shared" si="62"/>
        <v>44081</v>
      </c>
      <c r="D1289">
        <v>2008200</v>
      </c>
      <c r="E1289" t="s">
        <v>156</v>
      </c>
      <c r="F1289" s="6">
        <v>44085</v>
      </c>
      <c r="H1289" t="s">
        <v>180</v>
      </c>
      <c r="I1289" t="s">
        <v>120</v>
      </c>
    </row>
    <row r="1290" spans="1:9" x14ac:dyDescent="0.25">
      <c r="A1290" s="8" t="str">
        <f t="shared" si="60"/>
        <v>2008201.000</v>
      </c>
      <c r="B1290" s="9" t="str">
        <f t="shared" si="61"/>
        <v>4</v>
      </c>
      <c r="C1290" s="10">
        <f t="shared" si="62"/>
        <v>44105</v>
      </c>
      <c r="D1290">
        <v>2008201</v>
      </c>
      <c r="E1290">
        <v>0</v>
      </c>
      <c r="F1290" s="6">
        <v>44106</v>
      </c>
      <c r="G1290">
        <v>4</v>
      </c>
      <c r="H1290" t="s">
        <v>189</v>
      </c>
      <c r="I1290" t="s">
        <v>120</v>
      </c>
    </row>
    <row r="1291" spans="1:9" x14ac:dyDescent="0.25">
      <c r="A1291" s="8" t="str">
        <f t="shared" si="60"/>
        <v>2008201.H00</v>
      </c>
      <c r="B1291" s="9" t="str">
        <f t="shared" si="61"/>
        <v>4</v>
      </c>
      <c r="C1291" s="10">
        <f t="shared" si="62"/>
        <v>44105</v>
      </c>
      <c r="D1291">
        <v>2008201</v>
      </c>
      <c r="E1291" t="s">
        <v>122</v>
      </c>
      <c r="F1291" s="6">
        <v>44106</v>
      </c>
      <c r="G1291">
        <v>4</v>
      </c>
      <c r="H1291" t="s">
        <v>189</v>
      </c>
      <c r="I1291" t="s">
        <v>120</v>
      </c>
    </row>
    <row r="1292" spans="1:9" x14ac:dyDescent="0.25">
      <c r="A1292" s="8" t="str">
        <f t="shared" si="60"/>
        <v>2008201.U00</v>
      </c>
      <c r="B1292" s="9" t="str">
        <f t="shared" si="61"/>
        <v>4</v>
      </c>
      <c r="C1292" s="10">
        <f t="shared" si="62"/>
        <v>44105</v>
      </c>
      <c r="D1292">
        <v>2008201</v>
      </c>
      <c r="E1292" t="s">
        <v>131</v>
      </c>
      <c r="F1292" s="6">
        <v>44106</v>
      </c>
      <c r="G1292">
        <v>4</v>
      </c>
      <c r="H1292" t="s">
        <v>189</v>
      </c>
      <c r="I1292" t="s">
        <v>120</v>
      </c>
    </row>
    <row r="1293" spans="1:9" x14ac:dyDescent="0.25">
      <c r="A1293" s="8" t="str">
        <f t="shared" si="60"/>
        <v>2008201.Y00</v>
      </c>
      <c r="B1293" s="9" t="str">
        <f t="shared" si="61"/>
        <v>4</v>
      </c>
      <c r="C1293" s="10">
        <f t="shared" si="62"/>
        <v>44105</v>
      </c>
      <c r="D1293">
        <v>2008201</v>
      </c>
      <c r="E1293" t="s">
        <v>130</v>
      </c>
      <c r="F1293" s="6">
        <v>44106</v>
      </c>
      <c r="G1293">
        <v>4</v>
      </c>
      <c r="H1293" t="s">
        <v>189</v>
      </c>
      <c r="I1293" t="s">
        <v>120</v>
      </c>
    </row>
    <row r="1294" spans="1:9" x14ac:dyDescent="0.25">
      <c r="A1294" s="8" t="str">
        <f t="shared" si="60"/>
        <v>2008202.XP0</v>
      </c>
      <c r="B1294" s="9" t="str">
        <f t="shared" si="61"/>
        <v>4</v>
      </c>
      <c r="C1294" s="10">
        <f t="shared" si="62"/>
        <v>44084</v>
      </c>
      <c r="D1294">
        <v>2008202</v>
      </c>
      <c r="E1294" t="s">
        <v>181</v>
      </c>
      <c r="F1294" s="6">
        <v>44085</v>
      </c>
      <c r="G1294">
        <v>4</v>
      </c>
      <c r="H1294" t="s">
        <v>180</v>
      </c>
      <c r="I1294" t="s">
        <v>120</v>
      </c>
    </row>
    <row r="1295" spans="1:9" x14ac:dyDescent="0.25">
      <c r="A1295" s="8" t="str">
        <f t="shared" si="60"/>
        <v>2008202.Y0D</v>
      </c>
      <c r="B1295" s="9" t="str">
        <f t="shared" si="61"/>
        <v>4</v>
      </c>
      <c r="C1295" s="10">
        <f t="shared" si="62"/>
        <v>44084</v>
      </c>
      <c r="D1295">
        <v>2008202</v>
      </c>
      <c r="E1295" t="s">
        <v>157</v>
      </c>
      <c r="F1295" s="6">
        <v>44085</v>
      </c>
      <c r="G1295">
        <v>4</v>
      </c>
      <c r="H1295" t="s">
        <v>189</v>
      </c>
      <c r="I1295" t="s">
        <v>120</v>
      </c>
    </row>
    <row r="1296" spans="1:9" x14ac:dyDescent="0.25">
      <c r="A1296" s="8" t="str">
        <f t="shared" si="60"/>
        <v>2008203.000</v>
      </c>
      <c r="B1296" s="9" t="str">
        <f t="shared" si="61"/>
        <v>4</v>
      </c>
      <c r="C1296" s="10">
        <f t="shared" si="62"/>
        <v>44119</v>
      </c>
      <c r="D1296">
        <v>2008203</v>
      </c>
      <c r="E1296">
        <v>0</v>
      </c>
      <c r="F1296" s="6">
        <v>44120</v>
      </c>
      <c r="G1296">
        <v>4</v>
      </c>
      <c r="H1296" t="s">
        <v>189</v>
      </c>
      <c r="I1296" t="s">
        <v>120</v>
      </c>
    </row>
    <row r="1297" spans="1:9" x14ac:dyDescent="0.25">
      <c r="A1297" s="8" t="str">
        <f t="shared" si="60"/>
        <v>2008203.H01</v>
      </c>
      <c r="B1297" s="9" t="str">
        <f t="shared" si="61"/>
        <v>4</v>
      </c>
      <c r="C1297" s="10">
        <f t="shared" si="62"/>
        <v>44119</v>
      </c>
      <c r="D1297">
        <v>2008203</v>
      </c>
      <c r="E1297" t="s">
        <v>145</v>
      </c>
      <c r="F1297" s="6">
        <v>44120</v>
      </c>
      <c r="G1297">
        <v>4</v>
      </c>
      <c r="H1297" t="s">
        <v>189</v>
      </c>
      <c r="I1297" t="s">
        <v>120</v>
      </c>
    </row>
    <row r="1298" spans="1:9" x14ac:dyDescent="0.25">
      <c r="A1298" s="8" t="str">
        <f t="shared" si="60"/>
        <v>2008203.ZP2</v>
      </c>
      <c r="B1298" s="9" t="str">
        <f t="shared" si="61"/>
        <v>4</v>
      </c>
      <c r="C1298" s="10">
        <f t="shared" si="62"/>
        <v>44119</v>
      </c>
      <c r="D1298">
        <v>2008203</v>
      </c>
      <c r="E1298" t="s">
        <v>151</v>
      </c>
      <c r="F1298" s="6">
        <v>44120</v>
      </c>
      <c r="G1298">
        <v>4</v>
      </c>
      <c r="H1298" t="s">
        <v>189</v>
      </c>
      <c r="I1298" t="s">
        <v>120</v>
      </c>
    </row>
    <row r="1299" spans="1:9" x14ac:dyDescent="0.25">
      <c r="A1299" s="8" t="str">
        <f t="shared" si="60"/>
        <v>2008204.Z02</v>
      </c>
      <c r="B1299" s="9" t="str">
        <f t="shared" si="61"/>
        <v>4</v>
      </c>
      <c r="C1299" s="10">
        <f t="shared" si="62"/>
        <v>44119</v>
      </c>
      <c r="D1299">
        <v>2008204</v>
      </c>
      <c r="E1299" t="s">
        <v>260</v>
      </c>
      <c r="F1299" s="6">
        <v>44120</v>
      </c>
      <c r="G1299">
        <v>4</v>
      </c>
      <c r="H1299" t="s">
        <v>189</v>
      </c>
      <c r="I1299" t="s">
        <v>120</v>
      </c>
    </row>
    <row r="1300" spans="1:9" x14ac:dyDescent="0.25">
      <c r="A1300" s="8" t="str">
        <f t="shared" si="60"/>
        <v>2008204.ZP2</v>
      </c>
      <c r="B1300" s="9" t="str">
        <f t="shared" si="61"/>
        <v>4</v>
      </c>
      <c r="C1300" s="10">
        <f t="shared" si="62"/>
        <v>44119</v>
      </c>
      <c r="D1300">
        <v>2008204</v>
      </c>
      <c r="E1300" t="s">
        <v>151</v>
      </c>
      <c r="F1300" s="6">
        <v>44120</v>
      </c>
      <c r="G1300">
        <v>4</v>
      </c>
      <c r="H1300" t="s">
        <v>189</v>
      </c>
      <c r="I1300" t="s">
        <v>120</v>
      </c>
    </row>
    <row r="1301" spans="1:9" x14ac:dyDescent="0.25">
      <c r="A1301" s="8" t="str">
        <f t="shared" si="60"/>
        <v>2008206.X00</v>
      </c>
      <c r="B1301" s="9" t="str">
        <f t="shared" si="61"/>
        <v/>
      </c>
      <c r="C1301" s="10">
        <f t="shared" si="62"/>
        <v>44081</v>
      </c>
      <c r="D1301">
        <v>2008206</v>
      </c>
      <c r="E1301" t="s">
        <v>225</v>
      </c>
      <c r="F1301" s="6">
        <v>44085</v>
      </c>
      <c r="H1301" t="s">
        <v>180</v>
      </c>
      <c r="I1301" t="s">
        <v>120</v>
      </c>
    </row>
    <row r="1302" spans="1:9" x14ac:dyDescent="0.25">
      <c r="A1302" s="8" t="str">
        <f t="shared" si="60"/>
        <v>2008207.N00</v>
      </c>
      <c r="B1302" s="9" t="str">
        <f t="shared" si="61"/>
        <v/>
      </c>
      <c r="C1302" s="10">
        <f t="shared" si="62"/>
        <v>44074</v>
      </c>
      <c r="D1302">
        <v>2008207</v>
      </c>
      <c r="E1302" t="s">
        <v>125</v>
      </c>
      <c r="F1302" s="6">
        <v>44078</v>
      </c>
      <c r="H1302" t="s">
        <v>194</v>
      </c>
      <c r="I1302" t="s">
        <v>120</v>
      </c>
    </row>
    <row r="1303" spans="1:9" x14ac:dyDescent="0.25">
      <c r="A1303" s="8" t="str">
        <f t="shared" si="60"/>
        <v>2008209.NM0</v>
      </c>
      <c r="B1303" s="9" t="str">
        <f t="shared" si="61"/>
        <v/>
      </c>
      <c r="C1303" s="10">
        <f t="shared" si="62"/>
        <v>44039</v>
      </c>
      <c r="D1303">
        <v>2008209</v>
      </c>
      <c r="E1303" t="s">
        <v>154</v>
      </c>
      <c r="F1303" s="6">
        <v>44043</v>
      </c>
      <c r="H1303" t="s">
        <v>191</v>
      </c>
      <c r="I1303" t="s">
        <v>120</v>
      </c>
    </row>
    <row r="1304" spans="1:9" x14ac:dyDescent="0.25">
      <c r="A1304" s="8" t="str">
        <f t="shared" si="60"/>
        <v>2008211.0P0</v>
      </c>
      <c r="B1304" s="9" t="str">
        <f t="shared" si="61"/>
        <v/>
      </c>
      <c r="C1304" s="10">
        <f t="shared" si="62"/>
        <v>44081</v>
      </c>
      <c r="D1304">
        <v>2008211</v>
      </c>
      <c r="E1304" t="s">
        <v>119</v>
      </c>
      <c r="F1304" s="6">
        <v>44085</v>
      </c>
      <c r="H1304" t="s">
        <v>180</v>
      </c>
      <c r="I1304" t="s">
        <v>120</v>
      </c>
    </row>
    <row r="1305" spans="1:9" x14ac:dyDescent="0.25">
      <c r="A1305" s="8" t="str">
        <f t="shared" si="60"/>
        <v>2008212.TP0</v>
      </c>
      <c r="B1305" s="9" t="str">
        <f t="shared" si="61"/>
        <v>4</v>
      </c>
      <c r="C1305" s="10">
        <f t="shared" si="62"/>
        <v>44105</v>
      </c>
      <c r="D1305">
        <v>2008212</v>
      </c>
      <c r="E1305" t="s">
        <v>184</v>
      </c>
      <c r="F1305" s="6">
        <v>44106</v>
      </c>
      <c r="G1305">
        <v>4</v>
      </c>
      <c r="H1305" t="s">
        <v>189</v>
      </c>
      <c r="I1305" t="s">
        <v>120</v>
      </c>
    </row>
    <row r="1306" spans="1:9" x14ac:dyDescent="0.25">
      <c r="A1306" s="8" t="str">
        <f t="shared" si="60"/>
        <v>2008213.U00</v>
      </c>
      <c r="B1306" s="9" t="str">
        <f t="shared" si="61"/>
        <v/>
      </c>
      <c r="C1306" s="10">
        <f t="shared" si="62"/>
        <v>44088</v>
      </c>
      <c r="D1306">
        <v>2008213</v>
      </c>
      <c r="E1306" t="s">
        <v>131</v>
      </c>
      <c r="F1306" s="6">
        <v>44092</v>
      </c>
      <c r="H1306" t="s">
        <v>189</v>
      </c>
      <c r="I1306" t="s">
        <v>120</v>
      </c>
    </row>
    <row r="1307" spans="1:9" x14ac:dyDescent="0.25">
      <c r="A1307" s="8" t="str">
        <f t="shared" si="60"/>
        <v>2008214.000</v>
      </c>
      <c r="B1307" s="9" t="str">
        <f t="shared" si="61"/>
        <v>4</v>
      </c>
      <c r="C1307" s="10">
        <f t="shared" si="62"/>
        <v>44077</v>
      </c>
      <c r="D1307">
        <v>2008214</v>
      </c>
      <c r="E1307">
        <v>0</v>
      </c>
      <c r="F1307" s="6">
        <v>44078</v>
      </c>
      <c r="G1307">
        <v>4</v>
      </c>
      <c r="H1307" t="s">
        <v>180</v>
      </c>
      <c r="I1307" t="s">
        <v>120</v>
      </c>
    </row>
    <row r="1308" spans="1:9" x14ac:dyDescent="0.25">
      <c r="A1308" s="8" t="str">
        <f t="shared" si="60"/>
        <v>2008215.HPL</v>
      </c>
      <c r="B1308" s="9" t="str">
        <f t="shared" si="61"/>
        <v/>
      </c>
      <c r="C1308" s="10">
        <f t="shared" si="62"/>
        <v>44081</v>
      </c>
      <c r="D1308">
        <v>2008215</v>
      </c>
      <c r="E1308" t="s">
        <v>128</v>
      </c>
      <c r="F1308" s="6">
        <v>44085</v>
      </c>
      <c r="H1308" t="s">
        <v>180</v>
      </c>
      <c r="I1308" t="s">
        <v>120</v>
      </c>
    </row>
    <row r="1309" spans="1:9" x14ac:dyDescent="0.25">
      <c r="A1309" s="8" t="str">
        <f t="shared" si="60"/>
        <v>2008216.0P0</v>
      </c>
      <c r="B1309" s="9" t="str">
        <f t="shared" si="61"/>
        <v/>
      </c>
      <c r="C1309" s="10">
        <f t="shared" si="62"/>
        <v>44081</v>
      </c>
      <c r="D1309">
        <v>2008216</v>
      </c>
      <c r="E1309" t="s">
        <v>119</v>
      </c>
      <c r="F1309" s="6">
        <v>44085</v>
      </c>
      <c r="H1309" t="s">
        <v>191</v>
      </c>
      <c r="I1309" t="s">
        <v>120</v>
      </c>
    </row>
    <row r="1310" spans="1:9" x14ac:dyDescent="0.25">
      <c r="A1310" s="8" t="str">
        <f t="shared" si="60"/>
        <v>2008216.HPL</v>
      </c>
      <c r="B1310" s="9" t="str">
        <f t="shared" si="61"/>
        <v/>
      </c>
      <c r="C1310" s="10">
        <f t="shared" si="62"/>
        <v>44081</v>
      </c>
      <c r="D1310">
        <v>2008216</v>
      </c>
      <c r="E1310" t="s">
        <v>128</v>
      </c>
      <c r="F1310" s="6">
        <v>44085</v>
      </c>
      <c r="H1310" t="s">
        <v>191</v>
      </c>
      <c r="I1310" t="s">
        <v>120</v>
      </c>
    </row>
    <row r="1311" spans="1:9" x14ac:dyDescent="0.25">
      <c r="A1311" s="8" t="str">
        <f t="shared" si="60"/>
        <v>2008218.U00</v>
      </c>
      <c r="B1311" s="9" t="str">
        <f t="shared" si="61"/>
        <v/>
      </c>
      <c r="C1311" s="10">
        <f t="shared" si="62"/>
        <v>44088</v>
      </c>
      <c r="D1311">
        <v>2008218</v>
      </c>
      <c r="E1311" t="s">
        <v>131</v>
      </c>
      <c r="F1311" s="6">
        <v>44092</v>
      </c>
      <c r="H1311" t="s">
        <v>189</v>
      </c>
      <c r="I1311" t="s">
        <v>120</v>
      </c>
    </row>
    <row r="1312" spans="1:9" x14ac:dyDescent="0.25">
      <c r="A1312" s="8" t="str">
        <f t="shared" si="60"/>
        <v>2008218.UP0</v>
      </c>
      <c r="B1312" s="9" t="str">
        <f t="shared" si="61"/>
        <v/>
      </c>
      <c r="C1312" s="10">
        <f t="shared" si="62"/>
        <v>44088</v>
      </c>
      <c r="D1312">
        <v>2008218</v>
      </c>
      <c r="E1312" t="s">
        <v>136</v>
      </c>
      <c r="F1312" s="6">
        <v>44092</v>
      </c>
      <c r="H1312" t="s">
        <v>189</v>
      </c>
      <c r="I1312" t="s">
        <v>120</v>
      </c>
    </row>
    <row r="1313" spans="1:9" x14ac:dyDescent="0.25">
      <c r="A1313" s="8" t="str">
        <f t="shared" si="60"/>
        <v>2008219.000</v>
      </c>
      <c r="B1313" s="9" t="str">
        <f t="shared" si="61"/>
        <v/>
      </c>
      <c r="C1313" s="10">
        <f t="shared" si="62"/>
        <v>44102</v>
      </c>
      <c r="D1313">
        <v>2008219</v>
      </c>
      <c r="E1313">
        <v>0</v>
      </c>
      <c r="F1313" s="6">
        <v>44106</v>
      </c>
      <c r="H1313" t="s">
        <v>189</v>
      </c>
      <c r="I1313" t="s">
        <v>120</v>
      </c>
    </row>
    <row r="1314" spans="1:9" x14ac:dyDescent="0.25">
      <c r="A1314" s="8" t="str">
        <f t="shared" si="60"/>
        <v>2008219.C00</v>
      </c>
      <c r="B1314" s="9" t="str">
        <f t="shared" si="61"/>
        <v/>
      </c>
      <c r="C1314" s="10">
        <f t="shared" si="62"/>
        <v>44102</v>
      </c>
      <c r="D1314">
        <v>2008219</v>
      </c>
      <c r="E1314" t="s">
        <v>147</v>
      </c>
      <c r="F1314" s="6">
        <v>44106</v>
      </c>
      <c r="H1314" t="s">
        <v>189</v>
      </c>
      <c r="I1314" t="s">
        <v>120</v>
      </c>
    </row>
    <row r="1315" spans="1:9" x14ac:dyDescent="0.25">
      <c r="A1315" s="8" t="str">
        <f t="shared" si="60"/>
        <v>2008220.000</v>
      </c>
      <c r="B1315" s="9" t="str">
        <f t="shared" si="61"/>
        <v/>
      </c>
      <c r="C1315" s="10">
        <f t="shared" si="62"/>
        <v>44095</v>
      </c>
      <c r="D1315">
        <v>2008220</v>
      </c>
      <c r="E1315">
        <v>0</v>
      </c>
      <c r="F1315" s="6">
        <v>44099</v>
      </c>
      <c r="H1315" t="s">
        <v>189</v>
      </c>
      <c r="I1315" t="s">
        <v>120</v>
      </c>
    </row>
    <row r="1316" spans="1:9" x14ac:dyDescent="0.25">
      <c r="A1316" s="8" t="str">
        <f t="shared" si="60"/>
        <v>2008220.ZP2</v>
      </c>
      <c r="B1316" s="9" t="str">
        <f t="shared" si="61"/>
        <v/>
      </c>
      <c r="C1316" s="10">
        <f t="shared" si="62"/>
        <v>44095</v>
      </c>
      <c r="D1316">
        <v>2008220</v>
      </c>
      <c r="E1316" t="s">
        <v>151</v>
      </c>
      <c r="F1316" s="6">
        <v>44099</v>
      </c>
      <c r="H1316" t="s">
        <v>189</v>
      </c>
      <c r="I1316" t="s">
        <v>120</v>
      </c>
    </row>
    <row r="1317" spans="1:9" x14ac:dyDescent="0.25">
      <c r="A1317" s="8" t="str">
        <f t="shared" si="60"/>
        <v>2008221.0P0</v>
      </c>
      <c r="B1317" s="9" t="str">
        <f t="shared" si="61"/>
        <v/>
      </c>
      <c r="C1317" s="10">
        <f t="shared" si="62"/>
        <v>44088</v>
      </c>
      <c r="D1317">
        <v>2008221</v>
      </c>
      <c r="E1317" t="s">
        <v>119</v>
      </c>
      <c r="F1317" s="6">
        <v>44092</v>
      </c>
      <c r="H1317" t="s">
        <v>180</v>
      </c>
      <c r="I1317" t="s">
        <v>120</v>
      </c>
    </row>
    <row r="1318" spans="1:9" x14ac:dyDescent="0.25">
      <c r="A1318" s="8" t="str">
        <f t="shared" si="60"/>
        <v>2008222.0P0</v>
      </c>
      <c r="B1318" s="9" t="str">
        <f t="shared" si="61"/>
        <v/>
      </c>
      <c r="C1318" s="10">
        <f t="shared" si="62"/>
        <v>44088</v>
      </c>
      <c r="D1318">
        <v>2008222</v>
      </c>
      <c r="E1318" t="s">
        <v>119</v>
      </c>
      <c r="F1318" s="6">
        <v>44092</v>
      </c>
      <c r="H1318" t="s">
        <v>189</v>
      </c>
      <c r="I1318" t="s">
        <v>120</v>
      </c>
    </row>
    <row r="1319" spans="1:9" x14ac:dyDescent="0.25">
      <c r="A1319" s="8" t="str">
        <f t="shared" si="60"/>
        <v>2008223.H01</v>
      </c>
      <c r="B1319" s="9" t="str">
        <f t="shared" si="61"/>
        <v/>
      </c>
      <c r="C1319" s="10">
        <f t="shared" si="62"/>
        <v>44095</v>
      </c>
      <c r="D1319">
        <v>2008223</v>
      </c>
      <c r="E1319" t="s">
        <v>145</v>
      </c>
      <c r="F1319" s="6">
        <v>44099</v>
      </c>
      <c r="H1319" t="s">
        <v>189</v>
      </c>
      <c r="I1319" t="s">
        <v>120</v>
      </c>
    </row>
    <row r="1320" spans="1:9" x14ac:dyDescent="0.25">
      <c r="A1320" s="8" t="str">
        <f t="shared" si="60"/>
        <v>2008225.000</v>
      </c>
      <c r="B1320" s="9" t="str">
        <f t="shared" si="61"/>
        <v/>
      </c>
      <c r="C1320" s="10">
        <f t="shared" si="62"/>
        <v>44088</v>
      </c>
      <c r="D1320">
        <v>2008225</v>
      </c>
      <c r="E1320">
        <v>0</v>
      </c>
      <c r="F1320" s="6">
        <v>44092</v>
      </c>
      <c r="H1320" t="s">
        <v>189</v>
      </c>
      <c r="I1320" t="s">
        <v>120</v>
      </c>
    </row>
    <row r="1321" spans="1:9" x14ac:dyDescent="0.25">
      <c r="A1321" s="8" t="str">
        <f t="shared" si="60"/>
        <v>2008226.000</v>
      </c>
      <c r="B1321" s="9" t="str">
        <f t="shared" si="61"/>
        <v>1</v>
      </c>
      <c r="C1321" s="10">
        <f t="shared" si="62"/>
        <v>44074</v>
      </c>
      <c r="D1321">
        <v>2008226</v>
      </c>
      <c r="E1321">
        <v>0</v>
      </c>
      <c r="F1321" s="6">
        <v>44078</v>
      </c>
      <c r="G1321">
        <v>1</v>
      </c>
      <c r="H1321" t="s">
        <v>188</v>
      </c>
      <c r="I1321" t="s">
        <v>120</v>
      </c>
    </row>
    <row r="1322" spans="1:9" x14ac:dyDescent="0.25">
      <c r="A1322" s="8" t="str">
        <f t="shared" si="60"/>
        <v>2008226.0P0</v>
      </c>
      <c r="B1322" s="9" t="str">
        <f t="shared" si="61"/>
        <v>1</v>
      </c>
      <c r="C1322" s="10">
        <f t="shared" si="62"/>
        <v>44074</v>
      </c>
      <c r="D1322">
        <v>2008226</v>
      </c>
      <c r="E1322" t="s">
        <v>119</v>
      </c>
      <c r="F1322" s="6">
        <v>44078</v>
      </c>
      <c r="G1322">
        <v>1</v>
      </c>
      <c r="H1322" t="s">
        <v>188</v>
      </c>
      <c r="I1322" t="s">
        <v>120</v>
      </c>
    </row>
    <row r="1323" spans="1:9" x14ac:dyDescent="0.25">
      <c r="A1323" s="8" t="str">
        <f t="shared" si="60"/>
        <v>2008227.X00</v>
      </c>
      <c r="B1323" s="9" t="str">
        <f t="shared" si="61"/>
        <v/>
      </c>
      <c r="C1323" s="10">
        <f t="shared" si="62"/>
        <v>44081</v>
      </c>
      <c r="D1323">
        <v>2008227</v>
      </c>
      <c r="E1323" t="s">
        <v>225</v>
      </c>
      <c r="F1323" s="6">
        <v>44085</v>
      </c>
      <c r="H1323" t="s">
        <v>180</v>
      </c>
      <c r="I1323" t="s">
        <v>120</v>
      </c>
    </row>
    <row r="1324" spans="1:9" x14ac:dyDescent="0.25">
      <c r="A1324" s="8" t="str">
        <f t="shared" si="60"/>
        <v>2008227.XP0</v>
      </c>
      <c r="B1324" s="9" t="str">
        <f t="shared" si="61"/>
        <v/>
      </c>
      <c r="C1324" s="10">
        <f t="shared" si="62"/>
        <v>44081</v>
      </c>
      <c r="D1324">
        <v>2008227</v>
      </c>
      <c r="E1324" t="s">
        <v>181</v>
      </c>
      <c r="F1324" s="6">
        <v>44085</v>
      </c>
      <c r="H1324" t="s">
        <v>180</v>
      </c>
      <c r="I1324" t="s">
        <v>120</v>
      </c>
    </row>
    <row r="1325" spans="1:9" x14ac:dyDescent="0.25">
      <c r="A1325" s="8" t="str">
        <f t="shared" si="60"/>
        <v>2008228.000</v>
      </c>
      <c r="B1325" s="9" t="str">
        <f t="shared" si="61"/>
        <v>4</v>
      </c>
      <c r="C1325" s="10">
        <f t="shared" si="62"/>
        <v>44091</v>
      </c>
      <c r="D1325">
        <v>2008228</v>
      </c>
      <c r="E1325">
        <v>0</v>
      </c>
      <c r="F1325" s="6">
        <v>44092</v>
      </c>
      <c r="G1325">
        <v>4</v>
      </c>
      <c r="H1325" t="s">
        <v>189</v>
      </c>
      <c r="I1325" t="s">
        <v>120</v>
      </c>
    </row>
    <row r="1326" spans="1:9" x14ac:dyDescent="0.25">
      <c r="A1326" s="8" t="str">
        <f t="shared" si="60"/>
        <v>2008228.0P0</v>
      </c>
      <c r="B1326" s="9" t="str">
        <f t="shared" si="61"/>
        <v>4</v>
      </c>
      <c r="C1326" s="10">
        <f t="shared" si="62"/>
        <v>44091</v>
      </c>
      <c r="D1326">
        <v>2008228</v>
      </c>
      <c r="E1326" t="s">
        <v>119</v>
      </c>
      <c r="F1326" s="6">
        <v>44092</v>
      </c>
      <c r="G1326">
        <v>4</v>
      </c>
      <c r="H1326" t="s">
        <v>189</v>
      </c>
      <c r="I1326" t="s">
        <v>120</v>
      </c>
    </row>
    <row r="1327" spans="1:9" x14ac:dyDescent="0.25">
      <c r="A1327" s="8" t="str">
        <f t="shared" si="60"/>
        <v>2008229.Z00</v>
      </c>
      <c r="B1327" s="9" t="str">
        <f t="shared" si="61"/>
        <v/>
      </c>
      <c r="C1327" s="10">
        <f t="shared" si="62"/>
        <v>44088</v>
      </c>
      <c r="D1327">
        <v>2008229</v>
      </c>
      <c r="E1327" t="s">
        <v>158</v>
      </c>
      <c r="F1327" s="6">
        <v>44092</v>
      </c>
      <c r="H1327" t="s">
        <v>191</v>
      </c>
      <c r="I1327" t="s">
        <v>120</v>
      </c>
    </row>
    <row r="1328" spans="1:9" x14ac:dyDescent="0.25">
      <c r="A1328" s="8" t="str">
        <f t="shared" si="60"/>
        <v>2008230.000</v>
      </c>
      <c r="B1328" s="9" t="str">
        <f t="shared" si="61"/>
        <v>4</v>
      </c>
      <c r="C1328" s="10">
        <f t="shared" si="62"/>
        <v>44091</v>
      </c>
      <c r="D1328">
        <v>2008230</v>
      </c>
      <c r="E1328">
        <v>0</v>
      </c>
      <c r="F1328" s="6">
        <v>44092</v>
      </c>
      <c r="G1328">
        <v>4</v>
      </c>
      <c r="H1328" t="s">
        <v>189</v>
      </c>
      <c r="I1328" t="s">
        <v>120</v>
      </c>
    </row>
    <row r="1329" spans="1:9" x14ac:dyDescent="0.25">
      <c r="A1329" s="8" t="str">
        <f t="shared" si="60"/>
        <v>2008230.Y00</v>
      </c>
      <c r="B1329" s="9" t="str">
        <f t="shared" si="61"/>
        <v>4</v>
      </c>
      <c r="C1329" s="10">
        <f t="shared" si="62"/>
        <v>44091</v>
      </c>
      <c r="D1329">
        <v>2008230</v>
      </c>
      <c r="E1329" t="s">
        <v>130</v>
      </c>
      <c r="F1329" s="6">
        <v>44092</v>
      </c>
      <c r="G1329">
        <v>4</v>
      </c>
      <c r="H1329" t="s">
        <v>189</v>
      </c>
      <c r="I1329" t="s">
        <v>120</v>
      </c>
    </row>
    <row r="1330" spans="1:9" x14ac:dyDescent="0.25">
      <c r="A1330" s="8" t="str">
        <f t="shared" si="60"/>
        <v>2008232.NI0</v>
      </c>
      <c r="B1330" s="9" t="str">
        <f t="shared" si="61"/>
        <v/>
      </c>
      <c r="C1330" s="10">
        <f t="shared" si="62"/>
        <v>44039</v>
      </c>
      <c r="D1330">
        <v>2008232</v>
      </c>
      <c r="E1330" t="s">
        <v>185</v>
      </c>
      <c r="F1330" s="6">
        <v>44043</v>
      </c>
      <c r="H1330" t="s">
        <v>191</v>
      </c>
      <c r="I1330" t="s">
        <v>120</v>
      </c>
    </row>
    <row r="1331" spans="1:9" x14ac:dyDescent="0.25">
      <c r="A1331" s="8" t="str">
        <f t="shared" si="60"/>
        <v>2008233.H00</v>
      </c>
      <c r="B1331" s="9" t="str">
        <f t="shared" si="61"/>
        <v/>
      </c>
      <c r="C1331" s="10">
        <f t="shared" si="62"/>
        <v>44088</v>
      </c>
      <c r="D1331">
        <v>2008233</v>
      </c>
      <c r="E1331" t="s">
        <v>122</v>
      </c>
      <c r="F1331" s="6">
        <v>44092</v>
      </c>
      <c r="H1331" t="s">
        <v>189</v>
      </c>
      <c r="I1331" t="s">
        <v>120</v>
      </c>
    </row>
    <row r="1332" spans="1:9" x14ac:dyDescent="0.25">
      <c r="A1332" s="8" t="str">
        <f t="shared" si="60"/>
        <v>2008234.X00</v>
      </c>
      <c r="B1332" s="9" t="str">
        <f t="shared" si="61"/>
        <v/>
      </c>
      <c r="C1332" s="10">
        <f t="shared" si="62"/>
        <v>44074</v>
      </c>
      <c r="D1332">
        <v>2008234</v>
      </c>
      <c r="E1332" t="s">
        <v>225</v>
      </c>
      <c r="F1332" s="6">
        <v>44078</v>
      </c>
      <c r="H1332" t="s">
        <v>180</v>
      </c>
      <c r="I1332" t="s">
        <v>120</v>
      </c>
    </row>
    <row r="1333" spans="1:9" x14ac:dyDescent="0.25">
      <c r="A1333" s="8" t="str">
        <f t="shared" si="60"/>
        <v>2008234.XP0</v>
      </c>
      <c r="B1333" s="9" t="str">
        <f t="shared" si="61"/>
        <v/>
      </c>
      <c r="C1333" s="10">
        <f t="shared" si="62"/>
        <v>44074</v>
      </c>
      <c r="D1333">
        <v>2008234</v>
      </c>
      <c r="E1333" t="s">
        <v>181</v>
      </c>
      <c r="F1333" s="6">
        <v>44078</v>
      </c>
      <c r="H1333" t="s">
        <v>180</v>
      </c>
      <c r="I1333" t="s">
        <v>120</v>
      </c>
    </row>
    <row r="1334" spans="1:9" x14ac:dyDescent="0.25">
      <c r="A1334" s="8" t="str">
        <f t="shared" si="60"/>
        <v>2008235.000</v>
      </c>
      <c r="B1334" s="9" t="str">
        <f t="shared" si="61"/>
        <v/>
      </c>
      <c r="C1334" s="10">
        <f t="shared" si="62"/>
        <v>44074</v>
      </c>
      <c r="D1334">
        <v>2008235</v>
      </c>
      <c r="E1334">
        <v>0</v>
      </c>
      <c r="F1334" s="6">
        <v>44078</v>
      </c>
      <c r="H1334" t="s">
        <v>180</v>
      </c>
      <c r="I1334" t="s">
        <v>120</v>
      </c>
    </row>
    <row r="1335" spans="1:9" x14ac:dyDescent="0.25">
      <c r="A1335" s="8" t="str">
        <f t="shared" si="60"/>
        <v>2008236.000</v>
      </c>
      <c r="B1335" s="9" t="str">
        <f t="shared" si="61"/>
        <v/>
      </c>
      <c r="C1335" s="10">
        <f t="shared" si="62"/>
        <v>44081</v>
      </c>
      <c r="D1335">
        <v>2008236</v>
      </c>
      <c r="E1335">
        <v>0</v>
      </c>
      <c r="F1335" s="6">
        <v>44085</v>
      </c>
      <c r="H1335" t="s">
        <v>266</v>
      </c>
      <c r="I1335" t="s">
        <v>120</v>
      </c>
    </row>
    <row r="1336" spans="1:9" x14ac:dyDescent="0.25">
      <c r="A1336" s="8" t="str">
        <f t="shared" si="60"/>
        <v>2008237.NM0</v>
      </c>
      <c r="B1336" s="9" t="str">
        <f t="shared" si="61"/>
        <v/>
      </c>
      <c r="C1336" s="10">
        <f t="shared" si="62"/>
        <v>44074</v>
      </c>
      <c r="D1336">
        <v>2008237</v>
      </c>
      <c r="E1336" t="s">
        <v>154</v>
      </c>
      <c r="F1336" s="6">
        <v>44078</v>
      </c>
      <c r="H1336" t="s">
        <v>189</v>
      </c>
      <c r="I1336" t="s">
        <v>120</v>
      </c>
    </row>
    <row r="1337" spans="1:9" x14ac:dyDescent="0.25">
      <c r="A1337" s="8" t="str">
        <f t="shared" si="60"/>
        <v>2008238.HPL</v>
      </c>
      <c r="B1337" s="9" t="str">
        <f t="shared" si="61"/>
        <v/>
      </c>
      <c r="C1337" s="10">
        <f t="shared" si="62"/>
        <v>44088</v>
      </c>
      <c r="D1337">
        <v>2008238</v>
      </c>
      <c r="E1337" t="s">
        <v>128</v>
      </c>
      <c r="F1337" s="6">
        <v>44092</v>
      </c>
      <c r="H1337" t="s">
        <v>191</v>
      </c>
      <c r="I1337" t="s">
        <v>120</v>
      </c>
    </row>
    <row r="1338" spans="1:9" x14ac:dyDescent="0.25">
      <c r="A1338" s="8" t="str">
        <f t="shared" si="60"/>
        <v>2008239.000</v>
      </c>
      <c r="B1338" s="9" t="str">
        <f t="shared" si="61"/>
        <v/>
      </c>
      <c r="C1338" s="10">
        <f t="shared" si="62"/>
        <v>44074</v>
      </c>
      <c r="D1338">
        <v>2008239</v>
      </c>
      <c r="E1338">
        <v>0</v>
      </c>
      <c r="F1338" s="6">
        <v>44078</v>
      </c>
      <c r="H1338" t="s">
        <v>180</v>
      </c>
      <c r="I1338" t="s">
        <v>120</v>
      </c>
    </row>
    <row r="1339" spans="1:9" x14ac:dyDescent="0.25">
      <c r="A1339" s="8" t="str">
        <f t="shared" si="60"/>
        <v>2008243.H02</v>
      </c>
      <c r="B1339" s="9" t="str">
        <f t="shared" si="61"/>
        <v/>
      </c>
      <c r="C1339" s="10">
        <f t="shared" si="62"/>
        <v>44088</v>
      </c>
      <c r="D1339">
        <v>2008243</v>
      </c>
      <c r="E1339" t="s">
        <v>156</v>
      </c>
      <c r="F1339" s="6">
        <v>44092</v>
      </c>
      <c r="H1339" t="s">
        <v>189</v>
      </c>
      <c r="I1339" t="s">
        <v>120</v>
      </c>
    </row>
    <row r="1340" spans="1:9" x14ac:dyDescent="0.25">
      <c r="A1340" s="8" t="str">
        <f t="shared" si="60"/>
        <v>2008243.HP2</v>
      </c>
      <c r="B1340" s="9" t="str">
        <f t="shared" si="61"/>
        <v/>
      </c>
      <c r="C1340" s="10">
        <f t="shared" si="62"/>
        <v>44088</v>
      </c>
      <c r="D1340">
        <v>2008243</v>
      </c>
      <c r="E1340" t="s">
        <v>138</v>
      </c>
      <c r="F1340" s="6">
        <v>44092</v>
      </c>
      <c r="H1340" t="s">
        <v>180</v>
      </c>
      <c r="I1340" t="s">
        <v>120</v>
      </c>
    </row>
    <row r="1341" spans="1:9" x14ac:dyDescent="0.25">
      <c r="A1341" s="8" t="str">
        <f t="shared" si="60"/>
        <v>2008244.000</v>
      </c>
      <c r="B1341" s="9" t="str">
        <f t="shared" si="61"/>
        <v/>
      </c>
      <c r="C1341" s="10">
        <f t="shared" si="62"/>
        <v>44088</v>
      </c>
      <c r="D1341">
        <v>2008244</v>
      </c>
      <c r="E1341">
        <v>0</v>
      </c>
      <c r="F1341" s="6">
        <v>44092</v>
      </c>
      <c r="H1341" t="s">
        <v>189</v>
      </c>
      <c r="I1341" t="s">
        <v>120</v>
      </c>
    </row>
    <row r="1342" spans="1:9" x14ac:dyDescent="0.25">
      <c r="A1342" s="8" t="str">
        <f t="shared" si="60"/>
        <v>2008244.Y00</v>
      </c>
      <c r="B1342" s="9" t="str">
        <f t="shared" si="61"/>
        <v/>
      </c>
      <c r="C1342" s="10">
        <f t="shared" si="62"/>
        <v>44088</v>
      </c>
      <c r="D1342">
        <v>2008244</v>
      </c>
      <c r="E1342" t="s">
        <v>130</v>
      </c>
      <c r="F1342" s="6">
        <v>44092</v>
      </c>
      <c r="H1342" t="s">
        <v>189</v>
      </c>
      <c r="I1342" t="s">
        <v>120</v>
      </c>
    </row>
    <row r="1343" spans="1:9" x14ac:dyDescent="0.25">
      <c r="A1343" s="8" t="str">
        <f t="shared" si="60"/>
        <v>2008245.UP0</v>
      </c>
      <c r="B1343" s="9" t="str">
        <f t="shared" si="61"/>
        <v/>
      </c>
      <c r="C1343" s="10">
        <f t="shared" si="62"/>
        <v>44088</v>
      </c>
      <c r="D1343">
        <v>2008245</v>
      </c>
      <c r="E1343" t="s">
        <v>136</v>
      </c>
      <c r="F1343" s="6">
        <v>44092</v>
      </c>
      <c r="H1343" t="s">
        <v>189</v>
      </c>
      <c r="I1343" t="s">
        <v>120</v>
      </c>
    </row>
    <row r="1344" spans="1:9" x14ac:dyDescent="0.25">
      <c r="A1344" s="8" t="str">
        <f t="shared" si="60"/>
        <v>2008247.H00</v>
      </c>
      <c r="B1344" s="9" t="str">
        <f t="shared" si="61"/>
        <v/>
      </c>
      <c r="C1344" s="10">
        <f t="shared" si="62"/>
        <v>44088</v>
      </c>
      <c r="D1344">
        <v>2008247</v>
      </c>
      <c r="E1344" t="s">
        <v>122</v>
      </c>
      <c r="F1344" s="6">
        <v>44092</v>
      </c>
      <c r="H1344" t="s">
        <v>191</v>
      </c>
      <c r="I1344" t="s">
        <v>120</v>
      </c>
    </row>
    <row r="1345" spans="1:9" x14ac:dyDescent="0.25">
      <c r="A1345" s="8" t="str">
        <f t="shared" si="60"/>
        <v>2008248.Y00</v>
      </c>
      <c r="B1345" s="9" t="str">
        <f t="shared" si="61"/>
        <v/>
      </c>
      <c r="C1345" s="10">
        <f t="shared" si="62"/>
        <v>44088</v>
      </c>
      <c r="D1345">
        <v>2008248</v>
      </c>
      <c r="E1345" t="s">
        <v>130</v>
      </c>
      <c r="F1345" s="6">
        <v>44092</v>
      </c>
      <c r="H1345" t="s">
        <v>189</v>
      </c>
      <c r="I1345" t="s">
        <v>120</v>
      </c>
    </row>
    <row r="1346" spans="1:9" x14ac:dyDescent="0.25">
      <c r="A1346" s="8" t="str">
        <f t="shared" ref="A1346:A1409" si="63">IF(D1346="","",IF(E1346=0,CONCATENATE(D1346,".",E1346,"00"),CONCATENATE(D1346,".",E1346)))</f>
        <v>2008249.000</v>
      </c>
      <c r="B1346" s="9" t="str">
        <f t="shared" ref="B1346:B1409" si="64">LEFT(G1346,1)</f>
        <v/>
      </c>
      <c r="C1346" s="10">
        <f t="shared" ref="C1346:C1409" si="65">IF(F1346="","",IF(B1346="",F1346-4,IF(B1346="1",F1346-4,IF(B1346="2",F1346-3,IF(B1346="3",F1346-2,IF(B1346="4",F1346-1,IF(B1346="V",F1346-7,IF(B1346="J",F1346-8,F1346))))))))</f>
        <v>44074</v>
      </c>
      <c r="D1346">
        <v>2008249</v>
      </c>
      <c r="E1346">
        <v>0</v>
      </c>
      <c r="F1346" s="6">
        <v>44078</v>
      </c>
      <c r="H1346" t="s">
        <v>180</v>
      </c>
      <c r="I1346" t="s">
        <v>120</v>
      </c>
    </row>
    <row r="1347" spans="1:9" x14ac:dyDescent="0.25">
      <c r="A1347" s="8" t="str">
        <f t="shared" si="63"/>
        <v>2008250.OP0</v>
      </c>
      <c r="B1347" s="9" t="str">
        <f t="shared" si="64"/>
        <v/>
      </c>
      <c r="C1347" s="10">
        <f t="shared" si="65"/>
        <v>44088</v>
      </c>
      <c r="D1347">
        <v>2008250</v>
      </c>
      <c r="E1347" t="s">
        <v>310</v>
      </c>
      <c r="F1347" s="6">
        <v>44092</v>
      </c>
      <c r="H1347" t="s">
        <v>192</v>
      </c>
      <c r="I1347" t="s">
        <v>120</v>
      </c>
    </row>
    <row r="1348" spans="1:9" x14ac:dyDescent="0.25">
      <c r="A1348" s="8" t="str">
        <f t="shared" si="63"/>
        <v>2008250.X00</v>
      </c>
      <c r="B1348" s="9" t="str">
        <f t="shared" si="64"/>
        <v/>
      </c>
      <c r="C1348" s="10">
        <f t="shared" si="65"/>
        <v>44088</v>
      </c>
      <c r="D1348">
        <v>2008250</v>
      </c>
      <c r="E1348" t="s">
        <v>225</v>
      </c>
      <c r="F1348" s="6">
        <v>44092</v>
      </c>
      <c r="H1348" t="s">
        <v>192</v>
      </c>
      <c r="I1348" t="s">
        <v>120</v>
      </c>
    </row>
    <row r="1349" spans="1:9" x14ac:dyDescent="0.25">
      <c r="A1349" s="8" t="str">
        <f t="shared" si="63"/>
        <v>2008252.HP0</v>
      </c>
      <c r="B1349" s="9" t="str">
        <f t="shared" si="64"/>
        <v>1</v>
      </c>
      <c r="C1349" s="10">
        <f t="shared" si="65"/>
        <v>44088</v>
      </c>
      <c r="D1349">
        <v>2008252</v>
      </c>
      <c r="E1349" t="s">
        <v>121</v>
      </c>
      <c r="F1349" s="6">
        <v>44092</v>
      </c>
      <c r="G1349">
        <v>15</v>
      </c>
      <c r="H1349" t="s">
        <v>189</v>
      </c>
      <c r="I1349" t="s">
        <v>120</v>
      </c>
    </row>
    <row r="1350" spans="1:9" x14ac:dyDescent="0.25">
      <c r="A1350" s="8" t="str">
        <f t="shared" si="63"/>
        <v>2008253.X00</v>
      </c>
      <c r="B1350" s="9" t="str">
        <f t="shared" si="64"/>
        <v/>
      </c>
      <c r="C1350" s="10">
        <f t="shared" si="65"/>
        <v>44109</v>
      </c>
      <c r="D1350">
        <v>2008253</v>
      </c>
      <c r="E1350" t="s">
        <v>225</v>
      </c>
      <c r="F1350" s="6">
        <v>44113</v>
      </c>
      <c r="H1350" t="s">
        <v>189</v>
      </c>
      <c r="I1350" t="s">
        <v>120</v>
      </c>
    </row>
    <row r="1351" spans="1:9" x14ac:dyDescent="0.25">
      <c r="A1351" s="8" t="str">
        <f t="shared" si="63"/>
        <v>2008254.H01</v>
      </c>
      <c r="B1351" s="9" t="str">
        <f t="shared" si="64"/>
        <v>3</v>
      </c>
      <c r="C1351" s="10">
        <f t="shared" si="65"/>
        <v>44090</v>
      </c>
      <c r="D1351">
        <v>2008254</v>
      </c>
      <c r="E1351" t="s">
        <v>145</v>
      </c>
      <c r="F1351" s="6">
        <v>44092</v>
      </c>
      <c r="G1351">
        <v>3</v>
      </c>
      <c r="H1351" t="s">
        <v>189</v>
      </c>
      <c r="I1351" t="s">
        <v>120</v>
      </c>
    </row>
    <row r="1352" spans="1:9" x14ac:dyDescent="0.25">
      <c r="A1352" s="8" t="str">
        <f t="shared" si="63"/>
        <v>2008255.HPL</v>
      </c>
      <c r="B1352" s="9" t="str">
        <f t="shared" si="64"/>
        <v>1</v>
      </c>
      <c r="C1352" s="10">
        <f t="shared" si="65"/>
        <v>44088</v>
      </c>
      <c r="D1352">
        <v>2008255</v>
      </c>
      <c r="E1352" t="s">
        <v>128</v>
      </c>
      <c r="F1352" s="6">
        <v>44092</v>
      </c>
      <c r="G1352">
        <v>1</v>
      </c>
      <c r="H1352" t="s">
        <v>191</v>
      </c>
      <c r="I1352" t="s">
        <v>120</v>
      </c>
    </row>
    <row r="1353" spans="1:9" x14ac:dyDescent="0.25">
      <c r="A1353" s="8" t="str">
        <f t="shared" si="63"/>
        <v>2008256.0P0</v>
      </c>
      <c r="B1353" s="9" t="str">
        <f t="shared" si="64"/>
        <v/>
      </c>
      <c r="C1353" s="10">
        <f t="shared" si="65"/>
        <v>44081</v>
      </c>
      <c r="D1353">
        <v>2008256</v>
      </c>
      <c r="E1353" t="s">
        <v>119</v>
      </c>
      <c r="F1353" s="6">
        <v>44085</v>
      </c>
      <c r="H1353" t="s">
        <v>180</v>
      </c>
      <c r="I1353" t="s">
        <v>120</v>
      </c>
    </row>
    <row r="1354" spans="1:9" x14ac:dyDescent="0.25">
      <c r="A1354" s="8" t="str">
        <f t="shared" si="63"/>
        <v>2008258.000</v>
      </c>
      <c r="B1354" s="9" t="str">
        <f t="shared" si="64"/>
        <v>3</v>
      </c>
      <c r="C1354" s="10">
        <f t="shared" si="65"/>
        <v>44111</v>
      </c>
      <c r="D1354">
        <v>2008258</v>
      </c>
      <c r="E1354">
        <v>0</v>
      </c>
      <c r="F1354" s="6">
        <v>44113</v>
      </c>
      <c r="G1354">
        <v>3</v>
      </c>
      <c r="H1354" t="s">
        <v>189</v>
      </c>
      <c r="I1354" t="s">
        <v>120</v>
      </c>
    </row>
    <row r="1355" spans="1:9" x14ac:dyDescent="0.25">
      <c r="A1355" s="8" t="str">
        <f t="shared" si="63"/>
        <v>2008259.H00</v>
      </c>
      <c r="B1355" s="9" t="str">
        <f t="shared" si="64"/>
        <v>3</v>
      </c>
      <c r="C1355" s="10">
        <f t="shared" si="65"/>
        <v>44118</v>
      </c>
      <c r="D1355">
        <v>2008259</v>
      </c>
      <c r="E1355" t="s">
        <v>122</v>
      </c>
      <c r="F1355" s="6">
        <v>44120</v>
      </c>
      <c r="G1355">
        <v>3</v>
      </c>
      <c r="H1355" t="s">
        <v>189</v>
      </c>
      <c r="I1355" t="s">
        <v>120</v>
      </c>
    </row>
    <row r="1356" spans="1:9" x14ac:dyDescent="0.25">
      <c r="A1356" s="8" t="str">
        <f t="shared" si="63"/>
        <v>2008259.Y01</v>
      </c>
      <c r="B1356" s="9" t="str">
        <f t="shared" si="64"/>
        <v>3</v>
      </c>
      <c r="C1356" s="10">
        <f t="shared" si="65"/>
        <v>44118</v>
      </c>
      <c r="D1356">
        <v>2008259</v>
      </c>
      <c r="E1356" t="s">
        <v>132</v>
      </c>
      <c r="F1356" s="6">
        <v>44120</v>
      </c>
      <c r="G1356">
        <v>3</v>
      </c>
      <c r="H1356" t="s">
        <v>189</v>
      </c>
      <c r="I1356" t="s">
        <v>120</v>
      </c>
    </row>
    <row r="1357" spans="1:9" x14ac:dyDescent="0.25">
      <c r="A1357" s="8" t="str">
        <f t="shared" si="63"/>
        <v>2008261.0P0</v>
      </c>
      <c r="B1357" s="9" t="str">
        <f t="shared" si="64"/>
        <v>2</v>
      </c>
      <c r="C1357" s="10">
        <f t="shared" si="65"/>
        <v>44068</v>
      </c>
      <c r="D1357">
        <v>2008261</v>
      </c>
      <c r="E1357" t="s">
        <v>119</v>
      </c>
      <c r="F1357" s="6">
        <v>44071</v>
      </c>
      <c r="G1357">
        <v>22</v>
      </c>
      <c r="H1357" t="s">
        <v>180</v>
      </c>
      <c r="I1357" t="s">
        <v>120</v>
      </c>
    </row>
    <row r="1358" spans="1:9" x14ac:dyDescent="0.25">
      <c r="A1358" s="8" t="str">
        <f t="shared" si="63"/>
        <v>2008262.H02</v>
      </c>
      <c r="B1358" s="9" t="str">
        <f t="shared" si="64"/>
        <v/>
      </c>
      <c r="C1358" s="10">
        <f t="shared" si="65"/>
        <v>44081</v>
      </c>
      <c r="D1358">
        <v>2008262</v>
      </c>
      <c r="E1358" t="s">
        <v>156</v>
      </c>
      <c r="F1358" s="6">
        <v>44085</v>
      </c>
      <c r="H1358" t="s">
        <v>180</v>
      </c>
      <c r="I1358" t="s">
        <v>120</v>
      </c>
    </row>
    <row r="1359" spans="1:9" x14ac:dyDescent="0.25">
      <c r="A1359" s="8" t="str">
        <f t="shared" si="63"/>
        <v>2008262.Y00</v>
      </c>
      <c r="B1359" s="9" t="str">
        <f t="shared" si="64"/>
        <v/>
      </c>
      <c r="C1359" s="10">
        <f t="shared" si="65"/>
        <v>44081</v>
      </c>
      <c r="D1359">
        <v>2008262</v>
      </c>
      <c r="E1359" t="s">
        <v>130</v>
      </c>
      <c r="F1359" s="6">
        <v>44085</v>
      </c>
      <c r="H1359" t="s">
        <v>189</v>
      </c>
      <c r="I1359" t="s">
        <v>120</v>
      </c>
    </row>
    <row r="1360" spans="1:9" x14ac:dyDescent="0.25">
      <c r="A1360" s="8" t="str">
        <f t="shared" si="63"/>
        <v>2008263.000</v>
      </c>
      <c r="B1360" s="9" t="str">
        <f t="shared" si="64"/>
        <v>3</v>
      </c>
      <c r="C1360" s="10">
        <f t="shared" si="65"/>
        <v>44083</v>
      </c>
      <c r="D1360">
        <v>2008263</v>
      </c>
      <c r="E1360">
        <v>0</v>
      </c>
      <c r="F1360" s="6">
        <v>44085</v>
      </c>
      <c r="G1360">
        <v>3</v>
      </c>
      <c r="H1360" t="s">
        <v>180</v>
      </c>
      <c r="I1360" t="s">
        <v>120</v>
      </c>
    </row>
    <row r="1361" spans="1:9" x14ac:dyDescent="0.25">
      <c r="A1361" s="8" t="str">
        <f t="shared" si="63"/>
        <v>2008263.0P0</v>
      </c>
      <c r="B1361" s="9" t="str">
        <f t="shared" si="64"/>
        <v>3</v>
      </c>
      <c r="C1361" s="10">
        <f t="shared" si="65"/>
        <v>44083</v>
      </c>
      <c r="D1361">
        <v>2008263</v>
      </c>
      <c r="E1361" t="s">
        <v>119</v>
      </c>
      <c r="F1361" s="6">
        <v>44085</v>
      </c>
      <c r="G1361">
        <v>3</v>
      </c>
      <c r="H1361" t="s">
        <v>180</v>
      </c>
      <c r="I1361" t="s">
        <v>120</v>
      </c>
    </row>
    <row r="1362" spans="1:9" x14ac:dyDescent="0.25">
      <c r="A1362" s="8" t="str">
        <f t="shared" si="63"/>
        <v>2008264.UP1</v>
      </c>
      <c r="B1362" s="9" t="str">
        <f t="shared" si="64"/>
        <v>3</v>
      </c>
      <c r="C1362" s="10">
        <f t="shared" si="65"/>
        <v>44090</v>
      </c>
      <c r="D1362">
        <v>2008264</v>
      </c>
      <c r="E1362" t="s">
        <v>164</v>
      </c>
      <c r="F1362" s="6">
        <v>44092</v>
      </c>
      <c r="G1362">
        <v>3</v>
      </c>
      <c r="H1362" t="s">
        <v>192</v>
      </c>
      <c r="I1362" t="s">
        <v>120</v>
      </c>
    </row>
    <row r="1363" spans="1:9" x14ac:dyDescent="0.25">
      <c r="A1363" s="8" t="str">
        <f t="shared" si="63"/>
        <v>2008265.000</v>
      </c>
      <c r="B1363" s="9" t="str">
        <f t="shared" si="64"/>
        <v/>
      </c>
      <c r="C1363" s="10">
        <f t="shared" si="65"/>
        <v>44074</v>
      </c>
      <c r="D1363">
        <v>2008265</v>
      </c>
      <c r="E1363">
        <v>0</v>
      </c>
      <c r="F1363" s="6">
        <v>44078</v>
      </c>
      <c r="H1363" t="s">
        <v>180</v>
      </c>
      <c r="I1363" t="s">
        <v>120</v>
      </c>
    </row>
    <row r="1364" spans="1:9" x14ac:dyDescent="0.25">
      <c r="A1364" s="8" t="str">
        <f t="shared" si="63"/>
        <v>2008266.N00</v>
      </c>
      <c r="B1364" s="9" t="str">
        <f t="shared" si="64"/>
        <v/>
      </c>
      <c r="C1364" s="10">
        <f t="shared" si="65"/>
        <v>44039</v>
      </c>
      <c r="D1364">
        <v>2008266</v>
      </c>
      <c r="E1364" t="s">
        <v>125</v>
      </c>
      <c r="F1364" s="6">
        <v>44043</v>
      </c>
      <c r="H1364" t="s">
        <v>194</v>
      </c>
      <c r="I1364" t="s">
        <v>120</v>
      </c>
    </row>
    <row r="1365" spans="1:9" x14ac:dyDescent="0.25">
      <c r="A1365" s="8" t="str">
        <f t="shared" si="63"/>
        <v>2008267.H0L</v>
      </c>
      <c r="B1365" s="9" t="str">
        <f t="shared" si="64"/>
        <v>4</v>
      </c>
      <c r="C1365" s="10">
        <f t="shared" si="65"/>
        <v>44091</v>
      </c>
      <c r="D1365">
        <v>2008267</v>
      </c>
      <c r="E1365" t="s">
        <v>261</v>
      </c>
      <c r="F1365" s="6">
        <v>44092</v>
      </c>
      <c r="G1365">
        <v>4</v>
      </c>
      <c r="H1365" t="s">
        <v>189</v>
      </c>
      <c r="I1365" t="s">
        <v>120</v>
      </c>
    </row>
    <row r="1366" spans="1:9" x14ac:dyDescent="0.25">
      <c r="A1366" s="8" t="str">
        <f t="shared" si="63"/>
        <v>2008268.U00</v>
      </c>
      <c r="B1366" s="9" t="str">
        <f t="shared" si="64"/>
        <v/>
      </c>
      <c r="C1366" s="10">
        <f t="shared" si="65"/>
        <v>44088</v>
      </c>
      <c r="D1366">
        <v>2008268</v>
      </c>
      <c r="E1366" t="s">
        <v>131</v>
      </c>
      <c r="F1366" s="6">
        <v>44092</v>
      </c>
      <c r="H1366" t="s">
        <v>188</v>
      </c>
      <c r="I1366" t="s">
        <v>120</v>
      </c>
    </row>
    <row r="1367" spans="1:9" x14ac:dyDescent="0.25">
      <c r="A1367" s="8" t="str">
        <f t="shared" si="63"/>
        <v>2008269.000</v>
      </c>
      <c r="B1367" s="9" t="str">
        <f t="shared" si="64"/>
        <v>4</v>
      </c>
      <c r="C1367" s="10">
        <f t="shared" si="65"/>
        <v>44077</v>
      </c>
      <c r="D1367">
        <v>2008269</v>
      </c>
      <c r="E1367">
        <v>0</v>
      </c>
      <c r="F1367" s="6">
        <v>44078</v>
      </c>
      <c r="G1367">
        <v>4</v>
      </c>
      <c r="H1367" t="s">
        <v>180</v>
      </c>
      <c r="I1367" t="s">
        <v>120</v>
      </c>
    </row>
    <row r="1368" spans="1:9" x14ac:dyDescent="0.25">
      <c r="A1368" s="8" t="str">
        <f t="shared" si="63"/>
        <v>2008270.H00</v>
      </c>
      <c r="B1368" s="9" t="str">
        <f t="shared" si="64"/>
        <v>4</v>
      </c>
      <c r="C1368" s="10">
        <f t="shared" si="65"/>
        <v>44091</v>
      </c>
      <c r="D1368">
        <v>2008270</v>
      </c>
      <c r="E1368" t="s">
        <v>122</v>
      </c>
      <c r="F1368" s="6">
        <v>44092</v>
      </c>
      <c r="G1368">
        <v>4</v>
      </c>
      <c r="H1368" t="s">
        <v>189</v>
      </c>
      <c r="I1368" t="s">
        <v>120</v>
      </c>
    </row>
    <row r="1369" spans="1:9" x14ac:dyDescent="0.25">
      <c r="A1369" s="8" t="str">
        <f t="shared" si="63"/>
        <v>2008271.C00</v>
      </c>
      <c r="B1369" s="9" t="str">
        <f t="shared" si="64"/>
        <v/>
      </c>
      <c r="C1369" s="10">
        <f t="shared" si="65"/>
        <v>44102</v>
      </c>
      <c r="D1369">
        <v>2008271</v>
      </c>
      <c r="E1369" t="s">
        <v>147</v>
      </c>
      <c r="F1369" s="6">
        <v>44106</v>
      </c>
      <c r="H1369" t="s">
        <v>189</v>
      </c>
      <c r="I1369" t="s">
        <v>120</v>
      </c>
    </row>
    <row r="1370" spans="1:9" x14ac:dyDescent="0.25">
      <c r="A1370" s="8" t="str">
        <f t="shared" si="63"/>
        <v>2008273.H02</v>
      </c>
      <c r="B1370" s="9" t="str">
        <f t="shared" si="64"/>
        <v/>
      </c>
      <c r="C1370" s="10">
        <f t="shared" si="65"/>
        <v>44088</v>
      </c>
      <c r="D1370">
        <v>2008273</v>
      </c>
      <c r="E1370" t="s">
        <v>156</v>
      </c>
      <c r="F1370" s="6">
        <v>44092</v>
      </c>
      <c r="H1370" t="s">
        <v>189</v>
      </c>
      <c r="I1370" t="s">
        <v>120</v>
      </c>
    </row>
    <row r="1371" spans="1:9" x14ac:dyDescent="0.25">
      <c r="A1371" s="8" t="str">
        <f t="shared" si="63"/>
        <v>2008274.000</v>
      </c>
      <c r="B1371" s="9" t="str">
        <f t="shared" si="64"/>
        <v/>
      </c>
      <c r="C1371" s="10">
        <f t="shared" si="65"/>
        <v>44081</v>
      </c>
      <c r="D1371">
        <v>2008274</v>
      </c>
      <c r="E1371">
        <v>0</v>
      </c>
      <c r="F1371" s="6">
        <v>44085</v>
      </c>
      <c r="H1371" t="s">
        <v>266</v>
      </c>
      <c r="I1371" t="s">
        <v>120</v>
      </c>
    </row>
    <row r="1372" spans="1:9" x14ac:dyDescent="0.25">
      <c r="A1372" s="8" t="str">
        <f t="shared" si="63"/>
        <v>2008275.Y01</v>
      </c>
      <c r="B1372" s="9" t="str">
        <f t="shared" si="64"/>
        <v/>
      </c>
      <c r="C1372" s="10">
        <f t="shared" si="65"/>
        <v>44088</v>
      </c>
      <c r="D1372">
        <v>2008275</v>
      </c>
      <c r="E1372" t="s">
        <v>132</v>
      </c>
      <c r="F1372" s="6">
        <v>44092</v>
      </c>
      <c r="H1372" t="s">
        <v>189</v>
      </c>
      <c r="I1372" t="s">
        <v>120</v>
      </c>
    </row>
    <row r="1373" spans="1:9" x14ac:dyDescent="0.25">
      <c r="A1373" s="8" t="str">
        <f t="shared" si="63"/>
        <v>2008276.000</v>
      </c>
      <c r="B1373" s="9" t="str">
        <f t="shared" si="64"/>
        <v/>
      </c>
      <c r="C1373" s="10">
        <f t="shared" si="65"/>
        <v>44074</v>
      </c>
      <c r="D1373">
        <v>2008276</v>
      </c>
      <c r="E1373">
        <v>0</v>
      </c>
      <c r="F1373" s="6">
        <v>44078</v>
      </c>
      <c r="H1373" t="s">
        <v>180</v>
      </c>
      <c r="I1373" t="s">
        <v>120</v>
      </c>
    </row>
    <row r="1374" spans="1:9" x14ac:dyDescent="0.25">
      <c r="A1374" s="8" t="str">
        <f t="shared" si="63"/>
        <v>2008277.U0L</v>
      </c>
      <c r="B1374" s="9" t="str">
        <f t="shared" si="64"/>
        <v/>
      </c>
      <c r="C1374" s="10">
        <f t="shared" si="65"/>
        <v>44088</v>
      </c>
      <c r="D1374">
        <v>2008277</v>
      </c>
      <c r="E1374" t="s">
        <v>263</v>
      </c>
      <c r="F1374" s="6">
        <v>44092</v>
      </c>
      <c r="H1374" t="s">
        <v>189</v>
      </c>
      <c r="I1374" t="s">
        <v>120</v>
      </c>
    </row>
    <row r="1375" spans="1:9" x14ac:dyDescent="0.25">
      <c r="A1375" s="8" t="str">
        <f t="shared" si="63"/>
        <v>2008277.UP0</v>
      </c>
      <c r="B1375" s="9" t="str">
        <f t="shared" si="64"/>
        <v/>
      </c>
      <c r="C1375" s="10">
        <f t="shared" si="65"/>
        <v>44088</v>
      </c>
      <c r="D1375">
        <v>2008277</v>
      </c>
      <c r="E1375" t="s">
        <v>136</v>
      </c>
      <c r="F1375" s="6">
        <v>44092</v>
      </c>
      <c r="H1375" t="s">
        <v>189</v>
      </c>
      <c r="I1375" t="s">
        <v>120</v>
      </c>
    </row>
    <row r="1376" spans="1:9" x14ac:dyDescent="0.25">
      <c r="A1376" s="8" t="str">
        <f t="shared" si="63"/>
        <v>2008279.000</v>
      </c>
      <c r="B1376" s="9" t="str">
        <f t="shared" si="64"/>
        <v/>
      </c>
      <c r="C1376" s="10">
        <f t="shared" si="65"/>
        <v>44088</v>
      </c>
      <c r="D1376">
        <v>2008279</v>
      </c>
      <c r="E1376">
        <v>0</v>
      </c>
      <c r="F1376" s="6">
        <v>44092</v>
      </c>
      <c r="H1376" t="s">
        <v>190</v>
      </c>
      <c r="I1376" t="s">
        <v>120</v>
      </c>
    </row>
    <row r="1377" spans="1:9" x14ac:dyDescent="0.25">
      <c r="A1377" s="8" t="str">
        <f t="shared" si="63"/>
        <v>2008279.UP0</v>
      </c>
      <c r="B1377" s="9" t="str">
        <f t="shared" si="64"/>
        <v/>
      </c>
      <c r="C1377" s="10">
        <f t="shared" si="65"/>
        <v>44088</v>
      </c>
      <c r="D1377">
        <v>2008279</v>
      </c>
      <c r="E1377" t="s">
        <v>136</v>
      </c>
      <c r="F1377" s="6">
        <v>44092</v>
      </c>
      <c r="H1377" t="s">
        <v>190</v>
      </c>
      <c r="I1377" t="s">
        <v>120</v>
      </c>
    </row>
    <row r="1378" spans="1:9" x14ac:dyDescent="0.25">
      <c r="A1378" s="8" t="str">
        <f t="shared" si="63"/>
        <v>2008279.Y00</v>
      </c>
      <c r="B1378" s="9" t="str">
        <f t="shared" si="64"/>
        <v/>
      </c>
      <c r="C1378" s="10">
        <f t="shared" si="65"/>
        <v>44088</v>
      </c>
      <c r="D1378">
        <v>2008279</v>
      </c>
      <c r="E1378" t="s">
        <v>130</v>
      </c>
      <c r="F1378" s="6">
        <v>44092</v>
      </c>
      <c r="H1378" t="s">
        <v>190</v>
      </c>
      <c r="I1378" t="s">
        <v>120</v>
      </c>
    </row>
    <row r="1379" spans="1:9" x14ac:dyDescent="0.25">
      <c r="A1379" s="8" t="str">
        <f t="shared" si="63"/>
        <v>2008280.Y02</v>
      </c>
      <c r="B1379" s="9" t="str">
        <f t="shared" si="64"/>
        <v/>
      </c>
      <c r="C1379" s="10">
        <f t="shared" si="65"/>
        <v>44081</v>
      </c>
      <c r="D1379">
        <v>2008280</v>
      </c>
      <c r="E1379" t="s">
        <v>144</v>
      </c>
      <c r="F1379" s="6">
        <v>44085</v>
      </c>
      <c r="H1379" t="s">
        <v>189</v>
      </c>
      <c r="I1379" t="s">
        <v>120</v>
      </c>
    </row>
    <row r="1380" spans="1:9" x14ac:dyDescent="0.25">
      <c r="A1380" s="8" t="str">
        <f t="shared" si="63"/>
        <v>2008282.C00</v>
      </c>
      <c r="B1380" s="9" t="str">
        <f t="shared" si="64"/>
        <v>V</v>
      </c>
      <c r="C1380" s="10">
        <f t="shared" si="65"/>
        <v>44085</v>
      </c>
      <c r="D1380">
        <v>2008282</v>
      </c>
      <c r="E1380" t="s">
        <v>147</v>
      </c>
      <c r="F1380" s="6">
        <v>44092</v>
      </c>
      <c r="G1380" t="s">
        <v>127</v>
      </c>
      <c r="H1380" t="s">
        <v>180</v>
      </c>
      <c r="I1380" t="s">
        <v>120</v>
      </c>
    </row>
    <row r="1381" spans="1:9" x14ac:dyDescent="0.25">
      <c r="A1381" s="8" t="str">
        <f t="shared" si="63"/>
        <v>2008283.U01</v>
      </c>
      <c r="B1381" s="9" t="str">
        <f t="shared" si="64"/>
        <v/>
      </c>
      <c r="C1381" s="10">
        <f t="shared" si="65"/>
        <v>44095</v>
      </c>
      <c r="D1381">
        <v>2008283</v>
      </c>
      <c r="E1381" t="s">
        <v>150</v>
      </c>
      <c r="F1381" s="6">
        <v>44099</v>
      </c>
      <c r="H1381" t="s">
        <v>189</v>
      </c>
      <c r="I1381" t="s">
        <v>120</v>
      </c>
    </row>
    <row r="1382" spans="1:9" x14ac:dyDescent="0.25">
      <c r="A1382" s="8" t="str">
        <f t="shared" si="63"/>
        <v>2008284.000</v>
      </c>
      <c r="B1382" s="9" t="str">
        <f t="shared" si="64"/>
        <v/>
      </c>
      <c r="C1382" s="10">
        <f t="shared" si="65"/>
        <v>44081</v>
      </c>
      <c r="D1382">
        <v>2008284</v>
      </c>
      <c r="E1382">
        <v>0</v>
      </c>
      <c r="F1382" s="6">
        <v>44085</v>
      </c>
      <c r="H1382" t="s">
        <v>180</v>
      </c>
      <c r="I1382" t="s">
        <v>120</v>
      </c>
    </row>
    <row r="1383" spans="1:9" x14ac:dyDescent="0.25">
      <c r="A1383" s="8" t="str">
        <f t="shared" si="63"/>
        <v>2008285.000</v>
      </c>
      <c r="B1383" s="9" t="str">
        <f t="shared" si="64"/>
        <v/>
      </c>
      <c r="C1383" s="10">
        <f t="shared" si="65"/>
        <v>44081</v>
      </c>
      <c r="D1383">
        <v>2008285</v>
      </c>
      <c r="E1383">
        <v>0</v>
      </c>
      <c r="F1383" s="6">
        <v>44085</v>
      </c>
      <c r="H1383" t="s">
        <v>180</v>
      </c>
      <c r="I1383" t="s">
        <v>120</v>
      </c>
    </row>
    <row r="1384" spans="1:9" x14ac:dyDescent="0.25">
      <c r="A1384" s="8" t="str">
        <f t="shared" si="63"/>
        <v>2008286.000</v>
      </c>
      <c r="B1384" s="9" t="str">
        <f t="shared" si="64"/>
        <v/>
      </c>
      <c r="C1384" s="10">
        <f t="shared" si="65"/>
        <v>44081</v>
      </c>
      <c r="D1384">
        <v>2008286</v>
      </c>
      <c r="E1384">
        <v>0</v>
      </c>
      <c r="F1384" s="6">
        <v>44085</v>
      </c>
      <c r="H1384" t="s">
        <v>180</v>
      </c>
      <c r="I1384" t="s">
        <v>120</v>
      </c>
    </row>
    <row r="1385" spans="1:9" x14ac:dyDescent="0.25">
      <c r="A1385" s="8" t="str">
        <f t="shared" si="63"/>
        <v>2008287.NI0</v>
      </c>
      <c r="B1385" s="9" t="str">
        <f t="shared" si="64"/>
        <v>4</v>
      </c>
      <c r="C1385" s="10">
        <f t="shared" si="65"/>
        <v>44042</v>
      </c>
      <c r="D1385">
        <v>2008287</v>
      </c>
      <c r="E1385" t="s">
        <v>185</v>
      </c>
      <c r="F1385" s="6">
        <v>44043</v>
      </c>
      <c r="G1385">
        <v>42</v>
      </c>
      <c r="H1385" t="s">
        <v>180</v>
      </c>
      <c r="I1385" t="s">
        <v>120</v>
      </c>
    </row>
    <row r="1386" spans="1:9" x14ac:dyDescent="0.25">
      <c r="A1386" s="8" t="str">
        <f t="shared" si="63"/>
        <v>2008288.000</v>
      </c>
      <c r="B1386" s="9" t="str">
        <f t="shared" si="64"/>
        <v/>
      </c>
      <c r="C1386" s="10">
        <f t="shared" si="65"/>
        <v>44081</v>
      </c>
      <c r="D1386">
        <v>2008288</v>
      </c>
      <c r="E1386">
        <v>0</v>
      </c>
      <c r="F1386" s="6">
        <v>44085</v>
      </c>
      <c r="H1386" t="s">
        <v>180</v>
      </c>
      <c r="I1386" t="s">
        <v>120</v>
      </c>
    </row>
    <row r="1387" spans="1:9" x14ac:dyDescent="0.25">
      <c r="A1387" s="8" t="str">
        <f t="shared" si="63"/>
        <v>2008289.000</v>
      </c>
      <c r="B1387" s="9" t="str">
        <f t="shared" si="64"/>
        <v/>
      </c>
      <c r="C1387" s="10">
        <f t="shared" si="65"/>
        <v>44081</v>
      </c>
      <c r="D1387">
        <v>2008289</v>
      </c>
      <c r="E1387">
        <v>0</v>
      </c>
      <c r="F1387" s="6">
        <v>44085</v>
      </c>
      <c r="H1387" t="s">
        <v>189</v>
      </c>
      <c r="I1387" t="s">
        <v>120</v>
      </c>
    </row>
    <row r="1388" spans="1:9" x14ac:dyDescent="0.25">
      <c r="A1388" s="8" t="str">
        <f t="shared" si="63"/>
        <v>2008290.000</v>
      </c>
      <c r="B1388" s="9" t="str">
        <f t="shared" si="64"/>
        <v/>
      </c>
      <c r="C1388" s="10">
        <f t="shared" si="65"/>
        <v>44081</v>
      </c>
      <c r="D1388">
        <v>2008290</v>
      </c>
      <c r="E1388">
        <v>0</v>
      </c>
      <c r="F1388" s="6">
        <v>44085</v>
      </c>
      <c r="H1388" t="s">
        <v>180</v>
      </c>
      <c r="I1388" t="s">
        <v>120</v>
      </c>
    </row>
    <row r="1389" spans="1:9" x14ac:dyDescent="0.25">
      <c r="A1389" s="8" t="str">
        <f t="shared" si="63"/>
        <v>2008291.000</v>
      </c>
      <c r="B1389" s="9" t="str">
        <f t="shared" si="64"/>
        <v/>
      </c>
      <c r="C1389" s="10">
        <f t="shared" si="65"/>
        <v>44081</v>
      </c>
      <c r="D1389">
        <v>2008291</v>
      </c>
      <c r="E1389">
        <v>0</v>
      </c>
      <c r="F1389" s="6">
        <v>44085</v>
      </c>
      <c r="H1389" t="s">
        <v>180</v>
      </c>
      <c r="I1389" t="s">
        <v>120</v>
      </c>
    </row>
    <row r="1390" spans="1:9" x14ac:dyDescent="0.25">
      <c r="A1390" s="8" t="str">
        <f t="shared" si="63"/>
        <v>2008291.0P0</v>
      </c>
      <c r="B1390" s="9" t="str">
        <f t="shared" si="64"/>
        <v/>
      </c>
      <c r="C1390" s="10">
        <f t="shared" si="65"/>
        <v>44081</v>
      </c>
      <c r="D1390">
        <v>2008291</v>
      </c>
      <c r="E1390" t="s">
        <v>119</v>
      </c>
      <c r="F1390" s="6">
        <v>44085</v>
      </c>
      <c r="H1390" t="s">
        <v>180</v>
      </c>
      <c r="I1390" t="s">
        <v>120</v>
      </c>
    </row>
    <row r="1391" spans="1:9" x14ac:dyDescent="0.25">
      <c r="A1391" s="8" t="str">
        <f t="shared" si="63"/>
        <v>2008292.000</v>
      </c>
      <c r="B1391" s="9" t="str">
        <f t="shared" si="64"/>
        <v/>
      </c>
      <c r="C1391" s="10">
        <f t="shared" si="65"/>
        <v>44067</v>
      </c>
      <c r="D1391">
        <v>2008292</v>
      </c>
      <c r="E1391">
        <v>0</v>
      </c>
      <c r="F1391" s="6">
        <v>44071</v>
      </c>
      <c r="H1391" t="s">
        <v>188</v>
      </c>
      <c r="I1391" t="s">
        <v>120</v>
      </c>
    </row>
    <row r="1392" spans="1:9" x14ac:dyDescent="0.25">
      <c r="A1392" s="8" t="str">
        <f t="shared" si="63"/>
        <v>2008294.000</v>
      </c>
      <c r="B1392" s="9" t="str">
        <f t="shared" si="64"/>
        <v/>
      </c>
      <c r="C1392" s="10">
        <f t="shared" si="65"/>
        <v>44074</v>
      </c>
      <c r="D1392">
        <v>2008294</v>
      </c>
      <c r="E1392">
        <v>0</v>
      </c>
      <c r="F1392" s="6">
        <v>44078</v>
      </c>
      <c r="H1392" t="s">
        <v>180</v>
      </c>
      <c r="I1392" t="s">
        <v>120</v>
      </c>
    </row>
    <row r="1393" spans="1:9" x14ac:dyDescent="0.25">
      <c r="A1393" s="8" t="str">
        <f t="shared" si="63"/>
        <v>2008295.000</v>
      </c>
      <c r="B1393" s="9" t="str">
        <f t="shared" si="64"/>
        <v/>
      </c>
      <c r="C1393" s="10">
        <f t="shared" si="65"/>
        <v>44081</v>
      </c>
      <c r="D1393">
        <v>2008295</v>
      </c>
      <c r="E1393">
        <v>0</v>
      </c>
      <c r="F1393" s="6">
        <v>44085</v>
      </c>
      <c r="H1393" t="s">
        <v>180</v>
      </c>
      <c r="I1393" t="s">
        <v>120</v>
      </c>
    </row>
    <row r="1394" spans="1:9" x14ac:dyDescent="0.25">
      <c r="A1394" s="8" t="str">
        <f t="shared" si="63"/>
        <v>2008296.000</v>
      </c>
      <c r="B1394" s="9" t="str">
        <f t="shared" si="64"/>
        <v/>
      </c>
      <c r="C1394" s="10">
        <f t="shared" si="65"/>
        <v>44095</v>
      </c>
      <c r="D1394">
        <v>2008296</v>
      </c>
      <c r="E1394">
        <v>0</v>
      </c>
      <c r="F1394" s="6">
        <v>44099</v>
      </c>
      <c r="H1394" t="s">
        <v>189</v>
      </c>
      <c r="I1394" t="s">
        <v>120</v>
      </c>
    </row>
    <row r="1395" spans="1:9" x14ac:dyDescent="0.25">
      <c r="A1395" s="8" t="str">
        <f t="shared" si="63"/>
        <v>2008296.C00</v>
      </c>
      <c r="B1395" s="9" t="str">
        <f t="shared" si="64"/>
        <v/>
      </c>
      <c r="C1395" s="10">
        <f t="shared" si="65"/>
        <v>44095</v>
      </c>
      <c r="D1395">
        <v>2008296</v>
      </c>
      <c r="E1395" t="s">
        <v>147</v>
      </c>
      <c r="F1395" s="6">
        <v>44099</v>
      </c>
      <c r="H1395" t="s">
        <v>180</v>
      </c>
      <c r="I1395" t="s">
        <v>120</v>
      </c>
    </row>
    <row r="1396" spans="1:9" x14ac:dyDescent="0.25">
      <c r="A1396" s="8" t="str">
        <f t="shared" si="63"/>
        <v>2008298.Y02</v>
      </c>
      <c r="B1396" s="9" t="str">
        <f t="shared" si="64"/>
        <v/>
      </c>
      <c r="C1396" s="10">
        <f t="shared" si="65"/>
        <v>44095</v>
      </c>
      <c r="D1396">
        <v>2008298</v>
      </c>
      <c r="E1396" t="s">
        <v>144</v>
      </c>
      <c r="F1396" s="6">
        <v>44099</v>
      </c>
      <c r="H1396" t="s">
        <v>189</v>
      </c>
      <c r="I1396" t="s">
        <v>120</v>
      </c>
    </row>
    <row r="1397" spans="1:9" x14ac:dyDescent="0.25">
      <c r="A1397" s="8" t="str">
        <f t="shared" si="63"/>
        <v>2008299.UP2</v>
      </c>
      <c r="B1397" s="9" t="str">
        <f t="shared" si="64"/>
        <v/>
      </c>
      <c r="C1397" s="10">
        <f t="shared" si="65"/>
        <v>44109</v>
      </c>
      <c r="D1397">
        <v>2008299</v>
      </c>
      <c r="E1397" t="s">
        <v>160</v>
      </c>
      <c r="F1397" s="6">
        <v>44113</v>
      </c>
      <c r="H1397" t="s">
        <v>189</v>
      </c>
      <c r="I1397" t="s">
        <v>120</v>
      </c>
    </row>
    <row r="1398" spans="1:9" x14ac:dyDescent="0.25">
      <c r="A1398" s="8" t="str">
        <f t="shared" si="63"/>
        <v>2008301.U00</v>
      </c>
      <c r="B1398" s="9" t="str">
        <f t="shared" si="64"/>
        <v/>
      </c>
      <c r="C1398" s="10">
        <f t="shared" si="65"/>
        <v>44095</v>
      </c>
      <c r="D1398">
        <v>2008301</v>
      </c>
      <c r="E1398" t="s">
        <v>131</v>
      </c>
      <c r="F1398" s="6">
        <v>44099</v>
      </c>
      <c r="H1398" t="s">
        <v>189</v>
      </c>
      <c r="I1398" t="s">
        <v>120</v>
      </c>
    </row>
    <row r="1399" spans="1:9" x14ac:dyDescent="0.25">
      <c r="A1399" s="8" t="str">
        <f t="shared" si="63"/>
        <v>2008302.X00</v>
      </c>
      <c r="B1399" s="9" t="str">
        <f t="shared" si="64"/>
        <v/>
      </c>
      <c r="C1399" s="10">
        <f t="shared" si="65"/>
        <v>44081</v>
      </c>
      <c r="D1399">
        <v>2008302</v>
      </c>
      <c r="E1399" t="s">
        <v>225</v>
      </c>
      <c r="F1399" s="6">
        <v>44085</v>
      </c>
      <c r="H1399" t="s">
        <v>191</v>
      </c>
      <c r="I1399" t="s">
        <v>120</v>
      </c>
    </row>
    <row r="1400" spans="1:9" x14ac:dyDescent="0.25">
      <c r="A1400" s="8" t="str">
        <f t="shared" si="63"/>
        <v>2008303.000</v>
      </c>
      <c r="B1400" s="9" t="str">
        <f t="shared" si="64"/>
        <v/>
      </c>
      <c r="C1400" s="10">
        <f t="shared" si="65"/>
        <v>44102</v>
      </c>
      <c r="D1400">
        <v>2008303</v>
      </c>
      <c r="E1400">
        <v>0</v>
      </c>
      <c r="F1400" s="6">
        <v>44106</v>
      </c>
      <c r="H1400" t="s">
        <v>191</v>
      </c>
      <c r="I1400" t="s">
        <v>120</v>
      </c>
    </row>
    <row r="1401" spans="1:9" x14ac:dyDescent="0.25">
      <c r="A1401" s="8" t="str">
        <f t="shared" si="63"/>
        <v>2008303.TP0</v>
      </c>
      <c r="B1401" s="9" t="str">
        <f t="shared" si="64"/>
        <v/>
      </c>
      <c r="C1401" s="10">
        <f t="shared" si="65"/>
        <v>44102</v>
      </c>
      <c r="D1401">
        <v>2008303</v>
      </c>
      <c r="E1401" t="s">
        <v>184</v>
      </c>
      <c r="F1401" s="6">
        <v>44106</v>
      </c>
      <c r="H1401" t="s">
        <v>191</v>
      </c>
      <c r="I1401" t="s">
        <v>134</v>
      </c>
    </row>
    <row r="1402" spans="1:9" x14ac:dyDescent="0.25">
      <c r="A1402" s="8" t="str">
        <f t="shared" si="63"/>
        <v>2008304.0P0</v>
      </c>
      <c r="B1402" s="9" t="str">
        <f t="shared" si="64"/>
        <v>4</v>
      </c>
      <c r="C1402" s="10">
        <f t="shared" si="65"/>
        <v>44091</v>
      </c>
      <c r="D1402">
        <v>2008304</v>
      </c>
      <c r="E1402" t="s">
        <v>119</v>
      </c>
      <c r="F1402" s="6">
        <v>44092</v>
      </c>
      <c r="G1402">
        <v>4</v>
      </c>
      <c r="H1402" t="s">
        <v>189</v>
      </c>
      <c r="I1402" t="s">
        <v>120</v>
      </c>
    </row>
    <row r="1403" spans="1:9" x14ac:dyDescent="0.25">
      <c r="A1403" s="8" t="str">
        <f t="shared" si="63"/>
        <v>2008307.0P0</v>
      </c>
      <c r="B1403" s="9" t="str">
        <f t="shared" si="64"/>
        <v>4</v>
      </c>
      <c r="C1403" s="10">
        <f t="shared" si="65"/>
        <v>44091</v>
      </c>
      <c r="D1403">
        <v>2008307</v>
      </c>
      <c r="E1403" t="s">
        <v>119</v>
      </c>
      <c r="F1403" s="6">
        <v>44092</v>
      </c>
      <c r="G1403">
        <v>41</v>
      </c>
      <c r="H1403" t="s">
        <v>189</v>
      </c>
      <c r="I1403" t="s">
        <v>120</v>
      </c>
    </row>
    <row r="1404" spans="1:9" x14ac:dyDescent="0.25">
      <c r="A1404" s="8" t="str">
        <f t="shared" si="63"/>
        <v>2008308.000</v>
      </c>
      <c r="B1404" s="9" t="str">
        <f t="shared" si="64"/>
        <v/>
      </c>
      <c r="C1404" s="10">
        <f t="shared" si="65"/>
        <v>44081</v>
      </c>
      <c r="D1404">
        <v>2008308</v>
      </c>
      <c r="E1404">
        <v>0</v>
      </c>
      <c r="F1404" s="6">
        <v>44085</v>
      </c>
      <c r="H1404" t="s">
        <v>180</v>
      </c>
      <c r="I1404" t="s">
        <v>120</v>
      </c>
    </row>
    <row r="1405" spans="1:9" x14ac:dyDescent="0.25">
      <c r="A1405" s="8" t="str">
        <f t="shared" si="63"/>
        <v>2008309.NM0</v>
      </c>
      <c r="B1405" s="9" t="str">
        <f t="shared" si="64"/>
        <v>3</v>
      </c>
      <c r="C1405" s="10">
        <f t="shared" si="65"/>
        <v>44069</v>
      </c>
      <c r="D1405">
        <v>2008309</v>
      </c>
      <c r="E1405" t="s">
        <v>154</v>
      </c>
      <c r="F1405" s="6">
        <v>44071</v>
      </c>
      <c r="G1405">
        <v>32</v>
      </c>
      <c r="H1405" t="s">
        <v>189</v>
      </c>
      <c r="I1405" t="s">
        <v>120</v>
      </c>
    </row>
    <row r="1406" spans="1:9" x14ac:dyDescent="0.25">
      <c r="A1406" s="8" t="str">
        <f t="shared" si="63"/>
        <v>2008310.UP0</v>
      </c>
      <c r="B1406" s="9" t="str">
        <f t="shared" si="64"/>
        <v/>
      </c>
      <c r="C1406" s="10">
        <f t="shared" si="65"/>
        <v>44095</v>
      </c>
      <c r="D1406">
        <v>2008310</v>
      </c>
      <c r="E1406" t="s">
        <v>136</v>
      </c>
      <c r="F1406" s="6">
        <v>44099</v>
      </c>
      <c r="H1406" t="s">
        <v>189</v>
      </c>
      <c r="I1406" t="s">
        <v>120</v>
      </c>
    </row>
    <row r="1407" spans="1:9" x14ac:dyDescent="0.25">
      <c r="A1407" s="8" t="str">
        <f t="shared" si="63"/>
        <v>2008311.X00</v>
      </c>
      <c r="B1407" s="9" t="str">
        <f t="shared" si="64"/>
        <v/>
      </c>
      <c r="C1407" s="10">
        <f t="shared" si="65"/>
        <v>44088</v>
      </c>
      <c r="D1407">
        <v>2008311</v>
      </c>
      <c r="E1407" t="s">
        <v>225</v>
      </c>
      <c r="F1407" s="6">
        <v>44092</v>
      </c>
      <c r="H1407" t="s">
        <v>189</v>
      </c>
      <c r="I1407" t="s">
        <v>120</v>
      </c>
    </row>
    <row r="1408" spans="1:9" x14ac:dyDescent="0.25">
      <c r="A1408" s="8" t="str">
        <f t="shared" si="63"/>
        <v>2008312.000</v>
      </c>
      <c r="B1408" s="9" t="str">
        <f t="shared" si="64"/>
        <v/>
      </c>
      <c r="C1408" s="10">
        <f t="shared" si="65"/>
        <v>44081</v>
      </c>
      <c r="D1408">
        <v>2008312</v>
      </c>
      <c r="E1408">
        <v>0</v>
      </c>
      <c r="F1408" s="6">
        <v>44085</v>
      </c>
      <c r="H1408" t="s">
        <v>180</v>
      </c>
      <c r="I1408" t="s">
        <v>120</v>
      </c>
    </row>
    <row r="1409" spans="1:9" x14ac:dyDescent="0.25">
      <c r="A1409" s="8" t="str">
        <f t="shared" si="63"/>
        <v>2008313.Y02</v>
      </c>
      <c r="B1409" s="9" t="str">
        <f t="shared" si="64"/>
        <v/>
      </c>
      <c r="C1409" s="10">
        <f t="shared" si="65"/>
        <v>44095</v>
      </c>
      <c r="D1409">
        <v>2008313</v>
      </c>
      <c r="E1409" t="s">
        <v>144</v>
      </c>
      <c r="F1409" s="6">
        <v>44099</v>
      </c>
      <c r="H1409" t="s">
        <v>192</v>
      </c>
      <c r="I1409" t="s">
        <v>120</v>
      </c>
    </row>
    <row r="1410" spans="1:9" x14ac:dyDescent="0.25">
      <c r="A1410" s="8" t="str">
        <f t="shared" ref="A1410:A1473" si="66">IF(D1410="","",IF(E1410=0,CONCATENATE(D1410,".",E1410,"00"),CONCATENATE(D1410,".",E1410)))</f>
        <v>2008314.NF0</v>
      </c>
      <c r="B1410" s="9" t="str">
        <f t="shared" ref="B1410:B1473" si="67">LEFT(G1410,1)</f>
        <v>1</v>
      </c>
      <c r="C1410" s="10">
        <f t="shared" ref="C1410:C1473" si="68">IF(F1410="","",IF(B1410="",F1410-4,IF(B1410="1",F1410-4,IF(B1410="2",F1410-3,IF(B1410="3",F1410-2,IF(B1410="4",F1410-1,IF(B1410="V",F1410-7,IF(B1410="J",F1410-8,F1410))))))))</f>
        <v>44067</v>
      </c>
      <c r="D1410">
        <v>2008314</v>
      </c>
      <c r="E1410" t="s">
        <v>137</v>
      </c>
      <c r="F1410" s="6">
        <v>44071</v>
      </c>
      <c r="G1410">
        <v>10</v>
      </c>
      <c r="H1410" t="s">
        <v>183</v>
      </c>
      <c r="I1410" t="s">
        <v>120</v>
      </c>
    </row>
    <row r="1411" spans="1:9" x14ac:dyDescent="0.25">
      <c r="A1411" s="8" t="str">
        <f t="shared" si="66"/>
        <v>2008316.000</v>
      </c>
      <c r="B1411" s="9" t="str">
        <f t="shared" si="67"/>
        <v/>
      </c>
      <c r="C1411" s="10">
        <f t="shared" si="68"/>
        <v>44081</v>
      </c>
      <c r="D1411">
        <v>2008316</v>
      </c>
      <c r="E1411">
        <v>0</v>
      </c>
      <c r="F1411" s="6">
        <v>44085</v>
      </c>
      <c r="H1411" t="s">
        <v>180</v>
      </c>
      <c r="I1411" t="s">
        <v>120</v>
      </c>
    </row>
    <row r="1412" spans="1:9" x14ac:dyDescent="0.25">
      <c r="A1412" s="8" t="str">
        <f t="shared" si="66"/>
        <v>2008316.Y00</v>
      </c>
      <c r="B1412" s="9" t="str">
        <f t="shared" si="67"/>
        <v/>
      </c>
      <c r="C1412" s="10">
        <f t="shared" si="68"/>
        <v>44081</v>
      </c>
      <c r="D1412">
        <v>2008316</v>
      </c>
      <c r="E1412" t="s">
        <v>130</v>
      </c>
      <c r="F1412" s="6">
        <v>44085</v>
      </c>
      <c r="H1412" t="s">
        <v>189</v>
      </c>
      <c r="I1412" t="s">
        <v>120</v>
      </c>
    </row>
    <row r="1413" spans="1:9" x14ac:dyDescent="0.25">
      <c r="A1413" s="8" t="str">
        <f t="shared" si="66"/>
        <v>2008317.HPL</v>
      </c>
      <c r="B1413" s="9" t="str">
        <f t="shared" si="67"/>
        <v/>
      </c>
      <c r="C1413" s="10">
        <f t="shared" si="68"/>
        <v>44088</v>
      </c>
      <c r="D1413">
        <v>2008317</v>
      </c>
      <c r="E1413" t="s">
        <v>128</v>
      </c>
      <c r="F1413" s="6">
        <v>44092</v>
      </c>
      <c r="H1413" t="s">
        <v>189</v>
      </c>
      <c r="I1413" t="s">
        <v>120</v>
      </c>
    </row>
    <row r="1414" spans="1:9" x14ac:dyDescent="0.25">
      <c r="A1414" s="8" t="str">
        <f t="shared" si="66"/>
        <v>2008318.H00</v>
      </c>
      <c r="B1414" s="9" t="str">
        <f t="shared" si="67"/>
        <v/>
      </c>
      <c r="C1414" s="10">
        <f t="shared" si="68"/>
        <v>44088</v>
      </c>
      <c r="D1414">
        <v>2008318</v>
      </c>
      <c r="E1414" t="s">
        <v>122</v>
      </c>
      <c r="F1414" s="6">
        <v>44092</v>
      </c>
      <c r="H1414" t="s">
        <v>189</v>
      </c>
      <c r="I1414" t="s">
        <v>120</v>
      </c>
    </row>
    <row r="1415" spans="1:9" x14ac:dyDescent="0.25">
      <c r="A1415" s="8" t="str">
        <f t="shared" si="66"/>
        <v>2008318.HPL</v>
      </c>
      <c r="B1415" s="9" t="str">
        <f t="shared" si="67"/>
        <v/>
      </c>
      <c r="C1415" s="10">
        <f t="shared" si="68"/>
        <v>44088</v>
      </c>
      <c r="D1415">
        <v>2008318</v>
      </c>
      <c r="E1415" t="s">
        <v>128</v>
      </c>
      <c r="F1415" s="6">
        <v>44092</v>
      </c>
      <c r="H1415" t="s">
        <v>180</v>
      </c>
      <c r="I1415" t="s">
        <v>120</v>
      </c>
    </row>
    <row r="1416" spans="1:9" x14ac:dyDescent="0.25">
      <c r="A1416" s="8" t="str">
        <f t="shared" si="66"/>
        <v>2008319.0P0</v>
      </c>
      <c r="B1416" s="9" t="str">
        <f t="shared" si="67"/>
        <v/>
      </c>
      <c r="C1416" s="10">
        <f t="shared" si="68"/>
        <v>44109</v>
      </c>
      <c r="D1416">
        <v>2008319</v>
      </c>
      <c r="E1416" t="s">
        <v>119</v>
      </c>
      <c r="F1416" s="6">
        <v>44113</v>
      </c>
      <c r="H1416" t="s">
        <v>189</v>
      </c>
      <c r="I1416" t="s">
        <v>120</v>
      </c>
    </row>
    <row r="1417" spans="1:9" x14ac:dyDescent="0.25">
      <c r="A1417" s="8" t="str">
        <f t="shared" si="66"/>
        <v>2008321.H00</v>
      </c>
      <c r="B1417" s="9" t="str">
        <f t="shared" si="67"/>
        <v/>
      </c>
      <c r="C1417" s="10">
        <f t="shared" si="68"/>
        <v>44095</v>
      </c>
      <c r="D1417">
        <v>2008321</v>
      </c>
      <c r="E1417" t="s">
        <v>122</v>
      </c>
      <c r="F1417" s="6">
        <v>44099</v>
      </c>
      <c r="H1417" t="s">
        <v>189</v>
      </c>
      <c r="I1417" t="s">
        <v>120</v>
      </c>
    </row>
    <row r="1418" spans="1:9" x14ac:dyDescent="0.25">
      <c r="A1418" s="8" t="str">
        <f t="shared" si="66"/>
        <v>2008321.X03</v>
      </c>
      <c r="B1418" s="9" t="str">
        <f t="shared" si="67"/>
        <v/>
      </c>
      <c r="C1418" s="10">
        <f t="shared" si="68"/>
        <v>44095</v>
      </c>
      <c r="D1418">
        <v>2008321</v>
      </c>
      <c r="E1418" t="s">
        <v>296</v>
      </c>
      <c r="F1418" s="6">
        <v>44099</v>
      </c>
      <c r="H1418" t="s">
        <v>189</v>
      </c>
      <c r="I1418" t="s">
        <v>120</v>
      </c>
    </row>
    <row r="1419" spans="1:9" x14ac:dyDescent="0.25">
      <c r="A1419" s="8" t="str">
        <f t="shared" si="66"/>
        <v>2008322.000</v>
      </c>
      <c r="B1419" s="9" t="str">
        <f t="shared" si="67"/>
        <v/>
      </c>
      <c r="C1419" s="10">
        <f t="shared" si="68"/>
        <v>44081</v>
      </c>
      <c r="D1419">
        <v>2008322</v>
      </c>
      <c r="E1419">
        <v>0</v>
      </c>
      <c r="F1419" s="6">
        <v>44085</v>
      </c>
      <c r="H1419" t="s">
        <v>180</v>
      </c>
      <c r="I1419" t="s">
        <v>120</v>
      </c>
    </row>
    <row r="1420" spans="1:9" x14ac:dyDescent="0.25">
      <c r="A1420" s="8" t="str">
        <f t="shared" si="66"/>
        <v>2008322.00L</v>
      </c>
      <c r="B1420" s="9" t="str">
        <f t="shared" si="67"/>
        <v/>
      </c>
      <c r="C1420" s="10">
        <f t="shared" si="68"/>
        <v>44081</v>
      </c>
      <c r="D1420">
        <v>2008322</v>
      </c>
      <c r="E1420" t="s">
        <v>237</v>
      </c>
      <c r="F1420" s="6">
        <v>44085</v>
      </c>
      <c r="H1420" t="s">
        <v>180</v>
      </c>
      <c r="I1420" t="s">
        <v>120</v>
      </c>
    </row>
    <row r="1421" spans="1:9" x14ac:dyDescent="0.25">
      <c r="A1421" s="8" t="str">
        <f t="shared" si="66"/>
        <v>2008323.000</v>
      </c>
      <c r="B1421" s="9" t="str">
        <f t="shared" si="67"/>
        <v/>
      </c>
      <c r="C1421" s="10">
        <f t="shared" si="68"/>
        <v>44081</v>
      </c>
      <c r="D1421">
        <v>2008323</v>
      </c>
      <c r="E1421">
        <v>0</v>
      </c>
      <c r="F1421" s="6">
        <v>44085</v>
      </c>
      <c r="H1421" t="s">
        <v>188</v>
      </c>
      <c r="I1421" t="s">
        <v>120</v>
      </c>
    </row>
    <row r="1422" spans="1:9" x14ac:dyDescent="0.25">
      <c r="A1422" s="8" t="str">
        <f t="shared" si="66"/>
        <v>2008324.000</v>
      </c>
      <c r="B1422" s="9" t="str">
        <f t="shared" si="67"/>
        <v/>
      </c>
      <c r="C1422" s="10">
        <f t="shared" si="68"/>
        <v>44081</v>
      </c>
      <c r="D1422">
        <v>2008324</v>
      </c>
      <c r="E1422">
        <v>0</v>
      </c>
      <c r="F1422" s="6">
        <v>44085</v>
      </c>
      <c r="H1422" t="s">
        <v>180</v>
      </c>
      <c r="I1422" t="s">
        <v>120</v>
      </c>
    </row>
    <row r="1423" spans="1:9" x14ac:dyDescent="0.25">
      <c r="A1423" s="8" t="str">
        <f t="shared" si="66"/>
        <v>2008325.X02</v>
      </c>
      <c r="B1423" s="9" t="str">
        <f t="shared" si="67"/>
        <v/>
      </c>
      <c r="C1423" s="10">
        <f t="shared" si="68"/>
        <v>44088</v>
      </c>
      <c r="D1423">
        <v>2008325</v>
      </c>
      <c r="E1423" t="s">
        <v>166</v>
      </c>
      <c r="F1423" s="6">
        <v>44092</v>
      </c>
      <c r="H1423" t="s">
        <v>192</v>
      </c>
      <c r="I1423" t="s">
        <v>120</v>
      </c>
    </row>
    <row r="1424" spans="1:9" x14ac:dyDescent="0.25">
      <c r="A1424" s="8" t="str">
        <f t="shared" si="66"/>
        <v>2008326.000</v>
      </c>
      <c r="B1424" s="9" t="str">
        <f t="shared" si="67"/>
        <v/>
      </c>
      <c r="C1424" s="10">
        <f t="shared" si="68"/>
        <v>44102</v>
      </c>
      <c r="D1424">
        <v>2008326</v>
      </c>
      <c r="E1424">
        <v>0</v>
      </c>
      <c r="F1424" s="6">
        <v>44106</v>
      </c>
      <c r="H1424" t="s">
        <v>189</v>
      </c>
      <c r="I1424" t="s">
        <v>120</v>
      </c>
    </row>
    <row r="1425" spans="1:9" x14ac:dyDescent="0.25">
      <c r="A1425" s="8" t="str">
        <f t="shared" si="66"/>
        <v>2008327.T00</v>
      </c>
      <c r="B1425" s="9" t="str">
        <f t="shared" si="67"/>
        <v/>
      </c>
      <c r="C1425" s="10">
        <f t="shared" si="68"/>
        <v>44081</v>
      </c>
      <c r="D1425">
        <v>2008327</v>
      </c>
      <c r="E1425" t="s">
        <v>159</v>
      </c>
      <c r="F1425" s="6">
        <v>44085</v>
      </c>
      <c r="H1425" t="s">
        <v>189</v>
      </c>
      <c r="I1425" t="s">
        <v>120</v>
      </c>
    </row>
    <row r="1426" spans="1:9" x14ac:dyDescent="0.25">
      <c r="A1426" s="8" t="str">
        <f t="shared" si="66"/>
        <v>2008328.HP2</v>
      </c>
      <c r="B1426" s="9" t="str">
        <f t="shared" si="67"/>
        <v/>
      </c>
      <c r="C1426" s="10">
        <f t="shared" si="68"/>
        <v>44088</v>
      </c>
      <c r="D1426">
        <v>2008328</v>
      </c>
      <c r="E1426" t="s">
        <v>138</v>
      </c>
      <c r="F1426" s="6">
        <v>44092</v>
      </c>
      <c r="H1426" t="s">
        <v>180</v>
      </c>
      <c r="I1426" t="s">
        <v>120</v>
      </c>
    </row>
    <row r="1427" spans="1:9" x14ac:dyDescent="0.25">
      <c r="A1427" s="8" t="str">
        <f t="shared" si="66"/>
        <v>2008329.H00</v>
      </c>
      <c r="B1427" s="9" t="str">
        <f t="shared" si="67"/>
        <v/>
      </c>
      <c r="C1427" s="10">
        <f t="shared" si="68"/>
        <v>44088</v>
      </c>
      <c r="D1427">
        <v>2008329</v>
      </c>
      <c r="E1427" t="s">
        <v>122</v>
      </c>
      <c r="F1427" s="6">
        <v>44092</v>
      </c>
      <c r="H1427" t="s">
        <v>189</v>
      </c>
      <c r="I1427" t="s">
        <v>120</v>
      </c>
    </row>
    <row r="1428" spans="1:9" x14ac:dyDescent="0.25">
      <c r="A1428" s="8" t="str">
        <f t="shared" si="66"/>
        <v>2008329.Y00</v>
      </c>
      <c r="B1428" s="9" t="str">
        <f t="shared" si="67"/>
        <v/>
      </c>
      <c r="C1428" s="10">
        <f t="shared" si="68"/>
        <v>44088</v>
      </c>
      <c r="D1428">
        <v>2008329</v>
      </c>
      <c r="E1428" t="s">
        <v>130</v>
      </c>
      <c r="F1428" s="6">
        <v>44092</v>
      </c>
      <c r="H1428" t="s">
        <v>189</v>
      </c>
      <c r="I1428" t="s">
        <v>120</v>
      </c>
    </row>
    <row r="1429" spans="1:9" x14ac:dyDescent="0.25">
      <c r="A1429" s="8" t="str">
        <f t="shared" si="66"/>
        <v>2008331.000</v>
      </c>
      <c r="B1429" s="9" t="str">
        <f t="shared" si="67"/>
        <v/>
      </c>
      <c r="C1429" s="10">
        <f t="shared" si="68"/>
        <v>44081</v>
      </c>
      <c r="D1429">
        <v>2008331</v>
      </c>
      <c r="E1429">
        <v>0</v>
      </c>
      <c r="F1429" s="6">
        <v>44085</v>
      </c>
      <c r="H1429" t="s">
        <v>180</v>
      </c>
      <c r="I1429" t="s">
        <v>120</v>
      </c>
    </row>
    <row r="1430" spans="1:9" x14ac:dyDescent="0.25">
      <c r="A1430" s="8" t="str">
        <f t="shared" si="66"/>
        <v>2008332.000</v>
      </c>
      <c r="B1430" s="9" t="str">
        <f t="shared" si="67"/>
        <v/>
      </c>
      <c r="C1430" s="10">
        <f t="shared" si="68"/>
        <v>44081</v>
      </c>
      <c r="D1430">
        <v>2008332</v>
      </c>
      <c r="E1430">
        <v>0</v>
      </c>
      <c r="F1430" s="6">
        <v>44085</v>
      </c>
      <c r="H1430" t="s">
        <v>180</v>
      </c>
      <c r="I1430" t="s">
        <v>120</v>
      </c>
    </row>
    <row r="1431" spans="1:9" x14ac:dyDescent="0.25">
      <c r="A1431" s="8" t="str">
        <f t="shared" si="66"/>
        <v>2008333.U00</v>
      </c>
      <c r="B1431" s="9" t="str">
        <f t="shared" si="67"/>
        <v/>
      </c>
      <c r="C1431" s="10">
        <f t="shared" si="68"/>
        <v>44095</v>
      </c>
      <c r="D1431">
        <v>2008333</v>
      </c>
      <c r="E1431" t="s">
        <v>131</v>
      </c>
      <c r="F1431" s="6">
        <v>44099</v>
      </c>
      <c r="H1431" t="s">
        <v>189</v>
      </c>
      <c r="I1431" t="s">
        <v>120</v>
      </c>
    </row>
    <row r="1432" spans="1:9" x14ac:dyDescent="0.25">
      <c r="A1432" s="8" t="str">
        <f t="shared" si="66"/>
        <v>2008334.C00</v>
      </c>
      <c r="B1432" s="9" t="str">
        <f t="shared" si="67"/>
        <v/>
      </c>
      <c r="C1432" s="10">
        <f t="shared" si="68"/>
        <v>44081</v>
      </c>
      <c r="D1432">
        <v>2008334</v>
      </c>
      <c r="E1432" t="s">
        <v>147</v>
      </c>
      <c r="F1432" s="6">
        <v>44085</v>
      </c>
      <c r="H1432" t="s">
        <v>188</v>
      </c>
      <c r="I1432" t="s">
        <v>120</v>
      </c>
    </row>
    <row r="1433" spans="1:9" x14ac:dyDescent="0.25">
      <c r="A1433" s="8" t="str">
        <f t="shared" si="66"/>
        <v>2008335.0P0</v>
      </c>
      <c r="B1433" s="9" t="str">
        <f t="shared" si="67"/>
        <v/>
      </c>
      <c r="C1433" s="10">
        <f t="shared" si="68"/>
        <v>44081</v>
      </c>
      <c r="D1433">
        <v>2008335</v>
      </c>
      <c r="E1433" t="s">
        <v>119</v>
      </c>
      <c r="F1433" s="6">
        <v>44085</v>
      </c>
      <c r="H1433" t="s">
        <v>180</v>
      </c>
      <c r="I1433" t="s">
        <v>120</v>
      </c>
    </row>
    <row r="1434" spans="1:9" x14ac:dyDescent="0.25">
      <c r="A1434" s="8" t="str">
        <f t="shared" si="66"/>
        <v>2008336.000</v>
      </c>
      <c r="B1434" s="9" t="str">
        <f t="shared" si="67"/>
        <v/>
      </c>
      <c r="C1434" s="10">
        <f t="shared" si="68"/>
        <v>44081</v>
      </c>
      <c r="D1434">
        <v>2008336</v>
      </c>
      <c r="E1434">
        <v>0</v>
      </c>
      <c r="F1434" s="6">
        <v>44085</v>
      </c>
      <c r="H1434" t="s">
        <v>266</v>
      </c>
      <c r="I1434" t="s">
        <v>120</v>
      </c>
    </row>
    <row r="1435" spans="1:9" x14ac:dyDescent="0.25">
      <c r="A1435" s="8" t="str">
        <f t="shared" si="66"/>
        <v>2008336.0P0</v>
      </c>
      <c r="B1435" s="9" t="str">
        <f t="shared" si="67"/>
        <v/>
      </c>
      <c r="C1435" s="10">
        <f t="shared" si="68"/>
        <v>44081</v>
      </c>
      <c r="D1435">
        <v>2008336</v>
      </c>
      <c r="E1435" t="s">
        <v>119</v>
      </c>
      <c r="F1435" s="6">
        <v>44085</v>
      </c>
      <c r="H1435" t="s">
        <v>266</v>
      </c>
      <c r="I1435" t="s">
        <v>120</v>
      </c>
    </row>
    <row r="1436" spans="1:9" x14ac:dyDescent="0.25">
      <c r="A1436" s="8" t="str">
        <f t="shared" si="66"/>
        <v>2008336.NM0</v>
      </c>
      <c r="B1436" s="9" t="str">
        <f t="shared" si="67"/>
        <v/>
      </c>
      <c r="C1436" s="10">
        <f t="shared" si="68"/>
        <v>44081</v>
      </c>
      <c r="D1436">
        <v>2008336</v>
      </c>
      <c r="E1436" t="s">
        <v>154</v>
      </c>
      <c r="F1436" s="6">
        <v>44085</v>
      </c>
      <c r="H1436" t="s">
        <v>189</v>
      </c>
      <c r="I1436" t="s">
        <v>120</v>
      </c>
    </row>
    <row r="1437" spans="1:9" x14ac:dyDescent="0.25">
      <c r="A1437" s="8" t="str">
        <f t="shared" si="66"/>
        <v>2008337.H00</v>
      </c>
      <c r="B1437" s="9" t="str">
        <f t="shared" si="67"/>
        <v>1</v>
      </c>
      <c r="C1437" s="10">
        <f t="shared" si="68"/>
        <v>44081</v>
      </c>
      <c r="D1437">
        <v>2008337</v>
      </c>
      <c r="E1437" t="s">
        <v>122</v>
      </c>
      <c r="F1437" s="6">
        <v>44085</v>
      </c>
      <c r="G1437">
        <v>1</v>
      </c>
      <c r="H1437" t="s">
        <v>189</v>
      </c>
      <c r="I1437" t="s">
        <v>120</v>
      </c>
    </row>
    <row r="1438" spans="1:9" x14ac:dyDescent="0.25">
      <c r="A1438" s="8" t="str">
        <f t="shared" si="66"/>
        <v>2008337.HP1</v>
      </c>
      <c r="B1438" s="9" t="str">
        <f t="shared" si="67"/>
        <v>1</v>
      </c>
      <c r="C1438" s="10">
        <f t="shared" si="68"/>
        <v>44081</v>
      </c>
      <c r="D1438">
        <v>2008337</v>
      </c>
      <c r="E1438" t="s">
        <v>129</v>
      </c>
      <c r="F1438" s="6">
        <v>44085</v>
      </c>
      <c r="G1438">
        <v>1</v>
      </c>
      <c r="H1438" t="s">
        <v>180</v>
      </c>
      <c r="I1438" t="s">
        <v>120</v>
      </c>
    </row>
    <row r="1439" spans="1:9" x14ac:dyDescent="0.25">
      <c r="A1439" s="8" t="str">
        <f t="shared" si="66"/>
        <v>2008338.H00</v>
      </c>
      <c r="B1439" s="9" t="str">
        <f t="shared" si="67"/>
        <v>3</v>
      </c>
      <c r="C1439" s="10">
        <f t="shared" si="68"/>
        <v>44083</v>
      </c>
      <c r="D1439">
        <v>2008338</v>
      </c>
      <c r="E1439" t="s">
        <v>122</v>
      </c>
      <c r="F1439" s="6">
        <v>44085</v>
      </c>
      <c r="G1439">
        <v>3</v>
      </c>
      <c r="H1439" t="s">
        <v>189</v>
      </c>
      <c r="I1439" t="s">
        <v>120</v>
      </c>
    </row>
    <row r="1440" spans="1:9" x14ac:dyDescent="0.25">
      <c r="A1440" s="8" t="str">
        <f t="shared" si="66"/>
        <v>2008339.X00</v>
      </c>
      <c r="B1440" s="9" t="str">
        <f t="shared" si="67"/>
        <v/>
      </c>
      <c r="C1440" s="10">
        <f t="shared" si="68"/>
        <v>44081</v>
      </c>
      <c r="D1440">
        <v>2008339</v>
      </c>
      <c r="E1440" t="s">
        <v>225</v>
      </c>
      <c r="F1440" s="6">
        <v>44085</v>
      </c>
      <c r="H1440" t="s">
        <v>180</v>
      </c>
      <c r="I1440" t="s">
        <v>120</v>
      </c>
    </row>
    <row r="1441" spans="1:9" x14ac:dyDescent="0.25">
      <c r="A1441" s="8" t="str">
        <f t="shared" si="66"/>
        <v>2008339.XP0</v>
      </c>
      <c r="B1441" s="9" t="str">
        <f t="shared" si="67"/>
        <v/>
      </c>
      <c r="C1441" s="10">
        <f t="shared" si="68"/>
        <v>44081</v>
      </c>
      <c r="D1441">
        <v>2008339</v>
      </c>
      <c r="E1441" t="s">
        <v>181</v>
      </c>
      <c r="F1441" s="6">
        <v>44085</v>
      </c>
      <c r="H1441" t="s">
        <v>180</v>
      </c>
      <c r="I1441" t="s">
        <v>120</v>
      </c>
    </row>
    <row r="1442" spans="1:9" x14ac:dyDescent="0.25">
      <c r="A1442" s="8" t="str">
        <f t="shared" si="66"/>
        <v>2008340.Y00</v>
      </c>
      <c r="B1442" s="9" t="str">
        <f t="shared" si="67"/>
        <v/>
      </c>
      <c r="C1442" s="10">
        <f t="shared" si="68"/>
        <v>44095</v>
      </c>
      <c r="D1442">
        <v>2008340</v>
      </c>
      <c r="E1442" t="s">
        <v>130</v>
      </c>
      <c r="F1442" s="6">
        <v>44099</v>
      </c>
      <c r="H1442" t="s">
        <v>189</v>
      </c>
      <c r="I1442" t="s">
        <v>120</v>
      </c>
    </row>
    <row r="1443" spans="1:9" x14ac:dyDescent="0.25">
      <c r="A1443" s="8" t="str">
        <f t="shared" si="66"/>
        <v>2008341.0P0</v>
      </c>
      <c r="B1443" s="9" t="str">
        <f t="shared" si="67"/>
        <v/>
      </c>
      <c r="C1443" s="10">
        <f t="shared" si="68"/>
        <v>44081</v>
      </c>
      <c r="D1443">
        <v>2008341</v>
      </c>
      <c r="E1443" t="s">
        <v>119</v>
      </c>
      <c r="F1443" s="6">
        <v>44085</v>
      </c>
      <c r="H1443" t="s">
        <v>188</v>
      </c>
      <c r="I1443" t="s">
        <v>120</v>
      </c>
    </row>
    <row r="1444" spans="1:9" x14ac:dyDescent="0.25">
      <c r="A1444" s="8" t="str">
        <f t="shared" si="66"/>
        <v>2008342.000</v>
      </c>
      <c r="B1444" s="9" t="str">
        <f t="shared" si="67"/>
        <v/>
      </c>
      <c r="C1444" s="10">
        <f t="shared" si="68"/>
        <v>44081</v>
      </c>
      <c r="D1444">
        <v>2008342</v>
      </c>
      <c r="E1444">
        <v>0</v>
      </c>
      <c r="F1444" s="6">
        <v>44085</v>
      </c>
      <c r="H1444" t="s">
        <v>188</v>
      </c>
      <c r="I1444" t="s">
        <v>120</v>
      </c>
    </row>
    <row r="1445" spans="1:9" x14ac:dyDescent="0.25">
      <c r="A1445" s="8" t="str">
        <f t="shared" si="66"/>
        <v>2008343.U02</v>
      </c>
      <c r="B1445" s="9" t="str">
        <f t="shared" si="67"/>
        <v/>
      </c>
      <c r="C1445" s="10">
        <f t="shared" si="68"/>
        <v>44095</v>
      </c>
      <c r="D1445">
        <v>2008343</v>
      </c>
      <c r="E1445" t="s">
        <v>149</v>
      </c>
      <c r="F1445" s="6">
        <v>44099</v>
      </c>
      <c r="H1445" t="s">
        <v>189</v>
      </c>
      <c r="I1445" t="s">
        <v>120</v>
      </c>
    </row>
    <row r="1446" spans="1:9" x14ac:dyDescent="0.25">
      <c r="A1446" s="8" t="str">
        <f t="shared" si="66"/>
        <v>2008345.X00</v>
      </c>
      <c r="B1446" s="9" t="str">
        <f t="shared" si="67"/>
        <v/>
      </c>
      <c r="C1446" s="10">
        <f t="shared" si="68"/>
        <v>44109</v>
      </c>
      <c r="D1446">
        <v>2008345</v>
      </c>
      <c r="E1446" t="s">
        <v>225</v>
      </c>
      <c r="F1446" s="6">
        <v>44113</v>
      </c>
      <c r="H1446" t="s">
        <v>189</v>
      </c>
      <c r="I1446" t="s">
        <v>120</v>
      </c>
    </row>
    <row r="1447" spans="1:9" x14ac:dyDescent="0.25">
      <c r="A1447" s="8" t="str">
        <f t="shared" si="66"/>
        <v>2008347.0P0</v>
      </c>
      <c r="B1447" s="9" t="str">
        <f t="shared" si="67"/>
        <v/>
      </c>
      <c r="C1447" s="10">
        <f t="shared" si="68"/>
        <v>44116</v>
      </c>
      <c r="D1447">
        <v>2008347</v>
      </c>
      <c r="E1447" t="s">
        <v>119</v>
      </c>
      <c r="F1447" s="6">
        <v>44120</v>
      </c>
      <c r="H1447" t="s">
        <v>189</v>
      </c>
      <c r="I1447" t="s">
        <v>120</v>
      </c>
    </row>
    <row r="1448" spans="1:9" x14ac:dyDescent="0.25">
      <c r="A1448" s="8" t="str">
        <f t="shared" si="66"/>
        <v>2008348.000</v>
      </c>
      <c r="B1448" s="9" t="str">
        <f t="shared" si="67"/>
        <v/>
      </c>
      <c r="C1448" s="10">
        <f t="shared" si="68"/>
        <v>44095</v>
      </c>
      <c r="D1448">
        <v>2008348</v>
      </c>
      <c r="E1448">
        <v>0</v>
      </c>
      <c r="F1448" s="6">
        <v>44099</v>
      </c>
      <c r="H1448" t="s">
        <v>189</v>
      </c>
      <c r="I1448" t="s">
        <v>120</v>
      </c>
    </row>
    <row r="1449" spans="1:9" x14ac:dyDescent="0.25">
      <c r="A1449" s="8" t="str">
        <f t="shared" si="66"/>
        <v>2008348.Y00</v>
      </c>
      <c r="B1449" s="9" t="str">
        <f t="shared" si="67"/>
        <v/>
      </c>
      <c r="C1449" s="10">
        <f t="shared" si="68"/>
        <v>44095</v>
      </c>
      <c r="D1449">
        <v>2008348</v>
      </c>
      <c r="E1449" t="s">
        <v>130</v>
      </c>
      <c r="F1449" s="6">
        <v>44099</v>
      </c>
      <c r="H1449" t="s">
        <v>189</v>
      </c>
      <c r="I1449" t="s">
        <v>120</v>
      </c>
    </row>
    <row r="1450" spans="1:9" x14ac:dyDescent="0.25">
      <c r="A1450" s="8" t="str">
        <f t="shared" si="66"/>
        <v>2008351.000</v>
      </c>
      <c r="B1450" s="9" t="str">
        <f t="shared" si="67"/>
        <v/>
      </c>
      <c r="C1450" s="10">
        <f t="shared" si="68"/>
        <v>44081</v>
      </c>
      <c r="D1450">
        <v>2008351</v>
      </c>
      <c r="E1450">
        <v>0</v>
      </c>
      <c r="F1450" s="6">
        <v>44085</v>
      </c>
      <c r="H1450" t="s">
        <v>180</v>
      </c>
      <c r="I1450" t="s">
        <v>120</v>
      </c>
    </row>
    <row r="1451" spans="1:9" x14ac:dyDescent="0.25">
      <c r="A1451" s="8" t="str">
        <f t="shared" si="66"/>
        <v>2008353.000</v>
      </c>
      <c r="B1451" s="9" t="str">
        <f t="shared" si="67"/>
        <v>4</v>
      </c>
      <c r="C1451" s="10">
        <f t="shared" si="68"/>
        <v>44077</v>
      </c>
      <c r="D1451">
        <v>2008353</v>
      </c>
      <c r="E1451">
        <v>0</v>
      </c>
      <c r="F1451" s="6">
        <v>44078</v>
      </c>
      <c r="G1451">
        <v>45</v>
      </c>
      <c r="H1451" t="s">
        <v>180</v>
      </c>
      <c r="I1451" t="s">
        <v>120</v>
      </c>
    </row>
    <row r="1452" spans="1:9" x14ac:dyDescent="0.25">
      <c r="A1452" s="8" t="str">
        <f t="shared" si="66"/>
        <v>2008355.U01</v>
      </c>
      <c r="B1452" s="9" t="str">
        <f t="shared" si="67"/>
        <v/>
      </c>
      <c r="C1452" s="10">
        <f t="shared" si="68"/>
        <v>44095</v>
      </c>
      <c r="D1452">
        <v>2008355</v>
      </c>
      <c r="E1452" t="s">
        <v>150</v>
      </c>
      <c r="F1452" s="6">
        <v>44099</v>
      </c>
      <c r="H1452" t="s">
        <v>189</v>
      </c>
      <c r="I1452" t="s">
        <v>120</v>
      </c>
    </row>
    <row r="1453" spans="1:9" x14ac:dyDescent="0.25">
      <c r="A1453" s="8" t="str">
        <f t="shared" si="66"/>
        <v>2008357.H00</v>
      </c>
      <c r="B1453" s="9" t="str">
        <f t="shared" si="67"/>
        <v/>
      </c>
      <c r="C1453" s="10">
        <f t="shared" si="68"/>
        <v>44081</v>
      </c>
      <c r="D1453">
        <v>2008357</v>
      </c>
      <c r="E1453" t="s">
        <v>122</v>
      </c>
      <c r="F1453" s="6">
        <v>44085</v>
      </c>
      <c r="H1453" t="s">
        <v>180</v>
      </c>
      <c r="I1453" t="s">
        <v>120</v>
      </c>
    </row>
    <row r="1454" spans="1:9" x14ac:dyDescent="0.25">
      <c r="A1454" s="8" t="str">
        <f t="shared" si="66"/>
        <v>2008358.000</v>
      </c>
      <c r="B1454" s="9" t="str">
        <f t="shared" si="67"/>
        <v/>
      </c>
      <c r="C1454" s="10">
        <f t="shared" si="68"/>
        <v>44081</v>
      </c>
      <c r="D1454">
        <v>2008358</v>
      </c>
      <c r="E1454">
        <v>0</v>
      </c>
      <c r="F1454" s="6">
        <v>44085</v>
      </c>
      <c r="H1454" t="s">
        <v>180</v>
      </c>
      <c r="I1454" t="s">
        <v>120</v>
      </c>
    </row>
    <row r="1455" spans="1:9" x14ac:dyDescent="0.25">
      <c r="A1455" s="8" t="str">
        <f t="shared" si="66"/>
        <v>2008359.000</v>
      </c>
      <c r="B1455" s="9" t="str">
        <f t="shared" si="67"/>
        <v/>
      </c>
      <c r="C1455" s="10">
        <f t="shared" si="68"/>
        <v>44081</v>
      </c>
      <c r="D1455">
        <v>2008359</v>
      </c>
      <c r="E1455">
        <v>0</v>
      </c>
      <c r="F1455" s="6">
        <v>44085</v>
      </c>
      <c r="H1455" t="s">
        <v>180</v>
      </c>
      <c r="I1455" t="s">
        <v>120</v>
      </c>
    </row>
    <row r="1456" spans="1:9" x14ac:dyDescent="0.25">
      <c r="A1456" s="8" t="str">
        <f t="shared" si="66"/>
        <v>2008359.H00</v>
      </c>
      <c r="B1456" s="9" t="str">
        <f t="shared" si="67"/>
        <v/>
      </c>
      <c r="C1456" s="10">
        <f t="shared" si="68"/>
        <v>44081</v>
      </c>
      <c r="D1456">
        <v>2008359</v>
      </c>
      <c r="E1456" t="s">
        <v>122</v>
      </c>
      <c r="F1456" s="6">
        <v>44085</v>
      </c>
      <c r="H1456" t="s">
        <v>180</v>
      </c>
      <c r="I1456" t="s">
        <v>120</v>
      </c>
    </row>
    <row r="1457" spans="1:9" x14ac:dyDescent="0.25">
      <c r="A1457" s="8" t="str">
        <f t="shared" si="66"/>
        <v>2008360.H00</v>
      </c>
      <c r="B1457" s="9" t="str">
        <f t="shared" si="67"/>
        <v/>
      </c>
      <c r="C1457" s="10">
        <f t="shared" si="68"/>
        <v>44088</v>
      </c>
      <c r="D1457">
        <v>2008360</v>
      </c>
      <c r="E1457" t="s">
        <v>122</v>
      </c>
      <c r="F1457" s="6">
        <v>44092</v>
      </c>
      <c r="H1457" t="s">
        <v>189</v>
      </c>
      <c r="I1457" t="s">
        <v>120</v>
      </c>
    </row>
    <row r="1458" spans="1:9" x14ac:dyDescent="0.25">
      <c r="A1458" s="8" t="str">
        <f t="shared" si="66"/>
        <v>2008360.Y00</v>
      </c>
      <c r="B1458" s="9" t="str">
        <f t="shared" si="67"/>
        <v/>
      </c>
      <c r="C1458" s="10">
        <f t="shared" si="68"/>
        <v>44088</v>
      </c>
      <c r="D1458">
        <v>2008360</v>
      </c>
      <c r="E1458" t="s">
        <v>130</v>
      </c>
      <c r="F1458" s="6">
        <v>44092</v>
      </c>
      <c r="H1458" t="s">
        <v>189</v>
      </c>
      <c r="I1458" t="s">
        <v>120</v>
      </c>
    </row>
    <row r="1459" spans="1:9" x14ac:dyDescent="0.25">
      <c r="A1459" s="8" t="str">
        <f t="shared" si="66"/>
        <v>2008360.Y01</v>
      </c>
      <c r="B1459" s="9" t="str">
        <f t="shared" si="67"/>
        <v/>
      </c>
      <c r="C1459" s="10">
        <f t="shared" si="68"/>
        <v>44088</v>
      </c>
      <c r="D1459">
        <v>2008360</v>
      </c>
      <c r="E1459" t="s">
        <v>132</v>
      </c>
      <c r="F1459" s="6">
        <v>44092</v>
      </c>
      <c r="H1459" t="s">
        <v>189</v>
      </c>
      <c r="I1459" t="s">
        <v>120</v>
      </c>
    </row>
    <row r="1460" spans="1:9" x14ac:dyDescent="0.25">
      <c r="A1460" s="8" t="str">
        <f t="shared" si="66"/>
        <v>2008361.NV0</v>
      </c>
      <c r="B1460" s="9" t="str">
        <f t="shared" si="67"/>
        <v>2</v>
      </c>
      <c r="C1460" s="10">
        <f t="shared" si="68"/>
        <v>44040</v>
      </c>
      <c r="D1460">
        <v>2008361</v>
      </c>
      <c r="E1460" t="s">
        <v>126</v>
      </c>
      <c r="F1460" s="6">
        <v>44043</v>
      </c>
      <c r="G1460">
        <v>20</v>
      </c>
      <c r="H1460" t="s">
        <v>194</v>
      </c>
      <c r="I1460" t="s">
        <v>120</v>
      </c>
    </row>
    <row r="1461" spans="1:9" x14ac:dyDescent="0.25">
      <c r="A1461" s="8" t="str">
        <f t="shared" si="66"/>
        <v>2008362.000</v>
      </c>
      <c r="B1461" s="9" t="str">
        <f t="shared" si="67"/>
        <v/>
      </c>
      <c r="C1461" s="10">
        <f t="shared" si="68"/>
        <v>44081</v>
      </c>
      <c r="D1461">
        <v>2008362</v>
      </c>
      <c r="E1461">
        <v>0</v>
      </c>
      <c r="F1461" s="6">
        <v>44085</v>
      </c>
      <c r="H1461" t="s">
        <v>180</v>
      </c>
      <c r="I1461" t="s">
        <v>120</v>
      </c>
    </row>
    <row r="1462" spans="1:9" x14ac:dyDescent="0.25">
      <c r="A1462" s="8" t="str">
        <f t="shared" si="66"/>
        <v>2008362.NV0</v>
      </c>
      <c r="B1462" s="9" t="str">
        <f t="shared" si="67"/>
        <v/>
      </c>
      <c r="C1462" s="10">
        <f t="shared" si="68"/>
        <v>44081</v>
      </c>
      <c r="D1462">
        <v>2008362</v>
      </c>
      <c r="E1462" t="s">
        <v>126</v>
      </c>
      <c r="F1462" s="6">
        <v>44085</v>
      </c>
      <c r="H1462" t="s">
        <v>194</v>
      </c>
      <c r="I1462" t="s">
        <v>120</v>
      </c>
    </row>
    <row r="1463" spans="1:9" x14ac:dyDescent="0.25">
      <c r="A1463" s="8" t="str">
        <f t="shared" si="66"/>
        <v>2008364.H00</v>
      </c>
      <c r="B1463" s="9" t="str">
        <f t="shared" si="67"/>
        <v/>
      </c>
      <c r="C1463" s="10">
        <f t="shared" si="68"/>
        <v>44116</v>
      </c>
      <c r="D1463">
        <v>2008364</v>
      </c>
      <c r="E1463" t="s">
        <v>122</v>
      </c>
      <c r="F1463" s="6">
        <v>44120</v>
      </c>
      <c r="H1463" t="s">
        <v>189</v>
      </c>
      <c r="I1463" t="s">
        <v>120</v>
      </c>
    </row>
    <row r="1464" spans="1:9" x14ac:dyDescent="0.25">
      <c r="A1464" s="8" t="str">
        <f t="shared" si="66"/>
        <v>2008364.HP0</v>
      </c>
      <c r="B1464" s="9" t="str">
        <f t="shared" si="67"/>
        <v/>
      </c>
      <c r="C1464" s="10">
        <f t="shared" si="68"/>
        <v>44116</v>
      </c>
      <c r="D1464">
        <v>2008364</v>
      </c>
      <c r="E1464" t="s">
        <v>121</v>
      </c>
      <c r="F1464" s="6">
        <v>44120</v>
      </c>
      <c r="H1464" t="s">
        <v>189</v>
      </c>
      <c r="I1464" t="s">
        <v>120</v>
      </c>
    </row>
    <row r="1465" spans="1:9" x14ac:dyDescent="0.25">
      <c r="A1465" s="8" t="str">
        <f t="shared" si="66"/>
        <v>2008364.U01</v>
      </c>
      <c r="B1465" s="9" t="str">
        <f t="shared" si="67"/>
        <v/>
      </c>
      <c r="C1465" s="10">
        <f t="shared" si="68"/>
        <v>44116</v>
      </c>
      <c r="D1465">
        <v>2008364</v>
      </c>
      <c r="E1465" t="s">
        <v>150</v>
      </c>
      <c r="F1465" s="6">
        <v>44120</v>
      </c>
      <c r="H1465" t="s">
        <v>189</v>
      </c>
      <c r="I1465" t="s">
        <v>120</v>
      </c>
    </row>
    <row r="1466" spans="1:9" x14ac:dyDescent="0.25">
      <c r="A1466" s="8" t="str">
        <f t="shared" si="66"/>
        <v>2008365.000</v>
      </c>
      <c r="B1466" s="9" t="str">
        <f t="shared" si="67"/>
        <v/>
      </c>
      <c r="C1466" s="10">
        <f t="shared" si="68"/>
        <v>44081</v>
      </c>
      <c r="D1466">
        <v>2008365</v>
      </c>
      <c r="E1466">
        <v>0</v>
      </c>
      <c r="F1466" s="6">
        <v>44085</v>
      </c>
      <c r="H1466" t="s">
        <v>180</v>
      </c>
      <c r="I1466" t="s">
        <v>120</v>
      </c>
    </row>
    <row r="1467" spans="1:9" x14ac:dyDescent="0.25">
      <c r="A1467" s="8" t="str">
        <f t="shared" si="66"/>
        <v>2008367.000</v>
      </c>
      <c r="B1467" s="9" t="str">
        <f t="shared" si="67"/>
        <v/>
      </c>
      <c r="C1467" s="10">
        <f t="shared" si="68"/>
        <v>44088</v>
      </c>
      <c r="D1467">
        <v>2008367</v>
      </c>
      <c r="E1467">
        <v>0</v>
      </c>
      <c r="F1467" s="6">
        <v>44092</v>
      </c>
      <c r="H1467" t="s">
        <v>189</v>
      </c>
      <c r="I1467" t="s">
        <v>120</v>
      </c>
    </row>
    <row r="1468" spans="1:9" x14ac:dyDescent="0.25">
      <c r="A1468" s="8" t="str">
        <f t="shared" si="66"/>
        <v>2008367.0P0</v>
      </c>
      <c r="B1468" s="9" t="str">
        <f t="shared" si="67"/>
        <v/>
      </c>
      <c r="C1468" s="10">
        <f t="shared" si="68"/>
        <v>44088</v>
      </c>
      <c r="D1468">
        <v>2008367</v>
      </c>
      <c r="E1468" t="s">
        <v>119</v>
      </c>
      <c r="F1468" s="6">
        <v>44092</v>
      </c>
      <c r="H1468" t="s">
        <v>189</v>
      </c>
      <c r="I1468" t="s">
        <v>120</v>
      </c>
    </row>
    <row r="1469" spans="1:9" x14ac:dyDescent="0.25">
      <c r="A1469" s="8" t="str">
        <f t="shared" si="66"/>
        <v>2008368.H00</v>
      </c>
      <c r="B1469" s="9" t="str">
        <f t="shared" si="67"/>
        <v/>
      </c>
      <c r="C1469" s="10">
        <f t="shared" si="68"/>
        <v>44081</v>
      </c>
      <c r="D1469">
        <v>2008368</v>
      </c>
      <c r="E1469" t="s">
        <v>122</v>
      </c>
      <c r="F1469" s="6">
        <v>44085</v>
      </c>
      <c r="H1469" t="s">
        <v>180</v>
      </c>
      <c r="I1469" t="s">
        <v>120</v>
      </c>
    </row>
    <row r="1470" spans="1:9" x14ac:dyDescent="0.25">
      <c r="A1470" s="8" t="str">
        <f t="shared" si="66"/>
        <v>2008369.ZP2</v>
      </c>
      <c r="B1470" s="9" t="str">
        <f t="shared" si="67"/>
        <v/>
      </c>
      <c r="C1470" s="10">
        <f t="shared" si="68"/>
        <v>44088</v>
      </c>
      <c r="D1470">
        <v>2008369</v>
      </c>
      <c r="E1470" t="s">
        <v>151</v>
      </c>
      <c r="F1470" s="6">
        <v>44092</v>
      </c>
      <c r="H1470" t="s">
        <v>190</v>
      </c>
      <c r="I1470" t="s">
        <v>120</v>
      </c>
    </row>
    <row r="1471" spans="1:9" x14ac:dyDescent="0.25">
      <c r="A1471" s="8" t="str">
        <f t="shared" si="66"/>
        <v>2008370.000</v>
      </c>
      <c r="B1471" s="9" t="str">
        <f t="shared" si="67"/>
        <v/>
      </c>
      <c r="C1471" s="10">
        <f t="shared" si="68"/>
        <v>44081</v>
      </c>
      <c r="D1471">
        <v>2008370</v>
      </c>
      <c r="E1471">
        <v>0</v>
      </c>
      <c r="F1471" s="6">
        <v>44085</v>
      </c>
      <c r="H1471" t="s">
        <v>192</v>
      </c>
      <c r="I1471" t="s">
        <v>120</v>
      </c>
    </row>
    <row r="1472" spans="1:9" x14ac:dyDescent="0.25">
      <c r="A1472" s="8" t="str">
        <f t="shared" si="66"/>
        <v>2008371.000</v>
      </c>
      <c r="B1472" s="9" t="str">
        <f t="shared" si="67"/>
        <v/>
      </c>
      <c r="C1472" s="10">
        <f t="shared" si="68"/>
        <v>44081</v>
      </c>
      <c r="D1472">
        <v>2008371</v>
      </c>
      <c r="E1472">
        <v>0</v>
      </c>
      <c r="F1472" s="6">
        <v>44085</v>
      </c>
      <c r="H1472" t="s">
        <v>180</v>
      </c>
      <c r="I1472" t="s">
        <v>120</v>
      </c>
    </row>
    <row r="1473" spans="1:9" x14ac:dyDescent="0.25">
      <c r="A1473" s="8" t="str">
        <f t="shared" si="66"/>
        <v>2008372.000</v>
      </c>
      <c r="B1473" s="9" t="str">
        <f t="shared" si="67"/>
        <v/>
      </c>
      <c r="C1473" s="10">
        <f t="shared" si="68"/>
        <v>44081</v>
      </c>
      <c r="D1473">
        <v>2008372</v>
      </c>
      <c r="E1473">
        <v>0</v>
      </c>
      <c r="F1473" s="6">
        <v>44085</v>
      </c>
      <c r="H1473" t="s">
        <v>191</v>
      </c>
      <c r="I1473" t="s">
        <v>120</v>
      </c>
    </row>
    <row r="1474" spans="1:9" x14ac:dyDescent="0.25">
      <c r="A1474" s="8" t="str">
        <f t="shared" ref="A1474:A1537" si="69">IF(D1474="","",IF(E1474=0,CONCATENATE(D1474,".",E1474,"00"),CONCATENATE(D1474,".",E1474)))</f>
        <v>2008372.0P0</v>
      </c>
      <c r="B1474" s="9" t="str">
        <f t="shared" ref="B1474:B1537" si="70">LEFT(G1474,1)</f>
        <v/>
      </c>
      <c r="C1474" s="10">
        <f t="shared" ref="C1474:C1537" si="71">IF(F1474="","",IF(B1474="",F1474-4,IF(B1474="1",F1474-4,IF(B1474="2",F1474-3,IF(B1474="3",F1474-2,IF(B1474="4",F1474-1,IF(B1474="V",F1474-7,IF(B1474="J",F1474-8,F1474))))))))</f>
        <v>44081</v>
      </c>
      <c r="D1474">
        <v>2008372</v>
      </c>
      <c r="E1474" t="s">
        <v>119</v>
      </c>
      <c r="F1474" s="6">
        <v>44085</v>
      </c>
      <c r="H1474" t="s">
        <v>191</v>
      </c>
      <c r="I1474" t="s">
        <v>120</v>
      </c>
    </row>
    <row r="1475" spans="1:9" x14ac:dyDescent="0.25">
      <c r="A1475" s="8" t="str">
        <f t="shared" si="69"/>
        <v>2008373.000</v>
      </c>
      <c r="B1475" s="9" t="str">
        <f t="shared" si="70"/>
        <v/>
      </c>
      <c r="C1475" s="10">
        <f t="shared" si="71"/>
        <v>44081</v>
      </c>
      <c r="D1475">
        <v>2008373</v>
      </c>
      <c r="E1475">
        <v>0</v>
      </c>
      <c r="F1475" s="6">
        <v>44085</v>
      </c>
      <c r="H1475" t="s">
        <v>180</v>
      </c>
      <c r="I1475" t="s">
        <v>120</v>
      </c>
    </row>
    <row r="1476" spans="1:9" x14ac:dyDescent="0.25">
      <c r="A1476" s="8" t="str">
        <f t="shared" si="69"/>
        <v>2008374.000</v>
      </c>
      <c r="B1476" s="9" t="str">
        <f t="shared" si="70"/>
        <v/>
      </c>
      <c r="C1476" s="10">
        <f t="shared" si="71"/>
        <v>44081</v>
      </c>
      <c r="D1476">
        <v>2008374</v>
      </c>
      <c r="E1476">
        <v>0</v>
      </c>
      <c r="F1476" s="6">
        <v>44085</v>
      </c>
      <c r="H1476" t="s">
        <v>189</v>
      </c>
      <c r="I1476" t="s">
        <v>120</v>
      </c>
    </row>
    <row r="1477" spans="1:9" x14ac:dyDescent="0.25">
      <c r="A1477" s="8" t="str">
        <f t="shared" si="69"/>
        <v>2008375.000</v>
      </c>
      <c r="B1477" s="9" t="str">
        <f t="shared" si="70"/>
        <v/>
      </c>
      <c r="C1477" s="10">
        <f t="shared" si="71"/>
        <v>44081</v>
      </c>
      <c r="D1477">
        <v>2008375</v>
      </c>
      <c r="E1477">
        <v>0</v>
      </c>
      <c r="F1477" s="6">
        <v>44085</v>
      </c>
      <c r="H1477" t="s">
        <v>189</v>
      </c>
      <c r="I1477" t="s">
        <v>120</v>
      </c>
    </row>
    <row r="1478" spans="1:9" x14ac:dyDescent="0.25">
      <c r="A1478" s="8" t="str">
        <f t="shared" si="69"/>
        <v>2008376.000</v>
      </c>
      <c r="B1478" s="9" t="str">
        <f t="shared" si="70"/>
        <v/>
      </c>
      <c r="C1478" s="10">
        <f t="shared" si="71"/>
        <v>44074</v>
      </c>
      <c r="D1478">
        <v>2008376</v>
      </c>
      <c r="E1478">
        <v>0</v>
      </c>
      <c r="F1478" s="6">
        <v>44078</v>
      </c>
      <c r="H1478" t="s">
        <v>180</v>
      </c>
      <c r="I1478" t="s">
        <v>120</v>
      </c>
    </row>
    <row r="1479" spans="1:9" x14ac:dyDescent="0.25">
      <c r="A1479" s="8" t="str">
        <f t="shared" si="69"/>
        <v>2008377.000</v>
      </c>
      <c r="B1479" s="9" t="str">
        <f t="shared" si="70"/>
        <v/>
      </c>
      <c r="C1479" s="10">
        <f t="shared" si="71"/>
        <v>44081</v>
      </c>
      <c r="D1479">
        <v>2008377</v>
      </c>
      <c r="E1479">
        <v>0</v>
      </c>
      <c r="F1479" s="6">
        <v>44085</v>
      </c>
      <c r="H1479" t="s">
        <v>266</v>
      </c>
      <c r="I1479" t="s">
        <v>120</v>
      </c>
    </row>
    <row r="1480" spans="1:9" x14ac:dyDescent="0.25">
      <c r="A1480" s="8" t="str">
        <f t="shared" si="69"/>
        <v>2008378.U00</v>
      </c>
      <c r="B1480" s="9" t="str">
        <f t="shared" si="70"/>
        <v>4</v>
      </c>
      <c r="C1480" s="10">
        <f t="shared" si="71"/>
        <v>44098</v>
      </c>
      <c r="D1480">
        <v>2008378</v>
      </c>
      <c r="E1480" t="s">
        <v>131</v>
      </c>
      <c r="F1480" s="6">
        <v>44099</v>
      </c>
      <c r="G1480">
        <v>4</v>
      </c>
      <c r="H1480" t="s">
        <v>189</v>
      </c>
      <c r="I1480" t="s">
        <v>120</v>
      </c>
    </row>
    <row r="1481" spans="1:9" x14ac:dyDescent="0.25">
      <c r="A1481" s="8" t="str">
        <f t="shared" si="69"/>
        <v>2008378.Y00</v>
      </c>
      <c r="B1481" s="9" t="str">
        <f t="shared" si="70"/>
        <v>4</v>
      </c>
      <c r="C1481" s="10">
        <f t="shared" si="71"/>
        <v>44098</v>
      </c>
      <c r="D1481">
        <v>2008378</v>
      </c>
      <c r="E1481" t="s">
        <v>130</v>
      </c>
      <c r="F1481" s="6">
        <v>44099</v>
      </c>
      <c r="G1481">
        <v>4</v>
      </c>
      <c r="H1481" t="s">
        <v>189</v>
      </c>
      <c r="I1481" t="s">
        <v>120</v>
      </c>
    </row>
    <row r="1482" spans="1:9" x14ac:dyDescent="0.25">
      <c r="A1482" s="8" t="str">
        <f t="shared" si="69"/>
        <v>2008379.XP0</v>
      </c>
      <c r="B1482" s="9" t="str">
        <f t="shared" si="70"/>
        <v>1</v>
      </c>
      <c r="C1482" s="10">
        <f t="shared" si="71"/>
        <v>44137</v>
      </c>
      <c r="D1482">
        <v>2008379</v>
      </c>
      <c r="E1482" t="s">
        <v>181</v>
      </c>
      <c r="F1482" s="6">
        <v>44141</v>
      </c>
      <c r="G1482">
        <v>1</v>
      </c>
      <c r="H1482" t="s">
        <v>192</v>
      </c>
      <c r="I1482" t="s">
        <v>120</v>
      </c>
    </row>
    <row r="1483" spans="1:9" x14ac:dyDescent="0.25">
      <c r="A1483" s="8" t="str">
        <f t="shared" si="69"/>
        <v>2008380.U03</v>
      </c>
      <c r="B1483" s="9" t="str">
        <f t="shared" si="70"/>
        <v>3</v>
      </c>
      <c r="C1483" s="10">
        <f t="shared" si="71"/>
        <v>44097</v>
      </c>
      <c r="D1483">
        <v>2008380</v>
      </c>
      <c r="E1483" t="s">
        <v>167</v>
      </c>
      <c r="F1483" s="6">
        <v>44099</v>
      </c>
      <c r="G1483">
        <v>3</v>
      </c>
      <c r="H1483" t="s">
        <v>189</v>
      </c>
      <c r="I1483" t="s">
        <v>120</v>
      </c>
    </row>
    <row r="1484" spans="1:9" x14ac:dyDescent="0.25">
      <c r="A1484" s="8" t="str">
        <f t="shared" si="69"/>
        <v>2008380.Y03</v>
      </c>
      <c r="B1484" s="9" t="str">
        <f t="shared" si="70"/>
        <v>3</v>
      </c>
      <c r="C1484" s="10">
        <f t="shared" si="71"/>
        <v>44097</v>
      </c>
      <c r="D1484">
        <v>2008380</v>
      </c>
      <c r="E1484" t="s">
        <v>223</v>
      </c>
      <c r="F1484" s="6">
        <v>44099</v>
      </c>
      <c r="G1484">
        <v>3</v>
      </c>
      <c r="H1484" t="s">
        <v>189</v>
      </c>
      <c r="I1484" t="s">
        <v>120</v>
      </c>
    </row>
    <row r="1485" spans="1:9" x14ac:dyDescent="0.25">
      <c r="A1485" s="8" t="str">
        <f t="shared" si="69"/>
        <v>2008383.000</v>
      </c>
      <c r="B1485" s="9" t="str">
        <f t="shared" si="70"/>
        <v/>
      </c>
      <c r="C1485" s="10">
        <f t="shared" si="71"/>
        <v>44095</v>
      </c>
      <c r="D1485">
        <v>2008383</v>
      </c>
      <c r="E1485">
        <v>0</v>
      </c>
      <c r="F1485" s="6">
        <v>44099</v>
      </c>
      <c r="H1485" t="s">
        <v>189</v>
      </c>
      <c r="I1485" t="s">
        <v>120</v>
      </c>
    </row>
    <row r="1486" spans="1:9" x14ac:dyDescent="0.25">
      <c r="A1486" s="8" t="str">
        <f t="shared" si="69"/>
        <v>2008383.U00</v>
      </c>
      <c r="B1486" s="9" t="str">
        <f t="shared" si="70"/>
        <v/>
      </c>
      <c r="C1486" s="10">
        <f t="shared" si="71"/>
        <v>44095</v>
      </c>
      <c r="D1486">
        <v>2008383</v>
      </c>
      <c r="E1486" t="s">
        <v>131</v>
      </c>
      <c r="F1486" s="6">
        <v>44099</v>
      </c>
      <c r="H1486" t="s">
        <v>189</v>
      </c>
      <c r="I1486" t="s">
        <v>120</v>
      </c>
    </row>
    <row r="1487" spans="1:9" x14ac:dyDescent="0.25">
      <c r="A1487" s="8" t="str">
        <f t="shared" si="69"/>
        <v>2008384.H00</v>
      </c>
      <c r="B1487" s="9" t="str">
        <f t="shared" si="70"/>
        <v/>
      </c>
      <c r="C1487" s="10">
        <f t="shared" si="71"/>
        <v>44088</v>
      </c>
      <c r="D1487">
        <v>2008384</v>
      </c>
      <c r="E1487" t="s">
        <v>122</v>
      </c>
      <c r="F1487" s="6">
        <v>44092</v>
      </c>
      <c r="H1487" t="s">
        <v>189</v>
      </c>
      <c r="I1487" t="s">
        <v>120</v>
      </c>
    </row>
    <row r="1488" spans="1:9" x14ac:dyDescent="0.25">
      <c r="A1488" s="8" t="str">
        <f t="shared" si="69"/>
        <v>2008386.000</v>
      </c>
      <c r="B1488" s="9" t="str">
        <f t="shared" si="70"/>
        <v/>
      </c>
      <c r="C1488" s="10">
        <f t="shared" si="71"/>
        <v>44095</v>
      </c>
      <c r="D1488">
        <v>2008386</v>
      </c>
      <c r="E1488">
        <v>0</v>
      </c>
      <c r="F1488" s="6">
        <v>44099</v>
      </c>
      <c r="H1488" t="s">
        <v>189</v>
      </c>
      <c r="I1488" t="s">
        <v>120</v>
      </c>
    </row>
    <row r="1489" spans="1:9" x14ac:dyDescent="0.25">
      <c r="A1489" s="8" t="str">
        <f t="shared" si="69"/>
        <v>2008386.Y00</v>
      </c>
      <c r="B1489" s="9" t="str">
        <f t="shared" si="70"/>
        <v/>
      </c>
      <c r="C1489" s="10">
        <f t="shared" si="71"/>
        <v>44095</v>
      </c>
      <c r="D1489">
        <v>2008386</v>
      </c>
      <c r="E1489" t="s">
        <v>130</v>
      </c>
      <c r="F1489" s="6">
        <v>44099</v>
      </c>
      <c r="H1489" t="s">
        <v>189</v>
      </c>
      <c r="I1489" t="s">
        <v>120</v>
      </c>
    </row>
    <row r="1490" spans="1:9" x14ac:dyDescent="0.25">
      <c r="A1490" s="8" t="str">
        <f t="shared" si="69"/>
        <v>2008387.U02</v>
      </c>
      <c r="B1490" s="9" t="str">
        <f t="shared" si="70"/>
        <v/>
      </c>
      <c r="C1490" s="10">
        <f t="shared" si="71"/>
        <v>44095</v>
      </c>
      <c r="D1490">
        <v>2008387</v>
      </c>
      <c r="E1490" t="s">
        <v>149</v>
      </c>
      <c r="F1490" s="6">
        <v>44099</v>
      </c>
      <c r="H1490" t="s">
        <v>189</v>
      </c>
      <c r="I1490" t="s">
        <v>120</v>
      </c>
    </row>
    <row r="1491" spans="1:9" x14ac:dyDescent="0.25">
      <c r="A1491" s="8" t="str">
        <f t="shared" si="69"/>
        <v>2008388.H00</v>
      </c>
      <c r="B1491" s="9" t="str">
        <f t="shared" si="70"/>
        <v/>
      </c>
      <c r="C1491" s="10">
        <f t="shared" si="71"/>
        <v>44088</v>
      </c>
      <c r="D1491">
        <v>2008388</v>
      </c>
      <c r="E1491" t="s">
        <v>122</v>
      </c>
      <c r="F1491" s="6">
        <v>44092</v>
      </c>
      <c r="H1491" t="s">
        <v>189</v>
      </c>
      <c r="I1491" t="s">
        <v>120</v>
      </c>
    </row>
    <row r="1492" spans="1:9" x14ac:dyDescent="0.25">
      <c r="A1492" s="8" t="str">
        <f t="shared" si="69"/>
        <v>2008389.000</v>
      </c>
      <c r="B1492" s="9" t="str">
        <f t="shared" si="70"/>
        <v/>
      </c>
      <c r="C1492" s="10">
        <f t="shared" si="71"/>
        <v>44081</v>
      </c>
      <c r="D1492">
        <v>2008389</v>
      </c>
      <c r="E1492">
        <v>0</v>
      </c>
      <c r="F1492" s="6">
        <v>44085</v>
      </c>
      <c r="H1492" t="s">
        <v>180</v>
      </c>
      <c r="I1492" t="s">
        <v>120</v>
      </c>
    </row>
    <row r="1493" spans="1:9" x14ac:dyDescent="0.25">
      <c r="A1493" s="8" t="str">
        <f t="shared" si="69"/>
        <v>2008390.000</v>
      </c>
      <c r="B1493" s="9" t="str">
        <f t="shared" si="70"/>
        <v/>
      </c>
      <c r="C1493" s="10">
        <f t="shared" si="71"/>
        <v>44081</v>
      </c>
      <c r="D1493">
        <v>2008390</v>
      </c>
      <c r="E1493">
        <v>0</v>
      </c>
      <c r="F1493" s="6">
        <v>44085</v>
      </c>
      <c r="H1493" t="s">
        <v>180</v>
      </c>
      <c r="I1493" t="s">
        <v>120</v>
      </c>
    </row>
    <row r="1494" spans="1:9" x14ac:dyDescent="0.25">
      <c r="A1494" s="8" t="str">
        <f t="shared" si="69"/>
        <v>2008391.000</v>
      </c>
      <c r="B1494" s="9" t="str">
        <f t="shared" si="70"/>
        <v/>
      </c>
      <c r="C1494" s="10">
        <f t="shared" si="71"/>
        <v>44081</v>
      </c>
      <c r="D1494">
        <v>2008391</v>
      </c>
      <c r="E1494">
        <v>0</v>
      </c>
      <c r="F1494" s="6">
        <v>44085</v>
      </c>
      <c r="H1494" t="s">
        <v>180</v>
      </c>
      <c r="I1494" t="s">
        <v>120</v>
      </c>
    </row>
    <row r="1495" spans="1:9" x14ac:dyDescent="0.25">
      <c r="A1495" s="8" t="str">
        <f t="shared" si="69"/>
        <v>2008392.N0L</v>
      </c>
      <c r="B1495" s="9" t="str">
        <f t="shared" si="70"/>
        <v>2</v>
      </c>
      <c r="C1495" s="10">
        <f t="shared" si="71"/>
        <v>44068</v>
      </c>
      <c r="D1495">
        <v>2008392</v>
      </c>
      <c r="E1495" t="s">
        <v>133</v>
      </c>
      <c r="F1495" s="6">
        <v>44071</v>
      </c>
      <c r="G1495">
        <v>25</v>
      </c>
      <c r="H1495" t="s">
        <v>194</v>
      </c>
      <c r="I1495" t="s">
        <v>120</v>
      </c>
    </row>
    <row r="1496" spans="1:9" x14ac:dyDescent="0.25">
      <c r="A1496" s="8" t="str">
        <f t="shared" si="69"/>
        <v>2008393.HPL</v>
      </c>
      <c r="B1496" s="9" t="str">
        <f t="shared" si="70"/>
        <v>4</v>
      </c>
      <c r="C1496" s="10">
        <f t="shared" si="71"/>
        <v>44091</v>
      </c>
      <c r="D1496">
        <v>2008393</v>
      </c>
      <c r="E1496" t="s">
        <v>128</v>
      </c>
      <c r="F1496" s="6">
        <v>44092</v>
      </c>
      <c r="G1496">
        <v>4</v>
      </c>
      <c r="H1496" t="s">
        <v>189</v>
      </c>
      <c r="I1496" t="s">
        <v>120</v>
      </c>
    </row>
    <row r="1497" spans="1:9" x14ac:dyDescent="0.25">
      <c r="A1497" s="8" t="str">
        <f t="shared" si="69"/>
        <v>2008394.000</v>
      </c>
      <c r="B1497" s="9" t="str">
        <f t="shared" si="70"/>
        <v>4</v>
      </c>
      <c r="C1497" s="10">
        <f t="shared" si="71"/>
        <v>44084</v>
      </c>
      <c r="D1497">
        <v>2008394</v>
      </c>
      <c r="E1497">
        <v>0</v>
      </c>
      <c r="F1497" s="6">
        <v>44085</v>
      </c>
      <c r="G1497">
        <v>4</v>
      </c>
      <c r="H1497" t="s">
        <v>189</v>
      </c>
      <c r="I1497" t="s">
        <v>120</v>
      </c>
    </row>
    <row r="1498" spans="1:9" x14ac:dyDescent="0.25">
      <c r="A1498" s="8" t="str">
        <f t="shared" si="69"/>
        <v>2008394.0P0</v>
      </c>
      <c r="B1498" s="9" t="str">
        <f t="shared" si="70"/>
        <v>4</v>
      </c>
      <c r="C1498" s="10">
        <f t="shared" si="71"/>
        <v>44084</v>
      </c>
      <c r="D1498">
        <v>2008394</v>
      </c>
      <c r="E1498" t="s">
        <v>119</v>
      </c>
      <c r="F1498" s="6">
        <v>44085</v>
      </c>
      <c r="G1498">
        <v>4</v>
      </c>
      <c r="H1498" t="s">
        <v>180</v>
      </c>
      <c r="I1498" t="s">
        <v>120</v>
      </c>
    </row>
    <row r="1499" spans="1:9" x14ac:dyDescent="0.25">
      <c r="A1499" s="8" t="str">
        <f t="shared" si="69"/>
        <v>2008395.U02</v>
      </c>
      <c r="B1499" s="9" t="str">
        <f t="shared" si="70"/>
        <v/>
      </c>
      <c r="C1499" s="10">
        <f t="shared" si="71"/>
        <v>44095</v>
      </c>
      <c r="D1499">
        <v>2008395</v>
      </c>
      <c r="E1499" t="s">
        <v>149</v>
      </c>
      <c r="F1499" s="6">
        <v>44099</v>
      </c>
      <c r="H1499" t="s">
        <v>189</v>
      </c>
      <c r="I1499" t="s">
        <v>120</v>
      </c>
    </row>
    <row r="1500" spans="1:9" x14ac:dyDescent="0.25">
      <c r="A1500" s="8" t="str">
        <f t="shared" si="69"/>
        <v>2008395.UP2</v>
      </c>
      <c r="B1500" s="9" t="str">
        <f t="shared" si="70"/>
        <v/>
      </c>
      <c r="C1500" s="10">
        <f t="shared" si="71"/>
        <v>44095</v>
      </c>
      <c r="D1500">
        <v>2008395</v>
      </c>
      <c r="E1500" t="s">
        <v>160</v>
      </c>
      <c r="F1500" s="6">
        <v>44099</v>
      </c>
      <c r="H1500" t="s">
        <v>189</v>
      </c>
      <c r="I1500" t="s">
        <v>120</v>
      </c>
    </row>
    <row r="1501" spans="1:9" x14ac:dyDescent="0.25">
      <c r="A1501" s="8" t="str">
        <f t="shared" si="69"/>
        <v>2008395.Y02</v>
      </c>
      <c r="B1501" s="9" t="str">
        <f t="shared" si="70"/>
        <v/>
      </c>
      <c r="C1501" s="10">
        <f t="shared" si="71"/>
        <v>44095</v>
      </c>
      <c r="D1501">
        <v>2008395</v>
      </c>
      <c r="E1501" t="s">
        <v>144</v>
      </c>
      <c r="F1501" s="6">
        <v>44099</v>
      </c>
      <c r="H1501" t="s">
        <v>189</v>
      </c>
      <c r="I1501" t="s">
        <v>120</v>
      </c>
    </row>
    <row r="1502" spans="1:9" x14ac:dyDescent="0.25">
      <c r="A1502" s="8" t="str">
        <f t="shared" si="69"/>
        <v>2008396.0P0</v>
      </c>
      <c r="B1502" s="9" t="str">
        <f t="shared" si="70"/>
        <v/>
      </c>
      <c r="C1502" s="10">
        <f t="shared" si="71"/>
        <v>44081</v>
      </c>
      <c r="D1502">
        <v>2008396</v>
      </c>
      <c r="E1502" t="s">
        <v>119</v>
      </c>
      <c r="F1502" s="6">
        <v>44085</v>
      </c>
      <c r="H1502" t="s">
        <v>266</v>
      </c>
      <c r="I1502" t="s">
        <v>120</v>
      </c>
    </row>
    <row r="1503" spans="1:9" x14ac:dyDescent="0.25">
      <c r="A1503" s="8" t="str">
        <f t="shared" si="69"/>
        <v>2008397.K00</v>
      </c>
      <c r="B1503" s="9" t="str">
        <f t="shared" si="70"/>
        <v>3</v>
      </c>
      <c r="C1503" s="10">
        <f t="shared" si="71"/>
        <v>44104</v>
      </c>
      <c r="D1503">
        <v>2008397</v>
      </c>
      <c r="E1503" t="s">
        <v>257</v>
      </c>
      <c r="F1503" s="6">
        <v>44106</v>
      </c>
      <c r="G1503">
        <v>3</v>
      </c>
      <c r="H1503" t="s">
        <v>189</v>
      </c>
      <c r="I1503" t="s">
        <v>120</v>
      </c>
    </row>
    <row r="1504" spans="1:9" x14ac:dyDescent="0.25">
      <c r="A1504" s="8" t="str">
        <f t="shared" si="69"/>
        <v>2008398.000</v>
      </c>
      <c r="B1504" s="9" t="str">
        <f t="shared" si="70"/>
        <v/>
      </c>
      <c r="C1504" s="10">
        <f t="shared" si="71"/>
        <v>44088</v>
      </c>
      <c r="D1504">
        <v>2008398</v>
      </c>
      <c r="E1504">
        <v>0</v>
      </c>
      <c r="F1504" s="6">
        <v>44092</v>
      </c>
      <c r="H1504" t="s">
        <v>189</v>
      </c>
      <c r="I1504" t="s">
        <v>120</v>
      </c>
    </row>
    <row r="1505" spans="1:9" x14ac:dyDescent="0.25">
      <c r="A1505" s="8" t="str">
        <f t="shared" si="69"/>
        <v>2008400.0P0</v>
      </c>
      <c r="B1505" s="9" t="str">
        <f t="shared" si="70"/>
        <v/>
      </c>
      <c r="C1505" s="10">
        <f t="shared" si="71"/>
        <v>44081</v>
      </c>
      <c r="D1505">
        <v>2008400</v>
      </c>
      <c r="E1505" t="s">
        <v>119</v>
      </c>
      <c r="F1505" s="6">
        <v>44085</v>
      </c>
      <c r="H1505" t="s">
        <v>180</v>
      </c>
      <c r="I1505" t="s">
        <v>120</v>
      </c>
    </row>
    <row r="1506" spans="1:9" x14ac:dyDescent="0.25">
      <c r="A1506" s="8" t="str">
        <f t="shared" si="69"/>
        <v>2008401.U02</v>
      </c>
      <c r="B1506" s="9" t="str">
        <f t="shared" si="70"/>
        <v>2</v>
      </c>
      <c r="C1506" s="10">
        <f t="shared" si="71"/>
        <v>44068</v>
      </c>
      <c r="D1506">
        <v>2008401</v>
      </c>
      <c r="E1506" t="s">
        <v>149</v>
      </c>
      <c r="F1506" s="6">
        <v>44071</v>
      </c>
      <c r="G1506">
        <v>24</v>
      </c>
      <c r="H1506" t="s">
        <v>180</v>
      </c>
      <c r="I1506" t="s">
        <v>120</v>
      </c>
    </row>
    <row r="1507" spans="1:9" x14ac:dyDescent="0.25">
      <c r="A1507" s="8" t="str">
        <f t="shared" si="69"/>
        <v>2008402.UP2</v>
      </c>
      <c r="B1507" s="9" t="str">
        <f t="shared" si="70"/>
        <v>2</v>
      </c>
      <c r="C1507" s="10">
        <f t="shared" si="71"/>
        <v>44068</v>
      </c>
      <c r="D1507">
        <v>2008402</v>
      </c>
      <c r="E1507" t="s">
        <v>160</v>
      </c>
      <c r="F1507" s="6">
        <v>44071</v>
      </c>
      <c r="G1507">
        <v>24</v>
      </c>
      <c r="H1507" t="s">
        <v>180</v>
      </c>
      <c r="I1507" t="s">
        <v>120</v>
      </c>
    </row>
    <row r="1508" spans="1:9" x14ac:dyDescent="0.25">
      <c r="A1508" s="8" t="str">
        <f t="shared" si="69"/>
        <v>2008403.H01</v>
      </c>
      <c r="B1508" s="9" t="str">
        <f t="shared" si="70"/>
        <v>2</v>
      </c>
      <c r="C1508" s="10">
        <f t="shared" si="71"/>
        <v>44068</v>
      </c>
      <c r="D1508">
        <v>2008403</v>
      </c>
      <c r="E1508" t="s">
        <v>145</v>
      </c>
      <c r="F1508" s="6">
        <v>44071</v>
      </c>
      <c r="G1508">
        <v>24</v>
      </c>
      <c r="H1508" t="s">
        <v>180</v>
      </c>
      <c r="I1508" t="s">
        <v>120</v>
      </c>
    </row>
    <row r="1509" spans="1:9" x14ac:dyDescent="0.25">
      <c r="A1509" s="8" t="str">
        <f t="shared" si="69"/>
        <v>2008404.000</v>
      </c>
      <c r="B1509" s="9" t="str">
        <f t="shared" si="70"/>
        <v/>
      </c>
      <c r="C1509" s="10">
        <f t="shared" si="71"/>
        <v>44095</v>
      </c>
      <c r="D1509">
        <v>2008404</v>
      </c>
      <c r="E1509">
        <v>0</v>
      </c>
      <c r="F1509" s="6">
        <v>44099</v>
      </c>
      <c r="H1509" t="s">
        <v>189</v>
      </c>
      <c r="I1509" t="s">
        <v>120</v>
      </c>
    </row>
    <row r="1510" spans="1:9" x14ac:dyDescent="0.25">
      <c r="A1510" s="8" t="str">
        <f t="shared" si="69"/>
        <v>2008404.U00</v>
      </c>
      <c r="B1510" s="9" t="str">
        <f t="shared" si="70"/>
        <v/>
      </c>
      <c r="C1510" s="10">
        <f t="shared" si="71"/>
        <v>44095</v>
      </c>
      <c r="D1510">
        <v>2008404</v>
      </c>
      <c r="E1510" t="s">
        <v>131</v>
      </c>
      <c r="F1510" s="6">
        <v>44099</v>
      </c>
      <c r="H1510" t="s">
        <v>189</v>
      </c>
      <c r="I1510" t="s">
        <v>120</v>
      </c>
    </row>
    <row r="1511" spans="1:9" x14ac:dyDescent="0.25">
      <c r="A1511" s="8" t="str">
        <f t="shared" si="69"/>
        <v>2008404.UP0</v>
      </c>
      <c r="B1511" s="9" t="str">
        <f t="shared" si="70"/>
        <v/>
      </c>
      <c r="C1511" s="10">
        <f t="shared" si="71"/>
        <v>44095</v>
      </c>
      <c r="D1511">
        <v>2008404</v>
      </c>
      <c r="E1511" t="s">
        <v>136</v>
      </c>
      <c r="F1511" s="6">
        <v>44099</v>
      </c>
      <c r="H1511" t="s">
        <v>189</v>
      </c>
      <c r="I1511" t="s">
        <v>120</v>
      </c>
    </row>
    <row r="1512" spans="1:9" x14ac:dyDescent="0.25">
      <c r="A1512" s="8" t="str">
        <f t="shared" si="69"/>
        <v>2008404.X00</v>
      </c>
      <c r="B1512" s="9" t="str">
        <f t="shared" si="70"/>
        <v/>
      </c>
      <c r="C1512" s="10">
        <f t="shared" si="71"/>
        <v>44095</v>
      </c>
      <c r="D1512">
        <v>2008404</v>
      </c>
      <c r="E1512" t="s">
        <v>225</v>
      </c>
      <c r="F1512" s="6">
        <v>44099</v>
      </c>
      <c r="H1512" t="s">
        <v>189</v>
      </c>
      <c r="I1512" t="s">
        <v>120</v>
      </c>
    </row>
    <row r="1513" spans="1:9" x14ac:dyDescent="0.25">
      <c r="A1513" s="8" t="str">
        <f t="shared" si="69"/>
        <v>2008405.HPL</v>
      </c>
      <c r="B1513" s="9" t="str">
        <f t="shared" si="70"/>
        <v>4</v>
      </c>
      <c r="C1513" s="10">
        <f t="shared" si="71"/>
        <v>44091</v>
      </c>
      <c r="D1513">
        <v>2008405</v>
      </c>
      <c r="E1513" t="s">
        <v>128</v>
      </c>
      <c r="F1513" s="6">
        <v>44092</v>
      </c>
      <c r="G1513">
        <v>4</v>
      </c>
      <c r="H1513" t="s">
        <v>189</v>
      </c>
      <c r="I1513" t="s">
        <v>120</v>
      </c>
    </row>
    <row r="1514" spans="1:9" x14ac:dyDescent="0.25">
      <c r="A1514" s="8" t="str">
        <f t="shared" si="69"/>
        <v>2008406.000</v>
      </c>
      <c r="B1514" s="9" t="str">
        <f t="shared" si="70"/>
        <v/>
      </c>
      <c r="C1514" s="10">
        <f t="shared" si="71"/>
        <v>44081</v>
      </c>
      <c r="D1514">
        <v>2008406</v>
      </c>
      <c r="E1514">
        <v>0</v>
      </c>
      <c r="F1514" s="6">
        <v>44085</v>
      </c>
      <c r="H1514" t="s">
        <v>180</v>
      </c>
      <c r="I1514" t="s">
        <v>120</v>
      </c>
    </row>
    <row r="1515" spans="1:9" x14ac:dyDescent="0.25">
      <c r="A1515" s="8" t="str">
        <f t="shared" si="69"/>
        <v>2008407.000</v>
      </c>
      <c r="B1515" s="9" t="str">
        <f t="shared" si="70"/>
        <v>4</v>
      </c>
      <c r="C1515" s="10">
        <f t="shared" si="71"/>
        <v>44077</v>
      </c>
      <c r="D1515">
        <v>2008407</v>
      </c>
      <c r="E1515">
        <v>0</v>
      </c>
      <c r="F1515" s="6">
        <v>44078</v>
      </c>
      <c r="G1515">
        <v>4</v>
      </c>
      <c r="H1515" t="s">
        <v>180</v>
      </c>
      <c r="I1515" t="s">
        <v>120</v>
      </c>
    </row>
    <row r="1516" spans="1:9" x14ac:dyDescent="0.25">
      <c r="A1516" s="8" t="str">
        <f t="shared" si="69"/>
        <v>2008408.NF0</v>
      </c>
      <c r="B1516" s="9" t="str">
        <f t="shared" si="70"/>
        <v/>
      </c>
      <c r="C1516" s="10">
        <f t="shared" si="71"/>
        <v>44074</v>
      </c>
      <c r="D1516">
        <v>2008408</v>
      </c>
      <c r="E1516" t="s">
        <v>137</v>
      </c>
      <c r="F1516" s="6">
        <v>44078</v>
      </c>
      <c r="H1516" t="s">
        <v>183</v>
      </c>
      <c r="I1516" t="s">
        <v>120</v>
      </c>
    </row>
    <row r="1517" spans="1:9" x14ac:dyDescent="0.25">
      <c r="A1517" s="8" t="str">
        <f t="shared" si="69"/>
        <v>2008409.000</v>
      </c>
      <c r="B1517" s="9" t="str">
        <f t="shared" si="70"/>
        <v/>
      </c>
      <c r="C1517" s="10">
        <f t="shared" si="71"/>
        <v>44102</v>
      </c>
      <c r="D1517">
        <v>2008409</v>
      </c>
      <c r="E1517">
        <v>0</v>
      </c>
      <c r="F1517" s="6">
        <v>44106</v>
      </c>
      <c r="H1517" t="s">
        <v>189</v>
      </c>
      <c r="I1517" t="s">
        <v>120</v>
      </c>
    </row>
    <row r="1518" spans="1:9" x14ac:dyDescent="0.25">
      <c r="A1518" s="8" t="str">
        <f t="shared" si="69"/>
        <v>2008410.000</v>
      </c>
      <c r="B1518" s="9" t="str">
        <f t="shared" si="70"/>
        <v>3</v>
      </c>
      <c r="C1518" s="10">
        <f t="shared" si="71"/>
        <v>44083</v>
      </c>
      <c r="D1518">
        <v>2008410</v>
      </c>
      <c r="E1518">
        <v>0</v>
      </c>
      <c r="F1518" s="6">
        <v>44085</v>
      </c>
      <c r="G1518">
        <v>3</v>
      </c>
      <c r="H1518" t="s">
        <v>180</v>
      </c>
      <c r="I1518" t="s">
        <v>120</v>
      </c>
    </row>
    <row r="1519" spans="1:9" x14ac:dyDescent="0.25">
      <c r="A1519" s="8" t="str">
        <f t="shared" si="69"/>
        <v>2008411.000</v>
      </c>
      <c r="B1519" s="9" t="str">
        <f t="shared" si="70"/>
        <v>3</v>
      </c>
      <c r="C1519" s="10">
        <f t="shared" si="71"/>
        <v>44083</v>
      </c>
      <c r="D1519">
        <v>2008411</v>
      </c>
      <c r="E1519">
        <v>0</v>
      </c>
      <c r="F1519" s="6">
        <v>44085</v>
      </c>
      <c r="G1519">
        <v>3</v>
      </c>
      <c r="H1519" t="s">
        <v>180</v>
      </c>
      <c r="I1519" t="s">
        <v>120</v>
      </c>
    </row>
    <row r="1520" spans="1:9" x14ac:dyDescent="0.25">
      <c r="A1520" s="8" t="str">
        <f t="shared" si="69"/>
        <v>2008412.000</v>
      </c>
      <c r="B1520" s="9" t="str">
        <f t="shared" si="70"/>
        <v/>
      </c>
      <c r="C1520" s="10">
        <f t="shared" si="71"/>
        <v>44102</v>
      </c>
      <c r="D1520">
        <v>2008412</v>
      </c>
      <c r="E1520">
        <v>0</v>
      </c>
      <c r="F1520" s="6">
        <v>44106</v>
      </c>
      <c r="H1520" t="s">
        <v>189</v>
      </c>
      <c r="I1520" t="s">
        <v>120</v>
      </c>
    </row>
    <row r="1521" spans="1:9" x14ac:dyDescent="0.25">
      <c r="A1521" s="8" t="str">
        <f t="shared" si="69"/>
        <v>2008413.000</v>
      </c>
      <c r="B1521" s="9" t="str">
        <f t="shared" si="70"/>
        <v/>
      </c>
      <c r="C1521" s="10">
        <f t="shared" si="71"/>
        <v>44102</v>
      </c>
      <c r="D1521">
        <v>2008413</v>
      </c>
      <c r="E1521">
        <v>0</v>
      </c>
      <c r="F1521" s="6">
        <v>44106</v>
      </c>
      <c r="H1521" t="s">
        <v>189</v>
      </c>
      <c r="I1521" t="s">
        <v>120</v>
      </c>
    </row>
    <row r="1522" spans="1:9" x14ac:dyDescent="0.25">
      <c r="A1522" s="8" t="str">
        <f t="shared" si="69"/>
        <v>2008414.X00</v>
      </c>
      <c r="B1522" s="9" t="str">
        <f t="shared" si="70"/>
        <v/>
      </c>
      <c r="C1522" s="10">
        <f t="shared" si="71"/>
        <v>44116</v>
      </c>
      <c r="D1522">
        <v>2008414</v>
      </c>
      <c r="E1522" t="s">
        <v>225</v>
      </c>
      <c r="F1522" s="6">
        <v>44120</v>
      </c>
      <c r="H1522" t="s">
        <v>189</v>
      </c>
      <c r="I1522" t="s">
        <v>120</v>
      </c>
    </row>
    <row r="1523" spans="1:9" x14ac:dyDescent="0.25">
      <c r="A1523" s="8" t="str">
        <f t="shared" si="69"/>
        <v>2008415.000</v>
      </c>
      <c r="B1523" s="9" t="str">
        <f t="shared" si="70"/>
        <v/>
      </c>
      <c r="C1523" s="10">
        <f t="shared" si="71"/>
        <v>44081</v>
      </c>
      <c r="D1523">
        <v>2008415</v>
      </c>
      <c r="E1523">
        <v>0</v>
      </c>
      <c r="F1523" s="6">
        <v>44085</v>
      </c>
      <c r="H1523" t="s">
        <v>180</v>
      </c>
      <c r="I1523" t="s">
        <v>120</v>
      </c>
    </row>
    <row r="1524" spans="1:9" x14ac:dyDescent="0.25">
      <c r="A1524" s="8" t="str">
        <f t="shared" si="69"/>
        <v>2008415.X00</v>
      </c>
      <c r="B1524" s="9" t="str">
        <f t="shared" si="70"/>
        <v/>
      </c>
      <c r="C1524" s="10">
        <f t="shared" si="71"/>
        <v>44081</v>
      </c>
      <c r="D1524">
        <v>2008415</v>
      </c>
      <c r="E1524" t="s">
        <v>225</v>
      </c>
      <c r="F1524" s="6">
        <v>44085</v>
      </c>
      <c r="H1524" t="s">
        <v>189</v>
      </c>
      <c r="I1524" t="s">
        <v>120</v>
      </c>
    </row>
    <row r="1525" spans="1:9" x14ac:dyDescent="0.25">
      <c r="A1525" s="8" t="str">
        <f t="shared" si="69"/>
        <v>2008416.000</v>
      </c>
      <c r="B1525" s="9" t="str">
        <f t="shared" si="70"/>
        <v/>
      </c>
      <c r="C1525" s="10">
        <f t="shared" si="71"/>
        <v>44095</v>
      </c>
      <c r="D1525">
        <v>2008416</v>
      </c>
      <c r="E1525">
        <v>0</v>
      </c>
      <c r="F1525" s="6">
        <v>44099</v>
      </c>
      <c r="H1525" t="s">
        <v>189</v>
      </c>
      <c r="I1525" t="s">
        <v>120</v>
      </c>
    </row>
    <row r="1526" spans="1:9" x14ac:dyDescent="0.25">
      <c r="A1526" s="8" t="str">
        <f t="shared" si="69"/>
        <v>2008416.Z00</v>
      </c>
      <c r="B1526" s="9" t="str">
        <f t="shared" si="70"/>
        <v/>
      </c>
      <c r="C1526" s="10">
        <f t="shared" si="71"/>
        <v>44095</v>
      </c>
      <c r="D1526">
        <v>2008416</v>
      </c>
      <c r="E1526" t="s">
        <v>158</v>
      </c>
      <c r="F1526" s="6">
        <v>44099</v>
      </c>
      <c r="H1526" t="s">
        <v>189</v>
      </c>
      <c r="I1526" t="s">
        <v>120</v>
      </c>
    </row>
    <row r="1527" spans="1:9" x14ac:dyDescent="0.25">
      <c r="A1527" s="8" t="str">
        <f t="shared" si="69"/>
        <v>2008416.ZPL</v>
      </c>
      <c r="B1527" s="9" t="str">
        <f t="shared" si="70"/>
        <v/>
      </c>
      <c r="C1527" s="10">
        <f t="shared" si="71"/>
        <v>44095</v>
      </c>
      <c r="D1527">
        <v>2008416</v>
      </c>
      <c r="E1527" t="s">
        <v>182</v>
      </c>
      <c r="F1527" s="6">
        <v>44099</v>
      </c>
      <c r="H1527" t="s">
        <v>189</v>
      </c>
      <c r="I1527" t="s">
        <v>120</v>
      </c>
    </row>
    <row r="1528" spans="1:9" x14ac:dyDescent="0.25">
      <c r="A1528" s="8" t="str">
        <f t="shared" si="69"/>
        <v>2008417.U02</v>
      </c>
      <c r="B1528" s="9" t="str">
        <f t="shared" si="70"/>
        <v/>
      </c>
      <c r="C1528" s="10">
        <f t="shared" si="71"/>
        <v>44095</v>
      </c>
      <c r="D1528">
        <v>2008417</v>
      </c>
      <c r="E1528" t="s">
        <v>149</v>
      </c>
      <c r="F1528" s="6">
        <v>44099</v>
      </c>
      <c r="H1528" t="s">
        <v>189</v>
      </c>
      <c r="I1528" t="s">
        <v>120</v>
      </c>
    </row>
    <row r="1529" spans="1:9" x14ac:dyDescent="0.25">
      <c r="A1529" s="8" t="str">
        <f t="shared" si="69"/>
        <v>2008417.Y02</v>
      </c>
      <c r="B1529" s="9" t="str">
        <f t="shared" si="70"/>
        <v/>
      </c>
      <c r="C1529" s="10">
        <f t="shared" si="71"/>
        <v>44095</v>
      </c>
      <c r="D1529">
        <v>2008417</v>
      </c>
      <c r="E1529" t="s">
        <v>144</v>
      </c>
      <c r="F1529" s="6">
        <v>44099</v>
      </c>
      <c r="H1529" t="s">
        <v>189</v>
      </c>
      <c r="I1529" t="s">
        <v>120</v>
      </c>
    </row>
    <row r="1530" spans="1:9" x14ac:dyDescent="0.25">
      <c r="A1530" s="8" t="str">
        <f t="shared" si="69"/>
        <v>2008418.0P0</v>
      </c>
      <c r="B1530" s="9" t="str">
        <f t="shared" si="70"/>
        <v/>
      </c>
      <c r="C1530" s="10">
        <f t="shared" si="71"/>
        <v>44088</v>
      </c>
      <c r="D1530">
        <v>2008418</v>
      </c>
      <c r="E1530" t="s">
        <v>119</v>
      </c>
      <c r="F1530" s="6">
        <v>44092</v>
      </c>
      <c r="H1530" t="s">
        <v>189</v>
      </c>
      <c r="I1530" t="s">
        <v>120</v>
      </c>
    </row>
    <row r="1531" spans="1:9" x14ac:dyDescent="0.25">
      <c r="A1531" s="8" t="str">
        <f t="shared" si="69"/>
        <v>2008419.000</v>
      </c>
      <c r="B1531" s="9" t="str">
        <f t="shared" si="70"/>
        <v/>
      </c>
      <c r="C1531" s="10">
        <f t="shared" si="71"/>
        <v>44088</v>
      </c>
      <c r="D1531">
        <v>2008419</v>
      </c>
      <c r="E1531">
        <v>0</v>
      </c>
      <c r="F1531" s="6">
        <v>44092</v>
      </c>
      <c r="H1531" t="s">
        <v>189</v>
      </c>
      <c r="I1531" t="s">
        <v>120</v>
      </c>
    </row>
    <row r="1532" spans="1:9" x14ac:dyDescent="0.25">
      <c r="A1532" s="8" t="str">
        <f t="shared" si="69"/>
        <v>2008420.000</v>
      </c>
      <c r="B1532" s="9" t="str">
        <f t="shared" si="70"/>
        <v/>
      </c>
      <c r="C1532" s="10">
        <f t="shared" si="71"/>
        <v>44095</v>
      </c>
      <c r="D1532">
        <v>2008420</v>
      </c>
      <c r="E1532">
        <v>0</v>
      </c>
      <c r="F1532" s="6">
        <v>44099</v>
      </c>
      <c r="H1532" t="s">
        <v>189</v>
      </c>
      <c r="I1532" t="s">
        <v>120</v>
      </c>
    </row>
    <row r="1533" spans="1:9" x14ac:dyDescent="0.25">
      <c r="A1533" s="8" t="str">
        <f t="shared" si="69"/>
        <v>2008420.Y02</v>
      </c>
      <c r="B1533" s="9" t="str">
        <f t="shared" si="70"/>
        <v/>
      </c>
      <c r="C1533" s="10">
        <f t="shared" si="71"/>
        <v>44095</v>
      </c>
      <c r="D1533">
        <v>2008420</v>
      </c>
      <c r="E1533" t="s">
        <v>144</v>
      </c>
      <c r="F1533" s="6">
        <v>44099</v>
      </c>
      <c r="H1533" t="s">
        <v>189</v>
      </c>
      <c r="I1533" t="s">
        <v>120</v>
      </c>
    </row>
    <row r="1534" spans="1:9" x14ac:dyDescent="0.25">
      <c r="A1534" s="8" t="str">
        <f t="shared" si="69"/>
        <v>2008421.000</v>
      </c>
      <c r="B1534" s="9" t="str">
        <f t="shared" si="70"/>
        <v/>
      </c>
      <c r="C1534" s="10">
        <f t="shared" si="71"/>
        <v>44081</v>
      </c>
      <c r="D1534">
        <v>2008421</v>
      </c>
      <c r="E1534">
        <v>0</v>
      </c>
      <c r="F1534" s="6">
        <v>44085</v>
      </c>
      <c r="H1534" t="s">
        <v>192</v>
      </c>
      <c r="I1534" t="s">
        <v>120</v>
      </c>
    </row>
    <row r="1535" spans="1:9" x14ac:dyDescent="0.25">
      <c r="A1535" s="8" t="str">
        <f t="shared" si="69"/>
        <v>2008422.000</v>
      </c>
      <c r="B1535" s="9" t="str">
        <f t="shared" si="70"/>
        <v/>
      </c>
      <c r="C1535" s="10">
        <f t="shared" si="71"/>
        <v>44081</v>
      </c>
      <c r="D1535">
        <v>2008422</v>
      </c>
      <c r="E1535">
        <v>0</v>
      </c>
      <c r="F1535" s="6">
        <v>44085</v>
      </c>
      <c r="H1535" t="s">
        <v>180</v>
      </c>
      <c r="I1535" t="s">
        <v>120</v>
      </c>
    </row>
    <row r="1536" spans="1:9" x14ac:dyDescent="0.25">
      <c r="A1536" s="8" t="str">
        <f t="shared" si="69"/>
        <v>2008423.Z01</v>
      </c>
      <c r="B1536" s="9" t="str">
        <f t="shared" si="70"/>
        <v/>
      </c>
      <c r="C1536" s="10">
        <f t="shared" si="71"/>
        <v>44116</v>
      </c>
      <c r="D1536">
        <v>2008423</v>
      </c>
      <c r="E1536" t="s">
        <v>135</v>
      </c>
      <c r="F1536" s="6">
        <v>44120</v>
      </c>
      <c r="H1536" t="s">
        <v>189</v>
      </c>
      <c r="I1536" t="s">
        <v>120</v>
      </c>
    </row>
    <row r="1537" spans="1:9" x14ac:dyDescent="0.25">
      <c r="A1537" s="8" t="str">
        <f t="shared" si="69"/>
        <v>2008424.0P0</v>
      </c>
      <c r="B1537" s="9" t="str">
        <f t="shared" si="70"/>
        <v/>
      </c>
      <c r="C1537" s="10">
        <f t="shared" si="71"/>
        <v>44074</v>
      </c>
      <c r="D1537">
        <v>2008424</v>
      </c>
      <c r="E1537" t="s">
        <v>119</v>
      </c>
      <c r="F1537" s="6">
        <v>44078</v>
      </c>
      <c r="H1537" t="s">
        <v>180</v>
      </c>
      <c r="I1537" t="s">
        <v>120</v>
      </c>
    </row>
    <row r="1538" spans="1:9" x14ac:dyDescent="0.25">
      <c r="A1538" s="8" t="str">
        <f t="shared" ref="A1538:A1601" si="72">IF(D1538="","",IF(E1538=0,CONCATENATE(D1538,".",E1538,"00"),CONCATENATE(D1538,".",E1538)))</f>
        <v>2008425.N00</v>
      </c>
      <c r="B1538" s="9" t="str">
        <f t="shared" ref="B1538:B1601" si="73">LEFT(G1538,1)</f>
        <v>4</v>
      </c>
      <c r="C1538" s="10">
        <f t="shared" ref="C1538:C1601" si="74">IF(F1538="","",IF(B1538="",F1538-4,IF(B1538="1",F1538-4,IF(B1538="2",F1538-3,IF(B1538="3",F1538-2,IF(B1538="4",F1538-1,IF(B1538="V",F1538-7,IF(B1538="J",F1538-8,F1538))))))))</f>
        <v>44105</v>
      </c>
      <c r="D1538">
        <v>2008425</v>
      </c>
      <c r="E1538" t="s">
        <v>125</v>
      </c>
      <c r="F1538" s="6">
        <v>44106</v>
      </c>
      <c r="G1538">
        <v>41</v>
      </c>
      <c r="H1538" t="s">
        <v>194</v>
      </c>
      <c r="I1538" t="s">
        <v>120</v>
      </c>
    </row>
    <row r="1539" spans="1:9" x14ac:dyDescent="0.25">
      <c r="A1539" s="8" t="str">
        <f t="shared" si="72"/>
        <v>2008428.000</v>
      </c>
      <c r="B1539" s="9" t="str">
        <f t="shared" si="73"/>
        <v>4</v>
      </c>
      <c r="C1539" s="10">
        <f t="shared" si="74"/>
        <v>44084</v>
      </c>
      <c r="D1539">
        <v>2008428</v>
      </c>
      <c r="E1539">
        <v>0</v>
      </c>
      <c r="F1539" s="6">
        <v>44085</v>
      </c>
      <c r="G1539">
        <v>4</v>
      </c>
      <c r="H1539" t="s">
        <v>180</v>
      </c>
      <c r="I1539" t="s">
        <v>120</v>
      </c>
    </row>
    <row r="1540" spans="1:9" x14ac:dyDescent="0.25">
      <c r="A1540" s="8" t="str">
        <f t="shared" si="72"/>
        <v>2008428.0P0</v>
      </c>
      <c r="B1540" s="9" t="str">
        <f t="shared" si="73"/>
        <v>4</v>
      </c>
      <c r="C1540" s="10">
        <f t="shared" si="74"/>
        <v>44084</v>
      </c>
      <c r="D1540">
        <v>2008428</v>
      </c>
      <c r="E1540" t="s">
        <v>119</v>
      </c>
      <c r="F1540" s="6">
        <v>44085</v>
      </c>
      <c r="G1540">
        <v>4</v>
      </c>
      <c r="H1540" t="s">
        <v>180</v>
      </c>
      <c r="I1540" t="s">
        <v>120</v>
      </c>
    </row>
    <row r="1541" spans="1:9" x14ac:dyDescent="0.25">
      <c r="A1541" s="8" t="str">
        <f t="shared" si="72"/>
        <v>2008429.Y00</v>
      </c>
      <c r="B1541" s="9" t="str">
        <f t="shared" si="73"/>
        <v>4</v>
      </c>
      <c r="C1541" s="10">
        <f t="shared" si="74"/>
        <v>44105</v>
      </c>
      <c r="D1541">
        <v>2008429</v>
      </c>
      <c r="E1541" t="s">
        <v>130</v>
      </c>
      <c r="F1541" s="6">
        <v>44106</v>
      </c>
      <c r="G1541">
        <v>41</v>
      </c>
      <c r="H1541" t="s">
        <v>189</v>
      </c>
      <c r="I1541" t="s">
        <v>120</v>
      </c>
    </row>
    <row r="1542" spans="1:9" x14ac:dyDescent="0.25">
      <c r="A1542" s="8" t="str">
        <f t="shared" si="72"/>
        <v>2008431.000</v>
      </c>
      <c r="B1542" s="9" t="str">
        <f t="shared" si="73"/>
        <v>4</v>
      </c>
      <c r="C1542" s="10">
        <f t="shared" si="74"/>
        <v>44105</v>
      </c>
      <c r="D1542">
        <v>2008431</v>
      </c>
      <c r="E1542">
        <v>0</v>
      </c>
      <c r="F1542" s="6">
        <v>44106</v>
      </c>
      <c r="G1542">
        <v>41</v>
      </c>
      <c r="H1542" t="s">
        <v>189</v>
      </c>
      <c r="I1542" t="s">
        <v>120</v>
      </c>
    </row>
    <row r="1543" spans="1:9" x14ac:dyDescent="0.25">
      <c r="A1543" s="8" t="str">
        <f t="shared" si="72"/>
        <v>2008432.000</v>
      </c>
      <c r="B1543" s="9" t="str">
        <f t="shared" si="73"/>
        <v/>
      </c>
      <c r="C1543" s="10">
        <f t="shared" si="74"/>
        <v>44081</v>
      </c>
      <c r="D1543">
        <v>2008432</v>
      </c>
      <c r="E1543">
        <v>0</v>
      </c>
      <c r="F1543" s="6">
        <v>44085</v>
      </c>
      <c r="H1543" t="s">
        <v>192</v>
      </c>
      <c r="I1543" t="s">
        <v>120</v>
      </c>
    </row>
    <row r="1544" spans="1:9" x14ac:dyDescent="0.25">
      <c r="A1544" s="8" t="str">
        <f t="shared" si="72"/>
        <v>2008434.000</v>
      </c>
      <c r="B1544" s="9" t="str">
        <f t="shared" si="73"/>
        <v/>
      </c>
      <c r="C1544" s="10">
        <f t="shared" si="74"/>
        <v>44074</v>
      </c>
      <c r="D1544">
        <v>2008434</v>
      </c>
      <c r="E1544">
        <v>0</v>
      </c>
      <c r="F1544" s="6">
        <v>44078</v>
      </c>
      <c r="H1544" t="s">
        <v>180</v>
      </c>
      <c r="I1544" t="s">
        <v>120</v>
      </c>
    </row>
    <row r="1545" spans="1:9" x14ac:dyDescent="0.25">
      <c r="A1545" s="8" t="str">
        <f t="shared" si="72"/>
        <v>2008435.C00</v>
      </c>
      <c r="B1545" s="9" t="str">
        <f t="shared" si="73"/>
        <v/>
      </c>
      <c r="C1545" s="10">
        <f t="shared" si="74"/>
        <v>44102</v>
      </c>
      <c r="D1545">
        <v>2008435</v>
      </c>
      <c r="E1545" t="s">
        <v>147</v>
      </c>
      <c r="F1545" s="6">
        <v>44106</v>
      </c>
      <c r="H1545" t="s">
        <v>189</v>
      </c>
      <c r="I1545" t="s">
        <v>120</v>
      </c>
    </row>
    <row r="1546" spans="1:9" x14ac:dyDescent="0.25">
      <c r="A1546" s="8" t="str">
        <f t="shared" si="72"/>
        <v>2008436.000</v>
      </c>
      <c r="B1546" s="9" t="str">
        <f t="shared" si="73"/>
        <v/>
      </c>
      <c r="C1546" s="10">
        <f t="shared" si="74"/>
        <v>44081</v>
      </c>
      <c r="D1546">
        <v>2008436</v>
      </c>
      <c r="E1546">
        <v>0</v>
      </c>
      <c r="F1546" s="6">
        <v>44085</v>
      </c>
      <c r="H1546" t="s">
        <v>180</v>
      </c>
      <c r="I1546" t="s">
        <v>120</v>
      </c>
    </row>
    <row r="1547" spans="1:9" x14ac:dyDescent="0.25">
      <c r="A1547" s="8" t="str">
        <f t="shared" si="72"/>
        <v>2008438.000</v>
      </c>
      <c r="B1547" s="9" t="str">
        <f t="shared" si="73"/>
        <v/>
      </c>
      <c r="C1547" s="10">
        <f t="shared" si="74"/>
        <v>44081</v>
      </c>
      <c r="D1547">
        <v>2008438</v>
      </c>
      <c r="E1547">
        <v>0</v>
      </c>
      <c r="F1547" s="6">
        <v>44085</v>
      </c>
      <c r="H1547" t="s">
        <v>180</v>
      </c>
      <c r="I1547" t="s">
        <v>120</v>
      </c>
    </row>
    <row r="1548" spans="1:9" x14ac:dyDescent="0.25">
      <c r="A1548" s="8" t="str">
        <f t="shared" si="72"/>
        <v>2008439.000</v>
      </c>
      <c r="B1548" s="9" t="str">
        <f t="shared" si="73"/>
        <v/>
      </c>
      <c r="C1548" s="10">
        <f t="shared" si="74"/>
        <v>44088</v>
      </c>
      <c r="D1548">
        <v>2008439</v>
      </c>
      <c r="E1548">
        <v>0</v>
      </c>
      <c r="F1548" s="6">
        <v>44092</v>
      </c>
      <c r="H1548" t="s">
        <v>189</v>
      </c>
      <c r="I1548" t="s">
        <v>120</v>
      </c>
    </row>
    <row r="1549" spans="1:9" x14ac:dyDescent="0.25">
      <c r="A1549" s="8" t="str">
        <f t="shared" si="72"/>
        <v>2008439.Y00</v>
      </c>
      <c r="B1549" s="9" t="str">
        <f t="shared" si="73"/>
        <v/>
      </c>
      <c r="C1549" s="10">
        <f t="shared" si="74"/>
        <v>44088</v>
      </c>
      <c r="D1549">
        <v>2008439</v>
      </c>
      <c r="E1549" t="s">
        <v>130</v>
      </c>
      <c r="F1549" s="6">
        <v>44092</v>
      </c>
      <c r="H1549" t="s">
        <v>189</v>
      </c>
      <c r="I1549" t="s">
        <v>120</v>
      </c>
    </row>
    <row r="1550" spans="1:9" x14ac:dyDescent="0.25">
      <c r="A1550" s="8" t="str">
        <f t="shared" si="72"/>
        <v>2008440.U00</v>
      </c>
      <c r="B1550" s="9" t="str">
        <f t="shared" si="73"/>
        <v>3</v>
      </c>
      <c r="C1550" s="10">
        <f t="shared" si="74"/>
        <v>44090</v>
      </c>
      <c r="D1550">
        <v>2008440</v>
      </c>
      <c r="E1550" t="s">
        <v>131</v>
      </c>
      <c r="F1550" s="6">
        <v>44092</v>
      </c>
      <c r="G1550">
        <v>3</v>
      </c>
      <c r="H1550" t="s">
        <v>189</v>
      </c>
      <c r="I1550" t="s">
        <v>120</v>
      </c>
    </row>
    <row r="1551" spans="1:9" x14ac:dyDescent="0.25">
      <c r="A1551" s="8" t="str">
        <f t="shared" si="72"/>
        <v>2008441.XP0</v>
      </c>
      <c r="B1551" s="9" t="str">
        <f t="shared" si="73"/>
        <v>1</v>
      </c>
      <c r="C1551" s="10">
        <f t="shared" si="74"/>
        <v>44116</v>
      </c>
      <c r="D1551">
        <v>2008441</v>
      </c>
      <c r="E1551" t="s">
        <v>181</v>
      </c>
      <c r="F1551" s="6">
        <v>44120</v>
      </c>
      <c r="G1551">
        <v>1</v>
      </c>
      <c r="H1551" t="s">
        <v>189</v>
      </c>
      <c r="I1551" t="s">
        <v>120</v>
      </c>
    </row>
    <row r="1552" spans="1:9" x14ac:dyDescent="0.25">
      <c r="A1552" s="8" t="str">
        <f t="shared" si="72"/>
        <v>2008441.ZP1</v>
      </c>
      <c r="B1552" s="9" t="str">
        <f t="shared" si="73"/>
        <v>1</v>
      </c>
      <c r="C1552" s="10">
        <f t="shared" si="74"/>
        <v>44116</v>
      </c>
      <c r="D1552">
        <v>2008441</v>
      </c>
      <c r="E1552" t="s">
        <v>141</v>
      </c>
      <c r="F1552" s="6">
        <v>44120</v>
      </c>
      <c r="G1552">
        <v>1</v>
      </c>
      <c r="H1552" t="s">
        <v>189</v>
      </c>
      <c r="I1552" t="s">
        <v>120</v>
      </c>
    </row>
    <row r="1553" spans="1:9" x14ac:dyDescent="0.25">
      <c r="A1553" s="8" t="str">
        <f t="shared" si="72"/>
        <v>2008443.000</v>
      </c>
      <c r="B1553" s="9" t="str">
        <f t="shared" si="73"/>
        <v/>
      </c>
      <c r="C1553" s="10">
        <f t="shared" si="74"/>
        <v>44081</v>
      </c>
      <c r="D1553">
        <v>2008443</v>
      </c>
      <c r="E1553">
        <v>0</v>
      </c>
      <c r="F1553" s="6">
        <v>44085</v>
      </c>
      <c r="H1553" t="s">
        <v>180</v>
      </c>
      <c r="I1553" t="s">
        <v>120</v>
      </c>
    </row>
    <row r="1554" spans="1:9" x14ac:dyDescent="0.25">
      <c r="A1554" s="8" t="str">
        <f t="shared" si="72"/>
        <v>2008445.TP1</v>
      </c>
      <c r="B1554" s="9" t="str">
        <f t="shared" si="73"/>
        <v/>
      </c>
      <c r="C1554" s="10">
        <f t="shared" si="74"/>
        <v>44102</v>
      </c>
      <c r="D1554">
        <v>2008445</v>
      </c>
      <c r="E1554" t="s">
        <v>209</v>
      </c>
      <c r="F1554" s="6">
        <v>44106</v>
      </c>
      <c r="H1554" t="s">
        <v>189</v>
      </c>
      <c r="I1554" t="s">
        <v>120</v>
      </c>
    </row>
    <row r="1555" spans="1:9" x14ac:dyDescent="0.25">
      <c r="A1555" s="8" t="str">
        <f t="shared" si="72"/>
        <v>2008446.000</v>
      </c>
      <c r="B1555" s="9" t="str">
        <f t="shared" si="73"/>
        <v/>
      </c>
      <c r="C1555" s="10">
        <f t="shared" si="74"/>
        <v>44095</v>
      </c>
      <c r="D1555">
        <v>2008446</v>
      </c>
      <c r="E1555">
        <v>0</v>
      </c>
      <c r="F1555" s="6">
        <v>44099</v>
      </c>
      <c r="H1555" t="s">
        <v>189</v>
      </c>
      <c r="I1555" t="s">
        <v>120</v>
      </c>
    </row>
    <row r="1556" spans="1:9" x14ac:dyDescent="0.25">
      <c r="A1556" s="8" t="str">
        <f t="shared" si="72"/>
        <v>2008446.N0L</v>
      </c>
      <c r="B1556" s="9" t="str">
        <f t="shared" si="73"/>
        <v/>
      </c>
      <c r="C1556" s="10" t="str">
        <f t="shared" si="74"/>
        <v/>
      </c>
      <c r="D1556">
        <v>2008446</v>
      </c>
      <c r="E1556" t="s">
        <v>133</v>
      </c>
      <c r="F1556" s="6"/>
      <c r="H1556" t="s">
        <v>188</v>
      </c>
      <c r="I1556" t="s">
        <v>120</v>
      </c>
    </row>
    <row r="1557" spans="1:9" x14ac:dyDescent="0.25">
      <c r="A1557" s="8" t="str">
        <f t="shared" si="72"/>
        <v>2008446.Y00</v>
      </c>
      <c r="B1557" s="9" t="str">
        <f t="shared" si="73"/>
        <v/>
      </c>
      <c r="C1557" s="10">
        <f t="shared" si="74"/>
        <v>44095</v>
      </c>
      <c r="D1557">
        <v>2008446</v>
      </c>
      <c r="E1557" t="s">
        <v>130</v>
      </c>
      <c r="F1557" s="6">
        <v>44099</v>
      </c>
      <c r="H1557" t="s">
        <v>189</v>
      </c>
      <c r="I1557" t="s">
        <v>120</v>
      </c>
    </row>
    <row r="1558" spans="1:9" x14ac:dyDescent="0.25">
      <c r="A1558" s="8" t="str">
        <f t="shared" si="72"/>
        <v>2008447.X03</v>
      </c>
      <c r="B1558" s="9" t="str">
        <f t="shared" si="73"/>
        <v>4</v>
      </c>
      <c r="C1558" s="10">
        <f t="shared" si="74"/>
        <v>44119</v>
      </c>
      <c r="D1558">
        <v>2008447</v>
      </c>
      <c r="E1558" t="s">
        <v>296</v>
      </c>
      <c r="F1558" s="6">
        <v>44120</v>
      </c>
      <c r="G1558">
        <v>4</v>
      </c>
      <c r="H1558" t="s">
        <v>180</v>
      </c>
      <c r="I1558" t="s">
        <v>120</v>
      </c>
    </row>
    <row r="1559" spans="1:9" x14ac:dyDescent="0.25">
      <c r="A1559" s="8" t="str">
        <f t="shared" si="72"/>
        <v>2008447.Y03</v>
      </c>
      <c r="B1559" s="9" t="str">
        <f t="shared" si="73"/>
        <v>4</v>
      </c>
      <c r="C1559" s="10">
        <f t="shared" si="74"/>
        <v>44119</v>
      </c>
      <c r="D1559">
        <v>2008447</v>
      </c>
      <c r="E1559" t="s">
        <v>223</v>
      </c>
      <c r="F1559" s="6">
        <v>44120</v>
      </c>
      <c r="G1559">
        <v>4</v>
      </c>
      <c r="H1559" t="s">
        <v>189</v>
      </c>
      <c r="I1559" t="s">
        <v>120</v>
      </c>
    </row>
    <row r="1560" spans="1:9" x14ac:dyDescent="0.25">
      <c r="A1560" s="8" t="str">
        <f t="shared" si="72"/>
        <v>2008447.Z03</v>
      </c>
      <c r="B1560" s="9" t="str">
        <f t="shared" si="73"/>
        <v>4</v>
      </c>
      <c r="C1560" s="10">
        <f t="shared" si="74"/>
        <v>44119</v>
      </c>
      <c r="D1560">
        <v>2008447</v>
      </c>
      <c r="E1560" t="s">
        <v>153</v>
      </c>
      <c r="F1560" s="6">
        <v>44120</v>
      </c>
      <c r="G1560">
        <v>4</v>
      </c>
      <c r="H1560" t="s">
        <v>189</v>
      </c>
      <c r="I1560" t="s">
        <v>120</v>
      </c>
    </row>
    <row r="1561" spans="1:9" x14ac:dyDescent="0.25">
      <c r="A1561" s="8" t="str">
        <f t="shared" si="72"/>
        <v>2008448.X00</v>
      </c>
      <c r="B1561" s="9" t="str">
        <f t="shared" si="73"/>
        <v>1</v>
      </c>
      <c r="C1561" s="10">
        <f t="shared" si="74"/>
        <v>44109</v>
      </c>
      <c r="D1561">
        <v>2008448</v>
      </c>
      <c r="E1561" t="s">
        <v>225</v>
      </c>
      <c r="F1561" s="6">
        <v>44113</v>
      </c>
      <c r="G1561">
        <v>1</v>
      </c>
      <c r="H1561" t="s">
        <v>189</v>
      </c>
      <c r="I1561" t="s">
        <v>120</v>
      </c>
    </row>
    <row r="1562" spans="1:9" x14ac:dyDescent="0.25">
      <c r="A1562" s="8" t="str">
        <f t="shared" si="72"/>
        <v>2008449.000</v>
      </c>
      <c r="B1562" s="9" t="str">
        <f t="shared" si="73"/>
        <v/>
      </c>
      <c r="C1562" s="10">
        <f t="shared" si="74"/>
        <v>44074</v>
      </c>
      <c r="D1562">
        <v>2008449</v>
      </c>
      <c r="E1562">
        <v>0</v>
      </c>
      <c r="F1562" s="6">
        <v>44078</v>
      </c>
      <c r="H1562" t="s">
        <v>180</v>
      </c>
      <c r="I1562" t="s">
        <v>120</v>
      </c>
    </row>
    <row r="1563" spans="1:9" x14ac:dyDescent="0.25">
      <c r="A1563" s="8" t="str">
        <f t="shared" si="72"/>
        <v>2008450.U01</v>
      </c>
      <c r="B1563" s="9" t="str">
        <f t="shared" si="73"/>
        <v/>
      </c>
      <c r="C1563" s="10">
        <f t="shared" si="74"/>
        <v>44095</v>
      </c>
      <c r="D1563">
        <v>2008450</v>
      </c>
      <c r="E1563" t="s">
        <v>150</v>
      </c>
      <c r="F1563" s="6">
        <v>44099</v>
      </c>
      <c r="H1563" t="s">
        <v>189</v>
      </c>
      <c r="I1563" t="s">
        <v>120</v>
      </c>
    </row>
    <row r="1564" spans="1:9" x14ac:dyDescent="0.25">
      <c r="A1564" s="8" t="str">
        <f t="shared" si="72"/>
        <v>2008450.Y01</v>
      </c>
      <c r="B1564" s="9" t="str">
        <f t="shared" si="73"/>
        <v/>
      </c>
      <c r="C1564" s="10">
        <f t="shared" si="74"/>
        <v>44095</v>
      </c>
      <c r="D1564">
        <v>2008450</v>
      </c>
      <c r="E1564" t="s">
        <v>132</v>
      </c>
      <c r="F1564" s="6">
        <v>44099</v>
      </c>
      <c r="H1564" t="s">
        <v>189</v>
      </c>
      <c r="I1564" t="s">
        <v>120</v>
      </c>
    </row>
    <row r="1565" spans="1:9" x14ac:dyDescent="0.25">
      <c r="A1565" s="8" t="str">
        <f t="shared" si="72"/>
        <v>2008451.000</v>
      </c>
      <c r="B1565" s="9" t="str">
        <f t="shared" si="73"/>
        <v/>
      </c>
      <c r="C1565" s="10">
        <f t="shared" si="74"/>
        <v>44081</v>
      </c>
      <c r="D1565">
        <v>2008451</v>
      </c>
      <c r="E1565">
        <v>0</v>
      </c>
      <c r="F1565" s="6">
        <v>44085</v>
      </c>
      <c r="H1565" t="s">
        <v>180</v>
      </c>
      <c r="I1565" t="s">
        <v>120</v>
      </c>
    </row>
    <row r="1566" spans="1:9" x14ac:dyDescent="0.25">
      <c r="A1566" s="8" t="str">
        <f t="shared" si="72"/>
        <v>2008452.000</v>
      </c>
      <c r="B1566" s="9" t="str">
        <f t="shared" si="73"/>
        <v/>
      </c>
      <c r="C1566" s="10">
        <f t="shared" si="74"/>
        <v>44081</v>
      </c>
      <c r="D1566">
        <v>2008452</v>
      </c>
      <c r="E1566">
        <v>0</v>
      </c>
      <c r="F1566" s="6">
        <v>44085</v>
      </c>
      <c r="H1566" t="s">
        <v>180</v>
      </c>
      <c r="I1566" t="s">
        <v>120</v>
      </c>
    </row>
    <row r="1567" spans="1:9" x14ac:dyDescent="0.25">
      <c r="A1567" s="8" t="str">
        <f t="shared" si="72"/>
        <v>2008453.000</v>
      </c>
      <c r="B1567" s="9" t="str">
        <f t="shared" si="73"/>
        <v/>
      </c>
      <c r="C1567" s="10">
        <f t="shared" si="74"/>
        <v>44081</v>
      </c>
      <c r="D1567">
        <v>2008453</v>
      </c>
      <c r="E1567">
        <v>0</v>
      </c>
      <c r="F1567" s="6">
        <v>44085</v>
      </c>
      <c r="H1567" t="s">
        <v>180</v>
      </c>
      <c r="I1567" t="s">
        <v>120</v>
      </c>
    </row>
    <row r="1568" spans="1:9" x14ac:dyDescent="0.25">
      <c r="A1568" s="8" t="str">
        <f t="shared" si="72"/>
        <v>2008454.Y00</v>
      </c>
      <c r="B1568" s="9" t="str">
        <f t="shared" si="73"/>
        <v/>
      </c>
      <c r="C1568" s="10">
        <f t="shared" si="74"/>
        <v>44095</v>
      </c>
      <c r="D1568">
        <v>2008454</v>
      </c>
      <c r="E1568" t="s">
        <v>130</v>
      </c>
      <c r="F1568" s="6">
        <v>44099</v>
      </c>
      <c r="H1568" t="s">
        <v>189</v>
      </c>
      <c r="I1568" t="s">
        <v>120</v>
      </c>
    </row>
    <row r="1569" spans="1:9" x14ac:dyDescent="0.25">
      <c r="A1569" s="8" t="str">
        <f t="shared" si="72"/>
        <v>2008455.X00</v>
      </c>
      <c r="B1569" s="9" t="str">
        <f t="shared" si="73"/>
        <v/>
      </c>
      <c r="C1569" s="10">
        <f t="shared" si="74"/>
        <v>44081</v>
      </c>
      <c r="D1569">
        <v>2008455</v>
      </c>
      <c r="E1569" t="s">
        <v>225</v>
      </c>
      <c r="F1569" s="6">
        <v>44085</v>
      </c>
      <c r="H1569" t="s">
        <v>180</v>
      </c>
      <c r="I1569" t="s">
        <v>120</v>
      </c>
    </row>
    <row r="1570" spans="1:9" x14ac:dyDescent="0.25">
      <c r="A1570" s="8" t="str">
        <f t="shared" si="72"/>
        <v>2008456.H00</v>
      </c>
      <c r="B1570" s="9" t="str">
        <f t="shared" si="73"/>
        <v/>
      </c>
      <c r="C1570" s="10">
        <f t="shared" si="74"/>
        <v>44088</v>
      </c>
      <c r="D1570">
        <v>2008456</v>
      </c>
      <c r="E1570" t="s">
        <v>122</v>
      </c>
      <c r="F1570" s="6">
        <v>44092</v>
      </c>
      <c r="H1570" t="s">
        <v>189</v>
      </c>
      <c r="I1570" t="s">
        <v>120</v>
      </c>
    </row>
    <row r="1571" spans="1:9" x14ac:dyDescent="0.25">
      <c r="A1571" s="8" t="str">
        <f t="shared" si="72"/>
        <v>2008456.HPL</v>
      </c>
      <c r="B1571" s="9" t="str">
        <f t="shared" si="73"/>
        <v/>
      </c>
      <c r="C1571" s="10">
        <f t="shared" si="74"/>
        <v>44088</v>
      </c>
      <c r="D1571">
        <v>2008456</v>
      </c>
      <c r="E1571" t="s">
        <v>128</v>
      </c>
      <c r="F1571" s="6">
        <v>44092</v>
      </c>
      <c r="H1571" t="s">
        <v>189</v>
      </c>
      <c r="I1571" t="s">
        <v>120</v>
      </c>
    </row>
    <row r="1572" spans="1:9" x14ac:dyDescent="0.25">
      <c r="A1572" s="8" t="str">
        <f t="shared" si="72"/>
        <v>2008457.0P0</v>
      </c>
      <c r="B1572" s="9" t="str">
        <f t="shared" si="73"/>
        <v>1</v>
      </c>
      <c r="C1572" s="10">
        <f t="shared" si="74"/>
        <v>44081</v>
      </c>
      <c r="D1572">
        <v>2008457</v>
      </c>
      <c r="E1572" t="s">
        <v>119</v>
      </c>
      <c r="F1572" s="6">
        <v>44085</v>
      </c>
      <c r="G1572">
        <v>1</v>
      </c>
      <c r="H1572" t="s">
        <v>191</v>
      </c>
      <c r="I1572" t="s">
        <v>120</v>
      </c>
    </row>
    <row r="1573" spans="1:9" x14ac:dyDescent="0.25">
      <c r="A1573" s="8" t="str">
        <f t="shared" si="72"/>
        <v>2008458.0P0</v>
      </c>
      <c r="B1573" s="9" t="str">
        <f t="shared" si="73"/>
        <v>2</v>
      </c>
      <c r="C1573" s="10">
        <f t="shared" si="74"/>
        <v>44075</v>
      </c>
      <c r="D1573">
        <v>2008458</v>
      </c>
      <c r="E1573" t="s">
        <v>119</v>
      </c>
      <c r="F1573" s="6">
        <v>44078</v>
      </c>
      <c r="G1573">
        <v>22</v>
      </c>
      <c r="H1573" t="s">
        <v>180</v>
      </c>
      <c r="I1573" t="s">
        <v>120</v>
      </c>
    </row>
    <row r="1574" spans="1:9" x14ac:dyDescent="0.25">
      <c r="A1574" s="8" t="str">
        <f t="shared" si="72"/>
        <v>2008459.000</v>
      </c>
      <c r="B1574" s="9" t="str">
        <f t="shared" si="73"/>
        <v/>
      </c>
      <c r="C1574" s="10">
        <f t="shared" si="74"/>
        <v>44123</v>
      </c>
      <c r="D1574">
        <v>2008459</v>
      </c>
      <c r="E1574">
        <v>0</v>
      </c>
      <c r="F1574" s="6">
        <v>44127</v>
      </c>
      <c r="H1574" t="s">
        <v>189</v>
      </c>
      <c r="I1574" t="s">
        <v>120</v>
      </c>
    </row>
    <row r="1575" spans="1:9" x14ac:dyDescent="0.25">
      <c r="A1575" s="8" t="str">
        <f t="shared" si="72"/>
        <v>2008460.H00</v>
      </c>
      <c r="B1575" s="9" t="str">
        <f t="shared" si="73"/>
        <v/>
      </c>
      <c r="C1575" s="10">
        <f t="shared" si="74"/>
        <v>44123</v>
      </c>
      <c r="D1575">
        <v>2008460</v>
      </c>
      <c r="E1575" t="s">
        <v>122</v>
      </c>
      <c r="F1575" s="6">
        <v>44127</v>
      </c>
      <c r="H1575" t="s">
        <v>189</v>
      </c>
      <c r="I1575" t="s">
        <v>120</v>
      </c>
    </row>
    <row r="1576" spans="1:9" x14ac:dyDescent="0.25">
      <c r="A1576" s="8" t="str">
        <f t="shared" si="72"/>
        <v>2008461.000</v>
      </c>
      <c r="B1576" s="9" t="str">
        <f t="shared" si="73"/>
        <v/>
      </c>
      <c r="C1576" s="10">
        <f t="shared" si="74"/>
        <v>44123</v>
      </c>
      <c r="D1576">
        <v>2008461</v>
      </c>
      <c r="E1576">
        <v>0</v>
      </c>
      <c r="F1576" s="6">
        <v>44127</v>
      </c>
      <c r="H1576" t="s">
        <v>189</v>
      </c>
      <c r="I1576" t="s">
        <v>120</v>
      </c>
    </row>
    <row r="1577" spans="1:9" x14ac:dyDescent="0.25">
      <c r="A1577" s="8" t="str">
        <f t="shared" si="72"/>
        <v>2008462.UP0</v>
      </c>
      <c r="B1577" s="9" t="str">
        <f t="shared" si="73"/>
        <v/>
      </c>
      <c r="C1577" s="10">
        <f t="shared" si="74"/>
        <v>44095</v>
      </c>
      <c r="D1577">
        <v>2008462</v>
      </c>
      <c r="E1577" t="s">
        <v>136</v>
      </c>
      <c r="F1577" s="6">
        <v>44099</v>
      </c>
      <c r="H1577" t="s">
        <v>189</v>
      </c>
      <c r="I1577" t="s">
        <v>120</v>
      </c>
    </row>
    <row r="1578" spans="1:9" x14ac:dyDescent="0.25">
      <c r="A1578" s="8" t="str">
        <f t="shared" si="72"/>
        <v>2008462.Y00</v>
      </c>
      <c r="B1578" s="9" t="str">
        <f t="shared" si="73"/>
        <v/>
      </c>
      <c r="C1578" s="10">
        <f t="shared" si="74"/>
        <v>44095</v>
      </c>
      <c r="D1578">
        <v>2008462</v>
      </c>
      <c r="E1578" t="s">
        <v>130</v>
      </c>
      <c r="F1578" s="6">
        <v>44099</v>
      </c>
      <c r="H1578" t="s">
        <v>189</v>
      </c>
      <c r="I1578" t="s">
        <v>120</v>
      </c>
    </row>
    <row r="1579" spans="1:9" x14ac:dyDescent="0.25">
      <c r="A1579" s="8" t="str">
        <f t="shared" si="72"/>
        <v>2008463.0P0</v>
      </c>
      <c r="B1579" s="9" t="str">
        <f t="shared" si="73"/>
        <v/>
      </c>
      <c r="C1579" s="10">
        <f t="shared" si="74"/>
        <v>44088</v>
      </c>
      <c r="D1579">
        <v>2008463</v>
      </c>
      <c r="E1579" t="s">
        <v>119</v>
      </c>
      <c r="F1579" s="6">
        <v>44092</v>
      </c>
      <c r="H1579" t="s">
        <v>191</v>
      </c>
      <c r="I1579" t="s">
        <v>120</v>
      </c>
    </row>
    <row r="1580" spans="1:9" x14ac:dyDescent="0.25">
      <c r="A1580" s="8" t="str">
        <f t="shared" si="72"/>
        <v>2008464.000</v>
      </c>
      <c r="B1580" s="9" t="str">
        <f t="shared" si="73"/>
        <v/>
      </c>
      <c r="C1580" s="10">
        <f t="shared" si="74"/>
        <v>44081</v>
      </c>
      <c r="D1580">
        <v>2008464</v>
      </c>
      <c r="E1580">
        <v>0</v>
      </c>
      <c r="F1580" s="6">
        <v>44085</v>
      </c>
      <c r="H1580" t="s">
        <v>180</v>
      </c>
      <c r="I1580" t="s">
        <v>120</v>
      </c>
    </row>
    <row r="1581" spans="1:9" x14ac:dyDescent="0.25">
      <c r="A1581" s="8" t="str">
        <f t="shared" si="72"/>
        <v>2008466.Y02</v>
      </c>
      <c r="B1581" s="9" t="str">
        <f t="shared" si="73"/>
        <v/>
      </c>
      <c r="C1581" s="10">
        <f t="shared" si="74"/>
        <v>44074</v>
      </c>
      <c r="D1581">
        <v>2008466</v>
      </c>
      <c r="E1581" t="s">
        <v>144</v>
      </c>
      <c r="F1581" s="6">
        <v>44078</v>
      </c>
      <c r="H1581" t="s">
        <v>180</v>
      </c>
      <c r="I1581" t="s">
        <v>120</v>
      </c>
    </row>
    <row r="1582" spans="1:9" x14ac:dyDescent="0.25">
      <c r="A1582" s="8" t="str">
        <f t="shared" si="72"/>
        <v>2008467.H01</v>
      </c>
      <c r="B1582" s="9" t="str">
        <f t="shared" si="73"/>
        <v/>
      </c>
      <c r="C1582" s="10">
        <f t="shared" si="74"/>
        <v>44088</v>
      </c>
      <c r="D1582">
        <v>2008467</v>
      </c>
      <c r="E1582" t="s">
        <v>145</v>
      </c>
      <c r="F1582" s="6">
        <v>44092</v>
      </c>
      <c r="H1582" t="s">
        <v>189</v>
      </c>
      <c r="I1582" t="s">
        <v>120</v>
      </c>
    </row>
    <row r="1583" spans="1:9" x14ac:dyDescent="0.25">
      <c r="A1583" s="8" t="str">
        <f t="shared" si="72"/>
        <v>2008468.TP0</v>
      </c>
      <c r="B1583" s="9" t="str">
        <f t="shared" si="73"/>
        <v>1</v>
      </c>
      <c r="C1583" s="10">
        <f t="shared" si="74"/>
        <v>44102</v>
      </c>
      <c r="D1583">
        <v>2008468</v>
      </c>
      <c r="E1583" t="s">
        <v>184</v>
      </c>
      <c r="F1583" s="6">
        <v>44106</v>
      </c>
      <c r="G1583">
        <v>1</v>
      </c>
      <c r="H1583" t="s">
        <v>189</v>
      </c>
      <c r="I1583" t="s">
        <v>120</v>
      </c>
    </row>
    <row r="1584" spans="1:9" x14ac:dyDescent="0.25">
      <c r="A1584" s="8" t="str">
        <f t="shared" si="72"/>
        <v>2008469.N0L</v>
      </c>
      <c r="B1584" s="9" t="str">
        <f t="shared" si="73"/>
        <v>4</v>
      </c>
      <c r="C1584" s="10">
        <f t="shared" si="74"/>
        <v>44070</v>
      </c>
      <c r="D1584">
        <v>2008469</v>
      </c>
      <c r="E1584" t="s">
        <v>133</v>
      </c>
      <c r="F1584" s="6">
        <v>44071</v>
      </c>
      <c r="G1584">
        <v>43</v>
      </c>
      <c r="H1584" t="s">
        <v>194</v>
      </c>
      <c r="I1584" t="s">
        <v>120</v>
      </c>
    </row>
    <row r="1585" spans="1:9" x14ac:dyDescent="0.25">
      <c r="A1585" s="8" t="str">
        <f t="shared" si="72"/>
        <v>2008470.X00</v>
      </c>
      <c r="B1585" s="9" t="str">
        <f t="shared" si="73"/>
        <v/>
      </c>
      <c r="C1585" s="10">
        <f t="shared" si="74"/>
        <v>44102</v>
      </c>
      <c r="D1585">
        <v>2008470</v>
      </c>
      <c r="E1585" t="s">
        <v>225</v>
      </c>
      <c r="F1585" s="6">
        <v>44106</v>
      </c>
      <c r="H1585" t="s">
        <v>189</v>
      </c>
      <c r="I1585" t="s">
        <v>120</v>
      </c>
    </row>
    <row r="1586" spans="1:9" x14ac:dyDescent="0.25">
      <c r="A1586" s="8" t="str">
        <f t="shared" si="72"/>
        <v>2008471.U02</v>
      </c>
      <c r="B1586" s="9" t="str">
        <f t="shared" si="73"/>
        <v/>
      </c>
      <c r="C1586" s="10">
        <f t="shared" si="74"/>
        <v>44088</v>
      </c>
      <c r="D1586">
        <v>2008471</v>
      </c>
      <c r="E1586" t="s">
        <v>149</v>
      </c>
      <c r="F1586" s="6">
        <v>44092</v>
      </c>
      <c r="H1586" t="s">
        <v>189</v>
      </c>
      <c r="I1586" t="s">
        <v>120</v>
      </c>
    </row>
    <row r="1587" spans="1:9" x14ac:dyDescent="0.25">
      <c r="A1587" s="8" t="str">
        <f t="shared" si="72"/>
        <v>2008471.UP2</v>
      </c>
      <c r="B1587" s="9" t="str">
        <f t="shared" si="73"/>
        <v/>
      </c>
      <c r="C1587" s="10">
        <f t="shared" si="74"/>
        <v>44088</v>
      </c>
      <c r="D1587">
        <v>2008471</v>
      </c>
      <c r="E1587" t="s">
        <v>160</v>
      </c>
      <c r="F1587" s="6">
        <v>44092</v>
      </c>
      <c r="H1587" t="s">
        <v>189</v>
      </c>
      <c r="I1587" t="s">
        <v>120</v>
      </c>
    </row>
    <row r="1588" spans="1:9" x14ac:dyDescent="0.25">
      <c r="A1588" s="8" t="str">
        <f t="shared" si="72"/>
        <v>2008472.XP0</v>
      </c>
      <c r="B1588" s="9" t="str">
        <f t="shared" si="73"/>
        <v/>
      </c>
      <c r="C1588" s="10">
        <f t="shared" si="74"/>
        <v>44102</v>
      </c>
      <c r="D1588">
        <v>2008472</v>
      </c>
      <c r="E1588" t="s">
        <v>181</v>
      </c>
      <c r="F1588" s="6">
        <v>44106</v>
      </c>
      <c r="H1588" t="s">
        <v>189</v>
      </c>
      <c r="I1588" t="s">
        <v>120</v>
      </c>
    </row>
    <row r="1589" spans="1:9" x14ac:dyDescent="0.25">
      <c r="A1589" s="8" t="str">
        <f t="shared" si="72"/>
        <v>2008473.H00</v>
      </c>
      <c r="B1589" s="9" t="str">
        <f t="shared" si="73"/>
        <v>4</v>
      </c>
      <c r="C1589" s="10">
        <f t="shared" si="74"/>
        <v>44105</v>
      </c>
      <c r="D1589">
        <v>2008473</v>
      </c>
      <c r="E1589" t="s">
        <v>122</v>
      </c>
      <c r="F1589" s="6">
        <v>44106</v>
      </c>
      <c r="G1589">
        <v>41</v>
      </c>
      <c r="H1589" t="s">
        <v>189</v>
      </c>
      <c r="I1589" t="s">
        <v>120</v>
      </c>
    </row>
    <row r="1590" spans="1:9" x14ac:dyDescent="0.25">
      <c r="A1590" s="8" t="str">
        <f t="shared" si="72"/>
        <v>2008474.U01</v>
      </c>
      <c r="B1590" s="9" t="str">
        <f t="shared" si="73"/>
        <v>2</v>
      </c>
      <c r="C1590" s="10">
        <f t="shared" si="74"/>
        <v>44096</v>
      </c>
      <c r="D1590">
        <v>2008474</v>
      </c>
      <c r="E1590" t="s">
        <v>150</v>
      </c>
      <c r="F1590" s="6">
        <v>44099</v>
      </c>
      <c r="G1590">
        <v>2</v>
      </c>
      <c r="H1590" t="s">
        <v>192</v>
      </c>
      <c r="I1590" t="s">
        <v>120</v>
      </c>
    </row>
    <row r="1591" spans="1:9" x14ac:dyDescent="0.25">
      <c r="A1591" s="8" t="str">
        <f t="shared" si="72"/>
        <v>2008474.Y01</v>
      </c>
      <c r="B1591" s="9" t="str">
        <f t="shared" si="73"/>
        <v>2</v>
      </c>
      <c r="C1591" s="10">
        <f t="shared" si="74"/>
        <v>44096</v>
      </c>
      <c r="D1591">
        <v>2008474</v>
      </c>
      <c r="E1591" t="s">
        <v>132</v>
      </c>
      <c r="F1591" s="6">
        <v>44099</v>
      </c>
      <c r="G1591">
        <v>2</v>
      </c>
      <c r="H1591" t="s">
        <v>192</v>
      </c>
      <c r="I1591" t="s">
        <v>120</v>
      </c>
    </row>
    <row r="1592" spans="1:9" x14ac:dyDescent="0.25">
      <c r="A1592" s="8" t="str">
        <f t="shared" si="72"/>
        <v>2008475.U01</v>
      </c>
      <c r="B1592" s="9" t="str">
        <f t="shared" si="73"/>
        <v/>
      </c>
      <c r="C1592" s="10">
        <f t="shared" si="74"/>
        <v>44095</v>
      </c>
      <c r="D1592">
        <v>2008475</v>
      </c>
      <c r="E1592" t="s">
        <v>150</v>
      </c>
      <c r="F1592" s="6">
        <v>44099</v>
      </c>
      <c r="H1592" t="s">
        <v>191</v>
      </c>
      <c r="I1592" t="s">
        <v>120</v>
      </c>
    </row>
    <row r="1593" spans="1:9" x14ac:dyDescent="0.25">
      <c r="A1593" s="8" t="str">
        <f t="shared" si="72"/>
        <v>2008475.Y01</v>
      </c>
      <c r="B1593" s="9" t="str">
        <f t="shared" si="73"/>
        <v/>
      </c>
      <c r="C1593" s="10">
        <f t="shared" si="74"/>
        <v>44095</v>
      </c>
      <c r="D1593">
        <v>2008475</v>
      </c>
      <c r="E1593" t="s">
        <v>132</v>
      </c>
      <c r="F1593" s="6">
        <v>44099</v>
      </c>
      <c r="H1593" t="s">
        <v>191</v>
      </c>
      <c r="I1593" t="s">
        <v>120</v>
      </c>
    </row>
    <row r="1594" spans="1:9" x14ac:dyDescent="0.25">
      <c r="A1594" s="8" t="str">
        <f t="shared" si="72"/>
        <v>2008476.H00</v>
      </c>
      <c r="B1594" s="9" t="str">
        <f t="shared" si="73"/>
        <v/>
      </c>
      <c r="C1594" s="10">
        <f t="shared" si="74"/>
        <v>44088</v>
      </c>
      <c r="D1594">
        <v>2008476</v>
      </c>
      <c r="E1594" t="s">
        <v>122</v>
      </c>
      <c r="F1594" s="6">
        <v>44092</v>
      </c>
      <c r="H1594" t="s">
        <v>189</v>
      </c>
      <c r="I1594" t="s">
        <v>120</v>
      </c>
    </row>
    <row r="1595" spans="1:9" x14ac:dyDescent="0.25">
      <c r="A1595" s="8" t="str">
        <f t="shared" si="72"/>
        <v>2008477.X00</v>
      </c>
      <c r="B1595" s="9" t="str">
        <f t="shared" si="73"/>
        <v/>
      </c>
      <c r="C1595" s="10">
        <f t="shared" si="74"/>
        <v>44081</v>
      </c>
      <c r="D1595">
        <v>2008477</v>
      </c>
      <c r="E1595" t="s">
        <v>225</v>
      </c>
      <c r="F1595" s="6">
        <v>44085</v>
      </c>
      <c r="H1595" t="s">
        <v>180</v>
      </c>
      <c r="I1595" t="s">
        <v>120</v>
      </c>
    </row>
    <row r="1596" spans="1:9" x14ac:dyDescent="0.25">
      <c r="A1596" s="8" t="str">
        <f t="shared" si="72"/>
        <v>2008479.U00</v>
      </c>
      <c r="B1596" s="9" t="str">
        <f t="shared" si="73"/>
        <v/>
      </c>
      <c r="C1596" s="10">
        <f t="shared" si="74"/>
        <v>44095</v>
      </c>
      <c r="D1596">
        <v>2008479</v>
      </c>
      <c r="E1596" t="s">
        <v>131</v>
      </c>
      <c r="F1596" s="6">
        <v>44099</v>
      </c>
      <c r="H1596" t="s">
        <v>189</v>
      </c>
      <c r="I1596" t="s">
        <v>120</v>
      </c>
    </row>
    <row r="1597" spans="1:9" x14ac:dyDescent="0.25">
      <c r="A1597" s="8" t="str">
        <f t="shared" si="72"/>
        <v>2008480.000</v>
      </c>
      <c r="B1597" s="9" t="str">
        <f t="shared" si="73"/>
        <v>4</v>
      </c>
      <c r="C1597" s="10">
        <f t="shared" si="74"/>
        <v>44105</v>
      </c>
      <c r="D1597">
        <v>2008480</v>
      </c>
      <c r="E1597">
        <v>0</v>
      </c>
      <c r="F1597" s="6">
        <v>44106</v>
      </c>
      <c r="G1597">
        <v>41</v>
      </c>
      <c r="H1597" t="s">
        <v>189</v>
      </c>
      <c r="I1597" t="s">
        <v>120</v>
      </c>
    </row>
    <row r="1598" spans="1:9" x14ac:dyDescent="0.25">
      <c r="A1598" s="8" t="str">
        <f t="shared" si="72"/>
        <v>2008480.0P0</v>
      </c>
      <c r="B1598" s="9" t="str">
        <f t="shared" si="73"/>
        <v>4</v>
      </c>
      <c r="C1598" s="10">
        <f t="shared" si="74"/>
        <v>44105</v>
      </c>
      <c r="D1598">
        <v>2008480</v>
      </c>
      <c r="E1598" t="s">
        <v>119</v>
      </c>
      <c r="F1598" s="6">
        <v>44106</v>
      </c>
      <c r="G1598">
        <v>41</v>
      </c>
      <c r="H1598" t="s">
        <v>189</v>
      </c>
      <c r="I1598" t="s">
        <v>120</v>
      </c>
    </row>
    <row r="1599" spans="1:9" x14ac:dyDescent="0.25">
      <c r="A1599" s="8" t="str">
        <f t="shared" si="72"/>
        <v>2008480.N00</v>
      </c>
      <c r="B1599" s="9" t="str">
        <f t="shared" si="73"/>
        <v>4</v>
      </c>
      <c r="C1599" s="10">
        <f t="shared" si="74"/>
        <v>44105</v>
      </c>
      <c r="D1599">
        <v>2008480</v>
      </c>
      <c r="E1599" t="s">
        <v>125</v>
      </c>
      <c r="F1599" s="6">
        <v>44106</v>
      </c>
      <c r="G1599">
        <v>41</v>
      </c>
      <c r="H1599" t="s">
        <v>194</v>
      </c>
      <c r="I1599" t="s">
        <v>120</v>
      </c>
    </row>
    <row r="1600" spans="1:9" x14ac:dyDescent="0.25">
      <c r="A1600" s="8" t="str">
        <f t="shared" si="72"/>
        <v>2008482.TP0</v>
      </c>
      <c r="B1600" s="9" t="str">
        <f t="shared" si="73"/>
        <v>4</v>
      </c>
      <c r="C1600" s="10">
        <f t="shared" si="74"/>
        <v>44112</v>
      </c>
      <c r="D1600">
        <v>2008482</v>
      </c>
      <c r="E1600" t="s">
        <v>184</v>
      </c>
      <c r="F1600" s="6">
        <v>44113</v>
      </c>
      <c r="G1600">
        <v>41</v>
      </c>
      <c r="H1600" t="s">
        <v>189</v>
      </c>
      <c r="I1600" t="s">
        <v>120</v>
      </c>
    </row>
    <row r="1601" spans="1:9" x14ac:dyDescent="0.25">
      <c r="A1601" s="8" t="str">
        <f t="shared" si="72"/>
        <v>2008483.H00</v>
      </c>
      <c r="B1601" s="9" t="str">
        <f t="shared" si="73"/>
        <v/>
      </c>
      <c r="C1601" s="10">
        <f t="shared" si="74"/>
        <v>44102</v>
      </c>
      <c r="D1601">
        <v>2008483</v>
      </c>
      <c r="E1601" t="s">
        <v>122</v>
      </c>
      <c r="F1601" s="6">
        <v>44106</v>
      </c>
      <c r="H1601" t="s">
        <v>189</v>
      </c>
      <c r="I1601" t="s">
        <v>120</v>
      </c>
    </row>
    <row r="1602" spans="1:9" x14ac:dyDescent="0.25">
      <c r="A1602" s="8" t="str">
        <f t="shared" ref="A1602:A1665" si="75">IF(D1602="","",IF(E1602=0,CONCATENATE(D1602,".",E1602,"00"),CONCATENATE(D1602,".",E1602)))</f>
        <v>2008483.H01</v>
      </c>
      <c r="B1602" s="9" t="str">
        <f t="shared" ref="B1602:B1665" si="76">LEFT(G1602,1)</f>
        <v/>
      </c>
      <c r="C1602" s="10">
        <f t="shared" ref="C1602:C1665" si="77">IF(F1602="","",IF(B1602="",F1602-4,IF(B1602="1",F1602-4,IF(B1602="2",F1602-3,IF(B1602="3",F1602-2,IF(B1602="4",F1602-1,IF(B1602="V",F1602-7,IF(B1602="J",F1602-8,F1602))))))))</f>
        <v>44102</v>
      </c>
      <c r="D1602">
        <v>2008483</v>
      </c>
      <c r="E1602" t="s">
        <v>145</v>
      </c>
      <c r="F1602" s="6">
        <v>44106</v>
      </c>
      <c r="H1602" t="s">
        <v>189</v>
      </c>
      <c r="I1602" t="s">
        <v>120</v>
      </c>
    </row>
    <row r="1603" spans="1:9" x14ac:dyDescent="0.25">
      <c r="A1603" s="8" t="str">
        <f t="shared" si="75"/>
        <v>2008483.T00</v>
      </c>
      <c r="B1603" s="9" t="str">
        <f t="shared" si="76"/>
        <v/>
      </c>
      <c r="C1603" s="10">
        <f t="shared" si="77"/>
        <v>44102</v>
      </c>
      <c r="D1603">
        <v>2008483</v>
      </c>
      <c r="E1603" t="s">
        <v>159</v>
      </c>
      <c r="F1603" s="6">
        <v>44106</v>
      </c>
      <c r="H1603" t="s">
        <v>189</v>
      </c>
      <c r="I1603" t="s">
        <v>120</v>
      </c>
    </row>
    <row r="1604" spans="1:9" x14ac:dyDescent="0.25">
      <c r="A1604" s="8" t="str">
        <f t="shared" si="75"/>
        <v>2008483.ZP3</v>
      </c>
      <c r="B1604" s="9" t="str">
        <f t="shared" si="76"/>
        <v/>
      </c>
      <c r="C1604" s="10">
        <f t="shared" si="77"/>
        <v>44102</v>
      </c>
      <c r="D1604">
        <v>2008483</v>
      </c>
      <c r="E1604" t="s">
        <v>140</v>
      </c>
      <c r="F1604" s="6">
        <v>44106</v>
      </c>
      <c r="H1604" t="s">
        <v>189</v>
      </c>
      <c r="I1604" t="s">
        <v>120</v>
      </c>
    </row>
    <row r="1605" spans="1:9" x14ac:dyDescent="0.25">
      <c r="A1605" s="8" t="str">
        <f t="shared" si="75"/>
        <v>2008485.H01</v>
      </c>
      <c r="B1605" s="9" t="str">
        <f t="shared" si="76"/>
        <v/>
      </c>
      <c r="C1605" s="10">
        <f t="shared" si="77"/>
        <v>44088</v>
      </c>
      <c r="D1605">
        <v>2008485</v>
      </c>
      <c r="E1605" t="s">
        <v>145</v>
      </c>
      <c r="F1605" s="6">
        <v>44092</v>
      </c>
      <c r="H1605" t="s">
        <v>189</v>
      </c>
      <c r="I1605" t="s">
        <v>120</v>
      </c>
    </row>
    <row r="1606" spans="1:9" x14ac:dyDescent="0.25">
      <c r="A1606" s="8" t="str">
        <f t="shared" si="75"/>
        <v>2008486.H01</v>
      </c>
      <c r="B1606" s="9" t="str">
        <f t="shared" si="76"/>
        <v/>
      </c>
      <c r="C1606" s="10">
        <f t="shared" si="77"/>
        <v>44088</v>
      </c>
      <c r="D1606">
        <v>2008486</v>
      </c>
      <c r="E1606" t="s">
        <v>145</v>
      </c>
      <c r="F1606" s="6">
        <v>44092</v>
      </c>
      <c r="H1606" t="s">
        <v>189</v>
      </c>
      <c r="I1606" t="s">
        <v>120</v>
      </c>
    </row>
    <row r="1607" spans="1:9" x14ac:dyDescent="0.25">
      <c r="A1607" s="8" t="str">
        <f t="shared" si="75"/>
        <v>2008486.H02</v>
      </c>
      <c r="B1607" s="9" t="str">
        <f t="shared" si="76"/>
        <v/>
      </c>
      <c r="C1607" s="10">
        <f t="shared" si="77"/>
        <v>44088</v>
      </c>
      <c r="D1607">
        <v>2008486</v>
      </c>
      <c r="E1607" t="s">
        <v>156</v>
      </c>
      <c r="F1607" s="6">
        <v>44092</v>
      </c>
      <c r="H1607" t="s">
        <v>180</v>
      </c>
      <c r="I1607" t="s">
        <v>120</v>
      </c>
    </row>
    <row r="1608" spans="1:9" x14ac:dyDescent="0.25">
      <c r="A1608" s="8" t="str">
        <f t="shared" si="75"/>
        <v>2008487.HP0</v>
      </c>
      <c r="B1608" s="9" t="str">
        <f t="shared" si="76"/>
        <v/>
      </c>
      <c r="C1608" s="10">
        <f t="shared" si="77"/>
        <v>44088</v>
      </c>
      <c r="D1608">
        <v>2008487</v>
      </c>
      <c r="E1608" t="s">
        <v>121</v>
      </c>
      <c r="F1608" s="6">
        <v>44092</v>
      </c>
      <c r="H1608" t="s">
        <v>189</v>
      </c>
      <c r="I1608" t="s">
        <v>120</v>
      </c>
    </row>
    <row r="1609" spans="1:9" x14ac:dyDescent="0.25">
      <c r="A1609" s="8" t="str">
        <f t="shared" si="75"/>
        <v>2008488.000</v>
      </c>
      <c r="B1609" s="9" t="str">
        <f t="shared" si="76"/>
        <v/>
      </c>
      <c r="C1609" s="10">
        <f t="shared" si="77"/>
        <v>44081</v>
      </c>
      <c r="D1609">
        <v>2008488</v>
      </c>
      <c r="E1609">
        <v>0</v>
      </c>
      <c r="F1609" s="6">
        <v>44085</v>
      </c>
      <c r="H1609" t="s">
        <v>180</v>
      </c>
      <c r="I1609" t="s">
        <v>120</v>
      </c>
    </row>
    <row r="1610" spans="1:9" x14ac:dyDescent="0.25">
      <c r="A1610" s="8" t="str">
        <f t="shared" si="75"/>
        <v>2008489.000</v>
      </c>
      <c r="B1610" s="9" t="str">
        <f t="shared" si="76"/>
        <v/>
      </c>
      <c r="C1610" s="10">
        <f t="shared" si="77"/>
        <v>44081</v>
      </c>
      <c r="D1610">
        <v>2008489</v>
      </c>
      <c r="E1610">
        <v>0</v>
      </c>
      <c r="F1610" s="6">
        <v>44085</v>
      </c>
      <c r="H1610" t="s">
        <v>180</v>
      </c>
      <c r="I1610" t="s">
        <v>120</v>
      </c>
    </row>
    <row r="1611" spans="1:9" x14ac:dyDescent="0.25">
      <c r="A1611" s="8" t="str">
        <f t="shared" si="75"/>
        <v>2008490.B00</v>
      </c>
      <c r="B1611" s="9" t="str">
        <f t="shared" si="76"/>
        <v/>
      </c>
      <c r="C1611" s="10">
        <f t="shared" si="77"/>
        <v>44074</v>
      </c>
      <c r="D1611">
        <v>2008490</v>
      </c>
      <c r="E1611" t="s">
        <v>289</v>
      </c>
      <c r="F1611" s="6">
        <v>44078</v>
      </c>
      <c r="H1611" t="s">
        <v>235</v>
      </c>
      <c r="I1611" t="s">
        <v>120</v>
      </c>
    </row>
    <row r="1612" spans="1:9" x14ac:dyDescent="0.25">
      <c r="A1612" s="8" t="str">
        <f t="shared" si="75"/>
        <v>2008491.XP0</v>
      </c>
      <c r="B1612" s="9" t="str">
        <f t="shared" si="76"/>
        <v/>
      </c>
      <c r="C1612" s="10">
        <f t="shared" si="77"/>
        <v>44088</v>
      </c>
      <c r="D1612">
        <v>2008491</v>
      </c>
      <c r="E1612" t="s">
        <v>181</v>
      </c>
      <c r="F1612" s="6">
        <v>44092</v>
      </c>
      <c r="H1612" t="s">
        <v>180</v>
      </c>
      <c r="I1612" t="s">
        <v>120</v>
      </c>
    </row>
    <row r="1613" spans="1:9" x14ac:dyDescent="0.25">
      <c r="A1613" s="8" t="str">
        <f t="shared" si="75"/>
        <v>2008492.H00</v>
      </c>
      <c r="B1613" s="9" t="str">
        <f t="shared" si="76"/>
        <v>4</v>
      </c>
      <c r="C1613" s="10">
        <f t="shared" si="77"/>
        <v>44105</v>
      </c>
      <c r="D1613">
        <v>2008492</v>
      </c>
      <c r="E1613" t="s">
        <v>122</v>
      </c>
      <c r="F1613" s="6">
        <v>44106</v>
      </c>
      <c r="G1613">
        <v>4</v>
      </c>
      <c r="H1613" t="s">
        <v>189</v>
      </c>
      <c r="I1613" t="s">
        <v>120</v>
      </c>
    </row>
    <row r="1614" spans="1:9" x14ac:dyDescent="0.25">
      <c r="A1614" s="8" t="str">
        <f t="shared" si="75"/>
        <v>2008493.000</v>
      </c>
      <c r="B1614" s="9" t="str">
        <f t="shared" si="76"/>
        <v/>
      </c>
      <c r="C1614" s="10">
        <f t="shared" si="77"/>
        <v>44081</v>
      </c>
      <c r="D1614">
        <v>2008493</v>
      </c>
      <c r="E1614">
        <v>0</v>
      </c>
      <c r="F1614" s="6">
        <v>44085</v>
      </c>
      <c r="H1614" t="s">
        <v>189</v>
      </c>
      <c r="I1614" t="s">
        <v>120</v>
      </c>
    </row>
    <row r="1615" spans="1:9" x14ac:dyDescent="0.25">
      <c r="A1615" s="8" t="str">
        <f t="shared" si="75"/>
        <v>2008494.H02</v>
      </c>
      <c r="B1615" s="9" t="str">
        <f t="shared" si="76"/>
        <v/>
      </c>
      <c r="C1615" s="10">
        <f t="shared" si="77"/>
        <v>44081</v>
      </c>
      <c r="D1615">
        <v>2008494</v>
      </c>
      <c r="E1615" t="s">
        <v>156</v>
      </c>
      <c r="F1615" s="6">
        <v>44085</v>
      </c>
      <c r="H1615" t="s">
        <v>180</v>
      </c>
      <c r="I1615" t="s">
        <v>120</v>
      </c>
    </row>
    <row r="1616" spans="1:9" x14ac:dyDescent="0.25">
      <c r="A1616" s="8" t="str">
        <f t="shared" si="75"/>
        <v>2008494.T02</v>
      </c>
      <c r="B1616" s="9" t="str">
        <f t="shared" si="76"/>
        <v/>
      </c>
      <c r="C1616" s="10">
        <f t="shared" si="77"/>
        <v>44095</v>
      </c>
      <c r="D1616">
        <v>2008494</v>
      </c>
      <c r="E1616" t="s">
        <v>170</v>
      </c>
      <c r="F1616" s="6">
        <v>44099</v>
      </c>
      <c r="H1616" t="s">
        <v>189</v>
      </c>
      <c r="I1616" t="s">
        <v>120</v>
      </c>
    </row>
    <row r="1617" spans="1:9" x14ac:dyDescent="0.25">
      <c r="A1617" s="8" t="str">
        <f t="shared" si="75"/>
        <v>2008494.TP2</v>
      </c>
      <c r="B1617" s="9" t="str">
        <f t="shared" si="76"/>
        <v/>
      </c>
      <c r="C1617" s="10">
        <f t="shared" si="77"/>
        <v>44095</v>
      </c>
      <c r="D1617">
        <v>2008494</v>
      </c>
      <c r="E1617" t="s">
        <v>265</v>
      </c>
      <c r="F1617" s="6">
        <v>44099</v>
      </c>
      <c r="H1617" t="s">
        <v>189</v>
      </c>
      <c r="I1617" t="s">
        <v>120</v>
      </c>
    </row>
    <row r="1618" spans="1:9" x14ac:dyDescent="0.25">
      <c r="A1618" s="8" t="str">
        <f t="shared" si="75"/>
        <v>2008495.H00</v>
      </c>
      <c r="B1618" s="9" t="str">
        <f t="shared" si="76"/>
        <v>4</v>
      </c>
      <c r="C1618" s="10">
        <f t="shared" si="77"/>
        <v>44126</v>
      </c>
      <c r="D1618">
        <v>2008495</v>
      </c>
      <c r="E1618" t="s">
        <v>122</v>
      </c>
      <c r="F1618" s="6">
        <v>44127</v>
      </c>
      <c r="G1618">
        <v>4</v>
      </c>
      <c r="H1618" t="s">
        <v>189</v>
      </c>
      <c r="I1618" t="s">
        <v>120</v>
      </c>
    </row>
    <row r="1619" spans="1:9" x14ac:dyDescent="0.25">
      <c r="A1619" s="8" t="str">
        <f t="shared" si="75"/>
        <v>2008496.NF0</v>
      </c>
      <c r="B1619" s="9" t="str">
        <f t="shared" si="76"/>
        <v/>
      </c>
      <c r="C1619" s="10">
        <f t="shared" si="77"/>
        <v>44081</v>
      </c>
      <c r="D1619">
        <v>2008496</v>
      </c>
      <c r="E1619" t="s">
        <v>137</v>
      </c>
      <c r="F1619" s="6">
        <v>44085</v>
      </c>
      <c r="H1619" t="s">
        <v>183</v>
      </c>
      <c r="I1619" t="s">
        <v>120</v>
      </c>
    </row>
    <row r="1620" spans="1:9" x14ac:dyDescent="0.25">
      <c r="A1620" s="8" t="str">
        <f t="shared" si="75"/>
        <v>2008497.H00</v>
      </c>
      <c r="B1620" s="9" t="str">
        <f t="shared" si="76"/>
        <v/>
      </c>
      <c r="C1620" s="10">
        <f t="shared" si="77"/>
        <v>44088</v>
      </c>
      <c r="D1620">
        <v>2008497</v>
      </c>
      <c r="E1620" t="s">
        <v>122</v>
      </c>
      <c r="F1620" s="6">
        <v>44092</v>
      </c>
      <c r="H1620" t="s">
        <v>189</v>
      </c>
      <c r="I1620" t="s">
        <v>120</v>
      </c>
    </row>
    <row r="1621" spans="1:9" x14ac:dyDescent="0.25">
      <c r="A1621" s="8" t="str">
        <f t="shared" si="75"/>
        <v>2008497.X00</v>
      </c>
      <c r="B1621" s="9" t="str">
        <f t="shared" si="76"/>
        <v/>
      </c>
      <c r="C1621" s="10">
        <f t="shared" si="77"/>
        <v>44088</v>
      </c>
      <c r="D1621">
        <v>2008497</v>
      </c>
      <c r="E1621" t="s">
        <v>225</v>
      </c>
      <c r="F1621" s="6">
        <v>44092</v>
      </c>
      <c r="H1621" t="s">
        <v>189</v>
      </c>
      <c r="I1621" t="s">
        <v>120</v>
      </c>
    </row>
    <row r="1622" spans="1:9" x14ac:dyDescent="0.25">
      <c r="A1622" s="8" t="str">
        <f t="shared" si="75"/>
        <v>2008498.000</v>
      </c>
      <c r="B1622" s="9" t="str">
        <f t="shared" si="76"/>
        <v>1</v>
      </c>
      <c r="C1622" s="10">
        <f t="shared" si="77"/>
        <v>44088</v>
      </c>
      <c r="D1622">
        <v>2008498</v>
      </c>
      <c r="E1622">
        <v>0</v>
      </c>
      <c r="F1622" s="6">
        <v>44092</v>
      </c>
      <c r="G1622">
        <v>1</v>
      </c>
      <c r="H1622" t="s">
        <v>189</v>
      </c>
      <c r="I1622" t="s">
        <v>120</v>
      </c>
    </row>
    <row r="1623" spans="1:9" x14ac:dyDescent="0.25">
      <c r="A1623" s="8" t="str">
        <f t="shared" si="75"/>
        <v>2008499.0P0</v>
      </c>
      <c r="B1623" s="9" t="str">
        <f t="shared" si="76"/>
        <v>1</v>
      </c>
      <c r="C1623" s="10">
        <f t="shared" si="77"/>
        <v>44088</v>
      </c>
      <c r="D1623">
        <v>2008499</v>
      </c>
      <c r="E1623" t="s">
        <v>119</v>
      </c>
      <c r="F1623" s="6">
        <v>44092</v>
      </c>
      <c r="G1623">
        <v>1</v>
      </c>
      <c r="H1623" t="s">
        <v>189</v>
      </c>
      <c r="I1623" t="s">
        <v>120</v>
      </c>
    </row>
    <row r="1624" spans="1:9" x14ac:dyDescent="0.25">
      <c r="A1624" s="8" t="str">
        <f t="shared" si="75"/>
        <v>2008500.0P0</v>
      </c>
      <c r="B1624" s="9" t="str">
        <f t="shared" si="76"/>
        <v>1</v>
      </c>
      <c r="C1624" s="10">
        <f t="shared" si="77"/>
        <v>44088</v>
      </c>
      <c r="D1624">
        <v>2008500</v>
      </c>
      <c r="E1624" t="s">
        <v>119</v>
      </c>
      <c r="F1624" s="6">
        <v>44092</v>
      </c>
      <c r="G1624">
        <v>1</v>
      </c>
      <c r="H1624" t="s">
        <v>189</v>
      </c>
      <c r="I1624" t="s">
        <v>120</v>
      </c>
    </row>
    <row r="1625" spans="1:9" x14ac:dyDescent="0.25">
      <c r="A1625" s="8" t="str">
        <f t="shared" si="75"/>
        <v>2008501.X0L</v>
      </c>
      <c r="B1625" s="9" t="str">
        <f t="shared" si="76"/>
        <v>1</v>
      </c>
      <c r="C1625" s="10">
        <f t="shared" si="77"/>
        <v>44088</v>
      </c>
      <c r="D1625">
        <v>2008501</v>
      </c>
      <c r="E1625" t="s">
        <v>311</v>
      </c>
      <c r="F1625" s="6">
        <v>44092</v>
      </c>
      <c r="G1625">
        <v>1</v>
      </c>
      <c r="H1625" t="s">
        <v>189</v>
      </c>
      <c r="I1625" t="s">
        <v>120</v>
      </c>
    </row>
    <row r="1626" spans="1:9" x14ac:dyDescent="0.25">
      <c r="A1626" s="8" t="str">
        <f t="shared" si="75"/>
        <v>2008501.Z0L</v>
      </c>
      <c r="B1626" s="9" t="str">
        <f t="shared" si="76"/>
        <v>1</v>
      </c>
      <c r="C1626" s="10">
        <f t="shared" si="77"/>
        <v>44088</v>
      </c>
      <c r="D1626">
        <v>2008501</v>
      </c>
      <c r="E1626" t="s">
        <v>312</v>
      </c>
      <c r="F1626" s="6">
        <v>44092</v>
      </c>
      <c r="G1626">
        <v>1</v>
      </c>
      <c r="H1626" t="s">
        <v>189</v>
      </c>
      <c r="I1626" t="s">
        <v>120</v>
      </c>
    </row>
    <row r="1627" spans="1:9" x14ac:dyDescent="0.25">
      <c r="A1627" s="8" t="str">
        <f t="shared" si="75"/>
        <v>2008502.000</v>
      </c>
      <c r="B1627" s="9" t="str">
        <f t="shared" si="76"/>
        <v/>
      </c>
      <c r="C1627" s="10">
        <f t="shared" si="77"/>
        <v>44116</v>
      </c>
      <c r="D1627">
        <v>2008502</v>
      </c>
      <c r="E1627">
        <v>0</v>
      </c>
      <c r="F1627" s="6">
        <v>44120</v>
      </c>
      <c r="H1627" t="s">
        <v>189</v>
      </c>
      <c r="I1627" t="s">
        <v>120</v>
      </c>
    </row>
    <row r="1628" spans="1:9" x14ac:dyDescent="0.25">
      <c r="A1628" s="8" t="str">
        <f t="shared" si="75"/>
        <v>2008503.U02</v>
      </c>
      <c r="B1628" s="9" t="str">
        <f t="shared" si="76"/>
        <v/>
      </c>
      <c r="C1628" s="10">
        <f t="shared" si="77"/>
        <v>44088</v>
      </c>
      <c r="D1628">
        <v>2008503</v>
      </c>
      <c r="E1628" t="s">
        <v>149</v>
      </c>
      <c r="F1628" s="6">
        <v>44092</v>
      </c>
      <c r="H1628" t="s">
        <v>189</v>
      </c>
      <c r="I1628" t="s">
        <v>120</v>
      </c>
    </row>
    <row r="1629" spans="1:9" x14ac:dyDescent="0.25">
      <c r="A1629" s="8" t="str">
        <f t="shared" si="75"/>
        <v>2008503.UP2</v>
      </c>
      <c r="B1629" s="9" t="str">
        <f t="shared" si="76"/>
        <v/>
      </c>
      <c r="C1629" s="10">
        <f t="shared" si="77"/>
        <v>44088</v>
      </c>
      <c r="D1629">
        <v>2008503</v>
      </c>
      <c r="E1629" t="s">
        <v>160</v>
      </c>
      <c r="F1629" s="6">
        <v>44092</v>
      </c>
      <c r="H1629" t="s">
        <v>189</v>
      </c>
      <c r="I1629" t="s">
        <v>120</v>
      </c>
    </row>
    <row r="1630" spans="1:9" x14ac:dyDescent="0.25">
      <c r="A1630" s="8" t="str">
        <f t="shared" si="75"/>
        <v>2008503.Y02</v>
      </c>
      <c r="B1630" s="9" t="str">
        <f t="shared" si="76"/>
        <v/>
      </c>
      <c r="C1630" s="10">
        <f t="shared" si="77"/>
        <v>44088</v>
      </c>
      <c r="D1630">
        <v>2008503</v>
      </c>
      <c r="E1630" t="s">
        <v>144</v>
      </c>
      <c r="F1630" s="6">
        <v>44092</v>
      </c>
      <c r="H1630" t="s">
        <v>189</v>
      </c>
      <c r="I1630" t="s">
        <v>120</v>
      </c>
    </row>
    <row r="1631" spans="1:9" x14ac:dyDescent="0.25">
      <c r="A1631" s="8" t="str">
        <f t="shared" si="75"/>
        <v>2008504.000</v>
      </c>
      <c r="B1631" s="9" t="str">
        <f t="shared" si="76"/>
        <v>3</v>
      </c>
      <c r="C1631" s="10">
        <f t="shared" si="77"/>
        <v>44118</v>
      </c>
      <c r="D1631">
        <v>2008504</v>
      </c>
      <c r="E1631">
        <v>0</v>
      </c>
      <c r="F1631" s="6">
        <v>44120</v>
      </c>
      <c r="G1631">
        <v>3</v>
      </c>
      <c r="H1631" t="s">
        <v>189</v>
      </c>
      <c r="I1631" t="s">
        <v>120</v>
      </c>
    </row>
    <row r="1632" spans="1:9" x14ac:dyDescent="0.25">
      <c r="A1632" s="8" t="str">
        <f t="shared" si="75"/>
        <v>2008505.H00</v>
      </c>
      <c r="B1632" s="9" t="str">
        <f t="shared" si="76"/>
        <v>3</v>
      </c>
      <c r="C1632" s="10">
        <f t="shared" si="77"/>
        <v>44125</v>
      </c>
      <c r="D1632">
        <v>2008505</v>
      </c>
      <c r="E1632" t="s">
        <v>122</v>
      </c>
      <c r="F1632" s="6">
        <v>44127</v>
      </c>
      <c r="G1632">
        <v>3</v>
      </c>
      <c r="H1632" t="s">
        <v>189</v>
      </c>
      <c r="I1632" t="s">
        <v>120</v>
      </c>
    </row>
    <row r="1633" spans="1:9" x14ac:dyDescent="0.25">
      <c r="A1633" s="8" t="str">
        <f t="shared" si="75"/>
        <v>2008506.000</v>
      </c>
      <c r="B1633" s="9" t="str">
        <f t="shared" si="76"/>
        <v/>
      </c>
      <c r="C1633" s="10">
        <f t="shared" si="77"/>
        <v>44081</v>
      </c>
      <c r="D1633">
        <v>2008506</v>
      </c>
      <c r="E1633">
        <v>0</v>
      </c>
      <c r="F1633" s="6">
        <v>44085</v>
      </c>
      <c r="H1633" t="s">
        <v>180</v>
      </c>
      <c r="I1633" t="s">
        <v>120</v>
      </c>
    </row>
    <row r="1634" spans="1:9" x14ac:dyDescent="0.25">
      <c r="A1634" s="8" t="str">
        <f t="shared" si="75"/>
        <v>2008507.000</v>
      </c>
      <c r="B1634" s="9" t="str">
        <f t="shared" si="76"/>
        <v/>
      </c>
      <c r="C1634" s="10">
        <f t="shared" si="77"/>
        <v>44095</v>
      </c>
      <c r="D1634">
        <v>2008507</v>
      </c>
      <c r="E1634">
        <v>0</v>
      </c>
      <c r="F1634" s="6">
        <v>44099</v>
      </c>
      <c r="H1634" t="s">
        <v>189</v>
      </c>
      <c r="I1634" t="s">
        <v>120</v>
      </c>
    </row>
    <row r="1635" spans="1:9" x14ac:dyDescent="0.25">
      <c r="A1635" s="8" t="str">
        <f t="shared" si="75"/>
        <v>2008507.0P0</v>
      </c>
      <c r="B1635" s="9" t="str">
        <f t="shared" si="76"/>
        <v/>
      </c>
      <c r="C1635" s="10">
        <f t="shared" si="77"/>
        <v>44095</v>
      </c>
      <c r="D1635">
        <v>2008507</v>
      </c>
      <c r="E1635" t="s">
        <v>119</v>
      </c>
      <c r="F1635" s="6">
        <v>44099</v>
      </c>
      <c r="H1635" t="s">
        <v>189</v>
      </c>
      <c r="I1635" t="s">
        <v>120</v>
      </c>
    </row>
    <row r="1636" spans="1:9" x14ac:dyDescent="0.25">
      <c r="A1636" s="8" t="str">
        <f t="shared" si="75"/>
        <v>2008507.Y00</v>
      </c>
      <c r="B1636" s="9" t="str">
        <f t="shared" si="76"/>
        <v/>
      </c>
      <c r="C1636" s="10">
        <f t="shared" si="77"/>
        <v>44095</v>
      </c>
      <c r="D1636">
        <v>2008507</v>
      </c>
      <c r="E1636" t="s">
        <v>130</v>
      </c>
      <c r="F1636" s="6">
        <v>44099</v>
      </c>
      <c r="H1636" t="s">
        <v>189</v>
      </c>
      <c r="I1636" t="s">
        <v>120</v>
      </c>
    </row>
    <row r="1637" spans="1:9" x14ac:dyDescent="0.25">
      <c r="A1637" s="8" t="str">
        <f t="shared" si="75"/>
        <v>2008508.H00</v>
      </c>
      <c r="B1637" s="9" t="str">
        <f t="shared" si="76"/>
        <v/>
      </c>
      <c r="C1637" s="10">
        <f t="shared" si="77"/>
        <v>44095</v>
      </c>
      <c r="D1637">
        <v>2008508</v>
      </c>
      <c r="E1637" t="s">
        <v>122</v>
      </c>
      <c r="F1637" s="6">
        <v>44099</v>
      </c>
      <c r="H1637" t="s">
        <v>189</v>
      </c>
      <c r="I1637" t="s">
        <v>120</v>
      </c>
    </row>
    <row r="1638" spans="1:9" x14ac:dyDescent="0.25">
      <c r="A1638" s="8" t="str">
        <f t="shared" si="75"/>
        <v>2008508.HPL</v>
      </c>
      <c r="B1638" s="9" t="str">
        <f t="shared" si="76"/>
        <v/>
      </c>
      <c r="C1638" s="10">
        <f t="shared" si="77"/>
        <v>44095</v>
      </c>
      <c r="D1638">
        <v>2008508</v>
      </c>
      <c r="E1638" t="s">
        <v>128</v>
      </c>
      <c r="F1638" s="6">
        <v>44099</v>
      </c>
      <c r="H1638" t="s">
        <v>189</v>
      </c>
      <c r="I1638" t="s">
        <v>120</v>
      </c>
    </row>
    <row r="1639" spans="1:9" x14ac:dyDescent="0.25">
      <c r="A1639" s="8" t="str">
        <f t="shared" si="75"/>
        <v>2008508.Y01</v>
      </c>
      <c r="B1639" s="9" t="str">
        <f t="shared" si="76"/>
        <v/>
      </c>
      <c r="C1639" s="10">
        <f t="shared" si="77"/>
        <v>44095</v>
      </c>
      <c r="D1639">
        <v>2008508</v>
      </c>
      <c r="E1639" t="s">
        <v>132</v>
      </c>
      <c r="F1639" s="6">
        <v>44099</v>
      </c>
      <c r="H1639" t="s">
        <v>189</v>
      </c>
      <c r="I1639" t="s">
        <v>120</v>
      </c>
    </row>
    <row r="1640" spans="1:9" x14ac:dyDescent="0.25">
      <c r="A1640" s="8" t="str">
        <f t="shared" si="75"/>
        <v>2008509.H00</v>
      </c>
      <c r="B1640" s="9" t="str">
        <f t="shared" si="76"/>
        <v/>
      </c>
      <c r="C1640" s="10">
        <f t="shared" si="77"/>
        <v>44095</v>
      </c>
      <c r="D1640">
        <v>2008509</v>
      </c>
      <c r="E1640" t="s">
        <v>122</v>
      </c>
      <c r="F1640" s="6">
        <v>44099</v>
      </c>
      <c r="H1640" t="s">
        <v>189</v>
      </c>
      <c r="I1640" t="s">
        <v>120</v>
      </c>
    </row>
    <row r="1641" spans="1:9" x14ac:dyDescent="0.25">
      <c r="A1641" s="8" t="str">
        <f t="shared" si="75"/>
        <v>2008509.HP0</v>
      </c>
      <c r="B1641" s="9" t="str">
        <f t="shared" si="76"/>
        <v/>
      </c>
      <c r="C1641" s="10">
        <f t="shared" si="77"/>
        <v>44095</v>
      </c>
      <c r="D1641">
        <v>2008509</v>
      </c>
      <c r="E1641" t="s">
        <v>121</v>
      </c>
      <c r="F1641" s="6">
        <v>44099</v>
      </c>
      <c r="H1641" t="s">
        <v>189</v>
      </c>
      <c r="I1641" t="s">
        <v>120</v>
      </c>
    </row>
    <row r="1642" spans="1:9" x14ac:dyDescent="0.25">
      <c r="A1642" s="8" t="str">
        <f t="shared" si="75"/>
        <v>2008509.Y01</v>
      </c>
      <c r="B1642" s="9" t="str">
        <f t="shared" si="76"/>
        <v/>
      </c>
      <c r="C1642" s="10">
        <f t="shared" si="77"/>
        <v>44095</v>
      </c>
      <c r="D1642">
        <v>2008509</v>
      </c>
      <c r="E1642" t="s">
        <v>132</v>
      </c>
      <c r="F1642" s="6">
        <v>44099</v>
      </c>
      <c r="H1642" t="s">
        <v>189</v>
      </c>
      <c r="I1642" t="s">
        <v>120</v>
      </c>
    </row>
    <row r="1643" spans="1:9" x14ac:dyDescent="0.25">
      <c r="A1643" s="8" t="str">
        <f t="shared" si="75"/>
        <v>2008510.ZP3</v>
      </c>
      <c r="B1643" s="9" t="str">
        <f t="shared" si="76"/>
        <v/>
      </c>
      <c r="C1643" s="10">
        <f t="shared" si="77"/>
        <v>44095</v>
      </c>
      <c r="D1643">
        <v>2008510</v>
      </c>
      <c r="E1643" t="s">
        <v>140</v>
      </c>
      <c r="F1643" s="6">
        <v>44099</v>
      </c>
      <c r="H1643" t="s">
        <v>189</v>
      </c>
      <c r="I1643" t="s">
        <v>120</v>
      </c>
    </row>
    <row r="1644" spans="1:9" x14ac:dyDescent="0.25">
      <c r="A1644" s="8" t="str">
        <f t="shared" si="75"/>
        <v>2008511.H02</v>
      </c>
      <c r="B1644" s="9" t="str">
        <f t="shared" si="76"/>
        <v/>
      </c>
      <c r="C1644" s="10">
        <f t="shared" si="77"/>
        <v>44088</v>
      </c>
      <c r="D1644">
        <v>2008511</v>
      </c>
      <c r="E1644" t="s">
        <v>156</v>
      </c>
      <c r="F1644" s="6">
        <v>44092</v>
      </c>
      <c r="H1644" t="s">
        <v>189</v>
      </c>
      <c r="I1644" t="s">
        <v>120</v>
      </c>
    </row>
    <row r="1645" spans="1:9" x14ac:dyDescent="0.25">
      <c r="A1645" s="8" t="str">
        <f t="shared" si="75"/>
        <v>2008512.U02</v>
      </c>
      <c r="B1645" s="9" t="str">
        <f t="shared" si="76"/>
        <v/>
      </c>
      <c r="C1645" s="10">
        <f t="shared" si="77"/>
        <v>44088</v>
      </c>
      <c r="D1645">
        <v>2008512</v>
      </c>
      <c r="E1645" t="s">
        <v>149</v>
      </c>
      <c r="F1645" s="6">
        <v>44092</v>
      </c>
      <c r="H1645" t="s">
        <v>192</v>
      </c>
      <c r="I1645" t="s">
        <v>120</v>
      </c>
    </row>
    <row r="1646" spans="1:9" x14ac:dyDescent="0.25">
      <c r="A1646" s="8" t="str">
        <f t="shared" si="75"/>
        <v>2008512.UP2</v>
      </c>
      <c r="B1646" s="9" t="str">
        <f t="shared" si="76"/>
        <v/>
      </c>
      <c r="C1646" s="10">
        <f t="shared" si="77"/>
        <v>44088</v>
      </c>
      <c r="D1646">
        <v>2008512</v>
      </c>
      <c r="E1646" t="s">
        <v>160</v>
      </c>
      <c r="F1646" s="6">
        <v>44092</v>
      </c>
      <c r="H1646" t="s">
        <v>192</v>
      </c>
      <c r="I1646" t="s">
        <v>120</v>
      </c>
    </row>
    <row r="1647" spans="1:9" x14ac:dyDescent="0.25">
      <c r="A1647" s="8" t="str">
        <f t="shared" si="75"/>
        <v>2008513.U02</v>
      </c>
      <c r="B1647" s="9" t="str">
        <f t="shared" si="76"/>
        <v/>
      </c>
      <c r="C1647" s="10">
        <f t="shared" si="77"/>
        <v>44088</v>
      </c>
      <c r="D1647">
        <v>2008513</v>
      </c>
      <c r="E1647" t="s">
        <v>149</v>
      </c>
      <c r="F1647" s="6">
        <v>44092</v>
      </c>
      <c r="H1647" t="s">
        <v>192</v>
      </c>
      <c r="I1647" t="s">
        <v>120</v>
      </c>
    </row>
    <row r="1648" spans="1:9" x14ac:dyDescent="0.25">
      <c r="A1648" s="8" t="str">
        <f t="shared" si="75"/>
        <v>2008513.UP2</v>
      </c>
      <c r="B1648" s="9" t="str">
        <f t="shared" si="76"/>
        <v/>
      </c>
      <c r="C1648" s="10">
        <f t="shared" si="77"/>
        <v>44088</v>
      </c>
      <c r="D1648">
        <v>2008513</v>
      </c>
      <c r="E1648" t="s">
        <v>160</v>
      </c>
      <c r="F1648" s="6">
        <v>44092</v>
      </c>
      <c r="H1648" t="s">
        <v>192</v>
      </c>
      <c r="I1648" t="s">
        <v>120</v>
      </c>
    </row>
    <row r="1649" spans="1:9" x14ac:dyDescent="0.25">
      <c r="A1649" s="8" t="str">
        <f t="shared" si="75"/>
        <v>2008514.UP2</v>
      </c>
      <c r="B1649" s="9" t="str">
        <f t="shared" si="76"/>
        <v/>
      </c>
      <c r="C1649" s="10">
        <f t="shared" si="77"/>
        <v>44088</v>
      </c>
      <c r="D1649">
        <v>2008514</v>
      </c>
      <c r="E1649" t="s">
        <v>160</v>
      </c>
      <c r="F1649" s="6">
        <v>44092</v>
      </c>
      <c r="H1649" t="s">
        <v>192</v>
      </c>
      <c r="I1649" t="s">
        <v>120</v>
      </c>
    </row>
    <row r="1650" spans="1:9" x14ac:dyDescent="0.25">
      <c r="A1650" s="8" t="str">
        <f t="shared" si="75"/>
        <v>2008515.Y02</v>
      </c>
      <c r="B1650" s="9" t="str">
        <f t="shared" si="76"/>
        <v/>
      </c>
      <c r="C1650" s="10">
        <f t="shared" si="77"/>
        <v>44095</v>
      </c>
      <c r="D1650">
        <v>2008515</v>
      </c>
      <c r="E1650" t="s">
        <v>144</v>
      </c>
      <c r="F1650" s="6">
        <v>44099</v>
      </c>
      <c r="H1650" t="s">
        <v>189</v>
      </c>
      <c r="I1650" t="s">
        <v>120</v>
      </c>
    </row>
    <row r="1651" spans="1:9" x14ac:dyDescent="0.25">
      <c r="A1651" s="8" t="str">
        <f t="shared" si="75"/>
        <v>2008516.000</v>
      </c>
      <c r="B1651" s="9" t="str">
        <f t="shared" si="76"/>
        <v>1</v>
      </c>
      <c r="C1651" s="10">
        <f t="shared" si="77"/>
        <v>44081</v>
      </c>
      <c r="D1651">
        <v>2008516</v>
      </c>
      <c r="E1651">
        <v>0</v>
      </c>
      <c r="F1651" s="6">
        <v>44085</v>
      </c>
      <c r="G1651">
        <v>1</v>
      </c>
      <c r="H1651" t="s">
        <v>180</v>
      </c>
      <c r="I1651" t="s">
        <v>120</v>
      </c>
    </row>
    <row r="1652" spans="1:9" x14ac:dyDescent="0.25">
      <c r="A1652" s="8" t="str">
        <f t="shared" si="75"/>
        <v>2008517.000</v>
      </c>
      <c r="B1652" s="9" t="str">
        <f t="shared" si="76"/>
        <v>4</v>
      </c>
      <c r="C1652" s="10">
        <f t="shared" si="77"/>
        <v>44091</v>
      </c>
      <c r="D1652">
        <v>2008517</v>
      </c>
      <c r="E1652">
        <v>0</v>
      </c>
      <c r="F1652" s="6">
        <v>44092</v>
      </c>
      <c r="G1652">
        <v>4</v>
      </c>
      <c r="H1652" t="s">
        <v>189</v>
      </c>
      <c r="I1652" t="s">
        <v>120</v>
      </c>
    </row>
    <row r="1653" spans="1:9" x14ac:dyDescent="0.25">
      <c r="A1653" s="8" t="str">
        <f t="shared" si="75"/>
        <v>2008517.0P0</v>
      </c>
      <c r="B1653" s="9" t="str">
        <f t="shared" si="76"/>
        <v>4</v>
      </c>
      <c r="C1653" s="10">
        <f t="shared" si="77"/>
        <v>44091</v>
      </c>
      <c r="D1653">
        <v>2008517</v>
      </c>
      <c r="E1653" t="s">
        <v>119</v>
      </c>
      <c r="F1653" s="6">
        <v>44092</v>
      </c>
      <c r="G1653">
        <v>4</v>
      </c>
      <c r="H1653" t="s">
        <v>189</v>
      </c>
      <c r="I1653" t="s">
        <v>120</v>
      </c>
    </row>
    <row r="1654" spans="1:9" x14ac:dyDescent="0.25">
      <c r="A1654" s="8" t="str">
        <f t="shared" si="75"/>
        <v>2008517.H00</v>
      </c>
      <c r="B1654" s="9" t="str">
        <f t="shared" si="76"/>
        <v>4</v>
      </c>
      <c r="C1654" s="10">
        <f t="shared" si="77"/>
        <v>44091</v>
      </c>
      <c r="D1654">
        <v>2008517</v>
      </c>
      <c r="E1654" t="s">
        <v>122</v>
      </c>
      <c r="F1654" s="6">
        <v>44092</v>
      </c>
      <c r="G1654">
        <v>4</v>
      </c>
      <c r="H1654" t="s">
        <v>189</v>
      </c>
      <c r="I1654" t="s">
        <v>120</v>
      </c>
    </row>
    <row r="1655" spans="1:9" x14ac:dyDescent="0.25">
      <c r="A1655" s="8" t="str">
        <f t="shared" si="75"/>
        <v>2008517.HPL</v>
      </c>
      <c r="B1655" s="9" t="str">
        <f t="shared" si="76"/>
        <v>4</v>
      </c>
      <c r="C1655" s="10">
        <f t="shared" si="77"/>
        <v>44091</v>
      </c>
      <c r="D1655">
        <v>2008517</v>
      </c>
      <c r="E1655" t="s">
        <v>128</v>
      </c>
      <c r="F1655" s="6">
        <v>44092</v>
      </c>
      <c r="G1655">
        <v>4</v>
      </c>
      <c r="H1655" t="s">
        <v>189</v>
      </c>
      <c r="I1655" t="s">
        <v>120</v>
      </c>
    </row>
    <row r="1656" spans="1:9" x14ac:dyDescent="0.25">
      <c r="A1656" s="8" t="str">
        <f t="shared" si="75"/>
        <v>2008517.NF0</v>
      </c>
      <c r="B1656" s="9" t="str">
        <f t="shared" si="76"/>
        <v>4</v>
      </c>
      <c r="C1656" s="10">
        <f t="shared" si="77"/>
        <v>44091</v>
      </c>
      <c r="D1656">
        <v>2008517</v>
      </c>
      <c r="E1656" t="s">
        <v>137</v>
      </c>
      <c r="F1656" s="6">
        <v>44092</v>
      </c>
      <c r="G1656">
        <v>4</v>
      </c>
      <c r="H1656" t="s">
        <v>183</v>
      </c>
      <c r="I1656" t="s">
        <v>120</v>
      </c>
    </row>
    <row r="1657" spans="1:9" x14ac:dyDescent="0.25">
      <c r="A1657" s="8" t="str">
        <f t="shared" si="75"/>
        <v>2008519.000</v>
      </c>
      <c r="B1657" s="9" t="str">
        <f t="shared" si="76"/>
        <v>1</v>
      </c>
      <c r="C1657" s="10">
        <f t="shared" si="77"/>
        <v>44081</v>
      </c>
      <c r="D1657">
        <v>2008519</v>
      </c>
      <c r="E1657">
        <v>0</v>
      </c>
      <c r="F1657" s="6">
        <v>44085</v>
      </c>
      <c r="G1657">
        <v>1</v>
      </c>
      <c r="H1657" t="s">
        <v>192</v>
      </c>
      <c r="I1657" t="s">
        <v>120</v>
      </c>
    </row>
    <row r="1658" spans="1:9" x14ac:dyDescent="0.25">
      <c r="A1658" s="8" t="str">
        <f t="shared" si="75"/>
        <v>2008520.HP2</v>
      </c>
      <c r="B1658" s="9" t="str">
        <f t="shared" si="76"/>
        <v>4</v>
      </c>
      <c r="C1658" s="10">
        <f t="shared" si="77"/>
        <v>44091</v>
      </c>
      <c r="D1658">
        <v>2008520</v>
      </c>
      <c r="E1658" t="s">
        <v>138</v>
      </c>
      <c r="F1658" s="6">
        <v>44092</v>
      </c>
      <c r="G1658">
        <v>4</v>
      </c>
      <c r="H1658" t="s">
        <v>180</v>
      </c>
      <c r="I1658" t="s">
        <v>120</v>
      </c>
    </row>
    <row r="1659" spans="1:9" x14ac:dyDescent="0.25">
      <c r="A1659" s="8" t="str">
        <f t="shared" si="75"/>
        <v>2008522.0P0</v>
      </c>
      <c r="B1659" s="9" t="str">
        <f t="shared" si="76"/>
        <v/>
      </c>
      <c r="C1659" s="10">
        <f t="shared" si="77"/>
        <v>44081</v>
      </c>
      <c r="D1659">
        <v>2008522</v>
      </c>
      <c r="E1659" t="s">
        <v>119</v>
      </c>
      <c r="F1659" s="6">
        <v>44085</v>
      </c>
      <c r="H1659" t="s">
        <v>191</v>
      </c>
      <c r="I1659" t="s">
        <v>120</v>
      </c>
    </row>
    <row r="1660" spans="1:9" x14ac:dyDescent="0.25">
      <c r="A1660" s="8" t="str">
        <f t="shared" si="75"/>
        <v>2008523.000</v>
      </c>
      <c r="B1660" s="9" t="str">
        <f t="shared" si="76"/>
        <v/>
      </c>
      <c r="C1660" s="10">
        <f t="shared" si="77"/>
        <v>44081</v>
      </c>
      <c r="D1660">
        <v>2008523</v>
      </c>
      <c r="E1660">
        <v>0</v>
      </c>
      <c r="F1660" s="6">
        <v>44085</v>
      </c>
      <c r="H1660" t="s">
        <v>191</v>
      </c>
      <c r="I1660" t="s">
        <v>120</v>
      </c>
    </row>
    <row r="1661" spans="1:9" x14ac:dyDescent="0.25">
      <c r="A1661" s="8" t="str">
        <f t="shared" si="75"/>
        <v>2008524.UP0</v>
      </c>
      <c r="B1661" s="9" t="str">
        <f t="shared" si="76"/>
        <v/>
      </c>
      <c r="C1661" s="10">
        <f t="shared" si="77"/>
        <v>44095</v>
      </c>
      <c r="D1661">
        <v>2008524</v>
      </c>
      <c r="E1661" t="s">
        <v>136</v>
      </c>
      <c r="F1661" s="6">
        <v>44099</v>
      </c>
      <c r="H1661" t="s">
        <v>189</v>
      </c>
      <c r="I1661" t="s">
        <v>120</v>
      </c>
    </row>
    <row r="1662" spans="1:9" x14ac:dyDescent="0.25">
      <c r="A1662" s="8" t="str">
        <f t="shared" si="75"/>
        <v>2008525.000</v>
      </c>
      <c r="B1662" s="9" t="str">
        <f t="shared" si="76"/>
        <v>4</v>
      </c>
      <c r="C1662" s="10">
        <f t="shared" si="77"/>
        <v>44084</v>
      </c>
      <c r="D1662">
        <v>2008525</v>
      </c>
      <c r="E1662">
        <v>0</v>
      </c>
      <c r="F1662" s="6">
        <v>44085</v>
      </c>
      <c r="G1662">
        <v>41</v>
      </c>
      <c r="H1662" t="s">
        <v>189</v>
      </c>
      <c r="I1662" t="s">
        <v>120</v>
      </c>
    </row>
    <row r="1663" spans="1:9" x14ac:dyDescent="0.25">
      <c r="A1663" s="8" t="str">
        <f t="shared" si="75"/>
        <v>2008526.H00</v>
      </c>
      <c r="B1663" s="9" t="str">
        <f t="shared" si="76"/>
        <v>4</v>
      </c>
      <c r="C1663" s="10">
        <f t="shared" si="77"/>
        <v>44105</v>
      </c>
      <c r="D1663">
        <v>2008526</v>
      </c>
      <c r="E1663" t="s">
        <v>122</v>
      </c>
      <c r="F1663" s="6">
        <v>44106</v>
      </c>
      <c r="G1663">
        <v>41</v>
      </c>
      <c r="H1663" t="s">
        <v>189</v>
      </c>
      <c r="I1663" t="s">
        <v>120</v>
      </c>
    </row>
    <row r="1664" spans="1:9" x14ac:dyDescent="0.25">
      <c r="A1664" s="8" t="str">
        <f t="shared" si="75"/>
        <v>2008527.ZO3</v>
      </c>
      <c r="B1664" s="9" t="str">
        <f t="shared" si="76"/>
        <v/>
      </c>
      <c r="C1664" s="10">
        <f t="shared" si="77"/>
        <v>44088</v>
      </c>
      <c r="D1664">
        <v>2008527</v>
      </c>
      <c r="E1664" t="s">
        <v>152</v>
      </c>
      <c r="F1664" s="6">
        <v>44092</v>
      </c>
      <c r="H1664" t="s">
        <v>189</v>
      </c>
      <c r="I1664" t="s">
        <v>120</v>
      </c>
    </row>
    <row r="1665" spans="1:9" x14ac:dyDescent="0.25">
      <c r="A1665" s="8" t="str">
        <f t="shared" si="75"/>
        <v>2008528.H01</v>
      </c>
      <c r="B1665" s="9" t="str">
        <f t="shared" si="76"/>
        <v/>
      </c>
      <c r="C1665" s="10">
        <f t="shared" si="77"/>
        <v>44095</v>
      </c>
      <c r="D1665">
        <v>2008528</v>
      </c>
      <c r="E1665" t="s">
        <v>145</v>
      </c>
      <c r="F1665" s="6">
        <v>44099</v>
      </c>
      <c r="H1665" t="s">
        <v>189</v>
      </c>
      <c r="I1665" t="s">
        <v>120</v>
      </c>
    </row>
    <row r="1666" spans="1:9" x14ac:dyDescent="0.25">
      <c r="A1666" s="8" t="str">
        <f t="shared" ref="A1666:A1729" si="78">IF(D1666="","",IF(E1666=0,CONCATENATE(D1666,".",E1666,"00"),CONCATENATE(D1666,".",E1666)))</f>
        <v>2008528.Y01</v>
      </c>
      <c r="B1666" s="9" t="str">
        <f t="shared" ref="B1666:B1729" si="79">LEFT(G1666,1)</f>
        <v/>
      </c>
      <c r="C1666" s="10">
        <f t="shared" ref="C1666:C1729" si="80">IF(F1666="","",IF(B1666="",F1666-4,IF(B1666="1",F1666-4,IF(B1666="2",F1666-3,IF(B1666="3",F1666-2,IF(B1666="4",F1666-1,IF(B1666="V",F1666-7,IF(B1666="J",F1666-8,F1666))))))))</f>
        <v>44095</v>
      </c>
      <c r="D1666">
        <v>2008528</v>
      </c>
      <c r="E1666" t="s">
        <v>132</v>
      </c>
      <c r="F1666" s="6">
        <v>44099</v>
      </c>
      <c r="H1666" t="s">
        <v>189</v>
      </c>
      <c r="I1666" t="s">
        <v>120</v>
      </c>
    </row>
    <row r="1667" spans="1:9" x14ac:dyDescent="0.25">
      <c r="A1667" s="8" t="str">
        <f t="shared" si="78"/>
        <v>2008529.U01</v>
      </c>
      <c r="B1667" s="9" t="str">
        <f t="shared" si="79"/>
        <v>1</v>
      </c>
      <c r="C1667" s="10">
        <f t="shared" si="80"/>
        <v>44095</v>
      </c>
      <c r="D1667">
        <v>2008529</v>
      </c>
      <c r="E1667" t="s">
        <v>150</v>
      </c>
      <c r="F1667" s="6">
        <v>44099</v>
      </c>
      <c r="G1667">
        <v>1</v>
      </c>
      <c r="H1667" t="s">
        <v>191</v>
      </c>
      <c r="I1667" t="s">
        <v>134</v>
      </c>
    </row>
    <row r="1668" spans="1:9" x14ac:dyDescent="0.25">
      <c r="A1668" s="8" t="str">
        <f t="shared" si="78"/>
        <v>2008530.000</v>
      </c>
      <c r="B1668" s="9" t="str">
        <f t="shared" si="79"/>
        <v/>
      </c>
      <c r="C1668" s="10">
        <f t="shared" si="80"/>
        <v>44081</v>
      </c>
      <c r="D1668">
        <v>2008530</v>
      </c>
      <c r="E1668">
        <v>0</v>
      </c>
      <c r="F1668" s="6">
        <v>44085</v>
      </c>
      <c r="H1668" t="s">
        <v>180</v>
      </c>
      <c r="I1668" t="s">
        <v>120</v>
      </c>
    </row>
    <row r="1669" spans="1:9" x14ac:dyDescent="0.25">
      <c r="A1669" s="8" t="str">
        <f t="shared" si="78"/>
        <v>2008531.000</v>
      </c>
      <c r="B1669" s="9" t="str">
        <f t="shared" si="79"/>
        <v>3</v>
      </c>
      <c r="C1669" s="10">
        <f t="shared" si="80"/>
        <v>44083</v>
      </c>
      <c r="D1669">
        <v>2008531</v>
      </c>
      <c r="E1669">
        <v>0</v>
      </c>
      <c r="F1669" s="6">
        <v>44085</v>
      </c>
      <c r="G1669">
        <v>31</v>
      </c>
      <c r="H1669" t="s">
        <v>180</v>
      </c>
      <c r="I1669" t="s">
        <v>120</v>
      </c>
    </row>
    <row r="1670" spans="1:9" x14ac:dyDescent="0.25">
      <c r="A1670" s="8" t="str">
        <f t="shared" si="78"/>
        <v>2008532.000</v>
      </c>
      <c r="B1670" s="9" t="str">
        <f t="shared" si="79"/>
        <v/>
      </c>
      <c r="C1670" s="10">
        <f t="shared" si="80"/>
        <v>44081</v>
      </c>
      <c r="D1670">
        <v>2008532</v>
      </c>
      <c r="E1670">
        <v>0</v>
      </c>
      <c r="F1670" s="6">
        <v>44085</v>
      </c>
      <c r="H1670" t="s">
        <v>180</v>
      </c>
      <c r="I1670" t="s">
        <v>120</v>
      </c>
    </row>
    <row r="1671" spans="1:9" x14ac:dyDescent="0.25">
      <c r="A1671" s="8" t="str">
        <f t="shared" si="78"/>
        <v>2008533.U01</v>
      </c>
      <c r="B1671" s="9" t="str">
        <f t="shared" si="79"/>
        <v/>
      </c>
      <c r="C1671" s="10">
        <f t="shared" si="80"/>
        <v>44095</v>
      </c>
      <c r="D1671">
        <v>2008533</v>
      </c>
      <c r="E1671" t="s">
        <v>150</v>
      </c>
      <c r="F1671" s="6">
        <v>44099</v>
      </c>
      <c r="H1671" t="s">
        <v>189</v>
      </c>
      <c r="I1671" t="s">
        <v>120</v>
      </c>
    </row>
    <row r="1672" spans="1:9" x14ac:dyDescent="0.25">
      <c r="A1672" s="8" t="str">
        <f t="shared" si="78"/>
        <v>2008533.ZP2</v>
      </c>
      <c r="B1672" s="9" t="str">
        <f t="shared" si="79"/>
        <v/>
      </c>
      <c r="C1672" s="10">
        <f t="shared" si="80"/>
        <v>44095</v>
      </c>
      <c r="D1672">
        <v>2008533</v>
      </c>
      <c r="E1672" t="s">
        <v>151</v>
      </c>
      <c r="F1672" s="6">
        <v>44099</v>
      </c>
      <c r="H1672" t="s">
        <v>189</v>
      </c>
      <c r="I1672" t="s">
        <v>120</v>
      </c>
    </row>
    <row r="1673" spans="1:9" x14ac:dyDescent="0.25">
      <c r="A1673" s="8" t="str">
        <f t="shared" si="78"/>
        <v>2008534.TP1</v>
      </c>
      <c r="B1673" s="9" t="str">
        <f t="shared" si="79"/>
        <v>4</v>
      </c>
      <c r="C1673" s="10">
        <f t="shared" si="80"/>
        <v>44105</v>
      </c>
      <c r="D1673">
        <v>2008534</v>
      </c>
      <c r="E1673" t="s">
        <v>209</v>
      </c>
      <c r="F1673" s="6">
        <v>44106</v>
      </c>
      <c r="G1673">
        <v>4</v>
      </c>
      <c r="H1673" t="s">
        <v>189</v>
      </c>
      <c r="I1673" t="s">
        <v>120</v>
      </c>
    </row>
    <row r="1674" spans="1:9" x14ac:dyDescent="0.25">
      <c r="A1674" s="8" t="str">
        <f t="shared" si="78"/>
        <v>2008535.C00</v>
      </c>
      <c r="B1674" s="9" t="str">
        <f t="shared" si="79"/>
        <v/>
      </c>
      <c r="C1674" s="10">
        <f t="shared" si="80"/>
        <v>44102</v>
      </c>
      <c r="D1674">
        <v>2008535</v>
      </c>
      <c r="E1674" t="s">
        <v>147</v>
      </c>
      <c r="F1674" s="6">
        <v>44106</v>
      </c>
      <c r="H1674" t="s">
        <v>188</v>
      </c>
      <c r="I1674" t="s">
        <v>120</v>
      </c>
    </row>
    <row r="1675" spans="1:9" x14ac:dyDescent="0.25">
      <c r="A1675" s="8" t="str">
        <f t="shared" si="78"/>
        <v>2008536.000</v>
      </c>
      <c r="B1675" s="9" t="str">
        <f t="shared" si="79"/>
        <v/>
      </c>
      <c r="C1675" s="10">
        <f t="shared" si="80"/>
        <v>44102</v>
      </c>
      <c r="D1675">
        <v>2008536</v>
      </c>
      <c r="E1675">
        <v>0</v>
      </c>
      <c r="F1675" s="6">
        <v>44106</v>
      </c>
      <c r="H1675" t="s">
        <v>189</v>
      </c>
      <c r="I1675" t="s">
        <v>120</v>
      </c>
    </row>
    <row r="1676" spans="1:9" x14ac:dyDescent="0.25">
      <c r="A1676" s="8" t="str">
        <f t="shared" si="78"/>
        <v>2008537.X00</v>
      </c>
      <c r="B1676" s="9" t="str">
        <f t="shared" si="79"/>
        <v/>
      </c>
      <c r="C1676" s="10">
        <f t="shared" si="80"/>
        <v>44081</v>
      </c>
      <c r="D1676">
        <v>2008537</v>
      </c>
      <c r="E1676" t="s">
        <v>225</v>
      </c>
      <c r="F1676" s="6">
        <v>44085</v>
      </c>
      <c r="H1676" t="s">
        <v>266</v>
      </c>
      <c r="I1676" t="s">
        <v>120</v>
      </c>
    </row>
    <row r="1677" spans="1:9" x14ac:dyDescent="0.25">
      <c r="A1677" s="8" t="str">
        <f t="shared" si="78"/>
        <v>2008538.000</v>
      </c>
      <c r="B1677" s="9" t="str">
        <f t="shared" si="79"/>
        <v>4</v>
      </c>
      <c r="C1677" s="10">
        <f t="shared" si="80"/>
        <v>44084</v>
      </c>
      <c r="D1677">
        <v>2008538</v>
      </c>
      <c r="E1677">
        <v>0</v>
      </c>
      <c r="F1677" s="6">
        <v>44085</v>
      </c>
      <c r="G1677">
        <v>4</v>
      </c>
      <c r="H1677" t="s">
        <v>189</v>
      </c>
      <c r="I1677" t="s">
        <v>120</v>
      </c>
    </row>
    <row r="1678" spans="1:9" x14ac:dyDescent="0.25">
      <c r="A1678" s="8" t="str">
        <f t="shared" si="78"/>
        <v>2008539.0P0</v>
      </c>
      <c r="B1678" s="9" t="str">
        <f t="shared" si="79"/>
        <v>1</v>
      </c>
      <c r="C1678" s="10">
        <f t="shared" si="80"/>
        <v>44074</v>
      </c>
      <c r="D1678">
        <v>2008539</v>
      </c>
      <c r="E1678" t="s">
        <v>119</v>
      </c>
      <c r="F1678" s="6">
        <v>44078</v>
      </c>
      <c r="G1678">
        <v>1</v>
      </c>
      <c r="H1678" t="s">
        <v>188</v>
      </c>
      <c r="I1678" t="s">
        <v>120</v>
      </c>
    </row>
    <row r="1679" spans="1:9" x14ac:dyDescent="0.25">
      <c r="A1679" s="8" t="str">
        <f t="shared" si="78"/>
        <v>2008540.000</v>
      </c>
      <c r="B1679" s="9" t="str">
        <f t="shared" si="79"/>
        <v>1</v>
      </c>
      <c r="C1679" s="10">
        <f t="shared" si="80"/>
        <v>44081</v>
      </c>
      <c r="D1679">
        <v>2008540</v>
      </c>
      <c r="E1679">
        <v>0</v>
      </c>
      <c r="F1679" s="6">
        <v>44085</v>
      </c>
      <c r="G1679">
        <v>1</v>
      </c>
      <c r="H1679" t="s">
        <v>180</v>
      </c>
      <c r="I1679" t="s">
        <v>120</v>
      </c>
    </row>
    <row r="1680" spans="1:9" x14ac:dyDescent="0.25">
      <c r="A1680" s="8" t="str">
        <f t="shared" si="78"/>
        <v>2008541.000</v>
      </c>
      <c r="B1680" s="9" t="str">
        <f t="shared" si="79"/>
        <v>1</v>
      </c>
      <c r="C1680" s="10">
        <f t="shared" si="80"/>
        <v>44081</v>
      </c>
      <c r="D1680">
        <v>2008541</v>
      </c>
      <c r="E1680">
        <v>0</v>
      </c>
      <c r="F1680" s="6">
        <v>44085</v>
      </c>
      <c r="G1680">
        <v>1</v>
      </c>
      <c r="H1680" t="s">
        <v>180</v>
      </c>
      <c r="I1680" t="s">
        <v>120</v>
      </c>
    </row>
    <row r="1681" spans="1:9" x14ac:dyDescent="0.25">
      <c r="A1681" s="8" t="str">
        <f t="shared" si="78"/>
        <v>2008542.000</v>
      </c>
      <c r="B1681" s="9" t="str">
        <f t="shared" si="79"/>
        <v>1</v>
      </c>
      <c r="C1681" s="10">
        <f t="shared" si="80"/>
        <v>44074</v>
      </c>
      <c r="D1681">
        <v>2008542</v>
      </c>
      <c r="E1681">
        <v>0</v>
      </c>
      <c r="F1681" s="6">
        <v>44078</v>
      </c>
      <c r="G1681">
        <v>1</v>
      </c>
      <c r="H1681" t="s">
        <v>180</v>
      </c>
      <c r="I1681" t="s">
        <v>120</v>
      </c>
    </row>
    <row r="1682" spans="1:9" x14ac:dyDescent="0.25">
      <c r="A1682" s="8" t="str">
        <f t="shared" si="78"/>
        <v>2008543.000</v>
      </c>
      <c r="B1682" s="9" t="str">
        <f t="shared" si="79"/>
        <v>1</v>
      </c>
      <c r="C1682" s="10">
        <f t="shared" si="80"/>
        <v>44081</v>
      </c>
      <c r="D1682">
        <v>2008543</v>
      </c>
      <c r="E1682">
        <v>0</v>
      </c>
      <c r="F1682" s="6">
        <v>44085</v>
      </c>
      <c r="G1682">
        <v>1</v>
      </c>
      <c r="H1682" t="s">
        <v>189</v>
      </c>
      <c r="I1682" t="s">
        <v>120</v>
      </c>
    </row>
    <row r="1683" spans="1:9" x14ac:dyDescent="0.25">
      <c r="A1683" s="8" t="str">
        <f t="shared" si="78"/>
        <v>2008544.HP1</v>
      </c>
      <c r="B1683" s="9" t="str">
        <f t="shared" si="79"/>
        <v/>
      </c>
      <c r="C1683" s="10">
        <f t="shared" si="80"/>
        <v>44109</v>
      </c>
      <c r="D1683">
        <v>2008544</v>
      </c>
      <c r="E1683" t="s">
        <v>129</v>
      </c>
      <c r="F1683" s="6">
        <v>44113</v>
      </c>
      <c r="H1683" t="s">
        <v>189</v>
      </c>
      <c r="I1683" t="s">
        <v>120</v>
      </c>
    </row>
    <row r="1684" spans="1:9" x14ac:dyDescent="0.25">
      <c r="A1684" s="8" t="str">
        <f t="shared" si="78"/>
        <v>2008545.000</v>
      </c>
      <c r="B1684" s="9" t="str">
        <f t="shared" si="79"/>
        <v>1</v>
      </c>
      <c r="C1684" s="10">
        <f t="shared" si="80"/>
        <v>44081</v>
      </c>
      <c r="D1684">
        <v>2008545</v>
      </c>
      <c r="E1684">
        <v>0</v>
      </c>
      <c r="F1684" s="6">
        <v>44085</v>
      </c>
      <c r="G1684">
        <v>1</v>
      </c>
      <c r="H1684" t="s">
        <v>189</v>
      </c>
      <c r="I1684" t="s">
        <v>120</v>
      </c>
    </row>
    <row r="1685" spans="1:9" x14ac:dyDescent="0.25">
      <c r="A1685" s="8" t="str">
        <f t="shared" si="78"/>
        <v>2008546.Z02</v>
      </c>
      <c r="B1685" s="9" t="str">
        <f t="shared" si="79"/>
        <v/>
      </c>
      <c r="C1685" s="10">
        <f t="shared" si="80"/>
        <v>44109</v>
      </c>
      <c r="D1685">
        <v>2008546</v>
      </c>
      <c r="E1685" t="s">
        <v>260</v>
      </c>
      <c r="F1685" s="6">
        <v>44113</v>
      </c>
      <c r="H1685" t="s">
        <v>189</v>
      </c>
      <c r="I1685" t="s">
        <v>120</v>
      </c>
    </row>
    <row r="1686" spans="1:9" x14ac:dyDescent="0.25">
      <c r="A1686" s="8" t="str">
        <f t="shared" si="78"/>
        <v>2008547.T00</v>
      </c>
      <c r="B1686" s="9" t="str">
        <f t="shared" si="79"/>
        <v>1</v>
      </c>
      <c r="C1686" s="10">
        <f t="shared" si="80"/>
        <v>44081</v>
      </c>
      <c r="D1686">
        <v>2008547</v>
      </c>
      <c r="E1686" t="s">
        <v>159</v>
      </c>
      <c r="F1686" s="6">
        <v>44085</v>
      </c>
      <c r="G1686">
        <v>1</v>
      </c>
      <c r="H1686" t="s">
        <v>189</v>
      </c>
      <c r="I1686" t="s">
        <v>120</v>
      </c>
    </row>
    <row r="1687" spans="1:9" x14ac:dyDescent="0.25">
      <c r="A1687" s="8" t="str">
        <f t="shared" si="78"/>
        <v>2008548.XP0</v>
      </c>
      <c r="B1687" s="9" t="str">
        <f t="shared" si="79"/>
        <v>1</v>
      </c>
      <c r="C1687" s="10">
        <f t="shared" si="80"/>
        <v>44081</v>
      </c>
      <c r="D1687">
        <v>2008548</v>
      </c>
      <c r="E1687" t="s">
        <v>181</v>
      </c>
      <c r="F1687" s="6">
        <v>44085</v>
      </c>
      <c r="G1687">
        <v>1</v>
      </c>
      <c r="H1687" t="s">
        <v>180</v>
      </c>
      <c r="I1687" t="s">
        <v>120</v>
      </c>
    </row>
    <row r="1688" spans="1:9" x14ac:dyDescent="0.25">
      <c r="A1688" s="8" t="str">
        <f t="shared" si="78"/>
        <v>2008549.000</v>
      </c>
      <c r="B1688" s="9" t="str">
        <f t="shared" si="79"/>
        <v>1</v>
      </c>
      <c r="C1688" s="10">
        <f t="shared" si="80"/>
        <v>44102</v>
      </c>
      <c r="D1688">
        <v>2008549</v>
      </c>
      <c r="E1688">
        <v>0</v>
      </c>
      <c r="F1688" s="6">
        <v>44106</v>
      </c>
      <c r="G1688">
        <v>1</v>
      </c>
      <c r="H1688" t="s">
        <v>189</v>
      </c>
      <c r="I1688" t="s">
        <v>120</v>
      </c>
    </row>
    <row r="1689" spans="1:9" x14ac:dyDescent="0.25">
      <c r="A1689" s="8" t="str">
        <f t="shared" si="78"/>
        <v>2008549.0P0</v>
      </c>
      <c r="B1689" s="9" t="str">
        <f t="shared" si="79"/>
        <v>1</v>
      </c>
      <c r="C1689" s="10">
        <f t="shared" si="80"/>
        <v>44102</v>
      </c>
      <c r="D1689">
        <v>2008549</v>
      </c>
      <c r="E1689" t="s">
        <v>119</v>
      </c>
      <c r="F1689" s="6">
        <v>44106</v>
      </c>
      <c r="G1689">
        <v>1</v>
      </c>
      <c r="H1689" t="s">
        <v>189</v>
      </c>
      <c r="I1689" t="s">
        <v>120</v>
      </c>
    </row>
    <row r="1690" spans="1:9" x14ac:dyDescent="0.25">
      <c r="A1690" s="8" t="str">
        <f t="shared" si="78"/>
        <v>2008549.C00</v>
      </c>
      <c r="B1690" s="9" t="str">
        <f t="shared" si="79"/>
        <v>1</v>
      </c>
      <c r="C1690" s="10">
        <f t="shared" si="80"/>
        <v>44102</v>
      </c>
      <c r="D1690">
        <v>2008549</v>
      </c>
      <c r="E1690" t="s">
        <v>147</v>
      </c>
      <c r="F1690" s="6">
        <v>44106</v>
      </c>
      <c r="G1690">
        <v>1</v>
      </c>
      <c r="H1690" t="s">
        <v>189</v>
      </c>
      <c r="I1690" t="s">
        <v>120</v>
      </c>
    </row>
    <row r="1691" spans="1:9" x14ac:dyDescent="0.25">
      <c r="A1691" s="8" t="str">
        <f t="shared" si="78"/>
        <v>2008552.000</v>
      </c>
      <c r="B1691" s="9" t="str">
        <f t="shared" si="79"/>
        <v>4</v>
      </c>
      <c r="C1691" s="10">
        <f t="shared" si="80"/>
        <v>44105</v>
      </c>
      <c r="D1691">
        <v>2008552</v>
      </c>
      <c r="E1691">
        <v>0</v>
      </c>
      <c r="F1691" s="6">
        <v>44106</v>
      </c>
      <c r="G1691">
        <v>41</v>
      </c>
      <c r="H1691" t="s">
        <v>189</v>
      </c>
      <c r="I1691" t="s">
        <v>120</v>
      </c>
    </row>
    <row r="1692" spans="1:9" x14ac:dyDescent="0.25">
      <c r="A1692" s="8" t="str">
        <f t="shared" si="78"/>
        <v>2008552.Y00</v>
      </c>
      <c r="B1692" s="9" t="str">
        <f t="shared" si="79"/>
        <v>4</v>
      </c>
      <c r="C1692" s="10">
        <f t="shared" si="80"/>
        <v>44105</v>
      </c>
      <c r="D1692">
        <v>2008552</v>
      </c>
      <c r="E1692" t="s">
        <v>130</v>
      </c>
      <c r="F1692" s="6">
        <v>44106</v>
      </c>
      <c r="G1692">
        <v>41</v>
      </c>
      <c r="H1692" t="s">
        <v>189</v>
      </c>
      <c r="I1692" t="s">
        <v>120</v>
      </c>
    </row>
    <row r="1693" spans="1:9" x14ac:dyDescent="0.25">
      <c r="A1693" s="8" t="str">
        <f t="shared" si="78"/>
        <v>2008554.N00</v>
      </c>
      <c r="B1693" s="9" t="str">
        <f t="shared" si="79"/>
        <v>4</v>
      </c>
      <c r="C1693" s="10">
        <f t="shared" si="80"/>
        <v>44105</v>
      </c>
      <c r="D1693">
        <v>2008554</v>
      </c>
      <c r="E1693" t="s">
        <v>125</v>
      </c>
      <c r="F1693" s="6">
        <v>44106</v>
      </c>
      <c r="G1693">
        <v>41</v>
      </c>
      <c r="H1693" t="s">
        <v>194</v>
      </c>
      <c r="I1693" t="s">
        <v>120</v>
      </c>
    </row>
    <row r="1694" spans="1:9" x14ac:dyDescent="0.25">
      <c r="A1694" s="8" t="str">
        <f t="shared" si="78"/>
        <v>2008555.000</v>
      </c>
      <c r="B1694" s="9" t="str">
        <f t="shared" si="79"/>
        <v/>
      </c>
      <c r="C1694" s="10">
        <f t="shared" si="80"/>
        <v>44088</v>
      </c>
      <c r="D1694">
        <v>2008555</v>
      </c>
      <c r="E1694">
        <v>0</v>
      </c>
      <c r="F1694" s="6">
        <v>44092</v>
      </c>
      <c r="H1694" t="s">
        <v>192</v>
      </c>
      <c r="I1694" t="s">
        <v>120</v>
      </c>
    </row>
    <row r="1695" spans="1:9" x14ac:dyDescent="0.25">
      <c r="A1695" s="8" t="str">
        <f t="shared" si="78"/>
        <v>2008555.ZP2</v>
      </c>
      <c r="B1695" s="9" t="str">
        <f t="shared" si="79"/>
        <v/>
      </c>
      <c r="C1695" s="10">
        <f t="shared" si="80"/>
        <v>44088</v>
      </c>
      <c r="D1695">
        <v>2008555</v>
      </c>
      <c r="E1695" t="s">
        <v>151</v>
      </c>
      <c r="F1695" s="6">
        <v>44092</v>
      </c>
      <c r="H1695" t="s">
        <v>192</v>
      </c>
      <c r="I1695" t="s">
        <v>120</v>
      </c>
    </row>
    <row r="1696" spans="1:9" x14ac:dyDescent="0.25">
      <c r="A1696" s="8" t="str">
        <f t="shared" si="78"/>
        <v>2008557.000</v>
      </c>
      <c r="B1696" s="9" t="str">
        <f t="shared" si="79"/>
        <v/>
      </c>
      <c r="C1696" s="10">
        <f t="shared" si="80"/>
        <v>44123</v>
      </c>
      <c r="D1696">
        <v>2008557</v>
      </c>
      <c r="E1696">
        <v>0</v>
      </c>
      <c r="F1696" s="6">
        <v>44127</v>
      </c>
      <c r="H1696" t="s">
        <v>189</v>
      </c>
      <c r="I1696" t="s">
        <v>120</v>
      </c>
    </row>
    <row r="1697" spans="1:9" x14ac:dyDescent="0.25">
      <c r="A1697" s="8" t="str">
        <f t="shared" si="78"/>
        <v>2008558.0P0</v>
      </c>
      <c r="B1697" s="9" t="str">
        <f t="shared" si="79"/>
        <v/>
      </c>
      <c r="C1697" s="10">
        <f t="shared" si="80"/>
        <v>44095</v>
      </c>
      <c r="D1697">
        <v>2008558</v>
      </c>
      <c r="E1697" t="s">
        <v>119</v>
      </c>
      <c r="F1697" s="6">
        <v>44099</v>
      </c>
      <c r="H1697" t="s">
        <v>189</v>
      </c>
      <c r="I1697" t="s">
        <v>120</v>
      </c>
    </row>
    <row r="1698" spans="1:9" x14ac:dyDescent="0.25">
      <c r="A1698" s="8" t="str">
        <f t="shared" si="78"/>
        <v>2008560.0P0</v>
      </c>
      <c r="B1698" s="9" t="str">
        <f t="shared" si="79"/>
        <v/>
      </c>
      <c r="C1698" s="10">
        <f t="shared" si="80"/>
        <v>44095</v>
      </c>
      <c r="D1698">
        <v>2008560</v>
      </c>
      <c r="E1698" t="s">
        <v>119</v>
      </c>
      <c r="F1698" s="6">
        <v>44099</v>
      </c>
      <c r="H1698" t="s">
        <v>189</v>
      </c>
      <c r="I1698" t="s">
        <v>120</v>
      </c>
    </row>
    <row r="1699" spans="1:9" x14ac:dyDescent="0.25">
      <c r="A1699" s="8" t="str">
        <f t="shared" si="78"/>
        <v>2008561.UP1</v>
      </c>
      <c r="B1699" s="9" t="str">
        <f t="shared" si="79"/>
        <v/>
      </c>
      <c r="C1699" s="10">
        <f t="shared" si="80"/>
        <v>44186</v>
      </c>
      <c r="D1699">
        <v>2008561</v>
      </c>
      <c r="E1699" t="s">
        <v>164</v>
      </c>
      <c r="F1699" s="6">
        <v>44190</v>
      </c>
      <c r="H1699" t="s">
        <v>192</v>
      </c>
      <c r="I1699" t="s">
        <v>120</v>
      </c>
    </row>
    <row r="1700" spans="1:9" x14ac:dyDescent="0.25">
      <c r="A1700" s="8" t="str">
        <f t="shared" si="78"/>
        <v>2008562.0P0</v>
      </c>
      <c r="B1700" s="9" t="str">
        <f t="shared" si="79"/>
        <v>4</v>
      </c>
      <c r="C1700" s="10">
        <f t="shared" si="80"/>
        <v>44105</v>
      </c>
      <c r="D1700">
        <v>2008562</v>
      </c>
      <c r="E1700" t="s">
        <v>119</v>
      </c>
      <c r="F1700" s="6">
        <v>44106</v>
      </c>
      <c r="G1700">
        <v>41</v>
      </c>
      <c r="H1700" t="s">
        <v>189</v>
      </c>
      <c r="I1700" t="s">
        <v>120</v>
      </c>
    </row>
    <row r="1701" spans="1:9" x14ac:dyDescent="0.25">
      <c r="A1701" s="8" t="str">
        <f t="shared" si="78"/>
        <v>2008562.TPL</v>
      </c>
      <c r="B1701" s="9" t="str">
        <f t="shared" si="79"/>
        <v>4</v>
      </c>
      <c r="C1701" s="10">
        <f t="shared" si="80"/>
        <v>44105</v>
      </c>
      <c r="D1701">
        <v>2008562</v>
      </c>
      <c r="E1701" t="s">
        <v>288</v>
      </c>
      <c r="F1701" s="6">
        <v>44106</v>
      </c>
      <c r="G1701">
        <v>41</v>
      </c>
      <c r="H1701" t="s">
        <v>189</v>
      </c>
      <c r="I1701" t="s">
        <v>120</v>
      </c>
    </row>
    <row r="1702" spans="1:9" x14ac:dyDescent="0.25">
      <c r="A1702" s="8" t="str">
        <f t="shared" si="78"/>
        <v>2008563.0P0</v>
      </c>
      <c r="B1702" s="9" t="str">
        <f t="shared" si="79"/>
        <v>4</v>
      </c>
      <c r="C1702" s="10">
        <f t="shared" si="80"/>
        <v>44105</v>
      </c>
      <c r="D1702">
        <v>2008563</v>
      </c>
      <c r="E1702" t="s">
        <v>119</v>
      </c>
      <c r="F1702" s="6">
        <v>44106</v>
      </c>
      <c r="G1702">
        <v>41</v>
      </c>
      <c r="H1702" t="s">
        <v>191</v>
      </c>
      <c r="I1702" t="s">
        <v>120</v>
      </c>
    </row>
    <row r="1703" spans="1:9" x14ac:dyDescent="0.25">
      <c r="A1703" s="8" t="str">
        <f t="shared" si="78"/>
        <v>2008564.0P0</v>
      </c>
      <c r="B1703" s="9" t="str">
        <f t="shared" si="79"/>
        <v/>
      </c>
      <c r="C1703" s="10">
        <f t="shared" si="80"/>
        <v>44081</v>
      </c>
      <c r="D1703">
        <v>2008564</v>
      </c>
      <c r="E1703" t="s">
        <v>119</v>
      </c>
      <c r="F1703" s="6">
        <v>44085</v>
      </c>
      <c r="H1703" t="s">
        <v>180</v>
      </c>
      <c r="I1703" t="s">
        <v>120</v>
      </c>
    </row>
    <row r="1704" spans="1:9" x14ac:dyDescent="0.25">
      <c r="A1704" s="8" t="str">
        <f t="shared" si="78"/>
        <v>2008565.000</v>
      </c>
      <c r="B1704" s="9" t="str">
        <f t="shared" si="79"/>
        <v/>
      </c>
      <c r="C1704" s="10">
        <f t="shared" si="80"/>
        <v>44081</v>
      </c>
      <c r="D1704">
        <v>2008565</v>
      </c>
      <c r="E1704">
        <v>0</v>
      </c>
      <c r="F1704" s="6">
        <v>44085</v>
      </c>
      <c r="H1704" t="s">
        <v>180</v>
      </c>
      <c r="I1704" t="s">
        <v>120</v>
      </c>
    </row>
    <row r="1705" spans="1:9" x14ac:dyDescent="0.25">
      <c r="A1705" s="8" t="str">
        <f t="shared" si="78"/>
        <v>2008566.H00</v>
      </c>
      <c r="B1705" s="9" t="str">
        <f t="shared" si="79"/>
        <v/>
      </c>
      <c r="C1705" s="10">
        <f t="shared" si="80"/>
        <v>44095</v>
      </c>
      <c r="D1705">
        <v>2008566</v>
      </c>
      <c r="E1705" t="s">
        <v>122</v>
      </c>
      <c r="F1705" s="6">
        <v>44099</v>
      </c>
      <c r="H1705" t="s">
        <v>189</v>
      </c>
      <c r="I1705" t="s">
        <v>120</v>
      </c>
    </row>
    <row r="1706" spans="1:9" x14ac:dyDescent="0.25">
      <c r="A1706" s="8" t="str">
        <f t="shared" si="78"/>
        <v>2008566.HPL</v>
      </c>
      <c r="B1706" s="9" t="str">
        <f t="shared" si="79"/>
        <v/>
      </c>
      <c r="C1706" s="10">
        <f t="shared" si="80"/>
        <v>44095</v>
      </c>
      <c r="D1706">
        <v>2008566</v>
      </c>
      <c r="E1706" t="s">
        <v>128</v>
      </c>
      <c r="F1706" s="6">
        <v>44099</v>
      </c>
      <c r="H1706" t="s">
        <v>189</v>
      </c>
      <c r="I1706" t="s">
        <v>120</v>
      </c>
    </row>
    <row r="1707" spans="1:9" x14ac:dyDescent="0.25">
      <c r="A1707" s="8" t="str">
        <f t="shared" si="78"/>
        <v>2008567.N00</v>
      </c>
      <c r="B1707" s="9" t="str">
        <f t="shared" si="79"/>
        <v/>
      </c>
      <c r="C1707" s="10">
        <f t="shared" si="80"/>
        <v>44039</v>
      </c>
      <c r="D1707">
        <v>2008567</v>
      </c>
      <c r="E1707" t="s">
        <v>125</v>
      </c>
      <c r="F1707" s="6">
        <v>44043</v>
      </c>
      <c r="H1707" t="s">
        <v>188</v>
      </c>
      <c r="I1707" t="s">
        <v>120</v>
      </c>
    </row>
    <row r="1708" spans="1:9" x14ac:dyDescent="0.25">
      <c r="A1708" s="8" t="str">
        <f t="shared" si="78"/>
        <v>2008568.000</v>
      </c>
      <c r="B1708" s="9" t="str">
        <f t="shared" si="79"/>
        <v>4</v>
      </c>
      <c r="C1708" s="10">
        <f t="shared" si="80"/>
        <v>44105</v>
      </c>
      <c r="D1708">
        <v>2008568</v>
      </c>
      <c r="E1708">
        <v>0</v>
      </c>
      <c r="F1708" s="6">
        <v>44106</v>
      </c>
      <c r="G1708">
        <v>41</v>
      </c>
      <c r="H1708" t="s">
        <v>189</v>
      </c>
      <c r="I1708" t="s">
        <v>120</v>
      </c>
    </row>
    <row r="1709" spans="1:9" x14ac:dyDescent="0.25">
      <c r="A1709" s="8" t="str">
        <f t="shared" si="78"/>
        <v>2008568.0P0</v>
      </c>
      <c r="B1709" s="9" t="str">
        <f t="shared" si="79"/>
        <v>4</v>
      </c>
      <c r="C1709" s="10">
        <f t="shared" si="80"/>
        <v>44105</v>
      </c>
      <c r="D1709">
        <v>2008568</v>
      </c>
      <c r="E1709" t="s">
        <v>119</v>
      </c>
      <c r="F1709" s="6">
        <v>44106</v>
      </c>
      <c r="G1709">
        <v>41</v>
      </c>
      <c r="H1709" t="s">
        <v>189</v>
      </c>
      <c r="I1709" t="s">
        <v>120</v>
      </c>
    </row>
    <row r="1710" spans="1:9" x14ac:dyDescent="0.25">
      <c r="A1710" s="8" t="str">
        <f t="shared" si="78"/>
        <v>2008569.X00</v>
      </c>
      <c r="B1710" s="9" t="str">
        <f t="shared" si="79"/>
        <v/>
      </c>
      <c r="C1710" s="10">
        <f t="shared" si="80"/>
        <v>44081</v>
      </c>
      <c r="D1710">
        <v>2008569</v>
      </c>
      <c r="E1710" t="s">
        <v>225</v>
      </c>
      <c r="F1710" s="6">
        <v>44085</v>
      </c>
      <c r="H1710" t="s">
        <v>189</v>
      </c>
      <c r="I1710" t="s">
        <v>120</v>
      </c>
    </row>
    <row r="1711" spans="1:9" x14ac:dyDescent="0.25">
      <c r="A1711" s="8" t="str">
        <f t="shared" si="78"/>
        <v>2008570.Y00</v>
      </c>
      <c r="B1711" s="9" t="str">
        <f t="shared" si="79"/>
        <v/>
      </c>
      <c r="C1711" s="10">
        <f t="shared" si="80"/>
        <v>44109</v>
      </c>
      <c r="D1711">
        <v>2008570</v>
      </c>
      <c r="E1711" t="s">
        <v>130</v>
      </c>
      <c r="F1711" s="6">
        <v>44113</v>
      </c>
      <c r="H1711" t="s">
        <v>189</v>
      </c>
      <c r="I1711" t="s">
        <v>120</v>
      </c>
    </row>
    <row r="1712" spans="1:9" x14ac:dyDescent="0.25">
      <c r="A1712" s="8" t="str">
        <f t="shared" si="78"/>
        <v>2008571.H00</v>
      </c>
      <c r="B1712" s="9" t="str">
        <f t="shared" si="79"/>
        <v/>
      </c>
      <c r="C1712" s="10">
        <f t="shared" si="80"/>
        <v>44088</v>
      </c>
      <c r="D1712">
        <v>2008571</v>
      </c>
      <c r="E1712" t="s">
        <v>122</v>
      </c>
      <c r="F1712" s="6">
        <v>44092</v>
      </c>
      <c r="H1712" t="s">
        <v>192</v>
      </c>
      <c r="I1712" t="s">
        <v>120</v>
      </c>
    </row>
    <row r="1713" spans="1:9" x14ac:dyDescent="0.25">
      <c r="A1713" s="8" t="str">
        <f t="shared" si="78"/>
        <v>2008571.HP0</v>
      </c>
      <c r="B1713" s="9" t="str">
        <f t="shared" si="79"/>
        <v/>
      </c>
      <c r="C1713" s="10">
        <f t="shared" si="80"/>
        <v>44088</v>
      </c>
      <c r="D1713">
        <v>2008571</v>
      </c>
      <c r="E1713" t="s">
        <v>121</v>
      </c>
      <c r="F1713" s="6">
        <v>44092</v>
      </c>
      <c r="H1713" t="s">
        <v>192</v>
      </c>
      <c r="I1713" t="s">
        <v>120</v>
      </c>
    </row>
    <row r="1714" spans="1:9" x14ac:dyDescent="0.25">
      <c r="A1714" s="8" t="str">
        <f t="shared" si="78"/>
        <v>2008571.Y01</v>
      </c>
      <c r="B1714" s="9" t="str">
        <f t="shared" si="79"/>
        <v/>
      </c>
      <c r="C1714" s="10">
        <f t="shared" si="80"/>
        <v>44088</v>
      </c>
      <c r="D1714">
        <v>2008571</v>
      </c>
      <c r="E1714" t="s">
        <v>132</v>
      </c>
      <c r="F1714" s="6">
        <v>44092</v>
      </c>
      <c r="H1714" t="s">
        <v>192</v>
      </c>
      <c r="I1714" t="s">
        <v>120</v>
      </c>
    </row>
    <row r="1715" spans="1:9" x14ac:dyDescent="0.25">
      <c r="A1715" s="8" t="str">
        <f t="shared" si="78"/>
        <v>2008572.H02</v>
      </c>
      <c r="B1715" s="9" t="str">
        <f t="shared" si="79"/>
        <v/>
      </c>
      <c r="C1715" s="10">
        <f t="shared" si="80"/>
        <v>44088</v>
      </c>
      <c r="D1715">
        <v>2008572</v>
      </c>
      <c r="E1715" t="s">
        <v>156</v>
      </c>
      <c r="F1715" s="6">
        <v>44092</v>
      </c>
      <c r="H1715" t="s">
        <v>189</v>
      </c>
      <c r="I1715" t="s">
        <v>120</v>
      </c>
    </row>
    <row r="1716" spans="1:9" x14ac:dyDescent="0.25">
      <c r="A1716" s="8" t="str">
        <f t="shared" si="78"/>
        <v>2008573.H01</v>
      </c>
      <c r="B1716" s="9" t="str">
        <f t="shared" si="79"/>
        <v/>
      </c>
      <c r="C1716" s="10">
        <f t="shared" si="80"/>
        <v>44088</v>
      </c>
      <c r="D1716">
        <v>2008573</v>
      </c>
      <c r="E1716" t="s">
        <v>145</v>
      </c>
      <c r="F1716" s="6">
        <v>44092</v>
      </c>
      <c r="H1716" t="s">
        <v>189</v>
      </c>
      <c r="I1716" t="s">
        <v>120</v>
      </c>
    </row>
    <row r="1717" spans="1:9" x14ac:dyDescent="0.25">
      <c r="A1717" s="8" t="str">
        <f t="shared" si="78"/>
        <v>2008574.H00</v>
      </c>
      <c r="B1717" s="9" t="str">
        <f t="shared" si="79"/>
        <v/>
      </c>
      <c r="C1717" s="10">
        <f t="shared" si="80"/>
        <v>44081</v>
      </c>
      <c r="D1717">
        <v>2008574</v>
      </c>
      <c r="E1717" t="s">
        <v>122</v>
      </c>
      <c r="F1717" s="6">
        <v>44085</v>
      </c>
      <c r="H1717" t="s">
        <v>189</v>
      </c>
      <c r="I1717" t="s">
        <v>120</v>
      </c>
    </row>
    <row r="1718" spans="1:9" x14ac:dyDescent="0.25">
      <c r="A1718" s="8" t="str">
        <f t="shared" si="78"/>
        <v>2008574.HPL</v>
      </c>
      <c r="B1718" s="9" t="str">
        <f t="shared" si="79"/>
        <v/>
      </c>
      <c r="C1718" s="10">
        <f t="shared" si="80"/>
        <v>44081</v>
      </c>
      <c r="D1718">
        <v>2008574</v>
      </c>
      <c r="E1718" t="s">
        <v>128</v>
      </c>
      <c r="F1718" s="6">
        <v>44085</v>
      </c>
      <c r="H1718" t="s">
        <v>189</v>
      </c>
      <c r="I1718" t="s">
        <v>120</v>
      </c>
    </row>
    <row r="1719" spans="1:9" x14ac:dyDescent="0.25">
      <c r="A1719" s="8" t="str">
        <f t="shared" si="78"/>
        <v>2008575.000</v>
      </c>
      <c r="B1719" s="9" t="str">
        <f t="shared" si="79"/>
        <v/>
      </c>
      <c r="C1719" s="10">
        <f t="shared" si="80"/>
        <v>44081</v>
      </c>
      <c r="D1719">
        <v>2008575</v>
      </c>
      <c r="E1719">
        <v>0</v>
      </c>
      <c r="F1719" s="6">
        <v>44085</v>
      </c>
      <c r="H1719" t="s">
        <v>189</v>
      </c>
      <c r="I1719" t="s">
        <v>120</v>
      </c>
    </row>
    <row r="1720" spans="1:9" x14ac:dyDescent="0.25">
      <c r="A1720" s="8" t="str">
        <f t="shared" si="78"/>
        <v>2008576.Z00</v>
      </c>
      <c r="B1720" s="9" t="str">
        <f t="shared" si="79"/>
        <v>4</v>
      </c>
      <c r="C1720" s="10">
        <f t="shared" si="80"/>
        <v>44105</v>
      </c>
      <c r="D1720">
        <v>2008576</v>
      </c>
      <c r="E1720" t="s">
        <v>158</v>
      </c>
      <c r="F1720" s="6">
        <v>44106</v>
      </c>
      <c r="G1720">
        <v>41</v>
      </c>
      <c r="H1720" t="s">
        <v>189</v>
      </c>
      <c r="I1720" t="s">
        <v>120</v>
      </c>
    </row>
    <row r="1721" spans="1:9" x14ac:dyDescent="0.25">
      <c r="A1721" s="8" t="str">
        <f t="shared" si="78"/>
        <v>2008577.Y02</v>
      </c>
      <c r="B1721" s="9" t="str">
        <f t="shared" si="79"/>
        <v/>
      </c>
      <c r="C1721" s="10">
        <f t="shared" si="80"/>
        <v>44081</v>
      </c>
      <c r="D1721">
        <v>2008577</v>
      </c>
      <c r="E1721" t="s">
        <v>144</v>
      </c>
      <c r="F1721" s="6">
        <v>44085</v>
      </c>
      <c r="H1721" t="s">
        <v>189</v>
      </c>
      <c r="I1721" t="s">
        <v>120</v>
      </c>
    </row>
    <row r="1722" spans="1:9" x14ac:dyDescent="0.25">
      <c r="A1722" s="8" t="str">
        <f t="shared" si="78"/>
        <v>2008579.Y01</v>
      </c>
      <c r="B1722" s="9" t="str">
        <f t="shared" si="79"/>
        <v>3</v>
      </c>
      <c r="C1722" s="10">
        <f t="shared" si="80"/>
        <v>44097</v>
      </c>
      <c r="D1722">
        <v>2008579</v>
      </c>
      <c r="E1722" t="s">
        <v>132</v>
      </c>
      <c r="F1722" s="6">
        <v>44099</v>
      </c>
      <c r="G1722">
        <v>3</v>
      </c>
      <c r="H1722" t="s">
        <v>189</v>
      </c>
      <c r="I1722" t="s">
        <v>120</v>
      </c>
    </row>
    <row r="1723" spans="1:9" x14ac:dyDescent="0.25">
      <c r="A1723" s="8" t="str">
        <f t="shared" si="78"/>
        <v>2008580.NML</v>
      </c>
      <c r="B1723" s="9" t="str">
        <f t="shared" si="79"/>
        <v/>
      </c>
      <c r="C1723" s="10">
        <f t="shared" si="80"/>
        <v>44095</v>
      </c>
      <c r="D1723">
        <v>2008580</v>
      </c>
      <c r="E1723" t="s">
        <v>162</v>
      </c>
      <c r="F1723" s="6">
        <v>44099</v>
      </c>
      <c r="H1723" t="s">
        <v>189</v>
      </c>
      <c r="I1723" t="s">
        <v>120</v>
      </c>
    </row>
    <row r="1724" spans="1:9" x14ac:dyDescent="0.25">
      <c r="A1724" s="8" t="str">
        <f t="shared" si="78"/>
        <v>2008580.Y01</v>
      </c>
      <c r="B1724" s="9" t="str">
        <f t="shared" si="79"/>
        <v/>
      </c>
      <c r="C1724" s="10">
        <f t="shared" si="80"/>
        <v>44095</v>
      </c>
      <c r="D1724">
        <v>2008580</v>
      </c>
      <c r="E1724" t="s">
        <v>132</v>
      </c>
      <c r="F1724" s="6">
        <v>44099</v>
      </c>
      <c r="H1724" t="s">
        <v>189</v>
      </c>
      <c r="I1724" t="s">
        <v>120</v>
      </c>
    </row>
    <row r="1725" spans="1:9" x14ac:dyDescent="0.25">
      <c r="A1725" s="8" t="str">
        <f t="shared" si="78"/>
        <v>2008580.Z01</v>
      </c>
      <c r="B1725" s="9" t="str">
        <f t="shared" si="79"/>
        <v/>
      </c>
      <c r="C1725" s="10">
        <f t="shared" si="80"/>
        <v>44095</v>
      </c>
      <c r="D1725">
        <v>2008580</v>
      </c>
      <c r="E1725" t="s">
        <v>135</v>
      </c>
      <c r="F1725" s="6">
        <v>44099</v>
      </c>
      <c r="H1725" t="s">
        <v>189</v>
      </c>
      <c r="I1725" t="s">
        <v>120</v>
      </c>
    </row>
    <row r="1726" spans="1:9" x14ac:dyDescent="0.25">
      <c r="A1726" s="8" t="str">
        <f t="shared" si="78"/>
        <v>2008581.U00</v>
      </c>
      <c r="B1726" s="9" t="str">
        <f t="shared" si="79"/>
        <v/>
      </c>
      <c r="C1726" s="10">
        <f t="shared" si="80"/>
        <v>44095</v>
      </c>
      <c r="D1726">
        <v>2008581</v>
      </c>
      <c r="E1726" t="s">
        <v>131</v>
      </c>
      <c r="F1726" s="6">
        <v>44099</v>
      </c>
      <c r="H1726" t="s">
        <v>189</v>
      </c>
      <c r="I1726" t="s">
        <v>120</v>
      </c>
    </row>
    <row r="1727" spans="1:9" x14ac:dyDescent="0.25">
      <c r="A1727" s="8" t="str">
        <f t="shared" si="78"/>
        <v>2008582.UP0</v>
      </c>
      <c r="B1727" s="9" t="str">
        <f t="shared" si="79"/>
        <v/>
      </c>
      <c r="C1727" s="10">
        <f t="shared" si="80"/>
        <v>44088</v>
      </c>
      <c r="D1727">
        <v>2008582</v>
      </c>
      <c r="E1727" t="s">
        <v>136</v>
      </c>
      <c r="F1727" s="6">
        <v>44092</v>
      </c>
      <c r="H1727" t="s">
        <v>189</v>
      </c>
      <c r="I1727" t="s">
        <v>120</v>
      </c>
    </row>
    <row r="1728" spans="1:9" x14ac:dyDescent="0.25">
      <c r="A1728" s="8" t="str">
        <f t="shared" si="78"/>
        <v>2008584.H01</v>
      </c>
      <c r="B1728" s="9" t="str">
        <f t="shared" si="79"/>
        <v/>
      </c>
      <c r="C1728" s="10">
        <f t="shared" si="80"/>
        <v>44088</v>
      </c>
      <c r="D1728">
        <v>2008584</v>
      </c>
      <c r="E1728" t="s">
        <v>145</v>
      </c>
      <c r="F1728" s="6">
        <v>44092</v>
      </c>
      <c r="H1728" t="s">
        <v>189</v>
      </c>
      <c r="I1728" t="s">
        <v>120</v>
      </c>
    </row>
    <row r="1729" spans="1:9" x14ac:dyDescent="0.25">
      <c r="A1729" s="8" t="str">
        <f t="shared" si="78"/>
        <v>2008585.X00</v>
      </c>
      <c r="B1729" s="9" t="str">
        <f t="shared" si="79"/>
        <v/>
      </c>
      <c r="C1729" s="10">
        <f t="shared" si="80"/>
        <v>44088</v>
      </c>
      <c r="D1729">
        <v>2008585</v>
      </c>
      <c r="E1729" t="s">
        <v>225</v>
      </c>
      <c r="F1729" s="6">
        <v>44092</v>
      </c>
      <c r="H1729" t="s">
        <v>189</v>
      </c>
      <c r="I1729" t="s">
        <v>120</v>
      </c>
    </row>
    <row r="1730" spans="1:9" x14ac:dyDescent="0.25">
      <c r="A1730" s="8" t="str">
        <f t="shared" ref="A1730:A1793" si="81">IF(D1730="","",IF(E1730=0,CONCATENATE(D1730,".",E1730,"00"),CONCATENATE(D1730,".",E1730)))</f>
        <v>2008585.XP0</v>
      </c>
      <c r="B1730" s="9" t="str">
        <f t="shared" ref="B1730:B1793" si="82">LEFT(G1730,1)</f>
        <v/>
      </c>
      <c r="C1730" s="10">
        <f t="shared" ref="C1730:C1793" si="83">IF(F1730="","",IF(B1730="",F1730-4,IF(B1730="1",F1730-4,IF(B1730="2",F1730-3,IF(B1730="3",F1730-2,IF(B1730="4",F1730-1,IF(B1730="V",F1730-7,IF(B1730="J",F1730-8,F1730))))))))</f>
        <v>44088</v>
      </c>
      <c r="D1730">
        <v>2008585</v>
      </c>
      <c r="E1730" t="s">
        <v>181</v>
      </c>
      <c r="F1730" s="6">
        <v>44092</v>
      </c>
      <c r="H1730" t="s">
        <v>266</v>
      </c>
      <c r="I1730" t="s">
        <v>120</v>
      </c>
    </row>
    <row r="1731" spans="1:9" x14ac:dyDescent="0.25">
      <c r="A1731" s="8" t="str">
        <f t="shared" si="81"/>
        <v>2008586.N00</v>
      </c>
      <c r="B1731" s="9" t="str">
        <f t="shared" si="82"/>
        <v>2</v>
      </c>
      <c r="C1731" s="10">
        <f t="shared" si="83"/>
        <v>44068</v>
      </c>
      <c r="D1731">
        <v>2008586</v>
      </c>
      <c r="E1731" t="s">
        <v>125</v>
      </c>
      <c r="F1731" s="6">
        <v>44071</v>
      </c>
      <c r="G1731">
        <v>21</v>
      </c>
      <c r="H1731" t="s">
        <v>194</v>
      </c>
      <c r="I1731" t="s">
        <v>120</v>
      </c>
    </row>
    <row r="1732" spans="1:9" x14ac:dyDescent="0.25">
      <c r="A1732" s="8" t="str">
        <f t="shared" si="81"/>
        <v>2008588.000</v>
      </c>
      <c r="B1732" s="9" t="str">
        <f t="shared" si="82"/>
        <v/>
      </c>
      <c r="C1732" s="10">
        <f t="shared" si="83"/>
        <v>44109</v>
      </c>
      <c r="D1732">
        <v>2008588</v>
      </c>
      <c r="E1732">
        <v>0</v>
      </c>
      <c r="F1732" s="6">
        <v>44113</v>
      </c>
      <c r="H1732" t="s">
        <v>192</v>
      </c>
      <c r="I1732" t="s">
        <v>120</v>
      </c>
    </row>
    <row r="1733" spans="1:9" x14ac:dyDescent="0.25">
      <c r="A1733" s="8" t="str">
        <f t="shared" si="81"/>
        <v>2008589.H00</v>
      </c>
      <c r="B1733" s="9" t="str">
        <f t="shared" si="82"/>
        <v/>
      </c>
      <c r="C1733" s="10">
        <f t="shared" si="83"/>
        <v>44074</v>
      </c>
      <c r="D1733">
        <v>2008589</v>
      </c>
      <c r="E1733" t="s">
        <v>122</v>
      </c>
      <c r="F1733" s="6">
        <v>44078</v>
      </c>
      <c r="H1733" t="s">
        <v>180</v>
      </c>
      <c r="I1733" t="s">
        <v>120</v>
      </c>
    </row>
    <row r="1734" spans="1:9" x14ac:dyDescent="0.25">
      <c r="A1734" s="8" t="str">
        <f t="shared" si="81"/>
        <v>2008592.UP0</v>
      </c>
      <c r="B1734" s="9" t="str">
        <f t="shared" si="82"/>
        <v/>
      </c>
      <c r="C1734" s="10">
        <f t="shared" si="83"/>
        <v>44095</v>
      </c>
      <c r="D1734">
        <v>2008592</v>
      </c>
      <c r="E1734" t="s">
        <v>136</v>
      </c>
      <c r="F1734" s="6">
        <v>44099</v>
      </c>
      <c r="H1734" t="s">
        <v>189</v>
      </c>
      <c r="I1734" t="s">
        <v>120</v>
      </c>
    </row>
    <row r="1735" spans="1:9" x14ac:dyDescent="0.25">
      <c r="A1735" s="8" t="str">
        <f t="shared" si="81"/>
        <v>2008593.000</v>
      </c>
      <c r="B1735" s="9" t="str">
        <f t="shared" si="82"/>
        <v/>
      </c>
      <c r="C1735" s="10">
        <f t="shared" si="83"/>
        <v>44130</v>
      </c>
      <c r="D1735">
        <v>2008593</v>
      </c>
      <c r="E1735">
        <v>0</v>
      </c>
      <c r="F1735" s="6">
        <v>44134</v>
      </c>
      <c r="H1735" t="s">
        <v>189</v>
      </c>
      <c r="I1735" t="s">
        <v>120</v>
      </c>
    </row>
    <row r="1736" spans="1:9" x14ac:dyDescent="0.25">
      <c r="A1736" s="8" t="str">
        <f t="shared" si="81"/>
        <v>2008593.HP0</v>
      </c>
      <c r="B1736" s="9" t="str">
        <f t="shared" si="82"/>
        <v/>
      </c>
      <c r="C1736" s="10">
        <f t="shared" si="83"/>
        <v>44130</v>
      </c>
      <c r="D1736">
        <v>2008593</v>
      </c>
      <c r="E1736" t="s">
        <v>121</v>
      </c>
      <c r="F1736" s="6">
        <v>44134</v>
      </c>
      <c r="H1736" t="s">
        <v>189</v>
      </c>
      <c r="I1736" t="s">
        <v>120</v>
      </c>
    </row>
    <row r="1737" spans="1:9" x14ac:dyDescent="0.25">
      <c r="A1737" s="8" t="str">
        <f t="shared" si="81"/>
        <v>2008594.H01</v>
      </c>
      <c r="B1737" s="9" t="str">
        <f t="shared" si="82"/>
        <v/>
      </c>
      <c r="C1737" s="10">
        <f t="shared" si="83"/>
        <v>44088</v>
      </c>
      <c r="D1737">
        <v>2008594</v>
      </c>
      <c r="E1737" t="s">
        <v>145</v>
      </c>
      <c r="F1737" s="6">
        <v>44092</v>
      </c>
      <c r="H1737" t="s">
        <v>191</v>
      </c>
      <c r="I1737" t="s">
        <v>120</v>
      </c>
    </row>
    <row r="1738" spans="1:9" x14ac:dyDescent="0.25">
      <c r="A1738" s="8" t="str">
        <f t="shared" si="81"/>
        <v>2008595.U00</v>
      </c>
      <c r="B1738" s="9" t="str">
        <f t="shared" si="82"/>
        <v>4</v>
      </c>
      <c r="C1738" s="10">
        <f t="shared" si="83"/>
        <v>44098</v>
      </c>
      <c r="D1738">
        <v>2008595</v>
      </c>
      <c r="E1738" t="s">
        <v>131</v>
      </c>
      <c r="F1738" s="6">
        <v>44099</v>
      </c>
      <c r="G1738">
        <v>41</v>
      </c>
      <c r="H1738" t="s">
        <v>189</v>
      </c>
      <c r="I1738" t="s">
        <v>120</v>
      </c>
    </row>
    <row r="1739" spans="1:9" x14ac:dyDescent="0.25">
      <c r="A1739" s="8" t="str">
        <f t="shared" si="81"/>
        <v>2008595.Y01</v>
      </c>
      <c r="B1739" s="9" t="str">
        <f t="shared" si="82"/>
        <v>4</v>
      </c>
      <c r="C1739" s="10">
        <f t="shared" si="83"/>
        <v>44098</v>
      </c>
      <c r="D1739">
        <v>2008595</v>
      </c>
      <c r="E1739" t="s">
        <v>132</v>
      </c>
      <c r="F1739" s="6">
        <v>44099</v>
      </c>
      <c r="G1739">
        <v>41</v>
      </c>
      <c r="H1739" t="s">
        <v>189</v>
      </c>
      <c r="I1739" t="s">
        <v>120</v>
      </c>
    </row>
    <row r="1740" spans="1:9" x14ac:dyDescent="0.25">
      <c r="A1740" s="8" t="str">
        <f t="shared" si="81"/>
        <v>2008595.ZP3</v>
      </c>
      <c r="B1740" s="9" t="str">
        <f t="shared" si="82"/>
        <v>4</v>
      </c>
      <c r="C1740" s="10">
        <f t="shared" si="83"/>
        <v>44098</v>
      </c>
      <c r="D1740">
        <v>2008595</v>
      </c>
      <c r="E1740" t="s">
        <v>140</v>
      </c>
      <c r="F1740" s="6">
        <v>44099</v>
      </c>
      <c r="G1740">
        <v>41</v>
      </c>
      <c r="H1740" t="s">
        <v>189</v>
      </c>
      <c r="I1740" t="s">
        <v>120</v>
      </c>
    </row>
    <row r="1741" spans="1:9" x14ac:dyDescent="0.25">
      <c r="A1741" s="8" t="str">
        <f t="shared" si="81"/>
        <v>2008596.H00</v>
      </c>
      <c r="B1741" s="9" t="str">
        <f t="shared" si="82"/>
        <v/>
      </c>
      <c r="C1741" s="10">
        <f t="shared" si="83"/>
        <v>44088</v>
      </c>
      <c r="D1741">
        <v>2008596</v>
      </c>
      <c r="E1741" t="s">
        <v>122</v>
      </c>
      <c r="F1741" s="6">
        <v>44092</v>
      </c>
      <c r="H1741" t="s">
        <v>189</v>
      </c>
      <c r="I1741" t="s">
        <v>120</v>
      </c>
    </row>
    <row r="1742" spans="1:9" x14ac:dyDescent="0.25">
      <c r="A1742" s="8" t="str">
        <f t="shared" si="81"/>
        <v>2008596.NML</v>
      </c>
      <c r="B1742" s="9" t="str">
        <f t="shared" si="82"/>
        <v/>
      </c>
      <c r="C1742" s="10">
        <f t="shared" si="83"/>
        <v>44088</v>
      </c>
      <c r="D1742">
        <v>2008596</v>
      </c>
      <c r="E1742" t="s">
        <v>162</v>
      </c>
      <c r="F1742" s="6">
        <v>44092</v>
      </c>
      <c r="H1742" t="s">
        <v>189</v>
      </c>
      <c r="I1742" t="s">
        <v>120</v>
      </c>
    </row>
    <row r="1743" spans="1:9" x14ac:dyDescent="0.25">
      <c r="A1743" s="8" t="str">
        <f t="shared" si="81"/>
        <v>2008598.H00</v>
      </c>
      <c r="B1743" s="9" t="str">
        <f t="shared" si="82"/>
        <v/>
      </c>
      <c r="C1743" s="10">
        <f t="shared" si="83"/>
        <v>44095</v>
      </c>
      <c r="D1743">
        <v>2008598</v>
      </c>
      <c r="E1743" t="s">
        <v>122</v>
      </c>
      <c r="F1743" s="6">
        <v>44099</v>
      </c>
      <c r="H1743" t="s">
        <v>189</v>
      </c>
      <c r="I1743" t="s">
        <v>120</v>
      </c>
    </row>
    <row r="1744" spans="1:9" x14ac:dyDescent="0.25">
      <c r="A1744" s="8" t="str">
        <f t="shared" si="81"/>
        <v>2008598.HP0</v>
      </c>
      <c r="B1744" s="9" t="str">
        <f t="shared" si="82"/>
        <v/>
      </c>
      <c r="C1744" s="10">
        <f t="shared" si="83"/>
        <v>44095</v>
      </c>
      <c r="D1744">
        <v>2008598</v>
      </c>
      <c r="E1744" t="s">
        <v>121</v>
      </c>
      <c r="F1744" s="6">
        <v>44099</v>
      </c>
      <c r="H1744" t="s">
        <v>189</v>
      </c>
      <c r="I1744" t="s">
        <v>120</v>
      </c>
    </row>
    <row r="1745" spans="1:9" x14ac:dyDescent="0.25">
      <c r="A1745" s="8" t="str">
        <f t="shared" si="81"/>
        <v>2008598.U00</v>
      </c>
      <c r="B1745" s="9" t="str">
        <f t="shared" si="82"/>
        <v/>
      </c>
      <c r="C1745" s="10">
        <f t="shared" si="83"/>
        <v>44095</v>
      </c>
      <c r="D1745">
        <v>2008598</v>
      </c>
      <c r="E1745" t="s">
        <v>131</v>
      </c>
      <c r="F1745" s="6">
        <v>44099</v>
      </c>
      <c r="H1745" t="s">
        <v>189</v>
      </c>
      <c r="I1745" t="s">
        <v>120</v>
      </c>
    </row>
    <row r="1746" spans="1:9" x14ac:dyDescent="0.25">
      <c r="A1746" s="8" t="str">
        <f t="shared" si="81"/>
        <v>2008599.Y00</v>
      </c>
      <c r="B1746" s="9" t="str">
        <f t="shared" si="82"/>
        <v/>
      </c>
      <c r="C1746" s="10">
        <f t="shared" si="83"/>
        <v>44095</v>
      </c>
      <c r="D1746">
        <v>2008599</v>
      </c>
      <c r="E1746" t="s">
        <v>130</v>
      </c>
      <c r="F1746" s="6">
        <v>44099</v>
      </c>
      <c r="H1746" t="s">
        <v>189</v>
      </c>
      <c r="I1746" t="s">
        <v>120</v>
      </c>
    </row>
    <row r="1747" spans="1:9" x14ac:dyDescent="0.25">
      <c r="A1747" s="8" t="str">
        <f t="shared" si="81"/>
        <v>2008600.000</v>
      </c>
      <c r="B1747" s="9" t="str">
        <f t="shared" si="82"/>
        <v/>
      </c>
      <c r="C1747" s="10">
        <f t="shared" si="83"/>
        <v>44081</v>
      </c>
      <c r="D1747">
        <v>2008600</v>
      </c>
      <c r="E1747">
        <v>0</v>
      </c>
      <c r="F1747" s="6">
        <v>44085</v>
      </c>
      <c r="H1747" t="s">
        <v>180</v>
      </c>
      <c r="I1747" t="s">
        <v>120</v>
      </c>
    </row>
    <row r="1748" spans="1:9" x14ac:dyDescent="0.25">
      <c r="A1748" s="8" t="str">
        <f t="shared" si="81"/>
        <v>2008601.H00</v>
      </c>
      <c r="B1748" s="9" t="str">
        <f t="shared" si="82"/>
        <v/>
      </c>
      <c r="C1748" s="10">
        <f t="shared" si="83"/>
        <v>44088</v>
      </c>
      <c r="D1748">
        <v>2008601</v>
      </c>
      <c r="E1748" t="s">
        <v>122</v>
      </c>
      <c r="F1748" s="6">
        <v>44092</v>
      </c>
      <c r="H1748" t="s">
        <v>189</v>
      </c>
      <c r="I1748" t="s">
        <v>120</v>
      </c>
    </row>
    <row r="1749" spans="1:9" x14ac:dyDescent="0.25">
      <c r="A1749" s="8" t="str">
        <f t="shared" si="81"/>
        <v>2008602.X00</v>
      </c>
      <c r="B1749" s="9" t="str">
        <f t="shared" si="82"/>
        <v/>
      </c>
      <c r="C1749" s="10">
        <f t="shared" si="83"/>
        <v>44081</v>
      </c>
      <c r="D1749">
        <v>2008602</v>
      </c>
      <c r="E1749" t="s">
        <v>225</v>
      </c>
      <c r="F1749" s="6">
        <v>44085</v>
      </c>
      <c r="H1749" t="s">
        <v>180</v>
      </c>
      <c r="I1749" t="s">
        <v>120</v>
      </c>
    </row>
    <row r="1750" spans="1:9" x14ac:dyDescent="0.25">
      <c r="A1750" s="8" t="str">
        <f t="shared" si="81"/>
        <v>2008603.N0L</v>
      </c>
      <c r="B1750" s="9" t="str">
        <f t="shared" si="82"/>
        <v>3</v>
      </c>
      <c r="C1750" s="10">
        <f t="shared" si="83"/>
        <v>44069</v>
      </c>
      <c r="D1750">
        <v>2008603</v>
      </c>
      <c r="E1750" t="s">
        <v>133</v>
      </c>
      <c r="F1750" s="6">
        <v>44071</v>
      </c>
      <c r="G1750">
        <v>32</v>
      </c>
      <c r="H1750" t="s">
        <v>194</v>
      </c>
      <c r="I1750" t="s">
        <v>120</v>
      </c>
    </row>
    <row r="1751" spans="1:9" x14ac:dyDescent="0.25">
      <c r="A1751" s="8" t="str">
        <f t="shared" si="81"/>
        <v>2008604.UP0</v>
      </c>
      <c r="B1751" s="9" t="str">
        <f t="shared" si="82"/>
        <v/>
      </c>
      <c r="C1751" s="10">
        <f t="shared" si="83"/>
        <v>44095</v>
      </c>
      <c r="D1751">
        <v>2008604</v>
      </c>
      <c r="E1751" t="s">
        <v>136</v>
      </c>
      <c r="F1751" s="6">
        <v>44099</v>
      </c>
      <c r="H1751" t="s">
        <v>191</v>
      </c>
      <c r="I1751" t="s">
        <v>120</v>
      </c>
    </row>
    <row r="1752" spans="1:9" x14ac:dyDescent="0.25">
      <c r="A1752" s="8" t="str">
        <f t="shared" si="81"/>
        <v>2008605.Y00</v>
      </c>
      <c r="B1752" s="9" t="str">
        <f t="shared" si="82"/>
        <v/>
      </c>
      <c r="C1752" s="10">
        <f t="shared" si="83"/>
        <v>44095</v>
      </c>
      <c r="D1752">
        <v>2008605</v>
      </c>
      <c r="E1752" t="s">
        <v>130</v>
      </c>
      <c r="F1752" s="6">
        <v>44099</v>
      </c>
      <c r="H1752" t="s">
        <v>189</v>
      </c>
      <c r="I1752" t="s">
        <v>120</v>
      </c>
    </row>
    <row r="1753" spans="1:9" x14ac:dyDescent="0.25">
      <c r="A1753" s="8" t="str">
        <f t="shared" si="81"/>
        <v>2008606.Y00</v>
      </c>
      <c r="B1753" s="9" t="str">
        <f t="shared" si="82"/>
        <v/>
      </c>
      <c r="C1753" s="10">
        <f t="shared" si="83"/>
        <v>44095</v>
      </c>
      <c r="D1753">
        <v>2008606</v>
      </c>
      <c r="E1753" t="s">
        <v>130</v>
      </c>
      <c r="F1753" s="6">
        <v>44099</v>
      </c>
      <c r="H1753" t="s">
        <v>189</v>
      </c>
      <c r="I1753" t="s">
        <v>120</v>
      </c>
    </row>
    <row r="1754" spans="1:9" x14ac:dyDescent="0.25">
      <c r="A1754" s="8" t="str">
        <f t="shared" si="81"/>
        <v>2008607.X00</v>
      </c>
      <c r="B1754" s="9" t="str">
        <f t="shared" si="82"/>
        <v/>
      </c>
      <c r="C1754" s="10">
        <f t="shared" si="83"/>
        <v>44088</v>
      </c>
      <c r="D1754">
        <v>2008607</v>
      </c>
      <c r="E1754" t="s">
        <v>225</v>
      </c>
      <c r="F1754" s="6">
        <v>44092</v>
      </c>
      <c r="H1754" t="s">
        <v>189</v>
      </c>
      <c r="I1754" t="s">
        <v>120</v>
      </c>
    </row>
    <row r="1755" spans="1:9" x14ac:dyDescent="0.25">
      <c r="A1755" s="8" t="str">
        <f t="shared" si="81"/>
        <v>2008608.H00</v>
      </c>
      <c r="B1755" s="9" t="str">
        <f t="shared" si="82"/>
        <v>4</v>
      </c>
      <c r="C1755" s="10">
        <f t="shared" si="83"/>
        <v>44084</v>
      </c>
      <c r="D1755">
        <v>2008608</v>
      </c>
      <c r="E1755" t="s">
        <v>122</v>
      </c>
      <c r="F1755" s="6">
        <v>44085</v>
      </c>
      <c r="G1755">
        <v>41</v>
      </c>
      <c r="H1755" t="s">
        <v>189</v>
      </c>
      <c r="I1755" t="s">
        <v>120</v>
      </c>
    </row>
    <row r="1756" spans="1:9" x14ac:dyDescent="0.25">
      <c r="A1756" s="8" t="str">
        <f t="shared" si="81"/>
        <v>2008608.HPL</v>
      </c>
      <c r="B1756" s="9" t="str">
        <f t="shared" si="82"/>
        <v>4</v>
      </c>
      <c r="C1756" s="10">
        <f t="shared" si="83"/>
        <v>44084</v>
      </c>
      <c r="D1756">
        <v>2008608</v>
      </c>
      <c r="E1756" t="s">
        <v>128</v>
      </c>
      <c r="F1756" s="6">
        <v>44085</v>
      </c>
      <c r="G1756">
        <v>41</v>
      </c>
      <c r="H1756" t="s">
        <v>180</v>
      </c>
      <c r="I1756" t="s">
        <v>120</v>
      </c>
    </row>
    <row r="1757" spans="1:9" x14ac:dyDescent="0.25">
      <c r="A1757" s="8" t="str">
        <f t="shared" si="81"/>
        <v>2008608.Y00</v>
      </c>
      <c r="B1757" s="9" t="str">
        <f t="shared" si="82"/>
        <v>4</v>
      </c>
      <c r="C1757" s="10">
        <f t="shared" si="83"/>
        <v>44084</v>
      </c>
      <c r="D1757">
        <v>2008608</v>
      </c>
      <c r="E1757" t="s">
        <v>130</v>
      </c>
      <c r="F1757" s="6">
        <v>44085</v>
      </c>
      <c r="G1757">
        <v>41</v>
      </c>
      <c r="H1757" t="s">
        <v>189</v>
      </c>
      <c r="I1757" t="s">
        <v>120</v>
      </c>
    </row>
    <row r="1758" spans="1:9" x14ac:dyDescent="0.25">
      <c r="A1758" s="8" t="str">
        <f t="shared" si="81"/>
        <v>2008609.X00</v>
      </c>
      <c r="B1758" s="9" t="str">
        <f t="shared" si="82"/>
        <v>1</v>
      </c>
      <c r="C1758" s="10">
        <f t="shared" si="83"/>
        <v>44081</v>
      </c>
      <c r="D1758">
        <v>2008609</v>
      </c>
      <c r="E1758" t="s">
        <v>225</v>
      </c>
      <c r="F1758" s="6">
        <v>44085</v>
      </c>
      <c r="G1758">
        <v>1</v>
      </c>
      <c r="H1758" t="s">
        <v>180</v>
      </c>
      <c r="I1758" t="s">
        <v>120</v>
      </c>
    </row>
    <row r="1759" spans="1:9" x14ac:dyDescent="0.25">
      <c r="A1759" s="8" t="str">
        <f t="shared" si="81"/>
        <v>2008610.000</v>
      </c>
      <c r="B1759" s="9" t="str">
        <f t="shared" si="82"/>
        <v>1</v>
      </c>
      <c r="C1759" s="10">
        <f t="shared" si="83"/>
        <v>44081</v>
      </c>
      <c r="D1759">
        <v>2008610</v>
      </c>
      <c r="E1759">
        <v>0</v>
      </c>
      <c r="F1759" s="6">
        <v>44085</v>
      </c>
      <c r="G1759">
        <v>1</v>
      </c>
      <c r="H1759" t="s">
        <v>180</v>
      </c>
      <c r="I1759" t="s">
        <v>120</v>
      </c>
    </row>
    <row r="1760" spans="1:9" x14ac:dyDescent="0.25">
      <c r="A1760" s="8" t="str">
        <f t="shared" si="81"/>
        <v>2008611.X00</v>
      </c>
      <c r="B1760" s="9" t="str">
        <f t="shared" si="82"/>
        <v/>
      </c>
      <c r="C1760" s="10">
        <f t="shared" si="83"/>
        <v>44081</v>
      </c>
      <c r="D1760">
        <v>2008611</v>
      </c>
      <c r="E1760" t="s">
        <v>225</v>
      </c>
      <c r="F1760" s="6">
        <v>44085</v>
      </c>
      <c r="H1760" t="s">
        <v>189</v>
      </c>
      <c r="I1760" t="s">
        <v>120</v>
      </c>
    </row>
    <row r="1761" spans="1:9" x14ac:dyDescent="0.25">
      <c r="A1761" s="8" t="str">
        <f t="shared" si="81"/>
        <v>2008612.000</v>
      </c>
      <c r="B1761" s="9" t="str">
        <f t="shared" si="82"/>
        <v/>
      </c>
      <c r="C1761" s="10">
        <f t="shared" si="83"/>
        <v>44081</v>
      </c>
      <c r="D1761">
        <v>2008612</v>
      </c>
      <c r="E1761">
        <v>0</v>
      </c>
      <c r="F1761" s="6">
        <v>44085</v>
      </c>
      <c r="H1761" t="s">
        <v>180</v>
      </c>
      <c r="I1761" t="s">
        <v>120</v>
      </c>
    </row>
    <row r="1762" spans="1:9" x14ac:dyDescent="0.25">
      <c r="A1762" s="8" t="str">
        <f t="shared" si="81"/>
        <v>2008613.H00</v>
      </c>
      <c r="B1762" s="9" t="str">
        <f t="shared" si="82"/>
        <v/>
      </c>
      <c r="C1762" s="10">
        <f t="shared" si="83"/>
        <v>44088</v>
      </c>
      <c r="D1762">
        <v>2008613</v>
      </c>
      <c r="E1762" t="s">
        <v>122</v>
      </c>
      <c r="F1762" s="6">
        <v>44092</v>
      </c>
      <c r="H1762" t="s">
        <v>189</v>
      </c>
      <c r="I1762" t="s">
        <v>120</v>
      </c>
    </row>
    <row r="1763" spans="1:9" x14ac:dyDescent="0.25">
      <c r="A1763" s="8" t="str">
        <f t="shared" si="81"/>
        <v>2008613.X00</v>
      </c>
      <c r="B1763" s="9" t="str">
        <f t="shared" si="82"/>
        <v/>
      </c>
      <c r="C1763" s="10">
        <f t="shared" si="83"/>
        <v>44088</v>
      </c>
      <c r="D1763">
        <v>2008613</v>
      </c>
      <c r="E1763" t="s">
        <v>225</v>
      </c>
      <c r="F1763" s="6">
        <v>44092</v>
      </c>
      <c r="H1763" t="s">
        <v>189</v>
      </c>
      <c r="I1763" t="s">
        <v>120</v>
      </c>
    </row>
    <row r="1764" spans="1:9" x14ac:dyDescent="0.25">
      <c r="A1764" s="8" t="str">
        <f t="shared" si="81"/>
        <v>2008614.NV0</v>
      </c>
      <c r="B1764" s="9" t="str">
        <f t="shared" si="82"/>
        <v>V</v>
      </c>
      <c r="C1764" s="10">
        <f t="shared" si="83"/>
        <v>44036</v>
      </c>
      <c r="D1764">
        <v>2008614</v>
      </c>
      <c r="E1764" t="s">
        <v>126</v>
      </c>
      <c r="F1764" s="6">
        <v>44043</v>
      </c>
      <c r="G1764" t="s">
        <v>308</v>
      </c>
      <c r="H1764" t="s">
        <v>180</v>
      </c>
      <c r="I1764" t="s">
        <v>120</v>
      </c>
    </row>
    <row r="1765" spans="1:9" x14ac:dyDescent="0.25">
      <c r="A1765" s="8" t="str">
        <f t="shared" si="81"/>
        <v>2008615.XP0</v>
      </c>
      <c r="B1765" s="9" t="str">
        <f t="shared" si="82"/>
        <v>4</v>
      </c>
      <c r="C1765" s="10">
        <f t="shared" si="83"/>
        <v>44105</v>
      </c>
      <c r="D1765">
        <v>2008615</v>
      </c>
      <c r="E1765" t="s">
        <v>181</v>
      </c>
      <c r="F1765" s="6">
        <v>44106</v>
      </c>
      <c r="G1765">
        <v>41</v>
      </c>
      <c r="H1765" t="s">
        <v>191</v>
      </c>
      <c r="I1765" t="s">
        <v>120</v>
      </c>
    </row>
    <row r="1766" spans="1:9" x14ac:dyDescent="0.25">
      <c r="A1766" s="8" t="str">
        <f t="shared" si="81"/>
        <v>2008616.00L</v>
      </c>
      <c r="B1766" s="9" t="str">
        <f t="shared" si="82"/>
        <v/>
      </c>
      <c r="C1766" s="10">
        <f t="shared" si="83"/>
        <v>44116</v>
      </c>
      <c r="D1766">
        <v>2008616</v>
      </c>
      <c r="E1766" t="s">
        <v>237</v>
      </c>
      <c r="F1766" s="6">
        <v>44120</v>
      </c>
      <c r="H1766" t="s">
        <v>189</v>
      </c>
      <c r="I1766" t="s">
        <v>120</v>
      </c>
    </row>
    <row r="1767" spans="1:9" x14ac:dyDescent="0.25">
      <c r="A1767" s="8" t="str">
        <f t="shared" si="81"/>
        <v>2008617.000</v>
      </c>
      <c r="B1767" s="9" t="str">
        <f t="shared" si="82"/>
        <v/>
      </c>
      <c r="C1767" s="10">
        <f t="shared" si="83"/>
        <v>44081</v>
      </c>
      <c r="D1767">
        <v>2008617</v>
      </c>
      <c r="E1767">
        <v>0</v>
      </c>
      <c r="F1767" s="6">
        <v>44085</v>
      </c>
      <c r="H1767" t="s">
        <v>189</v>
      </c>
      <c r="I1767" t="s">
        <v>120</v>
      </c>
    </row>
    <row r="1768" spans="1:9" x14ac:dyDescent="0.25">
      <c r="A1768" s="8" t="str">
        <f t="shared" si="81"/>
        <v>2008617.0P0</v>
      </c>
      <c r="B1768" s="9" t="str">
        <f t="shared" si="82"/>
        <v/>
      </c>
      <c r="C1768" s="10">
        <f t="shared" si="83"/>
        <v>44081</v>
      </c>
      <c r="D1768">
        <v>2008617</v>
      </c>
      <c r="E1768" t="s">
        <v>119</v>
      </c>
      <c r="F1768" s="6">
        <v>44085</v>
      </c>
      <c r="H1768" t="s">
        <v>192</v>
      </c>
      <c r="I1768" t="s">
        <v>120</v>
      </c>
    </row>
    <row r="1769" spans="1:9" x14ac:dyDescent="0.25">
      <c r="A1769" s="8" t="str">
        <f t="shared" si="81"/>
        <v>2008618.H01</v>
      </c>
      <c r="B1769" s="9" t="str">
        <f t="shared" si="82"/>
        <v/>
      </c>
      <c r="C1769" s="10">
        <f t="shared" si="83"/>
        <v>44088</v>
      </c>
      <c r="D1769">
        <v>2008618</v>
      </c>
      <c r="E1769" t="s">
        <v>145</v>
      </c>
      <c r="F1769" s="6">
        <v>44092</v>
      </c>
      <c r="H1769" t="s">
        <v>189</v>
      </c>
      <c r="I1769" t="s">
        <v>120</v>
      </c>
    </row>
    <row r="1770" spans="1:9" x14ac:dyDescent="0.25">
      <c r="A1770" s="8" t="str">
        <f t="shared" si="81"/>
        <v>2008618.HP1</v>
      </c>
      <c r="B1770" s="9" t="str">
        <f t="shared" si="82"/>
        <v/>
      </c>
      <c r="C1770" s="10">
        <f t="shared" si="83"/>
        <v>44088</v>
      </c>
      <c r="D1770">
        <v>2008618</v>
      </c>
      <c r="E1770" t="s">
        <v>129</v>
      </c>
      <c r="F1770" s="6">
        <v>44092</v>
      </c>
      <c r="H1770" t="s">
        <v>180</v>
      </c>
      <c r="I1770" t="s">
        <v>120</v>
      </c>
    </row>
    <row r="1771" spans="1:9" x14ac:dyDescent="0.25">
      <c r="A1771" s="8" t="str">
        <f t="shared" si="81"/>
        <v>2008619.X00</v>
      </c>
      <c r="B1771" s="9" t="str">
        <f t="shared" si="82"/>
        <v>4</v>
      </c>
      <c r="C1771" s="10">
        <f t="shared" si="83"/>
        <v>44105</v>
      </c>
      <c r="D1771">
        <v>2008619</v>
      </c>
      <c r="E1771" t="s">
        <v>225</v>
      </c>
      <c r="F1771" s="6">
        <v>44106</v>
      </c>
      <c r="G1771">
        <v>41</v>
      </c>
      <c r="H1771" t="s">
        <v>189</v>
      </c>
      <c r="I1771" t="s">
        <v>120</v>
      </c>
    </row>
    <row r="1772" spans="1:9" x14ac:dyDescent="0.25">
      <c r="A1772" s="8" t="str">
        <f t="shared" si="81"/>
        <v>2008621.000</v>
      </c>
      <c r="B1772" s="9" t="str">
        <f t="shared" si="82"/>
        <v>4</v>
      </c>
      <c r="C1772" s="10">
        <f t="shared" si="83"/>
        <v>44105</v>
      </c>
      <c r="D1772">
        <v>2008621</v>
      </c>
      <c r="E1772">
        <v>0</v>
      </c>
      <c r="F1772" s="6">
        <v>44106</v>
      </c>
      <c r="G1772">
        <v>41</v>
      </c>
      <c r="H1772" t="s">
        <v>189</v>
      </c>
      <c r="I1772" t="s">
        <v>120</v>
      </c>
    </row>
    <row r="1773" spans="1:9" x14ac:dyDescent="0.25">
      <c r="A1773" s="8" t="str">
        <f t="shared" si="81"/>
        <v>2008622.000</v>
      </c>
      <c r="B1773" s="9" t="str">
        <f t="shared" si="82"/>
        <v/>
      </c>
      <c r="C1773" s="10">
        <f t="shared" si="83"/>
        <v>44081</v>
      </c>
      <c r="D1773">
        <v>2008622</v>
      </c>
      <c r="E1773">
        <v>0</v>
      </c>
      <c r="F1773" s="6">
        <v>44085</v>
      </c>
      <c r="H1773" t="s">
        <v>180</v>
      </c>
      <c r="I1773" t="s">
        <v>120</v>
      </c>
    </row>
    <row r="1774" spans="1:9" x14ac:dyDescent="0.25">
      <c r="A1774" s="8" t="str">
        <f t="shared" si="81"/>
        <v>2008623.H00</v>
      </c>
      <c r="B1774" s="9" t="str">
        <f t="shared" si="82"/>
        <v/>
      </c>
      <c r="C1774" s="10">
        <f t="shared" si="83"/>
        <v>44088</v>
      </c>
      <c r="D1774">
        <v>2008623</v>
      </c>
      <c r="E1774" t="s">
        <v>122</v>
      </c>
      <c r="F1774" s="6">
        <v>44092</v>
      </c>
      <c r="H1774" t="s">
        <v>189</v>
      </c>
      <c r="I1774" t="s">
        <v>120</v>
      </c>
    </row>
    <row r="1775" spans="1:9" x14ac:dyDescent="0.25">
      <c r="A1775" s="8" t="str">
        <f t="shared" si="81"/>
        <v>2008624.0P0</v>
      </c>
      <c r="B1775" s="9" t="str">
        <f t="shared" si="82"/>
        <v/>
      </c>
      <c r="C1775" s="10">
        <f t="shared" si="83"/>
        <v>44081</v>
      </c>
      <c r="D1775">
        <v>2008624</v>
      </c>
      <c r="E1775" t="s">
        <v>119</v>
      </c>
      <c r="F1775" s="6">
        <v>44085</v>
      </c>
      <c r="H1775" t="s">
        <v>180</v>
      </c>
      <c r="I1775" t="s">
        <v>120</v>
      </c>
    </row>
    <row r="1776" spans="1:9" x14ac:dyDescent="0.25">
      <c r="A1776" s="8" t="str">
        <f t="shared" si="81"/>
        <v>2008625.000</v>
      </c>
      <c r="B1776" s="9" t="str">
        <f t="shared" si="82"/>
        <v/>
      </c>
      <c r="C1776" s="10">
        <f t="shared" si="83"/>
        <v>44081</v>
      </c>
      <c r="D1776">
        <v>2008625</v>
      </c>
      <c r="E1776">
        <v>0</v>
      </c>
      <c r="F1776" s="6">
        <v>44085</v>
      </c>
      <c r="H1776" t="s">
        <v>180</v>
      </c>
      <c r="I1776" t="s">
        <v>120</v>
      </c>
    </row>
    <row r="1777" spans="1:9" x14ac:dyDescent="0.25">
      <c r="A1777" s="8" t="str">
        <f t="shared" si="81"/>
        <v>2008626.H02</v>
      </c>
      <c r="B1777" s="9" t="str">
        <f t="shared" si="82"/>
        <v/>
      </c>
      <c r="C1777" s="10">
        <f t="shared" si="83"/>
        <v>44102</v>
      </c>
      <c r="D1777">
        <v>2008626</v>
      </c>
      <c r="E1777" t="s">
        <v>156</v>
      </c>
      <c r="F1777" s="6">
        <v>44106</v>
      </c>
      <c r="H1777" t="s">
        <v>189</v>
      </c>
      <c r="I1777" t="s">
        <v>120</v>
      </c>
    </row>
    <row r="1778" spans="1:9" x14ac:dyDescent="0.25">
      <c r="A1778" s="8" t="str">
        <f t="shared" si="81"/>
        <v>2008626.Y02</v>
      </c>
      <c r="B1778" s="9" t="str">
        <f t="shared" si="82"/>
        <v/>
      </c>
      <c r="C1778" s="10">
        <f t="shared" si="83"/>
        <v>44102</v>
      </c>
      <c r="D1778">
        <v>2008626</v>
      </c>
      <c r="E1778" t="s">
        <v>144</v>
      </c>
      <c r="F1778" s="6">
        <v>44106</v>
      </c>
      <c r="H1778" t="s">
        <v>189</v>
      </c>
      <c r="I1778" t="s">
        <v>120</v>
      </c>
    </row>
    <row r="1779" spans="1:9" x14ac:dyDescent="0.25">
      <c r="A1779" s="8" t="str">
        <f t="shared" si="81"/>
        <v>2008626.Z02</v>
      </c>
      <c r="B1779" s="9" t="str">
        <f t="shared" si="82"/>
        <v/>
      </c>
      <c r="C1779" s="10">
        <f t="shared" si="83"/>
        <v>44102</v>
      </c>
      <c r="D1779">
        <v>2008626</v>
      </c>
      <c r="E1779" t="s">
        <v>260</v>
      </c>
      <c r="F1779" s="6">
        <v>44106</v>
      </c>
      <c r="H1779" t="s">
        <v>189</v>
      </c>
      <c r="I1779" t="s">
        <v>120</v>
      </c>
    </row>
    <row r="1780" spans="1:9" x14ac:dyDescent="0.25">
      <c r="A1780" s="8" t="str">
        <f t="shared" si="81"/>
        <v>2008627.000</v>
      </c>
      <c r="B1780" s="9" t="str">
        <f t="shared" si="82"/>
        <v/>
      </c>
      <c r="C1780" s="10">
        <f t="shared" si="83"/>
        <v>44081</v>
      </c>
      <c r="D1780">
        <v>2008627</v>
      </c>
      <c r="E1780">
        <v>0</v>
      </c>
      <c r="F1780" s="6">
        <v>44085</v>
      </c>
      <c r="H1780" t="s">
        <v>180</v>
      </c>
      <c r="I1780" t="s">
        <v>120</v>
      </c>
    </row>
    <row r="1781" spans="1:9" x14ac:dyDescent="0.25">
      <c r="A1781" s="8" t="str">
        <f t="shared" si="81"/>
        <v>2008628.H00</v>
      </c>
      <c r="B1781" s="9" t="str">
        <f t="shared" si="82"/>
        <v/>
      </c>
      <c r="C1781" s="10">
        <f t="shared" si="83"/>
        <v>44109</v>
      </c>
      <c r="D1781">
        <v>2008628</v>
      </c>
      <c r="E1781" t="s">
        <v>122</v>
      </c>
      <c r="F1781" s="6">
        <v>44113</v>
      </c>
      <c r="H1781" t="s">
        <v>189</v>
      </c>
      <c r="I1781" t="s">
        <v>120</v>
      </c>
    </row>
    <row r="1782" spans="1:9" x14ac:dyDescent="0.25">
      <c r="A1782" s="8" t="str">
        <f t="shared" si="81"/>
        <v>2008628.T00</v>
      </c>
      <c r="B1782" s="9" t="str">
        <f t="shared" si="82"/>
        <v/>
      </c>
      <c r="C1782" s="10">
        <f t="shared" si="83"/>
        <v>44109</v>
      </c>
      <c r="D1782">
        <v>2008628</v>
      </c>
      <c r="E1782" t="s">
        <v>159</v>
      </c>
      <c r="F1782" s="6">
        <v>44113</v>
      </c>
      <c r="H1782" t="s">
        <v>189</v>
      </c>
      <c r="I1782" t="s">
        <v>120</v>
      </c>
    </row>
    <row r="1783" spans="1:9" x14ac:dyDescent="0.25">
      <c r="A1783" s="8" t="str">
        <f t="shared" si="81"/>
        <v>2008628.TP2</v>
      </c>
      <c r="B1783" s="9" t="str">
        <f t="shared" si="82"/>
        <v/>
      </c>
      <c r="C1783" s="10">
        <f t="shared" si="83"/>
        <v>44109</v>
      </c>
      <c r="D1783">
        <v>2008628</v>
      </c>
      <c r="E1783" t="s">
        <v>265</v>
      </c>
      <c r="F1783" s="6">
        <v>44113</v>
      </c>
      <c r="H1783" t="s">
        <v>188</v>
      </c>
      <c r="I1783" t="s">
        <v>120</v>
      </c>
    </row>
    <row r="1784" spans="1:9" x14ac:dyDescent="0.25">
      <c r="A1784" s="8" t="str">
        <f t="shared" si="81"/>
        <v>2008629.000</v>
      </c>
      <c r="B1784" s="9" t="str">
        <f t="shared" si="82"/>
        <v/>
      </c>
      <c r="C1784" s="10">
        <f t="shared" si="83"/>
        <v>44081</v>
      </c>
      <c r="D1784">
        <v>2008629</v>
      </c>
      <c r="E1784">
        <v>0</v>
      </c>
      <c r="F1784" s="6">
        <v>44085</v>
      </c>
      <c r="H1784" t="s">
        <v>180</v>
      </c>
      <c r="I1784" t="s">
        <v>120</v>
      </c>
    </row>
    <row r="1785" spans="1:9" x14ac:dyDescent="0.25">
      <c r="A1785" s="8" t="str">
        <f t="shared" si="81"/>
        <v>2008630.Y00</v>
      </c>
      <c r="B1785" s="9" t="str">
        <f t="shared" si="82"/>
        <v/>
      </c>
      <c r="C1785" s="10">
        <f t="shared" si="83"/>
        <v>44102</v>
      </c>
      <c r="D1785">
        <v>2008630</v>
      </c>
      <c r="E1785" t="s">
        <v>130</v>
      </c>
      <c r="F1785" s="6">
        <v>44106</v>
      </c>
      <c r="H1785" t="s">
        <v>189</v>
      </c>
      <c r="I1785" t="s">
        <v>120</v>
      </c>
    </row>
    <row r="1786" spans="1:9" x14ac:dyDescent="0.25">
      <c r="A1786" s="8" t="str">
        <f t="shared" si="81"/>
        <v>2008631.H00</v>
      </c>
      <c r="B1786" s="9" t="str">
        <f t="shared" si="82"/>
        <v/>
      </c>
      <c r="C1786" s="10">
        <f t="shared" si="83"/>
        <v>44095</v>
      </c>
      <c r="D1786">
        <v>2008631</v>
      </c>
      <c r="E1786" t="s">
        <v>122</v>
      </c>
      <c r="F1786" s="6">
        <v>44099</v>
      </c>
      <c r="H1786" t="s">
        <v>192</v>
      </c>
      <c r="I1786" t="s">
        <v>120</v>
      </c>
    </row>
    <row r="1787" spans="1:9" x14ac:dyDescent="0.25">
      <c r="A1787" s="8" t="str">
        <f t="shared" si="81"/>
        <v>2008631.ZO0</v>
      </c>
      <c r="B1787" s="9" t="str">
        <f t="shared" si="82"/>
        <v/>
      </c>
      <c r="C1787" s="10">
        <f t="shared" si="83"/>
        <v>44095</v>
      </c>
      <c r="D1787">
        <v>2008631</v>
      </c>
      <c r="E1787" t="s">
        <v>298</v>
      </c>
      <c r="F1787" s="6">
        <v>44099</v>
      </c>
      <c r="H1787" t="s">
        <v>192</v>
      </c>
      <c r="I1787" t="s">
        <v>120</v>
      </c>
    </row>
    <row r="1788" spans="1:9" x14ac:dyDescent="0.25">
      <c r="A1788" s="8" t="str">
        <f t="shared" si="81"/>
        <v>2008632.000</v>
      </c>
      <c r="B1788" s="9" t="str">
        <f t="shared" si="82"/>
        <v>4</v>
      </c>
      <c r="C1788" s="10">
        <f t="shared" si="83"/>
        <v>44098</v>
      </c>
      <c r="D1788">
        <v>2008632</v>
      </c>
      <c r="E1788">
        <v>0</v>
      </c>
      <c r="F1788" s="6">
        <v>44099</v>
      </c>
      <c r="G1788">
        <v>41</v>
      </c>
      <c r="H1788" t="s">
        <v>189</v>
      </c>
      <c r="I1788" t="s">
        <v>120</v>
      </c>
    </row>
    <row r="1789" spans="1:9" x14ac:dyDescent="0.25">
      <c r="A1789" s="8" t="str">
        <f t="shared" si="81"/>
        <v>2008633.0P0</v>
      </c>
      <c r="B1789" s="9" t="str">
        <f t="shared" si="82"/>
        <v/>
      </c>
      <c r="C1789" s="10">
        <f t="shared" si="83"/>
        <v>44081</v>
      </c>
      <c r="D1789">
        <v>2008633</v>
      </c>
      <c r="E1789" t="s">
        <v>119</v>
      </c>
      <c r="F1789" s="6">
        <v>44085</v>
      </c>
      <c r="H1789" t="s">
        <v>266</v>
      </c>
      <c r="I1789" t="s">
        <v>120</v>
      </c>
    </row>
    <row r="1790" spans="1:9" x14ac:dyDescent="0.25">
      <c r="A1790" s="8" t="str">
        <f t="shared" si="81"/>
        <v>2008634.H00</v>
      </c>
      <c r="B1790" s="9" t="str">
        <f t="shared" si="82"/>
        <v/>
      </c>
      <c r="C1790" s="10">
        <f t="shared" si="83"/>
        <v>44095</v>
      </c>
      <c r="D1790">
        <v>2008634</v>
      </c>
      <c r="E1790" t="s">
        <v>122</v>
      </c>
      <c r="F1790" s="6">
        <v>44099</v>
      </c>
      <c r="H1790" t="s">
        <v>189</v>
      </c>
      <c r="I1790" t="s">
        <v>120</v>
      </c>
    </row>
    <row r="1791" spans="1:9" x14ac:dyDescent="0.25">
      <c r="A1791" s="8" t="str">
        <f t="shared" si="81"/>
        <v>2008634.HP0</v>
      </c>
      <c r="B1791" s="9" t="str">
        <f t="shared" si="82"/>
        <v/>
      </c>
      <c r="C1791" s="10">
        <f t="shared" si="83"/>
        <v>44095</v>
      </c>
      <c r="D1791">
        <v>2008634</v>
      </c>
      <c r="E1791" t="s">
        <v>121</v>
      </c>
      <c r="F1791" s="6">
        <v>44099</v>
      </c>
      <c r="H1791" t="s">
        <v>189</v>
      </c>
      <c r="I1791" t="s">
        <v>120</v>
      </c>
    </row>
    <row r="1792" spans="1:9" x14ac:dyDescent="0.25">
      <c r="A1792" s="8" t="str">
        <f t="shared" si="81"/>
        <v>2008635.000</v>
      </c>
      <c r="B1792" s="9" t="str">
        <f t="shared" si="82"/>
        <v/>
      </c>
      <c r="C1792" s="10">
        <f t="shared" si="83"/>
        <v>44102</v>
      </c>
      <c r="D1792">
        <v>2008635</v>
      </c>
      <c r="E1792">
        <v>0</v>
      </c>
      <c r="F1792" s="6">
        <v>44106</v>
      </c>
      <c r="H1792" t="s">
        <v>189</v>
      </c>
      <c r="I1792" t="s">
        <v>120</v>
      </c>
    </row>
    <row r="1793" spans="1:9" x14ac:dyDescent="0.25">
      <c r="A1793" s="8" t="str">
        <f t="shared" si="81"/>
        <v>2008635.U02</v>
      </c>
      <c r="B1793" s="9" t="str">
        <f t="shared" si="82"/>
        <v/>
      </c>
      <c r="C1793" s="10">
        <f t="shared" si="83"/>
        <v>44102</v>
      </c>
      <c r="D1793">
        <v>2008635</v>
      </c>
      <c r="E1793" t="s">
        <v>149</v>
      </c>
      <c r="F1793" s="6">
        <v>44106</v>
      </c>
      <c r="H1793" t="s">
        <v>189</v>
      </c>
      <c r="I1793" t="s">
        <v>120</v>
      </c>
    </row>
    <row r="1794" spans="1:9" x14ac:dyDescent="0.25">
      <c r="A1794" s="8" t="str">
        <f t="shared" ref="A1794:A1857" si="84">IF(D1794="","",IF(E1794=0,CONCATENATE(D1794,".",E1794,"00"),CONCATENATE(D1794,".",E1794)))</f>
        <v>2008636.X00</v>
      </c>
      <c r="B1794" s="9" t="str">
        <f t="shared" ref="B1794:B1857" si="85">LEFT(G1794,1)</f>
        <v/>
      </c>
      <c r="C1794" s="10">
        <f t="shared" ref="C1794:C1857" si="86">IF(F1794="","",IF(B1794="",F1794-4,IF(B1794="1",F1794-4,IF(B1794="2",F1794-3,IF(B1794="3",F1794-2,IF(B1794="4",F1794-1,IF(B1794="V",F1794-7,IF(B1794="J",F1794-8,F1794))))))))</f>
        <v>44081</v>
      </c>
      <c r="D1794">
        <v>2008636</v>
      </c>
      <c r="E1794" t="s">
        <v>225</v>
      </c>
      <c r="F1794" s="6">
        <v>44085</v>
      </c>
      <c r="H1794" t="s">
        <v>189</v>
      </c>
      <c r="I1794" t="s">
        <v>120</v>
      </c>
    </row>
    <row r="1795" spans="1:9" x14ac:dyDescent="0.25">
      <c r="A1795" s="8" t="str">
        <f t="shared" si="84"/>
        <v>2008637.H00</v>
      </c>
      <c r="B1795" s="9" t="str">
        <f t="shared" si="85"/>
        <v/>
      </c>
      <c r="C1795" s="10">
        <f t="shared" si="86"/>
        <v>44102</v>
      </c>
      <c r="D1795">
        <v>2008637</v>
      </c>
      <c r="E1795" t="s">
        <v>122</v>
      </c>
      <c r="F1795" s="6">
        <v>44106</v>
      </c>
      <c r="H1795" t="s">
        <v>189</v>
      </c>
      <c r="I1795" t="s">
        <v>120</v>
      </c>
    </row>
    <row r="1796" spans="1:9" x14ac:dyDescent="0.25">
      <c r="A1796" s="8" t="str">
        <f t="shared" si="84"/>
        <v>2008637.U02</v>
      </c>
      <c r="B1796" s="9" t="str">
        <f t="shared" si="85"/>
        <v/>
      </c>
      <c r="C1796" s="10">
        <f t="shared" si="86"/>
        <v>44102</v>
      </c>
      <c r="D1796">
        <v>2008637</v>
      </c>
      <c r="E1796" t="s">
        <v>149</v>
      </c>
      <c r="F1796" s="6">
        <v>44106</v>
      </c>
      <c r="H1796" t="s">
        <v>189</v>
      </c>
      <c r="I1796" t="s">
        <v>120</v>
      </c>
    </row>
    <row r="1797" spans="1:9" x14ac:dyDescent="0.25">
      <c r="A1797" s="8" t="str">
        <f t="shared" si="84"/>
        <v>2008638.U00</v>
      </c>
      <c r="B1797" s="9" t="str">
        <f t="shared" si="85"/>
        <v/>
      </c>
      <c r="C1797" s="10">
        <f t="shared" si="86"/>
        <v>44102</v>
      </c>
      <c r="D1797">
        <v>2008638</v>
      </c>
      <c r="E1797" t="s">
        <v>131</v>
      </c>
      <c r="F1797" s="6">
        <v>44106</v>
      </c>
      <c r="H1797" t="s">
        <v>191</v>
      </c>
      <c r="I1797" t="s">
        <v>120</v>
      </c>
    </row>
    <row r="1798" spans="1:9" x14ac:dyDescent="0.25">
      <c r="A1798" s="8" t="str">
        <f t="shared" si="84"/>
        <v>2008639.0P0</v>
      </c>
      <c r="B1798" s="9" t="str">
        <f t="shared" si="85"/>
        <v>1</v>
      </c>
      <c r="C1798" s="10">
        <f t="shared" si="86"/>
        <v>44081</v>
      </c>
      <c r="D1798">
        <v>2008639</v>
      </c>
      <c r="E1798" t="s">
        <v>119</v>
      </c>
      <c r="F1798" s="6">
        <v>44085</v>
      </c>
      <c r="G1798">
        <v>1</v>
      </c>
      <c r="H1798" t="s">
        <v>180</v>
      </c>
      <c r="I1798" t="s">
        <v>120</v>
      </c>
    </row>
    <row r="1799" spans="1:9" x14ac:dyDescent="0.25">
      <c r="A1799" s="8" t="str">
        <f t="shared" si="84"/>
        <v>2008640.X00</v>
      </c>
      <c r="B1799" s="9" t="str">
        <f t="shared" si="85"/>
        <v/>
      </c>
      <c r="C1799" s="10">
        <f t="shared" si="86"/>
        <v>44081</v>
      </c>
      <c r="D1799">
        <v>2008640</v>
      </c>
      <c r="E1799" t="s">
        <v>225</v>
      </c>
      <c r="F1799" s="6">
        <v>44085</v>
      </c>
      <c r="H1799" t="s">
        <v>189</v>
      </c>
      <c r="I1799" t="s">
        <v>120</v>
      </c>
    </row>
    <row r="1800" spans="1:9" x14ac:dyDescent="0.25">
      <c r="A1800" s="8" t="str">
        <f t="shared" si="84"/>
        <v>2008641.U02</v>
      </c>
      <c r="B1800" s="9" t="str">
        <f t="shared" si="85"/>
        <v>1</v>
      </c>
      <c r="C1800" s="10">
        <f t="shared" si="86"/>
        <v>44102</v>
      </c>
      <c r="D1800">
        <v>2008641</v>
      </c>
      <c r="E1800" t="s">
        <v>149</v>
      </c>
      <c r="F1800" s="6">
        <v>44106</v>
      </c>
      <c r="G1800">
        <v>1</v>
      </c>
      <c r="H1800" t="s">
        <v>191</v>
      </c>
      <c r="I1800" t="s">
        <v>120</v>
      </c>
    </row>
    <row r="1801" spans="1:9" x14ac:dyDescent="0.25">
      <c r="A1801" s="8" t="str">
        <f t="shared" si="84"/>
        <v>2008641.UP2</v>
      </c>
      <c r="B1801" s="9" t="str">
        <f t="shared" si="85"/>
        <v>1</v>
      </c>
      <c r="C1801" s="10">
        <f t="shared" si="86"/>
        <v>44102</v>
      </c>
      <c r="D1801">
        <v>2008641</v>
      </c>
      <c r="E1801" t="s">
        <v>160</v>
      </c>
      <c r="F1801" s="6">
        <v>44106</v>
      </c>
      <c r="G1801">
        <v>1</v>
      </c>
      <c r="H1801" t="s">
        <v>191</v>
      </c>
      <c r="I1801" t="s">
        <v>120</v>
      </c>
    </row>
    <row r="1802" spans="1:9" x14ac:dyDescent="0.25">
      <c r="A1802" s="8" t="str">
        <f t="shared" si="84"/>
        <v>2008642.X00</v>
      </c>
      <c r="B1802" s="9" t="str">
        <f t="shared" si="85"/>
        <v/>
      </c>
      <c r="C1802" s="10">
        <f t="shared" si="86"/>
        <v>44081</v>
      </c>
      <c r="D1802">
        <v>2008642</v>
      </c>
      <c r="E1802" t="s">
        <v>225</v>
      </c>
      <c r="F1802" s="6">
        <v>44085</v>
      </c>
      <c r="H1802" t="s">
        <v>189</v>
      </c>
      <c r="I1802" t="s">
        <v>120</v>
      </c>
    </row>
    <row r="1803" spans="1:9" x14ac:dyDescent="0.25">
      <c r="A1803" s="8" t="str">
        <f t="shared" si="84"/>
        <v>2008643.000</v>
      </c>
      <c r="B1803" s="9" t="str">
        <f t="shared" si="85"/>
        <v>2</v>
      </c>
      <c r="C1803" s="10">
        <f t="shared" si="86"/>
        <v>44096</v>
      </c>
      <c r="D1803">
        <v>2008643</v>
      </c>
      <c r="E1803">
        <v>0</v>
      </c>
      <c r="F1803" s="6">
        <v>44099</v>
      </c>
      <c r="G1803">
        <v>2</v>
      </c>
      <c r="H1803" t="s">
        <v>189</v>
      </c>
      <c r="I1803" t="s">
        <v>120</v>
      </c>
    </row>
    <row r="1804" spans="1:9" x14ac:dyDescent="0.25">
      <c r="A1804" s="8" t="str">
        <f t="shared" si="84"/>
        <v>2008643.H00</v>
      </c>
      <c r="B1804" s="9" t="str">
        <f t="shared" si="85"/>
        <v>2</v>
      </c>
      <c r="C1804" s="10">
        <f t="shared" si="86"/>
        <v>44096</v>
      </c>
      <c r="D1804">
        <v>2008643</v>
      </c>
      <c r="E1804" t="s">
        <v>122</v>
      </c>
      <c r="F1804" s="6">
        <v>44099</v>
      </c>
      <c r="G1804">
        <v>2</v>
      </c>
      <c r="H1804" t="s">
        <v>189</v>
      </c>
      <c r="I1804" t="s">
        <v>120</v>
      </c>
    </row>
    <row r="1805" spans="1:9" x14ac:dyDescent="0.25">
      <c r="A1805" s="8" t="str">
        <f t="shared" si="84"/>
        <v>2008645.UP2</v>
      </c>
      <c r="B1805" s="9" t="str">
        <f t="shared" si="85"/>
        <v/>
      </c>
      <c r="C1805" s="10">
        <f t="shared" si="86"/>
        <v>44081</v>
      </c>
      <c r="D1805">
        <v>2008645</v>
      </c>
      <c r="E1805" t="s">
        <v>160</v>
      </c>
      <c r="F1805" s="6">
        <v>44085</v>
      </c>
      <c r="H1805" t="s">
        <v>189</v>
      </c>
      <c r="I1805" t="s">
        <v>120</v>
      </c>
    </row>
    <row r="1806" spans="1:9" x14ac:dyDescent="0.25">
      <c r="A1806" s="8" t="str">
        <f t="shared" si="84"/>
        <v>2008646.000</v>
      </c>
      <c r="B1806" s="9" t="str">
        <f t="shared" si="85"/>
        <v/>
      </c>
      <c r="C1806" s="10">
        <f t="shared" si="86"/>
        <v>44081</v>
      </c>
      <c r="D1806">
        <v>2008646</v>
      </c>
      <c r="E1806">
        <v>0</v>
      </c>
      <c r="F1806" s="6">
        <v>44085</v>
      </c>
      <c r="H1806" t="s">
        <v>180</v>
      </c>
      <c r="I1806" t="s">
        <v>120</v>
      </c>
    </row>
    <row r="1807" spans="1:9" x14ac:dyDescent="0.25">
      <c r="A1807" s="8" t="str">
        <f t="shared" si="84"/>
        <v>2008647.H01</v>
      </c>
      <c r="B1807" s="9" t="str">
        <f t="shared" si="85"/>
        <v>1</v>
      </c>
      <c r="C1807" s="10">
        <f t="shared" si="86"/>
        <v>44102</v>
      </c>
      <c r="D1807">
        <v>2008647</v>
      </c>
      <c r="E1807" t="s">
        <v>145</v>
      </c>
      <c r="F1807" s="6">
        <v>44106</v>
      </c>
      <c r="G1807">
        <v>1</v>
      </c>
      <c r="H1807" t="s">
        <v>189</v>
      </c>
      <c r="I1807" t="s">
        <v>120</v>
      </c>
    </row>
    <row r="1808" spans="1:9" x14ac:dyDescent="0.25">
      <c r="A1808" s="8" t="str">
        <f t="shared" si="84"/>
        <v>2008649.U00</v>
      </c>
      <c r="B1808" s="9" t="str">
        <f t="shared" si="85"/>
        <v/>
      </c>
      <c r="C1808" s="10">
        <f t="shared" si="86"/>
        <v>44102</v>
      </c>
      <c r="D1808">
        <v>2008649</v>
      </c>
      <c r="E1808" t="s">
        <v>131</v>
      </c>
      <c r="F1808" s="6">
        <v>44106</v>
      </c>
      <c r="H1808" t="s">
        <v>189</v>
      </c>
      <c r="I1808" t="s">
        <v>120</v>
      </c>
    </row>
    <row r="1809" spans="1:9" x14ac:dyDescent="0.25">
      <c r="A1809" s="8" t="str">
        <f t="shared" si="84"/>
        <v>2008650.000</v>
      </c>
      <c r="B1809" s="9" t="str">
        <f t="shared" si="85"/>
        <v/>
      </c>
      <c r="C1809" s="10">
        <f t="shared" si="86"/>
        <v>44081</v>
      </c>
      <c r="D1809">
        <v>2008650</v>
      </c>
      <c r="E1809">
        <v>0</v>
      </c>
      <c r="F1809" s="6">
        <v>44085</v>
      </c>
      <c r="H1809" t="s">
        <v>180</v>
      </c>
      <c r="I1809" t="s">
        <v>120</v>
      </c>
    </row>
    <row r="1810" spans="1:9" x14ac:dyDescent="0.25">
      <c r="A1810" s="8" t="str">
        <f t="shared" si="84"/>
        <v>2008651.000</v>
      </c>
      <c r="B1810" s="9" t="str">
        <f t="shared" si="85"/>
        <v/>
      </c>
      <c r="C1810" s="10">
        <f t="shared" si="86"/>
        <v>44081</v>
      </c>
      <c r="D1810">
        <v>2008651</v>
      </c>
      <c r="E1810">
        <v>0</v>
      </c>
      <c r="F1810" s="6">
        <v>44085</v>
      </c>
      <c r="H1810" t="s">
        <v>189</v>
      </c>
      <c r="I1810" t="s">
        <v>120</v>
      </c>
    </row>
    <row r="1811" spans="1:9" x14ac:dyDescent="0.25">
      <c r="A1811" s="8" t="str">
        <f t="shared" si="84"/>
        <v>2008652.UP0</v>
      </c>
      <c r="B1811" s="9" t="str">
        <f t="shared" si="85"/>
        <v/>
      </c>
      <c r="C1811" s="10">
        <f t="shared" si="86"/>
        <v>44109</v>
      </c>
      <c r="D1811">
        <v>2008652</v>
      </c>
      <c r="E1811" t="s">
        <v>136</v>
      </c>
      <c r="F1811" s="6">
        <v>44113</v>
      </c>
      <c r="H1811" t="s">
        <v>192</v>
      </c>
      <c r="I1811" t="s">
        <v>120</v>
      </c>
    </row>
    <row r="1812" spans="1:9" x14ac:dyDescent="0.25">
      <c r="A1812" s="8" t="str">
        <f t="shared" si="84"/>
        <v>2008653.C00</v>
      </c>
      <c r="B1812" s="9" t="str">
        <f t="shared" si="85"/>
        <v/>
      </c>
      <c r="C1812" s="10">
        <f t="shared" si="86"/>
        <v>44088</v>
      </c>
      <c r="D1812">
        <v>2008653</v>
      </c>
      <c r="E1812" t="s">
        <v>147</v>
      </c>
      <c r="F1812" s="6">
        <v>44092</v>
      </c>
      <c r="H1812" t="s">
        <v>191</v>
      </c>
      <c r="I1812" t="s">
        <v>120</v>
      </c>
    </row>
    <row r="1813" spans="1:9" x14ac:dyDescent="0.25">
      <c r="A1813" s="8" t="str">
        <f t="shared" si="84"/>
        <v>2008654.NV0</v>
      </c>
      <c r="B1813" s="9" t="str">
        <f t="shared" si="85"/>
        <v>3</v>
      </c>
      <c r="C1813" s="10">
        <f t="shared" si="86"/>
        <v>44076</v>
      </c>
      <c r="D1813">
        <v>2008654</v>
      </c>
      <c r="E1813" t="s">
        <v>126</v>
      </c>
      <c r="F1813" s="6">
        <v>44078</v>
      </c>
      <c r="G1813">
        <v>3</v>
      </c>
      <c r="H1813" t="s">
        <v>180</v>
      </c>
      <c r="I1813" t="s">
        <v>120</v>
      </c>
    </row>
    <row r="1814" spans="1:9" x14ac:dyDescent="0.25">
      <c r="A1814" s="8" t="str">
        <f t="shared" si="84"/>
        <v>2008655.Y00</v>
      </c>
      <c r="B1814" s="9" t="str">
        <f t="shared" si="85"/>
        <v/>
      </c>
      <c r="C1814" s="10">
        <f t="shared" si="86"/>
        <v>44102</v>
      </c>
      <c r="D1814">
        <v>2008655</v>
      </c>
      <c r="E1814" t="s">
        <v>130</v>
      </c>
      <c r="F1814" s="6">
        <v>44106</v>
      </c>
      <c r="H1814" t="s">
        <v>189</v>
      </c>
      <c r="I1814" t="s">
        <v>120</v>
      </c>
    </row>
    <row r="1815" spans="1:9" x14ac:dyDescent="0.25">
      <c r="A1815" s="8" t="str">
        <f t="shared" si="84"/>
        <v>2008657.000</v>
      </c>
      <c r="B1815" s="9" t="str">
        <f t="shared" si="85"/>
        <v>3</v>
      </c>
      <c r="C1815" s="10">
        <f t="shared" si="86"/>
        <v>44083</v>
      </c>
      <c r="D1815">
        <v>2008657</v>
      </c>
      <c r="E1815">
        <v>0</v>
      </c>
      <c r="F1815" s="6">
        <v>44085</v>
      </c>
      <c r="G1815">
        <v>3</v>
      </c>
      <c r="H1815" t="s">
        <v>192</v>
      </c>
      <c r="I1815" t="s">
        <v>120</v>
      </c>
    </row>
    <row r="1816" spans="1:9" x14ac:dyDescent="0.25">
      <c r="A1816" s="8" t="str">
        <f t="shared" si="84"/>
        <v>2008657.0P0</v>
      </c>
      <c r="B1816" s="9" t="str">
        <f t="shared" si="85"/>
        <v>3</v>
      </c>
      <c r="C1816" s="10">
        <f t="shared" si="86"/>
        <v>44083</v>
      </c>
      <c r="D1816">
        <v>2008657</v>
      </c>
      <c r="E1816" t="s">
        <v>119</v>
      </c>
      <c r="F1816" s="6">
        <v>44085</v>
      </c>
      <c r="G1816">
        <v>3</v>
      </c>
      <c r="H1816" t="s">
        <v>192</v>
      </c>
      <c r="I1816" t="s">
        <v>120</v>
      </c>
    </row>
    <row r="1817" spans="1:9" x14ac:dyDescent="0.25">
      <c r="A1817" s="8" t="str">
        <f t="shared" si="84"/>
        <v>2008660.X00</v>
      </c>
      <c r="B1817" s="9" t="str">
        <f t="shared" si="85"/>
        <v/>
      </c>
      <c r="C1817" s="10">
        <f t="shared" si="86"/>
        <v>44081</v>
      </c>
      <c r="D1817">
        <v>2008660</v>
      </c>
      <c r="E1817" t="s">
        <v>225</v>
      </c>
      <c r="F1817" s="6">
        <v>44085</v>
      </c>
      <c r="H1817" t="s">
        <v>266</v>
      </c>
      <c r="I1817" t="s">
        <v>120</v>
      </c>
    </row>
    <row r="1818" spans="1:9" x14ac:dyDescent="0.25">
      <c r="A1818" s="8" t="str">
        <f t="shared" si="84"/>
        <v>2008661.0P0</v>
      </c>
      <c r="B1818" s="9" t="str">
        <f t="shared" si="85"/>
        <v/>
      </c>
      <c r="C1818" s="10">
        <f t="shared" si="86"/>
        <v>44081</v>
      </c>
      <c r="D1818">
        <v>2008661</v>
      </c>
      <c r="E1818" t="s">
        <v>119</v>
      </c>
      <c r="F1818" s="6">
        <v>44085</v>
      </c>
      <c r="H1818" t="s">
        <v>191</v>
      </c>
      <c r="I1818" t="s">
        <v>120</v>
      </c>
    </row>
    <row r="1819" spans="1:9" x14ac:dyDescent="0.25">
      <c r="A1819" s="8" t="str">
        <f t="shared" si="84"/>
        <v>2008662.C00</v>
      </c>
      <c r="B1819" s="9" t="str">
        <f t="shared" si="85"/>
        <v/>
      </c>
      <c r="C1819" s="10">
        <f t="shared" si="86"/>
        <v>44109</v>
      </c>
      <c r="D1819">
        <v>2008662</v>
      </c>
      <c r="E1819" t="s">
        <v>147</v>
      </c>
      <c r="F1819" s="6">
        <v>44113</v>
      </c>
      <c r="H1819" t="s">
        <v>191</v>
      </c>
      <c r="I1819" t="s">
        <v>120</v>
      </c>
    </row>
    <row r="1820" spans="1:9" x14ac:dyDescent="0.25">
      <c r="A1820" s="8" t="str">
        <f t="shared" si="84"/>
        <v>2008663.000</v>
      </c>
      <c r="B1820" s="9" t="str">
        <f t="shared" si="85"/>
        <v>1</v>
      </c>
      <c r="C1820" s="10">
        <f t="shared" si="86"/>
        <v>44095</v>
      </c>
      <c r="D1820">
        <v>2008663</v>
      </c>
      <c r="E1820">
        <v>0</v>
      </c>
      <c r="F1820" s="6">
        <v>44099</v>
      </c>
      <c r="G1820">
        <v>1</v>
      </c>
      <c r="H1820" t="s">
        <v>189</v>
      </c>
      <c r="I1820" t="s">
        <v>120</v>
      </c>
    </row>
    <row r="1821" spans="1:9" x14ac:dyDescent="0.25">
      <c r="A1821" s="8" t="str">
        <f t="shared" si="84"/>
        <v>2008663.0P0</v>
      </c>
      <c r="B1821" s="9" t="str">
        <f t="shared" si="85"/>
        <v>1</v>
      </c>
      <c r="C1821" s="10">
        <f t="shared" si="86"/>
        <v>44095</v>
      </c>
      <c r="D1821">
        <v>2008663</v>
      </c>
      <c r="E1821" t="s">
        <v>119</v>
      </c>
      <c r="F1821" s="6">
        <v>44099</v>
      </c>
      <c r="G1821">
        <v>1</v>
      </c>
      <c r="H1821" t="s">
        <v>189</v>
      </c>
      <c r="I1821" t="s">
        <v>120</v>
      </c>
    </row>
    <row r="1822" spans="1:9" x14ac:dyDescent="0.25">
      <c r="A1822" s="8" t="str">
        <f t="shared" si="84"/>
        <v>2008664.0P0</v>
      </c>
      <c r="B1822" s="9" t="str">
        <f t="shared" si="85"/>
        <v>1</v>
      </c>
      <c r="C1822" s="10">
        <f t="shared" si="86"/>
        <v>44088</v>
      </c>
      <c r="D1822">
        <v>2008664</v>
      </c>
      <c r="E1822" t="s">
        <v>119</v>
      </c>
      <c r="F1822" s="6">
        <v>44092</v>
      </c>
      <c r="G1822">
        <v>1</v>
      </c>
      <c r="H1822" t="s">
        <v>189</v>
      </c>
      <c r="I1822" t="s">
        <v>120</v>
      </c>
    </row>
    <row r="1823" spans="1:9" x14ac:dyDescent="0.25">
      <c r="A1823" s="8" t="str">
        <f t="shared" si="84"/>
        <v>2008665.X00</v>
      </c>
      <c r="B1823" s="9" t="str">
        <f t="shared" si="85"/>
        <v>1</v>
      </c>
      <c r="C1823" s="10">
        <f t="shared" si="86"/>
        <v>44088</v>
      </c>
      <c r="D1823">
        <v>2008665</v>
      </c>
      <c r="E1823" t="s">
        <v>225</v>
      </c>
      <c r="F1823" s="6">
        <v>44092</v>
      </c>
      <c r="G1823">
        <v>1</v>
      </c>
      <c r="H1823" t="s">
        <v>189</v>
      </c>
      <c r="I1823" t="s">
        <v>120</v>
      </c>
    </row>
    <row r="1824" spans="1:9" x14ac:dyDescent="0.25">
      <c r="A1824" s="8" t="str">
        <f t="shared" si="84"/>
        <v>2008666.000</v>
      </c>
      <c r="B1824" s="9" t="str">
        <f t="shared" si="85"/>
        <v>1</v>
      </c>
      <c r="C1824" s="10">
        <f t="shared" si="86"/>
        <v>44088</v>
      </c>
      <c r="D1824">
        <v>2008666</v>
      </c>
      <c r="E1824">
        <v>0</v>
      </c>
      <c r="F1824" s="6">
        <v>44092</v>
      </c>
      <c r="G1824">
        <v>1</v>
      </c>
      <c r="H1824" t="s">
        <v>189</v>
      </c>
      <c r="I1824" t="s">
        <v>120</v>
      </c>
    </row>
    <row r="1825" spans="1:9" x14ac:dyDescent="0.25">
      <c r="A1825" s="8" t="str">
        <f t="shared" si="84"/>
        <v>2008667.HP0</v>
      </c>
      <c r="B1825" s="9" t="str">
        <f t="shared" si="85"/>
        <v>1</v>
      </c>
      <c r="C1825" s="10">
        <f t="shared" si="86"/>
        <v>44095</v>
      </c>
      <c r="D1825">
        <v>2008667</v>
      </c>
      <c r="E1825" t="s">
        <v>121</v>
      </c>
      <c r="F1825" s="6">
        <v>44099</v>
      </c>
      <c r="G1825">
        <v>1</v>
      </c>
      <c r="H1825" t="s">
        <v>189</v>
      </c>
      <c r="I1825" t="s">
        <v>120</v>
      </c>
    </row>
    <row r="1826" spans="1:9" x14ac:dyDescent="0.25">
      <c r="A1826" s="8" t="str">
        <f t="shared" si="84"/>
        <v>2008668.0P0</v>
      </c>
      <c r="B1826" s="9" t="str">
        <f t="shared" si="85"/>
        <v>1</v>
      </c>
      <c r="C1826" s="10">
        <f t="shared" si="86"/>
        <v>44088</v>
      </c>
      <c r="D1826">
        <v>2008668</v>
      </c>
      <c r="E1826" t="s">
        <v>119</v>
      </c>
      <c r="F1826" s="6">
        <v>44092</v>
      </c>
      <c r="G1826">
        <v>1</v>
      </c>
      <c r="H1826" t="s">
        <v>189</v>
      </c>
      <c r="I1826" t="s">
        <v>120</v>
      </c>
    </row>
    <row r="1827" spans="1:9" x14ac:dyDescent="0.25">
      <c r="A1827" s="8" t="str">
        <f t="shared" si="84"/>
        <v>2008669.000</v>
      </c>
      <c r="B1827" s="9" t="str">
        <f t="shared" si="85"/>
        <v>1</v>
      </c>
      <c r="C1827" s="10">
        <f t="shared" si="86"/>
        <v>44088</v>
      </c>
      <c r="D1827">
        <v>2008669</v>
      </c>
      <c r="E1827">
        <v>0</v>
      </c>
      <c r="F1827" s="6">
        <v>44092</v>
      </c>
      <c r="G1827">
        <v>1</v>
      </c>
      <c r="H1827" t="s">
        <v>189</v>
      </c>
      <c r="I1827" t="s">
        <v>120</v>
      </c>
    </row>
    <row r="1828" spans="1:9" x14ac:dyDescent="0.25">
      <c r="A1828" s="8" t="str">
        <f t="shared" si="84"/>
        <v>2008670.HPL</v>
      </c>
      <c r="B1828" s="9" t="str">
        <f t="shared" si="85"/>
        <v>1</v>
      </c>
      <c r="C1828" s="10">
        <f t="shared" si="86"/>
        <v>44102</v>
      </c>
      <c r="D1828">
        <v>2008670</v>
      </c>
      <c r="E1828" t="s">
        <v>128</v>
      </c>
      <c r="F1828" s="6">
        <v>44106</v>
      </c>
      <c r="G1828">
        <v>1</v>
      </c>
      <c r="H1828" t="s">
        <v>189</v>
      </c>
      <c r="I1828" t="s">
        <v>120</v>
      </c>
    </row>
    <row r="1829" spans="1:9" x14ac:dyDescent="0.25">
      <c r="A1829" s="8" t="str">
        <f t="shared" si="84"/>
        <v>2008671.000</v>
      </c>
      <c r="B1829" s="9" t="str">
        <f t="shared" si="85"/>
        <v>1</v>
      </c>
      <c r="C1829" s="10">
        <f t="shared" si="86"/>
        <v>44102</v>
      </c>
      <c r="D1829">
        <v>2008671</v>
      </c>
      <c r="E1829">
        <v>0</v>
      </c>
      <c r="F1829" s="6">
        <v>44106</v>
      </c>
      <c r="G1829">
        <v>1</v>
      </c>
      <c r="H1829" t="s">
        <v>189</v>
      </c>
      <c r="I1829" t="s">
        <v>120</v>
      </c>
    </row>
    <row r="1830" spans="1:9" x14ac:dyDescent="0.25">
      <c r="A1830" s="8" t="str">
        <f t="shared" si="84"/>
        <v>2008671.0P0</v>
      </c>
      <c r="B1830" s="9" t="str">
        <f t="shared" si="85"/>
        <v>1</v>
      </c>
      <c r="C1830" s="10">
        <f t="shared" si="86"/>
        <v>44102</v>
      </c>
      <c r="D1830">
        <v>2008671</v>
      </c>
      <c r="E1830" t="s">
        <v>119</v>
      </c>
      <c r="F1830" s="6">
        <v>44106</v>
      </c>
      <c r="G1830">
        <v>1</v>
      </c>
      <c r="H1830" t="s">
        <v>189</v>
      </c>
      <c r="I1830" t="s">
        <v>120</v>
      </c>
    </row>
    <row r="1831" spans="1:9" x14ac:dyDescent="0.25">
      <c r="A1831" s="8" t="str">
        <f t="shared" si="84"/>
        <v>2008672.HP0</v>
      </c>
      <c r="B1831" s="9" t="str">
        <f t="shared" si="85"/>
        <v>1</v>
      </c>
      <c r="C1831" s="10">
        <f t="shared" si="86"/>
        <v>44095</v>
      </c>
      <c r="D1831">
        <v>2008672</v>
      </c>
      <c r="E1831" t="s">
        <v>121</v>
      </c>
      <c r="F1831" s="6">
        <v>44099</v>
      </c>
      <c r="G1831">
        <v>1</v>
      </c>
      <c r="H1831" t="s">
        <v>189</v>
      </c>
      <c r="I1831" t="s">
        <v>120</v>
      </c>
    </row>
    <row r="1832" spans="1:9" x14ac:dyDescent="0.25">
      <c r="A1832" s="8" t="str">
        <f t="shared" si="84"/>
        <v>2008673.XP0</v>
      </c>
      <c r="B1832" s="9" t="str">
        <f t="shared" si="85"/>
        <v>1</v>
      </c>
      <c r="C1832" s="10">
        <f t="shared" si="86"/>
        <v>44088</v>
      </c>
      <c r="D1832">
        <v>2008673</v>
      </c>
      <c r="E1832" t="s">
        <v>181</v>
      </c>
      <c r="F1832" s="6">
        <v>44092</v>
      </c>
      <c r="G1832">
        <v>1</v>
      </c>
      <c r="H1832" t="s">
        <v>266</v>
      </c>
      <c r="I1832" t="s">
        <v>120</v>
      </c>
    </row>
    <row r="1833" spans="1:9" x14ac:dyDescent="0.25">
      <c r="A1833" s="8" t="str">
        <f t="shared" si="84"/>
        <v>2008674.HP0</v>
      </c>
      <c r="B1833" s="9" t="str">
        <f t="shared" si="85"/>
        <v>1</v>
      </c>
      <c r="C1833" s="10">
        <f t="shared" si="86"/>
        <v>44102</v>
      </c>
      <c r="D1833">
        <v>2008674</v>
      </c>
      <c r="E1833" t="s">
        <v>121</v>
      </c>
      <c r="F1833" s="6">
        <v>44106</v>
      </c>
      <c r="G1833">
        <v>1</v>
      </c>
      <c r="H1833" t="s">
        <v>189</v>
      </c>
      <c r="I1833" t="s">
        <v>120</v>
      </c>
    </row>
    <row r="1834" spans="1:9" x14ac:dyDescent="0.25">
      <c r="A1834" s="8" t="str">
        <f t="shared" si="84"/>
        <v>2008675.000</v>
      </c>
      <c r="B1834" s="9" t="str">
        <f t="shared" si="85"/>
        <v>1</v>
      </c>
      <c r="C1834" s="10">
        <f t="shared" si="86"/>
        <v>44088</v>
      </c>
      <c r="D1834">
        <v>2008675</v>
      </c>
      <c r="E1834">
        <v>0</v>
      </c>
      <c r="F1834" s="6">
        <v>44092</v>
      </c>
      <c r="G1834">
        <v>1</v>
      </c>
      <c r="H1834" t="s">
        <v>192</v>
      </c>
      <c r="I1834" t="s">
        <v>120</v>
      </c>
    </row>
    <row r="1835" spans="1:9" x14ac:dyDescent="0.25">
      <c r="A1835" s="8" t="str">
        <f t="shared" si="84"/>
        <v>2008675.X00</v>
      </c>
      <c r="B1835" s="9" t="str">
        <f t="shared" si="85"/>
        <v>1</v>
      </c>
      <c r="C1835" s="10">
        <f t="shared" si="86"/>
        <v>44088</v>
      </c>
      <c r="D1835">
        <v>2008675</v>
      </c>
      <c r="E1835" t="s">
        <v>225</v>
      </c>
      <c r="F1835" s="6">
        <v>44092</v>
      </c>
      <c r="G1835">
        <v>1</v>
      </c>
      <c r="H1835" t="s">
        <v>192</v>
      </c>
      <c r="I1835" t="s">
        <v>120</v>
      </c>
    </row>
    <row r="1836" spans="1:9" x14ac:dyDescent="0.25">
      <c r="A1836" s="8" t="str">
        <f t="shared" si="84"/>
        <v>2008675.XP0</v>
      </c>
      <c r="B1836" s="9" t="str">
        <f t="shared" si="85"/>
        <v>1</v>
      </c>
      <c r="C1836" s="10">
        <f t="shared" si="86"/>
        <v>44088</v>
      </c>
      <c r="D1836">
        <v>2008675</v>
      </c>
      <c r="E1836" t="s">
        <v>181</v>
      </c>
      <c r="F1836" s="6">
        <v>44092</v>
      </c>
      <c r="G1836">
        <v>1</v>
      </c>
      <c r="H1836" t="s">
        <v>192</v>
      </c>
      <c r="I1836" t="s">
        <v>120</v>
      </c>
    </row>
    <row r="1837" spans="1:9" x14ac:dyDescent="0.25">
      <c r="A1837" s="8" t="str">
        <f t="shared" si="84"/>
        <v>2008676.000</v>
      </c>
      <c r="B1837" s="9" t="str">
        <f t="shared" si="85"/>
        <v>1</v>
      </c>
      <c r="C1837" s="10">
        <f t="shared" si="86"/>
        <v>44088</v>
      </c>
      <c r="D1837">
        <v>2008676</v>
      </c>
      <c r="E1837">
        <v>0</v>
      </c>
      <c r="F1837" s="6">
        <v>44092</v>
      </c>
      <c r="G1837">
        <v>1</v>
      </c>
      <c r="H1837" t="s">
        <v>189</v>
      </c>
      <c r="I1837" t="s">
        <v>120</v>
      </c>
    </row>
    <row r="1838" spans="1:9" x14ac:dyDescent="0.25">
      <c r="A1838" s="8" t="str">
        <f t="shared" si="84"/>
        <v>2008677.Y00</v>
      </c>
      <c r="B1838" s="9" t="str">
        <f t="shared" si="85"/>
        <v>1</v>
      </c>
      <c r="C1838" s="10">
        <f t="shared" si="86"/>
        <v>44088</v>
      </c>
      <c r="D1838">
        <v>2008677</v>
      </c>
      <c r="E1838" t="s">
        <v>130</v>
      </c>
      <c r="F1838" s="6">
        <v>44092</v>
      </c>
      <c r="G1838">
        <v>1</v>
      </c>
      <c r="H1838" t="s">
        <v>189</v>
      </c>
      <c r="I1838" t="s">
        <v>120</v>
      </c>
    </row>
    <row r="1839" spans="1:9" x14ac:dyDescent="0.25">
      <c r="A1839" s="8" t="str">
        <f t="shared" si="84"/>
        <v>2008678.000</v>
      </c>
      <c r="B1839" s="9" t="str">
        <f t="shared" si="85"/>
        <v>1</v>
      </c>
      <c r="C1839" s="10">
        <f t="shared" si="86"/>
        <v>44088</v>
      </c>
      <c r="D1839">
        <v>2008678</v>
      </c>
      <c r="E1839">
        <v>0</v>
      </c>
      <c r="F1839" s="6">
        <v>44092</v>
      </c>
      <c r="G1839">
        <v>1</v>
      </c>
      <c r="H1839" t="s">
        <v>189</v>
      </c>
      <c r="I1839" t="s">
        <v>120</v>
      </c>
    </row>
    <row r="1840" spans="1:9" x14ac:dyDescent="0.25">
      <c r="A1840" s="8" t="str">
        <f t="shared" si="84"/>
        <v>2008679.000</v>
      </c>
      <c r="B1840" s="9" t="str">
        <f t="shared" si="85"/>
        <v>1</v>
      </c>
      <c r="C1840" s="10">
        <f t="shared" si="86"/>
        <v>44102</v>
      </c>
      <c r="D1840">
        <v>2008679</v>
      </c>
      <c r="E1840">
        <v>0</v>
      </c>
      <c r="F1840" s="6">
        <v>44106</v>
      </c>
      <c r="G1840">
        <v>1</v>
      </c>
      <c r="H1840" t="s">
        <v>189</v>
      </c>
      <c r="I1840" t="s">
        <v>120</v>
      </c>
    </row>
    <row r="1841" spans="1:9" x14ac:dyDescent="0.25">
      <c r="A1841" s="8" t="str">
        <f t="shared" si="84"/>
        <v>2008679.0P0</v>
      </c>
      <c r="B1841" s="9" t="str">
        <f t="shared" si="85"/>
        <v>1</v>
      </c>
      <c r="C1841" s="10">
        <f t="shared" si="86"/>
        <v>44102</v>
      </c>
      <c r="D1841">
        <v>2008679</v>
      </c>
      <c r="E1841" t="s">
        <v>119</v>
      </c>
      <c r="F1841" s="6">
        <v>44106</v>
      </c>
      <c r="G1841">
        <v>1</v>
      </c>
      <c r="H1841" t="s">
        <v>189</v>
      </c>
      <c r="I1841" t="s">
        <v>120</v>
      </c>
    </row>
    <row r="1842" spans="1:9" x14ac:dyDescent="0.25">
      <c r="A1842" s="8" t="str">
        <f t="shared" si="84"/>
        <v>2008680.000</v>
      </c>
      <c r="B1842" s="9" t="str">
        <f t="shared" si="85"/>
        <v>1</v>
      </c>
      <c r="C1842" s="10">
        <f t="shared" si="86"/>
        <v>44088</v>
      </c>
      <c r="D1842">
        <v>2008680</v>
      </c>
      <c r="E1842">
        <v>0</v>
      </c>
      <c r="F1842" s="6">
        <v>44092</v>
      </c>
      <c r="G1842">
        <v>1</v>
      </c>
      <c r="H1842" t="s">
        <v>189</v>
      </c>
      <c r="I1842" t="s">
        <v>120</v>
      </c>
    </row>
    <row r="1843" spans="1:9" x14ac:dyDescent="0.25">
      <c r="A1843" s="8" t="str">
        <f t="shared" si="84"/>
        <v>2008681.X00</v>
      </c>
      <c r="B1843" s="9" t="str">
        <f t="shared" si="85"/>
        <v>1</v>
      </c>
      <c r="C1843" s="10">
        <f t="shared" si="86"/>
        <v>44102</v>
      </c>
      <c r="D1843">
        <v>2008681</v>
      </c>
      <c r="E1843" t="s">
        <v>225</v>
      </c>
      <c r="F1843" s="6">
        <v>44106</v>
      </c>
      <c r="G1843">
        <v>1</v>
      </c>
      <c r="H1843" t="s">
        <v>189</v>
      </c>
      <c r="I1843" t="s">
        <v>120</v>
      </c>
    </row>
    <row r="1844" spans="1:9" x14ac:dyDescent="0.25">
      <c r="A1844" s="8" t="str">
        <f t="shared" si="84"/>
        <v>2008682.000</v>
      </c>
      <c r="B1844" s="9" t="str">
        <f t="shared" si="85"/>
        <v>1</v>
      </c>
      <c r="C1844" s="10">
        <f t="shared" si="86"/>
        <v>44088</v>
      </c>
      <c r="D1844">
        <v>2008682</v>
      </c>
      <c r="E1844">
        <v>0</v>
      </c>
      <c r="F1844" s="6">
        <v>44092</v>
      </c>
      <c r="G1844">
        <v>1</v>
      </c>
      <c r="H1844" t="s">
        <v>189</v>
      </c>
      <c r="I1844" t="s">
        <v>120</v>
      </c>
    </row>
    <row r="1845" spans="1:9" x14ac:dyDescent="0.25">
      <c r="A1845" s="8" t="str">
        <f t="shared" si="84"/>
        <v>2008683.000</v>
      </c>
      <c r="B1845" s="9" t="str">
        <f t="shared" si="85"/>
        <v>1</v>
      </c>
      <c r="C1845" s="10">
        <f t="shared" si="86"/>
        <v>44088</v>
      </c>
      <c r="D1845">
        <v>2008683</v>
      </c>
      <c r="E1845">
        <v>0</v>
      </c>
      <c r="F1845" s="6">
        <v>44092</v>
      </c>
      <c r="G1845">
        <v>1</v>
      </c>
      <c r="H1845" t="s">
        <v>189</v>
      </c>
      <c r="I1845" t="s">
        <v>120</v>
      </c>
    </row>
    <row r="1846" spans="1:9" x14ac:dyDescent="0.25">
      <c r="A1846" s="8" t="str">
        <f t="shared" si="84"/>
        <v>2008684.000</v>
      </c>
      <c r="B1846" s="9" t="str">
        <f t="shared" si="85"/>
        <v>1</v>
      </c>
      <c r="C1846" s="10">
        <f t="shared" si="86"/>
        <v>44102</v>
      </c>
      <c r="D1846">
        <v>2008684</v>
      </c>
      <c r="E1846">
        <v>0</v>
      </c>
      <c r="F1846" s="6">
        <v>44106</v>
      </c>
      <c r="G1846">
        <v>1</v>
      </c>
      <c r="H1846" t="s">
        <v>189</v>
      </c>
      <c r="I1846" t="s">
        <v>120</v>
      </c>
    </row>
    <row r="1847" spans="1:9" x14ac:dyDescent="0.25">
      <c r="A1847" s="8" t="str">
        <f t="shared" si="84"/>
        <v>2008685.000</v>
      </c>
      <c r="B1847" s="9" t="str">
        <f t="shared" si="85"/>
        <v>1</v>
      </c>
      <c r="C1847" s="10">
        <f t="shared" si="86"/>
        <v>44102</v>
      </c>
      <c r="D1847">
        <v>2008685</v>
      </c>
      <c r="E1847">
        <v>0</v>
      </c>
      <c r="F1847" s="6">
        <v>44106</v>
      </c>
      <c r="G1847">
        <v>1</v>
      </c>
      <c r="H1847" t="s">
        <v>189</v>
      </c>
      <c r="I1847" t="s">
        <v>120</v>
      </c>
    </row>
    <row r="1848" spans="1:9" x14ac:dyDescent="0.25">
      <c r="A1848" s="8" t="str">
        <f t="shared" si="84"/>
        <v>2008686.0P0</v>
      </c>
      <c r="B1848" s="9" t="str">
        <f t="shared" si="85"/>
        <v>1</v>
      </c>
      <c r="C1848" s="10">
        <f t="shared" si="86"/>
        <v>44102</v>
      </c>
      <c r="D1848">
        <v>2008686</v>
      </c>
      <c r="E1848" t="s">
        <v>119</v>
      </c>
      <c r="F1848" s="6">
        <v>44106</v>
      </c>
      <c r="G1848">
        <v>1</v>
      </c>
      <c r="H1848" t="s">
        <v>189</v>
      </c>
      <c r="I1848" t="s">
        <v>120</v>
      </c>
    </row>
    <row r="1849" spans="1:9" x14ac:dyDescent="0.25">
      <c r="A1849" s="8" t="str">
        <f t="shared" si="84"/>
        <v>2008687.0P0</v>
      </c>
      <c r="B1849" s="9" t="str">
        <f t="shared" si="85"/>
        <v>1</v>
      </c>
      <c r="C1849" s="10">
        <f t="shared" si="86"/>
        <v>44102</v>
      </c>
      <c r="D1849">
        <v>2008687</v>
      </c>
      <c r="E1849" t="s">
        <v>119</v>
      </c>
      <c r="F1849" s="6">
        <v>44106</v>
      </c>
      <c r="G1849">
        <v>1</v>
      </c>
      <c r="H1849" t="s">
        <v>189</v>
      </c>
      <c r="I1849" t="s">
        <v>120</v>
      </c>
    </row>
    <row r="1850" spans="1:9" x14ac:dyDescent="0.25">
      <c r="A1850" s="8" t="str">
        <f t="shared" si="84"/>
        <v>2008688.000</v>
      </c>
      <c r="B1850" s="9" t="str">
        <f t="shared" si="85"/>
        <v>1</v>
      </c>
      <c r="C1850" s="10">
        <f t="shared" si="86"/>
        <v>44137</v>
      </c>
      <c r="D1850">
        <v>2008688</v>
      </c>
      <c r="E1850">
        <v>0</v>
      </c>
      <c r="F1850" s="6">
        <v>44141</v>
      </c>
      <c r="G1850">
        <v>1</v>
      </c>
      <c r="H1850" t="s">
        <v>189</v>
      </c>
      <c r="I1850" t="s">
        <v>120</v>
      </c>
    </row>
    <row r="1851" spans="1:9" x14ac:dyDescent="0.25">
      <c r="A1851" s="8" t="str">
        <f t="shared" si="84"/>
        <v>2008689.000</v>
      </c>
      <c r="B1851" s="9" t="str">
        <f t="shared" si="85"/>
        <v>1</v>
      </c>
      <c r="C1851" s="10">
        <f t="shared" si="86"/>
        <v>44137</v>
      </c>
      <c r="D1851">
        <v>2008689</v>
      </c>
      <c r="E1851">
        <v>0</v>
      </c>
      <c r="F1851" s="6">
        <v>44141</v>
      </c>
      <c r="G1851">
        <v>1</v>
      </c>
      <c r="H1851" t="s">
        <v>189</v>
      </c>
      <c r="I1851" t="s">
        <v>120</v>
      </c>
    </row>
    <row r="1852" spans="1:9" x14ac:dyDescent="0.25">
      <c r="A1852" s="8" t="str">
        <f t="shared" si="84"/>
        <v>2008690.000</v>
      </c>
      <c r="B1852" s="9" t="str">
        <f t="shared" si="85"/>
        <v>1</v>
      </c>
      <c r="C1852" s="10">
        <f t="shared" si="86"/>
        <v>44102</v>
      </c>
      <c r="D1852">
        <v>2008690</v>
      </c>
      <c r="E1852">
        <v>0</v>
      </c>
      <c r="F1852" s="6">
        <v>44106</v>
      </c>
      <c r="G1852">
        <v>1</v>
      </c>
      <c r="H1852" t="s">
        <v>192</v>
      </c>
      <c r="I1852" t="s">
        <v>120</v>
      </c>
    </row>
    <row r="1853" spans="1:9" x14ac:dyDescent="0.25">
      <c r="A1853" s="8" t="str">
        <f t="shared" si="84"/>
        <v>2008691.000</v>
      </c>
      <c r="B1853" s="9" t="str">
        <f t="shared" si="85"/>
        <v>1</v>
      </c>
      <c r="C1853" s="10">
        <f t="shared" si="86"/>
        <v>44088</v>
      </c>
      <c r="D1853">
        <v>2008691</v>
      </c>
      <c r="E1853">
        <v>0</v>
      </c>
      <c r="F1853" s="6">
        <v>44092</v>
      </c>
      <c r="G1853">
        <v>1</v>
      </c>
      <c r="H1853" t="s">
        <v>189</v>
      </c>
      <c r="I1853" t="s">
        <v>120</v>
      </c>
    </row>
    <row r="1854" spans="1:9" x14ac:dyDescent="0.25">
      <c r="A1854" s="8" t="str">
        <f t="shared" si="84"/>
        <v>2008692.X00</v>
      </c>
      <c r="B1854" s="9" t="str">
        <f t="shared" si="85"/>
        <v>1</v>
      </c>
      <c r="C1854" s="10">
        <f t="shared" si="86"/>
        <v>44102</v>
      </c>
      <c r="D1854">
        <v>2008692</v>
      </c>
      <c r="E1854" t="s">
        <v>225</v>
      </c>
      <c r="F1854" s="6">
        <v>44106</v>
      </c>
      <c r="G1854">
        <v>1</v>
      </c>
      <c r="H1854" t="s">
        <v>189</v>
      </c>
      <c r="I1854" t="s">
        <v>120</v>
      </c>
    </row>
    <row r="1855" spans="1:9" x14ac:dyDescent="0.25">
      <c r="A1855" s="8" t="str">
        <f t="shared" si="84"/>
        <v>2008693.0P0</v>
      </c>
      <c r="B1855" s="9" t="str">
        <f t="shared" si="85"/>
        <v>1</v>
      </c>
      <c r="C1855" s="10">
        <f t="shared" si="86"/>
        <v>44137</v>
      </c>
      <c r="D1855">
        <v>2008693</v>
      </c>
      <c r="E1855" t="s">
        <v>119</v>
      </c>
      <c r="F1855" s="6">
        <v>44141</v>
      </c>
      <c r="G1855">
        <v>1</v>
      </c>
      <c r="H1855" t="s">
        <v>189</v>
      </c>
      <c r="I1855" t="s">
        <v>120</v>
      </c>
    </row>
    <row r="1856" spans="1:9" x14ac:dyDescent="0.25">
      <c r="A1856" s="8" t="str">
        <f t="shared" si="84"/>
        <v>2008694.000</v>
      </c>
      <c r="B1856" s="9" t="str">
        <f t="shared" si="85"/>
        <v>1</v>
      </c>
      <c r="C1856" s="10">
        <f t="shared" si="86"/>
        <v>44137</v>
      </c>
      <c r="D1856">
        <v>2008694</v>
      </c>
      <c r="E1856">
        <v>0</v>
      </c>
      <c r="F1856" s="6">
        <v>44141</v>
      </c>
      <c r="G1856">
        <v>1</v>
      </c>
      <c r="H1856" t="s">
        <v>189</v>
      </c>
      <c r="I1856" t="s">
        <v>120</v>
      </c>
    </row>
    <row r="1857" spans="1:9" x14ac:dyDescent="0.25">
      <c r="A1857" s="8" t="str">
        <f t="shared" si="84"/>
        <v>2008694.0P0</v>
      </c>
      <c r="B1857" s="9" t="str">
        <f t="shared" si="85"/>
        <v>1</v>
      </c>
      <c r="C1857" s="10">
        <f t="shared" si="86"/>
        <v>44137</v>
      </c>
      <c r="D1857">
        <v>2008694</v>
      </c>
      <c r="E1857" t="s">
        <v>119</v>
      </c>
      <c r="F1857" s="6">
        <v>44141</v>
      </c>
      <c r="G1857">
        <v>1</v>
      </c>
      <c r="H1857" t="s">
        <v>189</v>
      </c>
      <c r="I1857" t="s">
        <v>120</v>
      </c>
    </row>
    <row r="1858" spans="1:9" x14ac:dyDescent="0.25">
      <c r="A1858" s="8" t="str">
        <f t="shared" ref="A1858:A1921" si="87">IF(D1858="","",IF(E1858=0,CONCATENATE(D1858,".",E1858,"00"),CONCATENATE(D1858,".",E1858)))</f>
        <v>2008695.XP0</v>
      </c>
      <c r="B1858" s="9" t="str">
        <f t="shared" ref="B1858:B1921" si="88">LEFT(G1858,1)</f>
        <v>1</v>
      </c>
      <c r="C1858" s="10">
        <f t="shared" ref="C1858:C1921" si="89">IF(F1858="","",IF(B1858="",F1858-4,IF(B1858="1",F1858-4,IF(B1858="2",F1858-3,IF(B1858="3",F1858-2,IF(B1858="4",F1858-1,IF(B1858="V",F1858-7,IF(B1858="J",F1858-8,F1858))))))))</f>
        <v>44102</v>
      </c>
      <c r="D1858">
        <v>2008695</v>
      </c>
      <c r="E1858" t="s">
        <v>181</v>
      </c>
      <c r="F1858" s="6">
        <v>44106</v>
      </c>
      <c r="G1858">
        <v>1</v>
      </c>
      <c r="H1858" t="s">
        <v>189</v>
      </c>
      <c r="I1858" t="s">
        <v>120</v>
      </c>
    </row>
    <row r="1859" spans="1:9" x14ac:dyDescent="0.25">
      <c r="A1859" s="8" t="str">
        <f t="shared" si="87"/>
        <v>2008696.000</v>
      </c>
      <c r="B1859" s="9" t="str">
        <f t="shared" si="88"/>
        <v>1</v>
      </c>
      <c r="C1859" s="10">
        <f t="shared" si="89"/>
        <v>44102</v>
      </c>
      <c r="D1859">
        <v>2008696</v>
      </c>
      <c r="E1859">
        <v>0</v>
      </c>
      <c r="F1859" s="6">
        <v>44106</v>
      </c>
      <c r="G1859">
        <v>1</v>
      </c>
      <c r="H1859" t="s">
        <v>189</v>
      </c>
      <c r="I1859" t="s">
        <v>120</v>
      </c>
    </row>
    <row r="1860" spans="1:9" x14ac:dyDescent="0.25">
      <c r="A1860" s="8" t="str">
        <f t="shared" si="87"/>
        <v>2008697.N00</v>
      </c>
      <c r="B1860" s="9" t="str">
        <f t="shared" si="88"/>
        <v>3</v>
      </c>
      <c r="C1860" s="10">
        <f t="shared" si="89"/>
        <v>44069</v>
      </c>
      <c r="D1860">
        <v>2008697</v>
      </c>
      <c r="E1860" t="s">
        <v>125</v>
      </c>
      <c r="F1860" s="6">
        <v>44071</v>
      </c>
      <c r="G1860">
        <v>32</v>
      </c>
      <c r="H1860" t="s">
        <v>189</v>
      </c>
      <c r="I1860" t="s">
        <v>120</v>
      </c>
    </row>
    <row r="1861" spans="1:9" x14ac:dyDescent="0.25">
      <c r="A1861" s="8" t="str">
        <f t="shared" si="87"/>
        <v>2008699.HP0</v>
      </c>
      <c r="B1861" s="9" t="str">
        <f t="shared" si="88"/>
        <v>3</v>
      </c>
      <c r="C1861" s="10">
        <f t="shared" si="89"/>
        <v>44069</v>
      </c>
      <c r="D1861">
        <v>2008699</v>
      </c>
      <c r="E1861" t="s">
        <v>121</v>
      </c>
      <c r="F1861" s="6">
        <v>44071</v>
      </c>
      <c r="G1861">
        <v>32</v>
      </c>
      <c r="H1861" t="s">
        <v>180</v>
      </c>
      <c r="I1861" t="s">
        <v>120</v>
      </c>
    </row>
    <row r="1862" spans="1:9" x14ac:dyDescent="0.25">
      <c r="A1862" s="8" t="str">
        <f t="shared" si="87"/>
        <v>2008700.000</v>
      </c>
      <c r="B1862" s="9" t="str">
        <f t="shared" si="88"/>
        <v>1</v>
      </c>
      <c r="C1862" s="10">
        <f t="shared" si="89"/>
        <v>44095</v>
      </c>
      <c r="D1862">
        <v>2008700</v>
      </c>
      <c r="E1862">
        <v>0</v>
      </c>
      <c r="F1862" s="6">
        <v>44099</v>
      </c>
      <c r="G1862">
        <v>1</v>
      </c>
      <c r="H1862" t="s">
        <v>191</v>
      </c>
      <c r="I1862" t="s">
        <v>120</v>
      </c>
    </row>
    <row r="1863" spans="1:9" x14ac:dyDescent="0.25">
      <c r="A1863" s="8" t="str">
        <f t="shared" si="87"/>
        <v>2008700.HPL</v>
      </c>
      <c r="B1863" s="9" t="str">
        <f t="shared" si="88"/>
        <v>1</v>
      </c>
      <c r="C1863" s="10">
        <f t="shared" si="89"/>
        <v>44095</v>
      </c>
      <c r="D1863">
        <v>2008700</v>
      </c>
      <c r="E1863" t="s">
        <v>128</v>
      </c>
      <c r="F1863" s="6">
        <v>44099</v>
      </c>
      <c r="G1863">
        <v>1</v>
      </c>
      <c r="H1863" t="s">
        <v>191</v>
      </c>
      <c r="I1863" t="s">
        <v>120</v>
      </c>
    </row>
    <row r="1864" spans="1:9" x14ac:dyDescent="0.25">
      <c r="A1864" s="8" t="str">
        <f t="shared" si="87"/>
        <v>2008701.Y00</v>
      </c>
      <c r="B1864" s="9" t="str">
        <f t="shared" si="88"/>
        <v/>
      </c>
      <c r="C1864" s="10">
        <f t="shared" si="89"/>
        <v>44095</v>
      </c>
      <c r="D1864">
        <v>2008701</v>
      </c>
      <c r="E1864" t="s">
        <v>130</v>
      </c>
      <c r="F1864" s="6">
        <v>44099</v>
      </c>
      <c r="H1864" t="s">
        <v>191</v>
      </c>
      <c r="I1864" t="s">
        <v>120</v>
      </c>
    </row>
    <row r="1865" spans="1:9" x14ac:dyDescent="0.25">
      <c r="A1865" s="8" t="str">
        <f t="shared" si="87"/>
        <v>2008702.H02</v>
      </c>
      <c r="B1865" s="9" t="str">
        <f t="shared" si="88"/>
        <v/>
      </c>
      <c r="C1865" s="10">
        <f t="shared" si="89"/>
        <v>44095</v>
      </c>
      <c r="D1865">
        <v>2008702</v>
      </c>
      <c r="E1865" t="s">
        <v>156</v>
      </c>
      <c r="F1865" s="6">
        <v>44099</v>
      </c>
      <c r="H1865" t="s">
        <v>189</v>
      </c>
      <c r="I1865" t="s">
        <v>120</v>
      </c>
    </row>
    <row r="1866" spans="1:9" x14ac:dyDescent="0.25">
      <c r="A1866" s="8" t="str">
        <f t="shared" si="87"/>
        <v>2008704.U01</v>
      </c>
      <c r="B1866" s="9" t="str">
        <f t="shared" si="88"/>
        <v/>
      </c>
      <c r="C1866" s="10">
        <f t="shared" si="89"/>
        <v>44095</v>
      </c>
      <c r="D1866">
        <v>2008704</v>
      </c>
      <c r="E1866" t="s">
        <v>150</v>
      </c>
      <c r="F1866" s="6">
        <v>44099</v>
      </c>
      <c r="H1866" t="s">
        <v>192</v>
      </c>
      <c r="I1866" t="s">
        <v>120</v>
      </c>
    </row>
    <row r="1867" spans="1:9" x14ac:dyDescent="0.25">
      <c r="A1867" s="8" t="str">
        <f t="shared" si="87"/>
        <v>2008704.UP1</v>
      </c>
      <c r="B1867" s="9" t="str">
        <f t="shared" si="88"/>
        <v/>
      </c>
      <c r="C1867" s="10">
        <f t="shared" si="89"/>
        <v>44095</v>
      </c>
      <c r="D1867">
        <v>2008704</v>
      </c>
      <c r="E1867" t="s">
        <v>164</v>
      </c>
      <c r="F1867" s="6">
        <v>44099</v>
      </c>
      <c r="H1867" t="s">
        <v>192</v>
      </c>
      <c r="I1867" t="s">
        <v>120</v>
      </c>
    </row>
    <row r="1868" spans="1:9" x14ac:dyDescent="0.25">
      <c r="A1868" s="8" t="str">
        <f t="shared" si="87"/>
        <v>2008704.Y01</v>
      </c>
      <c r="B1868" s="9" t="str">
        <f t="shared" si="88"/>
        <v/>
      </c>
      <c r="C1868" s="10">
        <f t="shared" si="89"/>
        <v>44095</v>
      </c>
      <c r="D1868">
        <v>2008704</v>
      </c>
      <c r="E1868" t="s">
        <v>132</v>
      </c>
      <c r="F1868" s="6">
        <v>44099</v>
      </c>
      <c r="H1868" t="s">
        <v>192</v>
      </c>
      <c r="I1868" t="s">
        <v>120</v>
      </c>
    </row>
    <row r="1869" spans="1:9" x14ac:dyDescent="0.25">
      <c r="A1869" s="8" t="str">
        <f t="shared" si="87"/>
        <v>2008705.U02</v>
      </c>
      <c r="B1869" s="9" t="str">
        <f t="shared" si="88"/>
        <v/>
      </c>
      <c r="C1869" s="10">
        <f t="shared" si="89"/>
        <v>44095</v>
      </c>
      <c r="D1869">
        <v>2008705</v>
      </c>
      <c r="E1869" t="s">
        <v>149</v>
      </c>
      <c r="F1869" s="6">
        <v>44099</v>
      </c>
      <c r="H1869" t="s">
        <v>192</v>
      </c>
      <c r="I1869" t="s">
        <v>120</v>
      </c>
    </row>
    <row r="1870" spans="1:9" x14ac:dyDescent="0.25">
      <c r="A1870" s="8" t="str">
        <f t="shared" si="87"/>
        <v>2008706.000</v>
      </c>
      <c r="B1870" s="9" t="str">
        <f t="shared" si="88"/>
        <v/>
      </c>
      <c r="C1870" s="10">
        <f t="shared" si="89"/>
        <v>44081</v>
      </c>
      <c r="D1870">
        <v>2008706</v>
      </c>
      <c r="E1870">
        <v>0</v>
      </c>
      <c r="F1870" s="6">
        <v>44085</v>
      </c>
      <c r="H1870" t="s">
        <v>266</v>
      </c>
      <c r="I1870" t="s">
        <v>120</v>
      </c>
    </row>
    <row r="1871" spans="1:9" x14ac:dyDescent="0.25">
      <c r="A1871" s="8" t="str">
        <f t="shared" si="87"/>
        <v>2008706.0P0</v>
      </c>
      <c r="B1871" s="9" t="str">
        <f t="shared" si="88"/>
        <v/>
      </c>
      <c r="C1871" s="10">
        <f t="shared" si="89"/>
        <v>44081</v>
      </c>
      <c r="D1871">
        <v>2008706</v>
      </c>
      <c r="E1871" t="s">
        <v>119</v>
      </c>
      <c r="F1871" s="6">
        <v>44085</v>
      </c>
      <c r="H1871" t="s">
        <v>266</v>
      </c>
      <c r="I1871" t="s">
        <v>120</v>
      </c>
    </row>
    <row r="1872" spans="1:9" x14ac:dyDescent="0.25">
      <c r="A1872" s="8" t="str">
        <f t="shared" si="87"/>
        <v>2008707.0P0</v>
      </c>
      <c r="B1872" s="9" t="str">
        <f t="shared" si="88"/>
        <v/>
      </c>
      <c r="C1872" s="10">
        <f t="shared" si="89"/>
        <v>44081</v>
      </c>
      <c r="D1872">
        <v>2008707</v>
      </c>
      <c r="E1872" t="s">
        <v>119</v>
      </c>
      <c r="F1872" s="6">
        <v>44085</v>
      </c>
      <c r="H1872" t="s">
        <v>266</v>
      </c>
      <c r="I1872" t="s">
        <v>120</v>
      </c>
    </row>
    <row r="1873" spans="1:9" x14ac:dyDescent="0.25">
      <c r="A1873" s="8" t="str">
        <f t="shared" si="87"/>
        <v>2008708.000</v>
      </c>
      <c r="B1873" s="9" t="str">
        <f t="shared" si="88"/>
        <v/>
      </c>
      <c r="C1873" s="10">
        <f t="shared" si="89"/>
        <v>44081</v>
      </c>
      <c r="D1873">
        <v>2008708</v>
      </c>
      <c r="E1873">
        <v>0</v>
      </c>
      <c r="F1873" s="6">
        <v>44085</v>
      </c>
      <c r="H1873" t="s">
        <v>180</v>
      </c>
      <c r="I1873" t="s">
        <v>120</v>
      </c>
    </row>
    <row r="1874" spans="1:9" x14ac:dyDescent="0.25">
      <c r="A1874" s="8" t="str">
        <f t="shared" si="87"/>
        <v>2008709.X00</v>
      </c>
      <c r="B1874" s="9" t="str">
        <f t="shared" si="88"/>
        <v>1</v>
      </c>
      <c r="C1874" s="10">
        <f t="shared" si="89"/>
        <v>44081</v>
      </c>
      <c r="D1874">
        <v>2008709</v>
      </c>
      <c r="E1874" t="s">
        <v>225</v>
      </c>
      <c r="F1874" s="6">
        <v>44085</v>
      </c>
      <c r="G1874">
        <v>1</v>
      </c>
      <c r="H1874" t="s">
        <v>189</v>
      </c>
      <c r="I1874" t="s">
        <v>120</v>
      </c>
    </row>
    <row r="1875" spans="1:9" x14ac:dyDescent="0.25">
      <c r="A1875" s="8" t="str">
        <f t="shared" si="87"/>
        <v>2008710.H00</v>
      </c>
      <c r="B1875" s="9" t="str">
        <f t="shared" si="88"/>
        <v/>
      </c>
      <c r="C1875" s="10">
        <f t="shared" si="89"/>
        <v>44081</v>
      </c>
      <c r="D1875">
        <v>2008710</v>
      </c>
      <c r="E1875" t="s">
        <v>122</v>
      </c>
      <c r="F1875" s="6">
        <v>44085</v>
      </c>
      <c r="H1875" t="s">
        <v>189</v>
      </c>
      <c r="I1875" t="s">
        <v>120</v>
      </c>
    </row>
    <row r="1876" spans="1:9" x14ac:dyDescent="0.25">
      <c r="A1876" s="8" t="str">
        <f t="shared" si="87"/>
        <v>2008711.UP0</v>
      </c>
      <c r="B1876" s="9" t="str">
        <f t="shared" si="88"/>
        <v/>
      </c>
      <c r="C1876" s="10">
        <f t="shared" si="89"/>
        <v>44109</v>
      </c>
      <c r="D1876">
        <v>2008711</v>
      </c>
      <c r="E1876" t="s">
        <v>136</v>
      </c>
      <c r="F1876" s="6">
        <v>44113</v>
      </c>
      <c r="H1876" t="s">
        <v>192</v>
      </c>
      <c r="I1876" t="s">
        <v>120</v>
      </c>
    </row>
    <row r="1877" spans="1:9" x14ac:dyDescent="0.25">
      <c r="A1877" s="8" t="str">
        <f t="shared" si="87"/>
        <v>2008712.X00</v>
      </c>
      <c r="B1877" s="9" t="str">
        <f t="shared" si="88"/>
        <v>4</v>
      </c>
      <c r="C1877" s="10">
        <f t="shared" si="89"/>
        <v>44077</v>
      </c>
      <c r="D1877">
        <v>2008712</v>
      </c>
      <c r="E1877" t="s">
        <v>225</v>
      </c>
      <c r="F1877" s="6">
        <v>44078</v>
      </c>
      <c r="G1877">
        <v>4</v>
      </c>
      <c r="H1877" t="s">
        <v>180</v>
      </c>
      <c r="I1877" t="s">
        <v>120</v>
      </c>
    </row>
    <row r="1878" spans="1:9" x14ac:dyDescent="0.25">
      <c r="A1878" s="8" t="str">
        <f t="shared" si="87"/>
        <v>2008712.Y0E</v>
      </c>
      <c r="B1878" s="9" t="str">
        <f t="shared" si="88"/>
        <v>4</v>
      </c>
      <c r="C1878" s="10">
        <f t="shared" si="89"/>
        <v>44077</v>
      </c>
      <c r="D1878">
        <v>2008712</v>
      </c>
      <c r="E1878" t="s">
        <v>287</v>
      </c>
      <c r="F1878" s="6">
        <v>44078</v>
      </c>
      <c r="G1878">
        <v>4</v>
      </c>
      <c r="H1878" t="s">
        <v>180</v>
      </c>
      <c r="I1878" t="s">
        <v>120</v>
      </c>
    </row>
    <row r="1879" spans="1:9" x14ac:dyDescent="0.25">
      <c r="A1879" s="8" t="str">
        <f t="shared" si="87"/>
        <v>2008715.X00</v>
      </c>
      <c r="B1879" s="9" t="str">
        <f t="shared" si="88"/>
        <v/>
      </c>
      <c r="C1879" s="10">
        <f t="shared" si="89"/>
        <v>44081</v>
      </c>
      <c r="D1879">
        <v>2008715</v>
      </c>
      <c r="E1879" t="s">
        <v>225</v>
      </c>
      <c r="F1879" s="6">
        <v>44085</v>
      </c>
      <c r="H1879" t="s">
        <v>189</v>
      </c>
      <c r="I1879" t="s">
        <v>120</v>
      </c>
    </row>
    <row r="1880" spans="1:9" x14ac:dyDescent="0.25">
      <c r="A1880" s="8" t="str">
        <f t="shared" si="87"/>
        <v>2008716.H00</v>
      </c>
      <c r="B1880" s="9" t="str">
        <f t="shared" si="88"/>
        <v/>
      </c>
      <c r="C1880" s="10">
        <f t="shared" si="89"/>
        <v>44102</v>
      </c>
      <c r="D1880">
        <v>2008716</v>
      </c>
      <c r="E1880" t="s">
        <v>122</v>
      </c>
      <c r="F1880" s="6">
        <v>44106</v>
      </c>
      <c r="H1880" t="s">
        <v>189</v>
      </c>
      <c r="I1880" t="s">
        <v>120</v>
      </c>
    </row>
    <row r="1881" spans="1:9" x14ac:dyDescent="0.25">
      <c r="A1881" s="8" t="str">
        <f t="shared" si="87"/>
        <v>2008716.X01</v>
      </c>
      <c r="B1881" s="9" t="str">
        <f t="shared" si="88"/>
        <v/>
      </c>
      <c r="C1881" s="10">
        <f t="shared" si="89"/>
        <v>44102</v>
      </c>
      <c r="D1881">
        <v>2008716</v>
      </c>
      <c r="E1881" t="s">
        <v>161</v>
      </c>
      <c r="F1881" s="6">
        <v>44106</v>
      </c>
      <c r="H1881" t="s">
        <v>189</v>
      </c>
      <c r="I1881" t="s">
        <v>120</v>
      </c>
    </row>
    <row r="1882" spans="1:9" x14ac:dyDescent="0.25">
      <c r="A1882" s="8" t="str">
        <f t="shared" si="87"/>
        <v>2008716.Y01</v>
      </c>
      <c r="B1882" s="9" t="str">
        <f t="shared" si="88"/>
        <v/>
      </c>
      <c r="C1882" s="10">
        <f t="shared" si="89"/>
        <v>44102</v>
      </c>
      <c r="D1882">
        <v>2008716</v>
      </c>
      <c r="E1882" t="s">
        <v>132</v>
      </c>
      <c r="F1882" s="6">
        <v>44106</v>
      </c>
      <c r="H1882" t="s">
        <v>189</v>
      </c>
      <c r="I1882" t="s">
        <v>120</v>
      </c>
    </row>
    <row r="1883" spans="1:9" x14ac:dyDescent="0.25">
      <c r="A1883" s="8" t="str">
        <f t="shared" si="87"/>
        <v>2008717.000</v>
      </c>
      <c r="B1883" s="9" t="str">
        <f t="shared" si="88"/>
        <v/>
      </c>
      <c r="C1883" s="10">
        <f t="shared" si="89"/>
        <v>44081</v>
      </c>
      <c r="D1883">
        <v>2008717</v>
      </c>
      <c r="E1883">
        <v>0</v>
      </c>
      <c r="F1883" s="6">
        <v>44085</v>
      </c>
      <c r="H1883" t="s">
        <v>180</v>
      </c>
      <c r="I1883" t="s">
        <v>120</v>
      </c>
    </row>
    <row r="1884" spans="1:9" x14ac:dyDescent="0.25">
      <c r="A1884" s="8" t="str">
        <f t="shared" si="87"/>
        <v>2008718.H01</v>
      </c>
      <c r="B1884" s="9" t="str">
        <f t="shared" si="88"/>
        <v/>
      </c>
      <c r="C1884" s="10">
        <f t="shared" si="89"/>
        <v>44102</v>
      </c>
      <c r="D1884">
        <v>2008718</v>
      </c>
      <c r="E1884" t="s">
        <v>145</v>
      </c>
      <c r="F1884" s="6">
        <v>44106</v>
      </c>
      <c r="H1884" t="s">
        <v>189</v>
      </c>
      <c r="I1884" t="s">
        <v>120</v>
      </c>
    </row>
    <row r="1885" spans="1:9" x14ac:dyDescent="0.25">
      <c r="A1885" s="8" t="str">
        <f t="shared" si="87"/>
        <v>2008718.Y02</v>
      </c>
      <c r="B1885" s="9" t="str">
        <f t="shared" si="88"/>
        <v/>
      </c>
      <c r="C1885" s="10">
        <f t="shared" si="89"/>
        <v>44102</v>
      </c>
      <c r="D1885">
        <v>2008718</v>
      </c>
      <c r="E1885" t="s">
        <v>144</v>
      </c>
      <c r="F1885" s="6">
        <v>44106</v>
      </c>
      <c r="H1885" t="s">
        <v>189</v>
      </c>
      <c r="I1885" t="s">
        <v>120</v>
      </c>
    </row>
    <row r="1886" spans="1:9" x14ac:dyDescent="0.25">
      <c r="A1886" s="8" t="str">
        <f t="shared" si="87"/>
        <v>2008719.000</v>
      </c>
      <c r="B1886" s="9" t="str">
        <f t="shared" si="88"/>
        <v/>
      </c>
      <c r="C1886" s="10">
        <f t="shared" si="89"/>
        <v>44081</v>
      </c>
      <c r="D1886">
        <v>2008719</v>
      </c>
      <c r="E1886">
        <v>0</v>
      </c>
      <c r="F1886" s="6">
        <v>44085</v>
      </c>
      <c r="H1886" t="s">
        <v>180</v>
      </c>
      <c r="I1886" t="s">
        <v>120</v>
      </c>
    </row>
    <row r="1887" spans="1:9" x14ac:dyDescent="0.25">
      <c r="A1887" s="8" t="str">
        <f t="shared" si="87"/>
        <v>2008720.U02</v>
      </c>
      <c r="B1887" s="9" t="str">
        <f t="shared" si="88"/>
        <v/>
      </c>
      <c r="C1887" s="10">
        <f t="shared" si="89"/>
        <v>44102</v>
      </c>
      <c r="D1887">
        <v>2008720</v>
      </c>
      <c r="E1887" t="s">
        <v>149</v>
      </c>
      <c r="F1887" s="6">
        <v>44106</v>
      </c>
      <c r="H1887" t="s">
        <v>191</v>
      </c>
      <c r="I1887" t="s">
        <v>120</v>
      </c>
    </row>
    <row r="1888" spans="1:9" x14ac:dyDescent="0.25">
      <c r="A1888" s="8" t="str">
        <f t="shared" si="87"/>
        <v>2008721.000</v>
      </c>
      <c r="B1888" s="9" t="str">
        <f t="shared" si="88"/>
        <v/>
      </c>
      <c r="C1888" s="10">
        <f t="shared" si="89"/>
        <v>44088</v>
      </c>
      <c r="D1888">
        <v>2008721</v>
      </c>
      <c r="E1888">
        <v>0</v>
      </c>
      <c r="F1888" s="6">
        <v>44092</v>
      </c>
      <c r="H1888" t="s">
        <v>191</v>
      </c>
      <c r="I1888" t="s">
        <v>120</v>
      </c>
    </row>
    <row r="1889" spans="1:9" x14ac:dyDescent="0.25">
      <c r="A1889" s="8" t="str">
        <f t="shared" si="87"/>
        <v>2008722.000</v>
      </c>
      <c r="B1889" s="9" t="str">
        <f t="shared" si="88"/>
        <v/>
      </c>
      <c r="C1889" s="10">
        <f t="shared" si="89"/>
        <v>44081</v>
      </c>
      <c r="D1889">
        <v>2008722</v>
      </c>
      <c r="E1889">
        <v>0</v>
      </c>
      <c r="F1889" s="6">
        <v>44085</v>
      </c>
      <c r="H1889" t="s">
        <v>180</v>
      </c>
      <c r="I1889" t="s">
        <v>120</v>
      </c>
    </row>
    <row r="1890" spans="1:9" x14ac:dyDescent="0.25">
      <c r="A1890" s="8" t="str">
        <f t="shared" si="87"/>
        <v>2008723.N0L</v>
      </c>
      <c r="B1890" s="9" t="str">
        <f t="shared" si="88"/>
        <v>3</v>
      </c>
      <c r="C1890" s="10">
        <f t="shared" si="89"/>
        <v>44069</v>
      </c>
      <c r="D1890">
        <v>2008723</v>
      </c>
      <c r="E1890" t="s">
        <v>133</v>
      </c>
      <c r="F1890" s="6">
        <v>44071</v>
      </c>
      <c r="G1890">
        <v>30</v>
      </c>
      <c r="H1890" t="s">
        <v>194</v>
      </c>
      <c r="I1890" t="s">
        <v>120</v>
      </c>
    </row>
    <row r="1891" spans="1:9" x14ac:dyDescent="0.25">
      <c r="A1891" s="8" t="str">
        <f t="shared" si="87"/>
        <v>2008724.000</v>
      </c>
      <c r="B1891" s="9" t="str">
        <f t="shared" si="88"/>
        <v/>
      </c>
      <c r="C1891" s="10">
        <f t="shared" si="89"/>
        <v>44081</v>
      </c>
      <c r="D1891">
        <v>2008724</v>
      </c>
      <c r="E1891">
        <v>0</v>
      </c>
      <c r="F1891" s="6">
        <v>44085</v>
      </c>
      <c r="H1891" t="s">
        <v>192</v>
      </c>
      <c r="I1891" t="s">
        <v>120</v>
      </c>
    </row>
    <row r="1892" spans="1:9" x14ac:dyDescent="0.25">
      <c r="A1892" s="8" t="str">
        <f t="shared" si="87"/>
        <v>2008725.H0L</v>
      </c>
      <c r="B1892" s="9" t="str">
        <f t="shared" si="88"/>
        <v/>
      </c>
      <c r="C1892" s="10">
        <f t="shared" si="89"/>
        <v>44095</v>
      </c>
      <c r="D1892">
        <v>2008725</v>
      </c>
      <c r="E1892" t="s">
        <v>261</v>
      </c>
      <c r="F1892" s="6">
        <v>44099</v>
      </c>
      <c r="H1892" t="s">
        <v>189</v>
      </c>
      <c r="I1892" t="s">
        <v>120</v>
      </c>
    </row>
    <row r="1893" spans="1:9" x14ac:dyDescent="0.25">
      <c r="A1893" s="8" t="str">
        <f t="shared" si="87"/>
        <v>2008725.ZO1</v>
      </c>
      <c r="B1893" s="9" t="str">
        <f t="shared" si="88"/>
        <v/>
      </c>
      <c r="C1893" s="10">
        <f t="shared" si="89"/>
        <v>44095</v>
      </c>
      <c r="D1893">
        <v>2008725</v>
      </c>
      <c r="E1893" t="s">
        <v>313</v>
      </c>
      <c r="F1893" s="6">
        <v>44099</v>
      </c>
      <c r="H1893" t="s">
        <v>189</v>
      </c>
      <c r="I1893" t="s">
        <v>120</v>
      </c>
    </row>
    <row r="1894" spans="1:9" x14ac:dyDescent="0.25">
      <c r="A1894" s="8" t="str">
        <f t="shared" si="87"/>
        <v>2008726.000</v>
      </c>
      <c r="B1894" s="9" t="str">
        <f t="shared" si="88"/>
        <v>3</v>
      </c>
      <c r="C1894" s="10">
        <f t="shared" si="89"/>
        <v>44083</v>
      </c>
      <c r="D1894">
        <v>2008726</v>
      </c>
      <c r="E1894">
        <v>0</v>
      </c>
      <c r="F1894" s="6">
        <v>44085</v>
      </c>
      <c r="G1894">
        <v>3</v>
      </c>
      <c r="H1894" t="s">
        <v>189</v>
      </c>
      <c r="I1894" t="s">
        <v>120</v>
      </c>
    </row>
    <row r="1895" spans="1:9" x14ac:dyDescent="0.25">
      <c r="A1895" s="8" t="str">
        <f t="shared" si="87"/>
        <v>2008727.U00</v>
      </c>
      <c r="B1895" s="9" t="str">
        <f t="shared" si="88"/>
        <v/>
      </c>
      <c r="C1895" s="10">
        <f t="shared" si="89"/>
        <v>44102</v>
      </c>
      <c r="D1895">
        <v>2008727</v>
      </c>
      <c r="E1895" t="s">
        <v>131</v>
      </c>
      <c r="F1895" s="6">
        <v>44106</v>
      </c>
      <c r="H1895" t="s">
        <v>191</v>
      </c>
      <c r="I1895" t="s">
        <v>120</v>
      </c>
    </row>
    <row r="1896" spans="1:9" x14ac:dyDescent="0.25">
      <c r="A1896" s="8" t="str">
        <f t="shared" si="87"/>
        <v>2008728.000</v>
      </c>
      <c r="B1896" s="9" t="str">
        <f t="shared" si="88"/>
        <v/>
      </c>
      <c r="C1896" s="10">
        <f t="shared" si="89"/>
        <v>44081</v>
      </c>
      <c r="D1896">
        <v>2008728</v>
      </c>
      <c r="E1896">
        <v>0</v>
      </c>
      <c r="F1896" s="6">
        <v>44085</v>
      </c>
      <c r="H1896" t="s">
        <v>180</v>
      </c>
      <c r="I1896" t="s">
        <v>120</v>
      </c>
    </row>
    <row r="1897" spans="1:9" x14ac:dyDescent="0.25">
      <c r="A1897" s="8" t="str">
        <f t="shared" si="87"/>
        <v>2008729.U00</v>
      </c>
      <c r="B1897" s="9" t="str">
        <f t="shared" si="88"/>
        <v/>
      </c>
      <c r="C1897" s="10">
        <f t="shared" si="89"/>
        <v>44088</v>
      </c>
      <c r="D1897">
        <v>2008729</v>
      </c>
      <c r="E1897" t="s">
        <v>131</v>
      </c>
      <c r="F1897" s="6">
        <v>44092</v>
      </c>
      <c r="H1897" t="s">
        <v>189</v>
      </c>
      <c r="I1897" t="s">
        <v>120</v>
      </c>
    </row>
    <row r="1898" spans="1:9" x14ac:dyDescent="0.25">
      <c r="A1898" s="8" t="str">
        <f t="shared" si="87"/>
        <v>2008730.X00</v>
      </c>
      <c r="B1898" s="9" t="str">
        <f t="shared" si="88"/>
        <v>3</v>
      </c>
      <c r="C1898" s="10">
        <f t="shared" si="89"/>
        <v>44083</v>
      </c>
      <c r="D1898">
        <v>2008730</v>
      </c>
      <c r="E1898" t="s">
        <v>225</v>
      </c>
      <c r="F1898" s="6">
        <v>44085</v>
      </c>
      <c r="G1898">
        <v>3</v>
      </c>
      <c r="H1898" t="s">
        <v>189</v>
      </c>
      <c r="I1898" t="s">
        <v>120</v>
      </c>
    </row>
    <row r="1899" spans="1:9" x14ac:dyDescent="0.25">
      <c r="A1899" s="8" t="str">
        <f t="shared" si="87"/>
        <v>2008731.000</v>
      </c>
      <c r="B1899" s="9" t="str">
        <f t="shared" si="88"/>
        <v>3</v>
      </c>
      <c r="C1899" s="10">
        <f t="shared" si="89"/>
        <v>44083</v>
      </c>
      <c r="D1899">
        <v>2008731</v>
      </c>
      <c r="E1899">
        <v>0</v>
      </c>
      <c r="F1899" s="6">
        <v>44085</v>
      </c>
      <c r="G1899">
        <v>3</v>
      </c>
      <c r="H1899" t="s">
        <v>189</v>
      </c>
      <c r="I1899" t="s">
        <v>120</v>
      </c>
    </row>
    <row r="1900" spans="1:9" x14ac:dyDescent="0.25">
      <c r="A1900" s="8" t="str">
        <f t="shared" si="87"/>
        <v>2008732.H01</v>
      </c>
      <c r="B1900" s="9" t="str">
        <f t="shared" si="88"/>
        <v/>
      </c>
      <c r="C1900" s="10">
        <f t="shared" si="89"/>
        <v>44081</v>
      </c>
      <c r="D1900">
        <v>2008732</v>
      </c>
      <c r="E1900" t="s">
        <v>145</v>
      </c>
      <c r="F1900" s="6">
        <v>44085</v>
      </c>
      <c r="H1900" t="s">
        <v>192</v>
      </c>
      <c r="I1900" t="s">
        <v>120</v>
      </c>
    </row>
    <row r="1901" spans="1:9" x14ac:dyDescent="0.25">
      <c r="A1901" s="8" t="str">
        <f t="shared" si="87"/>
        <v>2008733.U01</v>
      </c>
      <c r="B1901" s="9" t="str">
        <f t="shared" si="88"/>
        <v>1</v>
      </c>
      <c r="C1901" s="10">
        <f t="shared" si="89"/>
        <v>44102</v>
      </c>
      <c r="D1901">
        <v>2008733</v>
      </c>
      <c r="E1901" t="s">
        <v>150</v>
      </c>
      <c r="F1901" s="6">
        <v>44106</v>
      </c>
      <c r="G1901">
        <v>1</v>
      </c>
      <c r="H1901" t="s">
        <v>193</v>
      </c>
      <c r="I1901" t="s">
        <v>120</v>
      </c>
    </row>
    <row r="1902" spans="1:9" x14ac:dyDescent="0.25">
      <c r="A1902" s="8" t="str">
        <f t="shared" si="87"/>
        <v>2008734.0P0</v>
      </c>
      <c r="B1902" s="9" t="str">
        <f t="shared" si="88"/>
        <v>3</v>
      </c>
      <c r="C1902" s="10">
        <f t="shared" si="89"/>
        <v>44111</v>
      </c>
      <c r="D1902">
        <v>2008734</v>
      </c>
      <c r="E1902" t="s">
        <v>119</v>
      </c>
      <c r="F1902" s="6">
        <v>44113</v>
      </c>
      <c r="G1902">
        <v>3</v>
      </c>
      <c r="H1902" t="s">
        <v>189</v>
      </c>
      <c r="I1902" t="s">
        <v>120</v>
      </c>
    </row>
    <row r="1903" spans="1:9" x14ac:dyDescent="0.25">
      <c r="A1903" s="8" t="str">
        <f t="shared" si="87"/>
        <v>2008735.0P0</v>
      </c>
      <c r="B1903" s="9" t="str">
        <f t="shared" si="88"/>
        <v/>
      </c>
      <c r="C1903" s="10">
        <f t="shared" si="89"/>
        <v>44088</v>
      </c>
      <c r="D1903">
        <v>2008735</v>
      </c>
      <c r="E1903" t="s">
        <v>119</v>
      </c>
      <c r="F1903" s="6">
        <v>44092</v>
      </c>
      <c r="H1903" t="s">
        <v>192</v>
      </c>
      <c r="I1903" t="s">
        <v>120</v>
      </c>
    </row>
    <row r="1904" spans="1:9" x14ac:dyDescent="0.25">
      <c r="A1904" s="8" t="str">
        <f t="shared" si="87"/>
        <v>2008736.000</v>
      </c>
      <c r="B1904" s="9" t="str">
        <f t="shared" si="88"/>
        <v>4</v>
      </c>
      <c r="C1904" s="10">
        <f t="shared" si="89"/>
        <v>44112</v>
      </c>
      <c r="D1904">
        <v>2008736</v>
      </c>
      <c r="E1904">
        <v>0</v>
      </c>
      <c r="F1904" s="6">
        <v>44113</v>
      </c>
      <c r="G1904">
        <v>41</v>
      </c>
      <c r="H1904" t="s">
        <v>189</v>
      </c>
      <c r="I1904" t="s">
        <v>120</v>
      </c>
    </row>
    <row r="1905" spans="1:9" x14ac:dyDescent="0.25">
      <c r="A1905" s="8" t="str">
        <f t="shared" si="87"/>
        <v>2008736.0P0</v>
      </c>
      <c r="B1905" s="9" t="str">
        <f t="shared" si="88"/>
        <v>4</v>
      </c>
      <c r="C1905" s="10">
        <f t="shared" si="89"/>
        <v>44112</v>
      </c>
      <c r="D1905">
        <v>2008736</v>
      </c>
      <c r="E1905" t="s">
        <v>119</v>
      </c>
      <c r="F1905" s="6">
        <v>44113</v>
      </c>
      <c r="G1905">
        <v>41</v>
      </c>
      <c r="H1905" t="s">
        <v>189</v>
      </c>
      <c r="I1905" t="s">
        <v>120</v>
      </c>
    </row>
    <row r="1906" spans="1:9" x14ac:dyDescent="0.25">
      <c r="A1906" s="8" t="str">
        <f t="shared" si="87"/>
        <v>2008737.000</v>
      </c>
      <c r="B1906" s="9" t="str">
        <f t="shared" si="88"/>
        <v>4</v>
      </c>
      <c r="C1906" s="10">
        <f t="shared" si="89"/>
        <v>44077</v>
      </c>
      <c r="D1906">
        <v>2008737</v>
      </c>
      <c r="E1906">
        <v>0</v>
      </c>
      <c r="F1906" s="6">
        <v>44078</v>
      </c>
      <c r="G1906">
        <v>4</v>
      </c>
      <c r="H1906" t="s">
        <v>180</v>
      </c>
      <c r="I1906" t="s">
        <v>120</v>
      </c>
    </row>
    <row r="1907" spans="1:9" x14ac:dyDescent="0.25">
      <c r="A1907" s="8" t="str">
        <f t="shared" si="87"/>
        <v>2008738.000</v>
      </c>
      <c r="B1907" s="9" t="str">
        <f t="shared" si="88"/>
        <v/>
      </c>
      <c r="C1907" s="10">
        <f t="shared" si="89"/>
        <v>44081</v>
      </c>
      <c r="D1907">
        <v>2008738</v>
      </c>
      <c r="E1907">
        <v>0</v>
      </c>
      <c r="F1907" s="6">
        <v>44085</v>
      </c>
      <c r="H1907" t="s">
        <v>180</v>
      </c>
      <c r="I1907" t="s">
        <v>120</v>
      </c>
    </row>
    <row r="1908" spans="1:9" x14ac:dyDescent="0.25">
      <c r="A1908" s="8" t="str">
        <f t="shared" si="87"/>
        <v>2008739.X00</v>
      </c>
      <c r="B1908" s="9" t="str">
        <f t="shared" si="88"/>
        <v>3</v>
      </c>
      <c r="C1908" s="10">
        <f t="shared" si="89"/>
        <v>44083</v>
      </c>
      <c r="D1908">
        <v>2008739</v>
      </c>
      <c r="E1908" t="s">
        <v>225</v>
      </c>
      <c r="F1908" s="6">
        <v>44085</v>
      </c>
      <c r="G1908">
        <v>3</v>
      </c>
      <c r="H1908" t="s">
        <v>189</v>
      </c>
      <c r="I1908" t="s">
        <v>120</v>
      </c>
    </row>
    <row r="1909" spans="1:9" x14ac:dyDescent="0.25">
      <c r="A1909" s="8" t="str">
        <f t="shared" si="87"/>
        <v>2008739.XP0</v>
      </c>
      <c r="B1909" s="9" t="str">
        <f t="shared" si="88"/>
        <v>3</v>
      </c>
      <c r="C1909" s="10">
        <f t="shared" si="89"/>
        <v>44083</v>
      </c>
      <c r="D1909">
        <v>2008739</v>
      </c>
      <c r="E1909" t="s">
        <v>181</v>
      </c>
      <c r="F1909" s="6">
        <v>44085</v>
      </c>
      <c r="G1909">
        <v>3</v>
      </c>
      <c r="H1909" t="s">
        <v>266</v>
      </c>
      <c r="I1909" t="s">
        <v>120</v>
      </c>
    </row>
    <row r="1910" spans="1:9" x14ac:dyDescent="0.25">
      <c r="A1910" s="8" t="str">
        <f t="shared" si="87"/>
        <v>2008740.X00</v>
      </c>
      <c r="B1910" s="9" t="str">
        <f t="shared" si="88"/>
        <v>3</v>
      </c>
      <c r="C1910" s="10">
        <f t="shared" si="89"/>
        <v>44111</v>
      </c>
      <c r="D1910">
        <v>2008740</v>
      </c>
      <c r="E1910" t="s">
        <v>225</v>
      </c>
      <c r="F1910" s="6">
        <v>44113</v>
      </c>
      <c r="G1910">
        <v>3</v>
      </c>
      <c r="H1910" t="s">
        <v>189</v>
      </c>
      <c r="I1910" t="s">
        <v>120</v>
      </c>
    </row>
    <row r="1911" spans="1:9" x14ac:dyDescent="0.25">
      <c r="A1911" s="8" t="str">
        <f t="shared" si="87"/>
        <v>2008741.0P0</v>
      </c>
      <c r="B1911" s="9" t="str">
        <f t="shared" si="88"/>
        <v>4</v>
      </c>
      <c r="C1911" s="10">
        <f t="shared" si="89"/>
        <v>44112</v>
      </c>
      <c r="D1911">
        <v>2008741</v>
      </c>
      <c r="E1911" t="s">
        <v>119</v>
      </c>
      <c r="F1911" s="6">
        <v>44113</v>
      </c>
      <c r="G1911">
        <v>41</v>
      </c>
      <c r="H1911" t="s">
        <v>189</v>
      </c>
      <c r="I1911" t="s">
        <v>120</v>
      </c>
    </row>
    <row r="1912" spans="1:9" x14ac:dyDescent="0.25">
      <c r="A1912" s="8" t="str">
        <f t="shared" si="87"/>
        <v>2008742.U01</v>
      </c>
      <c r="B1912" s="9" t="str">
        <f t="shared" si="88"/>
        <v/>
      </c>
      <c r="C1912" s="10">
        <f t="shared" si="89"/>
        <v>44102</v>
      </c>
      <c r="D1912">
        <v>2008742</v>
      </c>
      <c r="E1912" t="s">
        <v>150</v>
      </c>
      <c r="F1912" s="6">
        <v>44106</v>
      </c>
      <c r="H1912" t="s">
        <v>189</v>
      </c>
      <c r="I1912" t="s">
        <v>120</v>
      </c>
    </row>
    <row r="1913" spans="1:9" x14ac:dyDescent="0.25">
      <c r="A1913" s="8" t="str">
        <f t="shared" si="87"/>
        <v>2008742.U02</v>
      </c>
      <c r="B1913" s="9" t="str">
        <f t="shared" si="88"/>
        <v/>
      </c>
      <c r="C1913" s="10">
        <f t="shared" si="89"/>
        <v>44102</v>
      </c>
      <c r="D1913">
        <v>2008742</v>
      </c>
      <c r="E1913" t="s">
        <v>149</v>
      </c>
      <c r="F1913" s="6">
        <v>44106</v>
      </c>
      <c r="H1913" t="s">
        <v>189</v>
      </c>
      <c r="I1913" t="s">
        <v>120</v>
      </c>
    </row>
    <row r="1914" spans="1:9" x14ac:dyDescent="0.25">
      <c r="A1914" s="8" t="str">
        <f t="shared" si="87"/>
        <v>2008743.HP2</v>
      </c>
      <c r="B1914" s="9" t="str">
        <f t="shared" si="88"/>
        <v/>
      </c>
      <c r="C1914" s="10">
        <f t="shared" si="89"/>
        <v>44095</v>
      </c>
      <c r="D1914">
        <v>2008743</v>
      </c>
      <c r="E1914" t="s">
        <v>138</v>
      </c>
      <c r="F1914" s="6">
        <v>44099</v>
      </c>
      <c r="H1914" t="s">
        <v>188</v>
      </c>
      <c r="I1914" t="s">
        <v>120</v>
      </c>
    </row>
    <row r="1915" spans="1:9" x14ac:dyDescent="0.25">
      <c r="A1915" s="8" t="str">
        <f t="shared" si="87"/>
        <v>2008744.000</v>
      </c>
      <c r="B1915" s="9" t="str">
        <f t="shared" si="88"/>
        <v/>
      </c>
      <c r="C1915" s="10">
        <f t="shared" si="89"/>
        <v>44130</v>
      </c>
      <c r="D1915">
        <v>2008744</v>
      </c>
      <c r="E1915">
        <v>0</v>
      </c>
      <c r="F1915" s="6">
        <v>44134</v>
      </c>
      <c r="H1915" t="s">
        <v>189</v>
      </c>
      <c r="I1915" t="s">
        <v>120</v>
      </c>
    </row>
    <row r="1916" spans="1:9" x14ac:dyDescent="0.25">
      <c r="A1916" s="8" t="str">
        <f t="shared" si="87"/>
        <v>2008744.0P0</v>
      </c>
      <c r="B1916" s="9" t="str">
        <f t="shared" si="88"/>
        <v/>
      </c>
      <c r="C1916" s="10">
        <f t="shared" si="89"/>
        <v>44130</v>
      </c>
      <c r="D1916">
        <v>2008744</v>
      </c>
      <c r="E1916" t="s">
        <v>119</v>
      </c>
      <c r="F1916" s="6">
        <v>44134</v>
      </c>
      <c r="H1916" t="s">
        <v>189</v>
      </c>
      <c r="I1916" t="s">
        <v>120</v>
      </c>
    </row>
    <row r="1917" spans="1:9" x14ac:dyDescent="0.25">
      <c r="A1917" s="8" t="str">
        <f t="shared" si="87"/>
        <v>2008745.Y01</v>
      </c>
      <c r="B1917" s="9" t="str">
        <f t="shared" si="88"/>
        <v>3</v>
      </c>
      <c r="C1917" s="10">
        <f t="shared" si="89"/>
        <v>44104</v>
      </c>
      <c r="D1917">
        <v>2008745</v>
      </c>
      <c r="E1917" t="s">
        <v>132</v>
      </c>
      <c r="F1917" s="6">
        <v>44106</v>
      </c>
      <c r="G1917">
        <v>3</v>
      </c>
      <c r="H1917" t="s">
        <v>189</v>
      </c>
      <c r="I1917" t="s">
        <v>120</v>
      </c>
    </row>
    <row r="1918" spans="1:9" x14ac:dyDescent="0.25">
      <c r="A1918" s="8" t="str">
        <f t="shared" si="87"/>
        <v>2008745.Z00</v>
      </c>
      <c r="B1918" s="9" t="str">
        <f t="shared" si="88"/>
        <v>3</v>
      </c>
      <c r="C1918" s="10">
        <f t="shared" si="89"/>
        <v>44104</v>
      </c>
      <c r="D1918">
        <v>2008745</v>
      </c>
      <c r="E1918" t="s">
        <v>158</v>
      </c>
      <c r="F1918" s="6">
        <v>44106</v>
      </c>
      <c r="G1918">
        <v>3</v>
      </c>
      <c r="H1918" t="s">
        <v>189</v>
      </c>
      <c r="I1918" t="s">
        <v>120</v>
      </c>
    </row>
    <row r="1919" spans="1:9" x14ac:dyDescent="0.25">
      <c r="A1919" s="8" t="str">
        <f t="shared" si="87"/>
        <v>2008746.HP1</v>
      </c>
      <c r="B1919" s="9" t="str">
        <f t="shared" si="88"/>
        <v/>
      </c>
      <c r="C1919" s="10">
        <f t="shared" si="89"/>
        <v>44081</v>
      </c>
      <c r="D1919">
        <v>2008746</v>
      </c>
      <c r="E1919" t="s">
        <v>129</v>
      </c>
      <c r="F1919" s="6">
        <v>44085</v>
      </c>
      <c r="H1919" t="s">
        <v>180</v>
      </c>
      <c r="I1919" t="s">
        <v>120</v>
      </c>
    </row>
    <row r="1920" spans="1:9" x14ac:dyDescent="0.25">
      <c r="A1920" s="8" t="str">
        <f t="shared" si="87"/>
        <v>2008747.U02</v>
      </c>
      <c r="B1920" s="9" t="str">
        <f t="shared" si="88"/>
        <v/>
      </c>
      <c r="C1920" s="10">
        <f t="shared" si="89"/>
        <v>44102</v>
      </c>
      <c r="D1920">
        <v>2008747</v>
      </c>
      <c r="E1920" t="s">
        <v>149</v>
      </c>
      <c r="F1920" s="6">
        <v>44106</v>
      </c>
      <c r="H1920" t="s">
        <v>191</v>
      </c>
      <c r="I1920" t="s">
        <v>120</v>
      </c>
    </row>
    <row r="1921" spans="1:9" x14ac:dyDescent="0.25">
      <c r="A1921" s="8" t="str">
        <f t="shared" si="87"/>
        <v>2008747.Y02</v>
      </c>
      <c r="B1921" s="9" t="str">
        <f t="shared" si="88"/>
        <v/>
      </c>
      <c r="C1921" s="10">
        <f t="shared" si="89"/>
        <v>44102</v>
      </c>
      <c r="D1921">
        <v>2008747</v>
      </c>
      <c r="E1921" t="s">
        <v>144</v>
      </c>
      <c r="F1921" s="6">
        <v>44106</v>
      </c>
      <c r="H1921" t="s">
        <v>191</v>
      </c>
      <c r="I1921" t="s">
        <v>120</v>
      </c>
    </row>
    <row r="1922" spans="1:9" x14ac:dyDescent="0.25">
      <c r="A1922" s="8" t="str">
        <f t="shared" ref="A1922:A1985" si="90">IF(D1922="","",IF(E1922=0,CONCATENATE(D1922,".",E1922,"00"),CONCATENATE(D1922,".",E1922)))</f>
        <v>2008748.H01</v>
      </c>
      <c r="B1922" s="9" t="str">
        <f t="shared" ref="B1922:B1985" si="91">LEFT(G1922,1)</f>
        <v/>
      </c>
      <c r="C1922" s="10">
        <f t="shared" ref="C1922:C1985" si="92">IF(F1922="","",IF(B1922="",F1922-4,IF(B1922="1",F1922-4,IF(B1922="2",F1922-3,IF(B1922="3",F1922-2,IF(B1922="4",F1922-1,IF(B1922="V",F1922-7,IF(B1922="J",F1922-8,F1922))))))))</f>
        <v>44102</v>
      </c>
      <c r="D1922">
        <v>2008748</v>
      </c>
      <c r="E1922" t="s">
        <v>145</v>
      </c>
      <c r="F1922" s="6">
        <v>44106</v>
      </c>
      <c r="H1922" t="s">
        <v>189</v>
      </c>
      <c r="I1922" t="s">
        <v>120</v>
      </c>
    </row>
    <row r="1923" spans="1:9" x14ac:dyDescent="0.25">
      <c r="A1923" s="8" t="str">
        <f t="shared" si="90"/>
        <v>2008748.HP1</v>
      </c>
      <c r="B1923" s="9" t="str">
        <f t="shared" si="91"/>
        <v/>
      </c>
      <c r="C1923" s="10">
        <f t="shared" si="92"/>
        <v>44102</v>
      </c>
      <c r="D1923">
        <v>2008748</v>
      </c>
      <c r="E1923" t="s">
        <v>129</v>
      </c>
      <c r="F1923" s="6">
        <v>44106</v>
      </c>
      <c r="H1923" t="s">
        <v>189</v>
      </c>
      <c r="I1923" t="s">
        <v>120</v>
      </c>
    </row>
    <row r="1924" spans="1:9" x14ac:dyDescent="0.25">
      <c r="A1924" s="8" t="str">
        <f t="shared" si="90"/>
        <v>2008748.X02</v>
      </c>
      <c r="B1924" s="9" t="str">
        <f t="shared" si="91"/>
        <v/>
      </c>
      <c r="C1924" s="10">
        <f t="shared" si="92"/>
        <v>44102</v>
      </c>
      <c r="D1924">
        <v>2008748</v>
      </c>
      <c r="E1924" t="s">
        <v>166</v>
      </c>
      <c r="F1924" s="6">
        <v>44106</v>
      </c>
      <c r="H1924" t="s">
        <v>189</v>
      </c>
      <c r="I1924" t="s">
        <v>120</v>
      </c>
    </row>
    <row r="1925" spans="1:9" x14ac:dyDescent="0.25">
      <c r="A1925" s="8" t="str">
        <f t="shared" si="90"/>
        <v>2008748.Y02</v>
      </c>
      <c r="B1925" s="9" t="str">
        <f t="shared" si="91"/>
        <v/>
      </c>
      <c r="C1925" s="10">
        <f t="shared" si="92"/>
        <v>44102</v>
      </c>
      <c r="D1925">
        <v>2008748</v>
      </c>
      <c r="E1925" t="s">
        <v>144</v>
      </c>
      <c r="F1925" s="6">
        <v>44106</v>
      </c>
      <c r="H1925" t="s">
        <v>189</v>
      </c>
      <c r="I1925" t="s">
        <v>120</v>
      </c>
    </row>
    <row r="1926" spans="1:9" x14ac:dyDescent="0.25">
      <c r="A1926" s="8" t="str">
        <f t="shared" si="90"/>
        <v>2008749.000</v>
      </c>
      <c r="B1926" s="9" t="str">
        <f t="shared" si="91"/>
        <v>1</v>
      </c>
      <c r="C1926" s="10">
        <f t="shared" si="92"/>
        <v>44081</v>
      </c>
      <c r="D1926">
        <v>2008749</v>
      </c>
      <c r="E1926">
        <v>0</v>
      </c>
      <c r="F1926" s="6">
        <v>44085</v>
      </c>
      <c r="G1926">
        <v>1</v>
      </c>
      <c r="H1926" t="s">
        <v>266</v>
      </c>
      <c r="I1926" t="s">
        <v>120</v>
      </c>
    </row>
    <row r="1927" spans="1:9" x14ac:dyDescent="0.25">
      <c r="A1927" s="8" t="str">
        <f t="shared" si="90"/>
        <v>2008750.0P0</v>
      </c>
      <c r="B1927" s="9" t="str">
        <f t="shared" si="91"/>
        <v>1</v>
      </c>
      <c r="C1927" s="10">
        <f t="shared" si="92"/>
        <v>44081</v>
      </c>
      <c r="D1927">
        <v>2008750</v>
      </c>
      <c r="E1927" t="s">
        <v>119</v>
      </c>
      <c r="F1927" s="6">
        <v>44085</v>
      </c>
      <c r="G1927">
        <v>1</v>
      </c>
      <c r="H1927" t="s">
        <v>189</v>
      </c>
      <c r="I1927" t="s">
        <v>120</v>
      </c>
    </row>
    <row r="1928" spans="1:9" x14ac:dyDescent="0.25">
      <c r="A1928" s="8" t="str">
        <f t="shared" si="90"/>
        <v>2008751.000</v>
      </c>
      <c r="B1928" s="9" t="str">
        <f t="shared" si="91"/>
        <v/>
      </c>
      <c r="C1928" s="10">
        <f t="shared" si="92"/>
        <v>44074</v>
      </c>
      <c r="D1928">
        <v>2008751</v>
      </c>
      <c r="E1928">
        <v>0</v>
      </c>
      <c r="F1928" s="6">
        <v>44078</v>
      </c>
      <c r="H1928" t="s">
        <v>180</v>
      </c>
      <c r="I1928" t="s">
        <v>120</v>
      </c>
    </row>
    <row r="1929" spans="1:9" x14ac:dyDescent="0.25">
      <c r="A1929" s="8" t="str">
        <f t="shared" si="90"/>
        <v>2008752.000</v>
      </c>
      <c r="B1929" s="9" t="str">
        <f t="shared" si="91"/>
        <v>4</v>
      </c>
      <c r="C1929" s="10">
        <f t="shared" si="92"/>
        <v>44084</v>
      </c>
      <c r="D1929">
        <v>2008752</v>
      </c>
      <c r="E1929">
        <v>0</v>
      </c>
      <c r="F1929" s="6">
        <v>44085</v>
      </c>
      <c r="G1929">
        <v>41</v>
      </c>
      <c r="H1929" t="s">
        <v>180</v>
      </c>
      <c r="I1929" t="s">
        <v>120</v>
      </c>
    </row>
    <row r="1930" spans="1:9" x14ac:dyDescent="0.25">
      <c r="A1930" s="8" t="str">
        <f t="shared" si="90"/>
        <v>2008752.UP0</v>
      </c>
      <c r="B1930" s="9" t="str">
        <f t="shared" si="91"/>
        <v>4</v>
      </c>
      <c r="C1930" s="10">
        <f t="shared" si="92"/>
        <v>44084</v>
      </c>
      <c r="D1930">
        <v>2008752</v>
      </c>
      <c r="E1930" t="s">
        <v>136</v>
      </c>
      <c r="F1930" s="6">
        <v>44085</v>
      </c>
      <c r="G1930">
        <v>41</v>
      </c>
      <c r="H1930" t="s">
        <v>189</v>
      </c>
      <c r="I1930" t="s">
        <v>120</v>
      </c>
    </row>
    <row r="1931" spans="1:9" x14ac:dyDescent="0.25">
      <c r="A1931" s="8" t="str">
        <f t="shared" si="90"/>
        <v>2008753.H00</v>
      </c>
      <c r="B1931" s="9" t="str">
        <f t="shared" si="91"/>
        <v>4</v>
      </c>
      <c r="C1931" s="10">
        <f t="shared" si="92"/>
        <v>44084</v>
      </c>
      <c r="D1931">
        <v>2008753</v>
      </c>
      <c r="E1931" t="s">
        <v>122</v>
      </c>
      <c r="F1931" s="6">
        <v>44085</v>
      </c>
      <c r="G1931">
        <v>41</v>
      </c>
      <c r="H1931" t="s">
        <v>189</v>
      </c>
      <c r="I1931" t="s">
        <v>120</v>
      </c>
    </row>
    <row r="1932" spans="1:9" x14ac:dyDescent="0.25">
      <c r="A1932" s="8" t="str">
        <f t="shared" si="90"/>
        <v>2008753.HP0</v>
      </c>
      <c r="B1932" s="9" t="str">
        <f t="shared" si="91"/>
        <v>4</v>
      </c>
      <c r="C1932" s="10">
        <f t="shared" si="92"/>
        <v>44084</v>
      </c>
      <c r="D1932">
        <v>2008753</v>
      </c>
      <c r="E1932" t="s">
        <v>121</v>
      </c>
      <c r="F1932" s="6">
        <v>44085</v>
      </c>
      <c r="G1932">
        <v>41</v>
      </c>
      <c r="H1932" t="s">
        <v>180</v>
      </c>
      <c r="I1932" t="s">
        <v>120</v>
      </c>
    </row>
    <row r="1933" spans="1:9" x14ac:dyDescent="0.25">
      <c r="A1933" s="8" t="str">
        <f t="shared" si="90"/>
        <v>2008753.T01</v>
      </c>
      <c r="B1933" s="9" t="str">
        <f t="shared" si="91"/>
        <v>4</v>
      </c>
      <c r="C1933" s="10">
        <f t="shared" si="92"/>
        <v>44105</v>
      </c>
      <c r="D1933">
        <v>2008753</v>
      </c>
      <c r="E1933" t="s">
        <v>146</v>
      </c>
      <c r="F1933" s="6">
        <v>44106</v>
      </c>
      <c r="G1933">
        <v>41</v>
      </c>
      <c r="H1933" t="s">
        <v>189</v>
      </c>
      <c r="I1933" t="s">
        <v>120</v>
      </c>
    </row>
    <row r="1934" spans="1:9" x14ac:dyDescent="0.25">
      <c r="A1934" s="8" t="str">
        <f t="shared" si="90"/>
        <v>2008753.Y01</v>
      </c>
      <c r="B1934" s="9" t="str">
        <f t="shared" si="91"/>
        <v>4</v>
      </c>
      <c r="C1934" s="10">
        <f t="shared" si="92"/>
        <v>44084</v>
      </c>
      <c r="D1934">
        <v>2008753</v>
      </c>
      <c r="E1934" t="s">
        <v>132</v>
      </c>
      <c r="F1934" s="6">
        <v>44085</v>
      </c>
      <c r="G1934">
        <v>41</v>
      </c>
      <c r="H1934" t="s">
        <v>189</v>
      </c>
      <c r="I1934" t="s">
        <v>120</v>
      </c>
    </row>
    <row r="1935" spans="1:9" x14ac:dyDescent="0.25">
      <c r="A1935" s="8" t="str">
        <f t="shared" si="90"/>
        <v>2008754.000</v>
      </c>
      <c r="B1935" s="9" t="str">
        <f t="shared" si="91"/>
        <v/>
      </c>
      <c r="C1935" s="10">
        <f t="shared" si="92"/>
        <v>44081</v>
      </c>
      <c r="D1935">
        <v>2008754</v>
      </c>
      <c r="E1935">
        <v>0</v>
      </c>
      <c r="F1935" s="6">
        <v>44085</v>
      </c>
      <c r="H1935" t="s">
        <v>180</v>
      </c>
      <c r="I1935" t="s">
        <v>120</v>
      </c>
    </row>
    <row r="1936" spans="1:9" x14ac:dyDescent="0.25">
      <c r="A1936" s="8" t="str">
        <f t="shared" si="90"/>
        <v>2008755.000</v>
      </c>
      <c r="B1936" s="9" t="str">
        <f t="shared" si="91"/>
        <v/>
      </c>
      <c r="C1936" s="10">
        <f t="shared" si="92"/>
        <v>44081</v>
      </c>
      <c r="D1936">
        <v>2008755</v>
      </c>
      <c r="E1936">
        <v>0</v>
      </c>
      <c r="F1936" s="6">
        <v>44085</v>
      </c>
      <c r="H1936" t="s">
        <v>180</v>
      </c>
      <c r="I1936" t="s">
        <v>120</v>
      </c>
    </row>
    <row r="1937" spans="1:9" x14ac:dyDescent="0.25">
      <c r="A1937" s="8" t="str">
        <f t="shared" si="90"/>
        <v>2008757.000</v>
      </c>
      <c r="B1937" s="9" t="str">
        <f t="shared" si="91"/>
        <v/>
      </c>
      <c r="C1937" s="10">
        <f t="shared" si="92"/>
        <v>44088</v>
      </c>
      <c r="D1937">
        <v>2008757</v>
      </c>
      <c r="E1937">
        <v>0</v>
      </c>
      <c r="F1937" s="6">
        <v>44092</v>
      </c>
      <c r="H1937" t="s">
        <v>189</v>
      </c>
      <c r="I1937" t="s">
        <v>120</v>
      </c>
    </row>
    <row r="1938" spans="1:9" x14ac:dyDescent="0.25">
      <c r="A1938" s="8" t="str">
        <f t="shared" si="90"/>
        <v>2008757.0P0</v>
      </c>
      <c r="B1938" s="9" t="str">
        <f t="shared" si="91"/>
        <v/>
      </c>
      <c r="C1938" s="10">
        <f t="shared" si="92"/>
        <v>44088</v>
      </c>
      <c r="D1938">
        <v>2008757</v>
      </c>
      <c r="E1938" t="s">
        <v>119</v>
      </c>
      <c r="F1938" s="6">
        <v>44092</v>
      </c>
      <c r="H1938" t="s">
        <v>189</v>
      </c>
      <c r="I1938" t="s">
        <v>120</v>
      </c>
    </row>
    <row r="1939" spans="1:9" x14ac:dyDescent="0.25">
      <c r="A1939" s="8" t="str">
        <f t="shared" si="90"/>
        <v>2008758.X00</v>
      </c>
      <c r="B1939" s="9" t="str">
        <f t="shared" si="91"/>
        <v/>
      </c>
      <c r="C1939" s="10">
        <f t="shared" si="92"/>
        <v>44081</v>
      </c>
      <c r="D1939">
        <v>2008758</v>
      </c>
      <c r="E1939" t="s">
        <v>225</v>
      </c>
      <c r="F1939" s="6">
        <v>44085</v>
      </c>
      <c r="H1939" t="s">
        <v>180</v>
      </c>
      <c r="I1939" t="s">
        <v>120</v>
      </c>
    </row>
    <row r="1940" spans="1:9" x14ac:dyDescent="0.25">
      <c r="A1940" s="8" t="str">
        <f t="shared" si="90"/>
        <v>2008759.N0L</v>
      </c>
      <c r="B1940" s="9" t="str">
        <f t="shared" si="91"/>
        <v>1</v>
      </c>
      <c r="C1940" s="10">
        <f t="shared" si="92"/>
        <v>44067</v>
      </c>
      <c r="D1940">
        <v>2008759</v>
      </c>
      <c r="E1940" t="s">
        <v>133</v>
      </c>
      <c r="F1940" s="6">
        <v>44071</v>
      </c>
      <c r="G1940">
        <v>12</v>
      </c>
      <c r="H1940" t="s">
        <v>194</v>
      </c>
      <c r="I1940" t="s">
        <v>120</v>
      </c>
    </row>
    <row r="1941" spans="1:9" x14ac:dyDescent="0.25">
      <c r="A1941" s="8" t="str">
        <f t="shared" si="90"/>
        <v>2008760.HP1</v>
      </c>
      <c r="B1941" s="9" t="str">
        <f t="shared" si="91"/>
        <v/>
      </c>
      <c r="C1941" s="10">
        <f t="shared" si="92"/>
        <v>44095</v>
      </c>
      <c r="D1941">
        <v>2008760</v>
      </c>
      <c r="E1941" t="s">
        <v>129</v>
      </c>
      <c r="F1941" s="6">
        <v>44099</v>
      </c>
      <c r="H1941" t="s">
        <v>189</v>
      </c>
      <c r="I1941" t="s">
        <v>120</v>
      </c>
    </row>
    <row r="1942" spans="1:9" x14ac:dyDescent="0.25">
      <c r="A1942" s="8" t="str">
        <f t="shared" si="90"/>
        <v>2008761.H00</v>
      </c>
      <c r="B1942" s="9" t="str">
        <f t="shared" si="91"/>
        <v>1</v>
      </c>
      <c r="C1942" s="10">
        <f t="shared" si="92"/>
        <v>44116</v>
      </c>
      <c r="D1942">
        <v>2008761</v>
      </c>
      <c r="E1942" t="s">
        <v>122</v>
      </c>
      <c r="F1942" s="6">
        <v>44120</v>
      </c>
      <c r="G1942">
        <v>1</v>
      </c>
      <c r="H1942" t="s">
        <v>189</v>
      </c>
      <c r="I1942" t="s">
        <v>120</v>
      </c>
    </row>
    <row r="1943" spans="1:9" x14ac:dyDescent="0.25">
      <c r="A1943" s="8" t="str">
        <f t="shared" si="90"/>
        <v>2008762.0P0</v>
      </c>
      <c r="B1943" s="9" t="str">
        <f t="shared" si="91"/>
        <v/>
      </c>
      <c r="C1943" s="10">
        <f t="shared" si="92"/>
        <v>44130</v>
      </c>
      <c r="D1943">
        <v>2008762</v>
      </c>
      <c r="E1943" t="s">
        <v>119</v>
      </c>
      <c r="F1943" s="6">
        <v>44134</v>
      </c>
      <c r="H1943" t="s">
        <v>189</v>
      </c>
      <c r="I1943" t="s">
        <v>120</v>
      </c>
    </row>
    <row r="1944" spans="1:9" x14ac:dyDescent="0.25">
      <c r="A1944" s="8" t="str">
        <f t="shared" si="90"/>
        <v>2008763.UP0</v>
      </c>
      <c r="B1944" s="9" t="str">
        <f t="shared" si="91"/>
        <v/>
      </c>
      <c r="C1944" s="10">
        <f t="shared" si="92"/>
        <v>44123</v>
      </c>
      <c r="D1944">
        <v>2008763</v>
      </c>
      <c r="E1944" t="s">
        <v>136</v>
      </c>
      <c r="F1944" s="6">
        <v>44127</v>
      </c>
      <c r="H1944" t="s">
        <v>189</v>
      </c>
      <c r="I1944" t="s">
        <v>120</v>
      </c>
    </row>
    <row r="1945" spans="1:9" x14ac:dyDescent="0.25">
      <c r="A1945" s="8" t="str">
        <f t="shared" si="90"/>
        <v>2008764.0P0</v>
      </c>
      <c r="B1945" s="9" t="str">
        <f t="shared" si="91"/>
        <v/>
      </c>
      <c r="C1945" s="10">
        <f t="shared" si="92"/>
        <v>44123</v>
      </c>
      <c r="D1945">
        <v>2008764</v>
      </c>
      <c r="E1945" t="s">
        <v>119</v>
      </c>
      <c r="F1945" s="6">
        <v>44127</v>
      </c>
      <c r="H1945" t="s">
        <v>189</v>
      </c>
      <c r="I1945" t="s">
        <v>120</v>
      </c>
    </row>
    <row r="1946" spans="1:9" x14ac:dyDescent="0.25">
      <c r="A1946" s="8" t="str">
        <f t="shared" si="90"/>
        <v>2008765.U02</v>
      </c>
      <c r="B1946" s="9" t="str">
        <f t="shared" si="91"/>
        <v/>
      </c>
      <c r="C1946" s="10">
        <f t="shared" si="92"/>
        <v>44102</v>
      </c>
      <c r="D1946">
        <v>2008765</v>
      </c>
      <c r="E1946" t="s">
        <v>149</v>
      </c>
      <c r="F1946" s="6">
        <v>44106</v>
      </c>
      <c r="H1946" t="s">
        <v>189</v>
      </c>
      <c r="I1946" t="s">
        <v>120</v>
      </c>
    </row>
    <row r="1947" spans="1:9" x14ac:dyDescent="0.25">
      <c r="A1947" s="8" t="str">
        <f t="shared" si="90"/>
        <v>2008766.000</v>
      </c>
      <c r="B1947" s="9" t="str">
        <f t="shared" si="91"/>
        <v/>
      </c>
      <c r="C1947" s="10">
        <f t="shared" si="92"/>
        <v>44074</v>
      </c>
      <c r="D1947">
        <v>2008766</v>
      </c>
      <c r="E1947">
        <v>0</v>
      </c>
      <c r="F1947" s="6">
        <v>44078</v>
      </c>
      <c r="H1947" t="s">
        <v>180</v>
      </c>
      <c r="I1947" t="s">
        <v>120</v>
      </c>
    </row>
    <row r="1948" spans="1:9" x14ac:dyDescent="0.25">
      <c r="A1948" s="8" t="str">
        <f t="shared" si="90"/>
        <v>2008767.XP0</v>
      </c>
      <c r="B1948" s="9" t="str">
        <f t="shared" si="91"/>
        <v/>
      </c>
      <c r="C1948" s="10">
        <f t="shared" si="92"/>
        <v>44102</v>
      </c>
      <c r="D1948">
        <v>2008767</v>
      </c>
      <c r="E1948" t="s">
        <v>181</v>
      </c>
      <c r="F1948" s="6">
        <v>44106</v>
      </c>
      <c r="H1948" t="s">
        <v>189</v>
      </c>
      <c r="I1948" t="s">
        <v>120</v>
      </c>
    </row>
    <row r="1949" spans="1:9" x14ac:dyDescent="0.25">
      <c r="A1949" s="8" t="str">
        <f t="shared" si="90"/>
        <v>2008768.000</v>
      </c>
      <c r="B1949" s="9" t="str">
        <f t="shared" si="91"/>
        <v>3</v>
      </c>
      <c r="C1949" s="10">
        <f t="shared" si="92"/>
        <v>44104</v>
      </c>
      <c r="D1949">
        <v>2008768</v>
      </c>
      <c r="E1949">
        <v>0</v>
      </c>
      <c r="F1949" s="6">
        <v>44106</v>
      </c>
      <c r="G1949">
        <v>3</v>
      </c>
      <c r="H1949" t="s">
        <v>189</v>
      </c>
      <c r="I1949" t="s">
        <v>120</v>
      </c>
    </row>
    <row r="1950" spans="1:9" x14ac:dyDescent="0.25">
      <c r="A1950" s="8" t="str">
        <f t="shared" si="90"/>
        <v>2008768.Y00</v>
      </c>
      <c r="B1950" s="9" t="str">
        <f t="shared" si="91"/>
        <v>3</v>
      </c>
      <c r="C1950" s="10">
        <f t="shared" si="92"/>
        <v>44104</v>
      </c>
      <c r="D1950">
        <v>2008768</v>
      </c>
      <c r="E1950" t="s">
        <v>130</v>
      </c>
      <c r="F1950" s="6">
        <v>44106</v>
      </c>
      <c r="G1950">
        <v>3</v>
      </c>
      <c r="H1950" t="s">
        <v>189</v>
      </c>
      <c r="I1950" t="s">
        <v>120</v>
      </c>
    </row>
    <row r="1951" spans="1:9" x14ac:dyDescent="0.25">
      <c r="A1951" s="8" t="str">
        <f t="shared" si="90"/>
        <v>2008769.000</v>
      </c>
      <c r="B1951" s="9" t="str">
        <f t="shared" si="91"/>
        <v/>
      </c>
      <c r="C1951" s="10">
        <f t="shared" si="92"/>
        <v>44088</v>
      </c>
      <c r="D1951">
        <v>2008769</v>
      </c>
      <c r="E1951">
        <v>0</v>
      </c>
      <c r="F1951" s="6">
        <v>44092</v>
      </c>
      <c r="H1951" t="s">
        <v>189</v>
      </c>
      <c r="I1951" t="s">
        <v>120</v>
      </c>
    </row>
    <row r="1952" spans="1:9" x14ac:dyDescent="0.25">
      <c r="A1952" s="8" t="str">
        <f t="shared" si="90"/>
        <v>2008770.0P0</v>
      </c>
      <c r="B1952" s="9" t="str">
        <f t="shared" si="91"/>
        <v/>
      </c>
      <c r="C1952" s="10">
        <f t="shared" si="92"/>
        <v>44123</v>
      </c>
      <c r="D1952">
        <v>2008770</v>
      </c>
      <c r="E1952" t="s">
        <v>119</v>
      </c>
      <c r="F1952" s="6">
        <v>44127</v>
      </c>
      <c r="H1952" t="s">
        <v>189</v>
      </c>
      <c r="I1952" t="s">
        <v>120</v>
      </c>
    </row>
    <row r="1953" spans="1:9" x14ac:dyDescent="0.25">
      <c r="A1953" s="8" t="str">
        <f t="shared" si="90"/>
        <v>2008771.00L</v>
      </c>
      <c r="B1953" s="9" t="str">
        <f t="shared" si="91"/>
        <v/>
      </c>
      <c r="C1953" s="10">
        <f t="shared" si="92"/>
        <v>44123</v>
      </c>
      <c r="D1953">
        <v>2008771</v>
      </c>
      <c r="E1953" t="s">
        <v>237</v>
      </c>
      <c r="F1953" s="6">
        <v>44127</v>
      </c>
      <c r="H1953" t="s">
        <v>189</v>
      </c>
      <c r="I1953" t="s">
        <v>120</v>
      </c>
    </row>
    <row r="1954" spans="1:9" x14ac:dyDescent="0.25">
      <c r="A1954" s="8" t="str">
        <f t="shared" si="90"/>
        <v>2008772.00L</v>
      </c>
      <c r="B1954" s="9" t="str">
        <f t="shared" si="91"/>
        <v/>
      </c>
      <c r="C1954" s="10">
        <f t="shared" si="92"/>
        <v>44172</v>
      </c>
      <c r="D1954">
        <v>2008772</v>
      </c>
      <c r="E1954" t="s">
        <v>237</v>
      </c>
      <c r="F1954" s="6">
        <v>44176</v>
      </c>
      <c r="H1954" t="s">
        <v>189</v>
      </c>
      <c r="I1954" t="s">
        <v>120</v>
      </c>
    </row>
    <row r="1955" spans="1:9" x14ac:dyDescent="0.25">
      <c r="A1955" s="8" t="str">
        <f t="shared" si="90"/>
        <v>2008773.H00</v>
      </c>
      <c r="B1955" s="9" t="str">
        <f t="shared" si="91"/>
        <v/>
      </c>
      <c r="C1955" s="10">
        <f t="shared" si="92"/>
        <v>44151</v>
      </c>
      <c r="D1955">
        <v>2008773</v>
      </c>
      <c r="E1955" t="s">
        <v>122</v>
      </c>
      <c r="F1955" s="6">
        <v>44155</v>
      </c>
      <c r="H1955" t="s">
        <v>189</v>
      </c>
      <c r="I1955" t="s">
        <v>120</v>
      </c>
    </row>
    <row r="1956" spans="1:9" x14ac:dyDescent="0.25">
      <c r="A1956" s="8" t="str">
        <f t="shared" si="90"/>
        <v>2008775.000</v>
      </c>
      <c r="B1956" s="9" t="str">
        <f t="shared" si="91"/>
        <v/>
      </c>
      <c r="C1956" s="10">
        <f t="shared" si="92"/>
        <v>44081</v>
      </c>
      <c r="D1956">
        <v>2008775</v>
      </c>
      <c r="E1956">
        <v>0</v>
      </c>
      <c r="F1956" s="6">
        <v>44085</v>
      </c>
      <c r="H1956" t="s">
        <v>189</v>
      </c>
      <c r="I1956" t="s">
        <v>120</v>
      </c>
    </row>
    <row r="1957" spans="1:9" x14ac:dyDescent="0.25">
      <c r="A1957" s="8" t="str">
        <f t="shared" si="90"/>
        <v>2008776.HP0</v>
      </c>
      <c r="B1957" s="9" t="str">
        <f t="shared" si="91"/>
        <v/>
      </c>
      <c r="C1957" s="10">
        <f t="shared" si="92"/>
        <v>44095</v>
      </c>
      <c r="D1957">
        <v>2008776</v>
      </c>
      <c r="E1957" t="s">
        <v>121</v>
      </c>
      <c r="F1957" s="6">
        <v>44099</v>
      </c>
      <c r="H1957" t="s">
        <v>189</v>
      </c>
      <c r="I1957" t="s">
        <v>120</v>
      </c>
    </row>
    <row r="1958" spans="1:9" x14ac:dyDescent="0.25">
      <c r="A1958" s="8" t="str">
        <f t="shared" si="90"/>
        <v>2008777.H01</v>
      </c>
      <c r="B1958" s="9" t="str">
        <f t="shared" si="91"/>
        <v/>
      </c>
      <c r="C1958" s="10">
        <f t="shared" si="92"/>
        <v>44095</v>
      </c>
      <c r="D1958">
        <v>2008777</v>
      </c>
      <c r="E1958" t="s">
        <v>145</v>
      </c>
      <c r="F1958" s="6">
        <v>44099</v>
      </c>
      <c r="H1958" t="s">
        <v>189</v>
      </c>
      <c r="I1958" t="s">
        <v>120</v>
      </c>
    </row>
    <row r="1959" spans="1:9" x14ac:dyDescent="0.25">
      <c r="A1959" s="8" t="str">
        <f t="shared" si="90"/>
        <v>2008778.000</v>
      </c>
      <c r="B1959" s="9" t="str">
        <f t="shared" si="91"/>
        <v/>
      </c>
      <c r="C1959" s="10">
        <f t="shared" si="92"/>
        <v>44081</v>
      </c>
      <c r="D1959">
        <v>2008778</v>
      </c>
      <c r="E1959">
        <v>0</v>
      </c>
      <c r="F1959" s="6">
        <v>44085</v>
      </c>
      <c r="H1959" t="s">
        <v>189</v>
      </c>
      <c r="I1959" t="s">
        <v>120</v>
      </c>
    </row>
    <row r="1960" spans="1:9" x14ac:dyDescent="0.25">
      <c r="A1960" s="8" t="str">
        <f t="shared" si="90"/>
        <v>2008780.000</v>
      </c>
      <c r="B1960" s="9" t="str">
        <f t="shared" si="91"/>
        <v/>
      </c>
      <c r="C1960" s="10">
        <f t="shared" si="92"/>
        <v>44081</v>
      </c>
      <c r="D1960">
        <v>2008780</v>
      </c>
      <c r="E1960">
        <v>0</v>
      </c>
      <c r="F1960" s="6">
        <v>44085</v>
      </c>
      <c r="H1960" t="s">
        <v>189</v>
      </c>
      <c r="I1960" t="s">
        <v>120</v>
      </c>
    </row>
    <row r="1961" spans="1:9" x14ac:dyDescent="0.25">
      <c r="A1961" s="8" t="str">
        <f t="shared" si="90"/>
        <v>2008782.0P0</v>
      </c>
      <c r="B1961" s="9" t="str">
        <f t="shared" si="91"/>
        <v/>
      </c>
      <c r="C1961" s="10">
        <f t="shared" si="92"/>
        <v>44081</v>
      </c>
      <c r="D1961">
        <v>2008782</v>
      </c>
      <c r="E1961" t="s">
        <v>119</v>
      </c>
      <c r="F1961" s="6">
        <v>44085</v>
      </c>
      <c r="H1961" t="s">
        <v>266</v>
      </c>
      <c r="I1961" t="s">
        <v>120</v>
      </c>
    </row>
    <row r="1962" spans="1:9" x14ac:dyDescent="0.25">
      <c r="A1962" s="8" t="str">
        <f t="shared" si="90"/>
        <v>2008783.000</v>
      </c>
      <c r="B1962" s="9" t="str">
        <f t="shared" si="91"/>
        <v/>
      </c>
      <c r="C1962" s="10">
        <f t="shared" si="92"/>
        <v>44081</v>
      </c>
      <c r="D1962">
        <v>2008783</v>
      </c>
      <c r="E1962">
        <v>0</v>
      </c>
      <c r="F1962" s="6">
        <v>44085</v>
      </c>
      <c r="H1962" t="s">
        <v>180</v>
      </c>
      <c r="I1962" t="s">
        <v>120</v>
      </c>
    </row>
    <row r="1963" spans="1:9" x14ac:dyDescent="0.25">
      <c r="A1963" s="8" t="str">
        <f t="shared" si="90"/>
        <v>2008784.000</v>
      </c>
      <c r="B1963" s="9" t="str">
        <f t="shared" si="91"/>
        <v/>
      </c>
      <c r="C1963" s="10">
        <f t="shared" si="92"/>
        <v>44081</v>
      </c>
      <c r="D1963">
        <v>2008784</v>
      </c>
      <c r="E1963">
        <v>0</v>
      </c>
      <c r="F1963" s="6">
        <v>44085</v>
      </c>
      <c r="H1963" t="s">
        <v>180</v>
      </c>
      <c r="I1963" t="s">
        <v>120</v>
      </c>
    </row>
    <row r="1964" spans="1:9" x14ac:dyDescent="0.25">
      <c r="A1964" s="8" t="str">
        <f t="shared" si="90"/>
        <v>2008785.Y00</v>
      </c>
      <c r="B1964" s="9" t="str">
        <f t="shared" si="91"/>
        <v/>
      </c>
      <c r="C1964" s="10">
        <f t="shared" si="92"/>
        <v>44102</v>
      </c>
      <c r="D1964">
        <v>2008785</v>
      </c>
      <c r="E1964" t="s">
        <v>130</v>
      </c>
      <c r="F1964" s="6">
        <v>44106</v>
      </c>
      <c r="H1964" t="s">
        <v>189</v>
      </c>
      <c r="I1964" t="s">
        <v>120</v>
      </c>
    </row>
    <row r="1965" spans="1:9" x14ac:dyDescent="0.25">
      <c r="A1965" s="8" t="str">
        <f t="shared" si="90"/>
        <v>2008786.000</v>
      </c>
      <c r="B1965" s="9" t="str">
        <f t="shared" si="91"/>
        <v/>
      </c>
      <c r="C1965" s="10">
        <f t="shared" si="92"/>
        <v>44081</v>
      </c>
      <c r="D1965">
        <v>2008786</v>
      </c>
      <c r="E1965">
        <v>0</v>
      </c>
      <c r="F1965" s="6">
        <v>44085</v>
      </c>
      <c r="H1965" t="s">
        <v>180</v>
      </c>
      <c r="I1965" t="s">
        <v>120</v>
      </c>
    </row>
    <row r="1966" spans="1:9" x14ac:dyDescent="0.25">
      <c r="A1966" s="8" t="str">
        <f t="shared" si="90"/>
        <v>2008787.X00</v>
      </c>
      <c r="B1966" s="9" t="str">
        <f t="shared" si="91"/>
        <v>1</v>
      </c>
      <c r="C1966" s="10">
        <f t="shared" si="92"/>
        <v>44081</v>
      </c>
      <c r="D1966">
        <v>2008787</v>
      </c>
      <c r="E1966" t="s">
        <v>225</v>
      </c>
      <c r="F1966" s="6">
        <v>44085</v>
      </c>
      <c r="G1966">
        <v>1</v>
      </c>
      <c r="H1966" t="s">
        <v>191</v>
      </c>
      <c r="I1966" t="s">
        <v>120</v>
      </c>
    </row>
    <row r="1967" spans="1:9" x14ac:dyDescent="0.25">
      <c r="A1967" s="8" t="str">
        <f t="shared" si="90"/>
        <v>2008788.000</v>
      </c>
      <c r="B1967" s="9" t="str">
        <f t="shared" si="91"/>
        <v>4</v>
      </c>
      <c r="C1967" s="10">
        <f t="shared" si="92"/>
        <v>44112</v>
      </c>
      <c r="D1967">
        <v>2008788</v>
      </c>
      <c r="E1967">
        <v>0</v>
      </c>
      <c r="F1967" s="6">
        <v>44113</v>
      </c>
      <c r="G1967">
        <v>4</v>
      </c>
      <c r="H1967" t="s">
        <v>189</v>
      </c>
      <c r="I1967" t="s">
        <v>120</v>
      </c>
    </row>
    <row r="1968" spans="1:9" x14ac:dyDescent="0.25">
      <c r="A1968" s="8" t="str">
        <f t="shared" si="90"/>
        <v>2008788.0P0</v>
      </c>
      <c r="B1968" s="9" t="str">
        <f t="shared" si="91"/>
        <v>4</v>
      </c>
      <c r="C1968" s="10">
        <f t="shared" si="92"/>
        <v>44112</v>
      </c>
      <c r="D1968">
        <v>2008788</v>
      </c>
      <c r="E1968" t="s">
        <v>119</v>
      </c>
      <c r="F1968" s="6">
        <v>44113</v>
      </c>
      <c r="G1968">
        <v>4</v>
      </c>
      <c r="H1968" t="s">
        <v>189</v>
      </c>
      <c r="I1968" t="s">
        <v>120</v>
      </c>
    </row>
    <row r="1969" spans="1:9" x14ac:dyDescent="0.25">
      <c r="A1969" s="8" t="str">
        <f t="shared" si="90"/>
        <v>2008789.0P0</v>
      </c>
      <c r="B1969" s="9" t="str">
        <f t="shared" si="91"/>
        <v>4</v>
      </c>
      <c r="C1969" s="10">
        <f t="shared" si="92"/>
        <v>44112</v>
      </c>
      <c r="D1969">
        <v>2008789</v>
      </c>
      <c r="E1969" t="s">
        <v>119</v>
      </c>
      <c r="F1969" s="6">
        <v>44113</v>
      </c>
      <c r="G1969">
        <v>4</v>
      </c>
      <c r="H1969" t="s">
        <v>189</v>
      </c>
      <c r="I1969" t="s">
        <v>120</v>
      </c>
    </row>
    <row r="1970" spans="1:9" x14ac:dyDescent="0.25">
      <c r="A1970" s="8" t="str">
        <f t="shared" si="90"/>
        <v>2008791.000</v>
      </c>
      <c r="B1970" s="9" t="str">
        <f t="shared" si="91"/>
        <v/>
      </c>
      <c r="C1970" s="10">
        <f t="shared" si="92"/>
        <v>44081</v>
      </c>
      <c r="D1970">
        <v>2008791</v>
      </c>
      <c r="E1970">
        <v>0</v>
      </c>
      <c r="F1970" s="6">
        <v>44085</v>
      </c>
      <c r="H1970" t="s">
        <v>191</v>
      </c>
      <c r="I1970" t="s">
        <v>120</v>
      </c>
    </row>
    <row r="1971" spans="1:9" x14ac:dyDescent="0.25">
      <c r="A1971" s="8" t="str">
        <f t="shared" si="90"/>
        <v>2008791.0P0</v>
      </c>
      <c r="B1971" s="9" t="str">
        <f t="shared" si="91"/>
        <v/>
      </c>
      <c r="C1971" s="10">
        <f t="shared" si="92"/>
        <v>44081</v>
      </c>
      <c r="D1971">
        <v>2008791</v>
      </c>
      <c r="E1971" t="s">
        <v>119</v>
      </c>
      <c r="F1971" s="6">
        <v>44085</v>
      </c>
      <c r="H1971" t="s">
        <v>191</v>
      </c>
      <c r="I1971" t="s">
        <v>120</v>
      </c>
    </row>
    <row r="1972" spans="1:9" x14ac:dyDescent="0.25">
      <c r="A1972" s="8" t="str">
        <f t="shared" si="90"/>
        <v>2008792.000</v>
      </c>
      <c r="B1972" s="9" t="str">
        <f t="shared" si="91"/>
        <v>4</v>
      </c>
      <c r="C1972" s="10">
        <f t="shared" si="92"/>
        <v>44126</v>
      </c>
      <c r="D1972">
        <v>2008792</v>
      </c>
      <c r="E1972">
        <v>0</v>
      </c>
      <c r="F1972" s="6">
        <v>44127</v>
      </c>
      <c r="G1972">
        <v>41</v>
      </c>
      <c r="H1972" t="s">
        <v>189</v>
      </c>
      <c r="I1972" t="s">
        <v>120</v>
      </c>
    </row>
    <row r="1973" spans="1:9" x14ac:dyDescent="0.25">
      <c r="A1973" s="8" t="str">
        <f t="shared" si="90"/>
        <v>2008792.0P0</v>
      </c>
      <c r="B1973" s="9" t="str">
        <f t="shared" si="91"/>
        <v>4</v>
      </c>
      <c r="C1973" s="10">
        <f t="shared" si="92"/>
        <v>44126</v>
      </c>
      <c r="D1973">
        <v>2008792</v>
      </c>
      <c r="E1973" t="s">
        <v>119</v>
      </c>
      <c r="F1973" s="6">
        <v>44127</v>
      </c>
      <c r="G1973">
        <v>41</v>
      </c>
      <c r="H1973" t="s">
        <v>189</v>
      </c>
      <c r="I1973" t="s">
        <v>120</v>
      </c>
    </row>
    <row r="1974" spans="1:9" x14ac:dyDescent="0.25">
      <c r="A1974" s="8" t="str">
        <f t="shared" si="90"/>
        <v>2008792.H00</v>
      </c>
      <c r="B1974" s="9" t="str">
        <f t="shared" si="91"/>
        <v>4</v>
      </c>
      <c r="C1974" s="10">
        <f t="shared" si="92"/>
        <v>44126</v>
      </c>
      <c r="D1974">
        <v>2008792</v>
      </c>
      <c r="E1974" t="s">
        <v>122</v>
      </c>
      <c r="F1974" s="6">
        <v>44127</v>
      </c>
      <c r="G1974">
        <v>41</v>
      </c>
      <c r="H1974" t="s">
        <v>189</v>
      </c>
      <c r="I1974" t="s">
        <v>120</v>
      </c>
    </row>
    <row r="1975" spans="1:9" x14ac:dyDescent="0.25">
      <c r="A1975" s="8" t="str">
        <f t="shared" si="90"/>
        <v>2008792.HP2</v>
      </c>
      <c r="B1975" s="9" t="str">
        <f t="shared" si="91"/>
        <v>4</v>
      </c>
      <c r="C1975" s="10">
        <f t="shared" si="92"/>
        <v>44126</v>
      </c>
      <c r="D1975">
        <v>2008792</v>
      </c>
      <c r="E1975" t="s">
        <v>138</v>
      </c>
      <c r="F1975" s="6">
        <v>44127</v>
      </c>
      <c r="G1975">
        <v>41</v>
      </c>
      <c r="H1975" t="s">
        <v>189</v>
      </c>
      <c r="I1975" t="s">
        <v>120</v>
      </c>
    </row>
    <row r="1976" spans="1:9" x14ac:dyDescent="0.25">
      <c r="A1976" s="8" t="str">
        <f t="shared" si="90"/>
        <v>2008792.Y00</v>
      </c>
      <c r="B1976" s="9" t="str">
        <f t="shared" si="91"/>
        <v>4</v>
      </c>
      <c r="C1976" s="10">
        <f t="shared" si="92"/>
        <v>44126</v>
      </c>
      <c r="D1976">
        <v>2008792</v>
      </c>
      <c r="E1976" t="s">
        <v>130</v>
      </c>
      <c r="F1976" s="6">
        <v>44127</v>
      </c>
      <c r="G1976">
        <v>41</v>
      </c>
      <c r="H1976" t="s">
        <v>189</v>
      </c>
      <c r="I1976" t="s">
        <v>120</v>
      </c>
    </row>
    <row r="1977" spans="1:9" x14ac:dyDescent="0.25">
      <c r="A1977" s="8" t="str">
        <f t="shared" si="90"/>
        <v>2008792.Y01</v>
      </c>
      <c r="B1977" s="9" t="str">
        <f t="shared" si="91"/>
        <v>4</v>
      </c>
      <c r="C1977" s="10">
        <f t="shared" si="92"/>
        <v>44126</v>
      </c>
      <c r="D1977">
        <v>2008792</v>
      </c>
      <c r="E1977" t="s">
        <v>132</v>
      </c>
      <c r="F1977" s="6">
        <v>44127</v>
      </c>
      <c r="G1977">
        <v>41</v>
      </c>
      <c r="H1977" t="s">
        <v>189</v>
      </c>
      <c r="I1977" t="s">
        <v>120</v>
      </c>
    </row>
    <row r="1978" spans="1:9" x14ac:dyDescent="0.25">
      <c r="A1978" s="8" t="str">
        <f t="shared" si="90"/>
        <v>2008793.000</v>
      </c>
      <c r="B1978" s="9" t="str">
        <f t="shared" si="91"/>
        <v>4</v>
      </c>
      <c r="C1978" s="10">
        <f t="shared" si="92"/>
        <v>44105</v>
      </c>
      <c r="D1978">
        <v>2008793</v>
      </c>
      <c r="E1978">
        <v>0</v>
      </c>
      <c r="F1978" s="6">
        <v>44106</v>
      </c>
      <c r="G1978">
        <v>41</v>
      </c>
      <c r="H1978" t="s">
        <v>189</v>
      </c>
      <c r="I1978" t="s">
        <v>120</v>
      </c>
    </row>
    <row r="1979" spans="1:9" x14ac:dyDescent="0.25">
      <c r="A1979" s="8" t="str">
        <f t="shared" si="90"/>
        <v>2008794.Y00</v>
      </c>
      <c r="B1979" s="9" t="str">
        <f t="shared" si="91"/>
        <v>4</v>
      </c>
      <c r="C1979" s="10">
        <f t="shared" si="92"/>
        <v>44126</v>
      </c>
      <c r="D1979">
        <v>2008794</v>
      </c>
      <c r="E1979" t="s">
        <v>130</v>
      </c>
      <c r="F1979" s="6">
        <v>44127</v>
      </c>
      <c r="G1979">
        <v>41</v>
      </c>
      <c r="H1979" t="s">
        <v>192</v>
      </c>
      <c r="I1979" t="s">
        <v>120</v>
      </c>
    </row>
    <row r="1980" spans="1:9" x14ac:dyDescent="0.25">
      <c r="A1980" s="8" t="str">
        <f t="shared" si="90"/>
        <v>2008795.HP0</v>
      </c>
      <c r="B1980" s="9" t="str">
        <f t="shared" si="91"/>
        <v>4</v>
      </c>
      <c r="C1980" s="10">
        <f t="shared" si="92"/>
        <v>44098</v>
      </c>
      <c r="D1980">
        <v>2008795</v>
      </c>
      <c r="E1980" t="s">
        <v>121</v>
      </c>
      <c r="F1980" s="6">
        <v>44099</v>
      </c>
      <c r="G1980">
        <v>41</v>
      </c>
      <c r="H1980" t="s">
        <v>189</v>
      </c>
      <c r="I1980" t="s">
        <v>120</v>
      </c>
    </row>
    <row r="1981" spans="1:9" x14ac:dyDescent="0.25">
      <c r="A1981" s="8" t="str">
        <f t="shared" si="90"/>
        <v>2008796.000</v>
      </c>
      <c r="B1981" s="9" t="str">
        <f t="shared" si="91"/>
        <v/>
      </c>
      <c r="C1981" s="10">
        <f t="shared" si="92"/>
        <v>44081</v>
      </c>
      <c r="D1981">
        <v>2008796</v>
      </c>
      <c r="E1981">
        <v>0</v>
      </c>
      <c r="F1981" s="6">
        <v>44085</v>
      </c>
      <c r="H1981" t="s">
        <v>180</v>
      </c>
      <c r="I1981" t="s">
        <v>120</v>
      </c>
    </row>
    <row r="1982" spans="1:9" x14ac:dyDescent="0.25">
      <c r="A1982" s="8" t="str">
        <f t="shared" si="90"/>
        <v>2008796.C00</v>
      </c>
      <c r="B1982" s="9" t="str">
        <f t="shared" si="91"/>
        <v/>
      </c>
      <c r="C1982" s="10">
        <f t="shared" si="92"/>
        <v>44081</v>
      </c>
      <c r="D1982">
        <v>2008796</v>
      </c>
      <c r="E1982" t="s">
        <v>147</v>
      </c>
      <c r="F1982" s="6">
        <v>44085</v>
      </c>
      <c r="H1982" t="s">
        <v>180</v>
      </c>
      <c r="I1982" t="s">
        <v>120</v>
      </c>
    </row>
    <row r="1983" spans="1:9" x14ac:dyDescent="0.25">
      <c r="A1983" s="8" t="str">
        <f t="shared" si="90"/>
        <v>2008797.0P0</v>
      </c>
      <c r="B1983" s="9" t="str">
        <f t="shared" si="91"/>
        <v/>
      </c>
      <c r="C1983" s="10">
        <f t="shared" si="92"/>
        <v>44088</v>
      </c>
      <c r="D1983">
        <v>2008797</v>
      </c>
      <c r="E1983" t="s">
        <v>119</v>
      </c>
      <c r="F1983" s="6">
        <v>44092</v>
      </c>
      <c r="H1983" t="s">
        <v>189</v>
      </c>
      <c r="I1983" t="s">
        <v>120</v>
      </c>
    </row>
    <row r="1984" spans="1:9" x14ac:dyDescent="0.25">
      <c r="A1984" s="8" t="str">
        <f t="shared" si="90"/>
        <v>2008797.XP0</v>
      </c>
      <c r="B1984" s="9" t="str">
        <f t="shared" si="91"/>
        <v/>
      </c>
      <c r="C1984" s="10">
        <f t="shared" si="92"/>
        <v>44088</v>
      </c>
      <c r="D1984">
        <v>2008797</v>
      </c>
      <c r="E1984" t="s">
        <v>181</v>
      </c>
      <c r="F1984" s="6">
        <v>44092</v>
      </c>
      <c r="H1984" t="s">
        <v>189</v>
      </c>
      <c r="I1984" t="s">
        <v>120</v>
      </c>
    </row>
    <row r="1985" spans="1:9" x14ac:dyDescent="0.25">
      <c r="A1985" s="8" t="str">
        <f t="shared" si="90"/>
        <v>2008798.000</v>
      </c>
      <c r="B1985" s="9" t="str">
        <f t="shared" si="91"/>
        <v/>
      </c>
      <c r="C1985" s="10">
        <f t="shared" si="92"/>
        <v>44081</v>
      </c>
      <c r="D1985">
        <v>2008798</v>
      </c>
      <c r="E1985">
        <v>0</v>
      </c>
      <c r="F1985" s="6">
        <v>44085</v>
      </c>
      <c r="H1985" t="s">
        <v>191</v>
      </c>
      <c r="I1985" t="s">
        <v>120</v>
      </c>
    </row>
    <row r="1986" spans="1:9" x14ac:dyDescent="0.25">
      <c r="A1986" s="8" t="str">
        <f t="shared" ref="A1986:A2049" si="93">IF(D1986="","",IF(E1986=0,CONCATENATE(D1986,".",E1986,"00"),CONCATENATE(D1986,".",E1986)))</f>
        <v>2008799.0P0</v>
      </c>
      <c r="B1986" s="9" t="str">
        <f t="shared" ref="B1986:B2049" si="94">LEFT(G1986,1)</f>
        <v/>
      </c>
      <c r="C1986" s="10">
        <f t="shared" ref="C1986:C2049" si="95">IF(F1986="","",IF(B1986="",F1986-4,IF(B1986="1",F1986-4,IF(B1986="2",F1986-3,IF(B1986="3",F1986-2,IF(B1986="4",F1986-1,IF(B1986="V",F1986-7,IF(B1986="J",F1986-8,F1986))))))))</f>
        <v>44088</v>
      </c>
      <c r="D1986">
        <v>2008799</v>
      </c>
      <c r="E1986" t="s">
        <v>119</v>
      </c>
      <c r="F1986" s="6">
        <v>44092</v>
      </c>
      <c r="H1986" t="s">
        <v>189</v>
      </c>
      <c r="I1986" t="s">
        <v>120</v>
      </c>
    </row>
    <row r="1987" spans="1:9" x14ac:dyDescent="0.25">
      <c r="A1987" s="8" t="str">
        <f t="shared" si="93"/>
        <v>2008800.Z02</v>
      </c>
      <c r="B1987" s="9" t="str">
        <f t="shared" si="94"/>
        <v>1</v>
      </c>
      <c r="C1987" s="10">
        <f t="shared" si="95"/>
        <v>44095</v>
      </c>
      <c r="D1987">
        <v>2008800</v>
      </c>
      <c r="E1987" t="s">
        <v>260</v>
      </c>
      <c r="F1987" s="6">
        <v>44099</v>
      </c>
      <c r="G1987">
        <v>1</v>
      </c>
      <c r="H1987" t="s">
        <v>192</v>
      </c>
      <c r="I1987" t="s">
        <v>120</v>
      </c>
    </row>
    <row r="1988" spans="1:9" x14ac:dyDescent="0.25">
      <c r="A1988" s="8" t="str">
        <f t="shared" si="93"/>
        <v>2008800.ZP2</v>
      </c>
      <c r="B1988" s="9" t="str">
        <f t="shared" si="94"/>
        <v>1</v>
      </c>
      <c r="C1988" s="10">
        <f t="shared" si="95"/>
        <v>44095</v>
      </c>
      <c r="D1988">
        <v>2008800</v>
      </c>
      <c r="E1988" t="s">
        <v>151</v>
      </c>
      <c r="F1988" s="6">
        <v>44099</v>
      </c>
      <c r="G1988">
        <v>1</v>
      </c>
      <c r="H1988" t="s">
        <v>192</v>
      </c>
      <c r="I1988" t="s">
        <v>120</v>
      </c>
    </row>
    <row r="1989" spans="1:9" x14ac:dyDescent="0.25">
      <c r="A1989" s="8" t="str">
        <f t="shared" si="93"/>
        <v>2008801.000</v>
      </c>
      <c r="B1989" s="9" t="str">
        <f t="shared" si="94"/>
        <v>1</v>
      </c>
      <c r="C1989" s="10">
        <f t="shared" si="95"/>
        <v>44102</v>
      </c>
      <c r="D1989">
        <v>2008801</v>
      </c>
      <c r="E1989">
        <v>0</v>
      </c>
      <c r="F1989" s="6">
        <v>44106</v>
      </c>
      <c r="G1989">
        <v>1</v>
      </c>
      <c r="H1989" t="s">
        <v>189</v>
      </c>
      <c r="I1989" t="s">
        <v>120</v>
      </c>
    </row>
    <row r="1990" spans="1:9" x14ac:dyDescent="0.25">
      <c r="A1990" s="8" t="str">
        <f t="shared" si="93"/>
        <v>2008801.U00</v>
      </c>
      <c r="B1990" s="9" t="str">
        <f t="shared" si="94"/>
        <v>1</v>
      </c>
      <c r="C1990" s="10">
        <f t="shared" si="95"/>
        <v>44102</v>
      </c>
      <c r="D1990">
        <v>2008801</v>
      </c>
      <c r="E1990" t="s">
        <v>131</v>
      </c>
      <c r="F1990" s="6">
        <v>44106</v>
      </c>
      <c r="G1990">
        <v>1</v>
      </c>
      <c r="H1990" t="s">
        <v>192</v>
      </c>
      <c r="I1990" t="s">
        <v>120</v>
      </c>
    </row>
    <row r="1991" spans="1:9" x14ac:dyDescent="0.25">
      <c r="A1991" s="8" t="str">
        <f t="shared" si="93"/>
        <v>2008801.UP0</v>
      </c>
      <c r="B1991" s="9" t="str">
        <f t="shared" si="94"/>
        <v>1</v>
      </c>
      <c r="C1991" s="10">
        <f t="shared" si="95"/>
        <v>44102</v>
      </c>
      <c r="D1991">
        <v>2008801</v>
      </c>
      <c r="E1991" t="s">
        <v>136</v>
      </c>
      <c r="F1991" s="6">
        <v>44106</v>
      </c>
      <c r="G1991">
        <v>1</v>
      </c>
      <c r="H1991" t="s">
        <v>192</v>
      </c>
      <c r="I1991" t="s">
        <v>120</v>
      </c>
    </row>
    <row r="1992" spans="1:9" x14ac:dyDescent="0.25">
      <c r="A1992" s="8" t="str">
        <f t="shared" si="93"/>
        <v>2008802.0P0</v>
      </c>
      <c r="B1992" s="9" t="str">
        <f t="shared" si="94"/>
        <v/>
      </c>
      <c r="C1992" s="10">
        <f t="shared" si="95"/>
        <v>44081</v>
      </c>
      <c r="D1992">
        <v>2008802</v>
      </c>
      <c r="E1992" t="s">
        <v>119</v>
      </c>
      <c r="F1992" s="6">
        <v>44085</v>
      </c>
      <c r="H1992" t="s">
        <v>266</v>
      </c>
      <c r="I1992" t="s">
        <v>120</v>
      </c>
    </row>
    <row r="1993" spans="1:9" x14ac:dyDescent="0.25">
      <c r="A1993" s="8" t="str">
        <f t="shared" si="93"/>
        <v>2008803.000</v>
      </c>
      <c r="B1993" s="9" t="str">
        <f t="shared" si="94"/>
        <v/>
      </c>
      <c r="C1993" s="10">
        <f t="shared" si="95"/>
        <v>44074</v>
      </c>
      <c r="D1993">
        <v>2008803</v>
      </c>
      <c r="E1993">
        <v>0</v>
      </c>
      <c r="F1993" s="6">
        <v>44078</v>
      </c>
      <c r="H1993" t="s">
        <v>180</v>
      </c>
      <c r="I1993" t="s">
        <v>120</v>
      </c>
    </row>
    <row r="1994" spans="1:9" x14ac:dyDescent="0.25">
      <c r="A1994" s="8" t="str">
        <f t="shared" si="93"/>
        <v>2008804.000</v>
      </c>
      <c r="B1994" s="9" t="str">
        <f t="shared" si="94"/>
        <v>4</v>
      </c>
      <c r="C1994" s="10">
        <f t="shared" si="95"/>
        <v>44112</v>
      </c>
      <c r="D1994">
        <v>2008804</v>
      </c>
      <c r="E1994">
        <v>0</v>
      </c>
      <c r="F1994" s="6">
        <v>44113</v>
      </c>
      <c r="G1994">
        <v>4</v>
      </c>
      <c r="H1994" t="s">
        <v>189</v>
      </c>
      <c r="I1994" t="s">
        <v>120</v>
      </c>
    </row>
    <row r="1995" spans="1:9" x14ac:dyDescent="0.25">
      <c r="A1995" s="8" t="str">
        <f t="shared" si="93"/>
        <v>2008805.XP0</v>
      </c>
      <c r="B1995" s="9" t="str">
        <f t="shared" si="94"/>
        <v/>
      </c>
      <c r="C1995" s="10">
        <f t="shared" si="95"/>
        <v>44088</v>
      </c>
      <c r="D1995">
        <v>2008805</v>
      </c>
      <c r="E1995" t="s">
        <v>181</v>
      </c>
      <c r="F1995" s="6">
        <v>44092</v>
      </c>
      <c r="H1995" t="s">
        <v>266</v>
      </c>
      <c r="I1995" t="s">
        <v>120</v>
      </c>
    </row>
    <row r="1996" spans="1:9" x14ac:dyDescent="0.25">
      <c r="A1996" s="8" t="str">
        <f t="shared" si="93"/>
        <v>2008807.000</v>
      </c>
      <c r="B1996" s="9" t="str">
        <f t="shared" si="94"/>
        <v/>
      </c>
      <c r="C1996" s="10">
        <f t="shared" si="95"/>
        <v>44081</v>
      </c>
      <c r="D1996">
        <v>2008807</v>
      </c>
      <c r="E1996">
        <v>0</v>
      </c>
      <c r="F1996" s="6">
        <v>44085</v>
      </c>
      <c r="H1996" t="s">
        <v>191</v>
      </c>
      <c r="I1996" t="s">
        <v>120</v>
      </c>
    </row>
    <row r="1997" spans="1:9" x14ac:dyDescent="0.25">
      <c r="A1997" s="8" t="str">
        <f t="shared" si="93"/>
        <v>2008808.000</v>
      </c>
      <c r="B1997" s="9" t="str">
        <f t="shared" si="94"/>
        <v/>
      </c>
      <c r="C1997" s="10">
        <f t="shared" si="95"/>
        <v>44081</v>
      </c>
      <c r="D1997">
        <v>2008808</v>
      </c>
      <c r="E1997">
        <v>0</v>
      </c>
      <c r="F1997" s="6">
        <v>44085</v>
      </c>
      <c r="H1997" t="s">
        <v>180</v>
      </c>
      <c r="I1997" t="s">
        <v>120</v>
      </c>
    </row>
    <row r="1998" spans="1:9" x14ac:dyDescent="0.25">
      <c r="A1998" s="8" t="str">
        <f t="shared" si="93"/>
        <v>2008809.000</v>
      </c>
      <c r="B1998" s="9" t="str">
        <f t="shared" si="94"/>
        <v>3</v>
      </c>
      <c r="C1998" s="10">
        <f t="shared" si="95"/>
        <v>44083</v>
      </c>
      <c r="D1998">
        <v>2008809</v>
      </c>
      <c r="E1998">
        <v>0</v>
      </c>
      <c r="F1998" s="6">
        <v>44085</v>
      </c>
      <c r="G1998">
        <v>3</v>
      </c>
      <c r="H1998" t="s">
        <v>180</v>
      </c>
      <c r="I1998" t="s">
        <v>120</v>
      </c>
    </row>
    <row r="1999" spans="1:9" x14ac:dyDescent="0.25">
      <c r="A1999" s="8" t="str">
        <f t="shared" si="93"/>
        <v>2008810.X00</v>
      </c>
      <c r="B1999" s="9" t="str">
        <f t="shared" si="94"/>
        <v/>
      </c>
      <c r="C1999" s="10">
        <f t="shared" si="95"/>
        <v>44088</v>
      </c>
      <c r="D1999">
        <v>2008810</v>
      </c>
      <c r="E1999" t="s">
        <v>225</v>
      </c>
      <c r="F1999" s="6">
        <v>44092</v>
      </c>
      <c r="H1999" t="s">
        <v>189</v>
      </c>
      <c r="I1999" t="s">
        <v>120</v>
      </c>
    </row>
    <row r="2000" spans="1:9" x14ac:dyDescent="0.25">
      <c r="A2000" s="8" t="str">
        <f t="shared" si="93"/>
        <v>2008811.H00</v>
      </c>
      <c r="B2000" s="9" t="str">
        <f t="shared" si="94"/>
        <v/>
      </c>
      <c r="C2000" s="10">
        <f t="shared" si="95"/>
        <v>44095</v>
      </c>
      <c r="D2000">
        <v>2008811</v>
      </c>
      <c r="E2000" t="s">
        <v>122</v>
      </c>
      <c r="F2000" s="6">
        <v>44099</v>
      </c>
      <c r="H2000" t="s">
        <v>189</v>
      </c>
      <c r="I2000" t="s">
        <v>120</v>
      </c>
    </row>
    <row r="2001" spans="1:9" x14ac:dyDescent="0.25">
      <c r="A2001" s="8" t="str">
        <f t="shared" si="93"/>
        <v>2008811.X02</v>
      </c>
      <c r="B2001" s="9" t="str">
        <f t="shared" si="94"/>
        <v/>
      </c>
      <c r="C2001" s="10">
        <f t="shared" si="95"/>
        <v>44095</v>
      </c>
      <c r="D2001">
        <v>2008811</v>
      </c>
      <c r="E2001" t="s">
        <v>166</v>
      </c>
      <c r="F2001" s="6">
        <v>44099</v>
      </c>
      <c r="H2001" t="s">
        <v>189</v>
      </c>
      <c r="I2001" t="s">
        <v>120</v>
      </c>
    </row>
    <row r="2002" spans="1:9" x14ac:dyDescent="0.25">
      <c r="A2002" s="8" t="str">
        <f t="shared" si="93"/>
        <v>2008812.000</v>
      </c>
      <c r="B2002" s="9" t="str">
        <f t="shared" si="94"/>
        <v/>
      </c>
      <c r="C2002" s="10">
        <f t="shared" si="95"/>
        <v>44081</v>
      </c>
      <c r="D2002">
        <v>2008812</v>
      </c>
      <c r="E2002">
        <v>0</v>
      </c>
      <c r="F2002" s="6">
        <v>44085</v>
      </c>
      <c r="H2002" t="s">
        <v>192</v>
      </c>
      <c r="I2002" t="s">
        <v>120</v>
      </c>
    </row>
    <row r="2003" spans="1:9" x14ac:dyDescent="0.25">
      <c r="A2003" s="8" t="str">
        <f t="shared" si="93"/>
        <v>2008813.000</v>
      </c>
      <c r="B2003" s="9" t="str">
        <f t="shared" si="94"/>
        <v/>
      </c>
      <c r="C2003" s="10">
        <f t="shared" si="95"/>
        <v>44081</v>
      </c>
      <c r="D2003">
        <v>2008813</v>
      </c>
      <c r="E2003">
        <v>0</v>
      </c>
      <c r="F2003" s="6">
        <v>44085</v>
      </c>
      <c r="H2003" t="s">
        <v>189</v>
      </c>
      <c r="I2003" t="s">
        <v>120</v>
      </c>
    </row>
    <row r="2004" spans="1:9" x14ac:dyDescent="0.25">
      <c r="A2004" s="8" t="str">
        <f t="shared" si="93"/>
        <v>2008814.NV0</v>
      </c>
      <c r="B2004" s="9" t="str">
        <f t="shared" si="94"/>
        <v/>
      </c>
      <c r="C2004" s="10">
        <f t="shared" si="95"/>
        <v>44074</v>
      </c>
      <c r="D2004">
        <v>2008814</v>
      </c>
      <c r="E2004" t="s">
        <v>126</v>
      </c>
      <c r="F2004" s="6">
        <v>44078</v>
      </c>
      <c r="H2004" t="s">
        <v>180</v>
      </c>
      <c r="I2004" t="s">
        <v>120</v>
      </c>
    </row>
    <row r="2005" spans="1:9" x14ac:dyDescent="0.25">
      <c r="A2005" s="8" t="str">
        <f t="shared" si="93"/>
        <v>2008816.000</v>
      </c>
      <c r="B2005" s="9" t="str">
        <f t="shared" si="94"/>
        <v/>
      </c>
      <c r="C2005" s="10">
        <f t="shared" si="95"/>
        <v>44081</v>
      </c>
      <c r="D2005">
        <v>2008816</v>
      </c>
      <c r="E2005">
        <v>0</v>
      </c>
      <c r="F2005" s="6">
        <v>44085</v>
      </c>
      <c r="H2005" t="s">
        <v>266</v>
      </c>
      <c r="I2005" t="s">
        <v>120</v>
      </c>
    </row>
    <row r="2006" spans="1:9" x14ac:dyDescent="0.25">
      <c r="A2006" s="8" t="str">
        <f t="shared" si="93"/>
        <v>2008817.0P0</v>
      </c>
      <c r="B2006" s="9" t="str">
        <f t="shared" si="94"/>
        <v>1</v>
      </c>
      <c r="C2006" s="10">
        <f t="shared" si="95"/>
        <v>44081</v>
      </c>
      <c r="D2006">
        <v>2008817</v>
      </c>
      <c r="E2006" t="s">
        <v>119</v>
      </c>
      <c r="F2006" s="6">
        <v>44085</v>
      </c>
      <c r="G2006">
        <v>1</v>
      </c>
      <c r="H2006" t="s">
        <v>180</v>
      </c>
      <c r="I2006" t="s">
        <v>120</v>
      </c>
    </row>
    <row r="2007" spans="1:9" x14ac:dyDescent="0.25">
      <c r="A2007" s="8" t="str">
        <f t="shared" si="93"/>
        <v>2008818.H00</v>
      </c>
      <c r="B2007" s="9" t="str">
        <f t="shared" si="94"/>
        <v>2</v>
      </c>
      <c r="C2007" s="10">
        <f t="shared" si="95"/>
        <v>44096</v>
      </c>
      <c r="D2007">
        <v>2008818</v>
      </c>
      <c r="E2007" t="s">
        <v>122</v>
      </c>
      <c r="F2007" s="6">
        <v>44099</v>
      </c>
      <c r="G2007">
        <v>2</v>
      </c>
      <c r="H2007" t="s">
        <v>189</v>
      </c>
      <c r="I2007" t="s">
        <v>120</v>
      </c>
    </row>
    <row r="2008" spans="1:9" x14ac:dyDescent="0.25">
      <c r="A2008" s="8" t="str">
        <f t="shared" si="93"/>
        <v>2008819.Y03</v>
      </c>
      <c r="B2008" s="9" t="str">
        <f t="shared" si="94"/>
        <v>1</v>
      </c>
      <c r="C2008" s="10">
        <f t="shared" si="95"/>
        <v>44109</v>
      </c>
      <c r="D2008">
        <v>2008819</v>
      </c>
      <c r="E2008" t="s">
        <v>223</v>
      </c>
      <c r="F2008" s="6">
        <v>44113</v>
      </c>
      <c r="G2008">
        <v>1</v>
      </c>
      <c r="H2008" t="s">
        <v>189</v>
      </c>
      <c r="I2008" t="s">
        <v>120</v>
      </c>
    </row>
    <row r="2009" spans="1:9" x14ac:dyDescent="0.25">
      <c r="A2009" s="8" t="str">
        <f t="shared" si="93"/>
        <v>2008819.Z02</v>
      </c>
      <c r="B2009" s="9" t="str">
        <f t="shared" si="94"/>
        <v>1</v>
      </c>
      <c r="C2009" s="10">
        <f t="shared" si="95"/>
        <v>44109</v>
      </c>
      <c r="D2009">
        <v>2008819</v>
      </c>
      <c r="E2009" t="s">
        <v>260</v>
      </c>
      <c r="F2009" s="6">
        <v>44113</v>
      </c>
      <c r="G2009">
        <v>1</v>
      </c>
      <c r="H2009" t="s">
        <v>189</v>
      </c>
      <c r="I2009" t="s">
        <v>120</v>
      </c>
    </row>
    <row r="2010" spans="1:9" x14ac:dyDescent="0.25">
      <c r="A2010" s="8" t="str">
        <f t="shared" si="93"/>
        <v>2008819.ZP2</v>
      </c>
      <c r="B2010" s="9" t="str">
        <f t="shared" si="94"/>
        <v>1</v>
      </c>
      <c r="C2010" s="10">
        <f t="shared" si="95"/>
        <v>44109</v>
      </c>
      <c r="D2010">
        <v>2008819</v>
      </c>
      <c r="E2010" t="s">
        <v>151</v>
      </c>
      <c r="F2010" s="6">
        <v>44113</v>
      </c>
      <c r="G2010">
        <v>1</v>
      </c>
      <c r="H2010" t="s">
        <v>192</v>
      </c>
      <c r="I2010" t="s">
        <v>120</v>
      </c>
    </row>
    <row r="2011" spans="1:9" x14ac:dyDescent="0.25">
      <c r="A2011" s="8" t="str">
        <f t="shared" si="93"/>
        <v>2008820.X00</v>
      </c>
      <c r="B2011" s="9" t="str">
        <f t="shared" si="94"/>
        <v/>
      </c>
      <c r="C2011" s="10">
        <f t="shared" si="95"/>
        <v>44102</v>
      </c>
      <c r="D2011">
        <v>2008820</v>
      </c>
      <c r="E2011" t="s">
        <v>225</v>
      </c>
      <c r="F2011" s="6">
        <v>44106</v>
      </c>
      <c r="H2011" t="s">
        <v>192</v>
      </c>
      <c r="I2011" t="s">
        <v>120</v>
      </c>
    </row>
    <row r="2012" spans="1:9" x14ac:dyDescent="0.25">
      <c r="A2012" s="8" t="str">
        <f t="shared" si="93"/>
        <v>2008821.HP0</v>
      </c>
      <c r="B2012" s="9" t="str">
        <f t="shared" si="94"/>
        <v/>
      </c>
      <c r="C2012" s="10">
        <f t="shared" si="95"/>
        <v>44102</v>
      </c>
      <c r="D2012">
        <v>2008821</v>
      </c>
      <c r="E2012" t="s">
        <v>121</v>
      </c>
      <c r="F2012" s="6">
        <v>44106</v>
      </c>
      <c r="H2012" t="s">
        <v>189</v>
      </c>
      <c r="I2012" t="s">
        <v>120</v>
      </c>
    </row>
    <row r="2013" spans="1:9" x14ac:dyDescent="0.25">
      <c r="A2013" s="8" t="str">
        <f t="shared" si="93"/>
        <v>2008822.000</v>
      </c>
      <c r="B2013" s="9" t="str">
        <f t="shared" si="94"/>
        <v/>
      </c>
      <c r="C2013" s="10">
        <f t="shared" si="95"/>
        <v>44088</v>
      </c>
      <c r="D2013">
        <v>2008822</v>
      </c>
      <c r="E2013">
        <v>0</v>
      </c>
      <c r="F2013" s="6">
        <v>44092</v>
      </c>
      <c r="H2013" t="s">
        <v>189</v>
      </c>
      <c r="I2013" t="s">
        <v>120</v>
      </c>
    </row>
    <row r="2014" spans="1:9" x14ac:dyDescent="0.25">
      <c r="A2014" s="8" t="str">
        <f t="shared" si="93"/>
        <v>2008823.X00</v>
      </c>
      <c r="B2014" s="9" t="str">
        <f t="shared" si="94"/>
        <v/>
      </c>
      <c r="C2014" s="10">
        <f t="shared" si="95"/>
        <v>44102</v>
      </c>
      <c r="D2014">
        <v>2008823</v>
      </c>
      <c r="E2014" t="s">
        <v>225</v>
      </c>
      <c r="F2014" s="6">
        <v>44106</v>
      </c>
      <c r="H2014" t="s">
        <v>189</v>
      </c>
      <c r="I2014" t="s">
        <v>120</v>
      </c>
    </row>
    <row r="2015" spans="1:9" x14ac:dyDescent="0.25">
      <c r="A2015" s="8" t="str">
        <f t="shared" si="93"/>
        <v>2008824.000</v>
      </c>
      <c r="B2015" s="9" t="str">
        <f t="shared" si="94"/>
        <v/>
      </c>
      <c r="C2015" s="10">
        <f t="shared" si="95"/>
        <v>44116</v>
      </c>
      <c r="D2015">
        <v>2008824</v>
      </c>
      <c r="E2015">
        <v>0</v>
      </c>
      <c r="F2015" s="6">
        <v>44120</v>
      </c>
      <c r="H2015" t="s">
        <v>191</v>
      </c>
      <c r="I2015" t="s">
        <v>120</v>
      </c>
    </row>
    <row r="2016" spans="1:9" x14ac:dyDescent="0.25">
      <c r="A2016" s="8" t="str">
        <f t="shared" si="93"/>
        <v>2008825.000</v>
      </c>
      <c r="B2016" s="9" t="str">
        <f t="shared" si="94"/>
        <v/>
      </c>
      <c r="C2016" s="10">
        <f t="shared" si="95"/>
        <v>44095</v>
      </c>
      <c r="D2016">
        <v>2008825</v>
      </c>
      <c r="E2016">
        <v>0</v>
      </c>
      <c r="F2016" s="6">
        <v>44099</v>
      </c>
      <c r="H2016" t="s">
        <v>191</v>
      </c>
      <c r="I2016" t="s">
        <v>120</v>
      </c>
    </row>
    <row r="2017" spans="1:9" x14ac:dyDescent="0.25">
      <c r="A2017" s="8" t="str">
        <f t="shared" si="93"/>
        <v>2008826.XP0</v>
      </c>
      <c r="B2017" s="9" t="str">
        <f t="shared" si="94"/>
        <v/>
      </c>
      <c r="C2017" s="10">
        <f t="shared" si="95"/>
        <v>44102</v>
      </c>
      <c r="D2017">
        <v>2008826</v>
      </c>
      <c r="E2017" t="s">
        <v>181</v>
      </c>
      <c r="F2017" s="6">
        <v>44106</v>
      </c>
      <c r="H2017" t="s">
        <v>189</v>
      </c>
      <c r="I2017" t="s">
        <v>120</v>
      </c>
    </row>
    <row r="2018" spans="1:9" x14ac:dyDescent="0.25">
      <c r="A2018" s="8" t="str">
        <f t="shared" si="93"/>
        <v>2008827.H00</v>
      </c>
      <c r="B2018" s="9" t="str">
        <f t="shared" si="94"/>
        <v/>
      </c>
      <c r="C2018" s="10">
        <f t="shared" si="95"/>
        <v>44102</v>
      </c>
      <c r="D2018">
        <v>2008827</v>
      </c>
      <c r="E2018" t="s">
        <v>122</v>
      </c>
      <c r="F2018" s="6">
        <v>44106</v>
      </c>
      <c r="H2018" t="s">
        <v>192</v>
      </c>
      <c r="I2018" t="s">
        <v>120</v>
      </c>
    </row>
    <row r="2019" spans="1:9" x14ac:dyDescent="0.25">
      <c r="A2019" s="8" t="str">
        <f t="shared" si="93"/>
        <v>2008827.HP0</v>
      </c>
      <c r="B2019" s="9" t="str">
        <f t="shared" si="94"/>
        <v/>
      </c>
      <c r="C2019" s="10">
        <f t="shared" si="95"/>
        <v>44102</v>
      </c>
      <c r="D2019">
        <v>2008827</v>
      </c>
      <c r="E2019" t="s">
        <v>121</v>
      </c>
      <c r="F2019" s="6">
        <v>44106</v>
      </c>
      <c r="H2019" t="s">
        <v>192</v>
      </c>
      <c r="I2019" t="s">
        <v>120</v>
      </c>
    </row>
    <row r="2020" spans="1:9" x14ac:dyDescent="0.25">
      <c r="A2020" s="8" t="str">
        <f t="shared" si="93"/>
        <v>2008828.000</v>
      </c>
      <c r="B2020" s="9" t="str">
        <f t="shared" si="94"/>
        <v/>
      </c>
      <c r="C2020" s="10">
        <f t="shared" si="95"/>
        <v>44081</v>
      </c>
      <c r="D2020">
        <v>2008828</v>
      </c>
      <c r="E2020">
        <v>0</v>
      </c>
      <c r="F2020" s="6">
        <v>44085</v>
      </c>
      <c r="H2020" t="s">
        <v>180</v>
      </c>
      <c r="I2020" t="s">
        <v>120</v>
      </c>
    </row>
    <row r="2021" spans="1:9" x14ac:dyDescent="0.25">
      <c r="A2021" s="8" t="str">
        <f t="shared" si="93"/>
        <v>2008829.000</v>
      </c>
      <c r="B2021" s="9" t="str">
        <f t="shared" si="94"/>
        <v/>
      </c>
      <c r="C2021" s="10">
        <f t="shared" si="95"/>
        <v>44109</v>
      </c>
      <c r="D2021">
        <v>2008829</v>
      </c>
      <c r="E2021">
        <v>0</v>
      </c>
      <c r="F2021" s="6">
        <v>44113</v>
      </c>
      <c r="H2021" t="s">
        <v>192</v>
      </c>
      <c r="I2021" t="s">
        <v>120</v>
      </c>
    </row>
    <row r="2022" spans="1:9" x14ac:dyDescent="0.25">
      <c r="A2022" s="8" t="str">
        <f t="shared" si="93"/>
        <v>2008829.C00</v>
      </c>
      <c r="B2022" s="9" t="str">
        <f t="shared" si="94"/>
        <v/>
      </c>
      <c r="C2022" s="10">
        <f t="shared" si="95"/>
        <v>44109</v>
      </c>
      <c r="D2022">
        <v>2008829</v>
      </c>
      <c r="E2022" t="s">
        <v>147</v>
      </c>
      <c r="F2022" s="6">
        <v>44113</v>
      </c>
      <c r="H2022" t="s">
        <v>188</v>
      </c>
      <c r="I2022" t="s">
        <v>120</v>
      </c>
    </row>
    <row r="2023" spans="1:9" x14ac:dyDescent="0.25">
      <c r="A2023" s="8" t="str">
        <f t="shared" si="93"/>
        <v>2008830.000</v>
      </c>
      <c r="B2023" s="9" t="str">
        <f t="shared" si="94"/>
        <v/>
      </c>
      <c r="C2023" s="10">
        <f t="shared" si="95"/>
        <v>44088</v>
      </c>
      <c r="D2023">
        <v>2008830</v>
      </c>
      <c r="E2023">
        <v>0</v>
      </c>
      <c r="F2023" s="6">
        <v>44092</v>
      </c>
      <c r="H2023" t="s">
        <v>189</v>
      </c>
      <c r="I2023" t="s">
        <v>120</v>
      </c>
    </row>
    <row r="2024" spans="1:9" x14ac:dyDescent="0.25">
      <c r="A2024" s="8" t="str">
        <f t="shared" si="93"/>
        <v>2008831.X00</v>
      </c>
      <c r="B2024" s="9" t="str">
        <f t="shared" si="94"/>
        <v/>
      </c>
      <c r="C2024" s="10">
        <f t="shared" si="95"/>
        <v>44123</v>
      </c>
      <c r="D2024">
        <v>2008831</v>
      </c>
      <c r="E2024" t="s">
        <v>225</v>
      </c>
      <c r="F2024" s="6">
        <v>44127</v>
      </c>
      <c r="H2024" t="s">
        <v>189</v>
      </c>
      <c r="I2024" t="s">
        <v>120</v>
      </c>
    </row>
    <row r="2025" spans="1:9" x14ac:dyDescent="0.25">
      <c r="A2025" s="8" t="str">
        <f t="shared" si="93"/>
        <v>2008832.000</v>
      </c>
      <c r="B2025" s="9" t="str">
        <f t="shared" si="94"/>
        <v>3</v>
      </c>
      <c r="C2025" s="10">
        <f t="shared" si="95"/>
        <v>44090</v>
      </c>
      <c r="D2025">
        <v>2008832</v>
      </c>
      <c r="E2025">
        <v>0</v>
      </c>
      <c r="F2025" s="6">
        <v>44092</v>
      </c>
      <c r="G2025">
        <v>3</v>
      </c>
      <c r="H2025" t="s">
        <v>189</v>
      </c>
      <c r="I2025" t="s">
        <v>120</v>
      </c>
    </row>
    <row r="2026" spans="1:9" x14ac:dyDescent="0.25">
      <c r="A2026" s="8" t="str">
        <f t="shared" si="93"/>
        <v>2008833.Z00</v>
      </c>
      <c r="B2026" s="9" t="str">
        <f t="shared" si="94"/>
        <v/>
      </c>
      <c r="C2026" s="10">
        <f t="shared" si="95"/>
        <v>44102</v>
      </c>
      <c r="D2026">
        <v>2008833</v>
      </c>
      <c r="E2026" t="s">
        <v>158</v>
      </c>
      <c r="F2026" s="6">
        <v>44106</v>
      </c>
      <c r="H2026" t="s">
        <v>192</v>
      </c>
      <c r="I2026" t="s">
        <v>120</v>
      </c>
    </row>
    <row r="2027" spans="1:9" x14ac:dyDescent="0.25">
      <c r="A2027" s="8" t="str">
        <f t="shared" si="93"/>
        <v>2008833.ZP0</v>
      </c>
      <c r="B2027" s="9" t="str">
        <f t="shared" si="94"/>
        <v/>
      </c>
      <c r="C2027" s="10">
        <f t="shared" si="95"/>
        <v>44102</v>
      </c>
      <c r="D2027">
        <v>2008833</v>
      </c>
      <c r="E2027" t="s">
        <v>252</v>
      </c>
      <c r="F2027" s="6">
        <v>44106</v>
      </c>
      <c r="H2027" t="s">
        <v>192</v>
      </c>
      <c r="I2027" t="s">
        <v>120</v>
      </c>
    </row>
    <row r="2028" spans="1:9" x14ac:dyDescent="0.25">
      <c r="A2028" s="8" t="str">
        <f t="shared" si="93"/>
        <v>2008834.H00</v>
      </c>
      <c r="B2028" s="9" t="str">
        <f t="shared" si="94"/>
        <v/>
      </c>
      <c r="C2028" s="10">
        <f t="shared" si="95"/>
        <v>44102</v>
      </c>
      <c r="D2028">
        <v>2008834</v>
      </c>
      <c r="E2028" t="s">
        <v>122</v>
      </c>
      <c r="F2028" s="6">
        <v>44106</v>
      </c>
      <c r="H2028" t="s">
        <v>189</v>
      </c>
      <c r="I2028" t="s">
        <v>120</v>
      </c>
    </row>
    <row r="2029" spans="1:9" x14ac:dyDescent="0.25">
      <c r="A2029" s="8" t="str">
        <f t="shared" si="93"/>
        <v>2008835.000</v>
      </c>
      <c r="B2029" s="9" t="str">
        <f t="shared" si="94"/>
        <v/>
      </c>
      <c r="C2029" s="10">
        <f t="shared" si="95"/>
        <v>44088</v>
      </c>
      <c r="D2029">
        <v>2008835</v>
      </c>
      <c r="E2029">
        <v>0</v>
      </c>
      <c r="F2029" s="6">
        <v>44092</v>
      </c>
      <c r="H2029" t="s">
        <v>189</v>
      </c>
      <c r="I2029" t="s">
        <v>120</v>
      </c>
    </row>
    <row r="2030" spans="1:9" x14ac:dyDescent="0.25">
      <c r="A2030" s="8" t="str">
        <f t="shared" si="93"/>
        <v>2008836.000</v>
      </c>
      <c r="B2030" s="9" t="str">
        <f t="shared" si="94"/>
        <v/>
      </c>
      <c r="C2030" s="10">
        <f t="shared" si="95"/>
        <v>44074</v>
      </c>
      <c r="D2030">
        <v>2008836</v>
      </c>
      <c r="E2030">
        <v>0</v>
      </c>
      <c r="F2030" s="6">
        <v>44078</v>
      </c>
      <c r="H2030" t="s">
        <v>180</v>
      </c>
      <c r="I2030" t="s">
        <v>120</v>
      </c>
    </row>
    <row r="2031" spans="1:9" x14ac:dyDescent="0.25">
      <c r="A2031" s="8" t="str">
        <f t="shared" si="93"/>
        <v>2008837.000</v>
      </c>
      <c r="B2031" s="9" t="str">
        <f t="shared" si="94"/>
        <v/>
      </c>
      <c r="C2031" s="10">
        <f t="shared" si="95"/>
        <v>44081</v>
      </c>
      <c r="D2031">
        <v>2008837</v>
      </c>
      <c r="E2031">
        <v>0</v>
      </c>
      <c r="F2031" s="6">
        <v>44085</v>
      </c>
      <c r="H2031" t="s">
        <v>189</v>
      </c>
      <c r="I2031" t="s">
        <v>120</v>
      </c>
    </row>
    <row r="2032" spans="1:9" x14ac:dyDescent="0.25">
      <c r="A2032" s="8" t="str">
        <f t="shared" si="93"/>
        <v>2008837.H01</v>
      </c>
      <c r="B2032" s="9" t="str">
        <f t="shared" si="94"/>
        <v/>
      </c>
      <c r="C2032" s="10">
        <f t="shared" si="95"/>
        <v>44081</v>
      </c>
      <c r="D2032">
        <v>2008837</v>
      </c>
      <c r="E2032" t="s">
        <v>145</v>
      </c>
      <c r="F2032" s="6">
        <v>44085</v>
      </c>
      <c r="H2032" t="s">
        <v>189</v>
      </c>
      <c r="I2032" t="s">
        <v>120</v>
      </c>
    </row>
    <row r="2033" spans="1:9" x14ac:dyDescent="0.25">
      <c r="A2033" s="8" t="str">
        <f t="shared" si="93"/>
        <v>2008837.HP2</v>
      </c>
      <c r="B2033" s="9" t="str">
        <f t="shared" si="94"/>
        <v/>
      </c>
      <c r="C2033" s="10">
        <f t="shared" si="95"/>
        <v>44102</v>
      </c>
      <c r="D2033">
        <v>2008837</v>
      </c>
      <c r="E2033" t="s">
        <v>138</v>
      </c>
      <c r="F2033" s="6">
        <v>44106</v>
      </c>
      <c r="H2033" t="s">
        <v>189</v>
      </c>
      <c r="I2033" t="s">
        <v>120</v>
      </c>
    </row>
    <row r="2034" spans="1:9" x14ac:dyDescent="0.25">
      <c r="A2034" s="8" t="str">
        <f t="shared" si="93"/>
        <v>2008837.U01</v>
      </c>
      <c r="B2034" s="9" t="str">
        <f t="shared" si="94"/>
        <v/>
      </c>
      <c r="C2034" s="10">
        <f t="shared" si="95"/>
        <v>44081</v>
      </c>
      <c r="D2034">
        <v>2008837</v>
      </c>
      <c r="E2034" t="s">
        <v>150</v>
      </c>
      <c r="F2034" s="6">
        <v>44085</v>
      </c>
      <c r="H2034" t="s">
        <v>189</v>
      </c>
      <c r="I2034" t="s">
        <v>120</v>
      </c>
    </row>
    <row r="2035" spans="1:9" x14ac:dyDescent="0.25">
      <c r="A2035" s="8" t="str">
        <f t="shared" si="93"/>
        <v>2008837.U02</v>
      </c>
      <c r="B2035" s="9" t="str">
        <f t="shared" si="94"/>
        <v/>
      </c>
      <c r="C2035" s="10">
        <f t="shared" si="95"/>
        <v>44081</v>
      </c>
      <c r="D2035">
        <v>2008837</v>
      </c>
      <c r="E2035" t="s">
        <v>149</v>
      </c>
      <c r="F2035" s="6">
        <v>44085</v>
      </c>
      <c r="H2035" t="s">
        <v>189</v>
      </c>
      <c r="I2035" t="s">
        <v>120</v>
      </c>
    </row>
    <row r="2036" spans="1:9" x14ac:dyDescent="0.25">
      <c r="A2036" s="8" t="str">
        <f t="shared" si="93"/>
        <v>2008837.XP0</v>
      </c>
      <c r="B2036" s="9" t="str">
        <f t="shared" si="94"/>
        <v/>
      </c>
      <c r="C2036" s="10">
        <f t="shared" si="95"/>
        <v>44102</v>
      </c>
      <c r="D2036">
        <v>2008837</v>
      </c>
      <c r="E2036" t="s">
        <v>181</v>
      </c>
      <c r="F2036" s="6">
        <v>44106</v>
      </c>
      <c r="H2036" t="s">
        <v>189</v>
      </c>
      <c r="I2036" t="s">
        <v>120</v>
      </c>
    </row>
    <row r="2037" spans="1:9" x14ac:dyDescent="0.25">
      <c r="A2037" s="8" t="str">
        <f t="shared" si="93"/>
        <v>2008838.H01</v>
      </c>
      <c r="B2037" s="9" t="str">
        <f t="shared" si="94"/>
        <v>1</v>
      </c>
      <c r="C2037" s="10">
        <f t="shared" si="95"/>
        <v>44109</v>
      </c>
      <c r="D2037">
        <v>2008838</v>
      </c>
      <c r="E2037" t="s">
        <v>145</v>
      </c>
      <c r="F2037" s="6">
        <v>44113</v>
      </c>
      <c r="G2037">
        <v>1</v>
      </c>
      <c r="H2037" t="s">
        <v>192</v>
      </c>
      <c r="I2037" t="s">
        <v>120</v>
      </c>
    </row>
    <row r="2038" spans="1:9" x14ac:dyDescent="0.25">
      <c r="A2038" s="8" t="str">
        <f t="shared" si="93"/>
        <v>2008838.HP1</v>
      </c>
      <c r="B2038" s="9" t="str">
        <f t="shared" si="94"/>
        <v>1</v>
      </c>
      <c r="C2038" s="10">
        <f t="shared" si="95"/>
        <v>44109</v>
      </c>
      <c r="D2038">
        <v>2008838</v>
      </c>
      <c r="E2038" t="s">
        <v>129</v>
      </c>
      <c r="F2038" s="6">
        <v>44113</v>
      </c>
      <c r="G2038">
        <v>1</v>
      </c>
      <c r="H2038" t="s">
        <v>192</v>
      </c>
      <c r="I2038" t="s">
        <v>120</v>
      </c>
    </row>
    <row r="2039" spans="1:9" x14ac:dyDescent="0.25">
      <c r="A2039" s="8" t="str">
        <f t="shared" si="93"/>
        <v>2008839.H00</v>
      </c>
      <c r="B2039" s="9" t="str">
        <f t="shared" si="94"/>
        <v>1</v>
      </c>
      <c r="C2039" s="10">
        <f t="shared" si="95"/>
        <v>44095</v>
      </c>
      <c r="D2039">
        <v>2008839</v>
      </c>
      <c r="E2039" t="s">
        <v>122</v>
      </c>
      <c r="F2039" s="6">
        <v>44099</v>
      </c>
      <c r="G2039">
        <v>1</v>
      </c>
      <c r="H2039" t="s">
        <v>189</v>
      </c>
      <c r="I2039" t="s">
        <v>120</v>
      </c>
    </row>
    <row r="2040" spans="1:9" x14ac:dyDescent="0.25">
      <c r="A2040" s="8" t="str">
        <f t="shared" si="93"/>
        <v>2008840.NI0</v>
      </c>
      <c r="B2040" s="9" t="str">
        <f t="shared" si="94"/>
        <v/>
      </c>
      <c r="C2040" s="10">
        <f t="shared" si="95"/>
        <v>44067</v>
      </c>
      <c r="D2040">
        <v>2008840</v>
      </c>
      <c r="E2040" t="s">
        <v>185</v>
      </c>
      <c r="F2040" s="6">
        <v>44071</v>
      </c>
      <c r="H2040" t="s">
        <v>188</v>
      </c>
      <c r="I2040" t="s">
        <v>120</v>
      </c>
    </row>
    <row r="2041" spans="1:9" x14ac:dyDescent="0.25">
      <c r="A2041" s="8" t="str">
        <f t="shared" si="93"/>
        <v>2008841.0P0</v>
      </c>
      <c r="B2041" s="9" t="str">
        <f t="shared" si="94"/>
        <v>1</v>
      </c>
      <c r="C2041" s="10">
        <f t="shared" si="95"/>
        <v>44088</v>
      </c>
      <c r="D2041">
        <v>2008841</v>
      </c>
      <c r="E2041" t="s">
        <v>119</v>
      </c>
      <c r="F2041" s="6">
        <v>44092</v>
      </c>
      <c r="G2041">
        <v>1</v>
      </c>
      <c r="H2041" t="s">
        <v>189</v>
      </c>
      <c r="I2041" t="s">
        <v>120</v>
      </c>
    </row>
    <row r="2042" spans="1:9" x14ac:dyDescent="0.25">
      <c r="A2042" s="8" t="str">
        <f t="shared" si="93"/>
        <v>2008842.Y00</v>
      </c>
      <c r="B2042" s="9" t="str">
        <f t="shared" si="94"/>
        <v/>
      </c>
      <c r="C2042" s="10">
        <f t="shared" si="95"/>
        <v>44081</v>
      </c>
      <c r="D2042">
        <v>2008842</v>
      </c>
      <c r="E2042" t="s">
        <v>130</v>
      </c>
      <c r="F2042" s="6">
        <v>44085</v>
      </c>
      <c r="H2042" t="s">
        <v>192</v>
      </c>
      <c r="I2042" t="s">
        <v>120</v>
      </c>
    </row>
    <row r="2043" spans="1:9" x14ac:dyDescent="0.25">
      <c r="A2043" s="8" t="str">
        <f t="shared" si="93"/>
        <v>2008843.000</v>
      </c>
      <c r="B2043" s="9" t="str">
        <f t="shared" si="94"/>
        <v/>
      </c>
      <c r="C2043" s="10">
        <f t="shared" si="95"/>
        <v>44109</v>
      </c>
      <c r="D2043">
        <v>2008843</v>
      </c>
      <c r="E2043">
        <v>0</v>
      </c>
      <c r="F2043" s="6">
        <v>44113</v>
      </c>
      <c r="H2043" t="s">
        <v>189</v>
      </c>
      <c r="I2043" t="s">
        <v>120</v>
      </c>
    </row>
    <row r="2044" spans="1:9" x14ac:dyDescent="0.25">
      <c r="A2044" s="8" t="str">
        <f t="shared" si="93"/>
        <v>2008843.T00</v>
      </c>
      <c r="B2044" s="9" t="str">
        <f t="shared" si="94"/>
        <v/>
      </c>
      <c r="C2044" s="10">
        <f t="shared" si="95"/>
        <v>44109</v>
      </c>
      <c r="D2044">
        <v>2008843</v>
      </c>
      <c r="E2044" t="s">
        <v>159</v>
      </c>
      <c r="F2044" s="6">
        <v>44113</v>
      </c>
      <c r="H2044" t="s">
        <v>189</v>
      </c>
      <c r="I2044" t="s">
        <v>120</v>
      </c>
    </row>
    <row r="2045" spans="1:9" x14ac:dyDescent="0.25">
      <c r="A2045" s="8" t="str">
        <f t="shared" si="93"/>
        <v>2008843.T01</v>
      </c>
      <c r="B2045" s="9" t="str">
        <f t="shared" si="94"/>
        <v/>
      </c>
      <c r="C2045" s="10">
        <f t="shared" si="95"/>
        <v>44109</v>
      </c>
      <c r="D2045">
        <v>2008843</v>
      </c>
      <c r="E2045" t="s">
        <v>146</v>
      </c>
      <c r="F2045" s="6">
        <v>44113</v>
      </c>
      <c r="H2045" t="s">
        <v>189</v>
      </c>
      <c r="I2045" t="s">
        <v>120</v>
      </c>
    </row>
    <row r="2046" spans="1:9" x14ac:dyDescent="0.25">
      <c r="A2046" s="8" t="str">
        <f t="shared" si="93"/>
        <v>2008843.Z01</v>
      </c>
      <c r="B2046" s="9" t="str">
        <f t="shared" si="94"/>
        <v/>
      </c>
      <c r="C2046" s="10">
        <f t="shared" si="95"/>
        <v>44109</v>
      </c>
      <c r="D2046">
        <v>2008843</v>
      </c>
      <c r="E2046" t="s">
        <v>135</v>
      </c>
      <c r="F2046" s="6">
        <v>44113</v>
      </c>
      <c r="H2046" t="s">
        <v>189</v>
      </c>
      <c r="I2046" t="s">
        <v>120</v>
      </c>
    </row>
    <row r="2047" spans="1:9" x14ac:dyDescent="0.25">
      <c r="A2047" s="8" t="str">
        <f t="shared" si="93"/>
        <v>2008844.000</v>
      </c>
      <c r="B2047" s="9" t="str">
        <f t="shared" si="94"/>
        <v/>
      </c>
      <c r="C2047" s="10">
        <f t="shared" si="95"/>
        <v>44088</v>
      </c>
      <c r="D2047">
        <v>2008844</v>
      </c>
      <c r="E2047">
        <v>0</v>
      </c>
      <c r="F2047" s="6">
        <v>44092</v>
      </c>
      <c r="H2047" t="s">
        <v>189</v>
      </c>
      <c r="I2047" t="s">
        <v>120</v>
      </c>
    </row>
    <row r="2048" spans="1:9" x14ac:dyDescent="0.25">
      <c r="A2048" s="8" t="str">
        <f t="shared" si="93"/>
        <v>2008846.UP0</v>
      </c>
      <c r="B2048" s="9" t="str">
        <f t="shared" si="94"/>
        <v/>
      </c>
      <c r="C2048" s="10">
        <f t="shared" si="95"/>
        <v>44109</v>
      </c>
      <c r="D2048">
        <v>2008846</v>
      </c>
      <c r="E2048" t="s">
        <v>136</v>
      </c>
      <c r="F2048" s="6">
        <v>44113</v>
      </c>
      <c r="H2048" t="s">
        <v>189</v>
      </c>
      <c r="I2048" t="s">
        <v>120</v>
      </c>
    </row>
    <row r="2049" spans="1:9" x14ac:dyDescent="0.25">
      <c r="A2049" s="8" t="str">
        <f t="shared" si="93"/>
        <v>2008847.X00</v>
      </c>
      <c r="B2049" s="9" t="str">
        <f t="shared" si="94"/>
        <v/>
      </c>
      <c r="C2049" s="10">
        <f t="shared" si="95"/>
        <v>44102</v>
      </c>
      <c r="D2049">
        <v>2008847</v>
      </c>
      <c r="E2049" t="s">
        <v>225</v>
      </c>
      <c r="F2049" s="6">
        <v>44106</v>
      </c>
      <c r="H2049" t="s">
        <v>189</v>
      </c>
      <c r="I2049" t="s">
        <v>120</v>
      </c>
    </row>
    <row r="2050" spans="1:9" x14ac:dyDescent="0.25">
      <c r="A2050" s="8" t="str">
        <f t="shared" ref="A2050:A2112" si="96">IF(D2050="","",IF(E2050=0,CONCATENATE(D2050,".",E2050,"00"),CONCATENATE(D2050,".",E2050)))</f>
        <v>2008847.Y00</v>
      </c>
      <c r="B2050" s="9" t="str">
        <f t="shared" ref="B2050:B2112" si="97">LEFT(G2050,1)</f>
        <v/>
      </c>
      <c r="C2050" s="10">
        <f t="shared" ref="C2050:C2112" si="98">IF(F2050="","",IF(B2050="",F2050-4,IF(B2050="1",F2050-4,IF(B2050="2",F2050-3,IF(B2050="3",F2050-2,IF(B2050="4",F2050-1,IF(B2050="V",F2050-7,IF(B2050="J",F2050-8,F2050))))))))</f>
        <v>44102</v>
      </c>
      <c r="D2050">
        <v>2008847</v>
      </c>
      <c r="E2050" t="s">
        <v>130</v>
      </c>
      <c r="F2050" s="6">
        <v>44106</v>
      </c>
      <c r="H2050" t="s">
        <v>189</v>
      </c>
      <c r="I2050" t="s">
        <v>120</v>
      </c>
    </row>
    <row r="2051" spans="1:9" x14ac:dyDescent="0.25">
      <c r="A2051" s="8" t="str">
        <f t="shared" si="96"/>
        <v>2008848.000</v>
      </c>
      <c r="B2051" s="9" t="str">
        <f t="shared" si="97"/>
        <v/>
      </c>
      <c r="C2051" s="10">
        <f t="shared" si="98"/>
        <v>44116</v>
      </c>
      <c r="D2051">
        <v>2008848</v>
      </c>
      <c r="E2051">
        <v>0</v>
      </c>
      <c r="F2051" s="6">
        <v>44120</v>
      </c>
      <c r="H2051" t="s">
        <v>189</v>
      </c>
      <c r="I2051" t="s">
        <v>120</v>
      </c>
    </row>
    <row r="2052" spans="1:9" x14ac:dyDescent="0.25">
      <c r="A2052" s="8" t="str">
        <f t="shared" si="96"/>
        <v>2008849.000</v>
      </c>
      <c r="B2052" s="9" t="str">
        <f t="shared" si="97"/>
        <v>1</v>
      </c>
      <c r="C2052" s="10">
        <f t="shared" si="98"/>
        <v>44088</v>
      </c>
      <c r="D2052">
        <v>2008849</v>
      </c>
      <c r="E2052">
        <v>0</v>
      </c>
      <c r="F2052" s="6">
        <v>44092</v>
      </c>
      <c r="G2052">
        <v>1</v>
      </c>
      <c r="H2052" t="s">
        <v>189</v>
      </c>
      <c r="I2052" t="s">
        <v>120</v>
      </c>
    </row>
    <row r="2053" spans="1:9" x14ac:dyDescent="0.25">
      <c r="A2053" s="8" t="str">
        <f t="shared" si="96"/>
        <v>2008850.HPL</v>
      </c>
      <c r="B2053" s="9" t="str">
        <f t="shared" si="97"/>
        <v/>
      </c>
      <c r="C2053" s="10">
        <f t="shared" si="98"/>
        <v>44102</v>
      </c>
      <c r="D2053">
        <v>2008850</v>
      </c>
      <c r="E2053" t="s">
        <v>128</v>
      </c>
      <c r="F2053" s="6">
        <v>44106</v>
      </c>
      <c r="H2053" t="s">
        <v>189</v>
      </c>
      <c r="I2053" t="s">
        <v>120</v>
      </c>
    </row>
    <row r="2054" spans="1:9" x14ac:dyDescent="0.25">
      <c r="A2054" s="8" t="str">
        <f t="shared" si="96"/>
        <v>2008851.000</v>
      </c>
      <c r="B2054" s="9" t="str">
        <f t="shared" si="97"/>
        <v/>
      </c>
      <c r="C2054" s="10">
        <f t="shared" si="98"/>
        <v>44088</v>
      </c>
      <c r="D2054">
        <v>2008851</v>
      </c>
      <c r="E2054">
        <v>0</v>
      </c>
      <c r="F2054" s="6">
        <v>44092</v>
      </c>
      <c r="H2054" t="s">
        <v>189</v>
      </c>
      <c r="I2054" t="s">
        <v>120</v>
      </c>
    </row>
    <row r="2055" spans="1:9" x14ac:dyDescent="0.25">
      <c r="A2055" s="8" t="str">
        <f t="shared" si="96"/>
        <v>2008852.C00</v>
      </c>
      <c r="B2055" s="9" t="str">
        <f t="shared" si="97"/>
        <v/>
      </c>
      <c r="C2055" s="10">
        <f t="shared" si="98"/>
        <v>44109</v>
      </c>
      <c r="D2055">
        <v>2008852</v>
      </c>
      <c r="E2055" t="s">
        <v>147</v>
      </c>
      <c r="F2055" s="6">
        <v>44113</v>
      </c>
      <c r="H2055" t="s">
        <v>189</v>
      </c>
      <c r="I2055" t="s">
        <v>120</v>
      </c>
    </row>
    <row r="2056" spans="1:9" x14ac:dyDescent="0.25">
      <c r="A2056" s="8" t="str">
        <f t="shared" si="96"/>
        <v>2008853.Y00</v>
      </c>
      <c r="B2056" s="9" t="str">
        <f t="shared" si="97"/>
        <v>3</v>
      </c>
      <c r="C2056" s="10">
        <f t="shared" si="98"/>
        <v>44111</v>
      </c>
      <c r="D2056">
        <v>2008853</v>
      </c>
      <c r="E2056" t="s">
        <v>130</v>
      </c>
      <c r="F2056" s="6">
        <v>44113</v>
      </c>
      <c r="G2056">
        <v>3</v>
      </c>
      <c r="H2056" t="s">
        <v>192</v>
      </c>
      <c r="I2056" t="s">
        <v>120</v>
      </c>
    </row>
    <row r="2057" spans="1:9" x14ac:dyDescent="0.25">
      <c r="A2057" s="8" t="str">
        <f t="shared" si="96"/>
        <v>2008854.000</v>
      </c>
      <c r="B2057" s="9" t="str">
        <f t="shared" si="97"/>
        <v/>
      </c>
      <c r="C2057" s="10">
        <f t="shared" si="98"/>
        <v>44088</v>
      </c>
      <c r="D2057">
        <v>2008854</v>
      </c>
      <c r="E2057">
        <v>0</v>
      </c>
      <c r="F2057" s="6">
        <v>44092</v>
      </c>
      <c r="H2057" t="s">
        <v>189</v>
      </c>
      <c r="I2057" t="s">
        <v>120</v>
      </c>
    </row>
    <row r="2058" spans="1:9" x14ac:dyDescent="0.25">
      <c r="A2058" s="8" t="str">
        <f t="shared" si="96"/>
        <v>2008855.XP0</v>
      </c>
      <c r="B2058" s="9" t="str">
        <f t="shared" si="97"/>
        <v/>
      </c>
      <c r="C2058" s="10">
        <f t="shared" si="98"/>
        <v>44102</v>
      </c>
      <c r="D2058">
        <v>2008855</v>
      </c>
      <c r="E2058" t="s">
        <v>181</v>
      </c>
      <c r="F2058" s="6">
        <v>44106</v>
      </c>
      <c r="H2058" t="s">
        <v>191</v>
      </c>
      <c r="I2058" t="s">
        <v>120</v>
      </c>
    </row>
    <row r="2059" spans="1:9" x14ac:dyDescent="0.25">
      <c r="A2059" s="8" t="str">
        <f t="shared" si="96"/>
        <v>2008856.000</v>
      </c>
      <c r="B2059" s="9" t="str">
        <f t="shared" si="97"/>
        <v/>
      </c>
      <c r="C2059" s="10">
        <f t="shared" si="98"/>
        <v>44088</v>
      </c>
      <c r="D2059">
        <v>2008856</v>
      </c>
      <c r="E2059">
        <v>0</v>
      </c>
      <c r="F2059" s="6">
        <v>44092</v>
      </c>
      <c r="H2059" t="s">
        <v>192</v>
      </c>
      <c r="I2059" t="s">
        <v>120</v>
      </c>
    </row>
    <row r="2060" spans="1:9" x14ac:dyDescent="0.25">
      <c r="A2060" s="8" t="str">
        <f t="shared" si="96"/>
        <v>2008857.000</v>
      </c>
      <c r="B2060" s="9" t="str">
        <f t="shared" si="97"/>
        <v/>
      </c>
      <c r="C2060" s="10">
        <f t="shared" si="98"/>
        <v>44088</v>
      </c>
      <c r="D2060">
        <v>2008857</v>
      </c>
      <c r="E2060">
        <v>0</v>
      </c>
      <c r="F2060" s="6">
        <v>44092</v>
      </c>
      <c r="H2060" t="s">
        <v>189</v>
      </c>
      <c r="I2060" t="s">
        <v>120</v>
      </c>
    </row>
    <row r="2061" spans="1:9" x14ac:dyDescent="0.25">
      <c r="A2061" s="8" t="str">
        <f t="shared" si="96"/>
        <v>2008860.0P0</v>
      </c>
      <c r="B2061" s="9" t="str">
        <f t="shared" si="97"/>
        <v/>
      </c>
      <c r="C2061" s="10">
        <f t="shared" si="98"/>
        <v>44088</v>
      </c>
      <c r="D2061">
        <v>2008860</v>
      </c>
      <c r="E2061" t="s">
        <v>119</v>
      </c>
      <c r="F2061" s="6">
        <v>44092</v>
      </c>
      <c r="H2061" t="s">
        <v>189</v>
      </c>
      <c r="I2061" t="s">
        <v>120</v>
      </c>
    </row>
    <row r="2062" spans="1:9" x14ac:dyDescent="0.25">
      <c r="A2062" s="8" t="str">
        <f t="shared" si="96"/>
        <v>2008861.H00</v>
      </c>
      <c r="B2062" s="9" t="str">
        <f t="shared" si="97"/>
        <v/>
      </c>
      <c r="C2062" s="10">
        <f t="shared" si="98"/>
        <v>44109</v>
      </c>
      <c r="D2062">
        <v>2008861</v>
      </c>
      <c r="E2062" t="s">
        <v>122</v>
      </c>
      <c r="F2062" s="6">
        <v>44113</v>
      </c>
      <c r="H2062" t="s">
        <v>189</v>
      </c>
      <c r="I2062" t="s">
        <v>120</v>
      </c>
    </row>
    <row r="2063" spans="1:9" x14ac:dyDescent="0.25">
      <c r="A2063" s="8" t="str">
        <f t="shared" si="96"/>
        <v>2008861.HPL</v>
      </c>
      <c r="B2063" s="9" t="str">
        <f t="shared" si="97"/>
        <v/>
      </c>
      <c r="C2063" s="10">
        <f t="shared" si="98"/>
        <v>44109</v>
      </c>
      <c r="D2063">
        <v>2008861</v>
      </c>
      <c r="E2063" t="s">
        <v>128</v>
      </c>
      <c r="F2063" s="6">
        <v>44113</v>
      </c>
      <c r="H2063" t="s">
        <v>189</v>
      </c>
      <c r="I2063" t="s">
        <v>120</v>
      </c>
    </row>
    <row r="2064" spans="1:9" x14ac:dyDescent="0.25">
      <c r="A2064" s="8" t="str">
        <f t="shared" si="96"/>
        <v>2008861.Y00</v>
      </c>
      <c r="B2064" s="9" t="str">
        <f t="shared" si="97"/>
        <v/>
      </c>
      <c r="C2064" s="10">
        <f t="shared" si="98"/>
        <v>44109</v>
      </c>
      <c r="D2064">
        <v>2008861</v>
      </c>
      <c r="E2064" t="s">
        <v>130</v>
      </c>
      <c r="F2064" s="6">
        <v>44113</v>
      </c>
      <c r="H2064" t="s">
        <v>189</v>
      </c>
      <c r="I2064" t="s">
        <v>120</v>
      </c>
    </row>
    <row r="2065" spans="1:9" x14ac:dyDescent="0.25">
      <c r="A2065" s="8" t="str">
        <f t="shared" si="96"/>
        <v>2008862.000</v>
      </c>
      <c r="B2065" s="9" t="str">
        <f t="shared" si="97"/>
        <v/>
      </c>
      <c r="C2065" s="10">
        <f t="shared" si="98"/>
        <v>44088</v>
      </c>
      <c r="D2065">
        <v>2008862</v>
      </c>
      <c r="E2065">
        <v>0</v>
      </c>
      <c r="F2065" s="6">
        <v>44092</v>
      </c>
      <c r="H2065" t="s">
        <v>192</v>
      </c>
      <c r="I2065" t="s">
        <v>120</v>
      </c>
    </row>
    <row r="2066" spans="1:9" x14ac:dyDescent="0.25">
      <c r="A2066" s="8" t="str">
        <f t="shared" si="96"/>
        <v>2008863.000</v>
      </c>
      <c r="B2066" s="9" t="str">
        <f t="shared" si="97"/>
        <v/>
      </c>
      <c r="C2066" s="10">
        <f t="shared" si="98"/>
        <v>44088</v>
      </c>
      <c r="D2066">
        <v>2008863</v>
      </c>
      <c r="E2066">
        <v>0</v>
      </c>
      <c r="F2066" s="6">
        <v>44092</v>
      </c>
      <c r="H2066" t="s">
        <v>192</v>
      </c>
      <c r="I2066" t="s">
        <v>120</v>
      </c>
    </row>
    <row r="2067" spans="1:9" x14ac:dyDescent="0.25">
      <c r="A2067" s="8" t="str">
        <f t="shared" si="96"/>
        <v>2008863.0P0</v>
      </c>
      <c r="B2067" s="9" t="str">
        <f t="shared" si="97"/>
        <v/>
      </c>
      <c r="C2067" s="10">
        <f t="shared" si="98"/>
        <v>44088</v>
      </c>
      <c r="D2067">
        <v>2008863</v>
      </c>
      <c r="E2067" t="s">
        <v>119</v>
      </c>
      <c r="F2067" s="6">
        <v>44092</v>
      </c>
      <c r="H2067" t="s">
        <v>192</v>
      </c>
      <c r="I2067" t="s">
        <v>120</v>
      </c>
    </row>
    <row r="2068" spans="1:9" x14ac:dyDescent="0.25">
      <c r="A2068" s="8" t="str">
        <f t="shared" si="96"/>
        <v>2008863.C00</v>
      </c>
      <c r="B2068" s="9" t="str">
        <f t="shared" si="97"/>
        <v/>
      </c>
      <c r="C2068" s="10">
        <f t="shared" si="98"/>
        <v>44088</v>
      </c>
      <c r="D2068">
        <v>2008863</v>
      </c>
      <c r="E2068" t="s">
        <v>147</v>
      </c>
      <c r="F2068" s="6">
        <v>44092</v>
      </c>
      <c r="H2068" t="s">
        <v>192</v>
      </c>
      <c r="I2068" t="s">
        <v>120</v>
      </c>
    </row>
    <row r="2069" spans="1:9" x14ac:dyDescent="0.25">
      <c r="A2069" s="8" t="str">
        <f t="shared" si="96"/>
        <v>2008864.0P0</v>
      </c>
      <c r="B2069" s="9" t="str">
        <f t="shared" si="97"/>
        <v/>
      </c>
      <c r="C2069" s="10">
        <f t="shared" si="98"/>
        <v>44088</v>
      </c>
      <c r="D2069">
        <v>2008864</v>
      </c>
      <c r="E2069" t="s">
        <v>119</v>
      </c>
      <c r="F2069" s="6">
        <v>44092</v>
      </c>
      <c r="H2069" t="s">
        <v>192</v>
      </c>
      <c r="I2069" t="s">
        <v>120</v>
      </c>
    </row>
    <row r="2070" spans="1:9" x14ac:dyDescent="0.25">
      <c r="A2070" s="8" t="str">
        <f t="shared" si="96"/>
        <v>2008865.0P0</v>
      </c>
      <c r="B2070" s="9" t="str">
        <f t="shared" si="97"/>
        <v>2</v>
      </c>
      <c r="C2070" s="10">
        <f t="shared" si="98"/>
        <v>44082</v>
      </c>
      <c r="D2070">
        <v>2008865</v>
      </c>
      <c r="E2070" t="s">
        <v>119</v>
      </c>
      <c r="F2070" s="6">
        <v>44085</v>
      </c>
      <c r="G2070">
        <v>2</v>
      </c>
      <c r="H2070" t="s">
        <v>188</v>
      </c>
      <c r="I2070" t="s">
        <v>120</v>
      </c>
    </row>
    <row r="2071" spans="1:9" x14ac:dyDescent="0.25">
      <c r="A2071" s="8" t="str">
        <f t="shared" si="96"/>
        <v>2008866.NF0</v>
      </c>
      <c r="B2071" s="9" t="str">
        <f t="shared" si="97"/>
        <v/>
      </c>
      <c r="C2071" s="10">
        <f t="shared" si="98"/>
        <v>44081</v>
      </c>
      <c r="D2071">
        <v>2008866</v>
      </c>
      <c r="E2071" t="s">
        <v>137</v>
      </c>
      <c r="F2071" s="6">
        <v>44085</v>
      </c>
      <c r="H2071" t="s">
        <v>183</v>
      </c>
      <c r="I2071" t="s">
        <v>120</v>
      </c>
    </row>
    <row r="2072" spans="1:9" x14ac:dyDescent="0.25">
      <c r="A2072" s="8" t="str">
        <f t="shared" si="96"/>
        <v>2008867.U01</v>
      </c>
      <c r="B2072" s="9" t="str">
        <f t="shared" si="97"/>
        <v/>
      </c>
      <c r="C2072" s="10">
        <f t="shared" si="98"/>
        <v>44109</v>
      </c>
      <c r="D2072">
        <v>2008867</v>
      </c>
      <c r="E2072" t="s">
        <v>150</v>
      </c>
      <c r="F2072" s="6">
        <v>44113</v>
      </c>
      <c r="H2072" t="s">
        <v>192</v>
      </c>
      <c r="I2072" t="s">
        <v>120</v>
      </c>
    </row>
    <row r="2073" spans="1:9" x14ac:dyDescent="0.25">
      <c r="A2073" s="8" t="str">
        <f t="shared" si="96"/>
        <v>2008867.Y01</v>
      </c>
      <c r="B2073" s="9" t="str">
        <f t="shared" si="97"/>
        <v/>
      </c>
      <c r="C2073" s="10">
        <f t="shared" si="98"/>
        <v>44109</v>
      </c>
      <c r="D2073">
        <v>2008867</v>
      </c>
      <c r="E2073" t="s">
        <v>132</v>
      </c>
      <c r="F2073" s="6">
        <v>44113</v>
      </c>
      <c r="H2073" t="s">
        <v>192</v>
      </c>
      <c r="I2073" t="s">
        <v>120</v>
      </c>
    </row>
    <row r="2074" spans="1:9" x14ac:dyDescent="0.25">
      <c r="A2074" s="8" t="str">
        <f t="shared" si="96"/>
        <v>2008868.H00</v>
      </c>
      <c r="B2074" s="9" t="str">
        <f t="shared" si="97"/>
        <v/>
      </c>
      <c r="C2074" s="10">
        <f t="shared" si="98"/>
        <v>44109</v>
      </c>
      <c r="D2074">
        <v>2008868</v>
      </c>
      <c r="E2074" t="s">
        <v>122</v>
      </c>
      <c r="F2074" s="6">
        <v>44113</v>
      </c>
      <c r="H2074" t="s">
        <v>189</v>
      </c>
      <c r="I2074" t="s">
        <v>120</v>
      </c>
    </row>
    <row r="2075" spans="1:9" x14ac:dyDescent="0.25">
      <c r="A2075" s="8" t="str">
        <f t="shared" si="96"/>
        <v>2008868.Y00</v>
      </c>
      <c r="B2075" s="9" t="str">
        <f t="shared" si="97"/>
        <v/>
      </c>
      <c r="C2075" s="10">
        <f t="shared" si="98"/>
        <v>44109</v>
      </c>
      <c r="D2075">
        <v>2008868</v>
      </c>
      <c r="E2075" t="s">
        <v>130</v>
      </c>
      <c r="F2075" s="6">
        <v>44113</v>
      </c>
      <c r="H2075" t="s">
        <v>189</v>
      </c>
      <c r="I2075" t="s">
        <v>120</v>
      </c>
    </row>
    <row r="2076" spans="1:9" x14ac:dyDescent="0.25">
      <c r="A2076" s="8" t="str">
        <f t="shared" si="96"/>
        <v>2008869.N0L</v>
      </c>
      <c r="B2076" s="9" t="str">
        <f t="shared" si="97"/>
        <v/>
      </c>
      <c r="C2076" s="10">
        <f t="shared" si="98"/>
        <v>44067</v>
      </c>
      <c r="D2076">
        <v>2008869</v>
      </c>
      <c r="E2076" t="s">
        <v>133</v>
      </c>
      <c r="F2076" s="6">
        <v>44071</v>
      </c>
      <c r="H2076" t="s">
        <v>188</v>
      </c>
      <c r="I2076" t="s">
        <v>120</v>
      </c>
    </row>
    <row r="2077" spans="1:9" x14ac:dyDescent="0.25">
      <c r="A2077" s="8" t="str">
        <f t="shared" si="96"/>
        <v>2008870.TPL</v>
      </c>
      <c r="B2077" s="9" t="str">
        <f t="shared" si="97"/>
        <v/>
      </c>
      <c r="C2077" s="10">
        <f t="shared" si="98"/>
        <v>44109</v>
      </c>
      <c r="D2077">
        <v>2008870</v>
      </c>
      <c r="E2077" t="s">
        <v>288</v>
      </c>
      <c r="F2077" s="6">
        <v>44113</v>
      </c>
      <c r="H2077" t="s">
        <v>189</v>
      </c>
      <c r="I2077" t="s">
        <v>120</v>
      </c>
    </row>
    <row r="2078" spans="1:9" x14ac:dyDescent="0.25">
      <c r="A2078" s="8" t="str">
        <f t="shared" si="96"/>
        <v>2008871.000</v>
      </c>
      <c r="B2078" s="9" t="str">
        <f t="shared" si="97"/>
        <v/>
      </c>
      <c r="C2078" s="10">
        <f t="shared" si="98"/>
        <v>44088</v>
      </c>
      <c r="D2078">
        <v>2008871</v>
      </c>
      <c r="E2078">
        <v>0</v>
      </c>
      <c r="F2078" s="6">
        <v>44092</v>
      </c>
      <c r="H2078" t="s">
        <v>189</v>
      </c>
      <c r="I2078" t="s">
        <v>120</v>
      </c>
    </row>
    <row r="2079" spans="1:9" x14ac:dyDescent="0.25">
      <c r="A2079" s="8" t="str">
        <f t="shared" si="96"/>
        <v>2008872.Z00</v>
      </c>
      <c r="B2079" s="9" t="str">
        <f t="shared" si="97"/>
        <v/>
      </c>
      <c r="C2079" s="10">
        <f t="shared" si="98"/>
        <v>44074</v>
      </c>
      <c r="D2079">
        <v>2008872</v>
      </c>
      <c r="E2079" t="s">
        <v>158</v>
      </c>
      <c r="F2079" s="6">
        <v>44078</v>
      </c>
      <c r="H2079" t="s">
        <v>192</v>
      </c>
      <c r="I2079" t="s">
        <v>120</v>
      </c>
    </row>
    <row r="2080" spans="1:9" x14ac:dyDescent="0.25">
      <c r="A2080" s="8" t="str">
        <f t="shared" si="96"/>
        <v>2008873.NQ0</v>
      </c>
      <c r="B2080" s="9" t="str">
        <f t="shared" si="97"/>
        <v/>
      </c>
      <c r="C2080" s="10">
        <f t="shared" si="98"/>
        <v>44039</v>
      </c>
      <c r="D2080">
        <v>2008873</v>
      </c>
      <c r="E2080" t="s">
        <v>165</v>
      </c>
      <c r="F2080" s="6">
        <v>44043</v>
      </c>
      <c r="H2080" t="s">
        <v>189</v>
      </c>
      <c r="I2080" t="s">
        <v>120</v>
      </c>
    </row>
    <row r="2081" spans="1:9" x14ac:dyDescent="0.25">
      <c r="A2081" s="8" t="str">
        <f t="shared" si="96"/>
        <v>2008873.U02</v>
      </c>
      <c r="B2081" s="9" t="str">
        <f t="shared" si="97"/>
        <v/>
      </c>
      <c r="C2081" s="10">
        <f t="shared" si="98"/>
        <v>44088</v>
      </c>
      <c r="D2081">
        <v>2008873</v>
      </c>
      <c r="E2081" t="s">
        <v>149</v>
      </c>
      <c r="F2081" s="6">
        <v>44092</v>
      </c>
      <c r="H2081" t="s">
        <v>189</v>
      </c>
      <c r="I2081" t="s">
        <v>120</v>
      </c>
    </row>
    <row r="2082" spans="1:9" x14ac:dyDescent="0.25">
      <c r="A2082" s="8" t="str">
        <f t="shared" si="96"/>
        <v>2008874.C00</v>
      </c>
      <c r="B2082" s="9" t="str">
        <f t="shared" si="97"/>
        <v/>
      </c>
      <c r="C2082" s="10">
        <f t="shared" si="98"/>
        <v>44109</v>
      </c>
      <c r="D2082">
        <v>2008874</v>
      </c>
      <c r="E2082" t="s">
        <v>147</v>
      </c>
      <c r="F2082" s="6">
        <v>44113</v>
      </c>
      <c r="H2082" t="s">
        <v>188</v>
      </c>
      <c r="I2082" t="s">
        <v>120</v>
      </c>
    </row>
    <row r="2083" spans="1:9" x14ac:dyDescent="0.25">
      <c r="A2083" s="8" t="str">
        <f t="shared" si="96"/>
        <v>2008875.0P0</v>
      </c>
      <c r="B2083" s="9" t="str">
        <f t="shared" si="97"/>
        <v>4</v>
      </c>
      <c r="C2083" s="10">
        <f t="shared" si="98"/>
        <v>44091</v>
      </c>
      <c r="D2083">
        <v>2008875</v>
      </c>
      <c r="E2083" t="s">
        <v>119</v>
      </c>
      <c r="F2083" s="6">
        <v>44092</v>
      </c>
      <c r="G2083">
        <v>4</v>
      </c>
      <c r="H2083" t="s">
        <v>189</v>
      </c>
      <c r="I2083" t="s">
        <v>120</v>
      </c>
    </row>
    <row r="2084" spans="1:9" x14ac:dyDescent="0.25">
      <c r="A2084" s="8" t="str">
        <f t="shared" si="96"/>
        <v>2008876.NV0</v>
      </c>
      <c r="B2084" s="9" t="str">
        <f t="shared" si="97"/>
        <v/>
      </c>
      <c r="C2084" s="10">
        <f t="shared" si="98"/>
        <v>44067</v>
      </c>
      <c r="D2084">
        <v>2008876</v>
      </c>
      <c r="E2084" t="s">
        <v>126</v>
      </c>
      <c r="F2084" s="6">
        <v>44071</v>
      </c>
      <c r="H2084" t="s">
        <v>188</v>
      </c>
      <c r="I2084" t="s">
        <v>120</v>
      </c>
    </row>
    <row r="2085" spans="1:9" x14ac:dyDescent="0.25">
      <c r="A2085" s="8" t="str">
        <f t="shared" si="96"/>
        <v>2008877.N00</v>
      </c>
      <c r="B2085" s="9" t="str">
        <f t="shared" si="97"/>
        <v>3</v>
      </c>
      <c r="C2085" s="10">
        <f t="shared" si="98"/>
        <v>44069</v>
      </c>
      <c r="D2085">
        <v>2008877</v>
      </c>
      <c r="E2085" t="s">
        <v>125</v>
      </c>
      <c r="F2085" s="6">
        <v>44071</v>
      </c>
      <c r="G2085">
        <v>34</v>
      </c>
      <c r="H2085" t="s">
        <v>194</v>
      </c>
      <c r="I2085" t="s">
        <v>120</v>
      </c>
    </row>
    <row r="2086" spans="1:9" x14ac:dyDescent="0.25">
      <c r="A2086" s="8" t="str">
        <f t="shared" si="96"/>
        <v>2008878.XP0</v>
      </c>
      <c r="B2086" s="9" t="str">
        <f t="shared" si="97"/>
        <v>4</v>
      </c>
      <c r="C2086" s="10">
        <f t="shared" si="98"/>
        <v>44105</v>
      </c>
      <c r="D2086">
        <v>2008878</v>
      </c>
      <c r="E2086" t="s">
        <v>181</v>
      </c>
      <c r="F2086" s="6">
        <v>44106</v>
      </c>
      <c r="G2086">
        <v>4</v>
      </c>
      <c r="H2086" t="s">
        <v>189</v>
      </c>
      <c r="I2086" t="s">
        <v>120</v>
      </c>
    </row>
    <row r="2087" spans="1:9" x14ac:dyDescent="0.25">
      <c r="A2087" s="8" t="str">
        <f t="shared" si="96"/>
        <v>2008879.0P0</v>
      </c>
      <c r="B2087" s="9" t="str">
        <f t="shared" si="97"/>
        <v>4</v>
      </c>
      <c r="C2087" s="10">
        <f t="shared" si="98"/>
        <v>44091</v>
      </c>
      <c r="D2087">
        <v>2008879</v>
      </c>
      <c r="E2087" t="s">
        <v>119</v>
      </c>
      <c r="F2087" s="6">
        <v>44092</v>
      </c>
      <c r="G2087">
        <v>4</v>
      </c>
      <c r="H2087" t="s">
        <v>189</v>
      </c>
      <c r="I2087" t="s">
        <v>120</v>
      </c>
    </row>
    <row r="2088" spans="1:9" x14ac:dyDescent="0.25">
      <c r="A2088" s="8" t="str">
        <f t="shared" si="96"/>
        <v>2008880.000</v>
      </c>
      <c r="B2088" s="9" t="str">
        <f t="shared" si="97"/>
        <v/>
      </c>
      <c r="C2088" s="10">
        <f t="shared" si="98"/>
        <v>44088</v>
      </c>
      <c r="D2088">
        <v>2008880</v>
      </c>
      <c r="E2088">
        <v>0</v>
      </c>
      <c r="F2088" s="6">
        <v>44092</v>
      </c>
      <c r="H2088" t="s">
        <v>189</v>
      </c>
      <c r="I2088" t="s">
        <v>120</v>
      </c>
    </row>
    <row r="2089" spans="1:9" x14ac:dyDescent="0.25">
      <c r="A2089" s="8" t="str">
        <f t="shared" si="96"/>
        <v>2008881.000</v>
      </c>
      <c r="B2089" s="9" t="str">
        <f t="shared" si="97"/>
        <v/>
      </c>
      <c r="C2089" s="10">
        <f t="shared" si="98"/>
        <v>44088</v>
      </c>
      <c r="D2089">
        <v>2008881</v>
      </c>
      <c r="E2089">
        <v>0</v>
      </c>
      <c r="F2089" s="6">
        <v>44092</v>
      </c>
      <c r="H2089" t="s">
        <v>189</v>
      </c>
      <c r="I2089" t="s">
        <v>120</v>
      </c>
    </row>
    <row r="2090" spans="1:9" x14ac:dyDescent="0.25">
      <c r="A2090" s="8" t="str">
        <f t="shared" si="96"/>
        <v>2008882.000</v>
      </c>
      <c r="B2090" s="9" t="str">
        <f t="shared" si="97"/>
        <v/>
      </c>
      <c r="C2090" s="10">
        <f t="shared" si="98"/>
        <v>44109</v>
      </c>
      <c r="D2090">
        <v>2008882</v>
      </c>
      <c r="E2090">
        <v>0</v>
      </c>
      <c r="F2090" s="6">
        <v>44113</v>
      </c>
      <c r="H2090" t="s">
        <v>191</v>
      </c>
      <c r="I2090" t="s">
        <v>120</v>
      </c>
    </row>
    <row r="2091" spans="1:9" x14ac:dyDescent="0.25">
      <c r="A2091" s="8" t="str">
        <f t="shared" si="96"/>
        <v>2008882.CP0</v>
      </c>
      <c r="B2091" s="9" t="str">
        <f t="shared" si="97"/>
        <v/>
      </c>
      <c r="C2091" s="10">
        <f t="shared" si="98"/>
        <v>44109</v>
      </c>
      <c r="D2091">
        <v>2008882</v>
      </c>
      <c r="E2091" t="s">
        <v>148</v>
      </c>
      <c r="F2091" s="6">
        <v>44113</v>
      </c>
      <c r="H2091" t="s">
        <v>192</v>
      </c>
      <c r="I2091" t="s">
        <v>120</v>
      </c>
    </row>
    <row r="2092" spans="1:9" x14ac:dyDescent="0.25">
      <c r="A2092" s="8" t="str">
        <f t="shared" si="96"/>
        <v>2008883.NML</v>
      </c>
      <c r="B2092" s="9" t="str">
        <f t="shared" si="97"/>
        <v/>
      </c>
      <c r="C2092" s="10">
        <f t="shared" si="98"/>
        <v>44081</v>
      </c>
      <c r="D2092">
        <v>2008883</v>
      </c>
      <c r="E2092" t="s">
        <v>162</v>
      </c>
      <c r="F2092" s="6">
        <v>44085</v>
      </c>
      <c r="H2092" t="s">
        <v>189</v>
      </c>
      <c r="I2092" t="s">
        <v>120</v>
      </c>
    </row>
    <row r="2093" spans="1:9" x14ac:dyDescent="0.25">
      <c r="A2093" s="8" t="str">
        <f t="shared" si="96"/>
        <v>2008884.000</v>
      </c>
      <c r="B2093" s="9" t="str">
        <f t="shared" si="97"/>
        <v/>
      </c>
      <c r="C2093" s="10">
        <f t="shared" si="98"/>
        <v>44123</v>
      </c>
      <c r="D2093">
        <v>2008884</v>
      </c>
      <c r="E2093">
        <v>0</v>
      </c>
      <c r="F2093" s="6">
        <v>44127</v>
      </c>
      <c r="H2093" t="s">
        <v>189</v>
      </c>
      <c r="I2093" t="s">
        <v>120</v>
      </c>
    </row>
    <row r="2094" spans="1:9" x14ac:dyDescent="0.25">
      <c r="A2094" s="8" t="str">
        <f t="shared" si="96"/>
        <v>2008885.000</v>
      </c>
      <c r="B2094" s="9" t="str">
        <f t="shared" si="97"/>
        <v/>
      </c>
      <c r="C2094" s="10">
        <f t="shared" si="98"/>
        <v>44088</v>
      </c>
      <c r="D2094">
        <v>2008885</v>
      </c>
      <c r="E2094">
        <v>0</v>
      </c>
      <c r="F2094" s="6">
        <v>44092</v>
      </c>
      <c r="H2094" t="s">
        <v>189</v>
      </c>
      <c r="I2094" t="s">
        <v>120</v>
      </c>
    </row>
    <row r="2095" spans="1:9" x14ac:dyDescent="0.25">
      <c r="A2095" s="8" t="str">
        <f t="shared" si="96"/>
        <v>2008886.000</v>
      </c>
      <c r="B2095" s="9" t="str">
        <f t="shared" si="97"/>
        <v/>
      </c>
      <c r="C2095" s="10">
        <f t="shared" si="98"/>
        <v>44074</v>
      </c>
      <c r="D2095">
        <v>2008886</v>
      </c>
      <c r="E2095">
        <v>0</v>
      </c>
      <c r="F2095" s="6">
        <v>44078</v>
      </c>
      <c r="H2095" t="s">
        <v>180</v>
      </c>
      <c r="I2095" t="s">
        <v>120</v>
      </c>
    </row>
    <row r="2096" spans="1:9" x14ac:dyDescent="0.25">
      <c r="A2096" s="8" t="str">
        <f t="shared" si="96"/>
        <v>2008888.Y00</v>
      </c>
      <c r="B2096" s="9" t="str">
        <f t="shared" si="97"/>
        <v>1</v>
      </c>
      <c r="C2096" s="10">
        <f t="shared" si="98"/>
        <v>44109</v>
      </c>
      <c r="D2096">
        <v>2008888</v>
      </c>
      <c r="E2096" t="s">
        <v>130</v>
      </c>
      <c r="F2096" s="6">
        <v>44113</v>
      </c>
      <c r="G2096">
        <v>1</v>
      </c>
      <c r="H2096" t="s">
        <v>191</v>
      </c>
      <c r="I2096" t="s">
        <v>120</v>
      </c>
    </row>
    <row r="2097" spans="1:9" x14ac:dyDescent="0.25">
      <c r="A2097" s="8" t="str">
        <f t="shared" si="96"/>
        <v>2008889.000</v>
      </c>
      <c r="B2097" s="9" t="str">
        <f t="shared" si="97"/>
        <v/>
      </c>
      <c r="C2097" s="10">
        <f t="shared" si="98"/>
        <v>44088</v>
      </c>
      <c r="D2097">
        <v>2008889</v>
      </c>
      <c r="E2097">
        <v>0</v>
      </c>
      <c r="F2097" s="6">
        <v>44092</v>
      </c>
      <c r="H2097" t="s">
        <v>189</v>
      </c>
      <c r="I2097" t="s">
        <v>120</v>
      </c>
    </row>
    <row r="2098" spans="1:9" x14ac:dyDescent="0.25">
      <c r="A2098" s="8" t="str">
        <f t="shared" si="96"/>
        <v>2008890.XP0</v>
      </c>
      <c r="B2098" s="9" t="str">
        <f t="shared" si="97"/>
        <v>4</v>
      </c>
      <c r="C2098" s="10">
        <f t="shared" si="98"/>
        <v>44105</v>
      </c>
      <c r="D2098">
        <v>2008890</v>
      </c>
      <c r="E2098" t="s">
        <v>181</v>
      </c>
      <c r="F2098" s="6">
        <v>44106</v>
      </c>
      <c r="G2098">
        <v>4</v>
      </c>
      <c r="H2098" t="s">
        <v>189</v>
      </c>
      <c r="I2098" t="s">
        <v>120</v>
      </c>
    </row>
    <row r="2099" spans="1:9" x14ac:dyDescent="0.25">
      <c r="A2099" s="8" t="str">
        <f t="shared" si="96"/>
        <v>2008891.000</v>
      </c>
      <c r="B2099" s="9" t="str">
        <f t="shared" si="97"/>
        <v>1</v>
      </c>
      <c r="C2099" s="10">
        <f t="shared" si="98"/>
        <v>44074</v>
      </c>
      <c r="D2099">
        <v>2008891</v>
      </c>
      <c r="E2099">
        <v>0</v>
      </c>
      <c r="F2099" s="6">
        <v>44078</v>
      </c>
      <c r="G2099">
        <v>1</v>
      </c>
      <c r="H2099" t="s">
        <v>266</v>
      </c>
      <c r="I2099" t="s">
        <v>120</v>
      </c>
    </row>
    <row r="2100" spans="1:9" x14ac:dyDescent="0.25">
      <c r="A2100" s="8" t="str">
        <f t="shared" si="96"/>
        <v>2008892.000</v>
      </c>
      <c r="B2100" s="9" t="str">
        <f t="shared" si="97"/>
        <v/>
      </c>
      <c r="C2100" s="10">
        <f t="shared" si="98"/>
        <v>44088</v>
      </c>
      <c r="D2100">
        <v>2008892</v>
      </c>
      <c r="E2100">
        <v>0</v>
      </c>
      <c r="F2100" s="6">
        <v>44092</v>
      </c>
      <c r="H2100" t="s">
        <v>189</v>
      </c>
      <c r="I2100" t="s">
        <v>120</v>
      </c>
    </row>
    <row r="2101" spans="1:9" x14ac:dyDescent="0.25">
      <c r="A2101" s="8" t="str">
        <f t="shared" si="96"/>
        <v>2008892.0P0</v>
      </c>
      <c r="B2101" s="9" t="str">
        <f t="shared" si="97"/>
        <v/>
      </c>
      <c r="C2101" s="10">
        <f t="shared" si="98"/>
        <v>44088</v>
      </c>
      <c r="D2101">
        <v>2008892</v>
      </c>
      <c r="E2101" t="s">
        <v>119</v>
      </c>
      <c r="F2101" s="6">
        <v>44092</v>
      </c>
      <c r="H2101" t="s">
        <v>189</v>
      </c>
      <c r="I2101" t="s">
        <v>120</v>
      </c>
    </row>
    <row r="2102" spans="1:9" x14ac:dyDescent="0.25">
      <c r="A2102" s="8" t="str">
        <f t="shared" si="96"/>
        <v>2008893.0P0</v>
      </c>
      <c r="B2102" s="9" t="str">
        <f t="shared" si="97"/>
        <v/>
      </c>
      <c r="C2102" s="10">
        <f t="shared" si="98"/>
        <v>44102</v>
      </c>
      <c r="D2102">
        <v>2008893</v>
      </c>
      <c r="E2102" t="s">
        <v>119</v>
      </c>
      <c r="F2102" s="6">
        <v>44106</v>
      </c>
      <c r="H2102" t="s">
        <v>191</v>
      </c>
      <c r="I2102" t="s">
        <v>120</v>
      </c>
    </row>
    <row r="2103" spans="1:9" x14ac:dyDescent="0.25">
      <c r="A2103" s="8" t="str">
        <f t="shared" si="96"/>
        <v>2008894.000</v>
      </c>
      <c r="B2103" s="9" t="str">
        <f t="shared" si="97"/>
        <v/>
      </c>
      <c r="C2103" s="10">
        <f t="shared" si="98"/>
        <v>44088</v>
      </c>
      <c r="D2103">
        <v>2008894</v>
      </c>
      <c r="E2103">
        <v>0</v>
      </c>
      <c r="F2103" s="6">
        <v>44092</v>
      </c>
      <c r="H2103" t="s">
        <v>191</v>
      </c>
      <c r="I2103" t="s">
        <v>120</v>
      </c>
    </row>
    <row r="2104" spans="1:9" x14ac:dyDescent="0.25">
      <c r="A2104" s="8" t="str">
        <f t="shared" si="96"/>
        <v>2008895.0P0</v>
      </c>
      <c r="B2104" s="9" t="str">
        <f t="shared" si="97"/>
        <v>4</v>
      </c>
      <c r="C2104" s="10">
        <f t="shared" si="98"/>
        <v>44133</v>
      </c>
      <c r="D2104">
        <v>2008895</v>
      </c>
      <c r="E2104" t="s">
        <v>119</v>
      </c>
      <c r="F2104" s="6">
        <v>44134</v>
      </c>
      <c r="G2104">
        <v>4</v>
      </c>
      <c r="H2104" t="s">
        <v>189</v>
      </c>
      <c r="I2104" t="s">
        <v>120</v>
      </c>
    </row>
    <row r="2105" spans="1:9" x14ac:dyDescent="0.25">
      <c r="A2105" s="8" t="str">
        <f t="shared" si="96"/>
        <v>2008895.H00</v>
      </c>
      <c r="B2105" s="9" t="str">
        <f t="shared" si="97"/>
        <v>4</v>
      </c>
      <c r="C2105" s="10">
        <f t="shared" si="98"/>
        <v>44133</v>
      </c>
      <c r="D2105">
        <v>2008895</v>
      </c>
      <c r="E2105" t="s">
        <v>122</v>
      </c>
      <c r="F2105" s="6">
        <v>44134</v>
      </c>
      <c r="G2105">
        <v>4</v>
      </c>
      <c r="H2105" t="s">
        <v>189</v>
      </c>
      <c r="I2105" t="s">
        <v>120</v>
      </c>
    </row>
    <row r="2106" spans="1:9" x14ac:dyDescent="0.25">
      <c r="A2106" s="8" t="str">
        <f t="shared" si="96"/>
        <v>2008896.ZPL</v>
      </c>
      <c r="B2106" s="9" t="str">
        <f t="shared" si="97"/>
        <v>4</v>
      </c>
      <c r="C2106" s="10">
        <f t="shared" si="98"/>
        <v>44133</v>
      </c>
      <c r="D2106">
        <v>2008896</v>
      </c>
      <c r="E2106" t="s">
        <v>182</v>
      </c>
      <c r="F2106" s="6">
        <v>44134</v>
      </c>
      <c r="G2106">
        <v>4</v>
      </c>
      <c r="H2106" t="s">
        <v>189</v>
      </c>
      <c r="I2106" t="s">
        <v>120</v>
      </c>
    </row>
    <row r="2107" spans="1:9" x14ac:dyDescent="0.25">
      <c r="A2107" s="8" t="str">
        <f t="shared" si="96"/>
        <v>2008897.000</v>
      </c>
      <c r="B2107" s="9" t="str">
        <f t="shared" si="97"/>
        <v/>
      </c>
      <c r="C2107" s="10">
        <f t="shared" si="98"/>
        <v>44088</v>
      </c>
      <c r="D2107">
        <v>2008897</v>
      </c>
      <c r="E2107">
        <v>0</v>
      </c>
      <c r="F2107" s="6">
        <v>44092</v>
      </c>
      <c r="H2107" t="s">
        <v>191</v>
      </c>
      <c r="I2107" t="s">
        <v>120</v>
      </c>
    </row>
    <row r="2108" spans="1:9" x14ac:dyDescent="0.25">
      <c r="A2108" s="8" t="str">
        <f t="shared" si="96"/>
        <v>2008898.X00</v>
      </c>
      <c r="B2108" s="9" t="str">
        <f t="shared" si="97"/>
        <v>4</v>
      </c>
      <c r="C2108" s="10">
        <f t="shared" si="98"/>
        <v>44126</v>
      </c>
      <c r="D2108">
        <v>2008898</v>
      </c>
      <c r="E2108" t="s">
        <v>225</v>
      </c>
      <c r="F2108" s="6">
        <v>44127</v>
      </c>
      <c r="G2108">
        <v>4</v>
      </c>
      <c r="H2108" t="s">
        <v>189</v>
      </c>
      <c r="I2108" t="s">
        <v>120</v>
      </c>
    </row>
    <row r="2109" spans="1:9" x14ac:dyDescent="0.25">
      <c r="A2109" s="8" t="str">
        <f t="shared" si="96"/>
        <v>2008898.Z02</v>
      </c>
      <c r="B2109" s="9" t="str">
        <f t="shared" si="97"/>
        <v>4</v>
      </c>
      <c r="C2109" s="10">
        <f t="shared" si="98"/>
        <v>44126</v>
      </c>
      <c r="D2109">
        <v>2008898</v>
      </c>
      <c r="E2109" t="s">
        <v>260</v>
      </c>
      <c r="F2109" s="6">
        <v>44127</v>
      </c>
      <c r="G2109">
        <v>4</v>
      </c>
      <c r="H2109" t="s">
        <v>189</v>
      </c>
      <c r="I2109" t="s">
        <v>120</v>
      </c>
    </row>
    <row r="2110" spans="1:9" x14ac:dyDescent="0.25">
      <c r="A2110" s="8" t="str">
        <f t="shared" si="96"/>
        <v>2008899.000</v>
      </c>
      <c r="B2110" s="9" t="str">
        <f t="shared" si="97"/>
        <v/>
      </c>
      <c r="C2110" s="10">
        <f t="shared" si="98"/>
        <v>44088</v>
      </c>
      <c r="D2110">
        <v>2008899</v>
      </c>
      <c r="E2110">
        <v>0</v>
      </c>
      <c r="F2110" s="6">
        <v>44092</v>
      </c>
      <c r="H2110" t="s">
        <v>189</v>
      </c>
      <c r="I2110" t="s">
        <v>120</v>
      </c>
    </row>
    <row r="2111" spans="1:9" x14ac:dyDescent="0.25">
      <c r="A2111" s="8" t="str">
        <f t="shared" si="96"/>
        <v>2008900.000</v>
      </c>
      <c r="B2111" s="9" t="str">
        <f t="shared" si="97"/>
        <v>1</v>
      </c>
      <c r="C2111" s="10">
        <f t="shared" si="98"/>
        <v>44081</v>
      </c>
      <c r="D2111">
        <v>2008900</v>
      </c>
      <c r="E2111">
        <v>0</v>
      </c>
      <c r="F2111" s="6">
        <v>44085</v>
      </c>
      <c r="G2111">
        <v>1</v>
      </c>
      <c r="H2111" t="s">
        <v>189</v>
      </c>
      <c r="I2111" t="s">
        <v>120</v>
      </c>
    </row>
    <row r="2112" spans="1:9" x14ac:dyDescent="0.25">
      <c r="A2112" s="8" t="str">
        <f t="shared" si="96"/>
        <v>2008901.X00</v>
      </c>
      <c r="B2112" s="9" t="str">
        <f t="shared" si="97"/>
        <v/>
      </c>
      <c r="C2112" s="10">
        <f t="shared" si="98"/>
        <v>44088</v>
      </c>
      <c r="D2112">
        <v>2008901</v>
      </c>
      <c r="E2112" t="s">
        <v>225</v>
      </c>
      <c r="F2112" s="6">
        <v>44092</v>
      </c>
      <c r="H2112" t="s">
        <v>189</v>
      </c>
      <c r="I2112" t="s">
        <v>120</v>
      </c>
    </row>
    <row r="2113" spans="1:9" x14ac:dyDescent="0.25">
      <c r="A2113" s="8" t="str">
        <f t="shared" ref="A2113:A2167" si="99">IF(D2113="","",IF(E2113=0,CONCATENATE(D2113,".",E2113,"00"),CONCATENATE(D2113,".",E2113)))</f>
        <v>2008902.000</v>
      </c>
      <c r="B2113" s="9" t="str">
        <f t="shared" ref="B2113:B2167" si="100">LEFT(G2113,1)</f>
        <v/>
      </c>
      <c r="C2113" s="10">
        <f t="shared" ref="C2113:C2167" si="101">IF(F2113="","",IF(B2113="",F2113-4,IF(B2113="1",F2113-4,IF(B2113="2",F2113-3,IF(B2113="3",F2113-2,IF(B2113="4",F2113-1,IF(B2113="V",F2113-7,IF(B2113="J",F2113-8,F2113))))))))</f>
        <v>44088</v>
      </c>
      <c r="D2113">
        <v>2008902</v>
      </c>
      <c r="E2113">
        <v>0</v>
      </c>
      <c r="F2113" s="6">
        <v>44092</v>
      </c>
      <c r="H2113" t="s">
        <v>189</v>
      </c>
      <c r="I2113" t="s">
        <v>120</v>
      </c>
    </row>
    <row r="2114" spans="1:9" x14ac:dyDescent="0.25">
      <c r="A2114" s="8" t="str">
        <f t="shared" si="99"/>
        <v>2008903.HP0</v>
      </c>
      <c r="B2114" s="9" t="str">
        <f t="shared" si="100"/>
        <v>4</v>
      </c>
      <c r="C2114" s="10">
        <f t="shared" si="101"/>
        <v>44105</v>
      </c>
      <c r="D2114">
        <v>2008903</v>
      </c>
      <c r="E2114" t="s">
        <v>121</v>
      </c>
      <c r="F2114" s="6">
        <v>44106</v>
      </c>
      <c r="G2114">
        <v>4</v>
      </c>
      <c r="H2114" t="s">
        <v>189</v>
      </c>
      <c r="I2114" t="s">
        <v>120</v>
      </c>
    </row>
    <row r="2115" spans="1:9" x14ac:dyDescent="0.25">
      <c r="A2115" s="8" t="str">
        <f t="shared" si="99"/>
        <v>2008904.U02</v>
      </c>
      <c r="B2115" s="9" t="str">
        <f t="shared" si="100"/>
        <v>4</v>
      </c>
      <c r="C2115" s="10">
        <f t="shared" si="101"/>
        <v>44119</v>
      </c>
      <c r="D2115">
        <v>2008904</v>
      </c>
      <c r="E2115" t="s">
        <v>149</v>
      </c>
      <c r="F2115" s="6">
        <v>44120</v>
      </c>
      <c r="G2115">
        <v>4</v>
      </c>
      <c r="H2115" t="s">
        <v>192</v>
      </c>
      <c r="I2115" t="s">
        <v>120</v>
      </c>
    </row>
    <row r="2116" spans="1:9" x14ac:dyDescent="0.25">
      <c r="A2116" s="8" t="str">
        <f t="shared" si="99"/>
        <v>2008905.N0L</v>
      </c>
      <c r="B2116" s="9" t="str">
        <f t="shared" si="100"/>
        <v/>
      </c>
      <c r="C2116" s="10">
        <f t="shared" si="101"/>
        <v>44074</v>
      </c>
      <c r="D2116">
        <v>2008905</v>
      </c>
      <c r="E2116" t="s">
        <v>133</v>
      </c>
      <c r="F2116" s="6">
        <v>44078</v>
      </c>
      <c r="H2116" t="s">
        <v>188</v>
      </c>
      <c r="I2116" t="s">
        <v>120</v>
      </c>
    </row>
    <row r="2117" spans="1:9" x14ac:dyDescent="0.25">
      <c r="A2117" s="8" t="str">
        <f t="shared" si="99"/>
        <v>2008907.T01</v>
      </c>
      <c r="B2117" s="9" t="str">
        <f t="shared" si="100"/>
        <v/>
      </c>
      <c r="C2117" s="10">
        <f t="shared" si="101"/>
        <v>44109</v>
      </c>
      <c r="D2117">
        <v>2008907</v>
      </c>
      <c r="E2117" t="s">
        <v>146</v>
      </c>
      <c r="F2117" s="6">
        <v>44113</v>
      </c>
      <c r="H2117" t="s">
        <v>191</v>
      </c>
      <c r="I2117" t="s">
        <v>120</v>
      </c>
    </row>
    <row r="2118" spans="1:9" x14ac:dyDescent="0.25">
      <c r="A2118" s="8" t="str">
        <f t="shared" si="99"/>
        <v>2008907.H00</v>
      </c>
      <c r="B2118" s="9" t="str">
        <f t="shared" si="100"/>
        <v/>
      </c>
      <c r="C2118" s="10">
        <f t="shared" si="101"/>
        <v>44109</v>
      </c>
      <c r="D2118">
        <v>2008907</v>
      </c>
      <c r="E2118" t="s">
        <v>122</v>
      </c>
      <c r="F2118" s="6">
        <v>44113</v>
      </c>
      <c r="H2118" t="s">
        <v>191</v>
      </c>
      <c r="I2118" t="s">
        <v>120</v>
      </c>
    </row>
    <row r="2119" spans="1:9" x14ac:dyDescent="0.25">
      <c r="A2119" s="8" t="str">
        <f t="shared" si="99"/>
        <v>2008907.Y01</v>
      </c>
      <c r="B2119" s="9" t="str">
        <f t="shared" si="100"/>
        <v/>
      </c>
      <c r="C2119" s="10">
        <f t="shared" si="101"/>
        <v>44109</v>
      </c>
      <c r="D2119">
        <v>2008907</v>
      </c>
      <c r="E2119" t="s">
        <v>132</v>
      </c>
      <c r="F2119" s="6">
        <v>44113</v>
      </c>
      <c r="H2119" t="s">
        <v>191</v>
      </c>
      <c r="I2119" t="s">
        <v>120</v>
      </c>
    </row>
    <row r="2120" spans="1:9" x14ac:dyDescent="0.25">
      <c r="A2120" s="8" t="str">
        <f t="shared" si="99"/>
        <v>2008908.TP1</v>
      </c>
      <c r="B2120" s="9" t="str">
        <f t="shared" si="100"/>
        <v>1</v>
      </c>
      <c r="C2120" s="10">
        <f t="shared" si="101"/>
        <v>44109</v>
      </c>
      <c r="D2120">
        <v>2008908</v>
      </c>
      <c r="E2120" t="s">
        <v>209</v>
      </c>
      <c r="F2120" s="6">
        <v>44113</v>
      </c>
      <c r="G2120">
        <v>1</v>
      </c>
      <c r="H2120" t="s">
        <v>188</v>
      </c>
      <c r="I2120" t="s">
        <v>120</v>
      </c>
    </row>
    <row r="2121" spans="1:9" x14ac:dyDescent="0.25">
      <c r="A2121" s="8" t="str">
        <f t="shared" si="99"/>
        <v>2008909.NV0</v>
      </c>
      <c r="B2121" s="9" t="str">
        <f t="shared" si="100"/>
        <v>2</v>
      </c>
      <c r="C2121" s="10">
        <f t="shared" si="101"/>
        <v>44068</v>
      </c>
      <c r="D2121">
        <v>2008909</v>
      </c>
      <c r="E2121" t="s">
        <v>126</v>
      </c>
      <c r="F2121" s="6">
        <v>44071</v>
      </c>
      <c r="G2121">
        <v>22</v>
      </c>
      <c r="H2121" t="s">
        <v>180</v>
      </c>
      <c r="I2121" t="s">
        <v>120</v>
      </c>
    </row>
    <row r="2122" spans="1:9" x14ac:dyDescent="0.25">
      <c r="A2122" s="8" t="str">
        <f t="shared" si="99"/>
        <v>2008910.000</v>
      </c>
      <c r="B2122" s="9" t="str">
        <f t="shared" si="100"/>
        <v>3</v>
      </c>
      <c r="C2122" s="10">
        <f t="shared" si="101"/>
        <v>44104</v>
      </c>
      <c r="D2122">
        <v>2008910</v>
      </c>
      <c r="E2122">
        <v>0</v>
      </c>
      <c r="F2122" s="6">
        <v>44106</v>
      </c>
      <c r="G2122">
        <v>3</v>
      </c>
      <c r="H2122" t="s">
        <v>189</v>
      </c>
      <c r="I2122" t="s">
        <v>120</v>
      </c>
    </row>
    <row r="2123" spans="1:9" x14ac:dyDescent="0.25">
      <c r="A2123" s="8" t="str">
        <f t="shared" si="99"/>
        <v>2008911.000</v>
      </c>
      <c r="B2123" s="9" t="str">
        <f t="shared" si="100"/>
        <v>3</v>
      </c>
      <c r="C2123" s="10">
        <f t="shared" si="101"/>
        <v>44104</v>
      </c>
      <c r="D2123">
        <v>2008911</v>
      </c>
      <c r="E2123">
        <v>0</v>
      </c>
      <c r="F2123" s="6">
        <v>44106</v>
      </c>
      <c r="G2123">
        <v>3</v>
      </c>
      <c r="H2123" t="s">
        <v>189</v>
      </c>
      <c r="I2123" t="s">
        <v>120</v>
      </c>
    </row>
    <row r="2124" spans="1:9" x14ac:dyDescent="0.25">
      <c r="A2124" s="8" t="str">
        <f t="shared" si="99"/>
        <v>2008911.0P0</v>
      </c>
      <c r="B2124" s="9" t="str">
        <f t="shared" si="100"/>
        <v>3</v>
      </c>
      <c r="C2124" s="10">
        <f t="shared" si="101"/>
        <v>44104</v>
      </c>
      <c r="D2124">
        <v>2008911</v>
      </c>
      <c r="E2124" t="s">
        <v>119</v>
      </c>
      <c r="F2124" s="6">
        <v>44106</v>
      </c>
      <c r="G2124">
        <v>3</v>
      </c>
      <c r="H2124" t="s">
        <v>189</v>
      </c>
      <c r="I2124" t="s">
        <v>120</v>
      </c>
    </row>
    <row r="2125" spans="1:9" x14ac:dyDescent="0.25">
      <c r="A2125" s="8" t="str">
        <f t="shared" si="99"/>
        <v>2008912.NF0</v>
      </c>
      <c r="B2125" s="9" t="str">
        <f t="shared" si="100"/>
        <v/>
      </c>
      <c r="C2125" s="10">
        <f t="shared" si="101"/>
        <v>44081</v>
      </c>
      <c r="D2125">
        <v>2008912</v>
      </c>
      <c r="E2125" t="s">
        <v>137</v>
      </c>
      <c r="F2125" s="6">
        <v>44085</v>
      </c>
      <c r="H2125" t="s">
        <v>183</v>
      </c>
      <c r="I2125" t="s">
        <v>120</v>
      </c>
    </row>
    <row r="2126" spans="1:9" x14ac:dyDescent="0.25">
      <c r="A2126" s="8" t="str">
        <f t="shared" si="99"/>
        <v>2008913.ZOL</v>
      </c>
      <c r="B2126" s="9" t="str">
        <f t="shared" si="100"/>
        <v/>
      </c>
      <c r="C2126" s="10">
        <f t="shared" si="101"/>
        <v>44102</v>
      </c>
      <c r="D2126">
        <v>2008913</v>
      </c>
      <c r="E2126" t="s">
        <v>314</v>
      </c>
      <c r="F2126" s="6">
        <v>44106</v>
      </c>
      <c r="H2126" t="s">
        <v>189</v>
      </c>
      <c r="I2126" t="s">
        <v>120</v>
      </c>
    </row>
    <row r="2127" spans="1:9" x14ac:dyDescent="0.25">
      <c r="A2127" s="8" t="str">
        <f t="shared" si="99"/>
        <v>2008914.U01</v>
      </c>
      <c r="B2127" s="9" t="str">
        <f t="shared" si="100"/>
        <v/>
      </c>
      <c r="C2127" s="10">
        <f t="shared" si="101"/>
        <v>44109</v>
      </c>
      <c r="D2127">
        <v>2008914</v>
      </c>
      <c r="E2127" t="s">
        <v>150</v>
      </c>
      <c r="F2127" s="6">
        <v>44113</v>
      </c>
      <c r="H2127" t="s">
        <v>192</v>
      </c>
      <c r="I2127" t="s">
        <v>120</v>
      </c>
    </row>
    <row r="2128" spans="1:9" x14ac:dyDescent="0.25">
      <c r="A2128" s="8" t="str">
        <f t="shared" si="99"/>
        <v>2008915.000</v>
      </c>
      <c r="B2128" s="9" t="str">
        <f t="shared" si="100"/>
        <v/>
      </c>
      <c r="C2128" s="10">
        <f t="shared" si="101"/>
        <v>44088</v>
      </c>
      <c r="D2128">
        <v>2008915</v>
      </c>
      <c r="E2128">
        <v>0</v>
      </c>
      <c r="F2128" s="6">
        <v>44092</v>
      </c>
      <c r="H2128" t="s">
        <v>189</v>
      </c>
      <c r="I2128" t="s">
        <v>120</v>
      </c>
    </row>
    <row r="2129" spans="1:9" x14ac:dyDescent="0.25">
      <c r="A2129" s="8" t="str">
        <f t="shared" si="99"/>
        <v>2008916.000</v>
      </c>
      <c r="B2129" s="9" t="str">
        <f t="shared" si="100"/>
        <v>2</v>
      </c>
      <c r="C2129" s="10">
        <f t="shared" si="101"/>
        <v>44089</v>
      </c>
      <c r="D2129">
        <v>2008916</v>
      </c>
      <c r="E2129">
        <v>0</v>
      </c>
      <c r="F2129" s="6">
        <v>44092</v>
      </c>
      <c r="G2129">
        <v>2</v>
      </c>
      <c r="H2129" t="s">
        <v>189</v>
      </c>
      <c r="I2129" t="s">
        <v>120</v>
      </c>
    </row>
    <row r="2130" spans="1:9" x14ac:dyDescent="0.25">
      <c r="A2130" s="8" t="str">
        <f t="shared" si="99"/>
        <v>2008917.0P0</v>
      </c>
      <c r="B2130" s="9" t="str">
        <f t="shared" si="100"/>
        <v/>
      </c>
      <c r="C2130" s="10">
        <f t="shared" si="101"/>
        <v>44088</v>
      </c>
      <c r="D2130">
        <v>2008917</v>
      </c>
      <c r="E2130" t="s">
        <v>119</v>
      </c>
      <c r="F2130" s="6">
        <v>44092</v>
      </c>
      <c r="H2130" t="s">
        <v>189</v>
      </c>
      <c r="I2130" t="s">
        <v>120</v>
      </c>
    </row>
    <row r="2131" spans="1:9" x14ac:dyDescent="0.25">
      <c r="A2131" s="8" t="str">
        <f t="shared" si="99"/>
        <v>2008918.0P0</v>
      </c>
      <c r="B2131" s="9" t="str">
        <f t="shared" si="100"/>
        <v/>
      </c>
      <c r="C2131" s="10">
        <f t="shared" si="101"/>
        <v>44088</v>
      </c>
      <c r="D2131">
        <v>2008918</v>
      </c>
      <c r="E2131" t="s">
        <v>119</v>
      </c>
      <c r="F2131" s="6">
        <v>44092</v>
      </c>
      <c r="H2131" t="s">
        <v>189</v>
      </c>
      <c r="I2131" t="s">
        <v>120</v>
      </c>
    </row>
    <row r="2132" spans="1:9" x14ac:dyDescent="0.25">
      <c r="A2132" s="8" t="str">
        <f t="shared" si="99"/>
        <v>2008919.000</v>
      </c>
      <c r="B2132" s="9" t="str">
        <f t="shared" si="100"/>
        <v/>
      </c>
      <c r="C2132" s="10">
        <f t="shared" si="101"/>
        <v>44088</v>
      </c>
      <c r="D2132">
        <v>2008919</v>
      </c>
      <c r="E2132">
        <v>0</v>
      </c>
      <c r="F2132" s="6">
        <v>44092</v>
      </c>
      <c r="H2132" t="s">
        <v>192</v>
      </c>
      <c r="I2132" t="s">
        <v>120</v>
      </c>
    </row>
    <row r="2133" spans="1:9" x14ac:dyDescent="0.25">
      <c r="A2133" s="8" t="str">
        <f t="shared" si="99"/>
        <v>2008921.000</v>
      </c>
      <c r="B2133" s="9" t="str">
        <f t="shared" si="100"/>
        <v/>
      </c>
      <c r="C2133" s="10">
        <f t="shared" si="101"/>
        <v>44102</v>
      </c>
      <c r="D2133">
        <v>2008921</v>
      </c>
      <c r="E2133">
        <v>0</v>
      </c>
      <c r="F2133" s="6">
        <v>44106</v>
      </c>
      <c r="H2133" t="s">
        <v>189</v>
      </c>
      <c r="I2133" t="s">
        <v>120</v>
      </c>
    </row>
    <row r="2134" spans="1:9" x14ac:dyDescent="0.25">
      <c r="A2134" s="8" t="str">
        <f t="shared" si="99"/>
        <v>2008921.Y00</v>
      </c>
      <c r="B2134" s="9" t="str">
        <f t="shared" si="100"/>
        <v/>
      </c>
      <c r="C2134" s="10">
        <f t="shared" si="101"/>
        <v>44102</v>
      </c>
      <c r="D2134">
        <v>2008921</v>
      </c>
      <c r="E2134" t="s">
        <v>130</v>
      </c>
      <c r="F2134" s="6">
        <v>44106</v>
      </c>
      <c r="H2134" t="s">
        <v>189</v>
      </c>
      <c r="I2134" t="s">
        <v>120</v>
      </c>
    </row>
    <row r="2135" spans="1:9" x14ac:dyDescent="0.25">
      <c r="A2135" s="8" t="str">
        <f t="shared" si="99"/>
        <v>2008922.000</v>
      </c>
      <c r="B2135" s="9" t="str">
        <f t="shared" si="100"/>
        <v/>
      </c>
      <c r="C2135" s="10">
        <f t="shared" si="101"/>
        <v>44088</v>
      </c>
      <c r="D2135">
        <v>2008922</v>
      </c>
      <c r="E2135">
        <v>0</v>
      </c>
      <c r="F2135" s="6">
        <v>44092</v>
      </c>
      <c r="H2135" t="s">
        <v>189</v>
      </c>
      <c r="I2135" t="s">
        <v>120</v>
      </c>
    </row>
    <row r="2136" spans="1:9" x14ac:dyDescent="0.25">
      <c r="A2136" s="8" t="str">
        <f t="shared" si="99"/>
        <v>2008923.000</v>
      </c>
      <c r="B2136" s="9" t="str">
        <f t="shared" si="100"/>
        <v>1</v>
      </c>
      <c r="C2136" s="10">
        <f t="shared" si="101"/>
        <v>44123</v>
      </c>
      <c r="D2136">
        <v>2008923</v>
      </c>
      <c r="E2136">
        <v>0</v>
      </c>
      <c r="F2136" s="6">
        <v>44127</v>
      </c>
      <c r="G2136">
        <v>1</v>
      </c>
      <c r="H2136" t="s">
        <v>189</v>
      </c>
      <c r="I2136" t="s">
        <v>120</v>
      </c>
    </row>
    <row r="2137" spans="1:9" x14ac:dyDescent="0.25">
      <c r="A2137" s="8" t="str">
        <f t="shared" si="99"/>
        <v>2008924.0P0</v>
      </c>
      <c r="B2137" s="9" t="str">
        <f t="shared" si="100"/>
        <v>4</v>
      </c>
      <c r="C2137" s="10">
        <f t="shared" si="101"/>
        <v>44112</v>
      </c>
      <c r="D2137">
        <v>2008924</v>
      </c>
      <c r="E2137" t="s">
        <v>119</v>
      </c>
      <c r="F2137" s="6">
        <v>44113</v>
      </c>
      <c r="G2137">
        <v>4</v>
      </c>
      <c r="H2137" t="s">
        <v>189</v>
      </c>
      <c r="I2137" t="s">
        <v>120</v>
      </c>
    </row>
    <row r="2138" spans="1:9" x14ac:dyDescent="0.25">
      <c r="A2138" s="8" t="str">
        <f t="shared" si="99"/>
        <v>2008924.000</v>
      </c>
      <c r="B2138" s="9" t="str">
        <f t="shared" si="100"/>
        <v>4</v>
      </c>
      <c r="C2138" s="10">
        <f t="shared" si="101"/>
        <v>44112</v>
      </c>
      <c r="D2138">
        <v>2008924</v>
      </c>
      <c r="E2138">
        <v>0</v>
      </c>
      <c r="F2138" s="6">
        <v>44113</v>
      </c>
      <c r="G2138">
        <v>4</v>
      </c>
      <c r="H2138" t="s">
        <v>189</v>
      </c>
      <c r="I2138" t="s">
        <v>120</v>
      </c>
    </row>
    <row r="2139" spans="1:9" x14ac:dyDescent="0.25">
      <c r="A2139" s="8" t="str">
        <f t="shared" si="99"/>
        <v>2008925.0P0</v>
      </c>
      <c r="B2139" s="9" t="str">
        <f t="shared" si="100"/>
        <v>1</v>
      </c>
      <c r="C2139" s="10">
        <f t="shared" si="101"/>
        <v>44088</v>
      </c>
      <c r="D2139">
        <v>2008925</v>
      </c>
      <c r="E2139" t="s">
        <v>119</v>
      </c>
      <c r="F2139" s="6">
        <v>44092</v>
      </c>
      <c r="G2139">
        <v>1</v>
      </c>
      <c r="H2139" t="s">
        <v>189</v>
      </c>
      <c r="I2139" t="s">
        <v>120</v>
      </c>
    </row>
    <row r="2140" spans="1:9" x14ac:dyDescent="0.25">
      <c r="A2140" s="8" t="str">
        <f t="shared" si="99"/>
        <v>2008926.000</v>
      </c>
      <c r="B2140" s="9" t="str">
        <f t="shared" si="100"/>
        <v>1</v>
      </c>
      <c r="C2140" s="10">
        <f t="shared" si="101"/>
        <v>44095</v>
      </c>
      <c r="D2140">
        <v>2008926</v>
      </c>
      <c r="E2140">
        <v>0</v>
      </c>
      <c r="F2140" s="6">
        <v>44099</v>
      </c>
      <c r="G2140">
        <v>1</v>
      </c>
      <c r="H2140" t="s">
        <v>189</v>
      </c>
      <c r="I2140" t="s">
        <v>120</v>
      </c>
    </row>
    <row r="2141" spans="1:9" x14ac:dyDescent="0.25">
      <c r="A2141" s="8" t="str">
        <f t="shared" si="99"/>
        <v>2008927.HPL</v>
      </c>
      <c r="B2141" s="9" t="str">
        <f t="shared" si="100"/>
        <v>1</v>
      </c>
      <c r="C2141" s="10">
        <f t="shared" si="101"/>
        <v>44109</v>
      </c>
      <c r="D2141">
        <v>2008927</v>
      </c>
      <c r="E2141" t="s">
        <v>128</v>
      </c>
      <c r="F2141" s="6">
        <v>44113</v>
      </c>
      <c r="G2141">
        <v>1</v>
      </c>
      <c r="H2141" t="s">
        <v>189</v>
      </c>
      <c r="I2141" t="s">
        <v>120</v>
      </c>
    </row>
    <row r="2142" spans="1:9" x14ac:dyDescent="0.25">
      <c r="A2142" s="8" t="str">
        <f t="shared" si="99"/>
        <v>2008928.000</v>
      </c>
      <c r="B2142" s="9" t="str">
        <f t="shared" si="100"/>
        <v/>
      </c>
      <c r="C2142" s="10">
        <f t="shared" si="101"/>
        <v>44088</v>
      </c>
      <c r="D2142">
        <v>2008928</v>
      </c>
      <c r="E2142">
        <v>0</v>
      </c>
      <c r="F2142" s="6">
        <v>44092</v>
      </c>
      <c r="H2142" t="s">
        <v>189</v>
      </c>
      <c r="I2142" t="s">
        <v>120</v>
      </c>
    </row>
    <row r="2143" spans="1:9" x14ac:dyDescent="0.25">
      <c r="A2143" s="8" t="str">
        <f t="shared" si="99"/>
        <v>2008929.H01</v>
      </c>
      <c r="B2143" s="9" t="str">
        <f t="shared" si="100"/>
        <v/>
      </c>
      <c r="C2143" s="10">
        <f t="shared" si="101"/>
        <v>44102</v>
      </c>
      <c r="D2143">
        <v>2008929</v>
      </c>
      <c r="E2143" t="s">
        <v>145</v>
      </c>
      <c r="F2143" s="6">
        <v>44106</v>
      </c>
      <c r="H2143" t="s">
        <v>188</v>
      </c>
      <c r="I2143" t="s">
        <v>120</v>
      </c>
    </row>
    <row r="2144" spans="1:9" x14ac:dyDescent="0.25">
      <c r="A2144" s="8" t="str">
        <f t="shared" si="99"/>
        <v>2008930.000</v>
      </c>
      <c r="B2144" s="9" t="str">
        <f t="shared" si="100"/>
        <v/>
      </c>
      <c r="C2144" s="10">
        <f t="shared" si="101"/>
        <v>44088</v>
      </c>
      <c r="D2144">
        <v>2008930</v>
      </c>
      <c r="E2144">
        <v>0</v>
      </c>
      <c r="F2144" s="6">
        <v>44092</v>
      </c>
      <c r="H2144" t="s">
        <v>189</v>
      </c>
      <c r="I2144" t="s">
        <v>120</v>
      </c>
    </row>
    <row r="2145" spans="1:9" x14ac:dyDescent="0.25">
      <c r="A2145" s="8" t="str">
        <f t="shared" si="99"/>
        <v>2008931.Y01</v>
      </c>
      <c r="B2145" s="9" t="str">
        <f t="shared" si="100"/>
        <v/>
      </c>
      <c r="C2145" s="10">
        <f t="shared" si="101"/>
        <v>44109</v>
      </c>
      <c r="D2145">
        <v>2008931</v>
      </c>
      <c r="E2145" t="s">
        <v>132</v>
      </c>
      <c r="F2145" s="6">
        <v>44113</v>
      </c>
      <c r="H2145" t="s">
        <v>189</v>
      </c>
      <c r="I2145" t="s">
        <v>120</v>
      </c>
    </row>
    <row r="2146" spans="1:9" x14ac:dyDescent="0.25">
      <c r="A2146" s="8" t="str">
        <f t="shared" si="99"/>
        <v>2008931.H01</v>
      </c>
      <c r="B2146" s="9" t="str">
        <f t="shared" si="100"/>
        <v/>
      </c>
      <c r="C2146" s="10">
        <f t="shared" si="101"/>
        <v>44109</v>
      </c>
      <c r="D2146">
        <v>2008931</v>
      </c>
      <c r="E2146" t="s">
        <v>145</v>
      </c>
      <c r="F2146" s="6">
        <v>44113</v>
      </c>
      <c r="H2146" t="s">
        <v>189</v>
      </c>
      <c r="I2146" t="s">
        <v>120</v>
      </c>
    </row>
    <row r="2147" spans="1:9" x14ac:dyDescent="0.25">
      <c r="A2147" s="8" t="str">
        <f t="shared" si="99"/>
        <v>2008932.Y00</v>
      </c>
      <c r="B2147" s="9" t="str">
        <f t="shared" si="100"/>
        <v/>
      </c>
      <c r="C2147" s="10">
        <f t="shared" si="101"/>
        <v>44109</v>
      </c>
      <c r="D2147">
        <v>2008932</v>
      </c>
      <c r="E2147" t="s">
        <v>130</v>
      </c>
      <c r="F2147" s="6">
        <v>44113</v>
      </c>
      <c r="H2147" t="s">
        <v>189</v>
      </c>
      <c r="I2147" t="s">
        <v>120</v>
      </c>
    </row>
    <row r="2148" spans="1:9" x14ac:dyDescent="0.25">
      <c r="A2148" s="8" t="str">
        <f t="shared" si="99"/>
        <v>2008933.HPL</v>
      </c>
      <c r="B2148" s="9" t="str">
        <f t="shared" si="100"/>
        <v/>
      </c>
      <c r="C2148" s="10">
        <f t="shared" si="101"/>
        <v>44102</v>
      </c>
      <c r="D2148">
        <v>2008933</v>
      </c>
      <c r="E2148" t="s">
        <v>128</v>
      </c>
      <c r="F2148" s="6">
        <v>44106</v>
      </c>
      <c r="H2148" t="s">
        <v>192</v>
      </c>
      <c r="I2148" t="s">
        <v>120</v>
      </c>
    </row>
    <row r="2149" spans="1:9" x14ac:dyDescent="0.25">
      <c r="A2149" s="8" t="str">
        <f t="shared" si="99"/>
        <v>2008934.U00</v>
      </c>
      <c r="B2149" s="9" t="str">
        <f t="shared" si="100"/>
        <v/>
      </c>
      <c r="C2149" s="10">
        <f t="shared" si="101"/>
        <v>44095</v>
      </c>
      <c r="D2149">
        <v>2008934</v>
      </c>
      <c r="E2149" t="s">
        <v>131</v>
      </c>
      <c r="F2149" s="6">
        <v>44099</v>
      </c>
      <c r="H2149" t="s">
        <v>192</v>
      </c>
      <c r="I2149" t="s">
        <v>120</v>
      </c>
    </row>
    <row r="2150" spans="1:9" x14ac:dyDescent="0.25">
      <c r="A2150" s="8" t="str">
        <f t="shared" si="99"/>
        <v>2008935.0P0</v>
      </c>
      <c r="B2150" s="9" t="str">
        <f t="shared" si="100"/>
        <v/>
      </c>
      <c r="C2150" s="10">
        <f t="shared" si="101"/>
        <v>44088</v>
      </c>
      <c r="D2150">
        <v>2008935</v>
      </c>
      <c r="E2150" t="s">
        <v>119</v>
      </c>
      <c r="F2150" s="6">
        <v>44092</v>
      </c>
      <c r="H2150" t="s">
        <v>189</v>
      </c>
      <c r="I2150" t="s">
        <v>120</v>
      </c>
    </row>
    <row r="2151" spans="1:9" x14ac:dyDescent="0.25">
      <c r="A2151" s="8" t="str">
        <f t="shared" si="99"/>
        <v>2008935.000</v>
      </c>
      <c r="B2151" s="9" t="str">
        <f t="shared" si="100"/>
        <v/>
      </c>
      <c r="C2151" s="10">
        <f t="shared" si="101"/>
        <v>44088</v>
      </c>
      <c r="D2151">
        <v>2008935</v>
      </c>
      <c r="E2151">
        <v>0</v>
      </c>
      <c r="F2151" s="6">
        <v>44092</v>
      </c>
      <c r="H2151" t="s">
        <v>189</v>
      </c>
      <c r="I2151" t="s">
        <v>120</v>
      </c>
    </row>
    <row r="2152" spans="1:9" x14ac:dyDescent="0.25">
      <c r="A2152" s="8" t="str">
        <f t="shared" si="99"/>
        <v>2008936.000</v>
      </c>
      <c r="B2152" s="9" t="str">
        <f t="shared" si="100"/>
        <v/>
      </c>
      <c r="C2152" s="10">
        <f t="shared" si="101"/>
        <v>44088</v>
      </c>
      <c r="D2152">
        <v>2008936</v>
      </c>
      <c r="E2152">
        <v>0</v>
      </c>
      <c r="F2152" s="6">
        <v>44092</v>
      </c>
      <c r="H2152" t="s">
        <v>189</v>
      </c>
      <c r="I2152" t="s">
        <v>120</v>
      </c>
    </row>
    <row r="2153" spans="1:9" x14ac:dyDescent="0.25">
      <c r="A2153" s="8" t="str">
        <f t="shared" si="99"/>
        <v>2008936.0P0</v>
      </c>
      <c r="B2153" s="9" t="str">
        <f t="shared" si="100"/>
        <v/>
      </c>
      <c r="C2153" s="10">
        <f t="shared" si="101"/>
        <v>44088</v>
      </c>
      <c r="D2153">
        <v>2008936</v>
      </c>
      <c r="E2153" t="s">
        <v>119</v>
      </c>
      <c r="F2153" s="6">
        <v>44092</v>
      </c>
      <c r="H2153" t="s">
        <v>189</v>
      </c>
      <c r="I2153" t="s">
        <v>120</v>
      </c>
    </row>
    <row r="2154" spans="1:9" x14ac:dyDescent="0.25">
      <c r="A2154" s="8" t="str">
        <f t="shared" si="99"/>
        <v>2008937.X00</v>
      </c>
      <c r="B2154" s="9" t="str">
        <f t="shared" si="100"/>
        <v/>
      </c>
      <c r="C2154" s="10">
        <f t="shared" si="101"/>
        <v>44102</v>
      </c>
      <c r="D2154">
        <v>2008937</v>
      </c>
      <c r="E2154" t="s">
        <v>225</v>
      </c>
      <c r="F2154" s="6">
        <v>44106</v>
      </c>
      <c r="H2154" t="s">
        <v>189</v>
      </c>
      <c r="I2154" t="s">
        <v>120</v>
      </c>
    </row>
    <row r="2155" spans="1:9" x14ac:dyDescent="0.25">
      <c r="A2155" s="8" t="str">
        <f t="shared" si="99"/>
        <v>2008938.000</v>
      </c>
      <c r="B2155" s="9" t="str">
        <f t="shared" si="100"/>
        <v/>
      </c>
      <c r="C2155" s="10">
        <f t="shared" si="101"/>
        <v>44088</v>
      </c>
      <c r="D2155">
        <v>2008938</v>
      </c>
      <c r="E2155">
        <v>0</v>
      </c>
      <c r="F2155" s="6">
        <v>44092</v>
      </c>
      <c r="H2155" t="s">
        <v>189</v>
      </c>
      <c r="I2155" t="s">
        <v>120</v>
      </c>
    </row>
    <row r="2156" spans="1:9" x14ac:dyDescent="0.25">
      <c r="A2156" s="8" t="str">
        <f t="shared" si="99"/>
        <v>2008939.000</v>
      </c>
      <c r="B2156" s="9" t="str">
        <f t="shared" si="100"/>
        <v/>
      </c>
      <c r="C2156" s="10">
        <f t="shared" si="101"/>
        <v>44088</v>
      </c>
      <c r="D2156">
        <v>2008939</v>
      </c>
      <c r="E2156">
        <v>0</v>
      </c>
      <c r="F2156" s="6">
        <v>44092</v>
      </c>
      <c r="H2156" t="s">
        <v>189</v>
      </c>
      <c r="I2156" t="s">
        <v>120</v>
      </c>
    </row>
    <row r="2157" spans="1:9" x14ac:dyDescent="0.25">
      <c r="A2157" s="8" t="str">
        <f t="shared" si="99"/>
        <v>2008940.000</v>
      </c>
      <c r="B2157" s="9" t="str">
        <f t="shared" si="100"/>
        <v/>
      </c>
      <c r="C2157" s="10">
        <f t="shared" si="101"/>
        <v>44088</v>
      </c>
      <c r="D2157">
        <v>2008940</v>
      </c>
      <c r="E2157">
        <v>0</v>
      </c>
      <c r="F2157" s="6">
        <v>44092</v>
      </c>
      <c r="H2157" t="s">
        <v>192</v>
      </c>
      <c r="I2157" t="s">
        <v>120</v>
      </c>
    </row>
    <row r="2158" spans="1:9" x14ac:dyDescent="0.25">
      <c r="A2158" s="8" t="str">
        <f t="shared" si="99"/>
        <v>2008941.Y00</v>
      </c>
      <c r="B2158" s="9" t="str">
        <f t="shared" si="100"/>
        <v>2</v>
      </c>
      <c r="C2158" s="10">
        <f t="shared" si="101"/>
        <v>44096</v>
      </c>
      <c r="D2158">
        <v>2008941</v>
      </c>
      <c r="E2158" t="s">
        <v>130</v>
      </c>
      <c r="F2158" s="6">
        <v>44099</v>
      </c>
      <c r="G2158">
        <v>2</v>
      </c>
      <c r="H2158" t="s">
        <v>189</v>
      </c>
      <c r="I2158" t="s">
        <v>120</v>
      </c>
    </row>
    <row r="2159" spans="1:9" x14ac:dyDescent="0.25">
      <c r="A2159" s="8" t="str">
        <f t="shared" si="99"/>
        <v>2008942.000</v>
      </c>
      <c r="B2159" s="9" t="str">
        <f t="shared" si="100"/>
        <v/>
      </c>
      <c r="C2159" s="10">
        <f t="shared" si="101"/>
        <v>44088</v>
      </c>
      <c r="D2159">
        <v>2008942</v>
      </c>
      <c r="E2159">
        <v>0</v>
      </c>
      <c r="F2159" s="6">
        <v>44092</v>
      </c>
      <c r="H2159" t="s">
        <v>189</v>
      </c>
      <c r="I2159" t="s">
        <v>120</v>
      </c>
    </row>
    <row r="2160" spans="1:9" x14ac:dyDescent="0.25">
      <c r="A2160" s="8" t="str">
        <f t="shared" si="99"/>
        <v>2008943.Y02</v>
      </c>
      <c r="B2160" s="9" t="str">
        <f t="shared" si="100"/>
        <v>3</v>
      </c>
      <c r="C2160" s="10">
        <f t="shared" si="101"/>
        <v>44111</v>
      </c>
      <c r="D2160">
        <v>2008943</v>
      </c>
      <c r="E2160" t="s">
        <v>144</v>
      </c>
      <c r="F2160" s="6">
        <v>44113</v>
      </c>
      <c r="G2160">
        <v>3</v>
      </c>
      <c r="H2160" t="s">
        <v>189</v>
      </c>
      <c r="I2160" t="s">
        <v>120</v>
      </c>
    </row>
    <row r="2161" spans="1:9" x14ac:dyDescent="0.25">
      <c r="A2161" s="8" t="str">
        <f t="shared" si="99"/>
        <v>2008944.Y00</v>
      </c>
      <c r="B2161" s="9" t="str">
        <f t="shared" si="100"/>
        <v/>
      </c>
      <c r="C2161" s="10">
        <f t="shared" si="101"/>
        <v>44109</v>
      </c>
      <c r="D2161">
        <v>2008944</v>
      </c>
      <c r="E2161" t="s">
        <v>130</v>
      </c>
      <c r="F2161" s="6">
        <v>44113</v>
      </c>
      <c r="H2161" t="s">
        <v>189</v>
      </c>
      <c r="I2161" t="s">
        <v>120</v>
      </c>
    </row>
    <row r="2162" spans="1:9" x14ac:dyDescent="0.25">
      <c r="A2162" s="8" t="str">
        <f t="shared" si="99"/>
        <v>2008945.Y00</v>
      </c>
      <c r="B2162" s="9" t="str">
        <f t="shared" si="100"/>
        <v>2</v>
      </c>
      <c r="C2162" s="10">
        <f t="shared" si="101"/>
        <v>44103</v>
      </c>
      <c r="D2162">
        <v>2008945</v>
      </c>
      <c r="E2162" t="s">
        <v>130</v>
      </c>
      <c r="F2162" s="6">
        <v>44106</v>
      </c>
      <c r="G2162">
        <v>2</v>
      </c>
      <c r="H2162" t="s">
        <v>190</v>
      </c>
      <c r="I2162" t="s">
        <v>120</v>
      </c>
    </row>
    <row r="2163" spans="1:9" x14ac:dyDescent="0.25">
      <c r="A2163" s="8" t="str">
        <f t="shared" si="99"/>
        <v>2008945.000</v>
      </c>
      <c r="B2163" s="9" t="str">
        <f t="shared" si="100"/>
        <v>2</v>
      </c>
      <c r="C2163" s="10">
        <f t="shared" si="101"/>
        <v>44103</v>
      </c>
      <c r="D2163">
        <v>2008945</v>
      </c>
      <c r="E2163">
        <v>0</v>
      </c>
      <c r="F2163" s="6">
        <v>44106</v>
      </c>
      <c r="G2163">
        <v>2</v>
      </c>
      <c r="H2163" t="s">
        <v>189</v>
      </c>
      <c r="I2163" t="s">
        <v>120</v>
      </c>
    </row>
    <row r="2164" spans="1:9" x14ac:dyDescent="0.25">
      <c r="A2164" s="8" t="str">
        <f t="shared" si="99"/>
        <v>2008946.N0L</v>
      </c>
      <c r="B2164" s="9" t="str">
        <f t="shared" si="100"/>
        <v/>
      </c>
      <c r="C2164" s="10">
        <f t="shared" si="101"/>
        <v>44074</v>
      </c>
      <c r="D2164">
        <v>2008946</v>
      </c>
      <c r="E2164" t="s">
        <v>133</v>
      </c>
      <c r="F2164" s="6">
        <v>44078</v>
      </c>
      <c r="H2164" t="s">
        <v>194</v>
      </c>
      <c r="I2164" t="s">
        <v>120</v>
      </c>
    </row>
    <row r="2165" spans="1:9" x14ac:dyDescent="0.25">
      <c r="A2165" s="8" t="str">
        <f t="shared" si="99"/>
        <v>2008947.Y00</v>
      </c>
      <c r="B2165" s="9" t="str">
        <f t="shared" si="100"/>
        <v/>
      </c>
      <c r="C2165" s="10">
        <f t="shared" si="101"/>
        <v>44102</v>
      </c>
      <c r="D2165">
        <v>2008947</v>
      </c>
      <c r="E2165" t="s">
        <v>130</v>
      </c>
      <c r="F2165" s="6">
        <v>44106</v>
      </c>
      <c r="H2165" t="s">
        <v>192</v>
      </c>
      <c r="I2165" t="s">
        <v>120</v>
      </c>
    </row>
    <row r="2166" spans="1:9" x14ac:dyDescent="0.25">
      <c r="A2166" s="8" t="str">
        <f t="shared" si="99"/>
        <v>2008948.Y00</v>
      </c>
      <c r="B2166" s="9" t="str">
        <f t="shared" si="100"/>
        <v>1</v>
      </c>
      <c r="C2166" s="10">
        <f t="shared" si="101"/>
        <v>44109</v>
      </c>
      <c r="D2166">
        <v>2008948</v>
      </c>
      <c r="E2166" t="s">
        <v>130</v>
      </c>
      <c r="F2166" s="6">
        <v>44113</v>
      </c>
      <c r="G2166">
        <v>1</v>
      </c>
      <c r="H2166" t="s">
        <v>189</v>
      </c>
      <c r="I2166" t="s">
        <v>120</v>
      </c>
    </row>
    <row r="2167" spans="1:9" x14ac:dyDescent="0.25">
      <c r="A2167" s="8" t="str">
        <f t="shared" si="99"/>
        <v>2008949.U01</v>
      </c>
      <c r="B2167" s="9" t="str">
        <f t="shared" si="100"/>
        <v>3</v>
      </c>
      <c r="C2167" s="10">
        <f t="shared" si="101"/>
        <v>44125</v>
      </c>
      <c r="D2167">
        <v>2008949</v>
      </c>
      <c r="E2167" t="s">
        <v>150</v>
      </c>
      <c r="F2167" s="6">
        <v>44127</v>
      </c>
      <c r="G2167">
        <v>3</v>
      </c>
      <c r="H2167" t="s">
        <v>191</v>
      </c>
      <c r="I2167" t="s">
        <v>120</v>
      </c>
    </row>
    <row r="2168" spans="1:9" x14ac:dyDescent="0.25">
      <c r="A2168" s="8" t="str">
        <f t="shared" ref="A2168:A2231" si="102">IF(D2168="","",IF(E2168=0,CONCATENATE(D2168,".",E2168,"00"),CONCATENATE(D2168,".",E2168)))</f>
        <v>2008950.T00</v>
      </c>
      <c r="B2168" s="9" t="str">
        <f t="shared" ref="B2168:B2231" si="103">LEFT(G2168,1)</f>
        <v/>
      </c>
      <c r="C2168" s="10">
        <f t="shared" ref="C2168:C2231" si="104">IF(F2168="","",IF(B2168="",F2168-4,IF(B2168="1",F2168-4,IF(B2168="2",F2168-3,IF(B2168="3",F2168-2,IF(B2168="4",F2168-1,IF(B2168="V",F2168-7,IF(B2168="J",F2168-8,F2168))))))))</f>
        <v>44102</v>
      </c>
      <c r="D2168">
        <v>2008950</v>
      </c>
      <c r="E2168" t="s">
        <v>159</v>
      </c>
      <c r="F2168" s="6">
        <v>44106</v>
      </c>
      <c r="H2168" t="s">
        <v>192</v>
      </c>
      <c r="I2168" t="s">
        <v>120</v>
      </c>
    </row>
    <row r="2169" spans="1:9" x14ac:dyDescent="0.25">
      <c r="A2169" s="8" t="str">
        <f t="shared" si="102"/>
        <v>2008951.U00</v>
      </c>
      <c r="B2169" s="9" t="str">
        <f t="shared" si="103"/>
        <v/>
      </c>
      <c r="C2169" s="10">
        <f t="shared" si="104"/>
        <v>44109</v>
      </c>
      <c r="D2169">
        <v>2008951</v>
      </c>
      <c r="E2169" t="s">
        <v>131</v>
      </c>
      <c r="F2169" s="6">
        <v>44113</v>
      </c>
      <c r="H2169" t="s">
        <v>188</v>
      </c>
      <c r="I2169" t="s">
        <v>120</v>
      </c>
    </row>
    <row r="2170" spans="1:9" x14ac:dyDescent="0.25">
      <c r="A2170" s="8" t="str">
        <f t="shared" si="102"/>
        <v>2008952.000</v>
      </c>
      <c r="B2170" s="9" t="str">
        <f t="shared" si="103"/>
        <v/>
      </c>
      <c r="C2170" s="10">
        <f t="shared" si="104"/>
        <v>44088</v>
      </c>
      <c r="D2170">
        <v>2008952</v>
      </c>
      <c r="E2170">
        <v>0</v>
      </c>
      <c r="F2170" s="6">
        <v>44092</v>
      </c>
      <c r="H2170" t="s">
        <v>189</v>
      </c>
      <c r="I2170" t="s">
        <v>120</v>
      </c>
    </row>
    <row r="2171" spans="1:9" x14ac:dyDescent="0.25">
      <c r="A2171" s="8" t="str">
        <f t="shared" si="102"/>
        <v>2008953.-</v>
      </c>
      <c r="B2171" s="9" t="str">
        <f t="shared" si="103"/>
        <v/>
      </c>
      <c r="C2171" s="10" t="str">
        <f t="shared" si="104"/>
        <v/>
      </c>
      <c r="D2171">
        <v>2008953</v>
      </c>
      <c r="E2171" t="s">
        <v>163</v>
      </c>
      <c r="F2171" s="6"/>
      <c r="H2171" t="s">
        <v>188</v>
      </c>
      <c r="I2171" t="s">
        <v>120</v>
      </c>
    </row>
    <row r="2172" spans="1:9" x14ac:dyDescent="0.25">
      <c r="A2172" s="8" t="str">
        <f t="shared" si="102"/>
        <v>2008954.NV0</v>
      </c>
      <c r="B2172" s="9" t="str">
        <f t="shared" si="103"/>
        <v/>
      </c>
      <c r="C2172" s="10">
        <f t="shared" si="104"/>
        <v>44039</v>
      </c>
      <c r="D2172">
        <v>2008954</v>
      </c>
      <c r="E2172" t="s">
        <v>126</v>
      </c>
      <c r="F2172" s="6">
        <v>44043</v>
      </c>
      <c r="H2172" t="s">
        <v>180</v>
      </c>
      <c r="I2172" t="s">
        <v>120</v>
      </c>
    </row>
    <row r="2173" spans="1:9" x14ac:dyDescent="0.25">
      <c r="A2173" s="8" t="str">
        <f t="shared" si="102"/>
        <v>2008955.000</v>
      </c>
      <c r="B2173" s="9" t="str">
        <f t="shared" si="103"/>
        <v/>
      </c>
      <c r="C2173" s="10">
        <f t="shared" si="104"/>
        <v>44088</v>
      </c>
      <c r="D2173">
        <v>2008955</v>
      </c>
      <c r="E2173">
        <v>0</v>
      </c>
      <c r="F2173" s="6">
        <v>44092</v>
      </c>
      <c r="H2173" t="s">
        <v>189</v>
      </c>
      <c r="I2173" t="s">
        <v>120</v>
      </c>
    </row>
    <row r="2174" spans="1:9" x14ac:dyDescent="0.25">
      <c r="A2174" s="8" t="str">
        <f t="shared" si="102"/>
        <v>2008956.000</v>
      </c>
      <c r="B2174" s="9" t="str">
        <f t="shared" si="103"/>
        <v>2</v>
      </c>
      <c r="C2174" s="10">
        <f t="shared" si="104"/>
        <v>44103</v>
      </c>
      <c r="D2174">
        <v>2008956</v>
      </c>
      <c r="E2174">
        <v>0</v>
      </c>
      <c r="F2174" s="6">
        <v>44106</v>
      </c>
      <c r="G2174">
        <v>2</v>
      </c>
      <c r="H2174" t="s">
        <v>189</v>
      </c>
      <c r="I2174" t="s">
        <v>120</v>
      </c>
    </row>
    <row r="2175" spans="1:9" x14ac:dyDescent="0.25">
      <c r="A2175" s="8" t="str">
        <f t="shared" si="102"/>
        <v>2008957.0P0</v>
      </c>
      <c r="B2175" s="9" t="str">
        <f t="shared" si="103"/>
        <v>2</v>
      </c>
      <c r="C2175" s="10">
        <f t="shared" si="104"/>
        <v>44103</v>
      </c>
      <c r="D2175">
        <v>2008957</v>
      </c>
      <c r="E2175" t="s">
        <v>119</v>
      </c>
      <c r="F2175" s="6">
        <v>44106</v>
      </c>
      <c r="G2175">
        <v>2</v>
      </c>
      <c r="H2175" t="s">
        <v>189</v>
      </c>
      <c r="I2175" t="s">
        <v>120</v>
      </c>
    </row>
    <row r="2176" spans="1:9" x14ac:dyDescent="0.25">
      <c r="A2176" s="8" t="str">
        <f t="shared" si="102"/>
        <v>2008958.Y00</v>
      </c>
      <c r="B2176" s="9" t="str">
        <f t="shared" si="103"/>
        <v/>
      </c>
      <c r="C2176" s="10">
        <f t="shared" si="104"/>
        <v>44109</v>
      </c>
      <c r="D2176">
        <v>2008958</v>
      </c>
      <c r="E2176" t="s">
        <v>130</v>
      </c>
      <c r="F2176" s="6">
        <v>44113</v>
      </c>
      <c r="H2176" t="s">
        <v>189</v>
      </c>
      <c r="I2176" t="s">
        <v>120</v>
      </c>
    </row>
    <row r="2177" spans="1:9" x14ac:dyDescent="0.25">
      <c r="A2177" s="8" t="str">
        <f t="shared" si="102"/>
        <v>2008959.H00</v>
      </c>
      <c r="B2177" s="9" t="str">
        <f t="shared" si="103"/>
        <v/>
      </c>
      <c r="C2177" s="10">
        <f t="shared" si="104"/>
        <v>44109</v>
      </c>
      <c r="D2177">
        <v>2008959</v>
      </c>
      <c r="E2177" t="s">
        <v>122</v>
      </c>
      <c r="F2177" s="6">
        <v>44113</v>
      </c>
      <c r="H2177" t="s">
        <v>189</v>
      </c>
      <c r="I2177" t="s">
        <v>120</v>
      </c>
    </row>
    <row r="2178" spans="1:9" x14ac:dyDescent="0.25">
      <c r="A2178" s="8" t="str">
        <f t="shared" si="102"/>
        <v>2008959.Y00</v>
      </c>
      <c r="B2178" s="9" t="str">
        <f t="shared" si="103"/>
        <v/>
      </c>
      <c r="C2178" s="10">
        <f t="shared" si="104"/>
        <v>44109</v>
      </c>
      <c r="D2178">
        <v>2008959</v>
      </c>
      <c r="E2178" t="s">
        <v>130</v>
      </c>
      <c r="F2178" s="6">
        <v>44113</v>
      </c>
      <c r="H2178" t="s">
        <v>189</v>
      </c>
      <c r="I2178" t="s">
        <v>120</v>
      </c>
    </row>
    <row r="2179" spans="1:9" x14ac:dyDescent="0.25">
      <c r="A2179" s="8" t="str">
        <f t="shared" si="102"/>
        <v>2008960.H00</v>
      </c>
      <c r="B2179" s="9" t="str">
        <f t="shared" si="103"/>
        <v/>
      </c>
      <c r="C2179" s="10">
        <f t="shared" si="104"/>
        <v>44102</v>
      </c>
      <c r="D2179">
        <v>2008960</v>
      </c>
      <c r="E2179" t="s">
        <v>122</v>
      </c>
      <c r="F2179" s="6">
        <v>44106</v>
      </c>
      <c r="H2179" t="s">
        <v>191</v>
      </c>
      <c r="I2179" t="s">
        <v>120</v>
      </c>
    </row>
    <row r="2180" spans="1:9" x14ac:dyDescent="0.25">
      <c r="A2180" s="8" t="str">
        <f t="shared" si="102"/>
        <v>2008961.Y00</v>
      </c>
      <c r="B2180" s="9" t="str">
        <f t="shared" si="103"/>
        <v/>
      </c>
      <c r="C2180" s="10">
        <f t="shared" si="104"/>
        <v>44109</v>
      </c>
      <c r="D2180">
        <v>2008961</v>
      </c>
      <c r="E2180" t="s">
        <v>130</v>
      </c>
      <c r="F2180" s="6">
        <v>44113</v>
      </c>
      <c r="H2180" t="s">
        <v>189</v>
      </c>
      <c r="I2180" t="s">
        <v>120</v>
      </c>
    </row>
    <row r="2181" spans="1:9" x14ac:dyDescent="0.25">
      <c r="A2181" s="8" t="str">
        <f t="shared" si="102"/>
        <v>2008961.U00</v>
      </c>
      <c r="B2181" s="9" t="str">
        <f t="shared" si="103"/>
        <v/>
      </c>
      <c r="C2181" s="10">
        <f t="shared" si="104"/>
        <v>44109</v>
      </c>
      <c r="D2181">
        <v>2008961</v>
      </c>
      <c r="E2181" t="s">
        <v>131</v>
      </c>
      <c r="F2181" s="6">
        <v>44113</v>
      </c>
      <c r="H2181" t="s">
        <v>189</v>
      </c>
      <c r="I2181" t="s">
        <v>120</v>
      </c>
    </row>
    <row r="2182" spans="1:9" x14ac:dyDescent="0.25">
      <c r="A2182" s="8" t="str">
        <f t="shared" si="102"/>
        <v>2008962.NQ0</v>
      </c>
      <c r="B2182" s="9" t="str">
        <f t="shared" si="103"/>
        <v>V</v>
      </c>
      <c r="C2182" s="10">
        <f t="shared" si="104"/>
        <v>44064</v>
      </c>
      <c r="D2182">
        <v>2008962</v>
      </c>
      <c r="E2182" t="s">
        <v>165</v>
      </c>
      <c r="F2182" s="6">
        <v>44071</v>
      </c>
      <c r="G2182" t="s">
        <v>228</v>
      </c>
      <c r="H2182" t="s">
        <v>194</v>
      </c>
      <c r="I2182" t="s">
        <v>120</v>
      </c>
    </row>
    <row r="2183" spans="1:9" x14ac:dyDescent="0.25">
      <c r="A2183" s="8" t="str">
        <f t="shared" si="102"/>
        <v>2008963.000</v>
      </c>
      <c r="B2183" s="9" t="str">
        <f t="shared" si="103"/>
        <v/>
      </c>
      <c r="C2183" s="10">
        <f t="shared" si="104"/>
        <v>44088</v>
      </c>
      <c r="D2183">
        <v>2008963</v>
      </c>
      <c r="E2183">
        <v>0</v>
      </c>
      <c r="F2183" s="6">
        <v>44092</v>
      </c>
      <c r="H2183" t="s">
        <v>189</v>
      </c>
      <c r="I2183" t="s">
        <v>120</v>
      </c>
    </row>
    <row r="2184" spans="1:9" x14ac:dyDescent="0.25">
      <c r="A2184" s="8" t="str">
        <f t="shared" si="102"/>
        <v>2008964.000</v>
      </c>
      <c r="B2184" s="9" t="str">
        <f t="shared" si="103"/>
        <v>4</v>
      </c>
      <c r="C2184" s="10">
        <f t="shared" si="104"/>
        <v>44133</v>
      </c>
      <c r="D2184">
        <v>2008964</v>
      </c>
      <c r="E2184">
        <v>0</v>
      </c>
      <c r="F2184" s="6">
        <v>44134</v>
      </c>
      <c r="G2184">
        <v>4</v>
      </c>
      <c r="H2184" t="s">
        <v>189</v>
      </c>
      <c r="I2184" t="s">
        <v>120</v>
      </c>
    </row>
    <row r="2185" spans="1:9" x14ac:dyDescent="0.25">
      <c r="A2185" s="8" t="str">
        <f t="shared" si="102"/>
        <v>2008964.Y00</v>
      </c>
      <c r="B2185" s="9" t="str">
        <f t="shared" si="103"/>
        <v>4</v>
      </c>
      <c r="C2185" s="10">
        <f t="shared" si="104"/>
        <v>44133</v>
      </c>
      <c r="D2185">
        <v>2008964</v>
      </c>
      <c r="E2185" t="s">
        <v>130</v>
      </c>
      <c r="F2185" s="6">
        <v>44134</v>
      </c>
      <c r="G2185">
        <v>4</v>
      </c>
      <c r="H2185" t="s">
        <v>189</v>
      </c>
      <c r="I2185" t="s">
        <v>120</v>
      </c>
    </row>
    <row r="2186" spans="1:9" x14ac:dyDescent="0.25">
      <c r="A2186" s="8" t="str">
        <f t="shared" si="102"/>
        <v>2008964.U02</v>
      </c>
      <c r="B2186" s="9" t="str">
        <f t="shared" si="103"/>
        <v>4</v>
      </c>
      <c r="C2186" s="10">
        <f t="shared" si="104"/>
        <v>44133</v>
      </c>
      <c r="D2186">
        <v>2008964</v>
      </c>
      <c r="E2186" t="s">
        <v>149</v>
      </c>
      <c r="F2186" s="6">
        <v>44134</v>
      </c>
      <c r="G2186">
        <v>4</v>
      </c>
      <c r="H2186" t="s">
        <v>189</v>
      </c>
      <c r="I2186" t="s">
        <v>120</v>
      </c>
    </row>
    <row r="2187" spans="1:9" x14ac:dyDescent="0.25">
      <c r="A2187" s="8" t="str">
        <f t="shared" si="102"/>
        <v>2008965.000</v>
      </c>
      <c r="B2187" s="9" t="str">
        <f t="shared" si="103"/>
        <v>4</v>
      </c>
      <c r="C2187" s="10">
        <f t="shared" si="104"/>
        <v>44133</v>
      </c>
      <c r="D2187">
        <v>2008965</v>
      </c>
      <c r="E2187">
        <v>0</v>
      </c>
      <c r="F2187" s="6">
        <v>44134</v>
      </c>
      <c r="G2187">
        <v>4</v>
      </c>
      <c r="H2187" t="s">
        <v>189</v>
      </c>
      <c r="I2187" t="s">
        <v>120</v>
      </c>
    </row>
    <row r="2188" spans="1:9" x14ac:dyDescent="0.25">
      <c r="A2188" s="8" t="str">
        <f t="shared" si="102"/>
        <v>2008966.H01</v>
      </c>
      <c r="B2188" s="9" t="str">
        <f t="shared" si="103"/>
        <v>4</v>
      </c>
      <c r="C2188" s="10">
        <f t="shared" si="104"/>
        <v>44133</v>
      </c>
      <c r="D2188">
        <v>2008966</v>
      </c>
      <c r="E2188" t="s">
        <v>145</v>
      </c>
      <c r="F2188" s="6">
        <v>44134</v>
      </c>
      <c r="G2188">
        <v>4</v>
      </c>
      <c r="H2188" t="s">
        <v>192</v>
      </c>
      <c r="I2188" t="s">
        <v>120</v>
      </c>
    </row>
    <row r="2189" spans="1:9" x14ac:dyDescent="0.25">
      <c r="A2189" s="8" t="str">
        <f t="shared" si="102"/>
        <v>2008967.H00</v>
      </c>
      <c r="B2189" s="9" t="str">
        <f t="shared" si="103"/>
        <v>1</v>
      </c>
      <c r="C2189" s="10">
        <f t="shared" si="104"/>
        <v>44081</v>
      </c>
      <c r="D2189">
        <v>2008967</v>
      </c>
      <c r="E2189" t="s">
        <v>122</v>
      </c>
      <c r="F2189" s="6">
        <v>44085</v>
      </c>
      <c r="G2189">
        <v>1</v>
      </c>
      <c r="H2189" t="s">
        <v>189</v>
      </c>
      <c r="I2189" t="s">
        <v>120</v>
      </c>
    </row>
    <row r="2190" spans="1:9" x14ac:dyDescent="0.25">
      <c r="A2190" s="8" t="str">
        <f t="shared" si="102"/>
        <v>2008968.HP1</v>
      </c>
      <c r="B2190" s="9" t="str">
        <f t="shared" si="103"/>
        <v>1</v>
      </c>
      <c r="C2190" s="10">
        <f t="shared" si="104"/>
        <v>44116</v>
      </c>
      <c r="D2190">
        <v>2008968</v>
      </c>
      <c r="E2190" t="s">
        <v>129</v>
      </c>
      <c r="F2190" s="6">
        <v>44120</v>
      </c>
      <c r="G2190">
        <v>1</v>
      </c>
      <c r="H2190" t="s">
        <v>189</v>
      </c>
      <c r="I2190" t="s">
        <v>120</v>
      </c>
    </row>
    <row r="2191" spans="1:9" x14ac:dyDescent="0.25">
      <c r="A2191" s="8" t="str">
        <f t="shared" si="102"/>
        <v>2008968.C00</v>
      </c>
      <c r="B2191" s="9" t="str">
        <f t="shared" si="103"/>
        <v>1</v>
      </c>
      <c r="C2191" s="10">
        <f t="shared" si="104"/>
        <v>44116</v>
      </c>
      <c r="D2191">
        <v>2008968</v>
      </c>
      <c r="E2191" t="s">
        <v>147</v>
      </c>
      <c r="F2191" s="6">
        <v>44120</v>
      </c>
      <c r="G2191">
        <v>1</v>
      </c>
      <c r="H2191" t="s">
        <v>189</v>
      </c>
      <c r="I2191" t="s">
        <v>120</v>
      </c>
    </row>
    <row r="2192" spans="1:9" x14ac:dyDescent="0.25">
      <c r="A2192" s="8" t="str">
        <f t="shared" si="102"/>
        <v>2008968.CP0</v>
      </c>
      <c r="B2192" s="9" t="str">
        <f t="shared" si="103"/>
        <v>1</v>
      </c>
      <c r="C2192" s="10">
        <f t="shared" si="104"/>
        <v>44116</v>
      </c>
      <c r="D2192">
        <v>2008968</v>
      </c>
      <c r="E2192" t="s">
        <v>148</v>
      </c>
      <c r="F2192" s="6">
        <v>44120</v>
      </c>
      <c r="G2192">
        <v>1</v>
      </c>
      <c r="H2192" t="s">
        <v>189</v>
      </c>
      <c r="I2192" t="s">
        <v>120</v>
      </c>
    </row>
    <row r="2193" spans="1:9" x14ac:dyDescent="0.25">
      <c r="A2193" s="8" t="str">
        <f t="shared" si="102"/>
        <v>2008969.H00</v>
      </c>
      <c r="B2193" s="9" t="str">
        <f t="shared" si="103"/>
        <v>4</v>
      </c>
      <c r="C2193" s="10">
        <f t="shared" si="104"/>
        <v>44112</v>
      </c>
      <c r="D2193">
        <v>2008969</v>
      </c>
      <c r="E2193" t="s">
        <v>122</v>
      </c>
      <c r="F2193" s="6">
        <v>44113</v>
      </c>
      <c r="G2193">
        <v>4</v>
      </c>
      <c r="H2193" t="s">
        <v>189</v>
      </c>
      <c r="I2193" t="s">
        <v>120</v>
      </c>
    </row>
    <row r="2194" spans="1:9" x14ac:dyDescent="0.25">
      <c r="A2194" s="8" t="str">
        <f t="shared" si="102"/>
        <v>2008970.NV0</v>
      </c>
      <c r="B2194" s="9" t="str">
        <f t="shared" si="103"/>
        <v>4</v>
      </c>
      <c r="C2194" s="10">
        <f t="shared" si="104"/>
        <v>44070</v>
      </c>
      <c r="D2194">
        <v>2008970</v>
      </c>
      <c r="E2194" t="s">
        <v>126</v>
      </c>
      <c r="F2194" s="6">
        <v>44071</v>
      </c>
      <c r="G2194">
        <v>42</v>
      </c>
      <c r="H2194" t="s">
        <v>180</v>
      </c>
      <c r="I2194" t="s">
        <v>120</v>
      </c>
    </row>
    <row r="2195" spans="1:9" x14ac:dyDescent="0.25">
      <c r="A2195" s="8" t="str">
        <f t="shared" si="102"/>
        <v>2008971.H01</v>
      </c>
      <c r="B2195" s="9" t="str">
        <f t="shared" si="103"/>
        <v>1</v>
      </c>
      <c r="C2195" s="10">
        <f t="shared" si="104"/>
        <v>44102</v>
      </c>
      <c r="D2195">
        <v>2008971</v>
      </c>
      <c r="E2195" t="s">
        <v>145</v>
      </c>
      <c r="F2195" s="6">
        <v>44106</v>
      </c>
      <c r="G2195">
        <v>1</v>
      </c>
      <c r="H2195" t="s">
        <v>189</v>
      </c>
      <c r="I2195" t="s">
        <v>120</v>
      </c>
    </row>
    <row r="2196" spans="1:9" x14ac:dyDescent="0.25">
      <c r="A2196" s="8" t="str">
        <f t="shared" si="102"/>
        <v>2008972.000</v>
      </c>
      <c r="B2196" s="9" t="str">
        <f t="shared" si="103"/>
        <v/>
      </c>
      <c r="C2196" s="10">
        <f t="shared" si="104"/>
        <v>44088</v>
      </c>
      <c r="D2196">
        <v>2008972</v>
      </c>
      <c r="E2196">
        <v>0</v>
      </c>
      <c r="F2196" s="6">
        <v>44092</v>
      </c>
      <c r="H2196" t="s">
        <v>189</v>
      </c>
      <c r="I2196" t="s">
        <v>120</v>
      </c>
    </row>
    <row r="2197" spans="1:9" x14ac:dyDescent="0.25">
      <c r="A2197" s="8" t="str">
        <f t="shared" si="102"/>
        <v>2008973.X00</v>
      </c>
      <c r="B2197" s="9" t="str">
        <f t="shared" si="103"/>
        <v/>
      </c>
      <c r="C2197" s="10">
        <f t="shared" si="104"/>
        <v>44088</v>
      </c>
      <c r="D2197">
        <v>2008973</v>
      </c>
      <c r="E2197" t="s">
        <v>225</v>
      </c>
      <c r="F2197" s="6">
        <v>44092</v>
      </c>
      <c r="H2197" t="s">
        <v>235</v>
      </c>
      <c r="I2197" t="s">
        <v>120</v>
      </c>
    </row>
    <row r="2198" spans="1:9" x14ac:dyDescent="0.25">
      <c r="A2198" s="8" t="str">
        <f t="shared" si="102"/>
        <v>2008973.000</v>
      </c>
      <c r="B2198" s="9" t="str">
        <f t="shared" si="103"/>
        <v/>
      </c>
      <c r="C2198" s="10">
        <f t="shared" si="104"/>
        <v>44088</v>
      </c>
      <c r="D2198">
        <v>2008973</v>
      </c>
      <c r="E2198">
        <v>0</v>
      </c>
      <c r="F2198" s="6">
        <v>44092</v>
      </c>
      <c r="H2198" t="s">
        <v>189</v>
      </c>
      <c r="I2198" t="s">
        <v>120</v>
      </c>
    </row>
    <row r="2199" spans="1:9" x14ac:dyDescent="0.25">
      <c r="A2199" s="8" t="str">
        <f t="shared" si="102"/>
        <v>2008974.U02</v>
      </c>
      <c r="B2199" s="9" t="str">
        <f t="shared" si="103"/>
        <v/>
      </c>
      <c r="C2199" s="10">
        <f t="shared" si="104"/>
        <v>44109</v>
      </c>
      <c r="D2199">
        <v>2008974</v>
      </c>
      <c r="E2199" t="s">
        <v>149</v>
      </c>
      <c r="F2199" s="6">
        <v>44113</v>
      </c>
      <c r="H2199" t="s">
        <v>188</v>
      </c>
      <c r="I2199" t="s">
        <v>120</v>
      </c>
    </row>
    <row r="2200" spans="1:9" x14ac:dyDescent="0.25">
      <c r="A2200" s="8" t="str">
        <f t="shared" si="102"/>
        <v>2008975.0P0</v>
      </c>
      <c r="B2200" s="9" t="str">
        <f t="shared" si="103"/>
        <v/>
      </c>
      <c r="C2200" s="10">
        <f t="shared" si="104"/>
        <v>44088</v>
      </c>
      <c r="D2200">
        <v>2008975</v>
      </c>
      <c r="E2200" t="s">
        <v>119</v>
      </c>
      <c r="F2200" s="6">
        <v>44092</v>
      </c>
      <c r="H2200" t="s">
        <v>189</v>
      </c>
      <c r="I2200" t="s">
        <v>120</v>
      </c>
    </row>
    <row r="2201" spans="1:9" x14ac:dyDescent="0.25">
      <c r="A2201" s="8" t="str">
        <f t="shared" si="102"/>
        <v>2008975.000</v>
      </c>
      <c r="B2201" s="9" t="str">
        <f t="shared" si="103"/>
        <v/>
      </c>
      <c r="C2201" s="10">
        <f t="shared" si="104"/>
        <v>44088</v>
      </c>
      <c r="D2201">
        <v>2008975</v>
      </c>
      <c r="E2201">
        <v>0</v>
      </c>
      <c r="F2201" s="6">
        <v>44092</v>
      </c>
      <c r="H2201" t="s">
        <v>189</v>
      </c>
      <c r="I2201" t="s">
        <v>120</v>
      </c>
    </row>
    <row r="2202" spans="1:9" x14ac:dyDescent="0.25">
      <c r="A2202" s="8" t="str">
        <f t="shared" si="102"/>
        <v>2008976.H01</v>
      </c>
      <c r="B2202" s="9" t="str">
        <f t="shared" si="103"/>
        <v/>
      </c>
      <c r="C2202" s="10">
        <f t="shared" si="104"/>
        <v>44102</v>
      </c>
      <c r="D2202">
        <v>2008976</v>
      </c>
      <c r="E2202" t="s">
        <v>145</v>
      </c>
      <c r="F2202" s="6">
        <v>44106</v>
      </c>
      <c r="H2202" t="s">
        <v>189</v>
      </c>
      <c r="I2202" t="s">
        <v>120</v>
      </c>
    </row>
    <row r="2203" spans="1:9" x14ac:dyDescent="0.25">
      <c r="A2203" s="8" t="str">
        <f t="shared" si="102"/>
        <v>2008977.000</v>
      </c>
      <c r="B2203" s="9" t="str">
        <f t="shared" si="103"/>
        <v/>
      </c>
      <c r="C2203" s="10">
        <f t="shared" si="104"/>
        <v>44088</v>
      </c>
      <c r="D2203">
        <v>2008977</v>
      </c>
      <c r="E2203">
        <v>0</v>
      </c>
      <c r="F2203" s="6">
        <v>44092</v>
      </c>
      <c r="H2203" t="s">
        <v>189</v>
      </c>
      <c r="I2203" t="s">
        <v>120</v>
      </c>
    </row>
    <row r="2204" spans="1:9" x14ac:dyDescent="0.25">
      <c r="A2204" s="8" t="str">
        <f t="shared" si="102"/>
        <v>2008978.NV0</v>
      </c>
      <c r="B2204" s="9" t="str">
        <f t="shared" si="103"/>
        <v/>
      </c>
      <c r="C2204" s="10">
        <f t="shared" si="104"/>
        <v>44074</v>
      </c>
      <c r="D2204">
        <v>2008978</v>
      </c>
      <c r="E2204" t="s">
        <v>126</v>
      </c>
      <c r="F2204" s="6">
        <v>44078</v>
      </c>
      <c r="H2204" t="s">
        <v>188</v>
      </c>
      <c r="I2204" t="s">
        <v>120</v>
      </c>
    </row>
    <row r="2205" spans="1:9" x14ac:dyDescent="0.25">
      <c r="A2205" s="8" t="str">
        <f t="shared" si="102"/>
        <v>2008979.NI0</v>
      </c>
      <c r="B2205" s="9" t="str">
        <f t="shared" si="103"/>
        <v/>
      </c>
      <c r="C2205" s="10">
        <f t="shared" si="104"/>
        <v>44074</v>
      </c>
      <c r="D2205">
        <v>2008979</v>
      </c>
      <c r="E2205" t="s">
        <v>185</v>
      </c>
      <c r="F2205" s="6">
        <v>44078</v>
      </c>
      <c r="H2205" t="s">
        <v>188</v>
      </c>
      <c r="I2205" t="s">
        <v>120</v>
      </c>
    </row>
    <row r="2206" spans="1:9" x14ac:dyDescent="0.25">
      <c r="A2206" s="8" t="str">
        <f t="shared" si="102"/>
        <v>2008982.000</v>
      </c>
      <c r="B2206" s="9" t="str">
        <f t="shared" si="103"/>
        <v>3</v>
      </c>
      <c r="C2206" s="10">
        <f t="shared" si="104"/>
        <v>44090</v>
      </c>
      <c r="D2206">
        <v>2008982</v>
      </c>
      <c r="E2206">
        <v>0</v>
      </c>
      <c r="F2206" s="6">
        <v>44092</v>
      </c>
      <c r="G2206">
        <v>3</v>
      </c>
      <c r="H2206" t="s">
        <v>189</v>
      </c>
      <c r="I2206" t="s">
        <v>120</v>
      </c>
    </row>
    <row r="2207" spans="1:9" x14ac:dyDescent="0.25">
      <c r="A2207" s="8" t="str">
        <f t="shared" si="102"/>
        <v>2008983.000</v>
      </c>
      <c r="B2207" s="9" t="str">
        <f t="shared" si="103"/>
        <v/>
      </c>
      <c r="C2207" s="10">
        <f t="shared" si="104"/>
        <v>44088</v>
      </c>
      <c r="D2207">
        <v>2008983</v>
      </c>
      <c r="E2207">
        <v>0</v>
      </c>
      <c r="F2207" s="6">
        <v>44092</v>
      </c>
      <c r="H2207" t="s">
        <v>189</v>
      </c>
      <c r="I2207" t="s">
        <v>120</v>
      </c>
    </row>
    <row r="2208" spans="1:9" x14ac:dyDescent="0.25">
      <c r="A2208" s="8" t="str">
        <f t="shared" si="102"/>
        <v>2008984.XP0</v>
      </c>
      <c r="B2208" s="9" t="str">
        <f t="shared" si="103"/>
        <v>1</v>
      </c>
      <c r="C2208" s="10">
        <f t="shared" si="104"/>
        <v>44102</v>
      </c>
      <c r="D2208">
        <v>2008984</v>
      </c>
      <c r="E2208" t="s">
        <v>181</v>
      </c>
      <c r="F2208" s="6">
        <v>44106</v>
      </c>
      <c r="G2208">
        <v>1</v>
      </c>
      <c r="H2208" t="s">
        <v>189</v>
      </c>
      <c r="I2208" t="s">
        <v>120</v>
      </c>
    </row>
    <row r="2209" spans="1:9" x14ac:dyDescent="0.25">
      <c r="A2209" s="8" t="str">
        <f t="shared" si="102"/>
        <v>2008985.000</v>
      </c>
      <c r="B2209" s="9" t="str">
        <f t="shared" si="103"/>
        <v/>
      </c>
      <c r="C2209" s="10">
        <f t="shared" si="104"/>
        <v>44088</v>
      </c>
      <c r="D2209">
        <v>2008985</v>
      </c>
      <c r="E2209">
        <v>0</v>
      </c>
      <c r="F2209" s="6">
        <v>44092</v>
      </c>
      <c r="H2209" t="s">
        <v>189</v>
      </c>
      <c r="I2209" t="s">
        <v>120</v>
      </c>
    </row>
    <row r="2210" spans="1:9" x14ac:dyDescent="0.25">
      <c r="A2210" s="8" t="str">
        <f t="shared" si="102"/>
        <v>2008986.H01</v>
      </c>
      <c r="B2210" s="9" t="str">
        <f t="shared" si="103"/>
        <v>2</v>
      </c>
      <c r="C2210" s="10">
        <f t="shared" si="104"/>
        <v>44103</v>
      </c>
      <c r="D2210">
        <v>2008986</v>
      </c>
      <c r="E2210" t="s">
        <v>145</v>
      </c>
      <c r="F2210" s="6">
        <v>44106</v>
      </c>
      <c r="G2210">
        <v>2</v>
      </c>
      <c r="H2210" t="s">
        <v>189</v>
      </c>
      <c r="I2210" t="s">
        <v>120</v>
      </c>
    </row>
    <row r="2211" spans="1:9" x14ac:dyDescent="0.25">
      <c r="A2211" s="8" t="str">
        <f t="shared" si="102"/>
        <v>2008987.HP1</v>
      </c>
      <c r="B2211" s="9" t="str">
        <f t="shared" si="103"/>
        <v>1</v>
      </c>
      <c r="C2211" s="10">
        <f t="shared" si="104"/>
        <v>44102</v>
      </c>
      <c r="D2211">
        <v>2008987</v>
      </c>
      <c r="E2211" t="s">
        <v>129</v>
      </c>
      <c r="F2211" s="6">
        <v>44106</v>
      </c>
      <c r="G2211">
        <v>1</v>
      </c>
      <c r="H2211" t="s">
        <v>191</v>
      </c>
      <c r="I2211" t="s">
        <v>120</v>
      </c>
    </row>
    <row r="2212" spans="1:9" x14ac:dyDescent="0.25">
      <c r="A2212" s="8" t="str">
        <f t="shared" si="102"/>
        <v>2008988.Y00</v>
      </c>
      <c r="B2212" s="9" t="str">
        <f t="shared" si="103"/>
        <v/>
      </c>
      <c r="C2212" s="10">
        <f t="shared" si="104"/>
        <v>44109</v>
      </c>
      <c r="D2212">
        <v>2008988</v>
      </c>
      <c r="E2212" t="s">
        <v>130</v>
      </c>
      <c r="F2212" s="6">
        <v>44113</v>
      </c>
      <c r="H2212" t="s">
        <v>189</v>
      </c>
      <c r="I2212" t="s">
        <v>120</v>
      </c>
    </row>
    <row r="2213" spans="1:9" x14ac:dyDescent="0.25">
      <c r="A2213" s="8" t="str">
        <f t="shared" si="102"/>
        <v>2008989.000</v>
      </c>
      <c r="B2213" s="9" t="str">
        <f t="shared" si="103"/>
        <v/>
      </c>
      <c r="C2213" s="10">
        <f t="shared" si="104"/>
        <v>44088</v>
      </c>
      <c r="D2213">
        <v>2008989</v>
      </c>
      <c r="E2213">
        <v>0</v>
      </c>
      <c r="F2213" s="6">
        <v>44092</v>
      </c>
      <c r="H2213" t="s">
        <v>189</v>
      </c>
      <c r="I2213" t="s">
        <v>120</v>
      </c>
    </row>
    <row r="2214" spans="1:9" x14ac:dyDescent="0.25">
      <c r="A2214" s="8" t="str">
        <f t="shared" si="102"/>
        <v>2008990.0P0</v>
      </c>
      <c r="B2214" s="9" t="str">
        <f t="shared" si="103"/>
        <v/>
      </c>
      <c r="C2214" s="10">
        <f t="shared" si="104"/>
        <v>44095</v>
      </c>
      <c r="D2214">
        <v>2008990</v>
      </c>
      <c r="E2214" t="s">
        <v>119</v>
      </c>
      <c r="F2214" s="6">
        <v>44099</v>
      </c>
      <c r="H2214" t="s">
        <v>192</v>
      </c>
      <c r="I2214" t="s">
        <v>120</v>
      </c>
    </row>
    <row r="2215" spans="1:9" x14ac:dyDescent="0.25">
      <c r="A2215" s="8" t="str">
        <f t="shared" si="102"/>
        <v>2008991.Z01</v>
      </c>
      <c r="B2215" s="9" t="str">
        <f t="shared" si="103"/>
        <v/>
      </c>
      <c r="C2215" s="10">
        <f t="shared" si="104"/>
        <v>44095</v>
      </c>
      <c r="D2215">
        <v>2008991</v>
      </c>
      <c r="E2215" t="s">
        <v>135</v>
      </c>
      <c r="F2215" s="6">
        <v>44099</v>
      </c>
      <c r="H2215" t="s">
        <v>191</v>
      </c>
      <c r="I2215" t="s">
        <v>120</v>
      </c>
    </row>
    <row r="2216" spans="1:9" x14ac:dyDescent="0.25">
      <c r="A2216" s="8" t="str">
        <f t="shared" si="102"/>
        <v>2008992.0P0</v>
      </c>
      <c r="B2216" s="9" t="str">
        <f t="shared" si="103"/>
        <v/>
      </c>
      <c r="C2216" s="10">
        <f t="shared" si="104"/>
        <v>44088</v>
      </c>
      <c r="D2216">
        <v>2008992</v>
      </c>
      <c r="E2216" t="s">
        <v>119</v>
      </c>
      <c r="F2216" s="6">
        <v>44092</v>
      </c>
      <c r="H2216" t="s">
        <v>189</v>
      </c>
      <c r="I2216" t="s">
        <v>120</v>
      </c>
    </row>
    <row r="2217" spans="1:9" x14ac:dyDescent="0.25">
      <c r="A2217" s="8" t="str">
        <f t="shared" si="102"/>
        <v>2008993.XP0</v>
      </c>
      <c r="B2217" s="9" t="str">
        <f t="shared" si="103"/>
        <v/>
      </c>
      <c r="C2217" s="10">
        <f t="shared" si="104"/>
        <v>44102</v>
      </c>
      <c r="D2217">
        <v>2008993</v>
      </c>
      <c r="E2217" t="s">
        <v>181</v>
      </c>
      <c r="F2217" s="6">
        <v>44106</v>
      </c>
      <c r="H2217" t="s">
        <v>188</v>
      </c>
      <c r="I2217" t="s">
        <v>120</v>
      </c>
    </row>
    <row r="2218" spans="1:9" x14ac:dyDescent="0.25">
      <c r="A2218" s="8" t="str">
        <f t="shared" si="102"/>
        <v>2008993.X00</v>
      </c>
      <c r="B2218" s="9" t="str">
        <f t="shared" si="103"/>
        <v/>
      </c>
      <c r="C2218" s="10">
        <f t="shared" si="104"/>
        <v>44102</v>
      </c>
      <c r="D2218">
        <v>2008993</v>
      </c>
      <c r="E2218" t="s">
        <v>225</v>
      </c>
      <c r="F2218" s="6">
        <v>44106</v>
      </c>
      <c r="H2218" t="s">
        <v>188</v>
      </c>
      <c r="I2218" t="s">
        <v>120</v>
      </c>
    </row>
    <row r="2219" spans="1:9" x14ac:dyDescent="0.25">
      <c r="A2219" s="8" t="str">
        <f t="shared" si="102"/>
        <v>2008994.000</v>
      </c>
      <c r="B2219" s="9" t="str">
        <f t="shared" si="103"/>
        <v/>
      </c>
      <c r="C2219" s="10">
        <f t="shared" si="104"/>
        <v>44088</v>
      </c>
      <c r="D2219">
        <v>2008994</v>
      </c>
      <c r="E2219">
        <v>0</v>
      </c>
      <c r="F2219" s="6">
        <v>44092</v>
      </c>
      <c r="H2219" t="s">
        <v>192</v>
      </c>
      <c r="I2219" t="s">
        <v>120</v>
      </c>
    </row>
    <row r="2220" spans="1:9" x14ac:dyDescent="0.25">
      <c r="A2220" s="8" t="str">
        <f t="shared" si="102"/>
        <v>2008995.000</v>
      </c>
      <c r="B2220" s="9" t="str">
        <f t="shared" si="103"/>
        <v/>
      </c>
      <c r="C2220" s="10">
        <f t="shared" si="104"/>
        <v>44088</v>
      </c>
      <c r="D2220">
        <v>2008995</v>
      </c>
      <c r="E2220">
        <v>0</v>
      </c>
      <c r="F2220" s="6">
        <v>44092</v>
      </c>
      <c r="H2220" t="s">
        <v>192</v>
      </c>
      <c r="I2220" t="s">
        <v>120</v>
      </c>
    </row>
    <row r="2221" spans="1:9" x14ac:dyDescent="0.25">
      <c r="A2221" s="8" t="str">
        <f t="shared" si="102"/>
        <v>2008996.H00</v>
      </c>
      <c r="B2221" s="9" t="str">
        <f t="shared" si="103"/>
        <v/>
      </c>
      <c r="C2221" s="10">
        <f t="shared" si="104"/>
        <v>44130</v>
      </c>
      <c r="D2221">
        <v>2008996</v>
      </c>
      <c r="E2221" t="s">
        <v>122</v>
      </c>
      <c r="F2221" s="6">
        <v>44134</v>
      </c>
      <c r="H2221" t="s">
        <v>192</v>
      </c>
      <c r="I2221" t="s">
        <v>120</v>
      </c>
    </row>
    <row r="2222" spans="1:9" x14ac:dyDescent="0.25">
      <c r="A2222" s="8" t="str">
        <f t="shared" si="102"/>
        <v>2008997.000</v>
      </c>
      <c r="B2222" s="9" t="str">
        <f t="shared" si="103"/>
        <v/>
      </c>
      <c r="C2222" s="10">
        <f t="shared" si="104"/>
        <v>44088</v>
      </c>
      <c r="D2222">
        <v>2008997</v>
      </c>
      <c r="E2222">
        <v>0</v>
      </c>
      <c r="F2222" s="6">
        <v>44092</v>
      </c>
      <c r="H2222" t="s">
        <v>189</v>
      </c>
      <c r="I2222" t="s">
        <v>120</v>
      </c>
    </row>
    <row r="2223" spans="1:9" x14ac:dyDescent="0.25">
      <c r="A2223" s="8" t="str">
        <f t="shared" si="102"/>
        <v>2008998.NQ0</v>
      </c>
      <c r="B2223" s="9" t="str">
        <f t="shared" si="103"/>
        <v/>
      </c>
      <c r="C2223" s="10">
        <f t="shared" si="104"/>
        <v>44074</v>
      </c>
      <c r="D2223">
        <v>2008998</v>
      </c>
      <c r="E2223" t="s">
        <v>165</v>
      </c>
      <c r="F2223" s="6">
        <v>44078</v>
      </c>
      <c r="H2223" t="s">
        <v>194</v>
      </c>
      <c r="I2223" t="s">
        <v>120</v>
      </c>
    </row>
    <row r="2224" spans="1:9" x14ac:dyDescent="0.25">
      <c r="A2224" s="8" t="str">
        <f t="shared" si="102"/>
        <v>2008999.0P0</v>
      </c>
      <c r="B2224" s="9" t="str">
        <f t="shared" si="103"/>
        <v/>
      </c>
      <c r="C2224" s="10">
        <f t="shared" si="104"/>
        <v>44144</v>
      </c>
      <c r="D2224">
        <v>2008999</v>
      </c>
      <c r="E2224" t="s">
        <v>119</v>
      </c>
      <c r="F2224" s="6">
        <v>44148</v>
      </c>
      <c r="H2224" t="s">
        <v>192</v>
      </c>
      <c r="I2224" t="s">
        <v>120</v>
      </c>
    </row>
    <row r="2225" spans="1:9" x14ac:dyDescent="0.25">
      <c r="A2225" s="8" t="str">
        <f t="shared" si="102"/>
        <v>2009000.000</v>
      </c>
      <c r="B2225" s="9" t="str">
        <f t="shared" si="103"/>
        <v/>
      </c>
      <c r="C2225" s="10">
        <f t="shared" si="104"/>
        <v>44088</v>
      </c>
      <c r="D2225">
        <v>2009000</v>
      </c>
      <c r="E2225">
        <v>0</v>
      </c>
      <c r="F2225" s="6">
        <v>44092</v>
      </c>
      <c r="H2225" t="s">
        <v>192</v>
      </c>
      <c r="I2225" t="s">
        <v>120</v>
      </c>
    </row>
    <row r="2226" spans="1:9" x14ac:dyDescent="0.25">
      <c r="A2226" s="8" t="str">
        <f t="shared" si="102"/>
        <v>2009001.000</v>
      </c>
      <c r="B2226" s="9" t="str">
        <f t="shared" si="103"/>
        <v/>
      </c>
      <c r="C2226" s="10">
        <f t="shared" si="104"/>
        <v>44095</v>
      </c>
      <c r="D2226">
        <v>2009001</v>
      </c>
      <c r="E2226">
        <v>0</v>
      </c>
      <c r="F2226" s="6">
        <v>44099</v>
      </c>
      <c r="H2226" t="s">
        <v>189</v>
      </c>
      <c r="I2226" t="s">
        <v>120</v>
      </c>
    </row>
    <row r="2227" spans="1:9" x14ac:dyDescent="0.25">
      <c r="A2227" s="8" t="str">
        <f t="shared" si="102"/>
        <v>2009002.Z00</v>
      </c>
      <c r="B2227" s="9" t="str">
        <f t="shared" si="103"/>
        <v>1</v>
      </c>
      <c r="C2227" s="10">
        <f t="shared" si="104"/>
        <v>44123</v>
      </c>
      <c r="D2227">
        <v>2009002</v>
      </c>
      <c r="E2227" t="s">
        <v>158</v>
      </c>
      <c r="F2227" s="6">
        <v>44127</v>
      </c>
      <c r="G2227">
        <v>1</v>
      </c>
      <c r="H2227" t="s">
        <v>189</v>
      </c>
      <c r="I2227" t="s">
        <v>120</v>
      </c>
    </row>
    <row r="2228" spans="1:9" x14ac:dyDescent="0.25">
      <c r="A2228" s="8" t="str">
        <f t="shared" si="102"/>
        <v>2009002.H00</v>
      </c>
      <c r="B2228" s="9" t="str">
        <f t="shared" si="103"/>
        <v>1</v>
      </c>
      <c r="C2228" s="10">
        <f t="shared" si="104"/>
        <v>44123</v>
      </c>
      <c r="D2228">
        <v>2009002</v>
      </c>
      <c r="E2228" t="s">
        <v>122</v>
      </c>
      <c r="F2228" s="6">
        <v>44127</v>
      </c>
      <c r="G2228">
        <v>1</v>
      </c>
      <c r="H2228" t="s">
        <v>189</v>
      </c>
      <c r="I2228" t="s">
        <v>120</v>
      </c>
    </row>
    <row r="2229" spans="1:9" x14ac:dyDescent="0.25">
      <c r="A2229" s="8" t="str">
        <f t="shared" si="102"/>
        <v>2009002.ZPL</v>
      </c>
      <c r="B2229" s="9" t="str">
        <f t="shared" si="103"/>
        <v>1</v>
      </c>
      <c r="C2229" s="10">
        <f t="shared" si="104"/>
        <v>44123</v>
      </c>
      <c r="D2229">
        <v>2009002</v>
      </c>
      <c r="E2229" t="s">
        <v>182</v>
      </c>
      <c r="F2229" s="6">
        <v>44127</v>
      </c>
      <c r="G2229">
        <v>1</v>
      </c>
      <c r="H2229" t="s">
        <v>189</v>
      </c>
      <c r="I2229" t="s">
        <v>120</v>
      </c>
    </row>
    <row r="2230" spans="1:9" x14ac:dyDescent="0.25">
      <c r="A2230" s="8" t="str">
        <f t="shared" si="102"/>
        <v>2009003.0P0</v>
      </c>
      <c r="B2230" s="9" t="str">
        <f t="shared" si="103"/>
        <v/>
      </c>
      <c r="C2230" s="10">
        <f t="shared" si="104"/>
        <v>44088</v>
      </c>
      <c r="D2230">
        <v>2009003</v>
      </c>
      <c r="E2230" t="s">
        <v>119</v>
      </c>
      <c r="F2230" s="6">
        <v>44092</v>
      </c>
      <c r="H2230" t="s">
        <v>192</v>
      </c>
      <c r="I2230" t="s">
        <v>120</v>
      </c>
    </row>
    <row r="2231" spans="1:9" x14ac:dyDescent="0.25">
      <c r="A2231" s="8" t="str">
        <f t="shared" si="102"/>
        <v>2009003.000</v>
      </c>
      <c r="B2231" s="9" t="str">
        <f t="shared" si="103"/>
        <v/>
      </c>
      <c r="C2231" s="10">
        <f t="shared" si="104"/>
        <v>44088</v>
      </c>
      <c r="D2231">
        <v>2009003</v>
      </c>
      <c r="E2231">
        <v>0</v>
      </c>
      <c r="F2231" s="6">
        <v>44092</v>
      </c>
      <c r="H2231" t="s">
        <v>192</v>
      </c>
      <c r="I2231" t="s">
        <v>120</v>
      </c>
    </row>
    <row r="2232" spans="1:9" x14ac:dyDescent="0.25">
      <c r="A2232" s="8" t="str">
        <f t="shared" ref="A2232:A2295" si="105">IF(D2232="","",IF(E2232=0,CONCATENATE(D2232,".",E2232,"00"),CONCATENATE(D2232,".",E2232)))</f>
        <v>2009004.000</v>
      </c>
      <c r="B2232" s="9" t="str">
        <f t="shared" ref="B2232:B2295" si="106">LEFT(G2232,1)</f>
        <v/>
      </c>
      <c r="C2232" s="10">
        <f t="shared" ref="C2232:C2295" si="107">IF(F2232="","",IF(B2232="",F2232-4,IF(B2232="1",F2232-4,IF(B2232="2",F2232-3,IF(B2232="3",F2232-2,IF(B2232="4",F2232-1,IF(B2232="V",F2232-7,IF(B2232="J",F2232-8,F2232))))))))</f>
        <v>44088</v>
      </c>
      <c r="D2232">
        <v>2009004</v>
      </c>
      <c r="E2232">
        <v>0</v>
      </c>
      <c r="F2232" s="6">
        <v>44092</v>
      </c>
      <c r="H2232" t="s">
        <v>189</v>
      </c>
      <c r="I2232" t="s">
        <v>120</v>
      </c>
    </row>
    <row r="2233" spans="1:9" x14ac:dyDescent="0.25">
      <c r="A2233" s="8" t="str">
        <f t="shared" si="105"/>
        <v>2009005.Y00</v>
      </c>
      <c r="B2233" s="9" t="str">
        <f t="shared" si="106"/>
        <v/>
      </c>
      <c r="C2233" s="10">
        <f t="shared" si="107"/>
        <v>44109</v>
      </c>
      <c r="D2233">
        <v>2009005</v>
      </c>
      <c r="E2233" t="s">
        <v>130</v>
      </c>
      <c r="F2233" s="6">
        <v>44113</v>
      </c>
      <c r="H2233" t="s">
        <v>188</v>
      </c>
      <c r="I2233" t="s">
        <v>120</v>
      </c>
    </row>
    <row r="2234" spans="1:9" x14ac:dyDescent="0.25">
      <c r="A2234" s="8" t="str">
        <f t="shared" si="105"/>
        <v>2009006.000</v>
      </c>
      <c r="B2234" s="9" t="str">
        <f t="shared" si="106"/>
        <v/>
      </c>
      <c r="C2234" s="10">
        <f t="shared" si="107"/>
        <v>44088</v>
      </c>
      <c r="D2234">
        <v>2009006</v>
      </c>
      <c r="E2234">
        <v>0</v>
      </c>
      <c r="F2234" s="6">
        <v>44092</v>
      </c>
      <c r="H2234" t="s">
        <v>192</v>
      </c>
      <c r="I2234" t="s">
        <v>120</v>
      </c>
    </row>
    <row r="2235" spans="1:9" x14ac:dyDescent="0.25">
      <c r="A2235" s="8" t="str">
        <f t="shared" si="105"/>
        <v>2009006.0P0</v>
      </c>
      <c r="B2235" s="9" t="str">
        <f t="shared" si="106"/>
        <v/>
      </c>
      <c r="C2235" s="10">
        <f t="shared" si="107"/>
        <v>44088</v>
      </c>
      <c r="D2235">
        <v>2009006</v>
      </c>
      <c r="E2235" t="s">
        <v>119</v>
      </c>
      <c r="F2235" s="6">
        <v>44092</v>
      </c>
      <c r="H2235" t="s">
        <v>192</v>
      </c>
      <c r="I2235" t="s">
        <v>120</v>
      </c>
    </row>
    <row r="2236" spans="1:9" x14ac:dyDescent="0.25">
      <c r="A2236" s="8" t="str">
        <f t="shared" si="105"/>
        <v>2009007.000</v>
      </c>
      <c r="B2236" s="9" t="str">
        <f t="shared" si="106"/>
        <v/>
      </c>
      <c r="C2236" s="10">
        <f t="shared" si="107"/>
        <v>44088</v>
      </c>
      <c r="D2236">
        <v>2009007</v>
      </c>
      <c r="E2236">
        <v>0</v>
      </c>
      <c r="F2236" s="6">
        <v>44092</v>
      </c>
      <c r="H2236" t="s">
        <v>191</v>
      </c>
      <c r="I2236" t="s">
        <v>120</v>
      </c>
    </row>
    <row r="2237" spans="1:9" x14ac:dyDescent="0.25">
      <c r="A2237" s="8" t="str">
        <f t="shared" si="105"/>
        <v>2009008.000</v>
      </c>
      <c r="B2237" s="9" t="str">
        <f t="shared" si="106"/>
        <v/>
      </c>
      <c r="C2237" s="10">
        <f t="shared" si="107"/>
        <v>44088</v>
      </c>
      <c r="D2237">
        <v>2009008</v>
      </c>
      <c r="E2237">
        <v>0</v>
      </c>
      <c r="F2237" s="6">
        <v>44092</v>
      </c>
      <c r="H2237" t="s">
        <v>189</v>
      </c>
      <c r="I2237" t="s">
        <v>120</v>
      </c>
    </row>
    <row r="2238" spans="1:9" x14ac:dyDescent="0.25">
      <c r="A2238" s="8" t="str">
        <f t="shared" si="105"/>
        <v>2009009.T01</v>
      </c>
      <c r="B2238" s="9" t="str">
        <f t="shared" si="106"/>
        <v/>
      </c>
      <c r="C2238" s="10">
        <f t="shared" si="107"/>
        <v>44102</v>
      </c>
      <c r="D2238">
        <v>2009009</v>
      </c>
      <c r="E2238" t="s">
        <v>146</v>
      </c>
      <c r="F2238" s="6">
        <v>44106</v>
      </c>
      <c r="H2238" t="s">
        <v>192</v>
      </c>
      <c r="I2238" t="s">
        <v>120</v>
      </c>
    </row>
    <row r="2239" spans="1:9" x14ac:dyDescent="0.25">
      <c r="A2239" s="8" t="str">
        <f t="shared" si="105"/>
        <v>2009009.H00</v>
      </c>
      <c r="B2239" s="9" t="str">
        <f t="shared" si="106"/>
        <v/>
      </c>
      <c r="C2239" s="10">
        <f t="shared" si="107"/>
        <v>44102</v>
      </c>
      <c r="D2239">
        <v>2009009</v>
      </c>
      <c r="E2239" t="s">
        <v>122</v>
      </c>
      <c r="F2239" s="6">
        <v>44106</v>
      </c>
      <c r="H2239" t="s">
        <v>192</v>
      </c>
      <c r="I2239" t="s">
        <v>120</v>
      </c>
    </row>
    <row r="2240" spans="1:9" x14ac:dyDescent="0.25">
      <c r="A2240" s="8" t="str">
        <f t="shared" si="105"/>
        <v>2009010.N0L</v>
      </c>
      <c r="B2240" s="9" t="str">
        <f t="shared" si="106"/>
        <v/>
      </c>
      <c r="C2240" s="10">
        <f t="shared" si="107"/>
        <v>44074</v>
      </c>
      <c r="D2240">
        <v>2009010</v>
      </c>
      <c r="E2240" t="s">
        <v>133</v>
      </c>
      <c r="F2240" s="6">
        <v>44078</v>
      </c>
      <c r="H2240" t="s">
        <v>188</v>
      </c>
      <c r="I2240" t="s">
        <v>120</v>
      </c>
    </row>
    <row r="2241" spans="1:9" x14ac:dyDescent="0.25">
      <c r="A2241" s="8" t="str">
        <f t="shared" si="105"/>
        <v>2009011.000</v>
      </c>
      <c r="B2241" s="9" t="str">
        <f t="shared" si="106"/>
        <v/>
      </c>
      <c r="C2241" s="10">
        <f t="shared" si="107"/>
        <v>44088</v>
      </c>
      <c r="D2241">
        <v>2009011</v>
      </c>
      <c r="E2241">
        <v>0</v>
      </c>
      <c r="F2241" s="6">
        <v>44092</v>
      </c>
      <c r="H2241" t="s">
        <v>189</v>
      </c>
      <c r="I2241" t="s">
        <v>120</v>
      </c>
    </row>
    <row r="2242" spans="1:9" x14ac:dyDescent="0.25">
      <c r="A2242" s="8" t="str">
        <f t="shared" si="105"/>
        <v>2009012.0P0</v>
      </c>
      <c r="B2242" s="9" t="str">
        <f t="shared" si="106"/>
        <v>4</v>
      </c>
      <c r="C2242" s="10">
        <f t="shared" si="107"/>
        <v>44091</v>
      </c>
      <c r="D2242">
        <v>2009012</v>
      </c>
      <c r="E2242" t="s">
        <v>119</v>
      </c>
      <c r="F2242" s="6">
        <v>44092</v>
      </c>
      <c r="G2242">
        <v>41</v>
      </c>
      <c r="H2242" t="s">
        <v>189</v>
      </c>
      <c r="I2242" t="s">
        <v>120</v>
      </c>
    </row>
    <row r="2243" spans="1:9" x14ac:dyDescent="0.25">
      <c r="A2243" s="8" t="str">
        <f t="shared" si="105"/>
        <v>2009013.X00</v>
      </c>
      <c r="B2243" s="9" t="str">
        <f t="shared" si="106"/>
        <v/>
      </c>
      <c r="C2243" s="10">
        <f t="shared" si="107"/>
        <v>44102</v>
      </c>
      <c r="D2243">
        <v>2009013</v>
      </c>
      <c r="E2243" t="s">
        <v>225</v>
      </c>
      <c r="F2243" s="6">
        <v>44106</v>
      </c>
      <c r="H2243" t="s">
        <v>189</v>
      </c>
      <c r="I2243" t="s">
        <v>120</v>
      </c>
    </row>
    <row r="2244" spans="1:9" x14ac:dyDescent="0.25">
      <c r="A2244" s="8" t="str">
        <f t="shared" si="105"/>
        <v>2009014.NQ0</v>
      </c>
      <c r="B2244" s="9" t="str">
        <f t="shared" si="106"/>
        <v/>
      </c>
      <c r="C2244" s="10">
        <f t="shared" si="107"/>
        <v>44074</v>
      </c>
      <c r="D2244">
        <v>2009014</v>
      </c>
      <c r="E2244" t="s">
        <v>165</v>
      </c>
      <c r="F2244" s="6">
        <v>44078</v>
      </c>
      <c r="H2244" t="s">
        <v>194</v>
      </c>
      <c r="I2244" t="s">
        <v>120</v>
      </c>
    </row>
    <row r="2245" spans="1:9" x14ac:dyDescent="0.25">
      <c r="A2245" s="8" t="str">
        <f t="shared" si="105"/>
        <v>2009015.HP1</v>
      </c>
      <c r="B2245" s="9" t="str">
        <f t="shared" si="106"/>
        <v/>
      </c>
      <c r="C2245" s="10">
        <f t="shared" si="107"/>
        <v>44102</v>
      </c>
      <c r="D2245">
        <v>2009015</v>
      </c>
      <c r="E2245" t="s">
        <v>129</v>
      </c>
      <c r="F2245" s="6">
        <v>44106</v>
      </c>
      <c r="H2245" t="s">
        <v>192</v>
      </c>
      <c r="I2245" t="s">
        <v>120</v>
      </c>
    </row>
    <row r="2246" spans="1:9" x14ac:dyDescent="0.25">
      <c r="A2246" s="8" t="str">
        <f t="shared" si="105"/>
        <v>2009016.Y02</v>
      </c>
      <c r="B2246" s="9" t="str">
        <f t="shared" si="106"/>
        <v/>
      </c>
      <c r="C2246" s="10">
        <f t="shared" si="107"/>
        <v>44109</v>
      </c>
      <c r="D2246">
        <v>2009016</v>
      </c>
      <c r="E2246" t="s">
        <v>144</v>
      </c>
      <c r="F2246" s="6">
        <v>44113</v>
      </c>
      <c r="H2246" t="s">
        <v>192</v>
      </c>
      <c r="I2246" t="s">
        <v>120</v>
      </c>
    </row>
    <row r="2247" spans="1:9" x14ac:dyDescent="0.25">
      <c r="A2247" s="8" t="str">
        <f t="shared" si="105"/>
        <v>2009017.Y02</v>
      </c>
      <c r="B2247" s="9" t="str">
        <f t="shared" si="106"/>
        <v/>
      </c>
      <c r="C2247" s="10">
        <f t="shared" si="107"/>
        <v>44109</v>
      </c>
      <c r="D2247">
        <v>2009017</v>
      </c>
      <c r="E2247" t="s">
        <v>144</v>
      </c>
      <c r="F2247" s="6">
        <v>44113</v>
      </c>
      <c r="H2247" t="s">
        <v>188</v>
      </c>
      <c r="I2247" t="s">
        <v>120</v>
      </c>
    </row>
    <row r="2248" spans="1:9" x14ac:dyDescent="0.25">
      <c r="A2248" s="8" t="str">
        <f t="shared" si="105"/>
        <v>2009018.X01</v>
      </c>
      <c r="B2248" s="9" t="str">
        <f t="shared" si="106"/>
        <v/>
      </c>
      <c r="C2248" s="10">
        <f t="shared" si="107"/>
        <v>44102</v>
      </c>
      <c r="D2248">
        <v>2009018</v>
      </c>
      <c r="E2248" t="s">
        <v>161</v>
      </c>
      <c r="F2248" s="6">
        <v>44106</v>
      </c>
      <c r="H2248" t="s">
        <v>189</v>
      </c>
      <c r="I2248" t="s">
        <v>120</v>
      </c>
    </row>
    <row r="2249" spans="1:9" x14ac:dyDescent="0.25">
      <c r="A2249" s="8" t="str">
        <f t="shared" si="105"/>
        <v>2009018.H00</v>
      </c>
      <c r="B2249" s="9" t="str">
        <f t="shared" si="106"/>
        <v/>
      </c>
      <c r="C2249" s="10">
        <f t="shared" si="107"/>
        <v>44102</v>
      </c>
      <c r="D2249">
        <v>2009018</v>
      </c>
      <c r="E2249" t="s">
        <v>122</v>
      </c>
      <c r="F2249" s="6">
        <v>44106</v>
      </c>
      <c r="H2249" t="s">
        <v>189</v>
      </c>
      <c r="I2249" t="s">
        <v>120</v>
      </c>
    </row>
    <row r="2250" spans="1:9" x14ac:dyDescent="0.25">
      <c r="A2250" s="8" t="str">
        <f t="shared" si="105"/>
        <v>2009019.H00</v>
      </c>
      <c r="B2250" s="9" t="str">
        <f t="shared" si="106"/>
        <v/>
      </c>
      <c r="C2250" s="10">
        <f t="shared" si="107"/>
        <v>44102</v>
      </c>
      <c r="D2250">
        <v>2009019</v>
      </c>
      <c r="E2250" t="s">
        <v>122</v>
      </c>
      <c r="F2250" s="6">
        <v>44106</v>
      </c>
      <c r="H2250" t="s">
        <v>189</v>
      </c>
      <c r="I2250" t="s">
        <v>120</v>
      </c>
    </row>
    <row r="2251" spans="1:9" x14ac:dyDescent="0.25">
      <c r="A2251" s="8" t="str">
        <f t="shared" si="105"/>
        <v>2009020.H00</v>
      </c>
      <c r="B2251" s="9" t="str">
        <f t="shared" si="106"/>
        <v/>
      </c>
      <c r="C2251" s="10">
        <f t="shared" si="107"/>
        <v>44102</v>
      </c>
      <c r="D2251">
        <v>2009020</v>
      </c>
      <c r="E2251" t="s">
        <v>122</v>
      </c>
      <c r="F2251" s="6">
        <v>44106</v>
      </c>
      <c r="H2251" t="s">
        <v>189</v>
      </c>
      <c r="I2251" t="s">
        <v>120</v>
      </c>
    </row>
    <row r="2252" spans="1:9" x14ac:dyDescent="0.25">
      <c r="A2252" s="8" t="str">
        <f t="shared" si="105"/>
        <v>2009021.HP2</v>
      </c>
      <c r="B2252" s="9" t="str">
        <f t="shared" si="106"/>
        <v/>
      </c>
      <c r="C2252" s="10">
        <f t="shared" si="107"/>
        <v>44102</v>
      </c>
      <c r="D2252">
        <v>2009021</v>
      </c>
      <c r="E2252" t="s">
        <v>138</v>
      </c>
      <c r="F2252" s="6">
        <v>44106</v>
      </c>
      <c r="H2252" t="s">
        <v>188</v>
      </c>
      <c r="I2252" t="s">
        <v>120</v>
      </c>
    </row>
    <row r="2253" spans="1:9" x14ac:dyDescent="0.25">
      <c r="A2253" s="8" t="str">
        <f t="shared" si="105"/>
        <v>2009022.0P0</v>
      </c>
      <c r="B2253" s="9" t="str">
        <f t="shared" si="106"/>
        <v/>
      </c>
      <c r="C2253" s="10">
        <f t="shared" si="107"/>
        <v>44116</v>
      </c>
      <c r="D2253">
        <v>2009022</v>
      </c>
      <c r="E2253" t="s">
        <v>119</v>
      </c>
      <c r="F2253" s="6">
        <v>44120</v>
      </c>
      <c r="H2253" t="s">
        <v>191</v>
      </c>
      <c r="I2253" t="s">
        <v>120</v>
      </c>
    </row>
    <row r="2254" spans="1:9" x14ac:dyDescent="0.25">
      <c r="A2254" s="8" t="str">
        <f t="shared" si="105"/>
        <v>2009023.000</v>
      </c>
      <c r="B2254" s="9" t="str">
        <f t="shared" si="106"/>
        <v/>
      </c>
      <c r="C2254" s="10">
        <f t="shared" si="107"/>
        <v>44095</v>
      </c>
      <c r="D2254">
        <v>2009023</v>
      </c>
      <c r="E2254">
        <v>0</v>
      </c>
      <c r="F2254" s="6">
        <v>44099</v>
      </c>
      <c r="H2254" t="s">
        <v>188</v>
      </c>
      <c r="I2254" t="s">
        <v>120</v>
      </c>
    </row>
    <row r="2255" spans="1:9" x14ac:dyDescent="0.25">
      <c r="A2255" s="8" t="str">
        <f t="shared" si="105"/>
        <v>2009024.XP0</v>
      </c>
      <c r="B2255" s="9" t="str">
        <f t="shared" si="106"/>
        <v>1</v>
      </c>
      <c r="C2255" s="10">
        <f t="shared" si="107"/>
        <v>44088</v>
      </c>
      <c r="D2255">
        <v>2009024</v>
      </c>
      <c r="E2255" t="s">
        <v>181</v>
      </c>
      <c r="F2255" s="6">
        <v>44092</v>
      </c>
      <c r="G2255">
        <v>1</v>
      </c>
      <c r="H2255" t="s">
        <v>266</v>
      </c>
      <c r="I2255" t="s">
        <v>120</v>
      </c>
    </row>
    <row r="2256" spans="1:9" x14ac:dyDescent="0.25">
      <c r="A2256" s="8" t="str">
        <f t="shared" si="105"/>
        <v>2009025.0P0</v>
      </c>
      <c r="B2256" s="9" t="str">
        <f t="shared" si="106"/>
        <v/>
      </c>
      <c r="C2256" s="10">
        <f t="shared" si="107"/>
        <v>44095</v>
      </c>
      <c r="D2256">
        <v>2009025</v>
      </c>
      <c r="E2256" t="s">
        <v>119</v>
      </c>
      <c r="F2256" s="6">
        <v>44099</v>
      </c>
      <c r="H2256" t="s">
        <v>191</v>
      </c>
      <c r="I2256" t="s">
        <v>120</v>
      </c>
    </row>
    <row r="2257" spans="1:9" x14ac:dyDescent="0.25">
      <c r="A2257" s="8" t="str">
        <f t="shared" si="105"/>
        <v>2009026.0P0</v>
      </c>
      <c r="B2257" s="9" t="str">
        <f t="shared" si="106"/>
        <v>4</v>
      </c>
      <c r="C2257" s="10">
        <f t="shared" si="107"/>
        <v>44098</v>
      </c>
      <c r="D2257">
        <v>2009026</v>
      </c>
      <c r="E2257" t="s">
        <v>119</v>
      </c>
      <c r="F2257" s="6">
        <v>44099</v>
      </c>
      <c r="G2257">
        <v>4</v>
      </c>
      <c r="H2257" t="s">
        <v>189</v>
      </c>
      <c r="I2257" t="s">
        <v>120</v>
      </c>
    </row>
    <row r="2258" spans="1:9" x14ac:dyDescent="0.25">
      <c r="A2258" s="8" t="str">
        <f t="shared" si="105"/>
        <v>2009026.000</v>
      </c>
      <c r="B2258" s="9" t="str">
        <f t="shared" si="106"/>
        <v>4</v>
      </c>
      <c r="C2258" s="10">
        <f t="shared" si="107"/>
        <v>44098</v>
      </c>
      <c r="D2258">
        <v>2009026</v>
      </c>
      <c r="E2258">
        <v>0</v>
      </c>
      <c r="F2258" s="6">
        <v>44099</v>
      </c>
      <c r="G2258">
        <v>4</v>
      </c>
      <c r="H2258" t="s">
        <v>189</v>
      </c>
      <c r="I2258" t="s">
        <v>120</v>
      </c>
    </row>
    <row r="2259" spans="1:9" x14ac:dyDescent="0.25">
      <c r="A2259" s="8" t="str">
        <f t="shared" si="105"/>
        <v>2009027.000</v>
      </c>
      <c r="B2259" s="9" t="str">
        <f t="shared" si="106"/>
        <v>4</v>
      </c>
      <c r="C2259" s="10">
        <f t="shared" si="107"/>
        <v>44098</v>
      </c>
      <c r="D2259">
        <v>2009027</v>
      </c>
      <c r="E2259">
        <v>0</v>
      </c>
      <c r="F2259" s="6">
        <v>44099</v>
      </c>
      <c r="G2259">
        <v>4</v>
      </c>
      <c r="H2259" t="s">
        <v>189</v>
      </c>
      <c r="I2259" t="s">
        <v>120</v>
      </c>
    </row>
    <row r="2260" spans="1:9" x14ac:dyDescent="0.25">
      <c r="A2260" s="8" t="str">
        <f t="shared" si="105"/>
        <v>2009028.000</v>
      </c>
      <c r="B2260" s="9" t="str">
        <f t="shared" si="106"/>
        <v/>
      </c>
      <c r="C2260" s="10">
        <f t="shared" si="107"/>
        <v>44095</v>
      </c>
      <c r="D2260">
        <v>2009028</v>
      </c>
      <c r="E2260">
        <v>0</v>
      </c>
      <c r="F2260" s="6">
        <v>44099</v>
      </c>
      <c r="H2260" t="s">
        <v>189</v>
      </c>
      <c r="I2260" t="s">
        <v>120</v>
      </c>
    </row>
    <row r="2261" spans="1:9" x14ac:dyDescent="0.25">
      <c r="A2261" s="8" t="str">
        <f t="shared" si="105"/>
        <v>2009029.000</v>
      </c>
      <c r="B2261" s="9" t="str">
        <f t="shared" si="106"/>
        <v/>
      </c>
      <c r="C2261" s="10">
        <f t="shared" si="107"/>
        <v>44095</v>
      </c>
      <c r="D2261">
        <v>2009029</v>
      </c>
      <c r="E2261">
        <v>0</v>
      </c>
      <c r="F2261" s="6">
        <v>44099</v>
      </c>
      <c r="H2261" t="s">
        <v>189</v>
      </c>
      <c r="I2261" t="s">
        <v>120</v>
      </c>
    </row>
    <row r="2262" spans="1:9" x14ac:dyDescent="0.25">
      <c r="A2262" s="8" t="str">
        <f t="shared" si="105"/>
        <v>2009030.Y00</v>
      </c>
      <c r="B2262" s="9" t="str">
        <f t="shared" si="106"/>
        <v/>
      </c>
      <c r="C2262" s="10">
        <f t="shared" si="107"/>
        <v>44109</v>
      </c>
      <c r="D2262">
        <v>2009030</v>
      </c>
      <c r="E2262" t="s">
        <v>130</v>
      </c>
      <c r="F2262" s="6">
        <v>44113</v>
      </c>
      <c r="H2262" t="s">
        <v>189</v>
      </c>
      <c r="I2262" t="s">
        <v>120</v>
      </c>
    </row>
    <row r="2263" spans="1:9" x14ac:dyDescent="0.25">
      <c r="A2263" s="8" t="str">
        <f t="shared" si="105"/>
        <v>2009031.0P0</v>
      </c>
      <c r="B2263" s="9" t="str">
        <f t="shared" si="106"/>
        <v/>
      </c>
      <c r="C2263" s="10">
        <f t="shared" si="107"/>
        <v>44116</v>
      </c>
      <c r="D2263">
        <v>2009031</v>
      </c>
      <c r="E2263" t="s">
        <v>119</v>
      </c>
      <c r="F2263" s="6">
        <v>44120</v>
      </c>
      <c r="H2263" t="s">
        <v>189</v>
      </c>
      <c r="I2263" t="s">
        <v>120</v>
      </c>
    </row>
    <row r="2264" spans="1:9" x14ac:dyDescent="0.25">
      <c r="A2264" s="8" t="str">
        <f t="shared" si="105"/>
        <v>2009031.Y00</v>
      </c>
      <c r="B2264" s="9" t="str">
        <f t="shared" si="106"/>
        <v/>
      </c>
      <c r="C2264" s="10">
        <f t="shared" si="107"/>
        <v>44116</v>
      </c>
      <c r="D2264">
        <v>2009031</v>
      </c>
      <c r="E2264" t="s">
        <v>130</v>
      </c>
      <c r="F2264" s="6">
        <v>44120</v>
      </c>
      <c r="H2264" t="s">
        <v>189</v>
      </c>
      <c r="I2264" t="s">
        <v>120</v>
      </c>
    </row>
    <row r="2265" spans="1:9" x14ac:dyDescent="0.25">
      <c r="A2265" s="8" t="str">
        <f t="shared" si="105"/>
        <v>2009031.000</v>
      </c>
      <c r="B2265" s="9" t="str">
        <f t="shared" si="106"/>
        <v/>
      </c>
      <c r="C2265" s="10">
        <f t="shared" si="107"/>
        <v>44116</v>
      </c>
      <c r="D2265">
        <v>2009031</v>
      </c>
      <c r="E2265">
        <v>0</v>
      </c>
      <c r="F2265" s="6">
        <v>44120</v>
      </c>
      <c r="H2265" t="s">
        <v>189</v>
      </c>
      <c r="I2265" t="s">
        <v>120</v>
      </c>
    </row>
    <row r="2266" spans="1:9" x14ac:dyDescent="0.25">
      <c r="A2266" s="8" t="str">
        <f t="shared" si="105"/>
        <v>2009032.HPL</v>
      </c>
      <c r="B2266" s="9" t="str">
        <f t="shared" si="106"/>
        <v/>
      </c>
      <c r="C2266" s="10">
        <f t="shared" si="107"/>
        <v>44102</v>
      </c>
      <c r="D2266">
        <v>2009032</v>
      </c>
      <c r="E2266" t="s">
        <v>128</v>
      </c>
      <c r="F2266" s="6">
        <v>44106</v>
      </c>
      <c r="H2266" t="s">
        <v>189</v>
      </c>
      <c r="I2266" t="s">
        <v>120</v>
      </c>
    </row>
    <row r="2267" spans="1:9" x14ac:dyDescent="0.25">
      <c r="A2267" s="8" t="str">
        <f t="shared" si="105"/>
        <v>2009033.000</v>
      </c>
      <c r="B2267" s="9" t="str">
        <f t="shared" si="106"/>
        <v/>
      </c>
      <c r="C2267" s="10">
        <f t="shared" si="107"/>
        <v>44095</v>
      </c>
      <c r="D2267">
        <v>2009033</v>
      </c>
      <c r="E2267">
        <v>0</v>
      </c>
      <c r="F2267" s="6">
        <v>44099</v>
      </c>
      <c r="H2267" t="s">
        <v>189</v>
      </c>
      <c r="I2267" t="s">
        <v>120</v>
      </c>
    </row>
    <row r="2268" spans="1:9" x14ac:dyDescent="0.25">
      <c r="A2268" s="8" t="str">
        <f t="shared" si="105"/>
        <v>2009034.UP2</v>
      </c>
      <c r="B2268" s="9" t="str">
        <f t="shared" si="106"/>
        <v/>
      </c>
      <c r="C2268" s="10">
        <f t="shared" si="107"/>
        <v>44109</v>
      </c>
      <c r="D2268">
        <v>2009034</v>
      </c>
      <c r="E2268" t="s">
        <v>160</v>
      </c>
      <c r="F2268" s="6">
        <v>44113</v>
      </c>
      <c r="H2268" t="s">
        <v>188</v>
      </c>
      <c r="I2268" t="s">
        <v>120</v>
      </c>
    </row>
    <row r="2269" spans="1:9" x14ac:dyDescent="0.25">
      <c r="A2269" s="8" t="str">
        <f t="shared" si="105"/>
        <v>2009035.0P0</v>
      </c>
      <c r="B2269" s="9" t="str">
        <f t="shared" si="106"/>
        <v/>
      </c>
      <c r="C2269" s="10">
        <f t="shared" si="107"/>
        <v>44095</v>
      </c>
      <c r="D2269">
        <v>2009035</v>
      </c>
      <c r="E2269" t="s">
        <v>119</v>
      </c>
      <c r="F2269" s="6">
        <v>44099</v>
      </c>
      <c r="H2269" t="s">
        <v>189</v>
      </c>
      <c r="I2269" t="s">
        <v>120</v>
      </c>
    </row>
    <row r="2270" spans="1:9" x14ac:dyDescent="0.25">
      <c r="A2270" s="8" t="str">
        <f t="shared" si="105"/>
        <v>2009036.H00</v>
      </c>
      <c r="B2270" s="9" t="str">
        <f t="shared" si="106"/>
        <v/>
      </c>
      <c r="C2270" s="10">
        <f t="shared" si="107"/>
        <v>44102</v>
      </c>
      <c r="D2270">
        <v>2009036</v>
      </c>
      <c r="E2270" t="s">
        <v>122</v>
      </c>
      <c r="F2270" s="6">
        <v>44106</v>
      </c>
      <c r="H2270" t="s">
        <v>191</v>
      </c>
      <c r="I2270" t="s">
        <v>120</v>
      </c>
    </row>
    <row r="2271" spans="1:9" x14ac:dyDescent="0.25">
      <c r="A2271" s="8" t="str">
        <f t="shared" si="105"/>
        <v>2009037.000</v>
      </c>
      <c r="B2271" s="9" t="str">
        <f t="shared" si="106"/>
        <v/>
      </c>
      <c r="C2271" s="10">
        <f t="shared" si="107"/>
        <v>44095</v>
      </c>
      <c r="D2271">
        <v>2009037</v>
      </c>
      <c r="E2271">
        <v>0</v>
      </c>
      <c r="F2271" s="6">
        <v>44099</v>
      </c>
      <c r="H2271" t="s">
        <v>192</v>
      </c>
      <c r="I2271" t="s">
        <v>120</v>
      </c>
    </row>
    <row r="2272" spans="1:9" x14ac:dyDescent="0.25">
      <c r="A2272" s="8" t="str">
        <f t="shared" si="105"/>
        <v>2009038.X00</v>
      </c>
      <c r="B2272" s="9" t="str">
        <f t="shared" si="106"/>
        <v>4</v>
      </c>
      <c r="C2272" s="10">
        <f t="shared" si="107"/>
        <v>44091</v>
      </c>
      <c r="D2272">
        <v>2009038</v>
      </c>
      <c r="E2272" t="s">
        <v>225</v>
      </c>
      <c r="F2272" s="6">
        <v>44092</v>
      </c>
      <c r="G2272">
        <v>4</v>
      </c>
      <c r="H2272" t="s">
        <v>189</v>
      </c>
      <c r="I2272" t="s">
        <v>120</v>
      </c>
    </row>
    <row r="2273" spans="1:9" x14ac:dyDescent="0.25">
      <c r="A2273" s="8" t="str">
        <f t="shared" si="105"/>
        <v>2009039.000</v>
      </c>
      <c r="B2273" s="9" t="str">
        <f t="shared" si="106"/>
        <v/>
      </c>
      <c r="C2273" s="10">
        <f t="shared" si="107"/>
        <v>44095</v>
      </c>
      <c r="D2273">
        <v>2009039</v>
      </c>
      <c r="E2273">
        <v>0</v>
      </c>
      <c r="F2273" s="6">
        <v>44099</v>
      </c>
      <c r="H2273" t="s">
        <v>189</v>
      </c>
      <c r="I2273" t="s">
        <v>120</v>
      </c>
    </row>
    <row r="2274" spans="1:9" x14ac:dyDescent="0.25">
      <c r="A2274" s="8" t="str">
        <f t="shared" si="105"/>
        <v>2009042.NI0</v>
      </c>
      <c r="B2274" s="9" t="str">
        <f t="shared" si="106"/>
        <v>3</v>
      </c>
      <c r="C2274" s="10">
        <f t="shared" si="107"/>
        <v>44076</v>
      </c>
      <c r="D2274">
        <v>2009042</v>
      </c>
      <c r="E2274" t="s">
        <v>185</v>
      </c>
      <c r="F2274" s="6">
        <v>44078</v>
      </c>
      <c r="G2274">
        <v>3</v>
      </c>
      <c r="H2274" t="s">
        <v>189</v>
      </c>
      <c r="I2274" t="s">
        <v>120</v>
      </c>
    </row>
    <row r="2275" spans="1:9" x14ac:dyDescent="0.25">
      <c r="A2275" s="8" t="str">
        <f t="shared" si="105"/>
        <v>2009043.UP0</v>
      </c>
      <c r="B2275" s="9" t="str">
        <f t="shared" si="106"/>
        <v/>
      </c>
      <c r="C2275" s="10">
        <f t="shared" si="107"/>
        <v>44109</v>
      </c>
      <c r="D2275">
        <v>2009043</v>
      </c>
      <c r="E2275" t="s">
        <v>136</v>
      </c>
      <c r="F2275" s="6">
        <v>44113</v>
      </c>
      <c r="H2275" t="s">
        <v>189</v>
      </c>
      <c r="I2275" t="s">
        <v>120</v>
      </c>
    </row>
    <row r="2276" spans="1:9" x14ac:dyDescent="0.25">
      <c r="A2276" s="8" t="str">
        <f t="shared" si="105"/>
        <v>2009044.N00</v>
      </c>
      <c r="B2276" s="9" t="str">
        <f t="shared" si="106"/>
        <v/>
      </c>
      <c r="C2276" s="10">
        <f t="shared" si="107"/>
        <v>44074</v>
      </c>
      <c r="D2276">
        <v>2009044</v>
      </c>
      <c r="E2276" t="s">
        <v>125</v>
      </c>
      <c r="F2276" s="6">
        <v>44078</v>
      </c>
      <c r="H2276" t="s">
        <v>194</v>
      </c>
      <c r="I2276" t="s">
        <v>120</v>
      </c>
    </row>
    <row r="2277" spans="1:9" x14ac:dyDescent="0.25">
      <c r="A2277" s="8" t="str">
        <f t="shared" si="105"/>
        <v>2009045.XP0</v>
      </c>
      <c r="B2277" s="9" t="str">
        <f t="shared" si="106"/>
        <v>4</v>
      </c>
      <c r="C2277" s="10">
        <f t="shared" si="107"/>
        <v>44105</v>
      </c>
      <c r="D2277">
        <v>2009045</v>
      </c>
      <c r="E2277" t="s">
        <v>181</v>
      </c>
      <c r="F2277" s="6">
        <v>44106</v>
      </c>
      <c r="G2277">
        <v>4</v>
      </c>
      <c r="H2277" t="s">
        <v>188</v>
      </c>
      <c r="I2277" t="s">
        <v>120</v>
      </c>
    </row>
    <row r="2278" spans="1:9" x14ac:dyDescent="0.25">
      <c r="A2278" s="8" t="str">
        <f t="shared" si="105"/>
        <v>2009045.000</v>
      </c>
      <c r="B2278" s="9" t="str">
        <f t="shared" si="106"/>
        <v>4</v>
      </c>
      <c r="C2278" s="10">
        <f t="shared" si="107"/>
        <v>44105</v>
      </c>
      <c r="D2278">
        <v>2009045</v>
      </c>
      <c r="E2278">
        <v>0</v>
      </c>
      <c r="F2278" s="6">
        <v>44106</v>
      </c>
      <c r="G2278">
        <v>4</v>
      </c>
      <c r="H2278" t="s">
        <v>188</v>
      </c>
      <c r="I2278" t="s">
        <v>120</v>
      </c>
    </row>
    <row r="2279" spans="1:9" x14ac:dyDescent="0.25">
      <c r="A2279" s="8" t="str">
        <f t="shared" si="105"/>
        <v>2009046.000</v>
      </c>
      <c r="B2279" s="9" t="str">
        <f t="shared" si="106"/>
        <v>4</v>
      </c>
      <c r="C2279" s="10">
        <f t="shared" si="107"/>
        <v>44098</v>
      </c>
      <c r="D2279">
        <v>2009046</v>
      </c>
      <c r="E2279">
        <v>0</v>
      </c>
      <c r="F2279" s="6">
        <v>44099</v>
      </c>
      <c r="G2279">
        <v>4</v>
      </c>
      <c r="H2279" t="s">
        <v>189</v>
      </c>
      <c r="I2279" t="s">
        <v>120</v>
      </c>
    </row>
    <row r="2280" spans="1:9" x14ac:dyDescent="0.25">
      <c r="A2280" s="8" t="str">
        <f t="shared" si="105"/>
        <v>2009047.X00</v>
      </c>
      <c r="B2280" s="9" t="str">
        <f t="shared" si="106"/>
        <v>4</v>
      </c>
      <c r="C2280" s="10">
        <f t="shared" si="107"/>
        <v>44105</v>
      </c>
      <c r="D2280">
        <v>2009047</v>
      </c>
      <c r="E2280" t="s">
        <v>225</v>
      </c>
      <c r="F2280" s="6">
        <v>44106</v>
      </c>
      <c r="G2280">
        <v>4</v>
      </c>
      <c r="H2280" t="s">
        <v>189</v>
      </c>
      <c r="I2280" t="s">
        <v>120</v>
      </c>
    </row>
    <row r="2281" spans="1:9" x14ac:dyDescent="0.25">
      <c r="A2281" s="8" t="str">
        <f t="shared" si="105"/>
        <v>2009048.H00</v>
      </c>
      <c r="B2281" s="9" t="str">
        <f t="shared" si="106"/>
        <v/>
      </c>
      <c r="C2281" s="10">
        <f t="shared" si="107"/>
        <v>44102</v>
      </c>
      <c r="D2281">
        <v>2009048</v>
      </c>
      <c r="E2281" t="s">
        <v>122</v>
      </c>
      <c r="F2281" s="6">
        <v>44106</v>
      </c>
      <c r="H2281" t="s">
        <v>189</v>
      </c>
      <c r="I2281" t="s">
        <v>120</v>
      </c>
    </row>
    <row r="2282" spans="1:9" x14ac:dyDescent="0.25">
      <c r="A2282" s="8" t="str">
        <f t="shared" si="105"/>
        <v>2009049.Y02</v>
      </c>
      <c r="B2282" s="9" t="str">
        <f t="shared" si="106"/>
        <v>4</v>
      </c>
      <c r="C2282" s="10">
        <f t="shared" si="107"/>
        <v>44147</v>
      </c>
      <c r="D2282">
        <v>2009049</v>
      </c>
      <c r="E2282" t="s">
        <v>144</v>
      </c>
      <c r="F2282" s="6">
        <v>44148</v>
      </c>
      <c r="G2282">
        <v>4</v>
      </c>
      <c r="H2282" t="s">
        <v>192</v>
      </c>
      <c r="I2282" t="s">
        <v>120</v>
      </c>
    </row>
    <row r="2283" spans="1:9" x14ac:dyDescent="0.25">
      <c r="A2283" s="8" t="str">
        <f t="shared" si="105"/>
        <v>2009051.NV0</v>
      </c>
      <c r="B2283" s="9" t="str">
        <f t="shared" si="106"/>
        <v/>
      </c>
      <c r="C2283" s="10">
        <f t="shared" si="107"/>
        <v>44074</v>
      </c>
      <c r="D2283">
        <v>2009051</v>
      </c>
      <c r="E2283" t="s">
        <v>126</v>
      </c>
      <c r="F2283" s="6">
        <v>44078</v>
      </c>
      <c r="H2283" t="s">
        <v>188</v>
      </c>
      <c r="I2283" t="s">
        <v>120</v>
      </c>
    </row>
    <row r="2284" spans="1:9" x14ac:dyDescent="0.25">
      <c r="A2284" s="8" t="str">
        <f t="shared" si="105"/>
        <v>2009052.C00</v>
      </c>
      <c r="B2284" s="9" t="str">
        <f t="shared" si="106"/>
        <v/>
      </c>
      <c r="C2284" s="10">
        <f t="shared" si="107"/>
        <v>44116</v>
      </c>
      <c r="D2284">
        <v>2009052</v>
      </c>
      <c r="E2284" t="s">
        <v>147</v>
      </c>
      <c r="F2284" s="6">
        <v>44120</v>
      </c>
      <c r="H2284" t="s">
        <v>189</v>
      </c>
      <c r="I2284" t="s">
        <v>120</v>
      </c>
    </row>
    <row r="2285" spans="1:9" x14ac:dyDescent="0.25">
      <c r="A2285" s="8" t="str">
        <f t="shared" si="105"/>
        <v>2009053.0P0</v>
      </c>
      <c r="B2285" s="9" t="str">
        <f t="shared" si="106"/>
        <v/>
      </c>
      <c r="C2285" s="10">
        <f t="shared" si="107"/>
        <v>44095</v>
      </c>
      <c r="D2285">
        <v>2009053</v>
      </c>
      <c r="E2285" t="s">
        <v>119</v>
      </c>
      <c r="F2285" s="6">
        <v>44099</v>
      </c>
      <c r="H2285" t="s">
        <v>189</v>
      </c>
      <c r="I2285" t="s">
        <v>120</v>
      </c>
    </row>
    <row r="2286" spans="1:9" x14ac:dyDescent="0.25">
      <c r="A2286" s="8" t="str">
        <f t="shared" si="105"/>
        <v>2009054.HP1</v>
      </c>
      <c r="B2286" s="9" t="str">
        <f t="shared" si="106"/>
        <v/>
      </c>
      <c r="C2286" s="10">
        <f t="shared" si="107"/>
        <v>44102</v>
      </c>
      <c r="D2286">
        <v>2009054</v>
      </c>
      <c r="E2286" t="s">
        <v>129</v>
      </c>
      <c r="F2286" s="6">
        <v>44106</v>
      </c>
      <c r="H2286" t="s">
        <v>192</v>
      </c>
      <c r="I2286" t="s">
        <v>120</v>
      </c>
    </row>
    <row r="2287" spans="1:9" x14ac:dyDescent="0.25">
      <c r="A2287" s="8" t="str">
        <f t="shared" si="105"/>
        <v>2009055.000</v>
      </c>
      <c r="B2287" s="9" t="str">
        <f t="shared" si="106"/>
        <v/>
      </c>
      <c r="C2287" s="10">
        <f t="shared" si="107"/>
        <v>44095</v>
      </c>
      <c r="D2287">
        <v>2009055</v>
      </c>
      <c r="E2287">
        <v>0</v>
      </c>
      <c r="F2287" s="6">
        <v>44099</v>
      </c>
      <c r="H2287" t="s">
        <v>192</v>
      </c>
      <c r="I2287" t="s">
        <v>120</v>
      </c>
    </row>
    <row r="2288" spans="1:9" x14ac:dyDescent="0.25">
      <c r="A2288" s="8" t="str">
        <f t="shared" si="105"/>
        <v>2009056.000</v>
      </c>
      <c r="B2288" s="9" t="str">
        <f t="shared" si="106"/>
        <v/>
      </c>
      <c r="C2288" s="10">
        <f t="shared" si="107"/>
        <v>44095</v>
      </c>
      <c r="D2288">
        <v>2009056</v>
      </c>
      <c r="E2288">
        <v>0</v>
      </c>
      <c r="F2288" s="6">
        <v>44099</v>
      </c>
      <c r="H2288" t="s">
        <v>192</v>
      </c>
      <c r="I2288" t="s">
        <v>120</v>
      </c>
    </row>
    <row r="2289" spans="1:9" x14ac:dyDescent="0.25">
      <c r="A2289" s="8" t="str">
        <f t="shared" si="105"/>
        <v>2009057.000</v>
      </c>
      <c r="B2289" s="9" t="str">
        <f t="shared" si="106"/>
        <v>4</v>
      </c>
      <c r="C2289" s="10">
        <f t="shared" si="107"/>
        <v>44098</v>
      </c>
      <c r="D2289">
        <v>2009057</v>
      </c>
      <c r="E2289">
        <v>0</v>
      </c>
      <c r="F2289" s="6">
        <v>44099</v>
      </c>
      <c r="G2289">
        <v>4</v>
      </c>
      <c r="H2289" t="s">
        <v>188</v>
      </c>
      <c r="I2289" t="s">
        <v>120</v>
      </c>
    </row>
    <row r="2290" spans="1:9" x14ac:dyDescent="0.25">
      <c r="A2290" s="8" t="str">
        <f t="shared" si="105"/>
        <v>2009058.UP1</v>
      </c>
      <c r="B2290" s="9" t="str">
        <f t="shared" si="106"/>
        <v/>
      </c>
      <c r="C2290" s="10">
        <f t="shared" si="107"/>
        <v>44109</v>
      </c>
      <c r="D2290">
        <v>2009058</v>
      </c>
      <c r="E2290" t="s">
        <v>164</v>
      </c>
      <c r="F2290" s="6">
        <v>44113</v>
      </c>
      <c r="H2290" t="s">
        <v>188</v>
      </c>
      <c r="I2290" t="s">
        <v>120</v>
      </c>
    </row>
    <row r="2291" spans="1:9" x14ac:dyDescent="0.25">
      <c r="A2291" s="8" t="str">
        <f t="shared" si="105"/>
        <v>2009059.Y0D</v>
      </c>
      <c r="B2291" s="9" t="str">
        <f t="shared" si="106"/>
        <v>4</v>
      </c>
      <c r="C2291" s="10">
        <f t="shared" si="107"/>
        <v>44112</v>
      </c>
      <c r="D2291">
        <v>2009059</v>
      </c>
      <c r="E2291" t="s">
        <v>157</v>
      </c>
      <c r="F2291" s="6">
        <v>44113</v>
      </c>
      <c r="G2291">
        <v>4</v>
      </c>
      <c r="H2291" t="s">
        <v>189</v>
      </c>
      <c r="I2291" t="s">
        <v>120</v>
      </c>
    </row>
    <row r="2292" spans="1:9" x14ac:dyDescent="0.25">
      <c r="A2292" s="8" t="str">
        <f t="shared" si="105"/>
        <v>2009060.XP0</v>
      </c>
      <c r="B2292" s="9" t="str">
        <f t="shared" si="106"/>
        <v>4</v>
      </c>
      <c r="C2292" s="10">
        <f t="shared" si="107"/>
        <v>44105</v>
      </c>
      <c r="D2292">
        <v>2009060</v>
      </c>
      <c r="E2292" t="s">
        <v>181</v>
      </c>
      <c r="F2292" s="6">
        <v>44106</v>
      </c>
      <c r="G2292">
        <v>4</v>
      </c>
      <c r="H2292" t="s">
        <v>191</v>
      </c>
      <c r="I2292" t="s">
        <v>120</v>
      </c>
    </row>
    <row r="2293" spans="1:9" x14ac:dyDescent="0.25">
      <c r="A2293" s="8" t="str">
        <f t="shared" si="105"/>
        <v>2009061.Y00</v>
      </c>
      <c r="B2293" s="9" t="str">
        <f t="shared" si="106"/>
        <v/>
      </c>
      <c r="C2293" s="10">
        <f t="shared" si="107"/>
        <v>44102</v>
      </c>
      <c r="D2293">
        <v>2009061</v>
      </c>
      <c r="E2293" t="s">
        <v>130</v>
      </c>
      <c r="F2293" s="6">
        <v>44106</v>
      </c>
      <c r="H2293" t="s">
        <v>191</v>
      </c>
      <c r="I2293" t="s">
        <v>120</v>
      </c>
    </row>
    <row r="2294" spans="1:9" x14ac:dyDescent="0.25">
      <c r="A2294" s="8" t="str">
        <f t="shared" si="105"/>
        <v>2009062.000</v>
      </c>
      <c r="B2294" s="9" t="str">
        <f t="shared" si="106"/>
        <v>2</v>
      </c>
      <c r="C2294" s="10">
        <f t="shared" si="107"/>
        <v>44110</v>
      </c>
      <c r="D2294">
        <v>2009062</v>
      </c>
      <c r="E2294">
        <v>0</v>
      </c>
      <c r="F2294" s="6">
        <v>44113</v>
      </c>
      <c r="G2294">
        <v>2</v>
      </c>
      <c r="H2294" t="s">
        <v>189</v>
      </c>
      <c r="I2294" t="s">
        <v>120</v>
      </c>
    </row>
    <row r="2295" spans="1:9" x14ac:dyDescent="0.25">
      <c r="A2295" s="8" t="str">
        <f t="shared" si="105"/>
        <v>2009063.H01</v>
      </c>
      <c r="B2295" s="9" t="str">
        <f t="shared" si="106"/>
        <v>1</v>
      </c>
      <c r="C2295" s="10">
        <f t="shared" si="107"/>
        <v>44102</v>
      </c>
      <c r="D2295">
        <v>2009063</v>
      </c>
      <c r="E2295" t="s">
        <v>145</v>
      </c>
      <c r="F2295" s="6">
        <v>44106</v>
      </c>
      <c r="G2295">
        <v>1</v>
      </c>
      <c r="H2295" t="s">
        <v>189</v>
      </c>
      <c r="I2295" t="s">
        <v>120</v>
      </c>
    </row>
    <row r="2296" spans="1:9" x14ac:dyDescent="0.25">
      <c r="A2296" s="8" t="str">
        <f t="shared" ref="A2296:A2359" si="108">IF(D2296="","",IF(E2296=0,CONCATENATE(D2296,".",E2296,"00"),CONCATENATE(D2296,".",E2296)))</f>
        <v>2009064.Y00</v>
      </c>
      <c r="B2296" s="9" t="str">
        <f t="shared" ref="B2296:B2359" si="109">LEFT(G2296,1)</f>
        <v/>
      </c>
      <c r="C2296" s="10">
        <f t="shared" ref="C2296:C2359" si="110">IF(F2296="","",IF(B2296="",F2296-4,IF(B2296="1",F2296-4,IF(B2296="2",F2296-3,IF(B2296="3",F2296-2,IF(B2296="4",F2296-1,IF(B2296="V",F2296-7,IF(B2296="J",F2296-8,F2296))))))))</f>
        <v>44109</v>
      </c>
      <c r="D2296">
        <v>2009064</v>
      </c>
      <c r="E2296" t="s">
        <v>130</v>
      </c>
      <c r="F2296" s="6">
        <v>44113</v>
      </c>
      <c r="H2296" t="s">
        <v>191</v>
      </c>
      <c r="I2296" t="s">
        <v>120</v>
      </c>
    </row>
    <row r="2297" spans="1:9" x14ac:dyDescent="0.25">
      <c r="A2297" s="8" t="str">
        <f t="shared" si="108"/>
        <v>2009064.0P0</v>
      </c>
      <c r="B2297" s="9" t="str">
        <f t="shared" si="109"/>
        <v/>
      </c>
      <c r="C2297" s="10">
        <f t="shared" si="110"/>
        <v>44109</v>
      </c>
      <c r="D2297">
        <v>2009064</v>
      </c>
      <c r="E2297" t="s">
        <v>119</v>
      </c>
      <c r="F2297" s="6">
        <v>44113</v>
      </c>
      <c r="H2297" t="s">
        <v>191</v>
      </c>
      <c r="I2297" t="s">
        <v>120</v>
      </c>
    </row>
    <row r="2298" spans="1:9" x14ac:dyDescent="0.25">
      <c r="A2298" s="8" t="str">
        <f t="shared" si="108"/>
        <v>2009064.000</v>
      </c>
      <c r="B2298" s="9" t="str">
        <f t="shared" si="109"/>
        <v/>
      </c>
      <c r="C2298" s="10">
        <f t="shared" si="110"/>
        <v>44109</v>
      </c>
      <c r="D2298">
        <v>2009064</v>
      </c>
      <c r="E2298">
        <v>0</v>
      </c>
      <c r="F2298" s="6">
        <v>44113</v>
      </c>
      <c r="H2298" t="s">
        <v>191</v>
      </c>
      <c r="I2298" t="s">
        <v>120</v>
      </c>
    </row>
    <row r="2299" spans="1:9" x14ac:dyDescent="0.25">
      <c r="A2299" s="8" t="str">
        <f t="shared" si="108"/>
        <v>2009065.000</v>
      </c>
      <c r="B2299" s="9" t="str">
        <f t="shared" si="109"/>
        <v/>
      </c>
      <c r="C2299" s="10">
        <f t="shared" si="110"/>
        <v>44116</v>
      </c>
      <c r="D2299">
        <v>2009065</v>
      </c>
      <c r="E2299">
        <v>0</v>
      </c>
      <c r="F2299" s="6">
        <v>44120</v>
      </c>
      <c r="H2299" t="s">
        <v>191</v>
      </c>
      <c r="I2299" t="s">
        <v>120</v>
      </c>
    </row>
    <row r="2300" spans="1:9" x14ac:dyDescent="0.25">
      <c r="A2300" s="8" t="str">
        <f t="shared" si="108"/>
        <v>2009066.Y02</v>
      </c>
      <c r="B2300" s="9" t="str">
        <f t="shared" si="109"/>
        <v/>
      </c>
      <c r="C2300" s="10">
        <f t="shared" si="110"/>
        <v>44109</v>
      </c>
      <c r="D2300">
        <v>2009066</v>
      </c>
      <c r="E2300" t="s">
        <v>144</v>
      </c>
      <c r="F2300" s="6">
        <v>44113</v>
      </c>
      <c r="H2300" t="s">
        <v>188</v>
      </c>
      <c r="I2300" t="s">
        <v>120</v>
      </c>
    </row>
    <row r="2301" spans="1:9" x14ac:dyDescent="0.25">
      <c r="A2301" s="8" t="str">
        <f t="shared" si="108"/>
        <v>2009067.H00</v>
      </c>
      <c r="B2301" s="9" t="str">
        <f t="shared" si="109"/>
        <v/>
      </c>
      <c r="C2301" s="10">
        <f t="shared" si="110"/>
        <v>44102</v>
      </c>
      <c r="D2301">
        <v>2009067</v>
      </c>
      <c r="E2301" t="s">
        <v>122</v>
      </c>
      <c r="F2301" s="6">
        <v>44106</v>
      </c>
      <c r="H2301" t="s">
        <v>189</v>
      </c>
      <c r="I2301" t="s">
        <v>120</v>
      </c>
    </row>
    <row r="2302" spans="1:9" x14ac:dyDescent="0.25">
      <c r="A2302" s="8" t="str">
        <f t="shared" si="108"/>
        <v>2009067.HP0</v>
      </c>
      <c r="B2302" s="9" t="str">
        <f t="shared" si="109"/>
        <v/>
      </c>
      <c r="C2302" s="10">
        <f t="shared" si="110"/>
        <v>44102</v>
      </c>
      <c r="D2302">
        <v>2009067</v>
      </c>
      <c r="E2302" t="s">
        <v>121</v>
      </c>
      <c r="F2302" s="6">
        <v>44106</v>
      </c>
      <c r="H2302" t="s">
        <v>189</v>
      </c>
      <c r="I2302" t="s">
        <v>120</v>
      </c>
    </row>
    <row r="2303" spans="1:9" x14ac:dyDescent="0.25">
      <c r="A2303" s="8" t="str">
        <f t="shared" si="108"/>
        <v>2009068.0P0</v>
      </c>
      <c r="B2303" s="9" t="str">
        <f t="shared" si="109"/>
        <v>4</v>
      </c>
      <c r="C2303" s="10">
        <f t="shared" si="110"/>
        <v>44098</v>
      </c>
      <c r="D2303">
        <v>2009068</v>
      </c>
      <c r="E2303" t="s">
        <v>119</v>
      </c>
      <c r="F2303" s="6">
        <v>44099</v>
      </c>
      <c r="G2303">
        <v>4</v>
      </c>
      <c r="H2303" t="s">
        <v>189</v>
      </c>
      <c r="I2303" t="s">
        <v>120</v>
      </c>
    </row>
    <row r="2304" spans="1:9" x14ac:dyDescent="0.25">
      <c r="A2304" s="8" t="str">
        <f t="shared" si="108"/>
        <v>2009068.000</v>
      </c>
      <c r="B2304" s="9" t="str">
        <f t="shared" si="109"/>
        <v>4</v>
      </c>
      <c r="C2304" s="10">
        <f t="shared" si="110"/>
        <v>44098</v>
      </c>
      <c r="D2304">
        <v>2009068</v>
      </c>
      <c r="E2304">
        <v>0</v>
      </c>
      <c r="F2304" s="6">
        <v>44099</v>
      </c>
      <c r="G2304">
        <v>4</v>
      </c>
      <c r="H2304" t="s">
        <v>189</v>
      </c>
      <c r="I2304" t="s">
        <v>120</v>
      </c>
    </row>
    <row r="2305" spans="1:9" x14ac:dyDescent="0.25">
      <c r="A2305" s="8" t="str">
        <f t="shared" si="108"/>
        <v>2009069.NS0</v>
      </c>
      <c r="B2305" s="9" t="str">
        <f t="shared" si="109"/>
        <v/>
      </c>
      <c r="C2305" s="10">
        <f t="shared" si="110"/>
        <v>44074</v>
      </c>
      <c r="D2305">
        <v>2009069</v>
      </c>
      <c r="E2305" t="s">
        <v>169</v>
      </c>
      <c r="F2305" s="6">
        <v>44078</v>
      </c>
      <c r="H2305" t="s">
        <v>180</v>
      </c>
      <c r="I2305" t="s">
        <v>120</v>
      </c>
    </row>
    <row r="2306" spans="1:9" x14ac:dyDescent="0.25">
      <c r="A2306" s="8" t="str">
        <f t="shared" si="108"/>
        <v>2009070.HPL</v>
      </c>
      <c r="B2306" s="9" t="str">
        <f t="shared" si="109"/>
        <v/>
      </c>
      <c r="C2306" s="10">
        <f t="shared" si="110"/>
        <v>44102</v>
      </c>
      <c r="D2306">
        <v>2009070</v>
      </c>
      <c r="E2306" t="s">
        <v>128</v>
      </c>
      <c r="F2306" s="6">
        <v>44106</v>
      </c>
      <c r="H2306" t="s">
        <v>188</v>
      </c>
      <c r="I2306" t="s">
        <v>120</v>
      </c>
    </row>
    <row r="2307" spans="1:9" x14ac:dyDescent="0.25">
      <c r="A2307" s="8" t="str">
        <f t="shared" si="108"/>
        <v>2009071.T01</v>
      </c>
      <c r="B2307" s="9" t="str">
        <f t="shared" si="109"/>
        <v>4</v>
      </c>
      <c r="C2307" s="10">
        <f t="shared" si="110"/>
        <v>44147</v>
      </c>
      <c r="D2307">
        <v>2009071</v>
      </c>
      <c r="E2307" t="s">
        <v>146</v>
      </c>
      <c r="F2307" s="6">
        <v>44148</v>
      </c>
      <c r="G2307">
        <v>4</v>
      </c>
      <c r="H2307" t="s">
        <v>189</v>
      </c>
      <c r="I2307" t="s">
        <v>120</v>
      </c>
    </row>
    <row r="2308" spans="1:9" x14ac:dyDescent="0.25">
      <c r="A2308" s="8" t="str">
        <f t="shared" si="108"/>
        <v>2009071.NML</v>
      </c>
      <c r="B2308" s="9" t="str">
        <f t="shared" si="109"/>
        <v>4</v>
      </c>
      <c r="C2308" s="10">
        <f t="shared" si="110"/>
        <v>44147</v>
      </c>
      <c r="D2308">
        <v>2009071</v>
      </c>
      <c r="E2308" t="s">
        <v>162</v>
      </c>
      <c r="F2308" s="6">
        <v>44148</v>
      </c>
      <c r="G2308">
        <v>4</v>
      </c>
      <c r="H2308" t="s">
        <v>189</v>
      </c>
      <c r="I2308" t="s">
        <v>120</v>
      </c>
    </row>
    <row r="2309" spans="1:9" x14ac:dyDescent="0.25">
      <c r="A2309" s="8" t="str">
        <f t="shared" si="108"/>
        <v>2009072.NQ0</v>
      </c>
      <c r="B2309" s="9" t="str">
        <f t="shared" si="109"/>
        <v/>
      </c>
      <c r="C2309" s="10">
        <f t="shared" si="110"/>
        <v>44074</v>
      </c>
      <c r="D2309">
        <v>2009072</v>
      </c>
      <c r="E2309" t="s">
        <v>165</v>
      </c>
      <c r="F2309" s="6">
        <v>44078</v>
      </c>
      <c r="H2309" t="s">
        <v>188</v>
      </c>
      <c r="I2309" t="s">
        <v>120</v>
      </c>
    </row>
    <row r="2310" spans="1:9" x14ac:dyDescent="0.25">
      <c r="A2310" s="8" t="str">
        <f t="shared" si="108"/>
        <v>2009073.000</v>
      </c>
      <c r="B2310" s="9" t="str">
        <f t="shared" si="109"/>
        <v>4</v>
      </c>
      <c r="C2310" s="10">
        <f t="shared" si="110"/>
        <v>44105</v>
      </c>
      <c r="D2310">
        <v>2009073</v>
      </c>
      <c r="E2310">
        <v>0</v>
      </c>
      <c r="F2310" s="6">
        <v>44106</v>
      </c>
      <c r="G2310">
        <v>4</v>
      </c>
      <c r="H2310" t="s">
        <v>192</v>
      </c>
      <c r="I2310" t="s">
        <v>120</v>
      </c>
    </row>
    <row r="2311" spans="1:9" x14ac:dyDescent="0.25">
      <c r="A2311" s="8" t="str">
        <f t="shared" si="108"/>
        <v>2009073.HPL</v>
      </c>
      <c r="B2311" s="9" t="str">
        <f t="shared" si="109"/>
        <v>4</v>
      </c>
      <c r="C2311" s="10">
        <f t="shared" si="110"/>
        <v>44105</v>
      </c>
      <c r="D2311">
        <v>2009073</v>
      </c>
      <c r="E2311" t="s">
        <v>128</v>
      </c>
      <c r="F2311" s="6">
        <v>44106</v>
      </c>
      <c r="G2311">
        <v>4</v>
      </c>
      <c r="H2311" t="s">
        <v>192</v>
      </c>
      <c r="I2311" t="s">
        <v>120</v>
      </c>
    </row>
    <row r="2312" spans="1:9" x14ac:dyDescent="0.25">
      <c r="A2312" s="8" t="str">
        <f t="shared" si="108"/>
        <v>2009073.0P0</v>
      </c>
      <c r="B2312" s="9" t="str">
        <f t="shared" si="109"/>
        <v>4</v>
      </c>
      <c r="C2312" s="10">
        <f t="shared" si="110"/>
        <v>44105</v>
      </c>
      <c r="D2312">
        <v>2009073</v>
      </c>
      <c r="E2312" t="s">
        <v>119</v>
      </c>
      <c r="F2312" s="6">
        <v>44106</v>
      </c>
      <c r="G2312">
        <v>4</v>
      </c>
      <c r="H2312" t="s">
        <v>192</v>
      </c>
      <c r="I2312" t="s">
        <v>120</v>
      </c>
    </row>
    <row r="2313" spans="1:9" x14ac:dyDescent="0.25">
      <c r="A2313" s="8" t="str">
        <f t="shared" si="108"/>
        <v>2009074.000</v>
      </c>
      <c r="B2313" s="9" t="str">
        <f t="shared" si="109"/>
        <v/>
      </c>
      <c r="C2313" s="10">
        <f t="shared" si="110"/>
        <v>44095</v>
      </c>
      <c r="D2313">
        <v>2009074</v>
      </c>
      <c r="E2313">
        <v>0</v>
      </c>
      <c r="F2313" s="6">
        <v>44099</v>
      </c>
      <c r="H2313" t="s">
        <v>189</v>
      </c>
      <c r="I2313" t="s">
        <v>120</v>
      </c>
    </row>
    <row r="2314" spans="1:9" x14ac:dyDescent="0.25">
      <c r="A2314" s="8" t="str">
        <f t="shared" si="108"/>
        <v>2009075.NQ0</v>
      </c>
      <c r="B2314" s="9" t="str">
        <f t="shared" si="109"/>
        <v/>
      </c>
      <c r="C2314" s="10">
        <f t="shared" si="110"/>
        <v>44074</v>
      </c>
      <c r="D2314">
        <v>2009075</v>
      </c>
      <c r="E2314" t="s">
        <v>165</v>
      </c>
      <c r="F2314" s="6">
        <v>44078</v>
      </c>
      <c r="H2314" t="s">
        <v>188</v>
      </c>
      <c r="I2314" t="s">
        <v>120</v>
      </c>
    </row>
    <row r="2315" spans="1:9" x14ac:dyDescent="0.25">
      <c r="A2315" s="8" t="str">
        <f t="shared" si="108"/>
        <v>2009076.NQ0</v>
      </c>
      <c r="B2315" s="9" t="str">
        <f t="shared" si="109"/>
        <v/>
      </c>
      <c r="C2315" s="10">
        <f t="shared" si="110"/>
        <v>44067</v>
      </c>
      <c r="D2315">
        <v>2009076</v>
      </c>
      <c r="E2315" t="s">
        <v>165</v>
      </c>
      <c r="F2315" s="6">
        <v>44071</v>
      </c>
      <c r="H2315" t="s">
        <v>194</v>
      </c>
      <c r="I2315" t="s">
        <v>120</v>
      </c>
    </row>
    <row r="2316" spans="1:9" x14ac:dyDescent="0.25">
      <c r="A2316" s="8" t="str">
        <f t="shared" si="108"/>
        <v>2009077.HP0</v>
      </c>
      <c r="B2316" s="9" t="str">
        <f t="shared" si="109"/>
        <v>4</v>
      </c>
      <c r="C2316" s="10">
        <f t="shared" si="110"/>
        <v>44140</v>
      </c>
      <c r="D2316">
        <v>2009077</v>
      </c>
      <c r="E2316" t="s">
        <v>121</v>
      </c>
      <c r="F2316" s="6">
        <v>44141</v>
      </c>
      <c r="G2316">
        <v>4</v>
      </c>
      <c r="H2316" t="s">
        <v>189</v>
      </c>
      <c r="I2316" t="s">
        <v>120</v>
      </c>
    </row>
    <row r="2317" spans="1:9" x14ac:dyDescent="0.25">
      <c r="A2317" s="8" t="str">
        <f t="shared" si="108"/>
        <v>2009077.H02</v>
      </c>
      <c r="B2317" s="9" t="str">
        <f t="shared" si="109"/>
        <v>4</v>
      </c>
      <c r="C2317" s="10">
        <f t="shared" si="110"/>
        <v>44140</v>
      </c>
      <c r="D2317">
        <v>2009077</v>
      </c>
      <c r="E2317" t="s">
        <v>156</v>
      </c>
      <c r="F2317" s="6">
        <v>44141</v>
      </c>
      <c r="G2317">
        <v>4</v>
      </c>
      <c r="H2317" t="s">
        <v>189</v>
      </c>
      <c r="I2317" t="s">
        <v>120</v>
      </c>
    </row>
    <row r="2318" spans="1:9" x14ac:dyDescent="0.25">
      <c r="A2318" s="8" t="str">
        <f t="shared" si="108"/>
        <v>2009078.X00</v>
      </c>
      <c r="B2318" s="9" t="str">
        <f t="shared" si="109"/>
        <v>4</v>
      </c>
      <c r="C2318" s="10">
        <f t="shared" si="110"/>
        <v>44105</v>
      </c>
      <c r="D2318">
        <v>2009078</v>
      </c>
      <c r="E2318" t="s">
        <v>225</v>
      </c>
      <c r="F2318" s="6">
        <v>44106</v>
      </c>
      <c r="G2318">
        <v>4</v>
      </c>
      <c r="H2318" t="s">
        <v>189</v>
      </c>
      <c r="I2318" t="s">
        <v>120</v>
      </c>
    </row>
    <row r="2319" spans="1:9" x14ac:dyDescent="0.25">
      <c r="A2319" s="8" t="str">
        <f t="shared" si="108"/>
        <v>2009078.000</v>
      </c>
      <c r="B2319" s="9" t="str">
        <f t="shared" si="109"/>
        <v>4</v>
      </c>
      <c r="C2319" s="10">
        <f t="shared" si="110"/>
        <v>44105</v>
      </c>
      <c r="D2319">
        <v>2009078</v>
      </c>
      <c r="E2319">
        <v>0</v>
      </c>
      <c r="F2319" s="6">
        <v>44106</v>
      </c>
      <c r="G2319">
        <v>4</v>
      </c>
      <c r="H2319" t="s">
        <v>189</v>
      </c>
      <c r="I2319" t="s">
        <v>120</v>
      </c>
    </row>
    <row r="2320" spans="1:9" x14ac:dyDescent="0.25">
      <c r="A2320" s="8" t="str">
        <f t="shared" si="108"/>
        <v>2009079.0P0</v>
      </c>
      <c r="B2320" s="9" t="str">
        <f t="shared" si="109"/>
        <v>4</v>
      </c>
      <c r="C2320" s="10">
        <f t="shared" si="110"/>
        <v>44098</v>
      </c>
      <c r="D2320">
        <v>2009079</v>
      </c>
      <c r="E2320" t="s">
        <v>119</v>
      </c>
      <c r="F2320" s="6">
        <v>44099</v>
      </c>
      <c r="G2320">
        <v>4</v>
      </c>
      <c r="H2320" t="s">
        <v>189</v>
      </c>
      <c r="I2320" t="s">
        <v>120</v>
      </c>
    </row>
    <row r="2321" spans="1:9" x14ac:dyDescent="0.25">
      <c r="A2321" s="8" t="str">
        <f t="shared" si="108"/>
        <v>2009080.UP0</v>
      </c>
      <c r="B2321" s="9" t="str">
        <f t="shared" si="109"/>
        <v/>
      </c>
      <c r="C2321" s="10">
        <f t="shared" si="110"/>
        <v>44130</v>
      </c>
      <c r="D2321">
        <v>2009080</v>
      </c>
      <c r="E2321" t="s">
        <v>136</v>
      </c>
      <c r="F2321" s="6">
        <v>44134</v>
      </c>
      <c r="H2321" t="s">
        <v>189</v>
      </c>
      <c r="I2321" t="s">
        <v>120</v>
      </c>
    </row>
    <row r="2322" spans="1:9" x14ac:dyDescent="0.25">
      <c r="A2322" s="8" t="str">
        <f t="shared" si="108"/>
        <v>2009081.HP0</v>
      </c>
      <c r="B2322" s="9" t="str">
        <f t="shared" si="109"/>
        <v/>
      </c>
      <c r="C2322" s="10">
        <f t="shared" si="110"/>
        <v>44137</v>
      </c>
      <c r="D2322">
        <v>2009081</v>
      </c>
      <c r="E2322" t="s">
        <v>121</v>
      </c>
      <c r="F2322" s="6">
        <v>44141</v>
      </c>
      <c r="H2322" t="s">
        <v>189</v>
      </c>
      <c r="I2322" t="s">
        <v>120</v>
      </c>
    </row>
    <row r="2323" spans="1:9" x14ac:dyDescent="0.25">
      <c r="A2323" s="8" t="str">
        <f t="shared" si="108"/>
        <v>2009082.H00</v>
      </c>
      <c r="B2323" s="9" t="str">
        <f t="shared" si="109"/>
        <v/>
      </c>
      <c r="C2323" s="10">
        <f t="shared" si="110"/>
        <v>44102</v>
      </c>
      <c r="D2323">
        <v>2009082</v>
      </c>
      <c r="E2323" t="s">
        <v>122</v>
      </c>
      <c r="F2323" s="6">
        <v>44106</v>
      </c>
      <c r="H2323" t="s">
        <v>189</v>
      </c>
      <c r="I2323" t="s">
        <v>120</v>
      </c>
    </row>
    <row r="2324" spans="1:9" x14ac:dyDescent="0.25">
      <c r="A2324" s="8" t="str">
        <f t="shared" si="108"/>
        <v>2009083.H02</v>
      </c>
      <c r="B2324" s="9" t="str">
        <f t="shared" si="109"/>
        <v/>
      </c>
      <c r="C2324" s="10">
        <f t="shared" si="110"/>
        <v>44102</v>
      </c>
      <c r="D2324">
        <v>2009083</v>
      </c>
      <c r="E2324" t="s">
        <v>156</v>
      </c>
      <c r="F2324" s="6">
        <v>44106</v>
      </c>
      <c r="H2324" t="s">
        <v>189</v>
      </c>
      <c r="I2324" t="s">
        <v>120</v>
      </c>
    </row>
    <row r="2325" spans="1:9" x14ac:dyDescent="0.25">
      <c r="A2325" s="8" t="str">
        <f t="shared" si="108"/>
        <v>2009083.X02</v>
      </c>
      <c r="B2325" s="9" t="str">
        <f t="shared" si="109"/>
        <v/>
      </c>
      <c r="C2325" s="10">
        <f t="shared" si="110"/>
        <v>44102</v>
      </c>
      <c r="D2325">
        <v>2009083</v>
      </c>
      <c r="E2325" t="s">
        <v>166</v>
      </c>
      <c r="F2325" s="6">
        <v>44106</v>
      </c>
      <c r="H2325" t="s">
        <v>189</v>
      </c>
      <c r="I2325" t="s">
        <v>120</v>
      </c>
    </row>
    <row r="2326" spans="1:9" x14ac:dyDescent="0.25">
      <c r="A2326" s="8" t="str">
        <f t="shared" si="108"/>
        <v>2009083.HP2</v>
      </c>
      <c r="B2326" s="9" t="str">
        <f t="shared" si="109"/>
        <v/>
      </c>
      <c r="C2326" s="10">
        <f t="shared" si="110"/>
        <v>44102</v>
      </c>
      <c r="D2326">
        <v>2009083</v>
      </c>
      <c r="E2326" t="s">
        <v>138</v>
      </c>
      <c r="F2326" s="6">
        <v>44106</v>
      </c>
      <c r="H2326" t="s">
        <v>189</v>
      </c>
      <c r="I2326" t="s">
        <v>120</v>
      </c>
    </row>
    <row r="2327" spans="1:9" x14ac:dyDescent="0.25">
      <c r="A2327" s="8" t="str">
        <f t="shared" si="108"/>
        <v>2009084.Y01</v>
      </c>
      <c r="B2327" s="9" t="str">
        <f t="shared" si="109"/>
        <v/>
      </c>
      <c r="C2327" s="10">
        <f t="shared" si="110"/>
        <v>44144</v>
      </c>
      <c r="D2327">
        <v>2009084</v>
      </c>
      <c r="E2327" t="s">
        <v>132</v>
      </c>
      <c r="F2327" s="6">
        <v>44148</v>
      </c>
      <c r="H2327" t="s">
        <v>189</v>
      </c>
      <c r="I2327" t="s">
        <v>120</v>
      </c>
    </row>
    <row r="2328" spans="1:9" x14ac:dyDescent="0.25">
      <c r="A2328" s="8" t="str">
        <f t="shared" si="108"/>
        <v>2009084.H00</v>
      </c>
      <c r="B2328" s="9" t="str">
        <f t="shared" si="109"/>
        <v/>
      </c>
      <c r="C2328" s="10">
        <f t="shared" si="110"/>
        <v>44144</v>
      </c>
      <c r="D2328">
        <v>2009084</v>
      </c>
      <c r="E2328" t="s">
        <v>122</v>
      </c>
      <c r="F2328" s="6">
        <v>44148</v>
      </c>
      <c r="H2328" t="s">
        <v>189</v>
      </c>
      <c r="I2328" t="s">
        <v>120</v>
      </c>
    </row>
    <row r="2329" spans="1:9" x14ac:dyDescent="0.25">
      <c r="A2329" s="8" t="str">
        <f t="shared" si="108"/>
        <v>2009084.HP0</v>
      </c>
      <c r="B2329" s="9" t="str">
        <f t="shared" si="109"/>
        <v/>
      </c>
      <c r="C2329" s="10">
        <f t="shared" si="110"/>
        <v>44144</v>
      </c>
      <c r="D2329">
        <v>2009084</v>
      </c>
      <c r="E2329" t="s">
        <v>121</v>
      </c>
      <c r="F2329" s="6">
        <v>44148</v>
      </c>
      <c r="H2329" t="s">
        <v>189</v>
      </c>
      <c r="I2329" t="s">
        <v>120</v>
      </c>
    </row>
    <row r="2330" spans="1:9" x14ac:dyDescent="0.25">
      <c r="A2330" s="8" t="str">
        <f t="shared" si="108"/>
        <v>2009085.Y00</v>
      </c>
      <c r="B2330" s="9" t="str">
        <f t="shared" si="109"/>
        <v/>
      </c>
      <c r="C2330" s="10">
        <f t="shared" si="110"/>
        <v>44109</v>
      </c>
      <c r="D2330">
        <v>2009085</v>
      </c>
      <c r="E2330" t="s">
        <v>130</v>
      </c>
      <c r="F2330" s="6">
        <v>44113</v>
      </c>
      <c r="H2330" t="s">
        <v>192</v>
      </c>
      <c r="I2330" t="s">
        <v>120</v>
      </c>
    </row>
    <row r="2331" spans="1:9" x14ac:dyDescent="0.25">
      <c r="A2331" s="8" t="str">
        <f t="shared" si="108"/>
        <v>2009086.U00</v>
      </c>
      <c r="B2331" s="9" t="str">
        <f t="shared" si="109"/>
        <v/>
      </c>
      <c r="C2331" s="10">
        <f t="shared" si="110"/>
        <v>44102</v>
      </c>
      <c r="D2331">
        <v>2009086</v>
      </c>
      <c r="E2331" t="s">
        <v>131</v>
      </c>
      <c r="F2331" s="6">
        <v>44106</v>
      </c>
      <c r="H2331" t="s">
        <v>192</v>
      </c>
      <c r="I2331" t="s">
        <v>120</v>
      </c>
    </row>
    <row r="2332" spans="1:9" x14ac:dyDescent="0.25">
      <c r="A2332" s="8" t="str">
        <f t="shared" si="108"/>
        <v>2009087.000</v>
      </c>
      <c r="B2332" s="9" t="str">
        <f t="shared" si="109"/>
        <v/>
      </c>
      <c r="C2332" s="10">
        <f t="shared" si="110"/>
        <v>44116</v>
      </c>
      <c r="D2332">
        <v>2009087</v>
      </c>
      <c r="E2332">
        <v>0</v>
      </c>
      <c r="F2332" s="6">
        <v>44120</v>
      </c>
      <c r="H2332" t="s">
        <v>189</v>
      </c>
      <c r="I2332" t="s">
        <v>120</v>
      </c>
    </row>
    <row r="2333" spans="1:9" x14ac:dyDescent="0.25">
      <c r="A2333" s="8" t="str">
        <f t="shared" si="108"/>
        <v>2009088.Z03</v>
      </c>
      <c r="B2333" s="9" t="str">
        <f t="shared" si="109"/>
        <v/>
      </c>
      <c r="C2333" s="10">
        <f t="shared" si="110"/>
        <v>44102</v>
      </c>
      <c r="D2333">
        <v>2009088</v>
      </c>
      <c r="E2333" t="s">
        <v>153</v>
      </c>
      <c r="F2333" s="6">
        <v>44106</v>
      </c>
      <c r="H2333" t="s">
        <v>192</v>
      </c>
      <c r="I2333" t="s">
        <v>120</v>
      </c>
    </row>
    <row r="2334" spans="1:9" x14ac:dyDescent="0.25">
      <c r="A2334" s="8" t="str">
        <f t="shared" si="108"/>
        <v>2009089.U00</v>
      </c>
      <c r="B2334" s="9" t="str">
        <f t="shared" si="109"/>
        <v/>
      </c>
      <c r="C2334" s="10">
        <f t="shared" si="110"/>
        <v>44095</v>
      </c>
      <c r="D2334">
        <v>2009089</v>
      </c>
      <c r="E2334" t="s">
        <v>131</v>
      </c>
      <c r="F2334" s="6">
        <v>44099</v>
      </c>
      <c r="H2334" t="s">
        <v>188</v>
      </c>
      <c r="I2334" t="s">
        <v>120</v>
      </c>
    </row>
    <row r="2335" spans="1:9" x14ac:dyDescent="0.25">
      <c r="A2335" s="8" t="str">
        <f t="shared" si="108"/>
        <v>2009089.Y00</v>
      </c>
      <c r="B2335" s="9" t="str">
        <f t="shared" si="109"/>
        <v/>
      </c>
      <c r="C2335" s="10">
        <f t="shared" si="110"/>
        <v>44095</v>
      </c>
      <c r="D2335">
        <v>2009089</v>
      </c>
      <c r="E2335" t="s">
        <v>130</v>
      </c>
      <c r="F2335" s="6">
        <v>44099</v>
      </c>
      <c r="H2335" t="s">
        <v>188</v>
      </c>
      <c r="I2335" t="s">
        <v>120</v>
      </c>
    </row>
    <row r="2336" spans="1:9" x14ac:dyDescent="0.25">
      <c r="A2336" s="8" t="str">
        <f t="shared" si="108"/>
        <v>2009090.000</v>
      </c>
      <c r="B2336" s="9" t="str">
        <f t="shared" si="109"/>
        <v/>
      </c>
      <c r="C2336" s="10">
        <f t="shared" si="110"/>
        <v>44095</v>
      </c>
      <c r="D2336">
        <v>2009090</v>
      </c>
      <c r="E2336">
        <v>0</v>
      </c>
      <c r="F2336" s="6">
        <v>44099</v>
      </c>
      <c r="H2336" t="s">
        <v>189</v>
      </c>
      <c r="I2336" t="s">
        <v>120</v>
      </c>
    </row>
    <row r="2337" spans="1:9" x14ac:dyDescent="0.25">
      <c r="A2337" s="8" t="str">
        <f t="shared" si="108"/>
        <v>2009091.000</v>
      </c>
      <c r="B2337" s="9" t="str">
        <f t="shared" si="109"/>
        <v/>
      </c>
      <c r="C2337" s="10">
        <f t="shared" si="110"/>
        <v>44067</v>
      </c>
      <c r="D2337">
        <v>2009091</v>
      </c>
      <c r="E2337">
        <v>0</v>
      </c>
      <c r="F2337" s="6">
        <v>44071</v>
      </c>
      <c r="H2337" t="s">
        <v>266</v>
      </c>
      <c r="I2337" t="s">
        <v>120</v>
      </c>
    </row>
    <row r="2338" spans="1:9" x14ac:dyDescent="0.25">
      <c r="A2338" s="8" t="str">
        <f t="shared" si="108"/>
        <v>2009092.HPL</v>
      </c>
      <c r="B2338" s="9" t="str">
        <f t="shared" si="109"/>
        <v/>
      </c>
      <c r="C2338" s="10">
        <f t="shared" si="110"/>
        <v>44102</v>
      </c>
      <c r="D2338">
        <v>2009092</v>
      </c>
      <c r="E2338" t="s">
        <v>128</v>
      </c>
      <c r="F2338" s="6">
        <v>44106</v>
      </c>
      <c r="H2338" t="s">
        <v>189</v>
      </c>
      <c r="I2338" t="s">
        <v>120</v>
      </c>
    </row>
    <row r="2339" spans="1:9" x14ac:dyDescent="0.25">
      <c r="A2339" s="8" t="str">
        <f t="shared" si="108"/>
        <v>2009092.H00</v>
      </c>
      <c r="B2339" s="9" t="str">
        <f t="shared" si="109"/>
        <v/>
      </c>
      <c r="C2339" s="10">
        <f t="shared" si="110"/>
        <v>44102</v>
      </c>
      <c r="D2339">
        <v>2009092</v>
      </c>
      <c r="E2339" t="s">
        <v>122</v>
      </c>
      <c r="F2339" s="6">
        <v>44106</v>
      </c>
      <c r="H2339" t="s">
        <v>189</v>
      </c>
      <c r="I2339" t="s">
        <v>120</v>
      </c>
    </row>
    <row r="2340" spans="1:9" x14ac:dyDescent="0.25">
      <c r="A2340" s="8" t="str">
        <f t="shared" si="108"/>
        <v>2009093.Y02</v>
      </c>
      <c r="B2340" s="9" t="str">
        <f t="shared" si="109"/>
        <v/>
      </c>
      <c r="C2340" s="10">
        <f t="shared" si="110"/>
        <v>44109</v>
      </c>
      <c r="D2340">
        <v>2009093</v>
      </c>
      <c r="E2340" t="s">
        <v>144</v>
      </c>
      <c r="F2340" s="6">
        <v>44113</v>
      </c>
      <c r="H2340" t="s">
        <v>188</v>
      </c>
      <c r="I2340" t="s">
        <v>120</v>
      </c>
    </row>
    <row r="2341" spans="1:9" x14ac:dyDescent="0.25">
      <c r="A2341" s="8" t="str">
        <f t="shared" si="108"/>
        <v>2009094.000</v>
      </c>
      <c r="B2341" s="9" t="str">
        <f t="shared" si="109"/>
        <v>2</v>
      </c>
      <c r="C2341" s="10">
        <f t="shared" si="110"/>
        <v>44131</v>
      </c>
      <c r="D2341">
        <v>2009094</v>
      </c>
      <c r="E2341">
        <v>0</v>
      </c>
      <c r="F2341" s="6">
        <v>44134</v>
      </c>
      <c r="G2341">
        <v>2</v>
      </c>
      <c r="H2341" t="s">
        <v>189</v>
      </c>
      <c r="I2341" t="s">
        <v>120</v>
      </c>
    </row>
    <row r="2342" spans="1:9" x14ac:dyDescent="0.25">
      <c r="A2342" s="8" t="str">
        <f t="shared" si="108"/>
        <v>2009095.0P0</v>
      </c>
      <c r="B2342" s="9" t="str">
        <f t="shared" si="109"/>
        <v>1</v>
      </c>
      <c r="C2342" s="10">
        <f t="shared" si="110"/>
        <v>44102</v>
      </c>
      <c r="D2342">
        <v>2009095</v>
      </c>
      <c r="E2342" t="s">
        <v>119</v>
      </c>
      <c r="F2342" s="6">
        <v>44106</v>
      </c>
      <c r="G2342">
        <v>1</v>
      </c>
      <c r="H2342" t="s">
        <v>189</v>
      </c>
      <c r="I2342" t="s">
        <v>120</v>
      </c>
    </row>
    <row r="2343" spans="1:9" x14ac:dyDescent="0.25">
      <c r="A2343" s="8" t="str">
        <f t="shared" si="108"/>
        <v>2009095.000</v>
      </c>
      <c r="B2343" s="9" t="str">
        <f t="shared" si="109"/>
        <v>1</v>
      </c>
      <c r="C2343" s="10">
        <f t="shared" si="110"/>
        <v>44102</v>
      </c>
      <c r="D2343">
        <v>2009095</v>
      </c>
      <c r="E2343">
        <v>0</v>
      </c>
      <c r="F2343" s="6">
        <v>44106</v>
      </c>
      <c r="G2343">
        <v>1</v>
      </c>
      <c r="H2343" t="s">
        <v>189</v>
      </c>
      <c r="I2343" t="s">
        <v>120</v>
      </c>
    </row>
    <row r="2344" spans="1:9" x14ac:dyDescent="0.25">
      <c r="A2344" s="8" t="str">
        <f t="shared" si="108"/>
        <v>2009096.Y00</v>
      </c>
      <c r="B2344" s="9" t="str">
        <f t="shared" si="109"/>
        <v/>
      </c>
      <c r="C2344" s="10">
        <f t="shared" si="110"/>
        <v>44109</v>
      </c>
      <c r="D2344">
        <v>2009096</v>
      </c>
      <c r="E2344" t="s">
        <v>130</v>
      </c>
      <c r="F2344" s="6">
        <v>44113</v>
      </c>
      <c r="H2344" t="s">
        <v>188</v>
      </c>
      <c r="I2344" t="s">
        <v>120</v>
      </c>
    </row>
    <row r="2345" spans="1:9" x14ac:dyDescent="0.25">
      <c r="A2345" s="8" t="str">
        <f t="shared" si="108"/>
        <v>2009097.U01</v>
      </c>
      <c r="B2345" s="9" t="str">
        <f t="shared" si="109"/>
        <v>1</v>
      </c>
      <c r="C2345" s="10">
        <f t="shared" si="110"/>
        <v>44109</v>
      </c>
      <c r="D2345">
        <v>2009097</v>
      </c>
      <c r="E2345" t="s">
        <v>150</v>
      </c>
      <c r="F2345" s="6">
        <v>44113</v>
      </c>
      <c r="G2345">
        <v>1</v>
      </c>
      <c r="H2345" t="s">
        <v>189</v>
      </c>
      <c r="I2345" t="s">
        <v>120</v>
      </c>
    </row>
    <row r="2346" spans="1:9" x14ac:dyDescent="0.25">
      <c r="A2346" s="8" t="str">
        <f t="shared" si="108"/>
        <v>2009098.000</v>
      </c>
      <c r="B2346" s="9" t="str">
        <f t="shared" si="109"/>
        <v/>
      </c>
      <c r="C2346" s="10">
        <f t="shared" si="110"/>
        <v>44095</v>
      </c>
      <c r="D2346">
        <v>2009098</v>
      </c>
      <c r="E2346">
        <v>0</v>
      </c>
      <c r="F2346" s="6">
        <v>44099</v>
      </c>
      <c r="H2346" t="s">
        <v>189</v>
      </c>
      <c r="I2346" t="s">
        <v>120</v>
      </c>
    </row>
    <row r="2347" spans="1:9" x14ac:dyDescent="0.25">
      <c r="A2347" s="8" t="str">
        <f t="shared" si="108"/>
        <v>2009099.000</v>
      </c>
      <c r="B2347" s="9" t="str">
        <f t="shared" si="109"/>
        <v/>
      </c>
      <c r="C2347" s="10">
        <f t="shared" si="110"/>
        <v>44095</v>
      </c>
      <c r="D2347">
        <v>2009099</v>
      </c>
      <c r="E2347">
        <v>0</v>
      </c>
      <c r="F2347" s="6">
        <v>44099</v>
      </c>
      <c r="H2347" t="s">
        <v>189</v>
      </c>
      <c r="I2347" t="s">
        <v>120</v>
      </c>
    </row>
    <row r="2348" spans="1:9" x14ac:dyDescent="0.25">
      <c r="A2348" s="8" t="str">
        <f t="shared" si="108"/>
        <v>2009100.HP0</v>
      </c>
      <c r="B2348" s="9" t="str">
        <f t="shared" si="109"/>
        <v/>
      </c>
      <c r="C2348" s="10">
        <f t="shared" si="110"/>
        <v>44095</v>
      </c>
      <c r="D2348">
        <v>2009100</v>
      </c>
      <c r="E2348" t="s">
        <v>121</v>
      </c>
      <c r="F2348" s="6">
        <v>44099</v>
      </c>
      <c r="H2348" t="s">
        <v>189</v>
      </c>
      <c r="I2348" t="s">
        <v>120</v>
      </c>
    </row>
    <row r="2349" spans="1:9" x14ac:dyDescent="0.25">
      <c r="A2349" s="8" t="str">
        <f t="shared" si="108"/>
        <v>2009101.000</v>
      </c>
      <c r="B2349" s="9" t="str">
        <f t="shared" si="109"/>
        <v/>
      </c>
      <c r="C2349" s="10">
        <f t="shared" si="110"/>
        <v>44095</v>
      </c>
      <c r="D2349">
        <v>2009101</v>
      </c>
      <c r="E2349">
        <v>0</v>
      </c>
      <c r="F2349" s="6">
        <v>44099</v>
      </c>
      <c r="H2349" t="s">
        <v>189</v>
      </c>
      <c r="I2349" t="s">
        <v>120</v>
      </c>
    </row>
    <row r="2350" spans="1:9" x14ac:dyDescent="0.25">
      <c r="A2350" s="8" t="str">
        <f t="shared" si="108"/>
        <v>2009102.000</v>
      </c>
      <c r="B2350" s="9" t="str">
        <f t="shared" si="109"/>
        <v/>
      </c>
      <c r="C2350" s="10">
        <f t="shared" si="110"/>
        <v>44095</v>
      </c>
      <c r="D2350">
        <v>2009102</v>
      </c>
      <c r="E2350">
        <v>0</v>
      </c>
      <c r="F2350" s="6">
        <v>44099</v>
      </c>
      <c r="H2350" t="s">
        <v>189</v>
      </c>
      <c r="I2350" t="s">
        <v>120</v>
      </c>
    </row>
    <row r="2351" spans="1:9" x14ac:dyDescent="0.25">
      <c r="A2351" s="8" t="str">
        <f t="shared" si="108"/>
        <v>2009103.NV0</v>
      </c>
      <c r="B2351" s="9" t="str">
        <f t="shared" si="109"/>
        <v>4</v>
      </c>
      <c r="C2351" s="10">
        <f t="shared" si="110"/>
        <v>44077</v>
      </c>
      <c r="D2351">
        <v>2009103</v>
      </c>
      <c r="E2351" t="s">
        <v>126</v>
      </c>
      <c r="F2351" s="6">
        <v>44078</v>
      </c>
      <c r="G2351">
        <v>41</v>
      </c>
      <c r="H2351" t="s">
        <v>180</v>
      </c>
      <c r="I2351" t="s">
        <v>120</v>
      </c>
    </row>
    <row r="2352" spans="1:9" x14ac:dyDescent="0.25">
      <c r="A2352" s="8" t="str">
        <f t="shared" si="108"/>
        <v>2009104.U00</v>
      </c>
      <c r="B2352" s="9" t="str">
        <f t="shared" si="109"/>
        <v>3</v>
      </c>
      <c r="C2352" s="10">
        <f t="shared" si="110"/>
        <v>44097</v>
      </c>
      <c r="D2352">
        <v>2009104</v>
      </c>
      <c r="E2352" t="s">
        <v>131</v>
      </c>
      <c r="F2352" s="6">
        <v>44099</v>
      </c>
      <c r="G2352">
        <v>3</v>
      </c>
      <c r="H2352" t="s">
        <v>188</v>
      </c>
      <c r="I2352" t="s">
        <v>120</v>
      </c>
    </row>
    <row r="2353" spans="1:9" x14ac:dyDescent="0.25">
      <c r="A2353" s="8" t="str">
        <f t="shared" si="108"/>
        <v>2009105.0P0</v>
      </c>
      <c r="B2353" s="9" t="str">
        <f t="shared" si="109"/>
        <v/>
      </c>
      <c r="C2353" s="10">
        <f t="shared" si="110"/>
        <v>44102</v>
      </c>
      <c r="D2353">
        <v>2009105</v>
      </c>
      <c r="E2353" t="s">
        <v>119</v>
      </c>
      <c r="F2353" s="6">
        <v>44106</v>
      </c>
      <c r="H2353" t="s">
        <v>191</v>
      </c>
      <c r="I2353" t="s">
        <v>120</v>
      </c>
    </row>
    <row r="2354" spans="1:9" x14ac:dyDescent="0.25">
      <c r="A2354" s="8" t="str">
        <f t="shared" si="108"/>
        <v>2009106.000</v>
      </c>
      <c r="B2354" s="9" t="str">
        <f t="shared" si="109"/>
        <v/>
      </c>
      <c r="C2354" s="10">
        <f t="shared" si="110"/>
        <v>44095</v>
      </c>
      <c r="D2354">
        <v>2009106</v>
      </c>
      <c r="E2354">
        <v>0</v>
      </c>
      <c r="F2354" s="6">
        <v>44099</v>
      </c>
      <c r="H2354" t="s">
        <v>188</v>
      </c>
      <c r="I2354" t="s">
        <v>120</v>
      </c>
    </row>
    <row r="2355" spans="1:9" x14ac:dyDescent="0.25">
      <c r="A2355" s="8" t="str">
        <f t="shared" si="108"/>
        <v>2009107.0P0</v>
      </c>
      <c r="B2355" s="9" t="str">
        <f t="shared" si="109"/>
        <v/>
      </c>
      <c r="C2355" s="10">
        <f t="shared" si="110"/>
        <v>44102</v>
      </c>
      <c r="D2355">
        <v>2009107</v>
      </c>
      <c r="E2355" t="s">
        <v>119</v>
      </c>
      <c r="F2355" s="6">
        <v>44106</v>
      </c>
      <c r="H2355" t="s">
        <v>192</v>
      </c>
      <c r="I2355" t="s">
        <v>120</v>
      </c>
    </row>
    <row r="2356" spans="1:9" x14ac:dyDescent="0.25">
      <c r="A2356" s="8" t="str">
        <f t="shared" si="108"/>
        <v>2009108.000</v>
      </c>
      <c r="B2356" s="9" t="str">
        <f t="shared" si="109"/>
        <v/>
      </c>
      <c r="C2356" s="10">
        <f t="shared" si="110"/>
        <v>44095</v>
      </c>
      <c r="D2356">
        <v>2009108</v>
      </c>
      <c r="E2356">
        <v>0</v>
      </c>
      <c r="F2356" s="6">
        <v>44099</v>
      </c>
      <c r="H2356" t="s">
        <v>189</v>
      </c>
      <c r="I2356" t="s">
        <v>120</v>
      </c>
    </row>
    <row r="2357" spans="1:9" x14ac:dyDescent="0.25">
      <c r="A2357" s="8" t="str">
        <f t="shared" si="108"/>
        <v>2009109.000</v>
      </c>
      <c r="B2357" s="9" t="str">
        <f t="shared" si="109"/>
        <v/>
      </c>
      <c r="C2357" s="10">
        <f t="shared" si="110"/>
        <v>44109</v>
      </c>
      <c r="D2357">
        <v>2009109</v>
      </c>
      <c r="E2357">
        <v>0</v>
      </c>
      <c r="F2357" s="6">
        <v>44113</v>
      </c>
      <c r="H2357" t="s">
        <v>189</v>
      </c>
      <c r="I2357" t="s">
        <v>120</v>
      </c>
    </row>
    <row r="2358" spans="1:9" x14ac:dyDescent="0.25">
      <c r="A2358" s="8" t="str">
        <f t="shared" si="108"/>
        <v>2009110.UP2</v>
      </c>
      <c r="B2358" s="9" t="str">
        <f t="shared" si="109"/>
        <v/>
      </c>
      <c r="C2358" s="10">
        <f t="shared" si="110"/>
        <v>44102</v>
      </c>
      <c r="D2358">
        <v>2009110</v>
      </c>
      <c r="E2358" t="s">
        <v>160</v>
      </c>
      <c r="F2358" s="6">
        <v>44106</v>
      </c>
      <c r="H2358" t="s">
        <v>188</v>
      </c>
      <c r="I2358" t="s">
        <v>120</v>
      </c>
    </row>
    <row r="2359" spans="1:9" x14ac:dyDescent="0.25">
      <c r="A2359" s="8" t="str">
        <f t="shared" si="108"/>
        <v>2009111.0P0</v>
      </c>
      <c r="B2359" s="9" t="str">
        <f t="shared" si="109"/>
        <v>1</v>
      </c>
      <c r="C2359" s="10">
        <f t="shared" si="110"/>
        <v>44095</v>
      </c>
      <c r="D2359">
        <v>2009111</v>
      </c>
      <c r="E2359" t="s">
        <v>119</v>
      </c>
      <c r="F2359" s="6">
        <v>44099</v>
      </c>
      <c r="G2359">
        <v>1</v>
      </c>
      <c r="H2359" t="s">
        <v>189</v>
      </c>
      <c r="I2359" t="s">
        <v>120</v>
      </c>
    </row>
    <row r="2360" spans="1:9" x14ac:dyDescent="0.25">
      <c r="A2360" s="8" t="str">
        <f t="shared" ref="A2360:A2410" si="111">IF(D2360="","",IF(E2360=0,CONCATENATE(D2360,".",E2360,"00"),CONCATENATE(D2360,".",E2360)))</f>
        <v>2009112.H00</v>
      </c>
      <c r="B2360" s="9" t="str">
        <f t="shared" ref="B2360:B2410" si="112">LEFT(G2360,1)</f>
        <v/>
      </c>
      <c r="C2360" s="10">
        <f t="shared" ref="C2360:C2410" si="113">IF(F2360="","",IF(B2360="",F2360-4,IF(B2360="1",F2360-4,IF(B2360="2",F2360-3,IF(B2360="3",F2360-2,IF(B2360="4",F2360-1,IF(B2360="V",F2360-7,IF(B2360="J",F2360-8,F2360))))))))</f>
        <v>44102</v>
      </c>
      <c r="D2360">
        <v>2009112</v>
      </c>
      <c r="E2360" t="s">
        <v>122</v>
      </c>
      <c r="F2360" s="6">
        <v>44106</v>
      </c>
      <c r="H2360" t="s">
        <v>189</v>
      </c>
      <c r="I2360" t="s">
        <v>120</v>
      </c>
    </row>
    <row r="2361" spans="1:9" x14ac:dyDescent="0.25">
      <c r="A2361" s="8" t="str">
        <f t="shared" si="111"/>
        <v>2009113.0P0</v>
      </c>
      <c r="B2361" s="9" t="str">
        <f t="shared" si="112"/>
        <v>1</v>
      </c>
      <c r="C2361" s="10">
        <f t="shared" si="113"/>
        <v>44095</v>
      </c>
      <c r="D2361">
        <v>2009113</v>
      </c>
      <c r="E2361" t="s">
        <v>119</v>
      </c>
      <c r="F2361" s="6">
        <v>44099</v>
      </c>
      <c r="G2361">
        <v>1</v>
      </c>
      <c r="H2361" t="s">
        <v>189</v>
      </c>
      <c r="I2361" t="s">
        <v>120</v>
      </c>
    </row>
    <row r="2362" spans="1:9" x14ac:dyDescent="0.25">
      <c r="A2362" s="8" t="str">
        <f t="shared" si="111"/>
        <v>2009114.HP1</v>
      </c>
      <c r="B2362" s="9" t="str">
        <f t="shared" si="112"/>
        <v/>
      </c>
      <c r="C2362" s="10">
        <f t="shared" si="113"/>
        <v>44102</v>
      </c>
      <c r="D2362">
        <v>2009114</v>
      </c>
      <c r="E2362" t="s">
        <v>129</v>
      </c>
      <c r="F2362" s="6">
        <v>44106</v>
      </c>
      <c r="H2362" t="s">
        <v>189</v>
      </c>
      <c r="I2362" t="s">
        <v>120</v>
      </c>
    </row>
    <row r="2363" spans="1:9" x14ac:dyDescent="0.25">
      <c r="A2363" s="8" t="str">
        <f t="shared" si="111"/>
        <v>2009115.N0L</v>
      </c>
      <c r="B2363" s="9" t="str">
        <f t="shared" si="112"/>
        <v/>
      </c>
      <c r="C2363" s="10">
        <f t="shared" si="113"/>
        <v>44074</v>
      </c>
      <c r="D2363">
        <v>2009115</v>
      </c>
      <c r="E2363" t="s">
        <v>133</v>
      </c>
      <c r="F2363" s="6">
        <v>44078</v>
      </c>
      <c r="H2363" t="s">
        <v>194</v>
      </c>
      <c r="I2363" t="s">
        <v>120</v>
      </c>
    </row>
    <row r="2364" spans="1:9" x14ac:dyDescent="0.25">
      <c r="A2364" s="8" t="str">
        <f t="shared" si="111"/>
        <v>2009116.0P0</v>
      </c>
      <c r="B2364" s="9" t="str">
        <f t="shared" si="112"/>
        <v>4</v>
      </c>
      <c r="C2364" s="10">
        <f t="shared" si="113"/>
        <v>44126</v>
      </c>
      <c r="D2364">
        <v>2009116</v>
      </c>
      <c r="E2364" t="s">
        <v>119</v>
      </c>
      <c r="F2364" s="6">
        <v>44127</v>
      </c>
      <c r="G2364">
        <v>41</v>
      </c>
      <c r="H2364" t="s">
        <v>188</v>
      </c>
      <c r="I2364" t="s">
        <v>120</v>
      </c>
    </row>
    <row r="2365" spans="1:9" x14ac:dyDescent="0.25">
      <c r="A2365" s="8" t="str">
        <f t="shared" si="111"/>
        <v>2009116.ZP0</v>
      </c>
      <c r="B2365" s="9" t="str">
        <f t="shared" si="112"/>
        <v>4</v>
      </c>
      <c r="C2365" s="10">
        <f t="shared" si="113"/>
        <v>44126</v>
      </c>
      <c r="D2365">
        <v>2009116</v>
      </c>
      <c r="E2365" t="s">
        <v>252</v>
      </c>
      <c r="F2365" s="6">
        <v>44127</v>
      </c>
      <c r="G2365">
        <v>41</v>
      </c>
      <c r="H2365" t="s">
        <v>188</v>
      </c>
      <c r="I2365" t="s">
        <v>120</v>
      </c>
    </row>
    <row r="2366" spans="1:9" x14ac:dyDescent="0.25">
      <c r="A2366" s="8" t="str">
        <f t="shared" si="111"/>
        <v>2009116.000</v>
      </c>
      <c r="B2366" s="9" t="str">
        <f t="shared" si="112"/>
        <v>4</v>
      </c>
      <c r="C2366" s="10">
        <f t="shared" si="113"/>
        <v>44126</v>
      </c>
      <c r="D2366">
        <v>2009116</v>
      </c>
      <c r="E2366">
        <v>0</v>
      </c>
      <c r="F2366" s="6">
        <v>44127</v>
      </c>
      <c r="G2366">
        <v>41</v>
      </c>
      <c r="H2366" t="s">
        <v>188</v>
      </c>
      <c r="I2366" t="s">
        <v>120</v>
      </c>
    </row>
    <row r="2367" spans="1:9" x14ac:dyDescent="0.25">
      <c r="A2367" s="8" t="str">
        <f t="shared" si="111"/>
        <v>2009116.TP0</v>
      </c>
      <c r="B2367" s="9" t="str">
        <f t="shared" si="112"/>
        <v>4</v>
      </c>
      <c r="C2367" s="10">
        <f t="shared" si="113"/>
        <v>44126</v>
      </c>
      <c r="D2367">
        <v>2009116</v>
      </c>
      <c r="E2367" t="s">
        <v>184</v>
      </c>
      <c r="F2367" s="6">
        <v>44127</v>
      </c>
      <c r="G2367">
        <v>41</v>
      </c>
      <c r="H2367" t="s">
        <v>188</v>
      </c>
      <c r="I2367" t="s">
        <v>120</v>
      </c>
    </row>
    <row r="2368" spans="1:9" x14ac:dyDescent="0.25">
      <c r="A2368" s="8" t="str">
        <f t="shared" si="111"/>
        <v>2009116.T00</v>
      </c>
      <c r="B2368" s="9" t="str">
        <f t="shared" si="112"/>
        <v>4</v>
      </c>
      <c r="C2368" s="10">
        <f t="shared" si="113"/>
        <v>44126</v>
      </c>
      <c r="D2368">
        <v>2009116</v>
      </c>
      <c r="E2368" t="s">
        <v>159</v>
      </c>
      <c r="F2368" s="6">
        <v>44127</v>
      </c>
      <c r="G2368">
        <v>41</v>
      </c>
      <c r="H2368" t="s">
        <v>188</v>
      </c>
      <c r="I2368" t="s">
        <v>120</v>
      </c>
    </row>
    <row r="2369" spans="1:9" x14ac:dyDescent="0.25">
      <c r="A2369" s="8" t="str">
        <f t="shared" si="111"/>
        <v>2009116.Z00</v>
      </c>
      <c r="B2369" s="9" t="str">
        <f t="shared" si="112"/>
        <v>4</v>
      </c>
      <c r="C2369" s="10">
        <f t="shared" si="113"/>
        <v>44126</v>
      </c>
      <c r="D2369">
        <v>2009116</v>
      </c>
      <c r="E2369" t="s">
        <v>158</v>
      </c>
      <c r="F2369" s="6">
        <v>44127</v>
      </c>
      <c r="G2369">
        <v>41</v>
      </c>
      <c r="H2369" t="s">
        <v>188</v>
      </c>
      <c r="I2369" t="s">
        <v>120</v>
      </c>
    </row>
    <row r="2370" spans="1:9" x14ac:dyDescent="0.25">
      <c r="A2370" s="8" t="str">
        <f t="shared" si="111"/>
        <v>2009117.Y01</v>
      </c>
      <c r="B2370" s="9" t="str">
        <f t="shared" si="112"/>
        <v>1</v>
      </c>
      <c r="C2370" s="10">
        <f t="shared" si="113"/>
        <v>44130</v>
      </c>
      <c r="D2370">
        <v>2009117</v>
      </c>
      <c r="E2370" t="s">
        <v>132</v>
      </c>
      <c r="F2370" s="6">
        <v>44134</v>
      </c>
      <c r="G2370">
        <v>1</v>
      </c>
      <c r="H2370" t="s">
        <v>189</v>
      </c>
      <c r="I2370" t="s">
        <v>120</v>
      </c>
    </row>
    <row r="2371" spans="1:9" x14ac:dyDescent="0.25">
      <c r="A2371" s="8" t="str">
        <f t="shared" si="111"/>
        <v>2009118.NI0</v>
      </c>
      <c r="B2371" s="9" t="str">
        <f t="shared" si="112"/>
        <v/>
      </c>
      <c r="C2371" s="10">
        <f t="shared" si="113"/>
        <v>44074</v>
      </c>
      <c r="D2371">
        <v>2009118</v>
      </c>
      <c r="E2371" t="s">
        <v>185</v>
      </c>
      <c r="F2371" s="6">
        <v>44078</v>
      </c>
      <c r="H2371" t="s">
        <v>189</v>
      </c>
      <c r="I2371" t="s">
        <v>120</v>
      </c>
    </row>
    <row r="2372" spans="1:9" x14ac:dyDescent="0.25">
      <c r="A2372" s="8" t="str">
        <f t="shared" si="111"/>
        <v>2009118.N00</v>
      </c>
      <c r="B2372" s="9" t="str">
        <f t="shared" si="112"/>
        <v/>
      </c>
      <c r="C2372" s="10">
        <f t="shared" si="113"/>
        <v>44074</v>
      </c>
      <c r="D2372">
        <v>2009118</v>
      </c>
      <c r="E2372" t="s">
        <v>125</v>
      </c>
      <c r="F2372" s="6">
        <v>44078</v>
      </c>
      <c r="H2372" t="s">
        <v>188</v>
      </c>
      <c r="I2372" t="s">
        <v>120</v>
      </c>
    </row>
    <row r="2373" spans="1:9" x14ac:dyDescent="0.25">
      <c r="A2373" s="8" t="str">
        <f t="shared" si="111"/>
        <v>2009119.U00</v>
      </c>
      <c r="B2373" s="9" t="str">
        <f t="shared" si="112"/>
        <v/>
      </c>
      <c r="C2373" s="10">
        <f t="shared" si="113"/>
        <v>44109</v>
      </c>
      <c r="D2373">
        <v>2009119</v>
      </c>
      <c r="E2373" t="s">
        <v>131</v>
      </c>
      <c r="F2373" s="6">
        <v>44113</v>
      </c>
      <c r="H2373" t="s">
        <v>188</v>
      </c>
      <c r="I2373" t="s">
        <v>120</v>
      </c>
    </row>
    <row r="2374" spans="1:9" x14ac:dyDescent="0.25">
      <c r="A2374" s="8" t="str">
        <f t="shared" si="111"/>
        <v>2009120.0P0</v>
      </c>
      <c r="B2374" s="9" t="str">
        <f t="shared" si="112"/>
        <v/>
      </c>
      <c r="C2374" s="10">
        <f t="shared" si="113"/>
        <v>44095</v>
      </c>
      <c r="D2374">
        <v>2009120</v>
      </c>
      <c r="E2374" t="s">
        <v>119</v>
      </c>
      <c r="F2374" s="6">
        <v>44099</v>
      </c>
      <c r="H2374" t="s">
        <v>189</v>
      </c>
      <c r="I2374" t="s">
        <v>120</v>
      </c>
    </row>
    <row r="2375" spans="1:9" x14ac:dyDescent="0.25">
      <c r="A2375" s="8" t="str">
        <f t="shared" si="111"/>
        <v>2009120.000</v>
      </c>
      <c r="B2375" s="9" t="str">
        <f t="shared" si="112"/>
        <v/>
      </c>
      <c r="C2375" s="10">
        <f t="shared" si="113"/>
        <v>44095</v>
      </c>
      <c r="D2375">
        <v>2009120</v>
      </c>
      <c r="E2375">
        <v>0</v>
      </c>
      <c r="F2375" s="6">
        <v>44099</v>
      </c>
      <c r="H2375" t="s">
        <v>189</v>
      </c>
      <c r="I2375" t="s">
        <v>120</v>
      </c>
    </row>
    <row r="2376" spans="1:9" x14ac:dyDescent="0.25">
      <c r="A2376" s="8" t="str">
        <f t="shared" si="111"/>
        <v>2009121.Y00</v>
      </c>
      <c r="B2376" s="9" t="str">
        <f t="shared" si="112"/>
        <v/>
      </c>
      <c r="C2376" s="10">
        <f t="shared" si="113"/>
        <v>44109</v>
      </c>
      <c r="D2376">
        <v>2009121</v>
      </c>
      <c r="E2376" t="s">
        <v>130</v>
      </c>
      <c r="F2376" s="6">
        <v>44113</v>
      </c>
      <c r="H2376" t="s">
        <v>192</v>
      </c>
      <c r="I2376" t="s">
        <v>120</v>
      </c>
    </row>
    <row r="2377" spans="1:9" x14ac:dyDescent="0.25">
      <c r="A2377" s="8" t="str">
        <f t="shared" si="111"/>
        <v>2009121.U00</v>
      </c>
      <c r="B2377" s="9" t="str">
        <f t="shared" si="112"/>
        <v/>
      </c>
      <c r="C2377" s="10">
        <f t="shared" si="113"/>
        <v>44109</v>
      </c>
      <c r="D2377">
        <v>2009121</v>
      </c>
      <c r="E2377" t="s">
        <v>131</v>
      </c>
      <c r="F2377" s="6">
        <v>44113</v>
      </c>
      <c r="H2377" t="s">
        <v>192</v>
      </c>
      <c r="I2377" t="s">
        <v>120</v>
      </c>
    </row>
    <row r="2378" spans="1:9" x14ac:dyDescent="0.25">
      <c r="A2378" s="8" t="str">
        <f t="shared" si="111"/>
        <v>2009122.X00</v>
      </c>
      <c r="B2378" s="9" t="str">
        <f t="shared" si="112"/>
        <v/>
      </c>
      <c r="C2378" s="10">
        <f t="shared" si="113"/>
        <v>44102</v>
      </c>
      <c r="D2378">
        <v>2009122</v>
      </c>
      <c r="E2378" t="s">
        <v>225</v>
      </c>
      <c r="F2378" s="6">
        <v>44106</v>
      </c>
      <c r="H2378" t="s">
        <v>189</v>
      </c>
      <c r="I2378" t="s">
        <v>120</v>
      </c>
    </row>
    <row r="2379" spans="1:9" x14ac:dyDescent="0.25">
      <c r="A2379" s="8" t="str">
        <f t="shared" si="111"/>
        <v>2009123.000</v>
      </c>
      <c r="B2379" s="9" t="str">
        <f t="shared" si="112"/>
        <v>3</v>
      </c>
      <c r="C2379" s="10">
        <f t="shared" si="113"/>
        <v>44097</v>
      </c>
      <c r="D2379">
        <v>2009123</v>
      </c>
      <c r="E2379">
        <v>0</v>
      </c>
      <c r="F2379" s="6">
        <v>44099</v>
      </c>
      <c r="G2379">
        <v>3</v>
      </c>
      <c r="H2379" t="s">
        <v>192</v>
      </c>
      <c r="I2379" t="s">
        <v>120</v>
      </c>
    </row>
    <row r="2380" spans="1:9" x14ac:dyDescent="0.25">
      <c r="A2380" s="8" t="str">
        <f t="shared" si="111"/>
        <v>2009124.Y00</v>
      </c>
      <c r="B2380" s="9" t="str">
        <f t="shared" si="112"/>
        <v/>
      </c>
      <c r="C2380" s="10">
        <f t="shared" si="113"/>
        <v>44109</v>
      </c>
      <c r="D2380">
        <v>2009124</v>
      </c>
      <c r="E2380" t="s">
        <v>130</v>
      </c>
      <c r="F2380" s="6">
        <v>44113</v>
      </c>
      <c r="H2380" t="s">
        <v>188</v>
      </c>
      <c r="I2380" t="s">
        <v>120</v>
      </c>
    </row>
    <row r="2381" spans="1:9" x14ac:dyDescent="0.25">
      <c r="A2381" s="8" t="str">
        <f t="shared" si="111"/>
        <v>2009125.pfi</v>
      </c>
      <c r="B2381" s="9" t="str">
        <f t="shared" si="112"/>
        <v/>
      </c>
      <c r="C2381" s="10" t="str">
        <f t="shared" si="113"/>
        <v/>
      </c>
      <c r="D2381">
        <v>2009125</v>
      </c>
      <c r="E2381" t="s">
        <v>187</v>
      </c>
      <c r="F2381" s="6"/>
      <c r="H2381" t="s">
        <v>188</v>
      </c>
      <c r="I2381" t="s">
        <v>134</v>
      </c>
    </row>
    <row r="2382" spans="1:9" x14ac:dyDescent="0.25">
      <c r="A2382" s="8" t="str">
        <f t="shared" si="111"/>
        <v>2009126.C00</v>
      </c>
      <c r="B2382" s="9" t="str">
        <f t="shared" si="112"/>
        <v/>
      </c>
      <c r="C2382" s="10">
        <f t="shared" si="113"/>
        <v>44116</v>
      </c>
      <c r="D2382">
        <v>2009126</v>
      </c>
      <c r="E2382" t="s">
        <v>147</v>
      </c>
      <c r="F2382" s="6">
        <v>44120</v>
      </c>
      <c r="H2382" t="s">
        <v>188</v>
      </c>
      <c r="I2382" t="s">
        <v>120</v>
      </c>
    </row>
    <row r="2383" spans="1:9" x14ac:dyDescent="0.25">
      <c r="A2383" s="8" t="str">
        <f t="shared" si="111"/>
        <v>2009126.CP0</v>
      </c>
      <c r="B2383" s="9" t="str">
        <f t="shared" si="112"/>
        <v/>
      </c>
      <c r="C2383" s="10">
        <f t="shared" si="113"/>
        <v>44116</v>
      </c>
      <c r="D2383">
        <v>2009126</v>
      </c>
      <c r="E2383" t="s">
        <v>148</v>
      </c>
      <c r="F2383" s="6">
        <v>44120</v>
      </c>
      <c r="H2383" t="s">
        <v>188</v>
      </c>
      <c r="I2383" t="s">
        <v>120</v>
      </c>
    </row>
    <row r="2384" spans="1:9" x14ac:dyDescent="0.25">
      <c r="A2384" s="8" t="str">
        <f t="shared" si="111"/>
        <v>2009127.N00</v>
      </c>
      <c r="B2384" s="9" t="str">
        <f t="shared" si="112"/>
        <v>1</v>
      </c>
      <c r="C2384" s="10">
        <f t="shared" si="113"/>
        <v>44074</v>
      </c>
      <c r="D2384">
        <v>2009127</v>
      </c>
      <c r="E2384" t="s">
        <v>125</v>
      </c>
      <c r="F2384" s="6">
        <v>44078</v>
      </c>
      <c r="G2384">
        <v>1</v>
      </c>
      <c r="H2384" t="s">
        <v>194</v>
      </c>
      <c r="I2384" t="s">
        <v>120</v>
      </c>
    </row>
    <row r="2385" spans="1:9" x14ac:dyDescent="0.25">
      <c r="A2385" s="8" t="str">
        <f t="shared" si="111"/>
        <v>2009128.CP0</v>
      </c>
      <c r="B2385" s="9" t="str">
        <f t="shared" si="112"/>
        <v>4</v>
      </c>
      <c r="C2385" s="10">
        <f t="shared" si="113"/>
        <v>44119</v>
      </c>
      <c r="D2385">
        <v>2009128</v>
      </c>
      <c r="E2385" t="s">
        <v>148</v>
      </c>
      <c r="F2385" s="6">
        <v>44120</v>
      </c>
      <c r="G2385">
        <v>4</v>
      </c>
      <c r="H2385" t="s">
        <v>189</v>
      </c>
      <c r="I2385" t="s">
        <v>120</v>
      </c>
    </row>
    <row r="2386" spans="1:9" x14ac:dyDescent="0.25">
      <c r="A2386" s="8" t="str">
        <f t="shared" si="111"/>
        <v>2009128.Y00</v>
      </c>
      <c r="B2386" s="9" t="str">
        <f t="shared" si="112"/>
        <v>4</v>
      </c>
      <c r="C2386" s="10">
        <f t="shared" si="113"/>
        <v>44119</v>
      </c>
      <c r="D2386">
        <v>2009128</v>
      </c>
      <c r="E2386" t="s">
        <v>130</v>
      </c>
      <c r="F2386" s="6">
        <v>44120</v>
      </c>
      <c r="G2386">
        <v>4</v>
      </c>
      <c r="H2386" t="s">
        <v>189</v>
      </c>
      <c r="I2386" t="s">
        <v>120</v>
      </c>
    </row>
    <row r="2387" spans="1:9" x14ac:dyDescent="0.25">
      <c r="A2387" s="8" t="str">
        <f t="shared" si="111"/>
        <v>2009129.U01</v>
      </c>
      <c r="B2387" s="9" t="str">
        <f t="shared" si="112"/>
        <v>4</v>
      </c>
      <c r="C2387" s="10">
        <f t="shared" si="113"/>
        <v>44119</v>
      </c>
      <c r="D2387">
        <v>2009129</v>
      </c>
      <c r="E2387" t="s">
        <v>150</v>
      </c>
      <c r="F2387" s="6">
        <v>44120</v>
      </c>
      <c r="G2387">
        <v>41</v>
      </c>
      <c r="H2387" t="s">
        <v>188</v>
      </c>
      <c r="I2387" t="s">
        <v>120</v>
      </c>
    </row>
    <row r="2388" spans="1:9" x14ac:dyDescent="0.25">
      <c r="A2388" s="8" t="str">
        <f t="shared" si="111"/>
        <v>2009130.000</v>
      </c>
      <c r="B2388" s="9" t="str">
        <f t="shared" si="112"/>
        <v>4</v>
      </c>
      <c r="C2388" s="10">
        <f t="shared" si="113"/>
        <v>44119</v>
      </c>
      <c r="D2388">
        <v>2009130</v>
      </c>
      <c r="E2388">
        <v>0</v>
      </c>
      <c r="F2388" s="6">
        <v>44120</v>
      </c>
      <c r="G2388">
        <v>41</v>
      </c>
      <c r="H2388" t="s">
        <v>191</v>
      </c>
      <c r="I2388" t="s">
        <v>120</v>
      </c>
    </row>
    <row r="2389" spans="1:9" x14ac:dyDescent="0.25">
      <c r="A2389" s="8" t="str">
        <f t="shared" si="111"/>
        <v>2009131.H00</v>
      </c>
      <c r="B2389" s="9" t="str">
        <f t="shared" si="112"/>
        <v>4</v>
      </c>
      <c r="C2389" s="10">
        <f t="shared" si="113"/>
        <v>44091</v>
      </c>
      <c r="D2389">
        <v>2009131</v>
      </c>
      <c r="E2389" t="s">
        <v>122</v>
      </c>
      <c r="F2389" s="6">
        <v>44092</v>
      </c>
      <c r="G2389">
        <v>41</v>
      </c>
      <c r="H2389" t="s">
        <v>191</v>
      </c>
      <c r="I2389" t="s">
        <v>120</v>
      </c>
    </row>
    <row r="2390" spans="1:9" x14ac:dyDescent="0.25">
      <c r="A2390" s="8" t="str">
        <f t="shared" si="111"/>
        <v>2009131.NM0</v>
      </c>
      <c r="B2390" s="9" t="str">
        <f t="shared" si="112"/>
        <v>4</v>
      </c>
      <c r="C2390" s="10">
        <f t="shared" si="113"/>
        <v>44091</v>
      </c>
      <c r="D2390">
        <v>2009131</v>
      </c>
      <c r="E2390" t="s">
        <v>154</v>
      </c>
      <c r="F2390" s="6">
        <v>44092</v>
      </c>
      <c r="G2390">
        <v>41</v>
      </c>
      <c r="H2390" t="s">
        <v>191</v>
      </c>
      <c r="I2390" t="s">
        <v>120</v>
      </c>
    </row>
    <row r="2391" spans="1:9" x14ac:dyDescent="0.25">
      <c r="A2391" s="8" t="str">
        <f t="shared" si="111"/>
        <v>2009132.000</v>
      </c>
      <c r="B2391" s="9" t="str">
        <f t="shared" si="112"/>
        <v>4</v>
      </c>
      <c r="C2391" s="10">
        <f t="shared" si="113"/>
        <v>44119</v>
      </c>
      <c r="D2391">
        <v>2009132</v>
      </c>
      <c r="E2391">
        <v>0</v>
      </c>
      <c r="F2391" s="6">
        <v>44120</v>
      </c>
      <c r="G2391">
        <v>41</v>
      </c>
      <c r="H2391" t="s">
        <v>191</v>
      </c>
      <c r="I2391" t="s">
        <v>120</v>
      </c>
    </row>
    <row r="2392" spans="1:9" x14ac:dyDescent="0.25">
      <c r="A2392" s="8" t="str">
        <f t="shared" si="111"/>
        <v>2009133.Y01</v>
      </c>
      <c r="B2392" s="9" t="str">
        <f t="shared" si="112"/>
        <v>4</v>
      </c>
      <c r="C2392" s="10">
        <f t="shared" si="113"/>
        <v>44154</v>
      </c>
      <c r="D2392">
        <v>2009133</v>
      </c>
      <c r="E2392" t="s">
        <v>132</v>
      </c>
      <c r="F2392" s="6">
        <v>44155</v>
      </c>
      <c r="G2392">
        <v>41</v>
      </c>
      <c r="H2392" t="s">
        <v>188</v>
      </c>
      <c r="I2392" t="s">
        <v>120</v>
      </c>
    </row>
    <row r="2393" spans="1:9" x14ac:dyDescent="0.25">
      <c r="A2393" s="8" t="str">
        <f t="shared" si="111"/>
        <v>2009133.U01</v>
      </c>
      <c r="B2393" s="9" t="str">
        <f t="shared" si="112"/>
        <v>4</v>
      </c>
      <c r="C2393" s="10">
        <f t="shared" si="113"/>
        <v>44154</v>
      </c>
      <c r="D2393">
        <v>2009133</v>
      </c>
      <c r="E2393" t="s">
        <v>150</v>
      </c>
      <c r="F2393" s="6">
        <v>44155</v>
      </c>
      <c r="G2393">
        <v>41</v>
      </c>
      <c r="H2393" t="s">
        <v>188</v>
      </c>
      <c r="I2393" t="s">
        <v>120</v>
      </c>
    </row>
    <row r="2394" spans="1:9" x14ac:dyDescent="0.25">
      <c r="A2394" s="8" t="str">
        <f t="shared" si="111"/>
        <v>2009134.000</v>
      </c>
      <c r="B2394" s="9" t="str">
        <f t="shared" si="112"/>
        <v>4</v>
      </c>
      <c r="C2394" s="10">
        <f t="shared" si="113"/>
        <v>44098</v>
      </c>
      <c r="D2394">
        <v>2009134</v>
      </c>
      <c r="E2394">
        <v>0</v>
      </c>
      <c r="F2394" s="6">
        <v>44099</v>
      </c>
      <c r="G2394">
        <v>41</v>
      </c>
      <c r="H2394" t="s">
        <v>188</v>
      </c>
      <c r="I2394" t="s">
        <v>120</v>
      </c>
    </row>
    <row r="2395" spans="1:9" x14ac:dyDescent="0.25">
      <c r="A2395" s="8" t="str">
        <f t="shared" si="111"/>
        <v>2009135.000</v>
      </c>
      <c r="B2395" s="9" t="str">
        <f t="shared" si="112"/>
        <v>4</v>
      </c>
      <c r="C2395" s="10">
        <f t="shared" si="113"/>
        <v>44098</v>
      </c>
      <c r="D2395">
        <v>2009135</v>
      </c>
      <c r="E2395">
        <v>0</v>
      </c>
      <c r="F2395" s="6">
        <v>44099</v>
      </c>
      <c r="G2395">
        <v>41</v>
      </c>
      <c r="H2395" t="s">
        <v>191</v>
      </c>
      <c r="I2395" t="s">
        <v>120</v>
      </c>
    </row>
    <row r="2396" spans="1:9" x14ac:dyDescent="0.25">
      <c r="A2396" s="8" t="str">
        <f t="shared" si="111"/>
        <v>2009136.Y00</v>
      </c>
      <c r="B2396" s="9" t="str">
        <f t="shared" si="112"/>
        <v>4</v>
      </c>
      <c r="C2396" s="10">
        <f t="shared" si="113"/>
        <v>44119</v>
      </c>
      <c r="D2396">
        <v>2009136</v>
      </c>
      <c r="E2396" t="s">
        <v>130</v>
      </c>
      <c r="F2396" s="6">
        <v>44120</v>
      </c>
      <c r="G2396">
        <v>41</v>
      </c>
      <c r="H2396" t="s">
        <v>188</v>
      </c>
      <c r="I2396" t="s">
        <v>120</v>
      </c>
    </row>
    <row r="2397" spans="1:9" x14ac:dyDescent="0.25">
      <c r="A2397" s="8" t="str">
        <f t="shared" si="111"/>
        <v>2009137.000</v>
      </c>
      <c r="B2397" s="9" t="str">
        <f t="shared" si="112"/>
        <v>4</v>
      </c>
      <c r="C2397" s="10">
        <f t="shared" si="113"/>
        <v>44119</v>
      </c>
      <c r="D2397">
        <v>2009137</v>
      </c>
      <c r="E2397">
        <v>0</v>
      </c>
      <c r="F2397" s="6">
        <v>44120</v>
      </c>
      <c r="G2397">
        <v>41</v>
      </c>
      <c r="H2397" t="s">
        <v>191</v>
      </c>
      <c r="I2397" t="s">
        <v>120</v>
      </c>
    </row>
    <row r="2398" spans="1:9" x14ac:dyDescent="0.25">
      <c r="A2398" s="8" t="str">
        <f t="shared" si="111"/>
        <v>2009138.000</v>
      </c>
      <c r="B2398" s="9" t="str">
        <f t="shared" si="112"/>
        <v>4</v>
      </c>
      <c r="C2398" s="10">
        <f t="shared" si="113"/>
        <v>44119</v>
      </c>
      <c r="D2398">
        <v>2009138</v>
      </c>
      <c r="E2398">
        <v>0</v>
      </c>
      <c r="F2398" s="6">
        <v>44120</v>
      </c>
      <c r="G2398">
        <v>41</v>
      </c>
      <c r="H2398" t="s">
        <v>188</v>
      </c>
      <c r="I2398" t="s">
        <v>120</v>
      </c>
    </row>
    <row r="2399" spans="1:9" x14ac:dyDescent="0.25">
      <c r="A2399" s="8" t="str">
        <f t="shared" si="111"/>
        <v>2009138.ZP0</v>
      </c>
      <c r="B2399" s="9" t="str">
        <f t="shared" si="112"/>
        <v>4</v>
      </c>
      <c r="C2399" s="10">
        <f t="shared" si="113"/>
        <v>44119</v>
      </c>
      <c r="D2399">
        <v>2009138</v>
      </c>
      <c r="E2399" t="s">
        <v>252</v>
      </c>
      <c r="F2399" s="6">
        <v>44120</v>
      </c>
      <c r="G2399">
        <v>41</v>
      </c>
      <c r="H2399" t="s">
        <v>188</v>
      </c>
      <c r="I2399" t="s">
        <v>120</v>
      </c>
    </row>
    <row r="2400" spans="1:9" x14ac:dyDescent="0.25">
      <c r="A2400" s="8" t="str">
        <f t="shared" si="111"/>
        <v>2009139.0P0</v>
      </c>
      <c r="B2400" s="9" t="str">
        <f t="shared" si="112"/>
        <v>4</v>
      </c>
      <c r="C2400" s="10">
        <f t="shared" si="113"/>
        <v>44119</v>
      </c>
      <c r="D2400">
        <v>2009139</v>
      </c>
      <c r="E2400" t="s">
        <v>119</v>
      </c>
      <c r="F2400" s="6">
        <v>44120</v>
      </c>
      <c r="G2400">
        <v>41</v>
      </c>
      <c r="H2400" t="s">
        <v>188</v>
      </c>
      <c r="I2400" t="s">
        <v>120</v>
      </c>
    </row>
    <row r="2401" spans="1:9" x14ac:dyDescent="0.25">
      <c r="A2401" s="8" t="str">
        <f t="shared" si="111"/>
        <v>2009139.CP0</v>
      </c>
      <c r="B2401" s="9" t="str">
        <f t="shared" si="112"/>
        <v>4</v>
      </c>
      <c r="C2401" s="10">
        <f t="shared" si="113"/>
        <v>44119</v>
      </c>
      <c r="D2401">
        <v>2009139</v>
      </c>
      <c r="E2401" t="s">
        <v>148</v>
      </c>
      <c r="F2401" s="6">
        <v>44120</v>
      </c>
      <c r="G2401">
        <v>41</v>
      </c>
      <c r="H2401" t="s">
        <v>188</v>
      </c>
      <c r="I2401" t="s">
        <v>120</v>
      </c>
    </row>
    <row r="2402" spans="1:9" x14ac:dyDescent="0.25">
      <c r="A2402" s="8" t="str">
        <f t="shared" si="111"/>
        <v>2009139.C00</v>
      </c>
      <c r="B2402" s="9" t="str">
        <f t="shared" si="112"/>
        <v>4</v>
      </c>
      <c r="C2402" s="10">
        <f t="shared" si="113"/>
        <v>44119</v>
      </c>
      <c r="D2402">
        <v>2009139</v>
      </c>
      <c r="E2402" t="s">
        <v>147</v>
      </c>
      <c r="F2402" s="6">
        <v>44120</v>
      </c>
      <c r="G2402">
        <v>41</v>
      </c>
      <c r="H2402" t="s">
        <v>188</v>
      </c>
      <c r="I2402" t="s">
        <v>120</v>
      </c>
    </row>
    <row r="2403" spans="1:9" x14ac:dyDescent="0.25">
      <c r="A2403" s="8" t="str">
        <f t="shared" si="111"/>
        <v>2009139.000</v>
      </c>
      <c r="B2403" s="9" t="str">
        <f t="shared" si="112"/>
        <v>4</v>
      </c>
      <c r="C2403" s="10">
        <f t="shared" si="113"/>
        <v>44119</v>
      </c>
      <c r="D2403">
        <v>2009139</v>
      </c>
      <c r="E2403">
        <v>0</v>
      </c>
      <c r="F2403" s="6">
        <v>44120</v>
      </c>
      <c r="G2403">
        <v>41</v>
      </c>
      <c r="H2403" t="s">
        <v>188</v>
      </c>
      <c r="I2403" t="s">
        <v>120</v>
      </c>
    </row>
    <row r="2404" spans="1:9" x14ac:dyDescent="0.25">
      <c r="A2404" s="8" t="str">
        <f t="shared" si="111"/>
        <v>2009140.000</v>
      </c>
      <c r="B2404" s="9" t="str">
        <f t="shared" si="112"/>
        <v/>
      </c>
      <c r="C2404" s="10">
        <f t="shared" si="113"/>
        <v>44095</v>
      </c>
      <c r="D2404">
        <v>2009140</v>
      </c>
      <c r="E2404">
        <v>0</v>
      </c>
      <c r="F2404" s="6">
        <v>44099</v>
      </c>
      <c r="H2404" t="s">
        <v>192</v>
      </c>
      <c r="I2404" t="s">
        <v>120</v>
      </c>
    </row>
    <row r="2405" spans="1:9" x14ac:dyDescent="0.25">
      <c r="A2405" s="8" t="str">
        <f t="shared" si="111"/>
        <v>2009141.C00</v>
      </c>
      <c r="B2405" s="9" t="str">
        <f t="shared" si="112"/>
        <v/>
      </c>
      <c r="C2405" s="10">
        <f t="shared" si="113"/>
        <v>44116</v>
      </c>
      <c r="D2405">
        <v>2009141</v>
      </c>
      <c r="E2405" t="s">
        <v>147</v>
      </c>
      <c r="F2405" s="6">
        <v>44120</v>
      </c>
      <c r="H2405" t="s">
        <v>192</v>
      </c>
      <c r="I2405" t="s">
        <v>120</v>
      </c>
    </row>
    <row r="2406" spans="1:9" x14ac:dyDescent="0.25">
      <c r="A2406" s="8" t="str">
        <f t="shared" si="111"/>
        <v>2009142.0P0</v>
      </c>
      <c r="B2406" s="9" t="str">
        <f t="shared" si="112"/>
        <v/>
      </c>
      <c r="C2406" s="10">
        <f t="shared" si="113"/>
        <v>44095</v>
      </c>
      <c r="D2406">
        <v>2009142</v>
      </c>
      <c r="E2406" t="s">
        <v>119</v>
      </c>
      <c r="F2406" s="6">
        <v>44099</v>
      </c>
      <c r="H2406" t="s">
        <v>189</v>
      </c>
      <c r="I2406" t="s">
        <v>120</v>
      </c>
    </row>
    <row r="2407" spans="1:9" x14ac:dyDescent="0.25">
      <c r="A2407" s="8" t="str">
        <f t="shared" si="111"/>
        <v>2009143.Y02</v>
      </c>
      <c r="B2407" s="9" t="str">
        <f t="shared" si="112"/>
        <v/>
      </c>
      <c r="C2407" s="10">
        <f t="shared" si="113"/>
        <v>44109</v>
      </c>
      <c r="D2407">
        <v>2009143</v>
      </c>
      <c r="E2407" t="s">
        <v>144</v>
      </c>
      <c r="F2407" s="6">
        <v>44113</v>
      </c>
      <c r="H2407" t="s">
        <v>189</v>
      </c>
      <c r="I2407" t="s">
        <v>120</v>
      </c>
    </row>
    <row r="2408" spans="1:9" x14ac:dyDescent="0.25">
      <c r="A2408" s="8" t="str">
        <f t="shared" si="111"/>
        <v>2009143.U02</v>
      </c>
      <c r="B2408" s="9" t="str">
        <f t="shared" si="112"/>
        <v/>
      </c>
      <c r="C2408" s="10">
        <f t="shared" si="113"/>
        <v>44109</v>
      </c>
      <c r="D2408">
        <v>2009143</v>
      </c>
      <c r="E2408" t="s">
        <v>149</v>
      </c>
      <c r="F2408" s="6">
        <v>44113</v>
      </c>
      <c r="H2408" t="s">
        <v>189</v>
      </c>
      <c r="I2408" t="s">
        <v>120</v>
      </c>
    </row>
    <row r="2409" spans="1:9" x14ac:dyDescent="0.25">
      <c r="A2409" s="8" t="str">
        <f t="shared" si="111"/>
        <v>2009144.HP1</v>
      </c>
      <c r="B2409" s="9" t="str">
        <f t="shared" si="112"/>
        <v/>
      </c>
      <c r="C2409" s="10">
        <f t="shared" si="113"/>
        <v>44109</v>
      </c>
      <c r="D2409">
        <v>2009144</v>
      </c>
      <c r="E2409" t="s">
        <v>129</v>
      </c>
      <c r="F2409" s="6">
        <v>44113</v>
      </c>
      <c r="H2409" t="s">
        <v>189</v>
      </c>
      <c r="I2409" t="s">
        <v>120</v>
      </c>
    </row>
    <row r="2410" spans="1:9" x14ac:dyDescent="0.25">
      <c r="A2410" s="8" t="str">
        <f t="shared" si="111"/>
        <v>2009144.ZP3</v>
      </c>
      <c r="B2410" s="9" t="str">
        <f t="shared" si="112"/>
        <v/>
      </c>
      <c r="C2410" s="10">
        <f t="shared" si="113"/>
        <v>44109</v>
      </c>
      <c r="D2410">
        <v>2009144</v>
      </c>
      <c r="E2410" t="s">
        <v>140</v>
      </c>
      <c r="F2410" s="6">
        <v>44113</v>
      </c>
      <c r="H2410" t="s">
        <v>189</v>
      </c>
      <c r="I2410" t="s">
        <v>120</v>
      </c>
    </row>
    <row r="2411" spans="1:9" x14ac:dyDescent="0.25">
      <c r="A2411" s="8" t="str">
        <f t="shared" ref="A2411:A2474" si="114">IF(D2411="","",IF(E2411=0,CONCATENATE(D2411,".",E2411,"00"),CONCATENATE(D2411,".",E2411)))</f>
        <v>2009144.U02</v>
      </c>
      <c r="B2411" s="9" t="str">
        <f t="shared" ref="B2411:B2474" si="115">LEFT(G2411,1)</f>
        <v/>
      </c>
      <c r="C2411" s="10">
        <f t="shared" ref="C2411:C2474" si="116">IF(F2411="","",IF(B2411="",F2411-4,IF(B2411="1",F2411-4,IF(B2411="2",F2411-3,IF(B2411="3",F2411-2,IF(B2411="4",F2411-1,IF(B2411="V",F2411-7,IF(B2411="J",F2411-8,F2411))))))))</f>
        <v>44109</v>
      </c>
      <c r="D2411">
        <v>2009144</v>
      </c>
      <c r="E2411" t="s">
        <v>149</v>
      </c>
      <c r="F2411" s="6">
        <v>44113</v>
      </c>
      <c r="H2411" t="s">
        <v>189</v>
      </c>
      <c r="I2411" t="s">
        <v>120</v>
      </c>
    </row>
    <row r="2412" spans="1:9" x14ac:dyDescent="0.25">
      <c r="A2412" s="8" t="str">
        <f t="shared" si="114"/>
        <v>2009144.Z03</v>
      </c>
      <c r="B2412" s="9" t="str">
        <f t="shared" si="115"/>
        <v/>
      </c>
      <c r="C2412" s="10">
        <f t="shared" si="116"/>
        <v>44109</v>
      </c>
      <c r="D2412">
        <v>2009144</v>
      </c>
      <c r="E2412" t="s">
        <v>153</v>
      </c>
      <c r="F2412" s="6">
        <v>44113</v>
      </c>
      <c r="H2412" t="s">
        <v>189</v>
      </c>
      <c r="I2412" t="s">
        <v>120</v>
      </c>
    </row>
    <row r="2413" spans="1:9" x14ac:dyDescent="0.25">
      <c r="A2413" s="8" t="str">
        <f t="shared" si="114"/>
        <v>2009144.Y02</v>
      </c>
      <c r="B2413" s="9" t="str">
        <f t="shared" si="115"/>
        <v/>
      </c>
      <c r="C2413" s="10">
        <f t="shared" si="116"/>
        <v>44109</v>
      </c>
      <c r="D2413">
        <v>2009144</v>
      </c>
      <c r="E2413" t="s">
        <v>144</v>
      </c>
      <c r="F2413" s="6">
        <v>44113</v>
      </c>
      <c r="H2413" t="s">
        <v>189</v>
      </c>
      <c r="I2413" t="s">
        <v>120</v>
      </c>
    </row>
    <row r="2414" spans="1:9" x14ac:dyDescent="0.25">
      <c r="A2414" s="8" t="str">
        <f t="shared" si="114"/>
        <v>2009145.0P0</v>
      </c>
      <c r="B2414" s="9" t="str">
        <f t="shared" si="115"/>
        <v>1</v>
      </c>
      <c r="C2414" s="10">
        <f t="shared" si="116"/>
        <v>44074</v>
      </c>
      <c r="D2414">
        <v>2009145</v>
      </c>
      <c r="E2414" t="s">
        <v>119</v>
      </c>
      <c r="F2414" s="6">
        <v>44078</v>
      </c>
      <c r="G2414">
        <v>1</v>
      </c>
      <c r="H2414" t="s">
        <v>191</v>
      </c>
      <c r="I2414" t="s">
        <v>120</v>
      </c>
    </row>
    <row r="2415" spans="1:9" x14ac:dyDescent="0.25">
      <c r="A2415" s="8" t="str">
        <f t="shared" si="114"/>
        <v>2009146.N0L</v>
      </c>
      <c r="B2415" s="9" t="str">
        <f t="shared" si="115"/>
        <v/>
      </c>
      <c r="C2415" s="10">
        <f t="shared" si="116"/>
        <v>44074</v>
      </c>
      <c r="D2415">
        <v>2009146</v>
      </c>
      <c r="E2415" t="s">
        <v>133</v>
      </c>
      <c r="F2415" s="6">
        <v>44078</v>
      </c>
      <c r="H2415" t="s">
        <v>194</v>
      </c>
      <c r="I2415" t="s">
        <v>120</v>
      </c>
    </row>
    <row r="2416" spans="1:9" x14ac:dyDescent="0.25">
      <c r="A2416" s="8" t="str">
        <f t="shared" si="114"/>
        <v>2009147.000</v>
      </c>
      <c r="B2416" s="9" t="str">
        <f t="shared" si="115"/>
        <v/>
      </c>
      <c r="C2416" s="10">
        <f t="shared" si="116"/>
        <v>44095</v>
      </c>
      <c r="D2416">
        <v>2009147</v>
      </c>
      <c r="E2416">
        <v>0</v>
      </c>
      <c r="F2416" s="6">
        <v>44099</v>
      </c>
      <c r="H2416" t="s">
        <v>189</v>
      </c>
      <c r="I2416" t="s">
        <v>120</v>
      </c>
    </row>
    <row r="2417" spans="1:9" x14ac:dyDescent="0.25">
      <c r="A2417" s="8" t="str">
        <f t="shared" si="114"/>
        <v>2009148.0P0</v>
      </c>
      <c r="B2417" s="9" t="str">
        <f t="shared" si="115"/>
        <v/>
      </c>
      <c r="C2417" s="10">
        <f t="shared" si="116"/>
        <v>44095</v>
      </c>
      <c r="D2417">
        <v>2009148</v>
      </c>
      <c r="E2417" t="s">
        <v>119</v>
      </c>
      <c r="F2417" s="6">
        <v>44099</v>
      </c>
      <c r="H2417" t="s">
        <v>192</v>
      </c>
      <c r="I2417" t="s">
        <v>120</v>
      </c>
    </row>
    <row r="2418" spans="1:9" x14ac:dyDescent="0.25">
      <c r="A2418" s="8" t="str">
        <f t="shared" si="114"/>
        <v>2009149.U00</v>
      </c>
      <c r="B2418" s="9" t="str">
        <f t="shared" si="115"/>
        <v/>
      </c>
      <c r="C2418" s="10">
        <f t="shared" si="116"/>
        <v>44109</v>
      </c>
      <c r="D2418">
        <v>2009149</v>
      </c>
      <c r="E2418" t="s">
        <v>131</v>
      </c>
      <c r="F2418" s="6">
        <v>44113</v>
      </c>
      <c r="H2418" t="s">
        <v>189</v>
      </c>
      <c r="I2418" t="s">
        <v>120</v>
      </c>
    </row>
    <row r="2419" spans="1:9" x14ac:dyDescent="0.25">
      <c r="A2419" s="8" t="str">
        <f t="shared" si="114"/>
        <v>2009150.NQ0</v>
      </c>
      <c r="B2419" s="9" t="str">
        <f t="shared" si="115"/>
        <v/>
      </c>
      <c r="C2419" s="10">
        <f t="shared" si="116"/>
        <v>44074</v>
      </c>
      <c r="D2419">
        <v>2009150</v>
      </c>
      <c r="E2419" t="s">
        <v>165</v>
      </c>
      <c r="F2419" s="6">
        <v>44078</v>
      </c>
      <c r="H2419" t="s">
        <v>188</v>
      </c>
      <c r="I2419" t="s">
        <v>120</v>
      </c>
    </row>
    <row r="2420" spans="1:9" x14ac:dyDescent="0.25">
      <c r="A2420" s="8" t="str">
        <f t="shared" si="114"/>
        <v>2009151.X00</v>
      </c>
      <c r="B2420" s="9" t="str">
        <f t="shared" si="115"/>
        <v/>
      </c>
      <c r="C2420" s="10">
        <f t="shared" si="116"/>
        <v>44102</v>
      </c>
      <c r="D2420">
        <v>2009151</v>
      </c>
      <c r="E2420" t="s">
        <v>225</v>
      </c>
      <c r="F2420" s="6">
        <v>44106</v>
      </c>
      <c r="H2420" t="s">
        <v>192</v>
      </c>
      <c r="I2420" t="s">
        <v>120</v>
      </c>
    </row>
    <row r="2421" spans="1:9" x14ac:dyDescent="0.25">
      <c r="A2421" s="8" t="str">
        <f t="shared" si="114"/>
        <v>2009152.000</v>
      </c>
      <c r="B2421" s="9" t="str">
        <f t="shared" si="115"/>
        <v/>
      </c>
      <c r="C2421" s="10">
        <f t="shared" si="116"/>
        <v>44095</v>
      </c>
      <c r="D2421">
        <v>2009152</v>
      </c>
      <c r="E2421">
        <v>0</v>
      </c>
      <c r="F2421" s="6">
        <v>44099</v>
      </c>
      <c r="H2421" t="s">
        <v>191</v>
      </c>
      <c r="I2421" t="s">
        <v>120</v>
      </c>
    </row>
    <row r="2422" spans="1:9" x14ac:dyDescent="0.25">
      <c r="A2422" s="8" t="str">
        <f t="shared" si="114"/>
        <v>2009153.UP0</v>
      </c>
      <c r="B2422" s="9" t="str">
        <f t="shared" si="115"/>
        <v/>
      </c>
      <c r="C2422" s="10">
        <f t="shared" si="116"/>
        <v>44109</v>
      </c>
      <c r="D2422">
        <v>2009153</v>
      </c>
      <c r="E2422" t="s">
        <v>136</v>
      </c>
      <c r="F2422" s="6">
        <v>44113</v>
      </c>
      <c r="H2422" t="s">
        <v>189</v>
      </c>
      <c r="I2422" t="s">
        <v>120</v>
      </c>
    </row>
    <row r="2423" spans="1:9" x14ac:dyDescent="0.25">
      <c r="A2423" s="8" t="str">
        <f t="shared" si="114"/>
        <v>2009154.HP2</v>
      </c>
      <c r="B2423" s="9" t="str">
        <f t="shared" si="115"/>
        <v>V</v>
      </c>
      <c r="C2423" s="10">
        <f t="shared" si="116"/>
        <v>44099</v>
      </c>
      <c r="D2423">
        <v>2009154</v>
      </c>
      <c r="E2423" t="s">
        <v>138</v>
      </c>
      <c r="F2423" s="6">
        <v>44106</v>
      </c>
      <c r="G2423" t="s">
        <v>124</v>
      </c>
      <c r="H2423" t="s">
        <v>191</v>
      </c>
      <c r="I2423" t="s">
        <v>120</v>
      </c>
    </row>
    <row r="2424" spans="1:9" x14ac:dyDescent="0.25">
      <c r="A2424" s="8" t="str">
        <f t="shared" si="114"/>
        <v>2009155.N00</v>
      </c>
      <c r="B2424" s="9" t="str">
        <f t="shared" si="115"/>
        <v/>
      </c>
      <c r="C2424" s="10">
        <f t="shared" si="116"/>
        <v>44074</v>
      </c>
      <c r="D2424">
        <v>2009155</v>
      </c>
      <c r="E2424" t="s">
        <v>125</v>
      </c>
      <c r="F2424" s="6">
        <v>44078</v>
      </c>
      <c r="H2424" t="s">
        <v>188</v>
      </c>
      <c r="I2424" t="s">
        <v>120</v>
      </c>
    </row>
    <row r="2425" spans="1:9" x14ac:dyDescent="0.25">
      <c r="A2425" s="8" t="str">
        <f t="shared" si="114"/>
        <v>2009156.NQ0</v>
      </c>
      <c r="B2425" s="9" t="str">
        <f t="shared" si="115"/>
        <v>3</v>
      </c>
      <c r="C2425" s="10">
        <f t="shared" si="116"/>
        <v>44076</v>
      </c>
      <c r="D2425">
        <v>2009156</v>
      </c>
      <c r="E2425" t="s">
        <v>165</v>
      </c>
      <c r="F2425" s="6">
        <v>44078</v>
      </c>
      <c r="G2425">
        <v>3</v>
      </c>
      <c r="H2425" t="s">
        <v>194</v>
      </c>
      <c r="I2425" t="s">
        <v>120</v>
      </c>
    </row>
    <row r="2426" spans="1:9" x14ac:dyDescent="0.25">
      <c r="A2426" s="8" t="str">
        <f t="shared" si="114"/>
        <v>2009157.000</v>
      </c>
      <c r="B2426" s="9" t="str">
        <f t="shared" si="115"/>
        <v/>
      </c>
      <c r="C2426" s="10">
        <f t="shared" si="116"/>
        <v>44095</v>
      </c>
      <c r="D2426">
        <v>2009157</v>
      </c>
      <c r="E2426">
        <v>0</v>
      </c>
      <c r="F2426" s="6">
        <v>44099</v>
      </c>
      <c r="H2426" t="s">
        <v>191</v>
      </c>
      <c r="I2426" t="s">
        <v>120</v>
      </c>
    </row>
    <row r="2427" spans="1:9" x14ac:dyDescent="0.25">
      <c r="A2427" s="8" t="str">
        <f t="shared" si="114"/>
        <v>2009158.Y00</v>
      </c>
      <c r="B2427" s="9" t="str">
        <f t="shared" si="115"/>
        <v/>
      </c>
      <c r="C2427" s="10">
        <f t="shared" si="116"/>
        <v>44109</v>
      </c>
      <c r="D2427">
        <v>2009158</v>
      </c>
      <c r="E2427" t="s">
        <v>130</v>
      </c>
      <c r="F2427" s="6">
        <v>44113</v>
      </c>
      <c r="H2427" t="s">
        <v>192</v>
      </c>
      <c r="I2427" t="s">
        <v>120</v>
      </c>
    </row>
    <row r="2428" spans="1:9" x14ac:dyDescent="0.25">
      <c r="A2428" s="8" t="str">
        <f t="shared" si="114"/>
        <v>2009158.U00</v>
      </c>
      <c r="B2428" s="9" t="str">
        <f t="shared" si="115"/>
        <v/>
      </c>
      <c r="C2428" s="10">
        <f t="shared" si="116"/>
        <v>44109</v>
      </c>
      <c r="D2428">
        <v>2009158</v>
      </c>
      <c r="E2428" t="s">
        <v>131</v>
      </c>
      <c r="F2428" s="6">
        <v>44113</v>
      </c>
      <c r="H2428" t="s">
        <v>192</v>
      </c>
      <c r="I2428" t="s">
        <v>120</v>
      </c>
    </row>
    <row r="2429" spans="1:9" x14ac:dyDescent="0.25">
      <c r="A2429" s="8" t="str">
        <f t="shared" si="114"/>
        <v>2009159.T01</v>
      </c>
      <c r="B2429" s="9" t="str">
        <f t="shared" si="115"/>
        <v/>
      </c>
      <c r="C2429" s="10">
        <f t="shared" si="116"/>
        <v>44116</v>
      </c>
      <c r="D2429">
        <v>2009159</v>
      </c>
      <c r="E2429" t="s">
        <v>146</v>
      </c>
      <c r="F2429" s="6">
        <v>44120</v>
      </c>
      <c r="H2429" t="s">
        <v>189</v>
      </c>
      <c r="I2429" t="s">
        <v>120</v>
      </c>
    </row>
    <row r="2430" spans="1:9" x14ac:dyDescent="0.25">
      <c r="A2430" s="8" t="str">
        <f t="shared" si="114"/>
        <v>2009159.H01</v>
      </c>
      <c r="B2430" s="9" t="str">
        <f t="shared" si="115"/>
        <v/>
      </c>
      <c r="C2430" s="10">
        <f t="shared" si="116"/>
        <v>44116</v>
      </c>
      <c r="D2430">
        <v>2009159</v>
      </c>
      <c r="E2430" t="s">
        <v>145</v>
      </c>
      <c r="F2430" s="6">
        <v>44120</v>
      </c>
      <c r="H2430" t="s">
        <v>189</v>
      </c>
      <c r="I2430" t="s">
        <v>120</v>
      </c>
    </row>
    <row r="2431" spans="1:9" x14ac:dyDescent="0.25">
      <c r="A2431" s="8" t="str">
        <f t="shared" si="114"/>
        <v>2009161.Y00</v>
      </c>
      <c r="B2431" s="9" t="str">
        <f t="shared" si="115"/>
        <v/>
      </c>
      <c r="C2431" s="10">
        <f t="shared" si="116"/>
        <v>44109</v>
      </c>
      <c r="D2431">
        <v>2009161</v>
      </c>
      <c r="E2431" t="s">
        <v>130</v>
      </c>
      <c r="F2431" s="6">
        <v>44113</v>
      </c>
      <c r="H2431" t="s">
        <v>189</v>
      </c>
      <c r="I2431" t="s">
        <v>120</v>
      </c>
    </row>
    <row r="2432" spans="1:9" x14ac:dyDescent="0.25">
      <c r="A2432" s="8" t="str">
        <f t="shared" si="114"/>
        <v>2009162.Y00</v>
      </c>
      <c r="B2432" s="9" t="str">
        <f t="shared" si="115"/>
        <v/>
      </c>
      <c r="C2432" s="10">
        <f t="shared" si="116"/>
        <v>44102</v>
      </c>
      <c r="D2432">
        <v>2009162</v>
      </c>
      <c r="E2432" t="s">
        <v>130</v>
      </c>
      <c r="F2432" s="6">
        <v>44106</v>
      </c>
      <c r="H2432" t="s">
        <v>189</v>
      </c>
      <c r="I2432" t="s">
        <v>120</v>
      </c>
    </row>
    <row r="2433" spans="1:9" x14ac:dyDescent="0.25">
      <c r="A2433" s="8" t="str">
        <f t="shared" si="114"/>
        <v>2009163.000</v>
      </c>
      <c r="B2433" s="9" t="str">
        <f t="shared" si="115"/>
        <v/>
      </c>
      <c r="C2433" s="10">
        <f t="shared" si="116"/>
        <v>44095</v>
      </c>
      <c r="D2433">
        <v>2009163</v>
      </c>
      <c r="E2433">
        <v>0</v>
      </c>
      <c r="F2433" s="6">
        <v>44099</v>
      </c>
      <c r="H2433" t="s">
        <v>189</v>
      </c>
      <c r="I2433" t="s">
        <v>120</v>
      </c>
    </row>
    <row r="2434" spans="1:9" x14ac:dyDescent="0.25">
      <c r="A2434" s="8" t="str">
        <f t="shared" si="114"/>
        <v>2009164.000</v>
      </c>
      <c r="B2434" s="9" t="str">
        <f t="shared" si="115"/>
        <v/>
      </c>
      <c r="C2434" s="10">
        <f t="shared" si="116"/>
        <v>44095</v>
      </c>
      <c r="D2434">
        <v>2009164</v>
      </c>
      <c r="E2434">
        <v>0</v>
      </c>
      <c r="F2434" s="6">
        <v>44099</v>
      </c>
      <c r="H2434" t="s">
        <v>188</v>
      </c>
      <c r="I2434" t="s">
        <v>120</v>
      </c>
    </row>
    <row r="2435" spans="1:9" x14ac:dyDescent="0.25">
      <c r="A2435" s="8" t="str">
        <f t="shared" si="114"/>
        <v>2009165.000</v>
      </c>
      <c r="B2435" s="9" t="str">
        <f t="shared" si="115"/>
        <v/>
      </c>
      <c r="C2435" s="10">
        <f t="shared" si="116"/>
        <v>44095</v>
      </c>
      <c r="D2435">
        <v>2009165</v>
      </c>
      <c r="E2435">
        <v>0</v>
      </c>
      <c r="F2435" s="6">
        <v>44099</v>
      </c>
      <c r="H2435" t="s">
        <v>189</v>
      </c>
      <c r="I2435" t="s">
        <v>120</v>
      </c>
    </row>
    <row r="2436" spans="1:9" x14ac:dyDescent="0.25">
      <c r="A2436" s="8" t="str">
        <f t="shared" si="114"/>
        <v>2009166.TP1</v>
      </c>
      <c r="B2436" s="9" t="str">
        <f t="shared" si="115"/>
        <v>1</v>
      </c>
      <c r="C2436" s="10">
        <f t="shared" si="116"/>
        <v>44109</v>
      </c>
      <c r="D2436">
        <v>2009166</v>
      </c>
      <c r="E2436" t="s">
        <v>209</v>
      </c>
      <c r="F2436" s="6">
        <v>44113</v>
      </c>
      <c r="G2436">
        <v>1</v>
      </c>
      <c r="H2436" t="s">
        <v>192</v>
      </c>
      <c r="I2436" t="s">
        <v>120</v>
      </c>
    </row>
    <row r="2437" spans="1:9" x14ac:dyDescent="0.25">
      <c r="A2437" s="8" t="str">
        <f t="shared" si="114"/>
        <v>2009167.Z02</v>
      </c>
      <c r="B2437" s="9" t="str">
        <f t="shared" si="115"/>
        <v/>
      </c>
      <c r="C2437" s="10">
        <f t="shared" si="116"/>
        <v>44102</v>
      </c>
      <c r="D2437">
        <v>2009167</v>
      </c>
      <c r="E2437" t="s">
        <v>260</v>
      </c>
      <c r="F2437" s="6">
        <v>44106</v>
      </c>
      <c r="H2437" t="s">
        <v>192</v>
      </c>
      <c r="I2437" t="s">
        <v>120</v>
      </c>
    </row>
    <row r="2438" spans="1:9" x14ac:dyDescent="0.25">
      <c r="A2438" s="8" t="str">
        <f t="shared" si="114"/>
        <v>2009167.Y01</v>
      </c>
      <c r="B2438" s="9" t="str">
        <f t="shared" si="115"/>
        <v/>
      </c>
      <c r="C2438" s="10">
        <f t="shared" si="116"/>
        <v>44102</v>
      </c>
      <c r="D2438">
        <v>2009167</v>
      </c>
      <c r="E2438" t="s">
        <v>132</v>
      </c>
      <c r="F2438" s="6">
        <v>44106</v>
      </c>
      <c r="H2438" t="s">
        <v>192</v>
      </c>
      <c r="I2438" t="s">
        <v>120</v>
      </c>
    </row>
    <row r="2439" spans="1:9" x14ac:dyDescent="0.25">
      <c r="A2439" s="8" t="str">
        <f t="shared" si="114"/>
        <v>2009167.Z00</v>
      </c>
      <c r="B2439" s="9" t="str">
        <f t="shared" si="115"/>
        <v/>
      </c>
      <c r="C2439" s="10">
        <f t="shared" si="116"/>
        <v>44102</v>
      </c>
      <c r="D2439">
        <v>2009167</v>
      </c>
      <c r="E2439" t="s">
        <v>158</v>
      </c>
      <c r="F2439" s="6">
        <v>44106</v>
      </c>
      <c r="H2439" t="s">
        <v>192</v>
      </c>
      <c r="I2439" t="s">
        <v>120</v>
      </c>
    </row>
    <row r="2440" spans="1:9" x14ac:dyDescent="0.25">
      <c r="A2440" s="8" t="str">
        <f t="shared" si="114"/>
        <v>2009167.H00</v>
      </c>
      <c r="B2440" s="9" t="str">
        <f t="shared" si="115"/>
        <v/>
      </c>
      <c r="C2440" s="10">
        <f t="shared" si="116"/>
        <v>44102</v>
      </c>
      <c r="D2440">
        <v>2009167</v>
      </c>
      <c r="E2440" t="s">
        <v>122</v>
      </c>
      <c r="F2440" s="6">
        <v>44106</v>
      </c>
      <c r="H2440" t="s">
        <v>192</v>
      </c>
      <c r="I2440" t="s">
        <v>120</v>
      </c>
    </row>
    <row r="2441" spans="1:9" x14ac:dyDescent="0.25">
      <c r="A2441" s="8" t="str">
        <f t="shared" si="114"/>
        <v>2009167.HP0</v>
      </c>
      <c r="B2441" s="9" t="str">
        <f t="shared" si="115"/>
        <v/>
      </c>
      <c r="C2441" s="10">
        <f t="shared" si="116"/>
        <v>44102</v>
      </c>
      <c r="D2441">
        <v>2009167</v>
      </c>
      <c r="E2441" t="s">
        <v>121</v>
      </c>
      <c r="F2441" s="6">
        <v>44106</v>
      </c>
      <c r="H2441" t="s">
        <v>192</v>
      </c>
      <c r="I2441" t="s">
        <v>120</v>
      </c>
    </row>
    <row r="2442" spans="1:9" x14ac:dyDescent="0.25">
      <c r="A2442" s="8" t="str">
        <f t="shared" si="114"/>
        <v>2009168.C00</v>
      </c>
      <c r="B2442" s="9" t="str">
        <f t="shared" si="115"/>
        <v/>
      </c>
      <c r="C2442" s="10">
        <f t="shared" si="116"/>
        <v>44102</v>
      </c>
      <c r="D2442">
        <v>2009168</v>
      </c>
      <c r="E2442" t="s">
        <v>147</v>
      </c>
      <c r="F2442" s="6">
        <v>44106</v>
      </c>
      <c r="H2442" t="s">
        <v>192</v>
      </c>
      <c r="I2442" t="s">
        <v>120</v>
      </c>
    </row>
    <row r="2443" spans="1:9" x14ac:dyDescent="0.25">
      <c r="A2443" s="8" t="str">
        <f t="shared" si="114"/>
        <v>2009169.HPL</v>
      </c>
      <c r="B2443" s="9" t="str">
        <f t="shared" si="115"/>
        <v>1</v>
      </c>
      <c r="C2443" s="10">
        <f t="shared" si="116"/>
        <v>44102</v>
      </c>
      <c r="D2443">
        <v>2009169</v>
      </c>
      <c r="E2443" t="s">
        <v>128</v>
      </c>
      <c r="F2443" s="6">
        <v>44106</v>
      </c>
      <c r="G2443">
        <v>1</v>
      </c>
      <c r="H2443" t="s">
        <v>188</v>
      </c>
      <c r="I2443" t="s">
        <v>120</v>
      </c>
    </row>
    <row r="2444" spans="1:9" x14ac:dyDescent="0.25">
      <c r="A2444" s="8" t="str">
        <f t="shared" si="114"/>
        <v>2009170.H00</v>
      </c>
      <c r="B2444" s="9" t="str">
        <f t="shared" si="115"/>
        <v>1</v>
      </c>
      <c r="C2444" s="10">
        <f t="shared" si="116"/>
        <v>44102</v>
      </c>
      <c r="D2444">
        <v>2009170</v>
      </c>
      <c r="E2444" t="s">
        <v>122</v>
      </c>
      <c r="F2444" s="6">
        <v>44106</v>
      </c>
      <c r="G2444">
        <v>1</v>
      </c>
      <c r="H2444" t="s">
        <v>188</v>
      </c>
      <c r="I2444" t="s">
        <v>120</v>
      </c>
    </row>
    <row r="2445" spans="1:9" x14ac:dyDescent="0.25">
      <c r="A2445" s="8" t="str">
        <f t="shared" si="114"/>
        <v>2009171.000</v>
      </c>
      <c r="B2445" s="9" t="str">
        <f t="shared" si="115"/>
        <v>1</v>
      </c>
      <c r="C2445" s="10">
        <f t="shared" si="116"/>
        <v>44095</v>
      </c>
      <c r="D2445">
        <v>2009171</v>
      </c>
      <c r="E2445">
        <v>0</v>
      </c>
      <c r="F2445" s="6">
        <v>44099</v>
      </c>
      <c r="G2445">
        <v>1</v>
      </c>
      <c r="H2445" t="s">
        <v>188</v>
      </c>
      <c r="I2445" t="s">
        <v>120</v>
      </c>
    </row>
    <row r="2446" spans="1:9" x14ac:dyDescent="0.25">
      <c r="A2446" s="8" t="str">
        <f t="shared" si="114"/>
        <v>2009172.000</v>
      </c>
      <c r="B2446" s="9" t="str">
        <f t="shared" si="115"/>
        <v/>
      </c>
      <c r="C2446" s="10">
        <f t="shared" si="116"/>
        <v>44095</v>
      </c>
      <c r="D2446">
        <v>2009172</v>
      </c>
      <c r="E2446">
        <v>0</v>
      </c>
      <c r="F2446" s="6">
        <v>44099</v>
      </c>
      <c r="H2446" t="s">
        <v>189</v>
      </c>
      <c r="I2446" t="s">
        <v>120</v>
      </c>
    </row>
    <row r="2447" spans="1:9" x14ac:dyDescent="0.25">
      <c r="A2447" s="8" t="str">
        <f t="shared" si="114"/>
        <v>2009173.Z00</v>
      </c>
      <c r="B2447" s="9" t="str">
        <f t="shared" si="115"/>
        <v/>
      </c>
      <c r="C2447" s="10">
        <f t="shared" si="116"/>
        <v>44102</v>
      </c>
      <c r="D2447">
        <v>2009173</v>
      </c>
      <c r="E2447" t="s">
        <v>158</v>
      </c>
      <c r="F2447" s="6">
        <v>44106</v>
      </c>
      <c r="H2447" t="s">
        <v>188</v>
      </c>
      <c r="I2447" t="s">
        <v>120</v>
      </c>
    </row>
    <row r="2448" spans="1:9" x14ac:dyDescent="0.25">
      <c r="A2448" s="8" t="str">
        <f t="shared" si="114"/>
        <v>2009174.000</v>
      </c>
      <c r="B2448" s="9" t="str">
        <f t="shared" si="115"/>
        <v>1</v>
      </c>
      <c r="C2448" s="10">
        <f t="shared" si="116"/>
        <v>44116</v>
      </c>
      <c r="D2448">
        <v>2009174</v>
      </c>
      <c r="E2448">
        <v>0</v>
      </c>
      <c r="F2448" s="6">
        <v>44120</v>
      </c>
      <c r="G2448">
        <v>1</v>
      </c>
      <c r="H2448" t="s">
        <v>191</v>
      </c>
      <c r="I2448" t="s">
        <v>120</v>
      </c>
    </row>
    <row r="2449" spans="1:9" x14ac:dyDescent="0.25">
      <c r="A2449" s="8" t="str">
        <f t="shared" si="114"/>
        <v>2009174.NM0</v>
      </c>
      <c r="B2449" s="9" t="str">
        <f t="shared" si="115"/>
        <v>1</v>
      </c>
      <c r="C2449" s="10">
        <f t="shared" si="116"/>
        <v>44116</v>
      </c>
      <c r="D2449">
        <v>2009174</v>
      </c>
      <c r="E2449" t="s">
        <v>154</v>
      </c>
      <c r="F2449" s="6">
        <v>44120</v>
      </c>
      <c r="G2449">
        <v>1</v>
      </c>
      <c r="H2449" t="s">
        <v>191</v>
      </c>
      <c r="I2449" t="s">
        <v>120</v>
      </c>
    </row>
    <row r="2450" spans="1:9" x14ac:dyDescent="0.25">
      <c r="A2450" s="8" t="str">
        <f t="shared" si="114"/>
        <v>2009175.000</v>
      </c>
      <c r="B2450" s="9" t="str">
        <f t="shared" si="115"/>
        <v/>
      </c>
      <c r="C2450" s="10">
        <f t="shared" si="116"/>
        <v>44095</v>
      </c>
      <c r="D2450">
        <v>2009175</v>
      </c>
      <c r="E2450">
        <v>0</v>
      </c>
      <c r="F2450" s="6">
        <v>44099</v>
      </c>
      <c r="H2450" t="s">
        <v>189</v>
      </c>
      <c r="I2450" t="s">
        <v>120</v>
      </c>
    </row>
    <row r="2451" spans="1:9" x14ac:dyDescent="0.25">
      <c r="A2451" s="8" t="str">
        <f t="shared" si="114"/>
        <v>2009176.X01</v>
      </c>
      <c r="B2451" s="9" t="str">
        <f t="shared" si="115"/>
        <v/>
      </c>
      <c r="C2451" s="10">
        <f t="shared" si="116"/>
        <v>44102</v>
      </c>
      <c r="D2451">
        <v>2009176</v>
      </c>
      <c r="E2451" t="s">
        <v>161</v>
      </c>
      <c r="F2451" s="6">
        <v>44106</v>
      </c>
      <c r="H2451" t="s">
        <v>189</v>
      </c>
      <c r="I2451" t="s">
        <v>120</v>
      </c>
    </row>
    <row r="2452" spans="1:9" x14ac:dyDescent="0.25">
      <c r="A2452" s="8" t="str">
        <f t="shared" si="114"/>
        <v>2009177.XP0</v>
      </c>
      <c r="B2452" s="9" t="str">
        <f t="shared" si="115"/>
        <v>3</v>
      </c>
      <c r="C2452" s="10">
        <f t="shared" si="116"/>
        <v>44104</v>
      </c>
      <c r="D2452">
        <v>2009177</v>
      </c>
      <c r="E2452" t="s">
        <v>181</v>
      </c>
      <c r="F2452" s="6">
        <v>44106</v>
      </c>
      <c r="G2452">
        <v>3</v>
      </c>
      <c r="H2452" t="s">
        <v>189</v>
      </c>
      <c r="I2452" t="s">
        <v>120</v>
      </c>
    </row>
    <row r="2453" spans="1:9" x14ac:dyDescent="0.25">
      <c r="A2453" s="8" t="str">
        <f t="shared" si="114"/>
        <v>2009178.Y00</v>
      </c>
      <c r="B2453" s="9" t="str">
        <f t="shared" si="115"/>
        <v/>
      </c>
      <c r="C2453" s="10">
        <f t="shared" si="116"/>
        <v>44109</v>
      </c>
      <c r="D2453">
        <v>2009178</v>
      </c>
      <c r="E2453" t="s">
        <v>130</v>
      </c>
      <c r="F2453" s="6">
        <v>44113</v>
      </c>
      <c r="H2453" t="s">
        <v>189</v>
      </c>
      <c r="I2453" t="s">
        <v>120</v>
      </c>
    </row>
    <row r="2454" spans="1:9" x14ac:dyDescent="0.25">
      <c r="A2454" s="8" t="str">
        <f t="shared" si="114"/>
        <v>2009179.0P0</v>
      </c>
      <c r="B2454" s="9" t="str">
        <f t="shared" si="115"/>
        <v/>
      </c>
      <c r="C2454" s="10">
        <f t="shared" si="116"/>
        <v>44095</v>
      </c>
      <c r="D2454">
        <v>2009179</v>
      </c>
      <c r="E2454" t="s">
        <v>119</v>
      </c>
      <c r="F2454" s="6">
        <v>44099</v>
      </c>
      <c r="H2454" t="s">
        <v>189</v>
      </c>
      <c r="I2454" t="s">
        <v>120</v>
      </c>
    </row>
    <row r="2455" spans="1:9" x14ac:dyDescent="0.25">
      <c r="A2455" s="8" t="str">
        <f t="shared" si="114"/>
        <v>2009180.000</v>
      </c>
      <c r="B2455" s="9" t="str">
        <f t="shared" si="115"/>
        <v/>
      </c>
      <c r="C2455" s="10">
        <f t="shared" si="116"/>
        <v>44095</v>
      </c>
      <c r="D2455">
        <v>2009180</v>
      </c>
      <c r="E2455">
        <v>0</v>
      </c>
      <c r="F2455" s="6">
        <v>44099</v>
      </c>
      <c r="H2455" t="s">
        <v>189</v>
      </c>
      <c r="I2455" t="s">
        <v>120</v>
      </c>
    </row>
    <row r="2456" spans="1:9" x14ac:dyDescent="0.25">
      <c r="A2456" s="8" t="str">
        <f t="shared" si="114"/>
        <v>2009181.Y02</v>
      </c>
      <c r="B2456" s="9" t="str">
        <f t="shared" si="115"/>
        <v/>
      </c>
      <c r="C2456" s="10">
        <f t="shared" si="116"/>
        <v>44109</v>
      </c>
      <c r="D2456">
        <v>2009181</v>
      </c>
      <c r="E2456" t="s">
        <v>144</v>
      </c>
      <c r="F2456" s="6">
        <v>44113</v>
      </c>
      <c r="H2456" t="s">
        <v>188</v>
      </c>
      <c r="I2456" t="s">
        <v>120</v>
      </c>
    </row>
    <row r="2457" spans="1:9" x14ac:dyDescent="0.25">
      <c r="A2457" s="8" t="str">
        <f t="shared" si="114"/>
        <v>2009181.U02</v>
      </c>
      <c r="B2457" s="9" t="str">
        <f t="shared" si="115"/>
        <v/>
      </c>
      <c r="C2457" s="10">
        <f t="shared" si="116"/>
        <v>44109</v>
      </c>
      <c r="D2457">
        <v>2009181</v>
      </c>
      <c r="E2457" t="s">
        <v>149</v>
      </c>
      <c r="F2457" s="6">
        <v>44113</v>
      </c>
      <c r="H2457" t="s">
        <v>188</v>
      </c>
      <c r="I2457" t="s">
        <v>120</v>
      </c>
    </row>
    <row r="2458" spans="1:9" x14ac:dyDescent="0.25">
      <c r="A2458" s="8" t="str">
        <f t="shared" si="114"/>
        <v>2009181.UP2</v>
      </c>
      <c r="B2458" s="9" t="str">
        <f t="shared" si="115"/>
        <v/>
      </c>
      <c r="C2458" s="10">
        <f t="shared" si="116"/>
        <v>44109</v>
      </c>
      <c r="D2458">
        <v>2009181</v>
      </c>
      <c r="E2458" t="s">
        <v>160</v>
      </c>
      <c r="F2458" s="6">
        <v>44113</v>
      </c>
      <c r="H2458" t="s">
        <v>188</v>
      </c>
      <c r="I2458" t="s">
        <v>120</v>
      </c>
    </row>
    <row r="2459" spans="1:9" x14ac:dyDescent="0.25">
      <c r="A2459" s="8" t="str">
        <f t="shared" si="114"/>
        <v>2009182.T00</v>
      </c>
      <c r="B2459" s="9" t="str">
        <f t="shared" si="115"/>
        <v>1</v>
      </c>
      <c r="C2459" s="10">
        <f t="shared" si="116"/>
        <v>44109</v>
      </c>
      <c r="D2459">
        <v>2009182</v>
      </c>
      <c r="E2459" t="s">
        <v>159</v>
      </c>
      <c r="F2459" s="6">
        <v>44113</v>
      </c>
      <c r="G2459">
        <v>1</v>
      </c>
      <c r="H2459" t="s">
        <v>189</v>
      </c>
      <c r="I2459" t="s">
        <v>120</v>
      </c>
    </row>
    <row r="2460" spans="1:9" x14ac:dyDescent="0.25">
      <c r="A2460" s="8" t="str">
        <f t="shared" si="114"/>
        <v>2009183.000</v>
      </c>
      <c r="B2460" s="9" t="str">
        <f t="shared" si="115"/>
        <v/>
      </c>
      <c r="C2460" s="10">
        <f t="shared" si="116"/>
        <v>44102</v>
      </c>
      <c r="D2460">
        <v>2009183</v>
      </c>
      <c r="E2460">
        <v>0</v>
      </c>
      <c r="F2460" s="6">
        <v>44106</v>
      </c>
      <c r="H2460" t="s">
        <v>192</v>
      </c>
      <c r="I2460" t="s">
        <v>120</v>
      </c>
    </row>
    <row r="2461" spans="1:9" x14ac:dyDescent="0.25">
      <c r="A2461" s="8" t="str">
        <f t="shared" si="114"/>
        <v>2009184.000</v>
      </c>
      <c r="B2461" s="9" t="str">
        <f t="shared" si="115"/>
        <v>1</v>
      </c>
      <c r="C2461" s="10">
        <f t="shared" si="116"/>
        <v>44095</v>
      </c>
      <c r="D2461">
        <v>2009184</v>
      </c>
      <c r="E2461">
        <v>0</v>
      </c>
      <c r="F2461" s="6">
        <v>44099</v>
      </c>
      <c r="G2461">
        <v>1</v>
      </c>
      <c r="H2461" t="s">
        <v>192</v>
      </c>
      <c r="I2461" t="s">
        <v>120</v>
      </c>
    </row>
    <row r="2462" spans="1:9" x14ac:dyDescent="0.25">
      <c r="A2462" s="8" t="str">
        <f t="shared" si="114"/>
        <v>2009185.TP0</v>
      </c>
      <c r="B2462" s="9" t="str">
        <f t="shared" si="115"/>
        <v/>
      </c>
      <c r="C2462" s="10">
        <f t="shared" si="116"/>
        <v>44109</v>
      </c>
      <c r="D2462">
        <v>2009185</v>
      </c>
      <c r="E2462" t="s">
        <v>184</v>
      </c>
      <c r="F2462" s="6">
        <v>44113</v>
      </c>
      <c r="H2462" t="s">
        <v>189</v>
      </c>
      <c r="I2462" t="s">
        <v>120</v>
      </c>
    </row>
    <row r="2463" spans="1:9" x14ac:dyDescent="0.25">
      <c r="A2463" s="8" t="str">
        <f t="shared" si="114"/>
        <v>2009185.X00</v>
      </c>
      <c r="B2463" s="9" t="str">
        <f t="shared" si="115"/>
        <v/>
      </c>
      <c r="C2463" s="10">
        <f t="shared" si="116"/>
        <v>44109</v>
      </c>
      <c r="D2463">
        <v>2009185</v>
      </c>
      <c r="E2463" t="s">
        <v>225</v>
      </c>
      <c r="F2463" s="6">
        <v>44113</v>
      </c>
      <c r="H2463" t="s">
        <v>189</v>
      </c>
      <c r="I2463" t="s">
        <v>120</v>
      </c>
    </row>
    <row r="2464" spans="1:9" x14ac:dyDescent="0.25">
      <c r="A2464" s="8" t="str">
        <f t="shared" si="114"/>
        <v>2009186.0P0</v>
      </c>
      <c r="B2464" s="9" t="str">
        <f t="shared" si="115"/>
        <v/>
      </c>
      <c r="C2464" s="10">
        <f t="shared" si="116"/>
        <v>44095</v>
      </c>
      <c r="D2464">
        <v>2009186</v>
      </c>
      <c r="E2464" t="s">
        <v>119</v>
      </c>
      <c r="F2464" s="6">
        <v>44099</v>
      </c>
      <c r="H2464" t="s">
        <v>192</v>
      </c>
      <c r="I2464" t="s">
        <v>120</v>
      </c>
    </row>
    <row r="2465" spans="1:9" x14ac:dyDescent="0.25">
      <c r="A2465" s="8" t="str">
        <f t="shared" si="114"/>
        <v>2009190.X00</v>
      </c>
      <c r="B2465" s="9" t="str">
        <f t="shared" si="115"/>
        <v/>
      </c>
      <c r="C2465" s="10">
        <f t="shared" si="116"/>
        <v>44102</v>
      </c>
      <c r="D2465">
        <v>2009190</v>
      </c>
      <c r="E2465" t="s">
        <v>225</v>
      </c>
      <c r="F2465" s="6">
        <v>44106</v>
      </c>
      <c r="H2465" t="s">
        <v>189</v>
      </c>
      <c r="I2465" t="s">
        <v>120</v>
      </c>
    </row>
    <row r="2466" spans="1:9" x14ac:dyDescent="0.25">
      <c r="A2466" s="8" t="str">
        <f t="shared" si="114"/>
        <v>2009190.XP0</v>
      </c>
      <c r="B2466" s="9" t="str">
        <f t="shared" si="115"/>
        <v/>
      </c>
      <c r="C2466" s="10">
        <f t="shared" si="116"/>
        <v>44102</v>
      </c>
      <c r="D2466">
        <v>2009190</v>
      </c>
      <c r="E2466" t="s">
        <v>181</v>
      </c>
      <c r="F2466" s="6">
        <v>44106</v>
      </c>
      <c r="H2466" t="s">
        <v>189</v>
      </c>
      <c r="I2466" t="s">
        <v>120</v>
      </c>
    </row>
    <row r="2467" spans="1:9" x14ac:dyDescent="0.25">
      <c r="A2467" s="8" t="str">
        <f t="shared" si="114"/>
        <v>2009191.U00</v>
      </c>
      <c r="B2467" s="9" t="str">
        <f t="shared" si="115"/>
        <v/>
      </c>
      <c r="C2467" s="10">
        <f t="shared" si="116"/>
        <v>44109</v>
      </c>
      <c r="D2467">
        <v>2009191</v>
      </c>
      <c r="E2467" t="s">
        <v>131</v>
      </c>
      <c r="F2467" s="6">
        <v>44113</v>
      </c>
      <c r="H2467" t="s">
        <v>192</v>
      </c>
      <c r="I2467" t="s">
        <v>120</v>
      </c>
    </row>
    <row r="2468" spans="1:9" x14ac:dyDescent="0.25">
      <c r="A2468" s="8" t="str">
        <f t="shared" si="114"/>
        <v>2009192.U02</v>
      </c>
      <c r="B2468" s="9" t="str">
        <f t="shared" si="115"/>
        <v/>
      </c>
      <c r="C2468" s="10">
        <f t="shared" si="116"/>
        <v>44109</v>
      </c>
      <c r="D2468">
        <v>2009192</v>
      </c>
      <c r="E2468" t="s">
        <v>149</v>
      </c>
      <c r="F2468" s="6">
        <v>44113</v>
      </c>
      <c r="H2468" t="s">
        <v>189</v>
      </c>
      <c r="I2468" t="s">
        <v>120</v>
      </c>
    </row>
    <row r="2469" spans="1:9" x14ac:dyDescent="0.25">
      <c r="A2469" s="8" t="str">
        <f t="shared" si="114"/>
        <v>2009193.000</v>
      </c>
      <c r="B2469" s="9" t="str">
        <f t="shared" si="115"/>
        <v/>
      </c>
      <c r="C2469" s="10">
        <f t="shared" si="116"/>
        <v>44095</v>
      </c>
      <c r="D2469">
        <v>2009193</v>
      </c>
      <c r="E2469">
        <v>0</v>
      </c>
      <c r="F2469" s="6">
        <v>44099</v>
      </c>
      <c r="H2469" t="s">
        <v>189</v>
      </c>
      <c r="I2469" t="s">
        <v>120</v>
      </c>
    </row>
    <row r="2470" spans="1:9" x14ac:dyDescent="0.25">
      <c r="A2470" s="8" t="str">
        <f t="shared" si="114"/>
        <v>2009194.NF0</v>
      </c>
      <c r="B2470" s="9" t="str">
        <f t="shared" si="115"/>
        <v/>
      </c>
      <c r="C2470" s="10">
        <f t="shared" si="116"/>
        <v>44109</v>
      </c>
      <c r="D2470">
        <v>2009194</v>
      </c>
      <c r="E2470" t="s">
        <v>137</v>
      </c>
      <c r="F2470" s="6">
        <v>44113</v>
      </c>
      <c r="H2470" t="s">
        <v>189</v>
      </c>
      <c r="I2470" t="s">
        <v>120</v>
      </c>
    </row>
    <row r="2471" spans="1:9" x14ac:dyDescent="0.25">
      <c r="A2471" s="8" t="str">
        <f t="shared" si="114"/>
        <v>2009194.Y00</v>
      </c>
      <c r="B2471" s="9" t="str">
        <f t="shared" si="115"/>
        <v/>
      </c>
      <c r="C2471" s="10">
        <f t="shared" si="116"/>
        <v>44109</v>
      </c>
      <c r="D2471">
        <v>2009194</v>
      </c>
      <c r="E2471" t="s">
        <v>130</v>
      </c>
      <c r="F2471" s="6">
        <v>44113</v>
      </c>
      <c r="H2471" t="s">
        <v>189</v>
      </c>
      <c r="I2471" t="s">
        <v>120</v>
      </c>
    </row>
    <row r="2472" spans="1:9" x14ac:dyDescent="0.25">
      <c r="A2472" s="8" t="str">
        <f t="shared" si="114"/>
        <v>2009195.Z01</v>
      </c>
      <c r="B2472" s="9" t="str">
        <f t="shared" si="115"/>
        <v/>
      </c>
      <c r="C2472" s="10">
        <f t="shared" si="116"/>
        <v>44116</v>
      </c>
      <c r="D2472">
        <v>2009195</v>
      </c>
      <c r="E2472" t="s">
        <v>135</v>
      </c>
      <c r="F2472" s="6">
        <v>44120</v>
      </c>
      <c r="H2472" t="s">
        <v>189</v>
      </c>
      <c r="I2472" t="s">
        <v>120</v>
      </c>
    </row>
    <row r="2473" spans="1:9" x14ac:dyDescent="0.25">
      <c r="A2473" s="8" t="str">
        <f t="shared" si="114"/>
        <v>2009195.U02</v>
      </c>
      <c r="B2473" s="9" t="str">
        <f t="shared" si="115"/>
        <v/>
      </c>
      <c r="C2473" s="10">
        <f t="shared" si="116"/>
        <v>44116</v>
      </c>
      <c r="D2473">
        <v>2009195</v>
      </c>
      <c r="E2473" t="s">
        <v>149</v>
      </c>
      <c r="F2473" s="6">
        <v>44120</v>
      </c>
      <c r="H2473" t="s">
        <v>189</v>
      </c>
      <c r="I2473" t="s">
        <v>120</v>
      </c>
    </row>
    <row r="2474" spans="1:9" x14ac:dyDescent="0.25">
      <c r="A2474" s="8" t="str">
        <f t="shared" si="114"/>
        <v>2009195.000</v>
      </c>
      <c r="B2474" s="9" t="str">
        <f t="shared" si="115"/>
        <v/>
      </c>
      <c r="C2474" s="10">
        <f t="shared" si="116"/>
        <v>44116</v>
      </c>
      <c r="D2474">
        <v>2009195</v>
      </c>
      <c r="E2474">
        <v>0</v>
      </c>
      <c r="F2474" s="6">
        <v>44120</v>
      </c>
      <c r="H2474" t="s">
        <v>189</v>
      </c>
      <c r="I2474" t="s">
        <v>120</v>
      </c>
    </row>
    <row r="2475" spans="1:9" x14ac:dyDescent="0.25">
      <c r="A2475" s="8" t="str">
        <f t="shared" ref="A2475:A2538" si="117">IF(D2475="","",IF(E2475=0,CONCATENATE(D2475,".",E2475,"00"),CONCATENATE(D2475,".",E2475)))</f>
        <v>2009195.C00</v>
      </c>
      <c r="B2475" s="9" t="str">
        <f t="shared" ref="B2475:B2538" si="118">LEFT(G2475,1)</f>
        <v/>
      </c>
      <c r="C2475" s="10">
        <f t="shared" ref="C2475:C2538" si="119">IF(F2475="","",IF(B2475="",F2475-4,IF(B2475="1",F2475-4,IF(B2475="2",F2475-3,IF(B2475="3",F2475-2,IF(B2475="4",F2475-1,IF(B2475="V",F2475-7,IF(B2475="J",F2475-8,F2475))))))))</f>
        <v>44116</v>
      </c>
      <c r="D2475">
        <v>2009195</v>
      </c>
      <c r="E2475" t="s">
        <v>147</v>
      </c>
      <c r="F2475" s="6">
        <v>44120</v>
      </c>
      <c r="H2475" t="s">
        <v>189</v>
      </c>
      <c r="I2475" t="s">
        <v>120</v>
      </c>
    </row>
    <row r="2476" spans="1:9" x14ac:dyDescent="0.25">
      <c r="A2476" s="8" t="str">
        <f t="shared" si="117"/>
        <v>2009196.X00</v>
      </c>
      <c r="B2476" s="9" t="str">
        <f t="shared" si="118"/>
        <v>4</v>
      </c>
      <c r="C2476" s="10">
        <f t="shared" si="119"/>
        <v>44098</v>
      </c>
      <c r="D2476">
        <v>2009196</v>
      </c>
      <c r="E2476" t="s">
        <v>225</v>
      </c>
      <c r="F2476" s="6">
        <v>44099</v>
      </c>
      <c r="G2476">
        <v>4</v>
      </c>
      <c r="H2476" t="s">
        <v>192</v>
      </c>
      <c r="I2476" t="s">
        <v>120</v>
      </c>
    </row>
    <row r="2477" spans="1:9" x14ac:dyDescent="0.25">
      <c r="A2477" s="8" t="str">
        <f t="shared" si="117"/>
        <v>2009197.000</v>
      </c>
      <c r="B2477" s="9" t="str">
        <f t="shared" si="118"/>
        <v/>
      </c>
      <c r="C2477" s="10">
        <f t="shared" si="119"/>
        <v>44088</v>
      </c>
      <c r="D2477">
        <v>2009197</v>
      </c>
      <c r="E2477">
        <v>0</v>
      </c>
      <c r="F2477" s="6">
        <v>44092</v>
      </c>
      <c r="H2477" t="s">
        <v>189</v>
      </c>
      <c r="I2477" t="s">
        <v>120</v>
      </c>
    </row>
    <row r="2478" spans="1:9" x14ac:dyDescent="0.25">
      <c r="A2478" s="8" t="str">
        <f t="shared" si="117"/>
        <v>2009198.000</v>
      </c>
      <c r="B2478" s="9" t="str">
        <f t="shared" si="118"/>
        <v>1</v>
      </c>
      <c r="C2478" s="10">
        <f t="shared" si="119"/>
        <v>44095</v>
      </c>
      <c r="D2478">
        <v>2009198</v>
      </c>
      <c r="E2478">
        <v>0</v>
      </c>
      <c r="F2478" s="6">
        <v>44099</v>
      </c>
      <c r="G2478">
        <v>1</v>
      </c>
      <c r="H2478" t="s">
        <v>192</v>
      </c>
      <c r="I2478" t="s">
        <v>120</v>
      </c>
    </row>
    <row r="2479" spans="1:9" x14ac:dyDescent="0.25">
      <c r="A2479" s="8" t="str">
        <f t="shared" si="117"/>
        <v>2009199.Y00</v>
      </c>
      <c r="B2479" s="9" t="str">
        <f t="shared" si="118"/>
        <v/>
      </c>
      <c r="C2479" s="10">
        <f t="shared" si="119"/>
        <v>44109</v>
      </c>
      <c r="D2479">
        <v>2009199</v>
      </c>
      <c r="E2479" t="s">
        <v>130</v>
      </c>
      <c r="F2479" s="6">
        <v>44113</v>
      </c>
      <c r="H2479" t="s">
        <v>189</v>
      </c>
      <c r="I2479" t="s">
        <v>120</v>
      </c>
    </row>
    <row r="2480" spans="1:9" x14ac:dyDescent="0.25">
      <c r="A2480" s="8" t="str">
        <f t="shared" si="117"/>
        <v>2009199.000</v>
      </c>
      <c r="B2480" s="9" t="str">
        <f t="shared" si="118"/>
        <v/>
      </c>
      <c r="C2480" s="10">
        <f t="shared" si="119"/>
        <v>44109</v>
      </c>
      <c r="D2480">
        <v>2009199</v>
      </c>
      <c r="E2480">
        <v>0</v>
      </c>
      <c r="F2480" s="6">
        <v>44113</v>
      </c>
      <c r="H2480" t="s">
        <v>189</v>
      </c>
      <c r="I2480" t="s">
        <v>120</v>
      </c>
    </row>
    <row r="2481" spans="1:9" x14ac:dyDescent="0.25">
      <c r="A2481" s="8" t="str">
        <f t="shared" si="117"/>
        <v>2009200.NV0</v>
      </c>
      <c r="B2481" s="9" t="str">
        <f t="shared" si="118"/>
        <v>1</v>
      </c>
      <c r="C2481" s="10">
        <f t="shared" si="119"/>
        <v>44074</v>
      </c>
      <c r="D2481">
        <v>2009200</v>
      </c>
      <c r="E2481" t="s">
        <v>126</v>
      </c>
      <c r="F2481" s="6">
        <v>44078</v>
      </c>
      <c r="G2481">
        <v>1</v>
      </c>
      <c r="H2481" t="s">
        <v>188</v>
      </c>
      <c r="I2481" t="s">
        <v>120</v>
      </c>
    </row>
    <row r="2482" spans="1:9" x14ac:dyDescent="0.25">
      <c r="A2482" s="8" t="str">
        <f t="shared" si="117"/>
        <v>2009201.HPL</v>
      </c>
      <c r="B2482" s="9" t="str">
        <f t="shared" si="118"/>
        <v>1</v>
      </c>
      <c r="C2482" s="10">
        <f t="shared" si="119"/>
        <v>44102</v>
      </c>
      <c r="D2482">
        <v>2009201</v>
      </c>
      <c r="E2482" t="s">
        <v>128</v>
      </c>
      <c r="F2482" s="6">
        <v>44106</v>
      </c>
      <c r="G2482">
        <v>1</v>
      </c>
      <c r="H2482" t="s">
        <v>192</v>
      </c>
      <c r="I2482" t="s">
        <v>120</v>
      </c>
    </row>
    <row r="2483" spans="1:9" x14ac:dyDescent="0.25">
      <c r="A2483" s="8" t="str">
        <f t="shared" si="117"/>
        <v>2009201.000</v>
      </c>
      <c r="B2483" s="9" t="str">
        <f t="shared" si="118"/>
        <v>1</v>
      </c>
      <c r="C2483" s="10">
        <f t="shared" si="119"/>
        <v>44102</v>
      </c>
      <c r="D2483">
        <v>2009201</v>
      </c>
      <c r="E2483">
        <v>0</v>
      </c>
      <c r="F2483" s="6">
        <v>44106</v>
      </c>
      <c r="G2483">
        <v>1</v>
      </c>
      <c r="H2483" t="s">
        <v>192</v>
      </c>
      <c r="I2483" t="s">
        <v>120</v>
      </c>
    </row>
    <row r="2484" spans="1:9" x14ac:dyDescent="0.25">
      <c r="A2484" s="8" t="str">
        <f t="shared" si="117"/>
        <v>2009202.000</v>
      </c>
      <c r="B2484" s="9" t="str">
        <f t="shared" si="118"/>
        <v/>
      </c>
      <c r="C2484" s="10">
        <f t="shared" si="119"/>
        <v>44095</v>
      </c>
      <c r="D2484">
        <v>2009202</v>
      </c>
      <c r="E2484">
        <v>0</v>
      </c>
      <c r="F2484" s="6">
        <v>44099</v>
      </c>
      <c r="H2484" t="s">
        <v>191</v>
      </c>
      <c r="I2484" t="s">
        <v>120</v>
      </c>
    </row>
    <row r="2485" spans="1:9" x14ac:dyDescent="0.25">
      <c r="A2485" s="8" t="str">
        <f t="shared" si="117"/>
        <v>2009203.U02</v>
      </c>
      <c r="B2485" s="9" t="str">
        <f t="shared" si="118"/>
        <v/>
      </c>
      <c r="C2485" s="10">
        <f t="shared" si="119"/>
        <v>44109</v>
      </c>
      <c r="D2485">
        <v>2009203</v>
      </c>
      <c r="E2485" t="s">
        <v>149</v>
      </c>
      <c r="F2485" s="6">
        <v>44113</v>
      </c>
      <c r="H2485" t="s">
        <v>189</v>
      </c>
      <c r="I2485" t="s">
        <v>120</v>
      </c>
    </row>
    <row r="2486" spans="1:9" x14ac:dyDescent="0.25">
      <c r="A2486" s="8" t="str">
        <f t="shared" si="117"/>
        <v>2009204.000</v>
      </c>
      <c r="B2486" s="9" t="str">
        <f t="shared" si="118"/>
        <v/>
      </c>
      <c r="C2486" s="10">
        <f t="shared" si="119"/>
        <v>44095</v>
      </c>
      <c r="D2486">
        <v>2009204</v>
      </c>
      <c r="E2486">
        <v>0</v>
      </c>
      <c r="F2486" s="6">
        <v>44099</v>
      </c>
      <c r="H2486" t="s">
        <v>189</v>
      </c>
      <c r="I2486" t="s">
        <v>120</v>
      </c>
    </row>
    <row r="2487" spans="1:9" x14ac:dyDescent="0.25">
      <c r="A2487" s="8" t="str">
        <f t="shared" si="117"/>
        <v>2009205.UP2</v>
      </c>
      <c r="B2487" s="9" t="str">
        <f t="shared" si="118"/>
        <v/>
      </c>
      <c r="C2487" s="10">
        <f t="shared" si="119"/>
        <v>44109</v>
      </c>
      <c r="D2487">
        <v>2009205</v>
      </c>
      <c r="E2487" t="s">
        <v>160</v>
      </c>
      <c r="F2487" s="6">
        <v>44113</v>
      </c>
      <c r="H2487" t="s">
        <v>189</v>
      </c>
      <c r="I2487" t="s">
        <v>120</v>
      </c>
    </row>
    <row r="2488" spans="1:9" x14ac:dyDescent="0.25">
      <c r="A2488" s="8" t="str">
        <f t="shared" si="117"/>
        <v>2009206.CP0</v>
      </c>
      <c r="B2488" s="9" t="str">
        <f t="shared" si="118"/>
        <v/>
      </c>
      <c r="C2488" s="10">
        <f t="shared" si="119"/>
        <v>44109</v>
      </c>
      <c r="D2488">
        <v>2009206</v>
      </c>
      <c r="E2488" t="s">
        <v>148</v>
      </c>
      <c r="F2488" s="6">
        <v>44113</v>
      </c>
      <c r="H2488" t="s">
        <v>191</v>
      </c>
      <c r="I2488" t="s">
        <v>120</v>
      </c>
    </row>
    <row r="2489" spans="1:9" x14ac:dyDescent="0.25">
      <c r="A2489" s="8" t="str">
        <f t="shared" si="117"/>
        <v>2009206.000</v>
      </c>
      <c r="B2489" s="9" t="str">
        <f t="shared" si="118"/>
        <v/>
      </c>
      <c r="C2489" s="10">
        <f t="shared" si="119"/>
        <v>44109</v>
      </c>
      <c r="D2489">
        <v>2009206</v>
      </c>
      <c r="E2489">
        <v>0</v>
      </c>
      <c r="F2489" s="6">
        <v>44113</v>
      </c>
      <c r="H2489" t="s">
        <v>191</v>
      </c>
      <c r="I2489" t="s">
        <v>120</v>
      </c>
    </row>
    <row r="2490" spans="1:9" x14ac:dyDescent="0.25">
      <c r="A2490" s="8" t="str">
        <f t="shared" si="117"/>
        <v>2009206.C00</v>
      </c>
      <c r="B2490" s="9" t="str">
        <f t="shared" si="118"/>
        <v/>
      </c>
      <c r="C2490" s="10">
        <f t="shared" si="119"/>
        <v>44109</v>
      </c>
      <c r="D2490">
        <v>2009206</v>
      </c>
      <c r="E2490" t="s">
        <v>147</v>
      </c>
      <c r="F2490" s="6">
        <v>44113</v>
      </c>
      <c r="H2490" t="s">
        <v>191</v>
      </c>
      <c r="I2490" t="s">
        <v>120</v>
      </c>
    </row>
    <row r="2491" spans="1:9" x14ac:dyDescent="0.25">
      <c r="A2491" s="8" t="str">
        <f t="shared" si="117"/>
        <v>2009207.Y01</v>
      </c>
      <c r="B2491" s="9" t="str">
        <f t="shared" si="118"/>
        <v>4</v>
      </c>
      <c r="C2491" s="10">
        <f t="shared" si="119"/>
        <v>44091</v>
      </c>
      <c r="D2491">
        <v>2009207</v>
      </c>
      <c r="E2491" t="s">
        <v>132</v>
      </c>
      <c r="F2491" s="6">
        <v>44092</v>
      </c>
      <c r="G2491">
        <v>4</v>
      </c>
      <c r="H2491" t="s">
        <v>189</v>
      </c>
      <c r="I2491" t="s">
        <v>120</v>
      </c>
    </row>
    <row r="2492" spans="1:9" x14ac:dyDescent="0.25">
      <c r="A2492" s="8" t="str">
        <f t="shared" si="117"/>
        <v>2009208.H00</v>
      </c>
      <c r="B2492" s="9" t="str">
        <f t="shared" si="118"/>
        <v/>
      </c>
      <c r="C2492" s="10">
        <f t="shared" si="119"/>
        <v>44102</v>
      </c>
      <c r="D2492">
        <v>2009208</v>
      </c>
      <c r="E2492" t="s">
        <v>122</v>
      </c>
      <c r="F2492" s="6">
        <v>44106</v>
      </c>
      <c r="H2492" t="s">
        <v>192</v>
      </c>
      <c r="I2492" t="s">
        <v>120</v>
      </c>
    </row>
    <row r="2493" spans="1:9" x14ac:dyDescent="0.25">
      <c r="A2493" s="8" t="str">
        <f t="shared" si="117"/>
        <v>2009209.000</v>
      </c>
      <c r="B2493" s="9" t="str">
        <f t="shared" si="118"/>
        <v/>
      </c>
      <c r="C2493" s="10">
        <f t="shared" si="119"/>
        <v>44095</v>
      </c>
      <c r="D2493">
        <v>2009209</v>
      </c>
      <c r="E2493">
        <v>0</v>
      </c>
      <c r="F2493" s="6">
        <v>44099</v>
      </c>
      <c r="H2493" t="s">
        <v>189</v>
      </c>
      <c r="I2493" t="s">
        <v>120</v>
      </c>
    </row>
    <row r="2494" spans="1:9" x14ac:dyDescent="0.25">
      <c r="A2494" s="8" t="str">
        <f t="shared" si="117"/>
        <v>2009210.X00</v>
      </c>
      <c r="B2494" s="9" t="str">
        <f t="shared" si="118"/>
        <v>1</v>
      </c>
      <c r="C2494" s="10">
        <f t="shared" si="119"/>
        <v>44102</v>
      </c>
      <c r="D2494">
        <v>2009210</v>
      </c>
      <c r="E2494" t="s">
        <v>225</v>
      </c>
      <c r="F2494" s="6">
        <v>44106</v>
      </c>
      <c r="G2494">
        <v>1</v>
      </c>
      <c r="H2494" t="s">
        <v>189</v>
      </c>
      <c r="I2494" t="s">
        <v>120</v>
      </c>
    </row>
    <row r="2495" spans="1:9" x14ac:dyDescent="0.25">
      <c r="A2495" s="8" t="str">
        <f t="shared" si="117"/>
        <v>2009211.X00</v>
      </c>
      <c r="B2495" s="9" t="str">
        <f t="shared" si="118"/>
        <v>1</v>
      </c>
      <c r="C2495" s="10">
        <f t="shared" si="119"/>
        <v>44102</v>
      </c>
      <c r="D2495">
        <v>2009211</v>
      </c>
      <c r="E2495" t="s">
        <v>225</v>
      </c>
      <c r="F2495" s="6">
        <v>44106</v>
      </c>
      <c r="G2495">
        <v>1</v>
      </c>
      <c r="H2495" t="s">
        <v>188</v>
      </c>
      <c r="I2495" t="s">
        <v>120</v>
      </c>
    </row>
    <row r="2496" spans="1:9" x14ac:dyDescent="0.25">
      <c r="A2496" s="8" t="str">
        <f t="shared" si="117"/>
        <v>2009212.0P0</v>
      </c>
      <c r="B2496" s="9" t="str">
        <f t="shared" si="118"/>
        <v/>
      </c>
      <c r="C2496" s="10">
        <f t="shared" si="119"/>
        <v>44102</v>
      </c>
      <c r="D2496">
        <v>2009212</v>
      </c>
      <c r="E2496" t="s">
        <v>119</v>
      </c>
      <c r="F2496" s="6">
        <v>44106</v>
      </c>
      <c r="H2496" t="s">
        <v>189</v>
      </c>
      <c r="I2496" t="s">
        <v>120</v>
      </c>
    </row>
    <row r="2497" spans="1:9" x14ac:dyDescent="0.25">
      <c r="A2497" s="8" t="str">
        <f t="shared" si="117"/>
        <v>2009212.000</v>
      </c>
      <c r="B2497" s="9" t="str">
        <f t="shared" si="118"/>
        <v/>
      </c>
      <c r="C2497" s="10">
        <f t="shared" si="119"/>
        <v>44102</v>
      </c>
      <c r="D2497">
        <v>2009212</v>
      </c>
      <c r="E2497">
        <v>0</v>
      </c>
      <c r="F2497" s="6">
        <v>44106</v>
      </c>
      <c r="H2497" t="s">
        <v>189</v>
      </c>
      <c r="I2497" t="s">
        <v>120</v>
      </c>
    </row>
    <row r="2498" spans="1:9" x14ac:dyDescent="0.25">
      <c r="A2498" s="8" t="str">
        <f t="shared" si="117"/>
        <v>2009213.Y00</v>
      </c>
      <c r="B2498" s="9" t="str">
        <f t="shared" si="118"/>
        <v/>
      </c>
      <c r="C2498" s="10">
        <f t="shared" si="119"/>
        <v>44109</v>
      </c>
      <c r="D2498">
        <v>2009213</v>
      </c>
      <c r="E2498" t="s">
        <v>130</v>
      </c>
      <c r="F2498" s="6">
        <v>44113</v>
      </c>
      <c r="H2498" t="s">
        <v>189</v>
      </c>
      <c r="I2498" t="s">
        <v>120</v>
      </c>
    </row>
    <row r="2499" spans="1:9" x14ac:dyDescent="0.25">
      <c r="A2499" s="8" t="str">
        <f t="shared" si="117"/>
        <v>2009214.N00</v>
      </c>
      <c r="B2499" s="9" t="str">
        <f t="shared" si="118"/>
        <v>4</v>
      </c>
      <c r="C2499" s="10">
        <f t="shared" si="119"/>
        <v>44077</v>
      </c>
      <c r="D2499">
        <v>2009214</v>
      </c>
      <c r="E2499" t="s">
        <v>125</v>
      </c>
      <c r="F2499" s="6">
        <v>44078</v>
      </c>
      <c r="G2499">
        <v>41</v>
      </c>
      <c r="H2499" t="s">
        <v>194</v>
      </c>
      <c r="I2499" t="s">
        <v>120</v>
      </c>
    </row>
    <row r="2500" spans="1:9" x14ac:dyDescent="0.25">
      <c r="A2500" s="8" t="str">
        <f t="shared" si="117"/>
        <v>2009215.0P0</v>
      </c>
      <c r="B2500" s="9" t="str">
        <f t="shared" si="118"/>
        <v>1</v>
      </c>
      <c r="C2500" s="10">
        <f t="shared" si="119"/>
        <v>44095</v>
      </c>
      <c r="D2500">
        <v>2009215</v>
      </c>
      <c r="E2500" t="s">
        <v>119</v>
      </c>
      <c r="F2500" s="6">
        <v>44099</v>
      </c>
      <c r="G2500">
        <v>1</v>
      </c>
      <c r="H2500" t="s">
        <v>191</v>
      </c>
      <c r="I2500" t="s">
        <v>120</v>
      </c>
    </row>
    <row r="2501" spans="1:9" x14ac:dyDescent="0.25">
      <c r="A2501" s="8" t="str">
        <f t="shared" si="117"/>
        <v>2009215.000</v>
      </c>
      <c r="B2501" s="9" t="str">
        <f t="shared" si="118"/>
        <v>1</v>
      </c>
      <c r="C2501" s="10">
        <f t="shared" si="119"/>
        <v>44095</v>
      </c>
      <c r="D2501">
        <v>2009215</v>
      </c>
      <c r="E2501">
        <v>0</v>
      </c>
      <c r="F2501" s="6">
        <v>44099</v>
      </c>
      <c r="G2501">
        <v>1</v>
      </c>
      <c r="H2501" t="s">
        <v>191</v>
      </c>
      <c r="I2501" t="s">
        <v>120</v>
      </c>
    </row>
    <row r="2502" spans="1:9" x14ac:dyDescent="0.25">
      <c r="A2502" s="8" t="str">
        <f t="shared" si="117"/>
        <v>2009216.C00</v>
      </c>
      <c r="B2502" s="9" t="str">
        <f t="shared" si="118"/>
        <v>4</v>
      </c>
      <c r="C2502" s="10">
        <f t="shared" si="119"/>
        <v>44126</v>
      </c>
      <c r="D2502">
        <v>2009216</v>
      </c>
      <c r="E2502" t="s">
        <v>147</v>
      </c>
      <c r="F2502" s="6">
        <v>44127</v>
      </c>
      <c r="G2502">
        <v>43</v>
      </c>
      <c r="H2502" t="s">
        <v>188</v>
      </c>
      <c r="I2502" t="s">
        <v>120</v>
      </c>
    </row>
    <row r="2503" spans="1:9" x14ac:dyDescent="0.25">
      <c r="A2503" s="8" t="str">
        <f t="shared" si="117"/>
        <v>2009217.0P0</v>
      </c>
      <c r="B2503" s="9" t="str">
        <f t="shared" si="118"/>
        <v>4</v>
      </c>
      <c r="C2503" s="10">
        <f t="shared" si="119"/>
        <v>44098</v>
      </c>
      <c r="D2503">
        <v>2009217</v>
      </c>
      <c r="E2503" t="s">
        <v>119</v>
      </c>
      <c r="F2503" s="6">
        <v>44099</v>
      </c>
      <c r="G2503">
        <v>41</v>
      </c>
      <c r="H2503" t="s">
        <v>188</v>
      </c>
      <c r="I2503" t="s">
        <v>120</v>
      </c>
    </row>
    <row r="2504" spans="1:9" x14ac:dyDescent="0.25">
      <c r="A2504" s="8" t="str">
        <f t="shared" si="117"/>
        <v>2009218.000</v>
      </c>
      <c r="B2504" s="9" t="str">
        <f t="shared" si="118"/>
        <v>4</v>
      </c>
      <c r="C2504" s="10">
        <f t="shared" si="119"/>
        <v>44126</v>
      </c>
      <c r="D2504">
        <v>2009218</v>
      </c>
      <c r="E2504">
        <v>0</v>
      </c>
      <c r="F2504" s="6">
        <v>44127</v>
      </c>
      <c r="G2504">
        <v>41</v>
      </c>
      <c r="H2504" t="s">
        <v>188</v>
      </c>
      <c r="I2504" t="s">
        <v>120</v>
      </c>
    </row>
    <row r="2505" spans="1:9" x14ac:dyDescent="0.25">
      <c r="A2505" s="8" t="str">
        <f t="shared" si="117"/>
        <v>2009219.XP0</v>
      </c>
      <c r="B2505" s="9" t="str">
        <f t="shared" si="118"/>
        <v>4</v>
      </c>
      <c r="C2505" s="10">
        <f t="shared" si="119"/>
        <v>44105</v>
      </c>
      <c r="D2505">
        <v>2009219</v>
      </c>
      <c r="E2505" t="s">
        <v>181</v>
      </c>
      <c r="F2505" s="6">
        <v>44106</v>
      </c>
      <c r="G2505">
        <v>4</v>
      </c>
      <c r="H2505" t="s">
        <v>189</v>
      </c>
      <c r="I2505" t="s">
        <v>120</v>
      </c>
    </row>
    <row r="2506" spans="1:9" x14ac:dyDescent="0.25">
      <c r="A2506" s="8" t="str">
        <f t="shared" si="117"/>
        <v>2009220.000</v>
      </c>
      <c r="B2506" s="9" t="str">
        <f t="shared" si="118"/>
        <v>1</v>
      </c>
      <c r="C2506" s="10">
        <f t="shared" si="119"/>
        <v>44109</v>
      </c>
      <c r="D2506">
        <v>2009220</v>
      </c>
      <c r="E2506">
        <v>0</v>
      </c>
      <c r="F2506" s="6">
        <v>44113</v>
      </c>
      <c r="G2506">
        <v>1</v>
      </c>
      <c r="H2506" t="s">
        <v>192</v>
      </c>
      <c r="I2506" t="s">
        <v>120</v>
      </c>
    </row>
    <row r="2507" spans="1:9" x14ac:dyDescent="0.25">
      <c r="A2507" s="8" t="str">
        <f t="shared" si="117"/>
        <v>2009220.Y00</v>
      </c>
      <c r="B2507" s="9" t="str">
        <f t="shared" si="118"/>
        <v>1</v>
      </c>
      <c r="C2507" s="10">
        <f t="shared" si="119"/>
        <v>44109</v>
      </c>
      <c r="D2507">
        <v>2009220</v>
      </c>
      <c r="E2507" t="s">
        <v>130</v>
      </c>
      <c r="F2507" s="6">
        <v>44113</v>
      </c>
      <c r="G2507">
        <v>1</v>
      </c>
      <c r="H2507" t="s">
        <v>188</v>
      </c>
      <c r="I2507" t="s">
        <v>120</v>
      </c>
    </row>
    <row r="2508" spans="1:9" x14ac:dyDescent="0.25">
      <c r="A2508" s="8" t="str">
        <f t="shared" si="117"/>
        <v>2009220.HP0</v>
      </c>
      <c r="B2508" s="9" t="str">
        <f t="shared" si="118"/>
        <v>1</v>
      </c>
      <c r="C2508" s="10">
        <f t="shared" si="119"/>
        <v>44109</v>
      </c>
      <c r="D2508">
        <v>2009220</v>
      </c>
      <c r="E2508" t="s">
        <v>121</v>
      </c>
      <c r="F2508" s="6">
        <v>44113</v>
      </c>
      <c r="G2508">
        <v>1</v>
      </c>
      <c r="H2508" t="s">
        <v>192</v>
      </c>
      <c r="I2508" t="s">
        <v>120</v>
      </c>
    </row>
    <row r="2509" spans="1:9" x14ac:dyDescent="0.25">
      <c r="A2509" s="8" t="str">
        <f t="shared" si="117"/>
        <v>2009221.HP0</v>
      </c>
      <c r="B2509" s="9" t="str">
        <f t="shared" si="118"/>
        <v>1</v>
      </c>
      <c r="C2509" s="10">
        <f t="shared" si="119"/>
        <v>44109</v>
      </c>
      <c r="D2509">
        <v>2009221</v>
      </c>
      <c r="E2509" t="s">
        <v>121</v>
      </c>
      <c r="F2509" s="6">
        <v>44113</v>
      </c>
      <c r="G2509">
        <v>1</v>
      </c>
      <c r="H2509" t="s">
        <v>192</v>
      </c>
      <c r="I2509" t="s">
        <v>120</v>
      </c>
    </row>
    <row r="2510" spans="1:9" x14ac:dyDescent="0.25">
      <c r="A2510" s="8" t="str">
        <f t="shared" si="117"/>
        <v>2009221.0P0</v>
      </c>
      <c r="B2510" s="9" t="str">
        <f t="shared" si="118"/>
        <v>1</v>
      </c>
      <c r="C2510" s="10">
        <f t="shared" si="119"/>
        <v>44109</v>
      </c>
      <c r="D2510">
        <v>2009221</v>
      </c>
      <c r="E2510" t="s">
        <v>119</v>
      </c>
      <c r="F2510" s="6">
        <v>44113</v>
      </c>
      <c r="G2510">
        <v>1</v>
      </c>
      <c r="H2510" t="s">
        <v>192</v>
      </c>
      <c r="I2510" t="s">
        <v>120</v>
      </c>
    </row>
    <row r="2511" spans="1:9" x14ac:dyDescent="0.25">
      <c r="A2511" s="8" t="str">
        <f t="shared" si="117"/>
        <v>2009221.000</v>
      </c>
      <c r="B2511" s="9" t="str">
        <f t="shared" si="118"/>
        <v>1</v>
      </c>
      <c r="C2511" s="10">
        <f t="shared" si="119"/>
        <v>44109</v>
      </c>
      <c r="D2511">
        <v>2009221</v>
      </c>
      <c r="E2511">
        <v>0</v>
      </c>
      <c r="F2511" s="6">
        <v>44113</v>
      </c>
      <c r="G2511">
        <v>1</v>
      </c>
      <c r="H2511" t="s">
        <v>192</v>
      </c>
      <c r="I2511" t="s">
        <v>120</v>
      </c>
    </row>
    <row r="2512" spans="1:9" x14ac:dyDescent="0.25">
      <c r="A2512" s="8" t="str">
        <f t="shared" si="117"/>
        <v>2009221.U01</v>
      </c>
      <c r="B2512" s="9" t="str">
        <f t="shared" si="118"/>
        <v>1</v>
      </c>
      <c r="C2512" s="10">
        <f t="shared" si="119"/>
        <v>44109</v>
      </c>
      <c r="D2512">
        <v>2009221</v>
      </c>
      <c r="E2512" t="s">
        <v>150</v>
      </c>
      <c r="F2512" s="6">
        <v>44113</v>
      </c>
      <c r="G2512">
        <v>1</v>
      </c>
      <c r="H2512" t="s">
        <v>188</v>
      </c>
      <c r="I2512" t="s">
        <v>120</v>
      </c>
    </row>
    <row r="2513" spans="1:9" x14ac:dyDescent="0.25">
      <c r="A2513" s="8" t="str">
        <f t="shared" si="117"/>
        <v>2009222.NV0</v>
      </c>
      <c r="B2513" s="9" t="str">
        <f t="shared" si="118"/>
        <v/>
      </c>
      <c r="C2513" s="10">
        <f t="shared" si="119"/>
        <v>44074</v>
      </c>
      <c r="D2513">
        <v>2009222</v>
      </c>
      <c r="E2513" t="s">
        <v>126</v>
      </c>
      <c r="F2513" s="6">
        <v>44078</v>
      </c>
      <c r="H2513" t="s">
        <v>188</v>
      </c>
      <c r="I2513" t="s">
        <v>120</v>
      </c>
    </row>
    <row r="2514" spans="1:9" x14ac:dyDescent="0.25">
      <c r="A2514" s="8" t="str">
        <f t="shared" si="117"/>
        <v>2009223.H00</v>
      </c>
      <c r="B2514" s="9" t="str">
        <f t="shared" si="118"/>
        <v/>
      </c>
      <c r="C2514" s="10">
        <f t="shared" si="119"/>
        <v>44088</v>
      </c>
      <c r="D2514">
        <v>2009223</v>
      </c>
      <c r="E2514" t="s">
        <v>122</v>
      </c>
      <c r="F2514" s="6">
        <v>44092</v>
      </c>
      <c r="H2514" t="s">
        <v>189</v>
      </c>
      <c r="I2514" t="s">
        <v>120</v>
      </c>
    </row>
    <row r="2515" spans="1:9" x14ac:dyDescent="0.25">
      <c r="A2515" s="8" t="str">
        <f t="shared" si="117"/>
        <v>2009224.HPL</v>
      </c>
      <c r="B2515" s="9" t="str">
        <f t="shared" si="118"/>
        <v/>
      </c>
      <c r="C2515" s="10">
        <f t="shared" si="119"/>
        <v>44102</v>
      </c>
      <c r="D2515">
        <v>2009224</v>
      </c>
      <c r="E2515" t="s">
        <v>128</v>
      </c>
      <c r="F2515" s="6">
        <v>44106</v>
      </c>
      <c r="H2515" t="s">
        <v>189</v>
      </c>
      <c r="I2515" t="s">
        <v>120</v>
      </c>
    </row>
    <row r="2516" spans="1:9" x14ac:dyDescent="0.25">
      <c r="A2516" s="8" t="str">
        <f t="shared" si="117"/>
        <v>2009225.000</v>
      </c>
      <c r="B2516" s="9" t="str">
        <f t="shared" si="118"/>
        <v/>
      </c>
      <c r="C2516" s="10">
        <f t="shared" si="119"/>
        <v>44095</v>
      </c>
      <c r="D2516">
        <v>2009225</v>
      </c>
      <c r="E2516">
        <v>0</v>
      </c>
      <c r="F2516" s="6">
        <v>44099</v>
      </c>
      <c r="H2516" t="s">
        <v>189</v>
      </c>
      <c r="I2516" t="s">
        <v>120</v>
      </c>
    </row>
    <row r="2517" spans="1:9" x14ac:dyDescent="0.25">
      <c r="A2517" s="8" t="str">
        <f t="shared" si="117"/>
        <v>2009226.000</v>
      </c>
      <c r="B2517" s="9" t="str">
        <f t="shared" si="118"/>
        <v/>
      </c>
      <c r="C2517" s="10">
        <f t="shared" si="119"/>
        <v>44095</v>
      </c>
      <c r="D2517">
        <v>2009226</v>
      </c>
      <c r="E2517">
        <v>0</v>
      </c>
      <c r="F2517" s="6">
        <v>44099</v>
      </c>
      <c r="H2517" t="s">
        <v>189</v>
      </c>
      <c r="I2517" t="s">
        <v>120</v>
      </c>
    </row>
    <row r="2518" spans="1:9" x14ac:dyDescent="0.25">
      <c r="A2518" s="8" t="str">
        <f t="shared" si="117"/>
        <v>2009227.H01</v>
      </c>
      <c r="B2518" s="9" t="str">
        <f t="shared" si="118"/>
        <v/>
      </c>
      <c r="C2518" s="10">
        <f t="shared" si="119"/>
        <v>44102</v>
      </c>
      <c r="D2518">
        <v>2009227</v>
      </c>
      <c r="E2518" t="s">
        <v>145</v>
      </c>
      <c r="F2518" s="6">
        <v>44106</v>
      </c>
      <c r="H2518" t="s">
        <v>189</v>
      </c>
      <c r="I2518" t="s">
        <v>120</v>
      </c>
    </row>
    <row r="2519" spans="1:9" x14ac:dyDescent="0.25">
      <c r="A2519" s="8" t="str">
        <f t="shared" si="117"/>
        <v>2009229.Y02</v>
      </c>
      <c r="B2519" s="9" t="str">
        <f t="shared" si="118"/>
        <v/>
      </c>
      <c r="C2519" s="10">
        <f t="shared" si="119"/>
        <v>44109</v>
      </c>
      <c r="D2519">
        <v>2009229</v>
      </c>
      <c r="E2519" t="s">
        <v>144</v>
      </c>
      <c r="F2519" s="6">
        <v>44113</v>
      </c>
      <c r="H2519" t="s">
        <v>189</v>
      </c>
      <c r="I2519" t="s">
        <v>120</v>
      </c>
    </row>
    <row r="2520" spans="1:9" x14ac:dyDescent="0.25">
      <c r="A2520" s="8" t="str">
        <f t="shared" si="117"/>
        <v>2009229.UP2</v>
      </c>
      <c r="B2520" s="9" t="str">
        <f t="shared" si="118"/>
        <v/>
      </c>
      <c r="C2520" s="10">
        <f t="shared" si="119"/>
        <v>44109</v>
      </c>
      <c r="D2520">
        <v>2009229</v>
      </c>
      <c r="E2520" t="s">
        <v>160</v>
      </c>
      <c r="F2520" s="6">
        <v>44113</v>
      </c>
      <c r="H2520" t="s">
        <v>189</v>
      </c>
      <c r="I2520" t="s">
        <v>120</v>
      </c>
    </row>
    <row r="2521" spans="1:9" x14ac:dyDescent="0.25">
      <c r="A2521" s="8" t="str">
        <f t="shared" si="117"/>
        <v>2009230.0P0</v>
      </c>
      <c r="B2521" s="9" t="str">
        <f t="shared" si="118"/>
        <v>2</v>
      </c>
      <c r="C2521" s="10">
        <f t="shared" si="119"/>
        <v>44096</v>
      </c>
      <c r="D2521">
        <v>2009230</v>
      </c>
      <c r="E2521" t="s">
        <v>119</v>
      </c>
      <c r="F2521" s="6">
        <v>44099</v>
      </c>
      <c r="G2521">
        <v>2</v>
      </c>
      <c r="H2521" t="s">
        <v>188</v>
      </c>
      <c r="I2521" t="s">
        <v>120</v>
      </c>
    </row>
    <row r="2522" spans="1:9" x14ac:dyDescent="0.25">
      <c r="A2522" s="8" t="str">
        <f t="shared" si="117"/>
        <v>2009230.000</v>
      </c>
      <c r="B2522" s="9" t="str">
        <f t="shared" si="118"/>
        <v>2</v>
      </c>
      <c r="C2522" s="10">
        <f t="shared" si="119"/>
        <v>44096</v>
      </c>
      <c r="D2522">
        <v>2009230</v>
      </c>
      <c r="E2522">
        <v>0</v>
      </c>
      <c r="F2522" s="6">
        <v>44099</v>
      </c>
      <c r="G2522">
        <v>2</v>
      </c>
      <c r="H2522" t="s">
        <v>188</v>
      </c>
      <c r="I2522" t="s">
        <v>120</v>
      </c>
    </row>
    <row r="2523" spans="1:9" x14ac:dyDescent="0.25">
      <c r="A2523" s="8" t="str">
        <f t="shared" si="117"/>
        <v>2009231.Y01</v>
      </c>
      <c r="B2523" s="9" t="str">
        <f t="shared" si="118"/>
        <v/>
      </c>
      <c r="C2523" s="10">
        <f t="shared" si="119"/>
        <v>44158</v>
      </c>
      <c r="D2523">
        <v>2009231</v>
      </c>
      <c r="E2523" t="s">
        <v>132</v>
      </c>
      <c r="F2523" s="6">
        <v>44162</v>
      </c>
      <c r="H2523" t="s">
        <v>189</v>
      </c>
      <c r="I2523" t="s">
        <v>120</v>
      </c>
    </row>
    <row r="2524" spans="1:9" x14ac:dyDescent="0.25">
      <c r="A2524" s="8" t="str">
        <f t="shared" si="117"/>
        <v>2009231.ZP0</v>
      </c>
      <c r="B2524" s="9" t="str">
        <f t="shared" si="118"/>
        <v/>
      </c>
      <c r="C2524" s="10">
        <f t="shared" si="119"/>
        <v>44158</v>
      </c>
      <c r="D2524">
        <v>2009231</v>
      </c>
      <c r="E2524" t="s">
        <v>252</v>
      </c>
      <c r="F2524" s="6">
        <v>44162</v>
      </c>
      <c r="H2524" t="s">
        <v>189</v>
      </c>
      <c r="I2524" t="s">
        <v>120</v>
      </c>
    </row>
    <row r="2525" spans="1:9" x14ac:dyDescent="0.25">
      <c r="A2525" s="8" t="str">
        <f t="shared" si="117"/>
        <v>2009231.Z00</v>
      </c>
      <c r="B2525" s="9" t="str">
        <f t="shared" si="118"/>
        <v/>
      </c>
      <c r="C2525" s="10">
        <f t="shared" si="119"/>
        <v>44158</v>
      </c>
      <c r="D2525">
        <v>2009231</v>
      </c>
      <c r="E2525" t="s">
        <v>158</v>
      </c>
      <c r="F2525" s="6">
        <v>44162</v>
      </c>
      <c r="H2525" t="s">
        <v>189</v>
      </c>
      <c r="I2525" t="s">
        <v>120</v>
      </c>
    </row>
    <row r="2526" spans="1:9" x14ac:dyDescent="0.25">
      <c r="A2526" s="8" t="str">
        <f t="shared" si="117"/>
        <v>2009232.000</v>
      </c>
      <c r="B2526" s="9" t="str">
        <f t="shared" si="118"/>
        <v/>
      </c>
      <c r="C2526" s="10">
        <f t="shared" si="119"/>
        <v>44137</v>
      </c>
      <c r="D2526">
        <v>2009232</v>
      </c>
      <c r="E2526">
        <v>0</v>
      </c>
      <c r="F2526" s="6">
        <v>44141</v>
      </c>
      <c r="H2526" t="s">
        <v>192</v>
      </c>
      <c r="I2526" t="s">
        <v>120</v>
      </c>
    </row>
    <row r="2527" spans="1:9" x14ac:dyDescent="0.25">
      <c r="A2527" s="8" t="str">
        <f t="shared" si="117"/>
        <v>2009233.U00</v>
      </c>
      <c r="B2527" s="9" t="str">
        <f t="shared" si="118"/>
        <v/>
      </c>
      <c r="C2527" s="10">
        <f t="shared" si="119"/>
        <v>44088</v>
      </c>
      <c r="D2527">
        <v>2009233</v>
      </c>
      <c r="E2527" t="s">
        <v>131</v>
      </c>
      <c r="F2527" s="6">
        <v>44092</v>
      </c>
      <c r="H2527" t="s">
        <v>189</v>
      </c>
      <c r="I2527" t="s">
        <v>120</v>
      </c>
    </row>
    <row r="2528" spans="1:9" x14ac:dyDescent="0.25">
      <c r="A2528" s="8" t="str">
        <f t="shared" si="117"/>
        <v>2009234.NV0</v>
      </c>
      <c r="B2528" s="9" t="str">
        <f t="shared" si="118"/>
        <v/>
      </c>
      <c r="C2528" s="10">
        <f t="shared" si="119"/>
        <v>44074</v>
      </c>
      <c r="D2528">
        <v>2009234</v>
      </c>
      <c r="E2528" t="s">
        <v>126</v>
      </c>
      <c r="F2528" s="6">
        <v>44078</v>
      </c>
      <c r="H2528" t="s">
        <v>180</v>
      </c>
      <c r="I2528" t="s">
        <v>120</v>
      </c>
    </row>
    <row r="2529" spans="1:9" x14ac:dyDescent="0.25">
      <c r="A2529" s="8" t="str">
        <f t="shared" si="117"/>
        <v>2009235.000</v>
      </c>
      <c r="B2529" s="9" t="str">
        <f t="shared" si="118"/>
        <v>1</v>
      </c>
      <c r="C2529" s="10">
        <f t="shared" si="119"/>
        <v>44095</v>
      </c>
      <c r="D2529">
        <v>2009235</v>
      </c>
      <c r="E2529">
        <v>0</v>
      </c>
      <c r="F2529" s="6">
        <v>44099</v>
      </c>
      <c r="G2529">
        <v>1</v>
      </c>
      <c r="H2529" t="s">
        <v>191</v>
      </c>
      <c r="I2529" t="s">
        <v>120</v>
      </c>
    </row>
    <row r="2530" spans="1:9" x14ac:dyDescent="0.25">
      <c r="A2530" s="8" t="str">
        <f t="shared" si="117"/>
        <v>2009236.000</v>
      </c>
      <c r="B2530" s="9" t="str">
        <f t="shared" si="118"/>
        <v>3</v>
      </c>
      <c r="C2530" s="10">
        <f t="shared" si="119"/>
        <v>44104</v>
      </c>
      <c r="D2530">
        <v>2009236</v>
      </c>
      <c r="E2530">
        <v>0</v>
      </c>
      <c r="F2530" s="6">
        <v>44106</v>
      </c>
      <c r="G2530">
        <v>3</v>
      </c>
      <c r="H2530" t="s">
        <v>188</v>
      </c>
      <c r="I2530" t="s">
        <v>120</v>
      </c>
    </row>
    <row r="2531" spans="1:9" x14ac:dyDescent="0.25">
      <c r="A2531" s="8" t="str">
        <f t="shared" si="117"/>
        <v>2009237.H00</v>
      </c>
      <c r="B2531" s="9" t="str">
        <f t="shared" si="118"/>
        <v/>
      </c>
      <c r="C2531" s="10">
        <f t="shared" si="119"/>
        <v>44116</v>
      </c>
      <c r="D2531">
        <v>2009237</v>
      </c>
      <c r="E2531" t="s">
        <v>122</v>
      </c>
      <c r="F2531" s="6">
        <v>44120</v>
      </c>
      <c r="H2531" t="s">
        <v>192</v>
      </c>
      <c r="I2531" t="s">
        <v>120</v>
      </c>
    </row>
    <row r="2532" spans="1:9" x14ac:dyDescent="0.25">
      <c r="A2532" s="8" t="str">
        <f t="shared" si="117"/>
        <v>2009237.Y01</v>
      </c>
      <c r="B2532" s="9" t="str">
        <f t="shared" si="118"/>
        <v/>
      </c>
      <c r="C2532" s="10">
        <f t="shared" si="119"/>
        <v>44116</v>
      </c>
      <c r="D2532">
        <v>2009237</v>
      </c>
      <c r="E2532" t="s">
        <v>132</v>
      </c>
      <c r="F2532" s="6">
        <v>44120</v>
      </c>
      <c r="H2532" t="s">
        <v>192</v>
      </c>
      <c r="I2532" t="s">
        <v>120</v>
      </c>
    </row>
    <row r="2533" spans="1:9" x14ac:dyDescent="0.25">
      <c r="A2533" s="8" t="str">
        <f t="shared" si="117"/>
        <v>2009238.0P0</v>
      </c>
      <c r="B2533" s="9" t="str">
        <f t="shared" si="118"/>
        <v>3</v>
      </c>
      <c r="C2533" s="10">
        <f t="shared" si="119"/>
        <v>44097</v>
      </c>
      <c r="D2533">
        <v>2009238</v>
      </c>
      <c r="E2533" t="s">
        <v>119</v>
      </c>
      <c r="F2533" s="6">
        <v>44099</v>
      </c>
      <c r="G2533">
        <v>3</v>
      </c>
      <c r="H2533" t="s">
        <v>189</v>
      </c>
      <c r="I2533" t="s">
        <v>120</v>
      </c>
    </row>
    <row r="2534" spans="1:9" x14ac:dyDescent="0.25">
      <c r="A2534" s="8" t="str">
        <f t="shared" si="117"/>
        <v>2009238.000</v>
      </c>
      <c r="B2534" s="9" t="str">
        <f t="shared" si="118"/>
        <v>3</v>
      </c>
      <c r="C2534" s="10">
        <f t="shared" si="119"/>
        <v>44097</v>
      </c>
      <c r="D2534">
        <v>2009238</v>
      </c>
      <c r="E2534">
        <v>0</v>
      </c>
      <c r="F2534" s="6">
        <v>44099</v>
      </c>
      <c r="G2534">
        <v>3</v>
      </c>
      <c r="H2534" t="s">
        <v>189</v>
      </c>
      <c r="I2534" t="s">
        <v>120</v>
      </c>
    </row>
    <row r="2535" spans="1:9" x14ac:dyDescent="0.25">
      <c r="A2535" s="8" t="str">
        <f t="shared" si="117"/>
        <v>2009239.X00</v>
      </c>
      <c r="B2535" s="9" t="str">
        <f t="shared" si="118"/>
        <v/>
      </c>
      <c r="C2535" s="10">
        <f t="shared" si="119"/>
        <v>44116</v>
      </c>
      <c r="D2535">
        <v>2009239</v>
      </c>
      <c r="E2535" t="s">
        <v>225</v>
      </c>
      <c r="F2535" s="6">
        <v>44120</v>
      </c>
      <c r="H2535" t="s">
        <v>189</v>
      </c>
      <c r="I2535" t="s">
        <v>120</v>
      </c>
    </row>
    <row r="2536" spans="1:9" x14ac:dyDescent="0.25">
      <c r="A2536" s="8" t="str">
        <f t="shared" si="117"/>
        <v>2009239.XP0</v>
      </c>
      <c r="B2536" s="9" t="str">
        <f t="shared" si="118"/>
        <v/>
      </c>
      <c r="C2536" s="10">
        <f t="shared" si="119"/>
        <v>44116</v>
      </c>
      <c r="D2536">
        <v>2009239</v>
      </c>
      <c r="E2536" t="s">
        <v>181</v>
      </c>
      <c r="F2536" s="6">
        <v>44120</v>
      </c>
      <c r="H2536" t="s">
        <v>189</v>
      </c>
      <c r="I2536" t="s">
        <v>134</v>
      </c>
    </row>
    <row r="2537" spans="1:9" x14ac:dyDescent="0.25">
      <c r="A2537" s="8" t="str">
        <f t="shared" si="117"/>
        <v>2009239.000</v>
      </c>
      <c r="B2537" s="9" t="str">
        <f t="shared" si="118"/>
        <v/>
      </c>
      <c r="C2537" s="10">
        <f t="shared" si="119"/>
        <v>44116</v>
      </c>
      <c r="D2537">
        <v>2009239</v>
      </c>
      <c r="E2537">
        <v>0</v>
      </c>
      <c r="F2537" s="6">
        <v>44120</v>
      </c>
      <c r="H2537" t="s">
        <v>189</v>
      </c>
      <c r="I2537" t="s">
        <v>120</v>
      </c>
    </row>
    <row r="2538" spans="1:9" x14ac:dyDescent="0.25">
      <c r="A2538" s="8" t="str">
        <f t="shared" si="117"/>
        <v>2009240.N0L</v>
      </c>
      <c r="B2538" s="9" t="str">
        <f t="shared" si="118"/>
        <v/>
      </c>
      <c r="C2538" s="10">
        <f t="shared" si="119"/>
        <v>44074</v>
      </c>
      <c r="D2538">
        <v>2009240</v>
      </c>
      <c r="E2538" t="s">
        <v>133</v>
      </c>
      <c r="F2538" s="6">
        <v>44078</v>
      </c>
      <c r="H2538" t="s">
        <v>188</v>
      </c>
      <c r="I2538" t="s">
        <v>120</v>
      </c>
    </row>
    <row r="2539" spans="1:9" x14ac:dyDescent="0.25">
      <c r="A2539" s="8" t="str">
        <f t="shared" ref="A2539:A2602" si="120">IF(D2539="","",IF(E2539=0,CONCATENATE(D2539,".",E2539,"00"),CONCATENATE(D2539,".",E2539)))</f>
        <v>2009241.U00</v>
      </c>
      <c r="B2539" s="9" t="str">
        <f t="shared" ref="B2539:B2602" si="121">LEFT(G2539,1)</f>
        <v/>
      </c>
      <c r="C2539" s="10">
        <f t="shared" ref="C2539:C2602" si="122">IF(F2539="","",IF(B2539="",F2539-4,IF(B2539="1",F2539-4,IF(B2539="2",F2539-3,IF(B2539="3",F2539-2,IF(B2539="4",F2539-1,IF(B2539="V",F2539-7,IF(B2539="J",F2539-8,F2539))))))))</f>
        <v>44088</v>
      </c>
      <c r="D2539">
        <v>2009241</v>
      </c>
      <c r="E2539" t="s">
        <v>131</v>
      </c>
      <c r="F2539" s="6">
        <v>44092</v>
      </c>
      <c r="H2539" t="s">
        <v>192</v>
      </c>
      <c r="I2539" t="s">
        <v>120</v>
      </c>
    </row>
    <row r="2540" spans="1:9" x14ac:dyDescent="0.25">
      <c r="A2540" s="8" t="str">
        <f t="shared" si="120"/>
        <v>2009242.000</v>
      </c>
      <c r="B2540" s="9" t="str">
        <f t="shared" si="121"/>
        <v/>
      </c>
      <c r="C2540" s="10">
        <f t="shared" si="122"/>
        <v>44095</v>
      </c>
      <c r="D2540">
        <v>2009242</v>
      </c>
      <c r="E2540">
        <v>0</v>
      </c>
      <c r="F2540" s="6">
        <v>44099</v>
      </c>
      <c r="H2540" t="s">
        <v>189</v>
      </c>
      <c r="I2540" t="s">
        <v>120</v>
      </c>
    </row>
    <row r="2541" spans="1:9" x14ac:dyDescent="0.25">
      <c r="A2541" s="8" t="str">
        <f t="shared" si="120"/>
        <v>2009242.0P0</v>
      </c>
      <c r="B2541" s="9" t="str">
        <f t="shared" si="121"/>
        <v/>
      </c>
      <c r="C2541" s="10">
        <f t="shared" si="122"/>
        <v>44095</v>
      </c>
      <c r="D2541">
        <v>2009242</v>
      </c>
      <c r="E2541" t="s">
        <v>119</v>
      </c>
      <c r="F2541" s="6">
        <v>44099</v>
      </c>
      <c r="H2541" t="s">
        <v>189</v>
      </c>
      <c r="I2541" t="s">
        <v>120</v>
      </c>
    </row>
    <row r="2542" spans="1:9" x14ac:dyDescent="0.25">
      <c r="A2542" s="8" t="str">
        <f t="shared" si="120"/>
        <v>2009243.000</v>
      </c>
      <c r="B2542" s="9" t="str">
        <f t="shared" si="121"/>
        <v/>
      </c>
      <c r="C2542" s="10">
        <f t="shared" si="122"/>
        <v>44095</v>
      </c>
      <c r="D2542">
        <v>2009243</v>
      </c>
      <c r="E2542">
        <v>0</v>
      </c>
      <c r="F2542" s="6">
        <v>44099</v>
      </c>
      <c r="H2542" t="s">
        <v>189</v>
      </c>
      <c r="I2542" t="s">
        <v>120</v>
      </c>
    </row>
    <row r="2543" spans="1:9" x14ac:dyDescent="0.25">
      <c r="A2543" s="8" t="str">
        <f t="shared" si="120"/>
        <v>2009244.000</v>
      </c>
      <c r="B2543" s="9" t="str">
        <f t="shared" si="121"/>
        <v/>
      </c>
      <c r="C2543" s="10">
        <f t="shared" si="122"/>
        <v>44102</v>
      </c>
      <c r="D2543">
        <v>2009244</v>
      </c>
      <c r="E2543">
        <v>0</v>
      </c>
      <c r="F2543" s="6">
        <v>44106</v>
      </c>
      <c r="H2543" t="s">
        <v>192</v>
      </c>
      <c r="I2543" t="s">
        <v>120</v>
      </c>
    </row>
    <row r="2544" spans="1:9" x14ac:dyDescent="0.25">
      <c r="A2544" s="8" t="str">
        <f t="shared" si="120"/>
        <v>2009244.HP1</v>
      </c>
      <c r="B2544" s="9" t="str">
        <f t="shared" si="121"/>
        <v/>
      </c>
      <c r="C2544" s="10">
        <f t="shared" si="122"/>
        <v>44102</v>
      </c>
      <c r="D2544">
        <v>2009244</v>
      </c>
      <c r="E2544" t="s">
        <v>129</v>
      </c>
      <c r="F2544" s="6">
        <v>44106</v>
      </c>
      <c r="H2544" t="s">
        <v>192</v>
      </c>
      <c r="I2544" t="s">
        <v>120</v>
      </c>
    </row>
    <row r="2545" spans="1:9" x14ac:dyDescent="0.25">
      <c r="A2545" s="8" t="str">
        <f t="shared" si="120"/>
        <v>2009244.H01</v>
      </c>
      <c r="B2545" s="9" t="str">
        <f t="shared" si="121"/>
        <v/>
      </c>
      <c r="C2545" s="10">
        <f t="shared" si="122"/>
        <v>44102</v>
      </c>
      <c r="D2545">
        <v>2009244</v>
      </c>
      <c r="E2545" t="s">
        <v>145</v>
      </c>
      <c r="F2545" s="6">
        <v>44106</v>
      </c>
      <c r="H2545" t="s">
        <v>192</v>
      </c>
      <c r="I2545" t="s">
        <v>120</v>
      </c>
    </row>
    <row r="2546" spans="1:9" x14ac:dyDescent="0.25">
      <c r="A2546" s="8" t="str">
        <f t="shared" si="120"/>
        <v>2009245.H01</v>
      </c>
      <c r="B2546" s="9" t="str">
        <f t="shared" si="121"/>
        <v/>
      </c>
      <c r="C2546" s="10">
        <f t="shared" si="122"/>
        <v>44102</v>
      </c>
      <c r="D2546">
        <v>2009245</v>
      </c>
      <c r="E2546" t="s">
        <v>145</v>
      </c>
      <c r="F2546" s="6">
        <v>44106</v>
      </c>
      <c r="H2546" t="s">
        <v>189</v>
      </c>
      <c r="I2546" t="s">
        <v>120</v>
      </c>
    </row>
    <row r="2547" spans="1:9" x14ac:dyDescent="0.25">
      <c r="A2547" s="8" t="str">
        <f t="shared" si="120"/>
        <v>2009246.U01</v>
      </c>
      <c r="B2547" s="9" t="str">
        <f t="shared" si="121"/>
        <v/>
      </c>
      <c r="C2547" s="10">
        <f t="shared" si="122"/>
        <v>44116</v>
      </c>
      <c r="D2547">
        <v>2009246</v>
      </c>
      <c r="E2547" t="s">
        <v>150</v>
      </c>
      <c r="F2547" s="6">
        <v>44120</v>
      </c>
      <c r="H2547" t="s">
        <v>189</v>
      </c>
      <c r="I2547" t="s">
        <v>120</v>
      </c>
    </row>
    <row r="2548" spans="1:9" x14ac:dyDescent="0.25">
      <c r="A2548" s="8" t="str">
        <f t="shared" si="120"/>
        <v>2009247.NV0</v>
      </c>
      <c r="B2548" s="9" t="str">
        <f t="shared" si="121"/>
        <v/>
      </c>
      <c r="C2548" s="10">
        <f t="shared" si="122"/>
        <v>44102</v>
      </c>
      <c r="D2548">
        <v>2009247</v>
      </c>
      <c r="E2548" t="s">
        <v>126</v>
      </c>
      <c r="F2548" s="6">
        <v>44106</v>
      </c>
      <c r="H2548" t="s">
        <v>188</v>
      </c>
      <c r="I2548" t="s">
        <v>120</v>
      </c>
    </row>
    <row r="2549" spans="1:9" x14ac:dyDescent="0.25">
      <c r="A2549" s="8" t="str">
        <f t="shared" si="120"/>
        <v>2009248.000</v>
      </c>
      <c r="B2549" s="9" t="str">
        <f t="shared" si="121"/>
        <v/>
      </c>
      <c r="C2549" s="10">
        <f t="shared" si="122"/>
        <v>44123</v>
      </c>
      <c r="D2549">
        <v>2009248</v>
      </c>
      <c r="E2549">
        <v>0</v>
      </c>
      <c r="F2549" s="6">
        <v>44127</v>
      </c>
      <c r="H2549" t="s">
        <v>192</v>
      </c>
      <c r="I2549" t="s">
        <v>120</v>
      </c>
    </row>
    <row r="2550" spans="1:9" x14ac:dyDescent="0.25">
      <c r="A2550" s="8" t="str">
        <f t="shared" si="120"/>
        <v>2009250.X00</v>
      </c>
      <c r="B2550" s="9" t="str">
        <f t="shared" si="121"/>
        <v/>
      </c>
      <c r="C2550" s="10">
        <f t="shared" si="122"/>
        <v>44116</v>
      </c>
      <c r="D2550">
        <v>2009250</v>
      </c>
      <c r="E2550" t="s">
        <v>225</v>
      </c>
      <c r="F2550" s="6">
        <v>44120</v>
      </c>
      <c r="H2550" t="s">
        <v>192</v>
      </c>
      <c r="I2550" t="s">
        <v>120</v>
      </c>
    </row>
    <row r="2551" spans="1:9" x14ac:dyDescent="0.25">
      <c r="A2551" s="8" t="str">
        <f t="shared" si="120"/>
        <v>2009251.NQ0</v>
      </c>
      <c r="B2551" s="9" t="str">
        <f t="shared" si="121"/>
        <v>4</v>
      </c>
      <c r="C2551" s="10">
        <f t="shared" si="122"/>
        <v>44077</v>
      </c>
      <c r="D2551">
        <v>2009251</v>
      </c>
      <c r="E2551" t="s">
        <v>165</v>
      </c>
      <c r="F2551" s="6">
        <v>44078</v>
      </c>
      <c r="G2551">
        <v>41</v>
      </c>
      <c r="H2551" t="s">
        <v>188</v>
      </c>
      <c r="I2551" t="s">
        <v>120</v>
      </c>
    </row>
    <row r="2552" spans="1:9" x14ac:dyDescent="0.25">
      <c r="A2552" s="8" t="str">
        <f t="shared" si="120"/>
        <v>2009252.000</v>
      </c>
      <c r="B2552" s="9" t="str">
        <f t="shared" si="121"/>
        <v>1</v>
      </c>
      <c r="C2552" s="10">
        <f t="shared" si="122"/>
        <v>44095</v>
      </c>
      <c r="D2552">
        <v>2009252</v>
      </c>
      <c r="E2552">
        <v>0</v>
      </c>
      <c r="F2552" s="6">
        <v>44099</v>
      </c>
      <c r="G2552">
        <v>1</v>
      </c>
      <c r="H2552" t="s">
        <v>189</v>
      </c>
      <c r="I2552" t="s">
        <v>120</v>
      </c>
    </row>
    <row r="2553" spans="1:9" x14ac:dyDescent="0.25">
      <c r="A2553" s="8" t="str">
        <f t="shared" si="120"/>
        <v>2009253.000</v>
      </c>
      <c r="B2553" s="9" t="str">
        <f t="shared" si="121"/>
        <v>4</v>
      </c>
      <c r="C2553" s="10">
        <f t="shared" si="122"/>
        <v>44098</v>
      </c>
      <c r="D2553">
        <v>2009253</v>
      </c>
      <c r="E2553">
        <v>0</v>
      </c>
      <c r="F2553" s="6">
        <v>44099</v>
      </c>
      <c r="G2553">
        <v>41</v>
      </c>
      <c r="H2553" t="s">
        <v>188</v>
      </c>
      <c r="I2553" t="s">
        <v>120</v>
      </c>
    </row>
    <row r="2554" spans="1:9" x14ac:dyDescent="0.25">
      <c r="A2554" s="8" t="str">
        <f t="shared" si="120"/>
        <v>2009254.N0L</v>
      </c>
      <c r="B2554" s="9" t="str">
        <f t="shared" si="121"/>
        <v/>
      </c>
      <c r="C2554" s="10">
        <f t="shared" si="122"/>
        <v>44074</v>
      </c>
      <c r="D2554">
        <v>2009254</v>
      </c>
      <c r="E2554" t="s">
        <v>133</v>
      </c>
      <c r="F2554" s="6">
        <v>44078</v>
      </c>
      <c r="H2554" t="s">
        <v>188</v>
      </c>
      <c r="I2554" t="s">
        <v>120</v>
      </c>
    </row>
    <row r="2555" spans="1:9" x14ac:dyDescent="0.25">
      <c r="A2555" s="8" t="str">
        <f t="shared" si="120"/>
        <v>2009255.000</v>
      </c>
      <c r="B2555" s="9" t="str">
        <f t="shared" si="121"/>
        <v/>
      </c>
      <c r="C2555" s="10">
        <f t="shared" si="122"/>
        <v>44095</v>
      </c>
      <c r="D2555">
        <v>2009255</v>
      </c>
      <c r="E2555">
        <v>0</v>
      </c>
      <c r="F2555" s="6">
        <v>44099</v>
      </c>
      <c r="H2555" t="s">
        <v>192</v>
      </c>
      <c r="I2555" t="s">
        <v>120</v>
      </c>
    </row>
    <row r="2556" spans="1:9" x14ac:dyDescent="0.25">
      <c r="A2556" s="8" t="str">
        <f t="shared" si="120"/>
        <v>2009256.0P0</v>
      </c>
      <c r="B2556" s="9" t="str">
        <f t="shared" si="121"/>
        <v/>
      </c>
      <c r="C2556" s="10">
        <f t="shared" si="122"/>
        <v>44095</v>
      </c>
      <c r="D2556">
        <v>2009256</v>
      </c>
      <c r="E2556" t="s">
        <v>119</v>
      </c>
      <c r="F2556" s="6">
        <v>44099</v>
      </c>
      <c r="H2556" t="s">
        <v>189</v>
      </c>
      <c r="I2556" t="s">
        <v>120</v>
      </c>
    </row>
    <row r="2557" spans="1:9" x14ac:dyDescent="0.25">
      <c r="A2557" s="8" t="str">
        <f t="shared" si="120"/>
        <v>2009257.X00</v>
      </c>
      <c r="B2557" s="9" t="str">
        <f t="shared" si="121"/>
        <v/>
      </c>
      <c r="C2557" s="10">
        <f t="shared" si="122"/>
        <v>44102</v>
      </c>
      <c r="D2557">
        <v>2009257</v>
      </c>
      <c r="E2557" t="s">
        <v>225</v>
      </c>
      <c r="F2557" s="6">
        <v>44106</v>
      </c>
      <c r="H2557" t="s">
        <v>192</v>
      </c>
      <c r="I2557" t="s">
        <v>120</v>
      </c>
    </row>
    <row r="2558" spans="1:9" x14ac:dyDescent="0.25">
      <c r="A2558" s="8" t="str">
        <f t="shared" si="120"/>
        <v>2009258.U00</v>
      </c>
      <c r="B2558" s="9" t="str">
        <f t="shared" si="121"/>
        <v/>
      </c>
      <c r="C2558" s="10">
        <f t="shared" si="122"/>
        <v>44130</v>
      </c>
      <c r="D2558">
        <v>2009258</v>
      </c>
      <c r="E2558" t="s">
        <v>131</v>
      </c>
      <c r="F2558" s="6">
        <v>44134</v>
      </c>
      <c r="H2558" t="s">
        <v>192</v>
      </c>
      <c r="I2558" t="s">
        <v>120</v>
      </c>
    </row>
    <row r="2559" spans="1:9" x14ac:dyDescent="0.25">
      <c r="A2559" s="8" t="str">
        <f t="shared" si="120"/>
        <v>2009258.Y00</v>
      </c>
      <c r="B2559" s="9" t="str">
        <f t="shared" si="121"/>
        <v/>
      </c>
      <c r="C2559" s="10">
        <f t="shared" si="122"/>
        <v>44130</v>
      </c>
      <c r="D2559">
        <v>2009258</v>
      </c>
      <c r="E2559" t="s">
        <v>130</v>
      </c>
      <c r="F2559" s="6">
        <v>44134</v>
      </c>
      <c r="H2559" t="s">
        <v>192</v>
      </c>
      <c r="I2559" t="s">
        <v>120</v>
      </c>
    </row>
    <row r="2560" spans="1:9" x14ac:dyDescent="0.25">
      <c r="A2560" s="8" t="str">
        <f t="shared" si="120"/>
        <v>2009260.000</v>
      </c>
      <c r="B2560" s="9" t="str">
        <f t="shared" si="121"/>
        <v/>
      </c>
      <c r="C2560" s="10">
        <f t="shared" si="122"/>
        <v>44095</v>
      </c>
      <c r="D2560">
        <v>2009260</v>
      </c>
      <c r="E2560">
        <v>0</v>
      </c>
      <c r="F2560" s="6">
        <v>44099</v>
      </c>
      <c r="H2560" t="s">
        <v>189</v>
      </c>
      <c r="I2560" t="s">
        <v>120</v>
      </c>
    </row>
    <row r="2561" spans="1:9" x14ac:dyDescent="0.25">
      <c r="A2561" s="8" t="str">
        <f t="shared" si="120"/>
        <v>2009261.000</v>
      </c>
      <c r="B2561" s="9" t="str">
        <f t="shared" si="121"/>
        <v/>
      </c>
      <c r="C2561" s="10">
        <f t="shared" si="122"/>
        <v>44095</v>
      </c>
      <c r="D2561">
        <v>2009261</v>
      </c>
      <c r="E2561">
        <v>0</v>
      </c>
      <c r="F2561" s="6">
        <v>44099</v>
      </c>
      <c r="H2561" t="s">
        <v>191</v>
      </c>
      <c r="I2561" t="s">
        <v>120</v>
      </c>
    </row>
    <row r="2562" spans="1:9" x14ac:dyDescent="0.25">
      <c r="A2562" s="8" t="str">
        <f t="shared" si="120"/>
        <v>2009263.000</v>
      </c>
      <c r="B2562" s="9" t="str">
        <f t="shared" si="121"/>
        <v/>
      </c>
      <c r="C2562" s="10">
        <f t="shared" si="122"/>
        <v>44095</v>
      </c>
      <c r="D2562">
        <v>2009263</v>
      </c>
      <c r="E2562">
        <v>0</v>
      </c>
      <c r="F2562" s="6">
        <v>44099</v>
      </c>
      <c r="H2562" t="s">
        <v>189</v>
      </c>
      <c r="I2562" t="s">
        <v>120</v>
      </c>
    </row>
    <row r="2563" spans="1:9" x14ac:dyDescent="0.25">
      <c r="A2563" s="8" t="str">
        <f t="shared" si="120"/>
        <v>2009264.000</v>
      </c>
      <c r="B2563" s="9" t="str">
        <f t="shared" si="121"/>
        <v/>
      </c>
      <c r="C2563" s="10">
        <f t="shared" si="122"/>
        <v>44095</v>
      </c>
      <c r="D2563">
        <v>2009264</v>
      </c>
      <c r="E2563">
        <v>0</v>
      </c>
      <c r="F2563" s="6">
        <v>44099</v>
      </c>
      <c r="H2563" t="s">
        <v>189</v>
      </c>
      <c r="I2563" t="s">
        <v>120</v>
      </c>
    </row>
    <row r="2564" spans="1:9" x14ac:dyDescent="0.25">
      <c r="A2564" s="8" t="str">
        <f t="shared" si="120"/>
        <v>2009265.NML</v>
      </c>
      <c r="B2564" s="9" t="str">
        <f t="shared" si="121"/>
        <v/>
      </c>
      <c r="C2564" s="10">
        <f t="shared" si="122"/>
        <v>44116</v>
      </c>
      <c r="D2564">
        <v>2009265</v>
      </c>
      <c r="E2564" t="s">
        <v>162</v>
      </c>
      <c r="F2564" s="6">
        <v>44120</v>
      </c>
      <c r="H2564" t="s">
        <v>189</v>
      </c>
      <c r="I2564" t="s">
        <v>120</v>
      </c>
    </row>
    <row r="2565" spans="1:9" x14ac:dyDescent="0.25">
      <c r="A2565" s="8" t="str">
        <f t="shared" si="120"/>
        <v>2009265.Z01</v>
      </c>
      <c r="B2565" s="9" t="str">
        <f t="shared" si="121"/>
        <v/>
      </c>
      <c r="C2565" s="10">
        <f t="shared" si="122"/>
        <v>44116</v>
      </c>
      <c r="D2565">
        <v>2009265</v>
      </c>
      <c r="E2565" t="s">
        <v>135</v>
      </c>
      <c r="F2565" s="6">
        <v>44120</v>
      </c>
      <c r="H2565" t="s">
        <v>189</v>
      </c>
      <c r="I2565" t="s">
        <v>120</v>
      </c>
    </row>
    <row r="2566" spans="1:9" x14ac:dyDescent="0.25">
      <c r="A2566" s="8" t="str">
        <f t="shared" si="120"/>
        <v>2009265.ZP1</v>
      </c>
      <c r="B2566" s="9" t="str">
        <f t="shared" si="121"/>
        <v/>
      </c>
      <c r="C2566" s="10">
        <f t="shared" si="122"/>
        <v>44116</v>
      </c>
      <c r="D2566">
        <v>2009265</v>
      </c>
      <c r="E2566" t="s">
        <v>141</v>
      </c>
      <c r="F2566" s="6">
        <v>44120</v>
      </c>
      <c r="H2566" t="s">
        <v>192</v>
      </c>
      <c r="I2566" t="s">
        <v>120</v>
      </c>
    </row>
    <row r="2567" spans="1:9" x14ac:dyDescent="0.25">
      <c r="A2567" s="8" t="str">
        <f t="shared" si="120"/>
        <v>2009265.ZP3</v>
      </c>
      <c r="B2567" s="9" t="str">
        <f t="shared" si="121"/>
        <v/>
      </c>
      <c r="C2567" s="10">
        <f t="shared" si="122"/>
        <v>44116</v>
      </c>
      <c r="D2567">
        <v>2009265</v>
      </c>
      <c r="E2567" t="s">
        <v>140</v>
      </c>
      <c r="F2567" s="6">
        <v>44120</v>
      </c>
      <c r="H2567" t="s">
        <v>188</v>
      </c>
      <c r="I2567" t="s">
        <v>120</v>
      </c>
    </row>
    <row r="2568" spans="1:9" x14ac:dyDescent="0.25">
      <c r="A2568" s="8" t="str">
        <f t="shared" si="120"/>
        <v>2009266.H00</v>
      </c>
      <c r="B2568" s="9" t="str">
        <f t="shared" si="121"/>
        <v/>
      </c>
      <c r="C2568" s="10">
        <f t="shared" si="122"/>
        <v>44116</v>
      </c>
      <c r="D2568">
        <v>2009266</v>
      </c>
      <c r="E2568" t="s">
        <v>122</v>
      </c>
      <c r="F2568" s="6">
        <v>44120</v>
      </c>
      <c r="H2568" t="s">
        <v>189</v>
      </c>
      <c r="I2568" t="s">
        <v>120</v>
      </c>
    </row>
    <row r="2569" spans="1:9" x14ac:dyDescent="0.25">
      <c r="A2569" s="8" t="str">
        <f t="shared" si="120"/>
        <v>2009267.000</v>
      </c>
      <c r="B2569" s="9" t="str">
        <f t="shared" si="121"/>
        <v/>
      </c>
      <c r="C2569" s="10">
        <f t="shared" si="122"/>
        <v>44095</v>
      </c>
      <c r="D2569">
        <v>2009267</v>
      </c>
      <c r="E2569">
        <v>0</v>
      </c>
      <c r="F2569" s="6">
        <v>44099</v>
      </c>
      <c r="H2569" t="s">
        <v>189</v>
      </c>
      <c r="I2569" t="s">
        <v>120</v>
      </c>
    </row>
    <row r="2570" spans="1:9" x14ac:dyDescent="0.25">
      <c r="A2570" s="8" t="str">
        <f t="shared" si="120"/>
        <v>2009268.HP0</v>
      </c>
      <c r="B2570" s="9" t="str">
        <f t="shared" si="121"/>
        <v>4</v>
      </c>
      <c r="C2570" s="10">
        <f t="shared" si="122"/>
        <v>44119</v>
      </c>
      <c r="D2570">
        <v>2009268</v>
      </c>
      <c r="E2570" t="s">
        <v>121</v>
      </c>
      <c r="F2570" s="6">
        <v>44120</v>
      </c>
      <c r="G2570">
        <v>4</v>
      </c>
      <c r="H2570" t="s">
        <v>188</v>
      </c>
      <c r="I2570" t="s">
        <v>120</v>
      </c>
    </row>
    <row r="2571" spans="1:9" x14ac:dyDescent="0.25">
      <c r="A2571" s="8" t="str">
        <f t="shared" si="120"/>
        <v>2009268.U01</v>
      </c>
      <c r="B2571" s="9" t="str">
        <f t="shared" si="121"/>
        <v>4</v>
      </c>
      <c r="C2571" s="10">
        <f t="shared" si="122"/>
        <v>44119</v>
      </c>
      <c r="D2571">
        <v>2009268</v>
      </c>
      <c r="E2571" t="s">
        <v>150</v>
      </c>
      <c r="F2571" s="6">
        <v>44120</v>
      </c>
      <c r="G2571">
        <v>4</v>
      </c>
      <c r="H2571" t="s">
        <v>188</v>
      </c>
      <c r="I2571" t="s">
        <v>120</v>
      </c>
    </row>
    <row r="2572" spans="1:9" x14ac:dyDescent="0.25">
      <c r="A2572" s="8" t="str">
        <f t="shared" si="120"/>
        <v>2009269.Y00</v>
      </c>
      <c r="B2572" s="9" t="str">
        <f t="shared" si="121"/>
        <v/>
      </c>
      <c r="C2572" s="10">
        <f t="shared" si="122"/>
        <v>44109</v>
      </c>
      <c r="D2572">
        <v>2009269</v>
      </c>
      <c r="E2572" t="s">
        <v>130</v>
      </c>
      <c r="F2572" s="6">
        <v>44113</v>
      </c>
      <c r="H2572" t="s">
        <v>189</v>
      </c>
      <c r="I2572" t="s">
        <v>120</v>
      </c>
    </row>
    <row r="2573" spans="1:9" x14ac:dyDescent="0.25">
      <c r="A2573" s="8" t="str">
        <f t="shared" si="120"/>
        <v>2009270.Y01</v>
      </c>
      <c r="B2573" s="9" t="str">
        <f t="shared" si="121"/>
        <v/>
      </c>
      <c r="C2573" s="10">
        <f t="shared" si="122"/>
        <v>44116</v>
      </c>
      <c r="D2573">
        <v>2009270</v>
      </c>
      <c r="E2573" t="s">
        <v>132</v>
      </c>
      <c r="F2573" s="6">
        <v>44120</v>
      </c>
      <c r="H2573" t="s">
        <v>189</v>
      </c>
      <c r="I2573" t="s">
        <v>120</v>
      </c>
    </row>
    <row r="2574" spans="1:9" x14ac:dyDescent="0.25">
      <c r="A2574" s="8" t="str">
        <f t="shared" si="120"/>
        <v>2009271.U01</v>
      </c>
      <c r="B2574" s="9" t="str">
        <f t="shared" si="121"/>
        <v/>
      </c>
      <c r="C2574" s="10">
        <f t="shared" si="122"/>
        <v>44116</v>
      </c>
      <c r="D2574">
        <v>2009271</v>
      </c>
      <c r="E2574" t="s">
        <v>150</v>
      </c>
      <c r="F2574" s="6">
        <v>44120</v>
      </c>
      <c r="H2574" t="s">
        <v>191</v>
      </c>
      <c r="I2574" t="s">
        <v>120</v>
      </c>
    </row>
    <row r="2575" spans="1:9" x14ac:dyDescent="0.25">
      <c r="A2575" s="8" t="str">
        <f t="shared" si="120"/>
        <v>2009272.H00</v>
      </c>
      <c r="B2575" s="9" t="str">
        <f t="shared" si="121"/>
        <v/>
      </c>
      <c r="C2575" s="10">
        <f t="shared" si="122"/>
        <v>44116</v>
      </c>
      <c r="D2575">
        <v>2009272</v>
      </c>
      <c r="E2575" t="s">
        <v>122</v>
      </c>
      <c r="F2575" s="6">
        <v>44120</v>
      </c>
      <c r="H2575" t="s">
        <v>189</v>
      </c>
      <c r="I2575" t="s">
        <v>120</v>
      </c>
    </row>
    <row r="2576" spans="1:9" x14ac:dyDescent="0.25">
      <c r="A2576" s="8" t="str">
        <f t="shared" si="120"/>
        <v>2009272.000</v>
      </c>
      <c r="B2576" s="9" t="str">
        <f t="shared" si="121"/>
        <v/>
      </c>
      <c r="C2576" s="10">
        <f t="shared" si="122"/>
        <v>44116</v>
      </c>
      <c r="D2576">
        <v>2009272</v>
      </c>
      <c r="E2576">
        <v>0</v>
      </c>
      <c r="F2576" s="6">
        <v>44120</v>
      </c>
      <c r="H2576" t="s">
        <v>189</v>
      </c>
      <c r="I2576" t="s">
        <v>120</v>
      </c>
    </row>
    <row r="2577" spans="1:9" x14ac:dyDescent="0.25">
      <c r="A2577" s="8" t="str">
        <f t="shared" si="120"/>
        <v>2009273.000</v>
      </c>
      <c r="B2577" s="9" t="str">
        <f t="shared" si="121"/>
        <v/>
      </c>
      <c r="C2577" s="10">
        <f t="shared" si="122"/>
        <v>44116</v>
      </c>
      <c r="D2577">
        <v>2009273</v>
      </c>
      <c r="E2577">
        <v>0</v>
      </c>
      <c r="F2577" s="6">
        <v>44120</v>
      </c>
      <c r="H2577" t="s">
        <v>192</v>
      </c>
      <c r="I2577" t="s">
        <v>120</v>
      </c>
    </row>
    <row r="2578" spans="1:9" x14ac:dyDescent="0.25">
      <c r="A2578" s="8" t="str">
        <f t="shared" si="120"/>
        <v>2009273.ZO3</v>
      </c>
      <c r="B2578" s="9" t="str">
        <f t="shared" si="121"/>
        <v/>
      </c>
      <c r="C2578" s="10">
        <f t="shared" si="122"/>
        <v>44116</v>
      </c>
      <c r="D2578">
        <v>2009273</v>
      </c>
      <c r="E2578" t="s">
        <v>152</v>
      </c>
      <c r="F2578" s="6">
        <v>44120</v>
      </c>
      <c r="H2578" t="s">
        <v>192</v>
      </c>
      <c r="I2578" t="s">
        <v>120</v>
      </c>
    </row>
    <row r="2579" spans="1:9" x14ac:dyDescent="0.25">
      <c r="A2579" s="8" t="str">
        <f t="shared" si="120"/>
        <v>2009274.000</v>
      </c>
      <c r="B2579" s="9" t="str">
        <f t="shared" si="121"/>
        <v/>
      </c>
      <c r="C2579" s="10">
        <f t="shared" si="122"/>
        <v>44095</v>
      </c>
      <c r="D2579">
        <v>2009274</v>
      </c>
      <c r="E2579">
        <v>0</v>
      </c>
      <c r="F2579" s="6">
        <v>44099</v>
      </c>
      <c r="H2579" t="s">
        <v>189</v>
      </c>
      <c r="I2579" t="s">
        <v>120</v>
      </c>
    </row>
    <row r="2580" spans="1:9" x14ac:dyDescent="0.25">
      <c r="A2580" s="8" t="str">
        <f t="shared" si="120"/>
        <v>2009275.000</v>
      </c>
      <c r="B2580" s="9" t="str">
        <f t="shared" si="121"/>
        <v/>
      </c>
      <c r="C2580" s="10">
        <f t="shared" si="122"/>
        <v>44095</v>
      </c>
      <c r="D2580">
        <v>2009275</v>
      </c>
      <c r="E2580">
        <v>0</v>
      </c>
      <c r="F2580" s="6">
        <v>44099</v>
      </c>
      <c r="H2580" t="s">
        <v>189</v>
      </c>
      <c r="I2580" t="s">
        <v>120</v>
      </c>
    </row>
    <row r="2581" spans="1:9" x14ac:dyDescent="0.25">
      <c r="A2581" s="8" t="str">
        <f t="shared" si="120"/>
        <v>2009276.H00</v>
      </c>
      <c r="B2581" s="9" t="str">
        <f t="shared" si="121"/>
        <v/>
      </c>
      <c r="C2581" s="10">
        <f t="shared" si="122"/>
        <v>44123</v>
      </c>
      <c r="D2581">
        <v>2009276</v>
      </c>
      <c r="E2581" t="s">
        <v>122</v>
      </c>
      <c r="F2581" s="6">
        <v>44127</v>
      </c>
      <c r="H2581" t="s">
        <v>188</v>
      </c>
      <c r="I2581" t="s">
        <v>120</v>
      </c>
    </row>
    <row r="2582" spans="1:9" x14ac:dyDescent="0.25">
      <c r="A2582" s="8" t="str">
        <f t="shared" si="120"/>
        <v>2009276.T00</v>
      </c>
      <c r="B2582" s="9" t="str">
        <f t="shared" si="121"/>
        <v/>
      </c>
      <c r="C2582" s="10">
        <f t="shared" si="122"/>
        <v>44123</v>
      </c>
      <c r="D2582">
        <v>2009276</v>
      </c>
      <c r="E2582" t="s">
        <v>159</v>
      </c>
      <c r="F2582" s="6">
        <v>44127</v>
      </c>
      <c r="H2582" t="s">
        <v>188</v>
      </c>
      <c r="I2582" t="s">
        <v>120</v>
      </c>
    </row>
    <row r="2583" spans="1:9" x14ac:dyDescent="0.25">
      <c r="A2583" s="8" t="str">
        <f t="shared" si="120"/>
        <v>2009276.HP0</v>
      </c>
      <c r="B2583" s="9" t="str">
        <f t="shared" si="121"/>
        <v/>
      </c>
      <c r="C2583" s="10">
        <f t="shared" si="122"/>
        <v>44123</v>
      </c>
      <c r="D2583">
        <v>2009276</v>
      </c>
      <c r="E2583" t="s">
        <v>121</v>
      </c>
      <c r="F2583" s="6">
        <v>44127</v>
      </c>
      <c r="H2583" t="s">
        <v>188</v>
      </c>
      <c r="I2583" t="s">
        <v>120</v>
      </c>
    </row>
    <row r="2584" spans="1:9" x14ac:dyDescent="0.25">
      <c r="A2584" s="8" t="str">
        <f t="shared" si="120"/>
        <v>2009277.Z03</v>
      </c>
      <c r="B2584" s="9" t="str">
        <f t="shared" si="121"/>
        <v/>
      </c>
      <c r="C2584" s="10">
        <f t="shared" si="122"/>
        <v>44123</v>
      </c>
      <c r="D2584">
        <v>2009277</v>
      </c>
      <c r="E2584" t="s">
        <v>153</v>
      </c>
      <c r="F2584" s="6">
        <v>44127</v>
      </c>
      <c r="H2584" t="s">
        <v>192</v>
      </c>
      <c r="I2584" t="s">
        <v>120</v>
      </c>
    </row>
    <row r="2585" spans="1:9" x14ac:dyDescent="0.25">
      <c r="A2585" s="8" t="str">
        <f t="shared" si="120"/>
        <v>2009277.U01</v>
      </c>
      <c r="B2585" s="9" t="str">
        <f t="shared" si="121"/>
        <v/>
      </c>
      <c r="C2585" s="10">
        <f t="shared" si="122"/>
        <v>44123</v>
      </c>
      <c r="D2585">
        <v>2009277</v>
      </c>
      <c r="E2585" t="s">
        <v>150</v>
      </c>
      <c r="F2585" s="6">
        <v>44127</v>
      </c>
      <c r="H2585" t="s">
        <v>192</v>
      </c>
      <c r="I2585" t="s">
        <v>120</v>
      </c>
    </row>
    <row r="2586" spans="1:9" x14ac:dyDescent="0.25">
      <c r="A2586" s="8" t="str">
        <f t="shared" si="120"/>
        <v>2009277.ZO3</v>
      </c>
      <c r="B2586" s="9" t="str">
        <f t="shared" si="121"/>
        <v/>
      </c>
      <c r="C2586" s="10">
        <f t="shared" si="122"/>
        <v>44123</v>
      </c>
      <c r="D2586">
        <v>2009277</v>
      </c>
      <c r="E2586" t="s">
        <v>152</v>
      </c>
      <c r="F2586" s="6">
        <v>44127</v>
      </c>
      <c r="H2586" t="s">
        <v>192</v>
      </c>
      <c r="I2586" t="s">
        <v>134</v>
      </c>
    </row>
    <row r="2587" spans="1:9" x14ac:dyDescent="0.25">
      <c r="A2587" s="8" t="str">
        <f t="shared" si="120"/>
        <v>2009277.H00</v>
      </c>
      <c r="B2587" s="9" t="str">
        <f t="shared" si="121"/>
        <v/>
      </c>
      <c r="C2587" s="10">
        <f t="shared" si="122"/>
        <v>44123</v>
      </c>
      <c r="D2587">
        <v>2009277</v>
      </c>
      <c r="E2587" t="s">
        <v>122</v>
      </c>
      <c r="F2587" s="6">
        <v>44127</v>
      </c>
      <c r="H2587" t="s">
        <v>192</v>
      </c>
      <c r="I2587" t="s">
        <v>120</v>
      </c>
    </row>
    <row r="2588" spans="1:9" x14ac:dyDescent="0.25">
      <c r="A2588" s="8" t="str">
        <f t="shared" si="120"/>
        <v>2009278.UP1</v>
      </c>
      <c r="B2588" s="9" t="str">
        <f t="shared" si="121"/>
        <v>2</v>
      </c>
      <c r="C2588" s="10">
        <f t="shared" si="122"/>
        <v>44117</v>
      </c>
      <c r="D2588">
        <v>2009278</v>
      </c>
      <c r="E2588" t="s">
        <v>164</v>
      </c>
      <c r="F2588" s="6">
        <v>44120</v>
      </c>
      <c r="G2588">
        <v>2</v>
      </c>
      <c r="H2588" t="s">
        <v>189</v>
      </c>
      <c r="I2588" t="s">
        <v>120</v>
      </c>
    </row>
    <row r="2589" spans="1:9" x14ac:dyDescent="0.25">
      <c r="A2589" s="8" t="str">
        <f t="shared" si="120"/>
        <v>2009278.U02</v>
      </c>
      <c r="B2589" s="9" t="str">
        <f t="shared" si="121"/>
        <v>2</v>
      </c>
      <c r="C2589" s="10">
        <f t="shared" si="122"/>
        <v>44117</v>
      </c>
      <c r="D2589">
        <v>2009278</v>
      </c>
      <c r="E2589" t="s">
        <v>149</v>
      </c>
      <c r="F2589" s="6">
        <v>44120</v>
      </c>
      <c r="G2589">
        <v>2</v>
      </c>
      <c r="H2589" t="s">
        <v>189</v>
      </c>
      <c r="I2589" t="s">
        <v>120</v>
      </c>
    </row>
    <row r="2590" spans="1:9" x14ac:dyDescent="0.25">
      <c r="A2590" s="8" t="str">
        <f t="shared" si="120"/>
        <v>2009279.N00</v>
      </c>
      <c r="B2590" s="9" t="str">
        <f t="shared" si="121"/>
        <v/>
      </c>
      <c r="C2590" s="10">
        <f t="shared" si="122"/>
        <v>44074</v>
      </c>
      <c r="D2590">
        <v>2009279</v>
      </c>
      <c r="E2590" t="s">
        <v>125</v>
      </c>
      <c r="F2590" s="6">
        <v>44078</v>
      </c>
      <c r="H2590" t="s">
        <v>188</v>
      </c>
      <c r="I2590" t="s">
        <v>120</v>
      </c>
    </row>
    <row r="2591" spans="1:9" x14ac:dyDescent="0.25">
      <c r="A2591" s="8" t="str">
        <f t="shared" si="120"/>
        <v>2009280.000</v>
      </c>
      <c r="B2591" s="9" t="str">
        <f t="shared" si="121"/>
        <v/>
      </c>
      <c r="C2591" s="10">
        <f t="shared" si="122"/>
        <v>44095</v>
      </c>
      <c r="D2591">
        <v>2009280</v>
      </c>
      <c r="E2591">
        <v>0</v>
      </c>
      <c r="F2591" s="6">
        <v>44099</v>
      </c>
      <c r="H2591" t="s">
        <v>189</v>
      </c>
      <c r="I2591" t="s">
        <v>120</v>
      </c>
    </row>
    <row r="2592" spans="1:9" x14ac:dyDescent="0.25">
      <c r="A2592" s="8" t="str">
        <f t="shared" si="120"/>
        <v>2009281.Y00</v>
      </c>
      <c r="B2592" s="9" t="str">
        <f t="shared" si="121"/>
        <v/>
      </c>
      <c r="C2592" s="10">
        <f t="shared" si="122"/>
        <v>44116</v>
      </c>
      <c r="D2592">
        <v>2009281</v>
      </c>
      <c r="E2592" t="s">
        <v>130</v>
      </c>
      <c r="F2592" s="6">
        <v>44120</v>
      </c>
      <c r="H2592" t="s">
        <v>192</v>
      </c>
      <c r="I2592" t="s">
        <v>120</v>
      </c>
    </row>
    <row r="2593" spans="1:9" x14ac:dyDescent="0.25">
      <c r="A2593" s="8" t="str">
        <f t="shared" si="120"/>
        <v>2009282.U01</v>
      </c>
      <c r="B2593" s="9" t="str">
        <f t="shared" si="121"/>
        <v/>
      </c>
      <c r="C2593" s="10">
        <f t="shared" si="122"/>
        <v>44130</v>
      </c>
      <c r="D2593">
        <v>2009282</v>
      </c>
      <c r="E2593" t="s">
        <v>150</v>
      </c>
      <c r="F2593" s="6">
        <v>44134</v>
      </c>
      <c r="H2593" t="s">
        <v>191</v>
      </c>
      <c r="I2593" t="s">
        <v>120</v>
      </c>
    </row>
    <row r="2594" spans="1:9" x14ac:dyDescent="0.25">
      <c r="A2594" s="8" t="str">
        <f t="shared" si="120"/>
        <v>2009283.000</v>
      </c>
      <c r="B2594" s="9" t="str">
        <f t="shared" si="121"/>
        <v>3</v>
      </c>
      <c r="C2594" s="10">
        <f t="shared" si="122"/>
        <v>44097</v>
      </c>
      <c r="D2594">
        <v>2009283</v>
      </c>
      <c r="E2594">
        <v>0</v>
      </c>
      <c r="F2594" s="6">
        <v>44099</v>
      </c>
      <c r="G2594">
        <v>3</v>
      </c>
      <c r="H2594" t="s">
        <v>189</v>
      </c>
      <c r="I2594" t="s">
        <v>120</v>
      </c>
    </row>
    <row r="2595" spans="1:9" x14ac:dyDescent="0.25">
      <c r="A2595" s="8" t="str">
        <f t="shared" si="120"/>
        <v>2009284.C00</v>
      </c>
      <c r="B2595" s="9" t="str">
        <f t="shared" si="121"/>
        <v>2</v>
      </c>
      <c r="C2595" s="10">
        <f t="shared" si="122"/>
        <v>44124</v>
      </c>
      <c r="D2595">
        <v>2009284</v>
      </c>
      <c r="E2595" t="s">
        <v>147</v>
      </c>
      <c r="F2595" s="6">
        <v>44127</v>
      </c>
      <c r="G2595">
        <v>2</v>
      </c>
      <c r="H2595" t="s">
        <v>188</v>
      </c>
      <c r="I2595" t="s">
        <v>120</v>
      </c>
    </row>
    <row r="2596" spans="1:9" x14ac:dyDescent="0.25">
      <c r="A2596" s="8" t="str">
        <f t="shared" si="120"/>
        <v>2009284.000</v>
      </c>
      <c r="B2596" s="9" t="str">
        <f t="shared" si="121"/>
        <v>2</v>
      </c>
      <c r="C2596" s="10">
        <f t="shared" si="122"/>
        <v>44124</v>
      </c>
      <c r="D2596">
        <v>2009284</v>
      </c>
      <c r="E2596">
        <v>0</v>
      </c>
      <c r="F2596" s="6">
        <v>44127</v>
      </c>
      <c r="G2596">
        <v>2</v>
      </c>
      <c r="H2596" t="s">
        <v>188</v>
      </c>
      <c r="I2596" t="s">
        <v>120</v>
      </c>
    </row>
    <row r="2597" spans="1:9" x14ac:dyDescent="0.25">
      <c r="A2597" s="8" t="str">
        <f t="shared" si="120"/>
        <v>2009285.000</v>
      </c>
      <c r="B2597" s="9" t="str">
        <f t="shared" si="121"/>
        <v/>
      </c>
      <c r="C2597" s="10">
        <f t="shared" si="122"/>
        <v>44095</v>
      </c>
      <c r="D2597">
        <v>2009285</v>
      </c>
      <c r="E2597">
        <v>0</v>
      </c>
      <c r="F2597" s="6">
        <v>44099</v>
      </c>
      <c r="H2597" t="s">
        <v>188</v>
      </c>
      <c r="I2597" t="s">
        <v>120</v>
      </c>
    </row>
    <row r="2598" spans="1:9" x14ac:dyDescent="0.25">
      <c r="A2598" s="8" t="str">
        <f t="shared" si="120"/>
        <v>2009286.000</v>
      </c>
      <c r="B2598" s="9" t="str">
        <f t="shared" si="121"/>
        <v>1</v>
      </c>
      <c r="C2598" s="10">
        <f t="shared" si="122"/>
        <v>44095</v>
      </c>
      <c r="D2598">
        <v>2009286</v>
      </c>
      <c r="E2598">
        <v>0</v>
      </c>
      <c r="F2598" s="6">
        <v>44099</v>
      </c>
      <c r="G2598">
        <v>1</v>
      </c>
      <c r="H2598" t="s">
        <v>189</v>
      </c>
      <c r="I2598" t="s">
        <v>120</v>
      </c>
    </row>
    <row r="2599" spans="1:9" x14ac:dyDescent="0.25">
      <c r="A2599" s="8" t="str">
        <f t="shared" si="120"/>
        <v>2009286.0P0</v>
      </c>
      <c r="B2599" s="9" t="str">
        <f t="shared" si="121"/>
        <v>1</v>
      </c>
      <c r="C2599" s="10">
        <f t="shared" si="122"/>
        <v>44095</v>
      </c>
      <c r="D2599">
        <v>2009286</v>
      </c>
      <c r="E2599" t="s">
        <v>119</v>
      </c>
      <c r="F2599" s="6">
        <v>44099</v>
      </c>
      <c r="G2599">
        <v>1</v>
      </c>
      <c r="H2599" t="s">
        <v>189</v>
      </c>
      <c r="I2599" t="s">
        <v>120</v>
      </c>
    </row>
    <row r="2600" spans="1:9" x14ac:dyDescent="0.25">
      <c r="A2600" s="8" t="str">
        <f t="shared" si="120"/>
        <v>2009287.Y02</v>
      </c>
      <c r="B2600" s="9" t="str">
        <f t="shared" si="121"/>
        <v>1</v>
      </c>
      <c r="C2600" s="10">
        <f t="shared" si="122"/>
        <v>44116</v>
      </c>
      <c r="D2600">
        <v>2009287</v>
      </c>
      <c r="E2600" t="s">
        <v>144</v>
      </c>
      <c r="F2600" s="6">
        <v>44120</v>
      </c>
      <c r="G2600">
        <v>1</v>
      </c>
      <c r="H2600" t="s">
        <v>189</v>
      </c>
      <c r="I2600" t="s">
        <v>120</v>
      </c>
    </row>
    <row r="2601" spans="1:9" x14ac:dyDescent="0.25">
      <c r="A2601" s="8" t="str">
        <f t="shared" si="120"/>
        <v>2009289.Y01</v>
      </c>
      <c r="B2601" s="9" t="str">
        <f t="shared" si="121"/>
        <v/>
      </c>
      <c r="C2601" s="10">
        <f t="shared" si="122"/>
        <v>44130</v>
      </c>
      <c r="D2601">
        <v>2009289</v>
      </c>
      <c r="E2601" t="s">
        <v>132</v>
      </c>
      <c r="F2601" s="6">
        <v>44134</v>
      </c>
      <c r="H2601" t="s">
        <v>191</v>
      </c>
      <c r="I2601" t="s">
        <v>120</v>
      </c>
    </row>
    <row r="2602" spans="1:9" x14ac:dyDescent="0.25">
      <c r="A2602" s="8" t="str">
        <f t="shared" si="120"/>
        <v>2009290.H00</v>
      </c>
      <c r="B2602" s="9" t="str">
        <f t="shared" si="121"/>
        <v/>
      </c>
      <c r="C2602" s="10">
        <f t="shared" si="122"/>
        <v>44116</v>
      </c>
      <c r="D2602">
        <v>2009290</v>
      </c>
      <c r="E2602" t="s">
        <v>122</v>
      </c>
      <c r="F2602" s="6">
        <v>44120</v>
      </c>
      <c r="H2602" t="s">
        <v>188</v>
      </c>
      <c r="I2602" t="s">
        <v>120</v>
      </c>
    </row>
    <row r="2603" spans="1:9" x14ac:dyDescent="0.25">
      <c r="A2603" s="8" t="str">
        <f t="shared" ref="A2603:A2662" si="123">IF(D2603="","",IF(E2603=0,CONCATENATE(D2603,".",E2603,"00"),CONCATENATE(D2603,".",E2603)))</f>
        <v>2009291.H00</v>
      </c>
      <c r="B2603" s="9" t="str">
        <f t="shared" ref="B2603:B2662" si="124">LEFT(G2603,1)</f>
        <v/>
      </c>
      <c r="C2603" s="10">
        <f t="shared" ref="C2603:C2662" si="125">IF(F2603="","",IF(B2603="",F2603-4,IF(B2603="1",F2603-4,IF(B2603="2",F2603-3,IF(B2603="3",F2603-2,IF(B2603="4",F2603-1,IF(B2603="V",F2603-7,IF(B2603="J",F2603-8,F2603))))))))</f>
        <v>44116</v>
      </c>
      <c r="D2603">
        <v>2009291</v>
      </c>
      <c r="E2603" t="s">
        <v>122</v>
      </c>
      <c r="F2603" s="6">
        <v>44120</v>
      </c>
      <c r="H2603" t="s">
        <v>191</v>
      </c>
      <c r="I2603" t="s">
        <v>120</v>
      </c>
    </row>
    <row r="2604" spans="1:9" x14ac:dyDescent="0.25">
      <c r="A2604" s="8" t="str">
        <f t="shared" si="123"/>
        <v>2009292.000</v>
      </c>
      <c r="B2604" s="9" t="str">
        <f t="shared" si="124"/>
        <v/>
      </c>
      <c r="C2604" s="10">
        <f t="shared" si="125"/>
        <v>44095</v>
      </c>
      <c r="D2604">
        <v>2009292</v>
      </c>
      <c r="E2604">
        <v>0</v>
      </c>
      <c r="F2604" s="6">
        <v>44099</v>
      </c>
      <c r="H2604" t="s">
        <v>192</v>
      </c>
      <c r="I2604" t="s">
        <v>120</v>
      </c>
    </row>
    <row r="2605" spans="1:9" x14ac:dyDescent="0.25">
      <c r="A2605" s="8" t="str">
        <f t="shared" si="123"/>
        <v>2009293.000</v>
      </c>
      <c r="B2605" s="9" t="str">
        <f t="shared" si="124"/>
        <v/>
      </c>
      <c r="C2605" s="10">
        <f t="shared" si="125"/>
        <v>44095</v>
      </c>
      <c r="D2605">
        <v>2009293</v>
      </c>
      <c r="E2605">
        <v>0</v>
      </c>
      <c r="F2605" s="6">
        <v>44099</v>
      </c>
      <c r="H2605" t="s">
        <v>189</v>
      </c>
      <c r="I2605" t="s">
        <v>120</v>
      </c>
    </row>
    <row r="2606" spans="1:9" x14ac:dyDescent="0.25">
      <c r="A2606" s="8" t="str">
        <f t="shared" si="123"/>
        <v>2009294.X00</v>
      </c>
      <c r="B2606" s="9" t="str">
        <f t="shared" si="124"/>
        <v/>
      </c>
      <c r="C2606" s="10">
        <f t="shared" si="125"/>
        <v>44102</v>
      </c>
      <c r="D2606">
        <v>2009294</v>
      </c>
      <c r="E2606" t="s">
        <v>225</v>
      </c>
      <c r="F2606" s="6">
        <v>44106</v>
      </c>
      <c r="H2606" t="s">
        <v>188</v>
      </c>
      <c r="I2606" t="s">
        <v>120</v>
      </c>
    </row>
    <row r="2607" spans="1:9" x14ac:dyDescent="0.25">
      <c r="A2607" s="8" t="str">
        <f t="shared" si="123"/>
        <v>2009296.U00</v>
      </c>
      <c r="B2607" s="9" t="str">
        <f t="shared" si="124"/>
        <v/>
      </c>
      <c r="C2607" s="10">
        <f t="shared" si="125"/>
        <v>44116</v>
      </c>
      <c r="D2607">
        <v>2009296</v>
      </c>
      <c r="E2607" t="s">
        <v>131</v>
      </c>
      <c r="F2607" s="6">
        <v>44120</v>
      </c>
      <c r="H2607" t="s">
        <v>189</v>
      </c>
      <c r="I2607" t="s">
        <v>120</v>
      </c>
    </row>
    <row r="2608" spans="1:9" x14ac:dyDescent="0.25">
      <c r="A2608" s="8" t="str">
        <f t="shared" si="123"/>
        <v>2009297.NV0</v>
      </c>
      <c r="B2608" s="9" t="str">
        <f t="shared" si="124"/>
        <v/>
      </c>
      <c r="C2608" s="10">
        <f t="shared" si="125"/>
        <v>44074</v>
      </c>
      <c r="D2608">
        <v>2009297</v>
      </c>
      <c r="E2608" t="s">
        <v>126</v>
      </c>
      <c r="F2608" s="6">
        <v>44078</v>
      </c>
      <c r="H2608" t="s">
        <v>188</v>
      </c>
      <c r="I2608" t="s">
        <v>120</v>
      </c>
    </row>
    <row r="2609" spans="1:9" x14ac:dyDescent="0.25">
      <c r="A2609" s="8" t="str">
        <f t="shared" si="123"/>
        <v>2009298.X00</v>
      </c>
      <c r="B2609" s="9" t="str">
        <f t="shared" si="124"/>
        <v/>
      </c>
      <c r="C2609" s="10">
        <f t="shared" si="125"/>
        <v>44102</v>
      </c>
      <c r="D2609">
        <v>2009298</v>
      </c>
      <c r="E2609" t="s">
        <v>225</v>
      </c>
      <c r="F2609" s="6">
        <v>44106</v>
      </c>
      <c r="H2609" t="s">
        <v>189</v>
      </c>
      <c r="I2609" t="s">
        <v>120</v>
      </c>
    </row>
    <row r="2610" spans="1:9" x14ac:dyDescent="0.25">
      <c r="A2610" s="8" t="str">
        <f t="shared" si="123"/>
        <v>2009299.N0L</v>
      </c>
      <c r="B2610" s="9" t="str">
        <f t="shared" si="124"/>
        <v/>
      </c>
      <c r="C2610" s="10">
        <f t="shared" si="125"/>
        <v>44074</v>
      </c>
      <c r="D2610">
        <v>2009299</v>
      </c>
      <c r="E2610" t="s">
        <v>133</v>
      </c>
      <c r="F2610" s="6">
        <v>44078</v>
      </c>
      <c r="H2610" t="s">
        <v>188</v>
      </c>
      <c r="I2610" t="s">
        <v>120</v>
      </c>
    </row>
    <row r="2611" spans="1:9" x14ac:dyDescent="0.25">
      <c r="A2611" s="8" t="str">
        <f t="shared" si="123"/>
        <v>2009300.0P0</v>
      </c>
      <c r="B2611" s="9" t="str">
        <f t="shared" si="124"/>
        <v/>
      </c>
      <c r="C2611" s="10">
        <f t="shared" si="125"/>
        <v>44081</v>
      </c>
      <c r="D2611">
        <v>2009300</v>
      </c>
      <c r="E2611" t="s">
        <v>119</v>
      </c>
      <c r="F2611" s="6">
        <v>44085</v>
      </c>
      <c r="H2611" t="s">
        <v>188</v>
      </c>
      <c r="I2611" t="s">
        <v>120</v>
      </c>
    </row>
    <row r="2612" spans="1:9" x14ac:dyDescent="0.25">
      <c r="A2612" s="8" t="str">
        <f t="shared" si="123"/>
        <v>2009301.Y00</v>
      </c>
      <c r="B2612" s="9" t="str">
        <f t="shared" si="124"/>
        <v/>
      </c>
      <c r="C2612" s="10">
        <f t="shared" si="125"/>
        <v>44102</v>
      </c>
      <c r="D2612">
        <v>2009301</v>
      </c>
      <c r="E2612" t="s">
        <v>130</v>
      </c>
      <c r="F2612" s="6">
        <v>44106</v>
      </c>
      <c r="H2612" t="s">
        <v>192</v>
      </c>
      <c r="I2612" t="s">
        <v>120</v>
      </c>
    </row>
    <row r="2613" spans="1:9" x14ac:dyDescent="0.25">
      <c r="A2613" s="8" t="str">
        <f t="shared" si="123"/>
        <v>2009302.0P0</v>
      </c>
      <c r="B2613" s="9" t="str">
        <f t="shared" si="124"/>
        <v/>
      </c>
      <c r="C2613" s="10">
        <f t="shared" si="125"/>
        <v>44102</v>
      </c>
      <c r="D2613">
        <v>2009302</v>
      </c>
      <c r="E2613" t="s">
        <v>119</v>
      </c>
      <c r="F2613" s="6">
        <v>44106</v>
      </c>
      <c r="H2613" t="s">
        <v>191</v>
      </c>
      <c r="I2613" t="s">
        <v>120</v>
      </c>
    </row>
    <row r="2614" spans="1:9" x14ac:dyDescent="0.25">
      <c r="A2614" s="8" t="str">
        <f t="shared" si="123"/>
        <v>2009302.000</v>
      </c>
      <c r="B2614" s="9" t="str">
        <f t="shared" si="124"/>
        <v/>
      </c>
      <c r="C2614" s="10">
        <f t="shared" si="125"/>
        <v>44102</v>
      </c>
      <c r="D2614">
        <v>2009302</v>
      </c>
      <c r="E2614">
        <v>0</v>
      </c>
      <c r="F2614" s="6">
        <v>44106</v>
      </c>
      <c r="H2614" t="s">
        <v>191</v>
      </c>
      <c r="I2614" t="s">
        <v>120</v>
      </c>
    </row>
    <row r="2615" spans="1:9" x14ac:dyDescent="0.25">
      <c r="A2615" s="8" t="str">
        <f t="shared" si="123"/>
        <v>2009303.000</v>
      </c>
      <c r="B2615" s="9" t="str">
        <f t="shared" si="124"/>
        <v/>
      </c>
      <c r="C2615" s="10">
        <f t="shared" si="125"/>
        <v>44102</v>
      </c>
      <c r="D2615">
        <v>2009303</v>
      </c>
      <c r="E2615">
        <v>0</v>
      </c>
      <c r="F2615" s="6">
        <v>44106</v>
      </c>
      <c r="H2615" t="s">
        <v>192</v>
      </c>
      <c r="I2615" t="s">
        <v>120</v>
      </c>
    </row>
    <row r="2616" spans="1:9" x14ac:dyDescent="0.25">
      <c r="A2616" s="8" t="str">
        <f t="shared" si="123"/>
        <v>2009304.000</v>
      </c>
      <c r="B2616" s="9" t="str">
        <f t="shared" si="124"/>
        <v/>
      </c>
      <c r="C2616" s="10">
        <f t="shared" si="125"/>
        <v>44102</v>
      </c>
      <c r="D2616">
        <v>2009304</v>
      </c>
      <c r="E2616">
        <v>0</v>
      </c>
      <c r="F2616" s="6">
        <v>44106</v>
      </c>
      <c r="H2616" t="s">
        <v>189</v>
      </c>
      <c r="I2616" t="s">
        <v>120</v>
      </c>
    </row>
    <row r="2617" spans="1:9" x14ac:dyDescent="0.25">
      <c r="A2617" s="8" t="str">
        <f t="shared" si="123"/>
        <v>2009305.0P0</v>
      </c>
      <c r="B2617" s="9" t="str">
        <f t="shared" si="124"/>
        <v/>
      </c>
      <c r="C2617" s="10">
        <f t="shared" si="125"/>
        <v>44102</v>
      </c>
      <c r="D2617">
        <v>2009305</v>
      </c>
      <c r="E2617" t="s">
        <v>119</v>
      </c>
      <c r="F2617" s="6">
        <v>44106</v>
      </c>
      <c r="H2617" t="s">
        <v>192</v>
      </c>
      <c r="I2617" t="s">
        <v>120</v>
      </c>
    </row>
    <row r="2618" spans="1:9" x14ac:dyDescent="0.25">
      <c r="A2618" s="8" t="str">
        <f t="shared" si="123"/>
        <v>2009306.Z01</v>
      </c>
      <c r="B2618" s="9" t="str">
        <f t="shared" si="124"/>
        <v>2</v>
      </c>
      <c r="C2618" s="10">
        <f t="shared" si="125"/>
        <v>44138</v>
      </c>
      <c r="D2618">
        <v>2009306</v>
      </c>
      <c r="E2618" t="s">
        <v>135</v>
      </c>
      <c r="F2618" s="6">
        <v>44141</v>
      </c>
      <c r="G2618">
        <v>2</v>
      </c>
      <c r="H2618" t="s">
        <v>188</v>
      </c>
      <c r="I2618" t="s">
        <v>120</v>
      </c>
    </row>
    <row r="2619" spans="1:9" x14ac:dyDescent="0.25">
      <c r="A2619" s="8" t="str">
        <f t="shared" si="123"/>
        <v>2009307.UP1</v>
      </c>
      <c r="B2619" s="9" t="str">
        <f t="shared" si="124"/>
        <v/>
      </c>
      <c r="C2619" s="10">
        <f t="shared" si="125"/>
        <v>44116</v>
      </c>
      <c r="D2619">
        <v>2009307</v>
      </c>
      <c r="E2619" t="s">
        <v>164</v>
      </c>
      <c r="F2619" s="6">
        <v>44120</v>
      </c>
      <c r="H2619" t="s">
        <v>189</v>
      </c>
      <c r="I2619" t="s">
        <v>120</v>
      </c>
    </row>
    <row r="2620" spans="1:9" x14ac:dyDescent="0.25">
      <c r="A2620" s="8" t="str">
        <f t="shared" si="123"/>
        <v>2009307.U01</v>
      </c>
      <c r="B2620" s="9" t="str">
        <f t="shared" si="124"/>
        <v/>
      </c>
      <c r="C2620" s="10">
        <f t="shared" si="125"/>
        <v>44116</v>
      </c>
      <c r="D2620">
        <v>2009307</v>
      </c>
      <c r="E2620" t="s">
        <v>150</v>
      </c>
      <c r="F2620" s="6">
        <v>44120</v>
      </c>
      <c r="H2620" t="s">
        <v>189</v>
      </c>
      <c r="I2620" t="s">
        <v>120</v>
      </c>
    </row>
    <row r="2621" spans="1:9" x14ac:dyDescent="0.25">
      <c r="A2621" s="8" t="str">
        <f t="shared" si="123"/>
        <v>2009308.000</v>
      </c>
      <c r="B2621" s="9" t="str">
        <f t="shared" si="124"/>
        <v/>
      </c>
      <c r="C2621" s="10">
        <f t="shared" si="125"/>
        <v>44095</v>
      </c>
      <c r="D2621">
        <v>2009308</v>
      </c>
      <c r="E2621">
        <v>0</v>
      </c>
      <c r="F2621" s="6">
        <v>44099</v>
      </c>
      <c r="H2621" t="s">
        <v>189</v>
      </c>
      <c r="I2621" t="s">
        <v>120</v>
      </c>
    </row>
    <row r="2622" spans="1:9" x14ac:dyDescent="0.25">
      <c r="A2622" s="8" t="str">
        <f t="shared" si="123"/>
        <v>2009309.000</v>
      </c>
      <c r="B2622" s="9" t="str">
        <f t="shared" si="124"/>
        <v/>
      </c>
      <c r="C2622" s="10">
        <f t="shared" si="125"/>
        <v>44095</v>
      </c>
      <c r="D2622">
        <v>2009309</v>
      </c>
      <c r="E2622">
        <v>0</v>
      </c>
      <c r="F2622" s="6">
        <v>44099</v>
      </c>
      <c r="H2622" t="s">
        <v>192</v>
      </c>
      <c r="I2622" t="s">
        <v>120</v>
      </c>
    </row>
    <row r="2623" spans="1:9" x14ac:dyDescent="0.25">
      <c r="A2623" s="8" t="str">
        <f t="shared" si="123"/>
        <v>2009311.U00</v>
      </c>
      <c r="B2623" s="9" t="str">
        <f t="shared" si="124"/>
        <v/>
      </c>
      <c r="C2623" s="10">
        <f t="shared" si="125"/>
        <v>44116</v>
      </c>
      <c r="D2623">
        <v>2009311</v>
      </c>
      <c r="E2623" t="s">
        <v>131</v>
      </c>
      <c r="F2623" s="6">
        <v>44120</v>
      </c>
      <c r="H2623" t="s">
        <v>191</v>
      </c>
      <c r="I2623" t="s">
        <v>120</v>
      </c>
    </row>
    <row r="2624" spans="1:9" x14ac:dyDescent="0.25">
      <c r="A2624" s="8" t="str">
        <f t="shared" si="123"/>
        <v>2009312.H00</v>
      </c>
      <c r="B2624" s="9" t="str">
        <f t="shared" si="124"/>
        <v/>
      </c>
      <c r="C2624" s="10">
        <f t="shared" si="125"/>
        <v>44116</v>
      </c>
      <c r="D2624">
        <v>2009312</v>
      </c>
      <c r="E2624" t="s">
        <v>122</v>
      </c>
      <c r="F2624" s="6">
        <v>44120</v>
      </c>
      <c r="H2624" t="s">
        <v>191</v>
      </c>
      <c r="I2624" t="s">
        <v>120</v>
      </c>
    </row>
    <row r="2625" spans="1:9" x14ac:dyDescent="0.25">
      <c r="A2625" s="8" t="str">
        <f t="shared" si="123"/>
        <v>2009313.Y00</v>
      </c>
      <c r="B2625" s="9" t="str">
        <f t="shared" si="124"/>
        <v/>
      </c>
      <c r="C2625" s="10">
        <f t="shared" si="125"/>
        <v>44095</v>
      </c>
      <c r="D2625">
        <v>2009313</v>
      </c>
      <c r="E2625" t="s">
        <v>130</v>
      </c>
      <c r="F2625" s="6">
        <v>44099</v>
      </c>
      <c r="H2625" t="s">
        <v>192</v>
      </c>
      <c r="I2625" t="s">
        <v>120</v>
      </c>
    </row>
    <row r="2626" spans="1:9" x14ac:dyDescent="0.25">
      <c r="A2626" s="8" t="str">
        <f t="shared" si="123"/>
        <v>2009314.NQ0</v>
      </c>
      <c r="B2626" s="9" t="str">
        <f t="shared" si="124"/>
        <v>1</v>
      </c>
      <c r="C2626" s="10">
        <f t="shared" si="125"/>
        <v>44074</v>
      </c>
      <c r="D2626">
        <v>2009314</v>
      </c>
      <c r="E2626" t="s">
        <v>165</v>
      </c>
      <c r="F2626" s="6">
        <v>44078</v>
      </c>
      <c r="G2626">
        <v>1</v>
      </c>
      <c r="H2626" t="s">
        <v>188</v>
      </c>
      <c r="I2626" t="s">
        <v>120</v>
      </c>
    </row>
    <row r="2627" spans="1:9" x14ac:dyDescent="0.25">
      <c r="A2627" s="8" t="str">
        <f t="shared" si="123"/>
        <v>2009315.000</v>
      </c>
      <c r="B2627" s="9" t="str">
        <f t="shared" si="124"/>
        <v/>
      </c>
      <c r="C2627" s="10">
        <f t="shared" si="125"/>
        <v>44095</v>
      </c>
      <c r="D2627">
        <v>2009315</v>
      </c>
      <c r="E2627">
        <v>0</v>
      </c>
      <c r="F2627" s="6">
        <v>44099</v>
      </c>
      <c r="H2627" t="s">
        <v>189</v>
      </c>
      <c r="I2627" t="s">
        <v>120</v>
      </c>
    </row>
    <row r="2628" spans="1:9" x14ac:dyDescent="0.25">
      <c r="A2628" s="8" t="str">
        <f t="shared" si="123"/>
        <v>2009316.X01</v>
      </c>
      <c r="B2628" s="9" t="str">
        <f t="shared" si="124"/>
        <v>4</v>
      </c>
      <c r="C2628" s="10">
        <f t="shared" si="125"/>
        <v>44105</v>
      </c>
      <c r="D2628">
        <v>2009316</v>
      </c>
      <c r="E2628" t="s">
        <v>161</v>
      </c>
      <c r="F2628" s="6">
        <v>44106</v>
      </c>
      <c r="G2628">
        <v>4</v>
      </c>
      <c r="H2628" t="s">
        <v>192</v>
      </c>
      <c r="I2628" t="s">
        <v>120</v>
      </c>
    </row>
    <row r="2629" spans="1:9" x14ac:dyDescent="0.25">
      <c r="A2629" s="8" t="str">
        <f t="shared" si="123"/>
        <v>2009317.H00</v>
      </c>
      <c r="B2629" s="9" t="str">
        <f t="shared" si="124"/>
        <v/>
      </c>
      <c r="C2629" s="10">
        <f t="shared" si="125"/>
        <v>44116</v>
      </c>
      <c r="D2629">
        <v>2009317</v>
      </c>
      <c r="E2629" t="s">
        <v>122</v>
      </c>
      <c r="F2629" s="6">
        <v>44120</v>
      </c>
      <c r="H2629" t="s">
        <v>189</v>
      </c>
      <c r="I2629" t="s">
        <v>120</v>
      </c>
    </row>
    <row r="2630" spans="1:9" x14ac:dyDescent="0.25">
      <c r="A2630" s="8" t="str">
        <f t="shared" si="123"/>
        <v>2009318.000</v>
      </c>
      <c r="B2630" s="9" t="str">
        <f t="shared" si="124"/>
        <v>2</v>
      </c>
      <c r="C2630" s="10">
        <f t="shared" si="125"/>
        <v>44103</v>
      </c>
      <c r="D2630">
        <v>2009318</v>
      </c>
      <c r="E2630">
        <v>0</v>
      </c>
      <c r="F2630" s="6">
        <v>44106</v>
      </c>
      <c r="G2630">
        <v>2</v>
      </c>
      <c r="H2630" t="s">
        <v>188</v>
      </c>
      <c r="I2630" t="s">
        <v>120</v>
      </c>
    </row>
    <row r="2631" spans="1:9" x14ac:dyDescent="0.25">
      <c r="A2631" s="8" t="str">
        <f t="shared" si="123"/>
        <v>2009320.000</v>
      </c>
      <c r="B2631" s="9" t="str">
        <f t="shared" si="124"/>
        <v/>
      </c>
      <c r="C2631" s="10">
        <f t="shared" si="125"/>
        <v>44095</v>
      </c>
      <c r="D2631">
        <v>2009320</v>
      </c>
      <c r="E2631">
        <v>0</v>
      </c>
      <c r="F2631" s="6">
        <v>44099</v>
      </c>
      <c r="H2631" t="s">
        <v>189</v>
      </c>
      <c r="I2631" t="s">
        <v>120</v>
      </c>
    </row>
    <row r="2632" spans="1:9" x14ac:dyDescent="0.25">
      <c r="A2632" s="8" t="str">
        <f t="shared" si="123"/>
        <v>2009322.U01</v>
      </c>
      <c r="B2632" s="9" t="str">
        <f t="shared" si="124"/>
        <v/>
      </c>
      <c r="C2632" s="10">
        <f t="shared" si="125"/>
        <v>44116</v>
      </c>
      <c r="D2632">
        <v>2009322</v>
      </c>
      <c r="E2632" t="s">
        <v>150</v>
      </c>
      <c r="F2632" s="6">
        <v>44120</v>
      </c>
      <c r="H2632" t="s">
        <v>188</v>
      </c>
      <c r="I2632" t="s">
        <v>120</v>
      </c>
    </row>
    <row r="2633" spans="1:9" x14ac:dyDescent="0.25">
      <c r="A2633" s="8" t="str">
        <f t="shared" si="123"/>
        <v>2009323.000</v>
      </c>
      <c r="B2633" s="9" t="str">
        <f t="shared" si="124"/>
        <v/>
      </c>
      <c r="C2633" s="10">
        <f t="shared" si="125"/>
        <v>44102</v>
      </c>
      <c r="D2633">
        <v>2009323</v>
      </c>
      <c r="E2633">
        <v>0</v>
      </c>
      <c r="F2633" s="6">
        <v>44106</v>
      </c>
      <c r="H2633" t="s">
        <v>189</v>
      </c>
      <c r="I2633" t="s">
        <v>120</v>
      </c>
    </row>
    <row r="2634" spans="1:9" x14ac:dyDescent="0.25">
      <c r="A2634" s="8" t="str">
        <f t="shared" si="123"/>
        <v>2009324.N00</v>
      </c>
      <c r="B2634" s="9" t="str">
        <f t="shared" si="124"/>
        <v/>
      </c>
      <c r="C2634" s="10">
        <f t="shared" si="125"/>
        <v>44074</v>
      </c>
      <c r="D2634">
        <v>2009324</v>
      </c>
      <c r="E2634" t="s">
        <v>125</v>
      </c>
      <c r="F2634" s="6">
        <v>44078</v>
      </c>
      <c r="H2634" t="s">
        <v>188</v>
      </c>
      <c r="I2634" t="s">
        <v>120</v>
      </c>
    </row>
    <row r="2635" spans="1:9" x14ac:dyDescent="0.25">
      <c r="A2635" s="8" t="str">
        <f t="shared" si="123"/>
        <v>2009325.000</v>
      </c>
      <c r="B2635" s="9" t="str">
        <f t="shared" si="124"/>
        <v/>
      </c>
      <c r="C2635" s="10">
        <f t="shared" si="125"/>
        <v>44130</v>
      </c>
      <c r="D2635">
        <v>2009325</v>
      </c>
      <c r="E2635">
        <v>0</v>
      </c>
      <c r="F2635" s="6">
        <v>44134</v>
      </c>
      <c r="H2635" t="s">
        <v>191</v>
      </c>
      <c r="I2635" t="s">
        <v>120</v>
      </c>
    </row>
    <row r="2636" spans="1:9" x14ac:dyDescent="0.25">
      <c r="A2636" s="8" t="str">
        <f t="shared" si="123"/>
        <v>2009325.XP0</v>
      </c>
      <c r="B2636" s="9" t="str">
        <f t="shared" si="124"/>
        <v/>
      </c>
      <c r="C2636" s="10">
        <f t="shared" si="125"/>
        <v>44130</v>
      </c>
      <c r="D2636">
        <v>2009325</v>
      </c>
      <c r="E2636" t="s">
        <v>181</v>
      </c>
      <c r="F2636" s="6">
        <v>44134</v>
      </c>
      <c r="H2636" t="s">
        <v>191</v>
      </c>
      <c r="I2636" t="s">
        <v>120</v>
      </c>
    </row>
    <row r="2637" spans="1:9" x14ac:dyDescent="0.25">
      <c r="A2637" s="8" t="str">
        <f t="shared" si="123"/>
        <v>2009326.000</v>
      </c>
      <c r="B2637" s="9" t="str">
        <f t="shared" si="124"/>
        <v/>
      </c>
      <c r="C2637" s="10">
        <f t="shared" si="125"/>
        <v>44102</v>
      </c>
      <c r="D2637">
        <v>2009326</v>
      </c>
      <c r="E2637">
        <v>0</v>
      </c>
      <c r="F2637" s="6">
        <v>44106</v>
      </c>
      <c r="H2637" t="s">
        <v>190</v>
      </c>
      <c r="I2637" t="s">
        <v>120</v>
      </c>
    </row>
    <row r="2638" spans="1:9" x14ac:dyDescent="0.25">
      <c r="A2638" s="8" t="str">
        <f t="shared" si="123"/>
        <v>2009327.0P0</v>
      </c>
      <c r="B2638" s="9" t="str">
        <f t="shared" si="124"/>
        <v/>
      </c>
      <c r="C2638" s="10">
        <f t="shared" si="125"/>
        <v>44151</v>
      </c>
      <c r="D2638">
        <v>2009327</v>
      </c>
      <c r="E2638" t="s">
        <v>119</v>
      </c>
      <c r="F2638" s="6">
        <v>44155</v>
      </c>
      <c r="H2638" t="s">
        <v>189</v>
      </c>
      <c r="I2638" t="s">
        <v>120</v>
      </c>
    </row>
    <row r="2639" spans="1:9" x14ac:dyDescent="0.25">
      <c r="A2639" s="8" t="str">
        <f t="shared" si="123"/>
        <v>2009328.U00</v>
      </c>
      <c r="B2639" s="9" t="str">
        <f t="shared" si="124"/>
        <v/>
      </c>
      <c r="C2639" s="10">
        <f t="shared" si="125"/>
        <v>44116</v>
      </c>
      <c r="D2639">
        <v>2009328</v>
      </c>
      <c r="E2639" t="s">
        <v>131</v>
      </c>
      <c r="F2639" s="6">
        <v>44120</v>
      </c>
      <c r="H2639" t="s">
        <v>191</v>
      </c>
      <c r="I2639" t="s">
        <v>120</v>
      </c>
    </row>
    <row r="2640" spans="1:9" x14ac:dyDescent="0.25">
      <c r="A2640" s="8" t="str">
        <f t="shared" si="123"/>
        <v>2009329.000</v>
      </c>
      <c r="B2640" s="9" t="str">
        <f t="shared" si="124"/>
        <v/>
      </c>
      <c r="C2640" s="10">
        <f t="shared" si="125"/>
        <v>44116</v>
      </c>
      <c r="D2640">
        <v>2009329</v>
      </c>
      <c r="E2640">
        <v>0</v>
      </c>
      <c r="F2640" s="6">
        <v>44120</v>
      </c>
      <c r="H2640" t="s">
        <v>188</v>
      </c>
      <c r="I2640" t="s">
        <v>120</v>
      </c>
    </row>
    <row r="2641" spans="1:9" x14ac:dyDescent="0.25">
      <c r="A2641" s="8" t="str">
        <f t="shared" si="123"/>
        <v>2009329.Y00</v>
      </c>
      <c r="B2641" s="9" t="str">
        <f t="shared" si="124"/>
        <v/>
      </c>
      <c r="C2641" s="10">
        <f t="shared" si="125"/>
        <v>44116</v>
      </c>
      <c r="D2641">
        <v>2009329</v>
      </c>
      <c r="E2641" t="s">
        <v>130</v>
      </c>
      <c r="F2641" s="6">
        <v>44120</v>
      </c>
      <c r="H2641" t="s">
        <v>188</v>
      </c>
      <c r="I2641" t="s">
        <v>120</v>
      </c>
    </row>
    <row r="2642" spans="1:9" x14ac:dyDescent="0.25">
      <c r="A2642" s="8" t="str">
        <f t="shared" si="123"/>
        <v>2009330.H01</v>
      </c>
      <c r="B2642" s="9" t="str">
        <f t="shared" si="124"/>
        <v/>
      </c>
      <c r="C2642" s="10">
        <f t="shared" si="125"/>
        <v>44116</v>
      </c>
      <c r="D2642">
        <v>2009330</v>
      </c>
      <c r="E2642" t="s">
        <v>145</v>
      </c>
      <c r="F2642" s="6">
        <v>44120</v>
      </c>
      <c r="H2642" t="s">
        <v>192</v>
      </c>
      <c r="I2642" t="s">
        <v>120</v>
      </c>
    </row>
    <row r="2643" spans="1:9" x14ac:dyDescent="0.25">
      <c r="A2643" s="8" t="str">
        <f t="shared" si="123"/>
        <v>2009331.Y00</v>
      </c>
      <c r="B2643" s="9" t="str">
        <f t="shared" si="124"/>
        <v/>
      </c>
      <c r="C2643" s="10">
        <f t="shared" si="125"/>
        <v>44109</v>
      </c>
      <c r="D2643">
        <v>2009331</v>
      </c>
      <c r="E2643" t="s">
        <v>130</v>
      </c>
      <c r="F2643" s="6">
        <v>44113</v>
      </c>
      <c r="H2643" t="s">
        <v>192</v>
      </c>
      <c r="I2643" t="s">
        <v>120</v>
      </c>
    </row>
    <row r="2644" spans="1:9" x14ac:dyDescent="0.25">
      <c r="A2644" s="8" t="str">
        <f t="shared" si="123"/>
        <v>2009332.H02</v>
      </c>
      <c r="B2644" s="9" t="str">
        <f t="shared" si="124"/>
        <v/>
      </c>
      <c r="C2644" s="10">
        <f t="shared" si="125"/>
        <v>44116</v>
      </c>
      <c r="D2644">
        <v>2009332</v>
      </c>
      <c r="E2644" t="s">
        <v>156</v>
      </c>
      <c r="F2644" s="6">
        <v>44120</v>
      </c>
      <c r="H2644" t="s">
        <v>191</v>
      </c>
      <c r="I2644" t="s">
        <v>120</v>
      </c>
    </row>
    <row r="2645" spans="1:9" x14ac:dyDescent="0.25">
      <c r="A2645" s="8" t="str">
        <f t="shared" si="123"/>
        <v>2009333.UP0</v>
      </c>
      <c r="B2645" s="9" t="str">
        <f t="shared" si="124"/>
        <v/>
      </c>
      <c r="C2645" s="10">
        <f t="shared" si="125"/>
        <v>44116</v>
      </c>
      <c r="D2645">
        <v>2009333</v>
      </c>
      <c r="E2645" t="s">
        <v>136</v>
      </c>
      <c r="F2645" s="6">
        <v>44120</v>
      </c>
      <c r="H2645" t="s">
        <v>188</v>
      </c>
      <c r="I2645" t="s">
        <v>120</v>
      </c>
    </row>
    <row r="2646" spans="1:9" x14ac:dyDescent="0.25">
      <c r="A2646" s="8" t="str">
        <f t="shared" si="123"/>
        <v>2009334.UP1</v>
      </c>
      <c r="B2646" s="9" t="str">
        <f t="shared" si="124"/>
        <v/>
      </c>
      <c r="C2646" s="10">
        <f t="shared" si="125"/>
        <v>44116</v>
      </c>
      <c r="D2646">
        <v>2009334</v>
      </c>
      <c r="E2646" t="s">
        <v>164</v>
      </c>
      <c r="F2646" s="6">
        <v>44120</v>
      </c>
      <c r="H2646" t="s">
        <v>192</v>
      </c>
      <c r="I2646" t="s">
        <v>120</v>
      </c>
    </row>
    <row r="2647" spans="1:9" x14ac:dyDescent="0.25">
      <c r="A2647" s="8" t="str">
        <f t="shared" si="123"/>
        <v>2009334.U00</v>
      </c>
      <c r="B2647" s="9" t="str">
        <f t="shared" si="124"/>
        <v/>
      </c>
      <c r="C2647" s="10">
        <f t="shared" si="125"/>
        <v>44116</v>
      </c>
      <c r="D2647">
        <v>2009334</v>
      </c>
      <c r="E2647" t="s">
        <v>131</v>
      </c>
      <c r="F2647" s="6">
        <v>44120</v>
      </c>
      <c r="H2647" t="s">
        <v>192</v>
      </c>
      <c r="I2647" t="s">
        <v>120</v>
      </c>
    </row>
    <row r="2648" spans="1:9" x14ac:dyDescent="0.25">
      <c r="A2648" s="8" t="str">
        <f t="shared" si="123"/>
        <v>2009334.Y00</v>
      </c>
      <c r="B2648" s="9" t="str">
        <f t="shared" si="124"/>
        <v/>
      </c>
      <c r="C2648" s="10">
        <f t="shared" si="125"/>
        <v>44116</v>
      </c>
      <c r="D2648">
        <v>2009334</v>
      </c>
      <c r="E2648" t="s">
        <v>130</v>
      </c>
      <c r="F2648" s="6">
        <v>44120</v>
      </c>
      <c r="H2648" t="s">
        <v>192</v>
      </c>
      <c r="I2648" t="s">
        <v>120</v>
      </c>
    </row>
    <row r="2649" spans="1:9" x14ac:dyDescent="0.25">
      <c r="A2649" s="8" t="str">
        <f t="shared" si="123"/>
        <v>2009335.UP0</v>
      </c>
      <c r="B2649" s="9" t="str">
        <f t="shared" si="124"/>
        <v/>
      </c>
      <c r="C2649" s="10">
        <f t="shared" si="125"/>
        <v>44116</v>
      </c>
      <c r="D2649">
        <v>2009335</v>
      </c>
      <c r="E2649" t="s">
        <v>136</v>
      </c>
      <c r="F2649" s="6">
        <v>44120</v>
      </c>
      <c r="H2649" t="s">
        <v>188</v>
      </c>
      <c r="I2649" t="s">
        <v>120</v>
      </c>
    </row>
    <row r="2650" spans="1:9" x14ac:dyDescent="0.25">
      <c r="A2650" s="8" t="str">
        <f t="shared" si="123"/>
        <v>2009336.H00</v>
      </c>
      <c r="B2650" s="9" t="str">
        <f t="shared" si="124"/>
        <v/>
      </c>
      <c r="C2650" s="10">
        <f t="shared" si="125"/>
        <v>44116</v>
      </c>
      <c r="D2650">
        <v>2009336</v>
      </c>
      <c r="E2650" t="s">
        <v>122</v>
      </c>
      <c r="F2650" s="6">
        <v>44120</v>
      </c>
      <c r="H2650" t="s">
        <v>188</v>
      </c>
      <c r="I2650" t="s">
        <v>120</v>
      </c>
    </row>
    <row r="2651" spans="1:9" x14ac:dyDescent="0.25">
      <c r="A2651" s="8" t="str">
        <f t="shared" si="123"/>
        <v>2009337.000</v>
      </c>
      <c r="B2651" s="9" t="str">
        <f t="shared" si="124"/>
        <v/>
      </c>
      <c r="C2651" s="10">
        <f t="shared" si="125"/>
        <v>44102</v>
      </c>
      <c r="D2651">
        <v>2009337</v>
      </c>
      <c r="E2651">
        <v>0</v>
      </c>
      <c r="F2651" s="6">
        <v>44106</v>
      </c>
      <c r="H2651" t="s">
        <v>191</v>
      </c>
      <c r="I2651" t="s">
        <v>120</v>
      </c>
    </row>
    <row r="2652" spans="1:9" x14ac:dyDescent="0.25">
      <c r="A2652" s="8" t="str">
        <f t="shared" si="123"/>
        <v>2009338.0P0</v>
      </c>
      <c r="B2652" s="9" t="str">
        <f t="shared" si="124"/>
        <v/>
      </c>
      <c r="C2652" s="10">
        <f t="shared" si="125"/>
        <v>44088</v>
      </c>
      <c r="D2652">
        <v>2009338</v>
      </c>
      <c r="E2652" t="s">
        <v>119</v>
      </c>
      <c r="F2652" s="6">
        <v>44092</v>
      </c>
      <c r="H2652" t="s">
        <v>188</v>
      </c>
      <c r="I2652" t="s">
        <v>120</v>
      </c>
    </row>
    <row r="2653" spans="1:9" x14ac:dyDescent="0.25">
      <c r="A2653" s="8" t="str">
        <f t="shared" si="123"/>
        <v>2009339.Y00</v>
      </c>
      <c r="B2653" s="9" t="str">
        <f t="shared" si="124"/>
        <v/>
      </c>
      <c r="C2653" s="10">
        <f t="shared" si="125"/>
        <v>44116</v>
      </c>
      <c r="D2653">
        <v>2009339</v>
      </c>
      <c r="E2653" t="s">
        <v>130</v>
      </c>
      <c r="F2653" s="6">
        <v>44120</v>
      </c>
      <c r="H2653" t="s">
        <v>188</v>
      </c>
      <c r="I2653" t="s">
        <v>120</v>
      </c>
    </row>
    <row r="2654" spans="1:9" x14ac:dyDescent="0.25">
      <c r="A2654" s="8" t="str">
        <f t="shared" si="123"/>
        <v>2009340.000</v>
      </c>
      <c r="B2654" s="9" t="str">
        <f t="shared" si="124"/>
        <v/>
      </c>
      <c r="C2654" s="10">
        <f t="shared" si="125"/>
        <v>44102</v>
      </c>
      <c r="D2654">
        <v>2009340</v>
      </c>
      <c r="E2654">
        <v>0</v>
      </c>
      <c r="F2654" s="6">
        <v>44106</v>
      </c>
      <c r="H2654" t="s">
        <v>192</v>
      </c>
      <c r="I2654" t="s">
        <v>120</v>
      </c>
    </row>
    <row r="2655" spans="1:9" x14ac:dyDescent="0.25">
      <c r="A2655" s="8" t="str">
        <f t="shared" si="123"/>
        <v>2009341.0P0</v>
      </c>
      <c r="B2655" s="9" t="str">
        <f t="shared" si="124"/>
        <v/>
      </c>
      <c r="C2655" s="10">
        <f t="shared" si="125"/>
        <v>44102</v>
      </c>
      <c r="D2655">
        <v>2009341</v>
      </c>
      <c r="E2655" t="s">
        <v>119</v>
      </c>
      <c r="F2655" s="6">
        <v>44106</v>
      </c>
      <c r="H2655" t="s">
        <v>191</v>
      </c>
      <c r="I2655" t="s">
        <v>120</v>
      </c>
    </row>
    <row r="2656" spans="1:9" x14ac:dyDescent="0.25">
      <c r="A2656" s="8" t="str">
        <f t="shared" si="123"/>
        <v>2009342.U01</v>
      </c>
      <c r="B2656" s="9" t="str">
        <f t="shared" si="124"/>
        <v/>
      </c>
      <c r="C2656" s="10">
        <f t="shared" si="125"/>
        <v>44116</v>
      </c>
      <c r="D2656">
        <v>2009342</v>
      </c>
      <c r="E2656" t="s">
        <v>150</v>
      </c>
      <c r="F2656" s="6">
        <v>44120</v>
      </c>
      <c r="H2656" t="s">
        <v>188</v>
      </c>
      <c r="I2656" t="s">
        <v>120</v>
      </c>
    </row>
    <row r="2657" spans="1:9" x14ac:dyDescent="0.25">
      <c r="A2657" s="8" t="str">
        <f t="shared" si="123"/>
        <v>2009342.Y01</v>
      </c>
      <c r="B2657" s="9" t="str">
        <f t="shared" si="124"/>
        <v/>
      </c>
      <c r="C2657" s="10">
        <f t="shared" si="125"/>
        <v>44116</v>
      </c>
      <c r="D2657">
        <v>2009342</v>
      </c>
      <c r="E2657" t="s">
        <v>132</v>
      </c>
      <c r="F2657" s="6">
        <v>44120</v>
      </c>
      <c r="H2657" t="s">
        <v>188</v>
      </c>
      <c r="I2657" t="s">
        <v>120</v>
      </c>
    </row>
    <row r="2658" spans="1:9" x14ac:dyDescent="0.25">
      <c r="A2658" s="8" t="str">
        <f t="shared" si="123"/>
        <v>2009343.Y02</v>
      </c>
      <c r="B2658" s="9" t="str">
        <f t="shared" si="124"/>
        <v/>
      </c>
      <c r="C2658" s="10">
        <f t="shared" si="125"/>
        <v>44116</v>
      </c>
      <c r="D2658">
        <v>2009343</v>
      </c>
      <c r="E2658" t="s">
        <v>144</v>
      </c>
      <c r="F2658" s="6">
        <v>44120</v>
      </c>
      <c r="H2658" t="s">
        <v>188</v>
      </c>
      <c r="I2658" t="s">
        <v>120</v>
      </c>
    </row>
    <row r="2659" spans="1:9" x14ac:dyDescent="0.25">
      <c r="A2659" s="8" t="str">
        <f t="shared" si="123"/>
        <v>2009344.HP0</v>
      </c>
      <c r="B2659" s="9" t="str">
        <f t="shared" si="124"/>
        <v/>
      </c>
      <c r="C2659" s="10">
        <f t="shared" si="125"/>
        <v>44116</v>
      </c>
      <c r="D2659">
        <v>2009344</v>
      </c>
      <c r="E2659" t="s">
        <v>121</v>
      </c>
      <c r="F2659" s="6">
        <v>44120</v>
      </c>
      <c r="H2659" t="s">
        <v>191</v>
      </c>
      <c r="I2659" t="s">
        <v>120</v>
      </c>
    </row>
    <row r="2660" spans="1:9" x14ac:dyDescent="0.25">
      <c r="A2660" s="8" t="str">
        <f t="shared" si="123"/>
        <v>2009345.Y00</v>
      </c>
      <c r="B2660" s="9" t="str">
        <f t="shared" si="124"/>
        <v/>
      </c>
      <c r="C2660" s="10">
        <f t="shared" si="125"/>
        <v>44095</v>
      </c>
      <c r="D2660">
        <v>2009345</v>
      </c>
      <c r="E2660" t="s">
        <v>130</v>
      </c>
      <c r="F2660" s="6">
        <v>44099</v>
      </c>
      <c r="H2660" t="s">
        <v>188</v>
      </c>
      <c r="I2660" t="s">
        <v>120</v>
      </c>
    </row>
    <row r="2661" spans="1:9" x14ac:dyDescent="0.25">
      <c r="A2661" s="8" t="str">
        <f t="shared" si="123"/>
        <v>2009346.000</v>
      </c>
      <c r="B2661" s="9" t="str">
        <f t="shared" si="124"/>
        <v/>
      </c>
      <c r="C2661" s="10">
        <f t="shared" si="125"/>
        <v>44095</v>
      </c>
      <c r="D2661">
        <v>2009346</v>
      </c>
      <c r="E2661">
        <v>0</v>
      </c>
      <c r="F2661" s="6">
        <v>44099</v>
      </c>
      <c r="H2661" t="s">
        <v>192</v>
      </c>
      <c r="I2661" t="s">
        <v>120</v>
      </c>
    </row>
    <row r="2662" spans="1:9" x14ac:dyDescent="0.25">
      <c r="A2662" s="8" t="str">
        <f t="shared" si="123"/>
        <v>2009347.000</v>
      </c>
      <c r="B2662" s="9" t="str">
        <f t="shared" si="124"/>
        <v/>
      </c>
      <c r="C2662" s="10">
        <f t="shared" si="125"/>
        <v>44095</v>
      </c>
      <c r="D2662">
        <v>2009347</v>
      </c>
      <c r="E2662">
        <v>0</v>
      </c>
      <c r="F2662" s="6">
        <v>44099</v>
      </c>
      <c r="H2662" t="s">
        <v>189</v>
      </c>
      <c r="I2662" t="s">
        <v>120</v>
      </c>
    </row>
    <row r="2663" spans="1:9" x14ac:dyDescent="0.25">
      <c r="A2663" s="8" t="str">
        <f t="shared" ref="A2663:A2726" si="126">IF(D2663="","",IF(E2663=0,CONCATENATE(D2663,".",E2663,"00"),CONCATENATE(D2663,".",E2663)))</f>
        <v>2009348.NF0</v>
      </c>
      <c r="B2663" s="9" t="str">
        <f t="shared" ref="B2663:B2726" si="127">LEFT(G2663,1)</f>
        <v/>
      </c>
      <c r="C2663" s="10">
        <f t="shared" ref="C2663:C2726" si="128">IF(F2663="","",IF(B2663="",F2663-4,IF(B2663="1",F2663-4,IF(B2663="2",F2663-3,IF(B2663="3",F2663-2,IF(B2663="4",F2663-1,IF(B2663="V",F2663-7,IF(B2663="J",F2663-8,F2663))))))))</f>
        <v>44095</v>
      </c>
      <c r="D2663">
        <v>2009348</v>
      </c>
      <c r="E2663" t="s">
        <v>137</v>
      </c>
      <c r="F2663" s="6">
        <v>44099</v>
      </c>
      <c r="H2663" t="s">
        <v>191</v>
      </c>
      <c r="I2663" t="s">
        <v>134</v>
      </c>
    </row>
    <row r="2664" spans="1:9" x14ac:dyDescent="0.25">
      <c r="A2664" s="8" t="str">
        <f t="shared" si="126"/>
        <v>2009349.000</v>
      </c>
      <c r="B2664" s="9" t="str">
        <f t="shared" si="127"/>
        <v/>
      </c>
      <c r="C2664" s="10">
        <f t="shared" si="128"/>
        <v>44102</v>
      </c>
      <c r="D2664">
        <v>2009349</v>
      </c>
      <c r="E2664">
        <v>0</v>
      </c>
      <c r="F2664" s="6">
        <v>44106</v>
      </c>
      <c r="H2664" t="s">
        <v>192</v>
      </c>
      <c r="I2664" t="s">
        <v>120</v>
      </c>
    </row>
    <row r="2665" spans="1:9" x14ac:dyDescent="0.25">
      <c r="A2665" s="8" t="str">
        <f t="shared" si="126"/>
        <v>2009350.NV0</v>
      </c>
      <c r="B2665" s="9" t="str">
        <f t="shared" si="127"/>
        <v/>
      </c>
      <c r="C2665" s="10">
        <f t="shared" si="128"/>
        <v>44074</v>
      </c>
      <c r="D2665">
        <v>2009350</v>
      </c>
      <c r="E2665" t="s">
        <v>126</v>
      </c>
      <c r="F2665" s="6">
        <v>44078</v>
      </c>
      <c r="H2665" t="s">
        <v>188</v>
      </c>
      <c r="I2665" t="s">
        <v>120</v>
      </c>
    </row>
    <row r="2666" spans="1:9" x14ac:dyDescent="0.25">
      <c r="A2666" s="8" t="str">
        <f t="shared" si="126"/>
        <v>2009351.N0L</v>
      </c>
      <c r="B2666" s="9" t="str">
        <f t="shared" si="127"/>
        <v/>
      </c>
      <c r="C2666" s="10">
        <f t="shared" si="128"/>
        <v>44074</v>
      </c>
      <c r="D2666">
        <v>2009351</v>
      </c>
      <c r="E2666" t="s">
        <v>133</v>
      </c>
      <c r="F2666" s="6">
        <v>44078</v>
      </c>
      <c r="H2666" t="s">
        <v>188</v>
      </c>
      <c r="I2666" t="s">
        <v>120</v>
      </c>
    </row>
    <row r="2667" spans="1:9" x14ac:dyDescent="0.25">
      <c r="A2667" s="8" t="str">
        <f t="shared" si="126"/>
        <v>2009352.N0L</v>
      </c>
      <c r="B2667" s="9" t="str">
        <f t="shared" si="127"/>
        <v/>
      </c>
      <c r="C2667" s="10">
        <f t="shared" si="128"/>
        <v>44074</v>
      </c>
      <c r="D2667">
        <v>2009352</v>
      </c>
      <c r="E2667" t="s">
        <v>133</v>
      </c>
      <c r="F2667" s="6">
        <v>44078</v>
      </c>
      <c r="H2667" t="s">
        <v>188</v>
      </c>
      <c r="I2667" t="s">
        <v>120</v>
      </c>
    </row>
    <row r="2668" spans="1:9" x14ac:dyDescent="0.25">
      <c r="A2668" s="8" t="str">
        <f t="shared" si="126"/>
        <v>2009353.NI0</v>
      </c>
      <c r="B2668" s="9" t="str">
        <f t="shared" si="127"/>
        <v/>
      </c>
      <c r="C2668" s="10">
        <f t="shared" si="128"/>
        <v>44074</v>
      </c>
      <c r="D2668">
        <v>2009353</v>
      </c>
      <c r="E2668" t="s">
        <v>185</v>
      </c>
      <c r="F2668" s="6">
        <v>44078</v>
      </c>
      <c r="H2668" t="s">
        <v>188</v>
      </c>
      <c r="I2668" t="s">
        <v>120</v>
      </c>
    </row>
    <row r="2669" spans="1:9" x14ac:dyDescent="0.25">
      <c r="A2669" s="8" t="str">
        <f t="shared" si="126"/>
        <v>2009354.X00</v>
      </c>
      <c r="B2669" s="9" t="str">
        <f t="shared" si="127"/>
        <v/>
      </c>
      <c r="C2669" s="10">
        <f t="shared" si="128"/>
        <v>44102</v>
      </c>
      <c r="D2669">
        <v>2009354</v>
      </c>
      <c r="E2669" t="s">
        <v>225</v>
      </c>
      <c r="F2669" s="6">
        <v>44106</v>
      </c>
      <c r="H2669" t="s">
        <v>191</v>
      </c>
      <c r="I2669" t="s">
        <v>120</v>
      </c>
    </row>
    <row r="2670" spans="1:9" x14ac:dyDescent="0.25">
      <c r="A2670" s="8" t="str">
        <f t="shared" si="126"/>
        <v>2009355.ZP2</v>
      </c>
      <c r="B2670" s="9" t="str">
        <f t="shared" si="127"/>
        <v/>
      </c>
      <c r="C2670" s="10">
        <f t="shared" si="128"/>
        <v>44116</v>
      </c>
      <c r="D2670">
        <v>2009355</v>
      </c>
      <c r="E2670" t="s">
        <v>151</v>
      </c>
      <c r="F2670" s="6">
        <v>44120</v>
      </c>
      <c r="H2670" t="s">
        <v>188</v>
      </c>
      <c r="I2670" t="s">
        <v>120</v>
      </c>
    </row>
    <row r="2671" spans="1:9" x14ac:dyDescent="0.25">
      <c r="A2671" s="8" t="str">
        <f t="shared" si="126"/>
        <v>2009356.X00</v>
      </c>
      <c r="B2671" s="9" t="str">
        <f t="shared" si="127"/>
        <v/>
      </c>
      <c r="C2671" s="10">
        <f t="shared" si="128"/>
        <v>44116</v>
      </c>
      <c r="D2671">
        <v>2009356</v>
      </c>
      <c r="E2671" t="s">
        <v>225</v>
      </c>
      <c r="F2671" s="6">
        <v>44120</v>
      </c>
      <c r="H2671" t="s">
        <v>188</v>
      </c>
      <c r="I2671" t="s">
        <v>120</v>
      </c>
    </row>
    <row r="2672" spans="1:9" x14ac:dyDescent="0.25">
      <c r="A2672" s="8" t="str">
        <f t="shared" si="126"/>
        <v>2009357.H00</v>
      </c>
      <c r="B2672" s="9" t="str">
        <f t="shared" si="127"/>
        <v/>
      </c>
      <c r="C2672" s="10">
        <f t="shared" si="128"/>
        <v>44095</v>
      </c>
      <c r="D2672">
        <v>2009357</v>
      </c>
      <c r="E2672" t="s">
        <v>122</v>
      </c>
      <c r="F2672" s="6">
        <v>44099</v>
      </c>
      <c r="H2672" t="s">
        <v>188</v>
      </c>
      <c r="I2672" t="s">
        <v>120</v>
      </c>
    </row>
    <row r="2673" spans="1:9" x14ac:dyDescent="0.25">
      <c r="A2673" s="8" t="str">
        <f t="shared" si="126"/>
        <v>2009358.U00</v>
      </c>
      <c r="B2673" s="9" t="str">
        <f t="shared" si="127"/>
        <v/>
      </c>
      <c r="C2673" s="10">
        <f t="shared" si="128"/>
        <v>44116</v>
      </c>
      <c r="D2673">
        <v>2009358</v>
      </c>
      <c r="E2673" t="s">
        <v>131</v>
      </c>
      <c r="F2673" s="6">
        <v>44120</v>
      </c>
      <c r="H2673" t="s">
        <v>188</v>
      </c>
      <c r="I2673" t="s">
        <v>120</v>
      </c>
    </row>
    <row r="2674" spans="1:9" x14ac:dyDescent="0.25">
      <c r="A2674" s="8" t="str">
        <f t="shared" si="126"/>
        <v>2009359.000</v>
      </c>
      <c r="B2674" s="9" t="str">
        <f t="shared" si="127"/>
        <v/>
      </c>
      <c r="C2674" s="10">
        <f t="shared" si="128"/>
        <v>44102</v>
      </c>
      <c r="D2674">
        <v>2009359</v>
      </c>
      <c r="E2674">
        <v>0</v>
      </c>
      <c r="F2674" s="6">
        <v>44106</v>
      </c>
      <c r="H2674" t="s">
        <v>192</v>
      </c>
      <c r="I2674" t="s">
        <v>120</v>
      </c>
    </row>
    <row r="2675" spans="1:9" x14ac:dyDescent="0.25">
      <c r="A2675" s="8" t="str">
        <f t="shared" si="126"/>
        <v>2009360.000</v>
      </c>
      <c r="B2675" s="9" t="str">
        <f t="shared" si="127"/>
        <v/>
      </c>
      <c r="C2675" s="10">
        <f t="shared" si="128"/>
        <v>44102</v>
      </c>
      <c r="D2675">
        <v>2009360</v>
      </c>
      <c r="E2675">
        <v>0</v>
      </c>
      <c r="F2675" s="6">
        <v>44106</v>
      </c>
      <c r="H2675" t="s">
        <v>192</v>
      </c>
      <c r="I2675" t="s">
        <v>120</v>
      </c>
    </row>
    <row r="2676" spans="1:9" x14ac:dyDescent="0.25">
      <c r="A2676" s="8" t="str">
        <f t="shared" si="126"/>
        <v>2009361.U00</v>
      </c>
      <c r="B2676" s="9" t="str">
        <f t="shared" si="127"/>
        <v>2</v>
      </c>
      <c r="C2676" s="10">
        <f t="shared" si="128"/>
        <v>44117</v>
      </c>
      <c r="D2676">
        <v>2009361</v>
      </c>
      <c r="E2676" t="s">
        <v>131</v>
      </c>
      <c r="F2676" s="6">
        <v>44120</v>
      </c>
      <c r="G2676">
        <v>2</v>
      </c>
      <c r="H2676" t="s">
        <v>188</v>
      </c>
      <c r="I2676" t="s">
        <v>120</v>
      </c>
    </row>
    <row r="2677" spans="1:9" x14ac:dyDescent="0.25">
      <c r="A2677" s="8" t="str">
        <f t="shared" si="126"/>
        <v>2009362.000</v>
      </c>
      <c r="B2677" s="9" t="str">
        <f t="shared" si="127"/>
        <v>1</v>
      </c>
      <c r="C2677" s="10">
        <f t="shared" si="128"/>
        <v>44116</v>
      </c>
      <c r="D2677">
        <v>2009362</v>
      </c>
      <c r="E2677">
        <v>0</v>
      </c>
      <c r="F2677" s="6">
        <v>44120</v>
      </c>
      <c r="G2677">
        <v>1</v>
      </c>
      <c r="H2677" t="s">
        <v>189</v>
      </c>
      <c r="I2677" t="s">
        <v>120</v>
      </c>
    </row>
    <row r="2678" spans="1:9" x14ac:dyDescent="0.25">
      <c r="A2678" s="8" t="str">
        <f t="shared" si="126"/>
        <v>2009363.X00</v>
      </c>
      <c r="B2678" s="9" t="str">
        <f t="shared" si="127"/>
        <v>1</v>
      </c>
      <c r="C2678" s="10">
        <f t="shared" si="128"/>
        <v>44123</v>
      </c>
      <c r="D2678">
        <v>2009363</v>
      </c>
      <c r="E2678" t="s">
        <v>225</v>
      </c>
      <c r="F2678" s="6">
        <v>44127</v>
      </c>
      <c r="G2678">
        <v>1</v>
      </c>
      <c r="H2678" t="s">
        <v>191</v>
      </c>
      <c r="I2678" t="s">
        <v>120</v>
      </c>
    </row>
    <row r="2679" spans="1:9" x14ac:dyDescent="0.25">
      <c r="A2679" s="8" t="str">
        <f t="shared" si="126"/>
        <v>2009363.XP0</v>
      </c>
      <c r="B2679" s="9" t="str">
        <f t="shared" si="127"/>
        <v>1</v>
      </c>
      <c r="C2679" s="10">
        <f t="shared" si="128"/>
        <v>44123</v>
      </c>
      <c r="D2679">
        <v>2009363</v>
      </c>
      <c r="E2679" t="s">
        <v>181</v>
      </c>
      <c r="F2679" s="6">
        <v>44127</v>
      </c>
      <c r="G2679">
        <v>1</v>
      </c>
      <c r="H2679" t="s">
        <v>191</v>
      </c>
      <c r="I2679" t="s">
        <v>120</v>
      </c>
    </row>
    <row r="2680" spans="1:9" x14ac:dyDescent="0.25">
      <c r="A2680" s="8" t="str">
        <f t="shared" si="126"/>
        <v>2009364.Y00</v>
      </c>
      <c r="B2680" s="9" t="str">
        <f t="shared" si="127"/>
        <v/>
      </c>
      <c r="C2680" s="10">
        <f t="shared" si="128"/>
        <v>44116</v>
      </c>
      <c r="D2680">
        <v>2009364</v>
      </c>
      <c r="E2680" t="s">
        <v>130</v>
      </c>
      <c r="F2680" s="6">
        <v>44120</v>
      </c>
      <c r="H2680" t="s">
        <v>188</v>
      </c>
      <c r="I2680" t="s">
        <v>120</v>
      </c>
    </row>
    <row r="2681" spans="1:9" x14ac:dyDescent="0.25">
      <c r="A2681" s="8" t="str">
        <f t="shared" si="126"/>
        <v>2009365.000</v>
      </c>
      <c r="B2681" s="9" t="str">
        <f t="shared" si="127"/>
        <v/>
      </c>
      <c r="C2681" s="10">
        <f t="shared" si="128"/>
        <v>44102</v>
      </c>
      <c r="D2681">
        <v>2009365</v>
      </c>
      <c r="E2681">
        <v>0</v>
      </c>
      <c r="F2681" s="6">
        <v>44106</v>
      </c>
      <c r="H2681" t="s">
        <v>192</v>
      </c>
      <c r="I2681" t="s">
        <v>120</v>
      </c>
    </row>
    <row r="2682" spans="1:9" x14ac:dyDescent="0.25">
      <c r="A2682" s="8" t="str">
        <f t="shared" si="126"/>
        <v>2009365.0P0</v>
      </c>
      <c r="B2682" s="9" t="str">
        <f t="shared" si="127"/>
        <v/>
      </c>
      <c r="C2682" s="10">
        <f t="shared" si="128"/>
        <v>44102</v>
      </c>
      <c r="D2682">
        <v>2009365</v>
      </c>
      <c r="E2682" t="s">
        <v>119</v>
      </c>
      <c r="F2682" s="6">
        <v>44106</v>
      </c>
      <c r="H2682" t="s">
        <v>192</v>
      </c>
      <c r="I2682" t="s">
        <v>120</v>
      </c>
    </row>
    <row r="2683" spans="1:9" x14ac:dyDescent="0.25">
      <c r="A2683" s="8" t="str">
        <f t="shared" si="126"/>
        <v>2009366.T00</v>
      </c>
      <c r="B2683" s="9" t="str">
        <f t="shared" si="127"/>
        <v/>
      </c>
      <c r="C2683" s="10">
        <f t="shared" si="128"/>
        <v>44123</v>
      </c>
      <c r="D2683">
        <v>2009366</v>
      </c>
      <c r="E2683" t="s">
        <v>159</v>
      </c>
      <c r="F2683" s="6">
        <v>44127</v>
      </c>
      <c r="H2683" t="s">
        <v>192</v>
      </c>
      <c r="I2683" t="s">
        <v>120</v>
      </c>
    </row>
    <row r="2684" spans="1:9" x14ac:dyDescent="0.25">
      <c r="A2684" s="8" t="str">
        <f t="shared" si="126"/>
        <v>2009367.000</v>
      </c>
      <c r="B2684" s="9" t="str">
        <f t="shared" si="127"/>
        <v/>
      </c>
      <c r="C2684" s="10">
        <f t="shared" si="128"/>
        <v>44102</v>
      </c>
      <c r="D2684">
        <v>2009367</v>
      </c>
      <c r="E2684">
        <v>0</v>
      </c>
      <c r="F2684" s="6">
        <v>44106</v>
      </c>
      <c r="H2684" t="s">
        <v>189</v>
      </c>
      <c r="I2684" t="s">
        <v>120</v>
      </c>
    </row>
    <row r="2685" spans="1:9" x14ac:dyDescent="0.25">
      <c r="A2685" s="8" t="str">
        <f t="shared" si="126"/>
        <v>2009368.0P0</v>
      </c>
      <c r="B2685" s="9" t="str">
        <f t="shared" si="127"/>
        <v/>
      </c>
      <c r="C2685" s="10">
        <f t="shared" si="128"/>
        <v>44102</v>
      </c>
      <c r="D2685">
        <v>2009368</v>
      </c>
      <c r="E2685" t="s">
        <v>119</v>
      </c>
      <c r="F2685" s="6">
        <v>44106</v>
      </c>
      <c r="H2685" t="s">
        <v>189</v>
      </c>
      <c r="I2685" t="s">
        <v>120</v>
      </c>
    </row>
    <row r="2686" spans="1:9" x14ac:dyDescent="0.25">
      <c r="A2686" s="8" t="str">
        <f t="shared" si="126"/>
        <v>2009369.HP0</v>
      </c>
      <c r="B2686" s="9" t="str">
        <f t="shared" si="127"/>
        <v/>
      </c>
      <c r="C2686" s="10">
        <f t="shared" si="128"/>
        <v>44116</v>
      </c>
      <c r="D2686">
        <v>2009369</v>
      </c>
      <c r="E2686" t="s">
        <v>121</v>
      </c>
      <c r="F2686" s="6">
        <v>44120</v>
      </c>
      <c r="H2686" t="s">
        <v>192</v>
      </c>
      <c r="I2686" t="s">
        <v>120</v>
      </c>
    </row>
    <row r="2687" spans="1:9" x14ac:dyDescent="0.25">
      <c r="A2687" s="8" t="str">
        <f t="shared" si="126"/>
        <v>2009370.HP0</v>
      </c>
      <c r="B2687" s="9" t="str">
        <f t="shared" si="127"/>
        <v>4</v>
      </c>
      <c r="C2687" s="10">
        <f t="shared" si="128"/>
        <v>44119</v>
      </c>
      <c r="D2687">
        <v>2009370</v>
      </c>
      <c r="E2687" t="s">
        <v>121</v>
      </c>
      <c r="F2687" s="6">
        <v>44120</v>
      </c>
      <c r="G2687">
        <v>4</v>
      </c>
      <c r="H2687" t="s">
        <v>188</v>
      </c>
      <c r="I2687" t="s">
        <v>120</v>
      </c>
    </row>
    <row r="2688" spans="1:9" x14ac:dyDescent="0.25">
      <c r="A2688" s="8" t="str">
        <f t="shared" si="126"/>
        <v>2009370.Y01</v>
      </c>
      <c r="B2688" s="9" t="str">
        <f t="shared" si="127"/>
        <v>4</v>
      </c>
      <c r="C2688" s="10">
        <f t="shared" si="128"/>
        <v>44119</v>
      </c>
      <c r="D2688">
        <v>2009370</v>
      </c>
      <c r="E2688" t="s">
        <v>132</v>
      </c>
      <c r="F2688" s="6">
        <v>44120</v>
      </c>
      <c r="G2688">
        <v>4</v>
      </c>
      <c r="H2688" t="s">
        <v>188</v>
      </c>
      <c r="I2688" t="s">
        <v>120</v>
      </c>
    </row>
    <row r="2689" spans="1:9" x14ac:dyDescent="0.25">
      <c r="A2689" s="8" t="str">
        <f t="shared" si="126"/>
        <v>2009370.H00</v>
      </c>
      <c r="B2689" s="9" t="str">
        <f t="shared" si="127"/>
        <v>4</v>
      </c>
      <c r="C2689" s="10">
        <f t="shared" si="128"/>
        <v>44119</v>
      </c>
      <c r="D2689">
        <v>2009370</v>
      </c>
      <c r="E2689" t="s">
        <v>122</v>
      </c>
      <c r="F2689" s="6">
        <v>44120</v>
      </c>
      <c r="G2689">
        <v>4</v>
      </c>
      <c r="H2689" t="s">
        <v>188</v>
      </c>
      <c r="I2689" t="s">
        <v>120</v>
      </c>
    </row>
    <row r="2690" spans="1:9" x14ac:dyDescent="0.25">
      <c r="A2690" s="8" t="str">
        <f t="shared" si="126"/>
        <v>2009371.000</v>
      </c>
      <c r="B2690" s="9" t="str">
        <f t="shared" si="127"/>
        <v/>
      </c>
      <c r="C2690" s="10">
        <f t="shared" si="128"/>
        <v>44102</v>
      </c>
      <c r="D2690">
        <v>2009371</v>
      </c>
      <c r="E2690">
        <v>0</v>
      </c>
      <c r="F2690" s="6">
        <v>44106</v>
      </c>
      <c r="H2690" t="s">
        <v>192</v>
      </c>
      <c r="I2690" t="s">
        <v>120</v>
      </c>
    </row>
    <row r="2691" spans="1:9" x14ac:dyDescent="0.25">
      <c r="A2691" s="8" t="str">
        <f t="shared" si="126"/>
        <v>2009372.000</v>
      </c>
      <c r="B2691" s="9" t="str">
        <f t="shared" si="127"/>
        <v/>
      </c>
      <c r="C2691" s="10">
        <f t="shared" si="128"/>
        <v>44102</v>
      </c>
      <c r="D2691">
        <v>2009372</v>
      </c>
      <c r="E2691">
        <v>0</v>
      </c>
      <c r="F2691" s="6">
        <v>44106</v>
      </c>
      <c r="H2691" t="s">
        <v>192</v>
      </c>
      <c r="I2691" t="s">
        <v>120</v>
      </c>
    </row>
    <row r="2692" spans="1:9" x14ac:dyDescent="0.25">
      <c r="A2692" s="8" t="str">
        <f t="shared" si="126"/>
        <v>2009373.U00</v>
      </c>
      <c r="B2692" s="9" t="str">
        <f t="shared" si="127"/>
        <v/>
      </c>
      <c r="C2692" s="10">
        <f t="shared" si="128"/>
        <v>44116</v>
      </c>
      <c r="D2692">
        <v>2009373</v>
      </c>
      <c r="E2692" t="s">
        <v>131</v>
      </c>
      <c r="F2692" s="6">
        <v>44120</v>
      </c>
      <c r="H2692" t="s">
        <v>188</v>
      </c>
      <c r="I2692" t="s">
        <v>120</v>
      </c>
    </row>
    <row r="2693" spans="1:9" x14ac:dyDescent="0.25">
      <c r="A2693" s="8" t="str">
        <f t="shared" si="126"/>
        <v>2009374.H00</v>
      </c>
      <c r="B2693" s="9" t="str">
        <f t="shared" si="127"/>
        <v/>
      </c>
      <c r="C2693" s="10">
        <f t="shared" si="128"/>
        <v>44116</v>
      </c>
      <c r="D2693">
        <v>2009374</v>
      </c>
      <c r="E2693" t="s">
        <v>122</v>
      </c>
      <c r="F2693" s="6">
        <v>44120</v>
      </c>
      <c r="H2693" t="s">
        <v>188</v>
      </c>
      <c r="I2693" t="s">
        <v>120</v>
      </c>
    </row>
    <row r="2694" spans="1:9" x14ac:dyDescent="0.25">
      <c r="A2694" s="8" t="str">
        <f t="shared" si="126"/>
        <v>2009375.C00</v>
      </c>
      <c r="B2694" s="9" t="str">
        <f t="shared" si="127"/>
        <v>4</v>
      </c>
      <c r="C2694" s="10">
        <f t="shared" si="128"/>
        <v>44126</v>
      </c>
      <c r="D2694">
        <v>2009375</v>
      </c>
      <c r="E2694" t="s">
        <v>147</v>
      </c>
      <c r="F2694" s="6">
        <v>44127</v>
      </c>
      <c r="G2694">
        <v>4</v>
      </c>
      <c r="H2694" t="s">
        <v>188</v>
      </c>
      <c r="I2694" t="s">
        <v>120</v>
      </c>
    </row>
    <row r="2695" spans="1:9" x14ac:dyDescent="0.25">
      <c r="A2695" s="8" t="str">
        <f t="shared" si="126"/>
        <v>2009376.000</v>
      </c>
      <c r="B2695" s="9" t="str">
        <f t="shared" si="127"/>
        <v/>
      </c>
      <c r="C2695" s="10">
        <f t="shared" si="128"/>
        <v>44102</v>
      </c>
      <c r="D2695">
        <v>2009376</v>
      </c>
      <c r="E2695">
        <v>0</v>
      </c>
      <c r="F2695" s="6">
        <v>44106</v>
      </c>
      <c r="H2695" t="s">
        <v>188</v>
      </c>
      <c r="I2695" t="s">
        <v>120</v>
      </c>
    </row>
    <row r="2696" spans="1:9" x14ac:dyDescent="0.25">
      <c r="A2696" s="8" t="str">
        <f t="shared" si="126"/>
        <v>2009377.000</v>
      </c>
      <c r="B2696" s="9" t="str">
        <f t="shared" si="127"/>
        <v/>
      </c>
      <c r="C2696" s="10">
        <f t="shared" si="128"/>
        <v>44102</v>
      </c>
      <c r="D2696">
        <v>2009377</v>
      </c>
      <c r="E2696">
        <v>0</v>
      </c>
      <c r="F2696" s="6">
        <v>44106</v>
      </c>
      <c r="H2696" t="s">
        <v>192</v>
      </c>
      <c r="I2696" t="s">
        <v>120</v>
      </c>
    </row>
    <row r="2697" spans="1:9" x14ac:dyDescent="0.25">
      <c r="A2697" s="8" t="str">
        <f t="shared" si="126"/>
        <v>2009378.000</v>
      </c>
      <c r="B2697" s="9" t="str">
        <f t="shared" si="127"/>
        <v/>
      </c>
      <c r="C2697" s="10">
        <f t="shared" si="128"/>
        <v>44102</v>
      </c>
      <c r="D2697">
        <v>2009378</v>
      </c>
      <c r="E2697">
        <v>0</v>
      </c>
      <c r="F2697" s="6">
        <v>44106</v>
      </c>
      <c r="H2697" t="s">
        <v>188</v>
      </c>
      <c r="I2697" t="s">
        <v>120</v>
      </c>
    </row>
    <row r="2698" spans="1:9" x14ac:dyDescent="0.25">
      <c r="A2698" s="8" t="str">
        <f t="shared" si="126"/>
        <v>2009379.Y00</v>
      </c>
      <c r="B2698" s="9" t="str">
        <f t="shared" si="127"/>
        <v/>
      </c>
      <c r="C2698" s="10">
        <f t="shared" si="128"/>
        <v>44109</v>
      </c>
      <c r="D2698">
        <v>2009379</v>
      </c>
      <c r="E2698" t="s">
        <v>130</v>
      </c>
      <c r="F2698" s="6">
        <v>44113</v>
      </c>
      <c r="H2698" t="s">
        <v>188</v>
      </c>
      <c r="I2698" t="s">
        <v>120</v>
      </c>
    </row>
    <row r="2699" spans="1:9" x14ac:dyDescent="0.25">
      <c r="A2699" s="8" t="str">
        <f t="shared" si="126"/>
        <v>2009379.U00</v>
      </c>
      <c r="B2699" s="9" t="str">
        <f t="shared" si="127"/>
        <v/>
      </c>
      <c r="C2699" s="10">
        <f t="shared" si="128"/>
        <v>44109</v>
      </c>
      <c r="D2699">
        <v>2009379</v>
      </c>
      <c r="E2699" t="s">
        <v>131</v>
      </c>
      <c r="F2699" s="6">
        <v>44113</v>
      </c>
      <c r="H2699" t="s">
        <v>188</v>
      </c>
      <c r="I2699" t="s">
        <v>120</v>
      </c>
    </row>
    <row r="2700" spans="1:9" x14ac:dyDescent="0.25">
      <c r="A2700" s="8" t="str">
        <f t="shared" si="126"/>
        <v>2009380.0P0</v>
      </c>
      <c r="B2700" s="9" t="str">
        <f t="shared" si="127"/>
        <v/>
      </c>
      <c r="C2700" s="10">
        <f t="shared" si="128"/>
        <v>44102</v>
      </c>
      <c r="D2700">
        <v>2009380</v>
      </c>
      <c r="E2700" t="s">
        <v>119</v>
      </c>
      <c r="F2700" s="6">
        <v>44106</v>
      </c>
      <c r="H2700" t="s">
        <v>192</v>
      </c>
      <c r="I2700" t="s">
        <v>120</v>
      </c>
    </row>
    <row r="2701" spans="1:9" x14ac:dyDescent="0.25">
      <c r="A2701" s="8" t="str">
        <f t="shared" si="126"/>
        <v>2009380.000</v>
      </c>
      <c r="B2701" s="9" t="str">
        <f t="shared" si="127"/>
        <v/>
      </c>
      <c r="C2701" s="10">
        <f t="shared" si="128"/>
        <v>44102</v>
      </c>
      <c r="D2701">
        <v>2009380</v>
      </c>
      <c r="E2701">
        <v>0</v>
      </c>
      <c r="F2701" s="6">
        <v>44106</v>
      </c>
      <c r="H2701" t="s">
        <v>192</v>
      </c>
      <c r="I2701" t="s">
        <v>120</v>
      </c>
    </row>
    <row r="2702" spans="1:9" x14ac:dyDescent="0.25">
      <c r="A2702" s="8" t="str">
        <f t="shared" si="126"/>
        <v>2009381.000</v>
      </c>
      <c r="B2702" s="9" t="str">
        <f t="shared" si="127"/>
        <v/>
      </c>
      <c r="C2702" s="10">
        <f t="shared" si="128"/>
        <v>44102</v>
      </c>
      <c r="D2702">
        <v>2009381</v>
      </c>
      <c r="E2702">
        <v>0</v>
      </c>
      <c r="F2702" s="6">
        <v>44106</v>
      </c>
      <c r="H2702" t="s">
        <v>192</v>
      </c>
      <c r="I2702" t="s">
        <v>120</v>
      </c>
    </row>
    <row r="2703" spans="1:9" x14ac:dyDescent="0.25">
      <c r="A2703" s="8" t="str">
        <f t="shared" si="126"/>
        <v>2009382.X00</v>
      </c>
      <c r="B2703" s="9" t="str">
        <f t="shared" si="127"/>
        <v/>
      </c>
      <c r="C2703" s="10">
        <f t="shared" si="128"/>
        <v>44081</v>
      </c>
      <c r="D2703">
        <v>2009382</v>
      </c>
      <c r="E2703" t="s">
        <v>225</v>
      </c>
      <c r="F2703" s="6">
        <v>44085</v>
      </c>
      <c r="H2703" t="s">
        <v>188</v>
      </c>
      <c r="I2703" t="s">
        <v>120</v>
      </c>
    </row>
    <row r="2704" spans="1:9" x14ac:dyDescent="0.25">
      <c r="A2704" s="8" t="str">
        <f t="shared" si="126"/>
        <v>2009382.NV0</v>
      </c>
      <c r="B2704" s="9" t="str">
        <f t="shared" si="127"/>
        <v/>
      </c>
      <c r="C2704" s="10">
        <f t="shared" si="128"/>
        <v>44081</v>
      </c>
      <c r="D2704">
        <v>2009382</v>
      </c>
      <c r="E2704" t="s">
        <v>126</v>
      </c>
      <c r="F2704" s="6">
        <v>44085</v>
      </c>
      <c r="H2704" t="s">
        <v>188</v>
      </c>
      <c r="I2704" t="s">
        <v>120</v>
      </c>
    </row>
    <row r="2705" spans="1:9" x14ac:dyDescent="0.25">
      <c r="A2705" s="8" t="str">
        <f t="shared" si="126"/>
        <v>2009383.HPL</v>
      </c>
      <c r="B2705" s="9" t="str">
        <f t="shared" si="127"/>
        <v/>
      </c>
      <c r="C2705" s="10">
        <f t="shared" si="128"/>
        <v>44116</v>
      </c>
      <c r="D2705">
        <v>2009383</v>
      </c>
      <c r="E2705" t="s">
        <v>128</v>
      </c>
      <c r="F2705" s="6">
        <v>44120</v>
      </c>
      <c r="H2705" t="s">
        <v>188</v>
      </c>
      <c r="I2705" t="s">
        <v>120</v>
      </c>
    </row>
    <row r="2706" spans="1:9" x14ac:dyDescent="0.25">
      <c r="A2706" s="8" t="str">
        <f t="shared" si="126"/>
        <v>2009383.H00</v>
      </c>
      <c r="B2706" s="9" t="str">
        <f t="shared" si="127"/>
        <v/>
      </c>
      <c r="C2706" s="10">
        <f t="shared" si="128"/>
        <v>44116</v>
      </c>
      <c r="D2706">
        <v>2009383</v>
      </c>
      <c r="E2706" t="s">
        <v>122</v>
      </c>
      <c r="F2706" s="6">
        <v>44120</v>
      </c>
      <c r="H2706" t="s">
        <v>188</v>
      </c>
      <c r="I2706" t="s">
        <v>120</v>
      </c>
    </row>
    <row r="2707" spans="1:9" x14ac:dyDescent="0.25">
      <c r="A2707" s="8" t="str">
        <f t="shared" si="126"/>
        <v>2009384.000</v>
      </c>
      <c r="B2707" s="9" t="str">
        <f t="shared" si="127"/>
        <v>3</v>
      </c>
      <c r="C2707" s="10">
        <f t="shared" si="128"/>
        <v>44125</v>
      </c>
      <c r="D2707">
        <v>2009384</v>
      </c>
      <c r="E2707">
        <v>0</v>
      </c>
      <c r="F2707" s="6">
        <v>44127</v>
      </c>
      <c r="G2707">
        <v>3</v>
      </c>
      <c r="H2707" t="s">
        <v>188</v>
      </c>
      <c r="I2707" t="s">
        <v>120</v>
      </c>
    </row>
    <row r="2708" spans="1:9" x14ac:dyDescent="0.25">
      <c r="A2708" s="8" t="str">
        <f t="shared" si="126"/>
        <v>2009385.0P0</v>
      </c>
      <c r="B2708" s="9" t="str">
        <f t="shared" si="127"/>
        <v>3</v>
      </c>
      <c r="C2708" s="10">
        <f t="shared" si="128"/>
        <v>44132</v>
      </c>
      <c r="D2708">
        <v>2009385</v>
      </c>
      <c r="E2708" t="s">
        <v>119</v>
      </c>
      <c r="F2708" s="6">
        <v>44134</v>
      </c>
      <c r="G2708">
        <v>3</v>
      </c>
      <c r="H2708" t="s">
        <v>188</v>
      </c>
      <c r="I2708" t="s">
        <v>120</v>
      </c>
    </row>
    <row r="2709" spans="1:9" x14ac:dyDescent="0.25">
      <c r="A2709" s="8" t="str">
        <f t="shared" si="126"/>
        <v>2009385.000</v>
      </c>
      <c r="B2709" s="9" t="str">
        <f t="shared" si="127"/>
        <v>3</v>
      </c>
      <c r="C2709" s="10">
        <f t="shared" si="128"/>
        <v>44132</v>
      </c>
      <c r="D2709">
        <v>2009385</v>
      </c>
      <c r="E2709">
        <v>0</v>
      </c>
      <c r="F2709" s="6">
        <v>44134</v>
      </c>
      <c r="G2709">
        <v>3</v>
      </c>
      <c r="H2709" t="s">
        <v>188</v>
      </c>
      <c r="I2709" t="s">
        <v>120</v>
      </c>
    </row>
    <row r="2710" spans="1:9" x14ac:dyDescent="0.25">
      <c r="A2710" s="8" t="str">
        <f t="shared" si="126"/>
        <v>2009386.H00</v>
      </c>
      <c r="B2710" s="9" t="str">
        <f t="shared" si="127"/>
        <v>3</v>
      </c>
      <c r="C2710" s="10">
        <f t="shared" si="128"/>
        <v>44132</v>
      </c>
      <c r="D2710">
        <v>2009386</v>
      </c>
      <c r="E2710" t="s">
        <v>122</v>
      </c>
      <c r="F2710" s="6">
        <v>44134</v>
      </c>
      <c r="G2710">
        <v>3</v>
      </c>
      <c r="H2710" t="s">
        <v>188</v>
      </c>
      <c r="I2710" t="s">
        <v>120</v>
      </c>
    </row>
    <row r="2711" spans="1:9" x14ac:dyDescent="0.25">
      <c r="A2711" s="8" t="str">
        <f t="shared" si="126"/>
        <v>2009387.Y00</v>
      </c>
      <c r="B2711" s="9" t="str">
        <f t="shared" si="127"/>
        <v>3</v>
      </c>
      <c r="C2711" s="10">
        <f t="shared" si="128"/>
        <v>44118</v>
      </c>
      <c r="D2711">
        <v>2009387</v>
      </c>
      <c r="E2711" t="s">
        <v>130</v>
      </c>
      <c r="F2711" s="6">
        <v>44120</v>
      </c>
      <c r="G2711">
        <v>3</v>
      </c>
      <c r="H2711" t="s">
        <v>188</v>
      </c>
      <c r="I2711" t="s">
        <v>120</v>
      </c>
    </row>
    <row r="2712" spans="1:9" x14ac:dyDescent="0.25">
      <c r="A2712" s="8" t="str">
        <f t="shared" si="126"/>
        <v>2009388.000</v>
      </c>
      <c r="B2712" s="9" t="str">
        <f t="shared" si="127"/>
        <v>3</v>
      </c>
      <c r="C2712" s="10">
        <f t="shared" si="128"/>
        <v>44139</v>
      </c>
      <c r="D2712">
        <v>2009388</v>
      </c>
      <c r="E2712">
        <v>0</v>
      </c>
      <c r="F2712" s="6">
        <v>44141</v>
      </c>
      <c r="G2712">
        <v>3</v>
      </c>
      <c r="H2712" t="s">
        <v>188</v>
      </c>
      <c r="I2712" t="s">
        <v>120</v>
      </c>
    </row>
    <row r="2713" spans="1:9" x14ac:dyDescent="0.25">
      <c r="A2713" s="8" t="str">
        <f t="shared" si="126"/>
        <v>2009388.0P0</v>
      </c>
      <c r="B2713" s="9" t="str">
        <f t="shared" si="127"/>
        <v>3</v>
      </c>
      <c r="C2713" s="10">
        <f t="shared" si="128"/>
        <v>44139</v>
      </c>
      <c r="D2713">
        <v>2009388</v>
      </c>
      <c r="E2713" t="s">
        <v>119</v>
      </c>
      <c r="F2713" s="6">
        <v>44141</v>
      </c>
      <c r="G2713">
        <v>3</v>
      </c>
      <c r="H2713" t="s">
        <v>188</v>
      </c>
      <c r="I2713" t="s">
        <v>120</v>
      </c>
    </row>
    <row r="2714" spans="1:9" x14ac:dyDescent="0.25">
      <c r="A2714" s="8" t="str">
        <f t="shared" si="126"/>
        <v>2009388.Y00</v>
      </c>
      <c r="B2714" s="9" t="str">
        <f t="shared" si="127"/>
        <v>3</v>
      </c>
      <c r="C2714" s="10">
        <f t="shared" si="128"/>
        <v>44139</v>
      </c>
      <c r="D2714">
        <v>2009388</v>
      </c>
      <c r="E2714" t="s">
        <v>130</v>
      </c>
      <c r="F2714" s="6">
        <v>44141</v>
      </c>
      <c r="G2714">
        <v>3</v>
      </c>
      <c r="H2714" t="s">
        <v>188</v>
      </c>
      <c r="I2714" t="s">
        <v>120</v>
      </c>
    </row>
    <row r="2715" spans="1:9" x14ac:dyDescent="0.25">
      <c r="A2715" s="8" t="str">
        <f t="shared" si="126"/>
        <v>2009389.Y00</v>
      </c>
      <c r="B2715" s="9" t="str">
        <f t="shared" si="127"/>
        <v>3</v>
      </c>
      <c r="C2715" s="10">
        <f t="shared" si="128"/>
        <v>44132</v>
      </c>
      <c r="D2715">
        <v>2009389</v>
      </c>
      <c r="E2715" t="s">
        <v>130</v>
      </c>
      <c r="F2715" s="6">
        <v>44134</v>
      </c>
      <c r="G2715">
        <v>3</v>
      </c>
      <c r="H2715" t="s">
        <v>188</v>
      </c>
      <c r="I2715" t="s">
        <v>120</v>
      </c>
    </row>
    <row r="2716" spans="1:9" x14ac:dyDescent="0.25">
      <c r="A2716" s="8" t="str">
        <f t="shared" si="126"/>
        <v>2009389.0P0</v>
      </c>
      <c r="B2716" s="9" t="str">
        <f t="shared" si="127"/>
        <v>3</v>
      </c>
      <c r="C2716" s="10">
        <f t="shared" si="128"/>
        <v>44132</v>
      </c>
      <c r="D2716">
        <v>2009389</v>
      </c>
      <c r="E2716" t="s">
        <v>119</v>
      </c>
      <c r="F2716" s="6">
        <v>44134</v>
      </c>
      <c r="G2716">
        <v>3</v>
      </c>
      <c r="H2716" t="s">
        <v>188</v>
      </c>
      <c r="I2716" t="s">
        <v>120</v>
      </c>
    </row>
    <row r="2717" spans="1:9" x14ac:dyDescent="0.25">
      <c r="A2717" s="8" t="str">
        <f t="shared" si="126"/>
        <v>2009389.000</v>
      </c>
      <c r="B2717" s="9" t="str">
        <f t="shared" si="127"/>
        <v>3</v>
      </c>
      <c r="C2717" s="10">
        <f t="shared" si="128"/>
        <v>44132</v>
      </c>
      <c r="D2717">
        <v>2009389</v>
      </c>
      <c r="E2717">
        <v>0</v>
      </c>
      <c r="F2717" s="6">
        <v>44134</v>
      </c>
      <c r="G2717">
        <v>3</v>
      </c>
      <c r="H2717" t="s">
        <v>188</v>
      </c>
      <c r="I2717" t="s">
        <v>120</v>
      </c>
    </row>
    <row r="2718" spans="1:9" x14ac:dyDescent="0.25">
      <c r="A2718" s="8" t="str">
        <f t="shared" si="126"/>
        <v>2009390.Z02</v>
      </c>
      <c r="B2718" s="9" t="str">
        <f t="shared" si="127"/>
        <v/>
      </c>
      <c r="C2718" s="10">
        <f t="shared" si="128"/>
        <v>44116</v>
      </c>
      <c r="D2718">
        <v>2009390</v>
      </c>
      <c r="E2718" t="s">
        <v>260</v>
      </c>
      <c r="F2718" s="6">
        <v>44120</v>
      </c>
      <c r="H2718" t="s">
        <v>188</v>
      </c>
      <c r="I2718" t="s">
        <v>120</v>
      </c>
    </row>
    <row r="2719" spans="1:9" x14ac:dyDescent="0.25">
      <c r="A2719" s="8" t="str">
        <f t="shared" si="126"/>
        <v>2009391.000</v>
      </c>
      <c r="B2719" s="9" t="str">
        <f t="shared" si="127"/>
        <v/>
      </c>
      <c r="C2719" s="10">
        <f t="shared" si="128"/>
        <v>44123</v>
      </c>
      <c r="D2719">
        <v>2009391</v>
      </c>
      <c r="E2719">
        <v>0</v>
      </c>
      <c r="F2719" s="6">
        <v>44127</v>
      </c>
      <c r="H2719" t="s">
        <v>188</v>
      </c>
      <c r="I2719" t="s">
        <v>120</v>
      </c>
    </row>
    <row r="2720" spans="1:9" x14ac:dyDescent="0.25">
      <c r="A2720" s="8" t="str">
        <f t="shared" si="126"/>
        <v>2009391.C00</v>
      </c>
      <c r="B2720" s="9" t="str">
        <f t="shared" si="127"/>
        <v/>
      </c>
      <c r="C2720" s="10">
        <f t="shared" si="128"/>
        <v>44123</v>
      </c>
      <c r="D2720">
        <v>2009391</v>
      </c>
      <c r="E2720" t="s">
        <v>147</v>
      </c>
      <c r="F2720" s="6">
        <v>44127</v>
      </c>
      <c r="H2720" t="s">
        <v>188</v>
      </c>
      <c r="I2720" t="s">
        <v>120</v>
      </c>
    </row>
    <row r="2721" spans="1:9" x14ac:dyDescent="0.25">
      <c r="A2721" s="8" t="str">
        <f t="shared" si="126"/>
        <v>2009392.H00</v>
      </c>
      <c r="B2721" s="9" t="str">
        <f t="shared" si="127"/>
        <v/>
      </c>
      <c r="C2721" s="10">
        <f t="shared" si="128"/>
        <v>44116</v>
      </c>
      <c r="D2721">
        <v>2009392</v>
      </c>
      <c r="E2721" t="s">
        <v>122</v>
      </c>
      <c r="F2721" s="6">
        <v>44120</v>
      </c>
      <c r="H2721" t="s">
        <v>188</v>
      </c>
      <c r="I2721" t="s">
        <v>120</v>
      </c>
    </row>
    <row r="2722" spans="1:9" x14ac:dyDescent="0.25">
      <c r="A2722" s="8" t="str">
        <f t="shared" si="126"/>
        <v>2009394.000</v>
      </c>
      <c r="B2722" s="9" t="str">
        <f t="shared" si="127"/>
        <v/>
      </c>
      <c r="C2722" s="10">
        <f t="shared" si="128"/>
        <v>44116</v>
      </c>
      <c r="D2722">
        <v>2009394</v>
      </c>
      <c r="E2722">
        <v>0</v>
      </c>
      <c r="F2722" s="6">
        <v>44120</v>
      </c>
      <c r="H2722" t="s">
        <v>188</v>
      </c>
      <c r="I2722" t="s">
        <v>120</v>
      </c>
    </row>
    <row r="2723" spans="1:9" x14ac:dyDescent="0.25">
      <c r="A2723" s="8" t="str">
        <f t="shared" si="126"/>
        <v>2009394.Y00</v>
      </c>
      <c r="B2723" s="9" t="str">
        <f t="shared" si="127"/>
        <v/>
      </c>
      <c r="C2723" s="10">
        <f t="shared" si="128"/>
        <v>44116</v>
      </c>
      <c r="D2723">
        <v>2009394</v>
      </c>
      <c r="E2723" t="s">
        <v>130</v>
      </c>
      <c r="F2723" s="6">
        <v>44120</v>
      </c>
      <c r="H2723" t="s">
        <v>188</v>
      </c>
      <c r="I2723" t="s">
        <v>120</v>
      </c>
    </row>
    <row r="2724" spans="1:9" x14ac:dyDescent="0.25">
      <c r="A2724" s="8" t="str">
        <f t="shared" si="126"/>
        <v>2009395.000</v>
      </c>
      <c r="B2724" s="9" t="str">
        <f t="shared" si="127"/>
        <v>3</v>
      </c>
      <c r="C2724" s="10">
        <f t="shared" si="128"/>
        <v>44132</v>
      </c>
      <c r="D2724">
        <v>2009395</v>
      </c>
      <c r="E2724">
        <v>0</v>
      </c>
      <c r="F2724" s="6">
        <v>44134</v>
      </c>
      <c r="G2724">
        <v>3</v>
      </c>
      <c r="H2724" t="s">
        <v>188</v>
      </c>
      <c r="I2724" t="s">
        <v>120</v>
      </c>
    </row>
    <row r="2725" spans="1:9" x14ac:dyDescent="0.25">
      <c r="A2725" s="8" t="str">
        <f t="shared" si="126"/>
        <v>2009395.0P0</v>
      </c>
      <c r="B2725" s="9" t="str">
        <f t="shared" si="127"/>
        <v>3</v>
      </c>
      <c r="C2725" s="10">
        <f t="shared" si="128"/>
        <v>44132</v>
      </c>
      <c r="D2725">
        <v>2009395</v>
      </c>
      <c r="E2725" t="s">
        <v>119</v>
      </c>
      <c r="F2725" s="6">
        <v>44134</v>
      </c>
      <c r="G2725">
        <v>3</v>
      </c>
      <c r="H2725" t="s">
        <v>188</v>
      </c>
      <c r="I2725" t="s">
        <v>120</v>
      </c>
    </row>
    <row r="2726" spans="1:9" x14ac:dyDescent="0.25">
      <c r="A2726" s="8" t="str">
        <f t="shared" si="126"/>
        <v>2009396.0P0</v>
      </c>
      <c r="B2726" s="9" t="str">
        <f t="shared" si="127"/>
        <v>3</v>
      </c>
      <c r="C2726" s="10">
        <f t="shared" si="128"/>
        <v>44132</v>
      </c>
      <c r="D2726">
        <v>2009396</v>
      </c>
      <c r="E2726" t="s">
        <v>119</v>
      </c>
      <c r="F2726" s="6">
        <v>44134</v>
      </c>
      <c r="G2726">
        <v>3</v>
      </c>
      <c r="H2726" t="s">
        <v>188</v>
      </c>
      <c r="I2726" t="s">
        <v>120</v>
      </c>
    </row>
    <row r="2727" spans="1:9" x14ac:dyDescent="0.25">
      <c r="A2727" s="8" t="str">
        <f t="shared" ref="A2727:A2790" si="129">IF(D2727="","",IF(E2727=0,CONCATENATE(D2727,".",E2727,"00"),CONCATENATE(D2727,".",E2727)))</f>
        <v>2009397.000</v>
      </c>
      <c r="B2727" s="9" t="str">
        <f t="shared" ref="B2727:B2790" si="130">LEFT(G2727,1)</f>
        <v>3</v>
      </c>
      <c r="C2727" s="10">
        <f t="shared" ref="C2727:C2790" si="131">IF(F2727="","",IF(B2727="",F2727-4,IF(B2727="1",F2727-4,IF(B2727="2",F2727-3,IF(B2727="3",F2727-2,IF(B2727="4",F2727-1,IF(B2727="V",F2727-7,IF(B2727="J",F2727-8,F2727))))))))</f>
        <v>44132</v>
      </c>
      <c r="D2727">
        <v>2009397</v>
      </c>
      <c r="E2727">
        <v>0</v>
      </c>
      <c r="F2727" s="6">
        <v>44134</v>
      </c>
      <c r="G2727">
        <v>3</v>
      </c>
      <c r="H2727" t="s">
        <v>188</v>
      </c>
      <c r="I2727" t="s">
        <v>120</v>
      </c>
    </row>
    <row r="2728" spans="1:9" x14ac:dyDescent="0.25">
      <c r="A2728" s="8" t="str">
        <f t="shared" si="129"/>
        <v>2009398.000</v>
      </c>
      <c r="B2728" s="9" t="str">
        <f t="shared" si="130"/>
        <v/>
      </c>
      <c r="C2728" s="10">
        <f t="shared" si="131"/>
        <v>44102</v>
      </c>
      <c r="D2728">
        <v>2009398</v>
      </c>
      <c r="E2728">
        <v>0</v>
      </c>
      <c r="F2728" s="6">
        <v>44106</v>
      </c>
      <c r="H2728" t="s">
        <v>188</v>
      </c>
      <c r="I2728" t="s">
        <v>120</v>
      </c>
    </row>
    <row r="2729" spans="1:9" x14ac:dyDescent="0.25">
      <c r="A2729" s="8" t="str">
        <f t="shared" si="129"/>
        <v>2009399.H00</v>
      </c>
      <c r="B2729" s="9" t="str">
        <f t="shared" si="130"/>
        <v/>
      </c>
      <c r="C2729" s="10">
        <f t="shared" si="131"/>
        <v>44116</v>
      </c>
      <c r="D2729">
        <v>2009399</v>
      </c>
      <c r="E2729" t="s">
        <v>122</v>
      </c>
      <c r="F2729" s="6">
        <v>44120</v>
      </c>
      <c r="H2729" t="s">
        <v>188</v>
      </c>
      <c r="I2729" t="s">
        <v>120</v>
      </c>
    </row>
    <row r="2730" spans="1:9" x14ac:dyDescent="0.25">
      <c r="A2730" s="8" t="str">
        <f t="shared" si="129"/>
        <v>2009399.UP0</v>
      </c>
      <c r="B2730" s="9" t="str">
        <f t="shared" si="130"/>
        <v/>
      </c>
      <c r="C2730" s="10">
        <f t="shared" si="131"/>
        <v>44116</v>
      </c>
      <c r="D2730">
        <v>2009399</v>
      </c>
      <c r="E2730" t="s">
        <v>136</v>
      </c>
      <c r="F2730" s="6">
        <v>44120</v>
      </c>
      <c r="H2730" t="s">
        <v>188</v>
      </c>
      <c r="I2730" t="s">
        <v>120</v>
      </c>
    </row>
    <row r="2731" spans="1:9" x14ac:dyDescent="0.25">
      <c r="A2731" s="8" t="str">
        <f t="shared" si="129"/>
        <v>2009400.H00</v>
      </c>
      <c r="B2731" s="9" t="str">
        <f t="shared" si="130"/>
        <v/>
      </c>
      <c r="C2731" s="10">
        <f t="shared" si="131"/>
        <v>44116</v>
      </c>
      <c r="D2731">
        <v>2009400</v>
      </c>
      <c r="E2731" t="s">
        <v>122</v>
      </c>
      <c r="F2731" s="6">
        <v>44120</v>
      </c>
      <c r="H2731" t="s">
        <v>188</v>
      </c>
      <c r="I2731" t="s">
        <v>120</v>
      </c>
    </row>
    <row r="2732" spans="1:9" x14ac:dyDescent="0.25">
      <c r="A2732" s="8" t="str">
        <f t="shared" si="129"/>
        <v>2009401.000</v>
      </c>
      <c r="B2732" s="9" t="str">
        <f t="shared" si="130"/>
        <v/>
      </c>
      <c r="C2732" s="10">
        <f t="shared" si="131"/>
        <v>44102</v>
      </c>
      <c r="D2732">
        <v>2009401</v>
      </c>
      <c r="E2732">
        <v>0</v>
      </c>
      <c r="F2732" s="6">
        <v>44106</v>
      </c>
      <c r="H2732" t="s">
        <v>188</v>
      </c>
      <c r="I2732" t="s">
        <v>120</v>
      </c>
    </row>
    <row r="2733" spans="1:9" x14ac:dyDescent="0.25">
      <c r="A2733" s="8" t="str">
        <f t="shared" si="129"/>
        <v>2009402.000</v>
      </c>
      <c r="B2733" s="9" t="str">
        <f t="shared" si="130"/>
        <v>2</v>
      </c>
      <c r="C2733" s="10">
        <f t="shared" si="131"/>
        <v>44103</v>
      </c>
      <c r="D2733">
        <v>2009402</v>
      </c>
      <c r="E2733">
        <v>0</v>
      </c>
      <c r="F2733" s="6">
        <v>44106</v>
      </c>
      <c r="G2733">
        <v>2</v>
      </c>
      <c r="H2733" t="s">
        <v>188</v>
      </c>
      <c r="I2733" t="s">
        <v>120</v>
      </c>
    </row>
    <row r="2734" spans="1:9" x14ac:dyDescent="0.25">
      <c r="A2734" s="8" t="str">
        <f t="shared" si="129"/>
        <v>2009403.UP0</v>
      </c>
      <c r="B2734" s="9" t="str">
        <f t="shared" si="130"/>
        <v>2</v>
      </c>
      <c r="C2734" s="10">
        <f t="shared" si="131"/>
        <v>44117</v>
      </c>
      <c r="D2734">
        <v>2009403</v>
      </c>
      <c r="E2734" t="s">
        <v>136</v>
      </c>
      <c r="F2734" s="6">
        <v>44120</v>
      </c>
      <c r="G2734">
        <v>2</v>
      </c>
      <c r="H2734" t="s">
        <v>188</v>
      </c>
      <c r="I2734" t="s">
        <v>120</v>
      </c>
    </row>
    <row r="2735" spans="1:9" x14ac:dyDescent="0.25">
      <c r="A2735" s="8" t="str">
        <f t="shared" si="129"/>
        <v>2009403.U00</v>
      </c>
      <c r="B2735" s="9" t="str">
        <f t="shared" si="130"/>
        <v>2</v>
      </c>
      <c r="C2735" s="10">
        <f t="shared" si="131"/>
        <v>44117</v>
      </c>
      <c r="D2735">
        <v>2009403</v>
      </c>
      <c r="E2735" t="s">
        <v>131</v>
      </c>
      <c r="F2735" s="6">
        <v>44120</v>
      </c>
      <c r="G2735">
        <v>2</v>
      </c>
      <c r="H2735" t="s">
        <v>188</v>
      </c>
      <c r="I2735" t="s">
        <v>120</v>
      </c>
    </row>
    <row r="2736" spans="1:9" x14ac:dyDescent="0.25">
      <c r="A2736" s="8" t="str">
        <f t="shared" si="129"/>
        <v>2009403.Y00</v>
      </c>
      <c r="B2736" s="9" t="str">
        <f t="shared" si="130"/>
        <v>2</v>
      </c>
      <c r="C2736" s="10">
        <f t="shared" si="131"/>
        <v>44117</v>
      </c>
      <c r="D2736">
        <v>2009403</v>
      </c>
      <c r="E2736" t="s">
        <v>130</v>
      </c>
      <c r="F2736" s="6">
        <v>44120</v>
      </c>
      <c r="G2736">
        <v>2</v>
      </c>
      <c r="H2736" t="s">
        <v>188</v>
      </c>
      <c r="I2736" t="s">
        <v>120</v>
      </c>
    </row>
    <row r="2737" spans="1:9" x14ac:dyDescent="0.25">
      <c r="A2737" s="8" t="str">
        <f t="shared" si="129"/>
        <v>2009404.000</v>
      </c>
      <c r="B2737" s="9" t="str">
        <f t="shared" si="130"/>
        <v/>
      </c>
      <c r="C2737" s="10">
        <f t="shared" si="131"/>
        <v>44102</v>
      </c>
      <c r="D2737">
        <v>2009404</v>
      </c>
      <c r="E2737">
        <v>0</v>
      </c>
      <c r="F2737" s="6">
        <v>44106</v>
      </c>
      <c r="H2737" t="s">
        <v>192</v>
      </c>
      <c r="I2737" t="s">
        <v>120</v>
      </c>
    </row>
    <row r="2738" spans="1:9" x14ac:dyDescent="0.25">
      <c r="A2738" s="8" t="str">
        <f t="shared" si="129"/>
        <v>2009405.000</v>
      </c>
      <c r="B2738" s="9" t="str">
        <f t="shared" si="130"/>
        <v>2</v>
      </c>
      <c r="C2738" s="10">
        <f t="shared" si="131"/>
        <v>44103</v>
      </c>
      <c r="D2738">
        <v>2009405</v>
      </c>
      <c r="E2738">
        <v>0</v>
      </c>
      <c r="F2738" s="6">
        <v>44106</v>
      </c>
      <c r="G2738">
        <v>2</v>
      </c>
      <c r="H2738" t="s">
        <v>188</v>
      </c>
      <c r="I2738" t="s">
        <v>120</v>
      </c>
    </row>
    <row r="2739" spans="1:9" x14ac:dyDescent="0.25">
      <c r="A2739" s="8" t="str">
        <f t="shared" si="129"/>
        <v>2009406.000</v>
      </c>
      <c r="B2739" s="9" t="str">
        <f t="shared" si="130"/>
        <v/>
      </c>
      <c r="C2739" s="10">
        <f t="shared" si="131"/>
        <v>44102</v>
      </c>
      <c r="D2739">
        <v>2009406</v>
      </c>
      <c r="E2739">
        <v>0</v>
      </c>
      <c r="F2739" s="6">
        <v>44106</v>
      </c>
      <c r="H2739" t="s">
        <v>188</v>
      </c>
      <c r="I2739" t="s">
        <v>120</v>
      </c>
    </row>
    <row r="2740" spans="1:9" x14ac:dyDescent="0.25">
      <c r="A2740" s="8" t="str">
        <f t="shared" si="129"/>
        <v>2009407.Z00</v>
      </c>
      <c r="B2740" s="9" t="str">
        <f t="shared" si="130"/>
        <v/>
      </c>
      <c r="C2740" s="10">
        <f t="shared" si="131"/>
        <v>44116</v>
      </c>
      <c r="D2740">
        <v>2009407</v>
      </c>
      <c r="E2740" t="s">
        <v>158</v>
      </c>
      <c r="F2740" s="6">
        <v>44120</v>
      </c>
      <c r="H2740" t="s">
        <v>188</v>
      </c>
      <c r="I2740" t="s">
        <v>120</v>
      </c>
    </row>
    <row r="2741" spans="1:9" x14ac:dyDescent="0.25">
      <c r="A2741" s="8" t="str">
        <f t="shared" si="129"/>
        <v>2009407.ZP2</v>
      </c>
      <c r="B2741" s="9" t="str">
        <f t="shared" si="130"/>
        <v/>
      </c>
      <c r="C2741" s="10">
        <f t="shared" si="131"/>
        <v>44116</v>
      </c>
      <c r="D2741">
        <v>2009407</v>
      </c>
      <c r="E2741" t="s">
        <v>151</v>
      </c>
      <c r="F2741" s="6">
        <v>44120</v>
      </c>
      <c r="H2741" t="s">
        <v>188</v>
      </c>
      <c r="I2741" t="s">
        <v>120</v>
      </c>
    </row>
    <row r="2742" spans="1:9" x14ac:dyDescent="0.25">
      <c r="A2742" s="8" t="str">
        <f t="shared" si="129"/>
        <v>2009408.000</v>
      </c>
      <c r="B2742" s="9" t="str">
        <f t="shared" si="130"/>
        <v/>
      </c>
      <c r="C2742" s="10">
        <f t="shared" si="131"/>
        <v>44102</v>
      </c>
      <c r="D2742">
        <v>2009408</v>
      </c>
      <c r="E2742">
        <v>0</v>
      </c>
      <c r="F2742" s="6">
        <v>44106</v>
      </c>
      <c r="H2742" t="s">
        <v>192</v>
      </c>
      <c r="I2742" t="s">
        <v>120</v>
      </c>
    </row>
    <row r="2743" spans="1:9" x14ac:dyDescent="0.25">
      <c r="A2743" s="8" t="str">
        <f t="shared" si="129"/>
        <v>2009409.U02</v>
      </c>
      <c r="B2743" s="9" t="str">
        <f t="shared" si="130"/>
        <v>2</v>
      </c>
      <c r="C2743" s="10">
        <f t="shared" si="131"/>
        <v>44117</v>
      </c>
      <c r="D2743">
        <v>2009409</v>
      </c>
      <c r="E2743" t="s">
        <v>149</v>
      </c>
      <c r="F2743" s="6">
        <v>44120</v>
      </c>
      <c r="G2743">
        <v>2</v>
      </c>
      <c r="H2743" t="s">
        <v>188</v>
      </c>
      <c r="I2743" t="s">
        <v>120</v>
      </c>
    </row>
    <row r="2744" spans="1:9" x14ac:dyDescent="0.25">
      <c r="A2744" s="8" t="str">
        <f t="shared" si="129"/>
        <v>2009410.0P0</v>
      </c>
      <c r="B2744" s="9" t="str">
        <f t="shared" si="130"/>
        <v>2</v>
      </c>
      <c r="C2744" s="10">
        <f t="shared" si="131"/>
        <v>44103</v>
      </c>
      <c r="D2744">
        <v>2009410</v>
      </c>
      <c r="E2744" t="s">
        <v>119</v>
      </c>
      <c r="F2744" s="6">
        <v>44106</v>
      </c>
      <c r="G2744">
        <v>2</v>
      </c>
      <c r="H2744" t="s">
        <v>188</v>
      </c>
      <c r="I2744" t="s">
        <v>120</v>
      </c>
    </row>
    <row r="2745" spans="1:9" x14ac:dyDescent="0.25">
      <c r="A2745" s="8" t="str">
        <f t="shared" si="129"/>
        <v>2009411.ZPL</v>
      </c>
      <c r="B2745" s="9" t="str">
        <f t="shared" si="130"/>
        <v>2</v>
      </c>
      <c r="C2745" s="10">
        <f t="shared" si="131"/>
        <v>44117</v>
      </c>
      <c r="D2745">
        <v>2009411</v>
      </c>
      <c r="E2745" t="s">
        <v>182</v>
      </c>
      <c r="F2745" s="6">
        <v>44120</v>
      </c>
      <c r="G2745">
        <v>2</v>
      </c>
      <c r="H2745" t="s">
        <v>188</v>
      </c>
      <c r="I2745" t="s">
        <v>120</v>
      </c>
    </row>
    <row r="2746" spans="1:9" x14ac:dyDescent="0.25">
      <c r="A2746" s="8" t="str">
        <f t="shared" si="129"/>
        <v>2009412.000</v>
      </c>
      <c r="B2746" s="9" t="str">
        <f t="shared" si="130"/>
        <v/>
      </c>
      <c r="C2746" s="10">
        <f t="shared" si="131"/>
        <v>44109</v>
      </c>
      <c r="D2746">
        <v>2009412</v>
      </c>
      <c r="E2746">
        <v>0</v>
      </c>
      <c r="F2746" s="6">
        <v>44113</v>
      </c>
      <c r="H2746" t="s">
        <v>188</v>
      </c>
      <c r="I2746" t="s">
        <v>120</v>
      </c>
    </row>
    <row r="2747" spans="1:9" x14ac:dyDescent="0.25">
      <c r="A2747" s="8" t="str">
        <f t="shared" si="129"/>
        <v>2009413.0P0</v>
      </c>
      <c r="B2747" s="9" t="str">
        <f t="shared" si="130"/>
        <v>2</v>
      </c>
      <c r="C2747" s="10">
        <f t="shared" si="131"/>
        <v>44103</v>
      </c>
      <c r="D2747">
        <v>2009413</v>
      </c>
      <c r="E2747" t="s">
        <v>119</v>
      </c>
      <c r="F2747" s="6">
        <v>44106</v>
      </c>
      <c r="G2747">
        <v>2</v>
      </c>
      <c r="H2747" t="s">
        <v>188</v>
      </c>
      <c r="I2747" t="s">
        <v>120</v>
      </c>
    </row>
    <row r="2748" spans="1:9" x14ac:dyDescent="0.25">
      <c r="A2748" s="8" t="str">
        <f t="shared" si="129"/>
        <v>2009414.H02</v>
      </c>
      <c r="B2748" s="9" t="str">
        <f t="shared" si="130"/>
        <v/>
      </c>
      <c r="C2748" s="10">
        <f t="shared" si="131"/>
        <v>44123</v>
      </c>
      <c r="D2748">
        <v>2009414</v>
      </c>
      <c r="E2748" t="s">
        <v>156</v>
      </c>
      <c r="F2748" s="6">
        <v>44127</v>
      </c>
      <c r="H2748" t="s">
        <v>188</v>
      </c>
      <c r="I2748" t="s">
        <v>120</v>
      </c>
    </row>
    <row r="2749" spans="1:9" x14ac:dyDescent="0.25">
      <c r="A2749" s="8" t="str">
        <f t="shared" si="129"/>
        <v>2009414.Y02</v>
      </c>
      <c r="B2749" s="9" t="str">
        <f t="shared" si="130"/>
        <v/>
      </c>
      <c r="C2749" s="10">
        <f t="shared" si="131"/>
        <v>44123</v>
      </c>
      <c r="D2749">
        <v>2009414</v>
      </c>
      <c r="E2749" t="s">
        <v>144</v>
      </c>
      <c r="F2749" s="6">
        <v>44127</v>
      </c>
      <c r="H2749" t="s">
        <v>188</v>
      </c>
      <c r="I2749" t="s">
        <v>120</v>
      </c>
    </row>
    <row r="2750" spans="1:9" x14ac:dyDescent="0.25">
      <c r="A2750" s="8" t="str">
        <f t="shared" si="129"/>
        <v>2009414.ZO2</v>
      </c>
      <c r="B2750" s="9" t="str">
        <f t="shared" si="130"/>
        <v/>
      </c>
      <c r="C2750" s="10">
        <f t="shared" si="131"/>
        <v>44123</v>
      </c>
      <c r="D2750">
        <v>2009414</v>
      </c>
      <c r="E2750" t="s">
        <v>168</v>
      </c>
      <c r="F2750" s="6">
        <v>44127</v>
      </c>
      <c r="H2750" t="s">
        <v>188</v>
      </c>
      <c r="I2750" t="s">
        <v>120</v>
      </c>
    </row>
    <row r="2751" spans="1:9" x14ac:dyDescent="0.25">
      <c r="A2751" s="8" t="str">
        <f t="shared" si="129"/>
        <v>2009415.H02</v>
      </c>
      <c r="B2751" s="9" t="str">
        <f t="shared" si="130"/>
        <v/>
      </c>
      <c r="C2751" s="10">
        <f t="shared" si="131"/>
        <v>44116</v>
      </c>
      <c r="D2751">
        <v>2009415</v>
      </c>
      <c r="E2751" t="s">
        <v>156</v>
      </c>
      <c r="F2751" s="6">
        <v>44120</v>
      </c>
      <c r="H2751" t="s">
        <v>188</v>
      </c>
      <c r="I2751" t="s">
        <v>120</v>
      </c>
    </row>
    <row r="2752" spans="1:9" x14ac:dyDescent="0.25">
      <c r="A2752" s="8" t="str">
        <f t="shared" si="129"/>
        <v>2009416.Y03</v>
      </c>
      <c r="B2752" s="9" t="str">
        <f t="shared" si="130"/>
        <v/>
      </c>
      <c r="C2752" s="10">
        <f t="shared" si="131"/>
        <v>44116</v>
      </c>
      <c r="D2752">
        <v>2009416</v>
      </c>
      <c r="E2752" t="s">
        <v>223</v>
      </c>
      <c r="F2752" s="6">
        <v>44120</v>
      </c>
      <c r="H2752" t="s">
        <v>188</v>
      </c>
      <c r="I2752" t="s">
        <v>120</v>
      </c>
    </row>
    <row r="2753" spans="1:9" x14ac:dyDescent="0.25">
      <c r="A2753" s="8" t="str">
        <f t="shared" si="129"/>
        <v>2009417.H01</v>
      </c>
      <c r="B2753" s="9" t="str">
        <f t="shared" si="130"/>
        <v>1</v>
      </c>
      <c r="C2753" s="10">
        <f t="shared" si="131"/>
        <v>44116</v>
      </c>
      <c r="D2753">
        <v>2009417</v>
      </c>
      <c r="E2753" t="s">
        <v>145</v>
      </c>
      <c r="F2753" s="6">
        <v>44120</v>
      </c>
      <c r="G2753">
        <v>1</v>
      </c>
      <c r="H2753" t="s">
        <v>188</v>
      </c>
      <c r="I2753" t="s">
        <v>120</v>
      </c>
    </row>
    <row r="2754" spans="1:9" x14ac:dyDescent="0.25">
      <c r="A2754" s="8" t="str">
        <f t="shared" si="129"/>
        <v>2009418.000</v>
      </c>
      <c r="B2754" s="9" t="str">
        <f t="shared" si="130"/>
        <v>3</v>
      </c>
      <c r="C2754" s="10">
        <f t="shared" si="131"/>
        <v>44104</v>
      </c>
      <c r="D2754">
        <v>2009418</v>
      </c>
      <c r="E2754">
        <v>0</v>
      </c>
      <c r="F2754" s="6">
        <v>44106</v>
      </c>
      <c r="G2754">
        <v>3</v>
      </c>
      <c r="H2754" t="s">
        <v>188</v>
      </c>
      <c r="I2754" t="s">
        <v>120</v>
      </c>
    </row>
    <row r="2755" spans="1:9" x14ac:dyDescent="0.25">
      <c r="A2755" s="8" t="str">
        <f t="shared" si="129"/>
        <v>2009419.000</v>
      </c>
      <c r="B2755" s="9" t="str">
        <f t="shared" si="130"/>
        <v/>
      </c>
      <c r="C2755" s="10">
        <f t="shared" si="131"/>
        <v>44102</v>
      </c>
      <c r="D2755">
        <v>2009419</v>
      </c>
      <c r="E2755">
        <v>0</v>
      </c>
      <c r="F2755" s="6">
        <v>44106</v>
      </c>
      <c r="H2755" t="s">
        <v>188</v>
      </c>
      <c r="I2755" t="s">
        <v>120</v>
      </c>
    </row>
    <row r="2756" spans="1:9" x14ac:dyDescent="0.25">
      <c r="A2756" s="8" t="str">
        <f t="shared" si="129"/>
        <v>2009420.NM0</v>
      </c>
      <c r="B2756" s="9" t="str">
        <f t="shared" si="130"/>
        <v/>
      </c>
      <c r="C2756" s="10">
        <f t="shared" si="131"/>
        <v>44102</v>
      </c>
      <c r="D2756">
        <v>2009420</v>
      </c>
      <c r="E2756" t="s">
        <v>154</v>
      </c>
      <c r="F2756" s="6">
        <v>44106</v>
      </c>
      <c r="H2756" t="s">
        <v>188</v>
      </c>
      <c r="I2756" t="s">
        <v>120</v>
      </c>
    </row>
    <row r="2757" spans="1:9" x14ac:dyDescent="0.25">
      <c r="A2757" s="8" t="str">
        <f t="shared" si="129"/>
        <v>2009420.000</v>
      </c>
      <c r="B2757" s="9" t="str">
        <f t="shared" si="130"/>
        <v/>
      </c>
      <c r="C2757" s="10">
        <f t="shared" si="131"/>
        <v>44102</v>
      </c>
      <c r="D2757">
        <v>2009420</v>
      </c>
      <c r="E2757">
        <v>0</v>
      </c>
      <c r="F2757" s="6">
        <v>44106</v>
      </c>
      <c r="H2757" t="s">
        <v>188</v>
      </c>
      <c r="I2757" t="s">
        <v>120</v>
      </c>
    </row>
    <row r="2758" spans="1:9" x14ac:dyDescent="0.25">
      <c r="A2758" s="8" t="str">
        <f t="shared" si="129"/>
        <v>2009421.000</v>
      </c>
      <c r="B2758" s="9" t="str">
        <f t="shared" si="130"/>
        <v/>
      </c>
      <c r="C2758" s="10">
        <f t="shared" si="131"/>
        <v>44102</v>
      </c>
      <c r="D2758">
        <v>2009421</v>
      </c>
      <c r="E2758">
        <v>0</v>
      </c>
      <c r="F2758" s="6">
        <v>44106</v>
      </c>
      <c r="H2758" t="s">
        <v>188</v>
      </c>
      <c r="I2758" t="s">
        <v>120</v>
      </c>
    </row>
    <row r="2759" spans="1:9" x14ac:dyDescent="0.25">
      <c r="A2759" s="8" t="str">
        <f t="shared" si="129"/>
        <v>2009422.000</v>
      </c>
      <c r="B2759" s="9" t="str">
        <f t="shared" si="130"/>
        <v/>
      </c>
      <c r="C2759" s="10">
        <f t="shared" si="131"/>
        <v>44102</v>
      </c>
      <c r="D2759">
        <v>2009422</v>
      </c>
      <c r="E2759">
        <v>0</v>
      </c>
      <c r="F2759" s="6">
        <v>44106</v>
      </c>
      <c r="H2759" t="s">
        <v>188</v>
      </c>
      <c r="I2759" t="s">
        <v>120</v>
      </c>
    </row>
    <row r="2760" spans="1:9" x14ac:dyDescent="0.25">
      <c r="A2760" s="8" t="str">
        <f t="shared" si="129"/>
        <v>2009423.000</v>
      </c>
      <c r="B2760" s="9" t="str">
        <f t="shared" si="130"/>
        <v>1</v>
      </c>
      <c r="C2760" s="10">
        <f t="shared" si="131"/>
        <v>44102</v>
      </c>
      <c r="D2760">
        <v>2009423</v>
      </c>
      <c r="E2760">
        <v>0</v>
      </c>
      <c r="F2760" s="6">
        <v>44106</v>
      </c>
      <c r="G2760">
        <v>1</v>
      </c>
      <c r="H2760" t="s">
        <v>188</v>
      </c>
      <c r="I2760" t="s">
        <v>120</v>
      </c>
    </row>
    <row r="2761" spans="1:9" x14ac:dyDescent="0.25">
      <c r="A2761" s="8" t="str">
        <f t="shared" si="129"/>
        <v>2009424.000</v>
      </c>
      <c r="B2761" s="9" t="str">
        <f t="shared" si="130"/>
        <v>1</v>
      </c>
      <c r="C2761" s="10">
        <f t="shared" si="131"/>
        <v>44102</v>
      </c>
      <c r="D2761">
        <v>2009424</v>
      </c>
      <c r="E2761">
        <v>0</v>
      </c>
      <c r="F2761" s="6">
        <v>44106</v>
      </c>
      <c r="G2761">
        <v>1</v>
      </c>
      <c r="H2761" t="s">
        <v>188</v>
      </c>
      <c r="I2761" t="s">
        <v>120</v>
      </c>
    </row>
    <row r="2762" spans="1:9" x14ac:dyDescent="0.25">
      <c r="A2762" s="8" t="str">
        <f t="shared" si="129"/>
        <v>2009425.000</v>
      </c>
      <c r="B2762" s="9" t="str">
        <f t="shared" si="130"/>
        <v/>
      </c>
      <c r="C2762" s="10">
        <f t="shared" si="131"/>
        <v>44102</v>
      </c>
      <c r="D2762">
        <v>2009425</v>
      </c>
      <c r="E2762">
        <v>0</v>
      </c>
      <c r="F2762" s="6">
        <v>44106</v>
      </c>
      <c r="H2762" t="s">
        <v>188</v>
      </c>
      <c r="I2762" t="s">
        <v>134</v>
      </c>
    </row>
    <row r="2763" spans="1:9" x14ac:dyDescent="0.25">
      <c r="A2763" s="8" t="str">
        <f t="shared" si="129"/>
        <v>2009426.ZP1</v>
      </c>
      <c r="B2763" s="9" t="str">
        <f t="shared" si="130"/>
        <v/>
      </c>
      <c r="C2763" s="10">
        <f t="shared" si="131"/>
        <v>44116</v>
      </c>
      <c r="D2763">
        <v>2009426</v>
      </c>
      <c r="E2763" t="s">
        <v>141</v>
      </c>
      <c r="F2763" s="6">
        <v>44120</v>
      </c>
      <c r="H2763" t="s">
        <v>188</v>
      </c>
      <c r="I2763" t="s">
        <v>120</v>
      </c>
    </row>
    <row r="2764" spans="1:9" x14ac:dyDescent="0.25">
      <c r="A2764" s="8" t="str">
        <f t="shared" si="129"/>
        <v>2009427.H00</v>
      </c>
      <c r="B2764" s="9" t="str">
        <f t="shared" si="130"/>
        <v/>
      </c>
      <c r="C2764" s="10">
        <f t="shared" si="131"/>
        <v>44116</v>
      </c>
      <c r="D2764">
        <v>2009427</v>
      </c>
      <c r="E2764" t="s">
        <v>122</v>
      </c>
      <c r="F2764" s="6">
        <v>44120</v>
      </c>
      <c r="H2764" t="s">
        <v>188</v>
      </c>
      <c r="I2764" t="s">
        <v>120</v>
      </c>
    </row>
    <row r="2765" spans="1:9" x14ac:dyDescent="0.25">
      <c r="A2765" s="8" t="str">
        <f t="shared" si="129"/>
        <v>2009428.XP0</v>
      </c>
      <c r="B2765" s="9" t="str">
        <f t="shared" si="130"/>
        <v/>
      </c>
      <c r="C2765" s="10">
        <f t="shared" si="131"/>
        <v>44102</v>
      </c>
      <c r="D2765">
        <v>2009428</v>
      </c>
      <c r="E2765" t="s">
        <v>181</v>
      </c>
      <c r="F2765" s="6">
        <v>44106</v>
      </c>
      <c r="H2765" t="s">
        <v>188</v>
      </c>
      <c r="I2765" t="s">
        <v>120</v>
      </c>
    </row>
    <row r="2766" spans="1:9" x14ac:dyDescent="0.25">
      <c r="A2766" s="8" t="str">
        <f t="shared" si="129"/>
        <v>2009429.000</v>
      </c>
      <c r="B2766" s="9" t="str">
        <f t="shared" si="130"/>
        <v/>
      </c>
      <c r="C2766" s="10">
        <f t="shared" si="131"/>
        <v>44102</v>
      </c>
      <c r="D2766">
        <v>2009429</v>
      </c>
      <c r="E2766">
        <v>0</v>
      </c>
      <c r="F2766" s="6">
        <v>44106</v>
      </c>
      <c r="H2766" t="s">
        <v>188</v>
      </c>
      <c r="I2766" t="s">
        <v>120</v>
      </c>
    </row>
    <row r="2767" spans="1:9" x14ac:dyDescent="0.25">
      <c r="A2767" s="8" t="str">
        <f t="shared" si="129"/>
        <v>2009430.U00</v>
      </c>
      <c r="B2767" s="9" t="str">
        <f t="shared" si="130"/>
        <v>3</v>
      </c>
      <c r="C2767" s="10">
        <f t="shared" si="131"/>
        <v>44118</v>
      </c>
      <c r="D2767">
        <v>2009430</v>
      </c>
      <c r="E2767" t="s">
        <v>131</v>
      </c>
      <c r="F2767" s="6">
        <v>44120</v>
      </c>
      <c r="G2767">
        <v>3</v>
      </c>
      <c r="H2767" t="s">
        <v>188</v>
      </c>
      <c r="I2767" t="s">
        <v>120</v>
      </c>
    </row>
    <row r="2768" spans="1:9" x14ac:dyDescent="0.25">
      <c r="A2768" s="8" t="str">
        <f t="shared" si="129"/>
        <v>2009431.X00</v>
      </c>
      <c r="B2768" s="9" t="str">
        <f t="shared" si="130"/>
        <v>3</v>
      </c>
      <c r="C2768" s="10">
        <f t="shared" si="131"/>
        <v>44104</v>
      </c>
      <c r="D2768">
        <v>2009431</v>
      </c>
      <c r="E2768" t="s">
        <v>225</v>
      </c>
      <c r="F2768" s="6">
        <v>44106</v>
      </c>
      <c r="G2768">
        <v>3</v>
      </c>
      <c r="H2768" t="s">
        <v>188</v>
      </c>
      <c r="I2768" t="s">
        <v>120</v>
      </c>
    </row>
    <row r="2769" spans="1:9" x14ac:dyDescent="0.25">
      <c r="A2769" s="8" t="str">
        <f t="shared" si="129"/>
        <v>2009432.ZP2</v>
      </c>
      <c r="B2769" s="9" t="str">
        <f t="shared" si="130"/>
        <v/>
      </c>
      <c r="C2769" s="10">
        <f t="shared" si="131"/>
        <v>44116</v>
      </c>
      <c r="D2769">
        <v>2009432</v>
      </c>
      <c r="E2769" t="s">
        <v>151</v>
      </c>
      <c r="F2769" s="6">
        <v>44120</v>
      </c>
      <c r="H2769" t="s">
        <v>188</v>
      </c>
      <c r="I2769" t="s">
        <v>120</v>
      </c>
    </row>
    <row r="2770" spans="1:9" x14ac:dyDescent="0.25">
      <c r="A2770" s="8" t="str">
        <f t="shared" si="129"/>
        <v>2009433.U00</v>
      </c>
      <c r="B2770" s="9" t="str">
        <f t="shared" si="130"/>
        <v>3</v>
      </c>
      <c r="C2770" s="10">
        <f t="shared" si="131"/>
        <v>44118</v>
      </c>
      <c r="D2770">
        <v>2009433</v>
      </c>
      <c r="E2770" t="s">
        <v>131</v>
      </c>
      <c r="F2770" s="6">
        <v>44120</v>
      </c>
      <c r="G2770">
        <v>3</v>
      </c>
      <c r="H2770" t="s">
        <v>188</v>
      </c>
      <c r="I2770" t="s">
        <v>120</v>
      </c>
    </row>
    <row r="2771" spans="1:9" x14ac:dyDescent="0.25">
      <c r="A2771" s="8" t="str">
        <f t="shared" si="129"/>
        <v>2009434.CP0</v>
      </c>
      <c r="B2771" s="9" t="str">
        <f t="shared" si="130"/>
        <v>1</v>
      </c>
      <c r="C2771" s="10">
        <f t="shared" si="131"/>
        <v>44123</v>
      </c>
      <c r="D2771">
        <v>2009434</v>
      </c>
      <c r="E2771" t="s">
        <v>148</v>
      </c>
      <c r="F2771" s="6">
        <v>44127</v>
      </c>
      <c r="G2771">
        <v>1</v>
      </c>
      <c r="H2771" t="s">
        <v>188</v>
      </c>
      <c r="I2771" t="s">
        <v>120</v>
      </c>
    </row>
    <row r="2772" spans="1:9" x14ac:dyDescent="0.25">
      <c r="A2772" s="8" t="str">
        <f t="shared" si="129"/>
        <v>2009435.H02</v>
      </c>
      <c r="B2772" s="9" t="str">
        <f t="shared" si="130"/>
        <v/>
      </c>
      <c r="C2772" s="10">
        <f t="shared" si="131"/>
        <v>44116</v>
      </c>
      <c r="D2772">
        <v>2009435</v>
      </c>
      <c r="E2772" t="s">
        <v>156</v>
      </c>
      <c r="F2772" s="6">
        <v>44120</v>
      </c>
      <c r="H2772" t="s">
        <v>188</v>
      </c>
      <c r="I2772" t="s">
        <v>120</v>
      </c>
    </row>
    <row r="2773" spans="1:9" x14ac:dyDescent="0.25">
      <c r="A2773" s="8" t="str">
        <f t="shared" si="129"/>
        <v>2009436.000</v>
      </c>
      <c r="B2773" s="9" t="str">
        <f t="shared" si="130"/>
        <v>3</v>
      </c>
      <c r="C2773" s="10">
        <f t="shared" si="131"/>
        <v>44104</v>
      </c>
      <c r="D2773">
        <v>2009436</v>
      </c>
      <c r="E2773">
        <v>0</v>
      </c>
      <c r="F2773" s="6">
        <v>44106</v>
      </c>
      <c r="G2773">
        <v>3</v>
      </c>
      <c r="H2773" t="s">
        <v>188</v>
      </c>
      <c r="I2773" t="s">
        <v>120</v>
      </c>
    </row>
    <row r="2774" spans="1:9" x14ac:dyDescent="0.25">
      <c r="A2774" s="8" t="str">
        <f t="shared" si="129"/>
        <v>2009437.H00</v>
      </c>
      <c r="B2774" s="9" t="str">
        <f t="shared" si="130"/>
        <v>3</v>
      </c>
      <c r="C2774" s="10">
        <f t="shared" si="131"/>
        <v>44118</v>
      </c>
      <c r="D2774">
        <v>2009437</v>
      </c>
      <c r="E2774" t="s">
        <v>122</v>
      </c>
      <c r="F2774" s="6">
        <v>44120</v>
      </c>
      <c r="G2774">
        <v>3</v>
      </c>
      <c r="H2774" t="s">
        <v>188</v>
      </c>
      <c r="I2774" t="s">
        <v>120</v>
      </c>
    </row>
    <row r="2775" spans="1:9" x14ac:dyDescent="0.25">
      <c r="A2775" s="8" t="str">
        <f t="shared" si="129"/>
        <v>2009438.ZP1</v>
      </c>
      <c r="B2775" s="9" t="str">
        <f t="shared" si="130"/>
        <v/>
      </c>
      <c r="C2775" s="10">
        <f t="shared" si="131"/>
        <v>44116</v>
      </c>
      <c r="D2775">
        <v>2009438</v>
      </c>
      <c r="E2775" t="s">
        <v>141</v>
      </c>
      <c r="F2775" s="6">
        <v>44120</v>
      </c>
      <c r="H2775" t="s">
        <v>188</v>
      </c>
      <c r="I2775" t="s">
        <v>120</v>
      </c>
    </row>
    <row r="2776" spans="1:9" x14ac:dyDescent="0.25">
      <c r="A2776" s="8" t="str">
        <f t="shared" si="129"/>
        <v>2009438.Z01</v>
      </c>
      <c r="B2776" s="9" t="str">
        <f t="shared" si="130"/>
        <v/>
      </c>
      <c r="C2776" s="10">
        <f t="shared" si="131"/>
        <v>44116</v>
      </c>
      <c r="D2776">
        <v>2009438</v>
      </c>
      <c r="E2776" t="s">
        <v>135</v>
      </c>
      <c r="F2776" s="6">
        <v>44120</v>
      </c>
      <c r="H2776" t="s">
        <v>188</v>
      </c>
      <c r="I2776" t="s">
        <v>120</v>
      </c>
    </row>
    <row r="2777" spans="1:9" x14ac:dyDescent="0.25">
      <c r="A2777" s="8" t="str">
        <f t="shared" si="129"/>
        <v>2009439.000</v>
      </c>
      <c r="B2777" s="9" t="str">
        <f t="shared" si="130"/>
        <v/>
      </c>
      <c r="C2777" s="10">
        <f t="shared" si="131"/>
        <v>44102</v>
      </c>
      <c r="D2777">
        <v>2009439</v>
      </c>
      <c r="E2777">
        <v>0</v>
      </c>
      <c r="F2777" s="6">
        <v>44106</v>
      </c>
      <c r="H2777" t="s">
        <v>188</v>
      </c>
      <c r="I2777" t="s">
        <v>120</v>
      </c>
    </row>
    <row r="2778" spans="1:9" x14ac:dyDescent="0.25">
      <c r="A2778" s="8" t="str">
        <f t="shared" si="129"/>
        <v>2009440.000</v>
      </c>
      <c r="B2778" s="9" t="str">
        <f t="shared" si="130"/>
        <v>4</v>
      </c>
      <c r="C2778" s="10">
        <f t="shared" si="131"/>
        <v>44105</v>
      </c>
      <c r="D2778">
        <v>2009440</v>
      </c>
      <c r="E2778">
        <v>0</v>
      </c>
      <c r="F2778" s="6">
        <v>44106</v>
      </c>
      <c r="G2778">
        <v>4</v>
      </c>
      <c r="H2778" t="s">
        <v>188</v>
      </c>
      <c r="I2778" t="s">
        <v>120</v>
      </c>
    </row>
    <row r="2779" spans="1:9" x14ac:dyDescent="0.25">
      <c r="A2779" s="8" t="str">
        <f t="shared" si="129"/>
        <v>2009441.XP0</v>
      </c>
      <c r="B2779" s="9" t="str">
        <f t="shared" si="130"/>
        <v/>
      </c>
      <c r="C2779" s="10">
        <f t="shared" si="131"/>
        <v>44102</v>
      </c>
      <c r="D2779">
        <v>2009441</v>
      </c>
      <c r="E2779" t="s">
        <v>181</v>
      </c>
      <c r="F2779" s="6">
        <v>44106</v>
      </c>
      <c r="H2779" t="s">
        <v>188</v>
      </c>
      <c r="I2779" t="s">
        <v>120</v>
      </c>
    </row>
    <row r="2780" spans="1:9" x14ac:dyDescent="0.25">
      <c r="A2780" s="8" t="str">
        <f t="shared" si="129"/>
        <v>2009442.000</v>
      </c>
      <c r="B2780" s="9" t="str">
        <f t="shared" si="130"/>
        <v/>
      </c>
      <c r="C2780" s="10">
        <f t="shared" si="131"/>
        <v>44102</v>
      </c>
      <c r="D2780">
        <v>2009442</v>
      </c>
      <c r="E2780">
        <v>0</v>
      </c>
      <c r="F2780" s="6">
        <v>44106</v>
      </c>
      <c r="H2780" t="s">
        <v>188</v>
      </c>
      <c r="I2780" t="s">
        <v>120</v>
      </c>
    </row>
    <row r="2781" spans="1:9" x14ac:dyDescent="0.25">
      <c r="A2781" s="8" t="str">
        <f t="shared" si="129"/>
        <v>2009443.Y00</v>
      </c>
      <c r="B2781" s="9" t="str">
        <f t="shared" si="130"/>
        <v/>
      </c>
      <c r="C2781" s="10">
        <f t="shared" si="131"/>
        <v>44116</v>
      </c>
      <c r="D2781">
        <v>2009443</v>
      </c>
      <c r="E2781" t="s">
        <v>130</v>
      </c>
      <c r="F2781" s="6">
        <v>44120</v>
      </c>
      <c r="H2781" t="s">
        <v>188</v>
      </c>
      <c r="I2781" t="s">
        <v>120</v>
      </c>
    </row>
    <row r="2782" spans="1:9" x14ac:dyDescent="0.25">
      <c r="A2782" s="8" t="str">
        <f t="shared" si="129"/>
        <v>2009444.Y00</v>
      </c>
      <c r="B2782" s="9" t="str">
        <f t="shared" si="130"/>
        <v>1</v>
      </c>
      <c r="C2782" s="10">
        <f t="shared" si="131"/>
        <v>44116</v>
      </c>
      <c r="D2782">
        <v>2009444</v>
      </c>
      <c r="E2782" t="s">
        <v>130</v>
      </c>
      <c r="F2782" s="6">
        <v>44120</v>
      </c>
      <c r="G2782">
        <v>1</v>
      </c>
      <c r="H2782" t="s">
        <v>188</v>
      </c>
      <c r="I2782" t="s">
        <v>120</v>
      </c>
    </row>
    <row r="2783" spans="1:9" x14ac:dyDescent="0.25">
      <c r="A2783" s="8" t="str">
        <f t="shared" si="129"/>
        <v>2009445.000</v>
      </c>
      <c r="B2783" s="9" t="str">
        <f t="shared" si="130"/>
        <v>1</v>
      </c>
      <c r="C2783" s="10">
        <f t="shared" si="131"/>
        <v>44102</v>
      </c>
      <c r="D2783">
        <v>2009445</v>
      </c>
      <c r="E2783">
        <v>0</v>
      </c>
      <c r="F2783" s="6">
        <v>44106</v>
      </c>
      <c r="G2783">
        <v>1</v>
      </c>
      <c r="H2783" t="s">
        <v>188</v>
      </c>
      <c r="I2783" t="s">
        <v>120</v>
      </c>
    </row>
    <row r="2784" spans="1:9" x14ac:dyDescent="0.25">
      <c r="A2784" s="8" t="str">
        <f t="shared" si="129"/>
        <v>2009446.H02</v>
      </c>
      <c r="B2784" s="9" t="str">
        <f t="shared" si="130"/>
        <v/>
      </c>
      <c r="C2784" s="10">
        <f t="shared" si="131"/>
        <v>44116</v>
      </c>
      <c r="D2784">
        <v>2009446</v>
      </c>
      <c r="E2784" t="s">
        <v>156</v>
      </c>
      <c r="F2784" s="6">
        <v>44120</v>
      </c>
      <c r="H2784" t="s">
        <v>188</v>
      </c>
      <c r="I2784" t="s">
        <v>120</v>
      </c>
    </row>
    <row r="2785" spans="1:9" x14ac:dyDescent="0.25">
      <c r="A2785" s="8" t="str">
        <f t="shared" si="129"/>
        <v>2009447.Y00</v>
      </c>
      <c r="B2785" s="9" t="str">
        <f t="shared" si="130"/>
        <v>3</v>
      </c>
      <c r="C2785" s="10">
        <f t="shared" si="131"/>
        <v>44118</v>
      </c>
      <c r="D2785">
        <v>2009447</v>
      </c>
      <c r="E2785" t="s">
        <v>130</v>
      </c>
      <c r="F2785" s="6">
        <v>44120</v>
      </c>
      <c r="G2785">
        <v>3</v>
      </c>
      <c r="H2785" t="s">
        <v>188</v>
      </c>
      <c r="I2785" t="s">
        <v>120</v>
      </c>
    </row>
    <row r="2786" spans="1:9" x14ac:dyDescent="0.25">
      <c r="A2786" s="8" t="str">
        <f t="shared" si="129"/>
        <v>2009448.U02</v>
      </c>
      <c r="B2786" s="9" t="str">
        <f t="shared" si="130"/>
        <v/>
      </c>
      <c r="C2786" s="10">
        <f t="shared" si="131"/>
        <v>44116</v>
      </c>
      <c r="D2786">
        <v>2009448</v>
      </c>
      <c r="E2786" t="s">
        <v>149</v>
      </c>
      <c r="F2786" s="6">
        <v>44120</v>
      </c>
      <c r="H2786" t="s">
        <v>188</v>
      </c>
      <c r="I2786" t="s">
        <v>120</v>
      </c>
    </row>
    <row r="2787" spans="1:9" x14ac:dyDescent="0.25">
      <c r="A2787" s="8" t="str">
        <f t="shared" si="129"/>
        <v>2009449.0P0</v>
      </c>
      <c r="B2787" s="9" t="str">
        <f t="shared" si="130"/>
        <v/>
      </c>
      <c r="C2787" s="10">
        <f t="shared" si="131"/>
        <v>44102</v>
      </c>
      <c r="D2787">
        <v>2009449</v>
      </c>
      <c r="E2787" t="s">
        <v>119</v>
      </c>
      <c r="F2787" s="6">
        <v>44106</v>
      </c>
      <c r="H2787" t="s">
        <v>188</v>
      </c>
      <c r="I2787" t="s">
        <v>120</v>
      </c>
    </row>
    <row r="2788" spans="1:9" x14ac:dyDescent="0.25">
      <c r="A2788" s="8" t="str">
        <f t="shared" si="129"/>
        <v>2009450.0P0</v>
      </c>
      <c r="B2788" s="9" t="str">
        <f t="shared" si="130"/>
        <v/>
      </c>
      <c r="C2788" s="10">
        <f t="shared" si="131"/>
        <v>44102</v>
      </c>
      <c r="D2788">
        <v>2009450</v>
      </c>
      <c r="E2788" t="s">
        <v>119</v>
      </c>
      <c r="F2788" s="6">
        <v>44106</v>
      </c>
      <c r="H2788" t="s">
        <v>188</v>
      </c>
      <c r="I2788" t="s">
        <v>120</v>
      </c>
    </row>
    <row r="2789" spans="1:9" x14ac:dyDescent="0.25">
      <c r="A2789" s="8" t="str">
        <f t="shared" si="129"/>
        <v>2009451.HP2</v>
      </c>
      <c r="B2789" s="9" t="str">
        <f t="shared" si="130"/>
        <v/>
      </c>
      <c r="C2789" s="10">
        <f t="shared" si="131"/>
        <v>44116</v>
      </c>
      <c r="D2789">
        <v>2009451</v>
      </c>
      <c r="E2789" t="s">
        <v>138</v>
      </c>
      <c r="F2789" s="6">
        <v>44120</v>
      </c>
      <c r="H2789" t="s">
        <v>188</v>
      </c>
      <c r="I2789" t="s">
        <v>120</v>
      </c>
    </row>
    <row r="2790" spans="1:9" x14ac:dyDescent="0.25">
      <c r="A2790" s="8" t="str">
        <f t="shared" si="129"/>
        <v>2009452.000</v>
      </c>
      <c r="B2790" s="9" t="str">
        <f t="shared" si="130"/>
        <v/>
      </c>
      <c r="C2790" s="10">
        <f t="shared" si="131"/>
        <v>44102</v>
      </c>
      <c r="D2790">
        <v>2009452</v>
      </c>
      <c r="E2790">
        <v>0</v>
      </c>
      <c r="F2790" s="6">
        <v>44106</v>
      </c>
      <c r="H2790" t="s">
        <v>188</v>
      </c>
      <c r="I2790" t="s">
        <v>120</v>
      </c>
    </row>
    <row r="2791" spans="1:9" x14ac:dyDescent="0.25">
      <c r="A2791" s="8" t="str">
        <f t="shared" ref="A2791:A2854" si="132">IF(D2791="","",IF(E2791=0,CONCATENATE(D2791,".",E2791,"00"),CONCATENATE(D2791,".",E2791)))</f>
        <v>2009453.000</v>
      </c>
      <c r="B2791" s="9" t="str">
        <f t="shared" ref="B2791:B2854" si="133">LEFT(G2791,1)</f>
        <v>1</v>
      </c>
      <c r="C2791" s="10">
        <f t="shared" ref="C2791:C2854" si="134">IF(F2791="","",IF(B2791="",F2791-4,IF(B2791="1",F2791-4,IF(B2791="2",F2791-3,IF(B2791="3",F2791-2,IF(B2791="4",F2791-1,IF(B2791="V",F2791-7,IF(B2791="J",F2791-8,F2791))))))))</f>
        <v>44123</v>
      </c>
      <c r="D2791">
        <v>2009453</v>
      </c>
      <c r="E2791">
        <v>0</v>
      </c>
      <c r="F2791" s="6">
        <v>44127</v>
      </c>
      <c r="G2791">
        <v>1</v>
      </c>
      <c r="H2791" t="s">
        <v>188</v>
      </c>
      <c r="I2791" t="s">
        <v>120</v>
      </c>
    </row>
    <row r="2792" spans="1:9" x14ac:dyDescent="0.25">
      <c r="A2792" s="8" t="str">
        <f t="shared" si="132"/>
        <v>2009454.H01</v>
      </c>
      <c r="B2792" s="9" t="str">
        <f t="shared" si="133"/>
        <v>4</v>
      </c>
      <c r="C2792" s="10">
        <f t="shared" si="134"/>
        <v>44119</v>
      </c>
      <c r="D2792">
        <v>2009454</v>
      </c>
      <c r="E2792" t="s">
        <v>145</v>
      </c>
      <c r="F2792" s="6">
        <v>44120</v>
      </c>
      <c r="G2792">
        <v>4</v>
      </c>
      <c r="H2792" t="s">
        <v>188</v>
      </c>
      <c r="I2792" t="s">
        <v>120</v>
      </c>
    </row>
    <row r="2793" spans="1:9" x14ac:dyDescent="0.25">
      <c r="A2793" s="8" t="str">
        <f t="shared" si="132"/>
        <v>2009454.Y01</v>
      </c>
      <c r="B2793" s="9" t="str">
        <f t="shared" si="133"/>
        <v>4</v>
      </c>
      <c r="C2793" s="10">
        <f t="shared" si="134"/>
        <v>44119</v>
      </c>
      <c r="D2793">
        <v>2009454</v>
      </c>
      <c r="E2793" t="s">
        <v>132</v>
      </c>
      <c r="F2793" s="6">
        <v>44120</v>
      </c>
      <c r="G2793">
        <v>4</v>
      </c>
      <c r="H2793" t="s">
        <v>188</v>
      </c>
      <c r="I2793" t="s">
        <v>120</v>
      </c>
    </row>
    <row r="2794" spans="1:9" x14ac:dyDescent="0.25">
      <c r="A2794" s="8" t="str">
        <f t="shared" si="132"/>
        <v>2009455.000</v>
      </c>
      <c r="B2794" s="9" t="str">
        <f t="shared" si="133"/>
        <v>4</v>
      </c>
      <c r="C2794" s="10">
        <f t="shared" si="134"/>
        <v>44105</v>
      </c>
      <c r="D2794">
        <v>2009455</v>
      </c>
      <c r="E2794">
        <v>0</v>
      </c>
      <c r="F2794" s="6">
        <v>44106</v>
      </c>
      <c r="G2794">
        <v>4</v>
      </c>
      <c r="H2794" t="s">
        <v>188</v>
      </c>
      <c r="I2794" t="s">
        <v>120</v>
      </c>
    </row>
    <row r="2795" spans="1:9" x14ac:dyDescent="0.25">
      <c r="A2795" s="8" t="str">
        <f t="shared" si="132"/>
        <v>2009456.000</v>
      </c>
      <c r="B2795" s="9" t="str">
        <f t="shared" si="133"/>
        <v/>
      </c>
      <c r="C2795" s="10">
        <f t="shared" si="134"/>
        <v>44102</v>
      </c>
      <c r="D2795">
        <v>2009456</v>
      </c>
      <c r="E2795">
        <v>0</v>
      </c>
      <c r="F2795" s="6">
        <v>44106</v>
      </c>
      <c r="H2795" t="s">
        <v>188</v>
      </c>
      <c r="I2795" t="s">
        <v>120</v>
      </c>
    </row>
    <row r="2796" spans="1:9" x14ac:dyDescent="0.25">
      <c r="A2796" s="8" t="str">
        <f t="shared" si="132"/>
        <v>2009457.ZOL</v>
      </c>
      <c r="B2796" s="9" t="str">
        <f t="shared" si="133"/>
        <v/>
      </c>
      <c r="C2796" s="10">
        <f t="shared" si="134"/>
        <v>44123</v>
      </c>
      <c r="D2796">
        <v>2009457</v>
      </c>
      <c r="E2796" t="s">
        <v>314</v>
      </c>
      <c r="F2796" s="6">
        <v>44127</v>
      </c>
      <c r="H2796" t="s">
        <v>188</v>
      </c>
      <c r="I2796" t="s">
        <v>120</v>
      </c>
    </row>
    <row r="2797" spans="1:9" x14ac:dyDescent="0.25">
      <c r="A2797" s="8" t="str">
        <f t="shared" si="132"/>
        <v>2009458.0P0</v>
      </c>
      <c r="B2797" s="9" t="str">
        <f t="shared" si="133"/>
        <v/>
      </c>
      <c r="C2797" s="10">
        <f t="shared" si="134"/>
        <v>44102</v>
      </c>
      <c r="D2797">
        <v>2009458</v>
      </c>
      <c r="E2797" t="s">
        <v>119</v>
      </c>
      <c r="F2797" s="6">
        <v>44106</v>
      </c>
      <c r="H2797" t="s">
        <v>188</v>
      </c>
      <c r="I2797" t="s">
        <v>120</v>
      </c>
    </row>
    <row r="2798" spans="1:9" x14ac:dyDescent="0.25">
      <c r="A2798" s="8" t="str">
        <f t="shared" si="132"/>
        <v>2009459.0P0</v>
      </c>
      <c r="B2798" s="9" t="str">
        <f t="shared" si="133"/>
        <v>3</v>
      </c>
      <c r="C2798" s="10">
        <f t="shared" si="134"/>
        <v>44125</v>
      </c>
      <c r="D2798">
        <v>2009459</v>
      </c>
      <c r="E2798" t="s">
        <v>119</v>
      </c>
      <c r="F2798" s="6">
        <v>44127</v>
      </c>
      <c r="G2798">
        <v>3</v>
      </c>
      <c r="H2798" t="s">
        <v>188</v>
      </c>
      <c r="I2798" t="s">
        <v>120</v>
      </c>
    </row>
    <row r="2799" spans="1:9" x14ac:dyDescent="0.25">
      <c r="A2799" s="8" t="str">
        <f t="shared" si="132"/>
        <v>2009459.000</v>
      </c>
      <c r="B2799" s="9" t="str">
        <f t="shared" si="133"/>
        <v>3</v>
      </c>
      <c r="C2799" s="10">
        <f t="shared" si="134"/>
        <v>44125</v>
      </c>
      <c r="D2799">
        <v>2009459</v>
      </c>
      <c r="E2799">
        <v>0</v>
      </c>
      <c r="F2799" s="6">
        <v>44127</v>
      </c>
      <c r="G2799">
        <v>3</v>
      </c>
      <c r="H2799" t="s">
        <v>188</v>
      </c>
      <c r="I2799" t="s">
        <v>120</v>
      </c>
    </row>
    <row r="2800" spans="1:9" x14ac:dyDescent="0.25">
      <c r="A2800" s="8" t="str">
        <f t="shared" si="132"/>
        <v>2009460.Y00</v>
      </c>
      <c r="B2800" s="9" t="str">
        <f t="shared" si="133"/>
        <v>3</v>
      </c>
      <c r="C2800" s="10">
        <f t="shared" si="134"/>
        <v>44118</v>
      </c>
      <c r="D2800">
        <v>2009460</v>
      </c>
      <c r="E2800" t="s">
        <v>130</v>
      </c>
      <c r="F2800" s="6">
        <v>44120</v>
      </c>
      <c r="G2800">
        <v>3</v>
      </c>
      <c r="H2800" t="s">
        <v>188</v>
      </c>
      <c r="I2800" t="s">
        <v>120</v>
      </c>
    </row>
    <row r="2801" spans="1:9" x14ac:dyDescent="0.25">
      <c r="A2801" s="8" t="str">
        <f t="shared" si="132"/>
        <v>2009461.0P0</v>
      </c>
      <c r="B2801" s="9" t="str">
        <f t="shared" si="133"/>
        <v>3</v>
      </c>
      <c r="C2801" s="10">
        <f t="shared" si="134"/>
        <v>44118</v>
      </c>
      <c r="D2801">
        <v>2009461</v>
      </c>
      <c r="E2801" t="s">
        <v>119</v>
      </c>
      <c r="F2801" s="6">
        <v>44120</v>
      </c>
      <c r="G2801">
        <v>3</v>
      </c>
      <c r="H2801" t="s">
        <v>188</v>
      </c>
      <c r="I2801" t="s">
        <v>120</v>
      </c>
    </row>
    <row r="2802" spans="1:9" x14ac:dyDescent="0.25">
      <c r="A2802" s="8" t="str">
        <f t="shared" si="132"/>
        <v>2009462.000</v>
      </c>
      <c r="B2802" s="9" t="str">
        <f t="shared" si="133"/>
        <v>3</v>
      </c>
      <c r="C2802" s="10">
        <f t="shared" si="134"/>
        <v>44125</v>
      </c>
      <c r="D2802">
        <v>2009462</v>
      </c>
      <c r="E2802">
        <v>0</v>
      </c>
      <c r="F2802" s="6">
        <v>44127</v>
      </c>
      <c r="G2802">
        <v>3</v>
      </c>
      <c r="H2802" t="s">
        <v>188</v>
      </c>
      <c r="I2802" t="s">
        <v>120</v>
      </c>
    </row>
    <row r="2803" spans="1:9" x14ac:dyDescent="0.25">
      <c r="A2803" s="8" t="str">
        <f t="shared" si="132"/>
        <v>2009463.H01</v>
      </c>
      <c r="B2803" s="9" t="str">
        <f t="shared" si="133"/>
        <v>3</v>
      </c>
      <c r="C2803" s="10">
        <f t="shared" si="134"/>
        <v>44104</v>
      </c>
      <c r="D2803">
        <v>2009463</v>
      </c>
      <c r="E2803" t="s">
        <v>145</v>
      </c>
      <c r="F2803" s="6">
        <v>44106</v>
      </c>
      <c r="G2803">
        <v>3</v>
      </c>
      <c r="H2803" t="s">
        <v>188</v>
      </c>
      <c r="I2803" t="s">
        <v>120</v>
      </c>
    </row>
    <row r="2804" spans="1:9" x14ac:dyDescent="0.25">
      <c r="A2804" s="8" t="str">
        <f t="shared" si="132"/>
        <v>2009463.HP1</v>
      </c>
      <c r="B2804" s="9" t="str">
        <f t="shared" si="133"/>
        <v>3</v>
      </c>
      <c r="C2804" s="10">
        <f t="shared" si="134"/>
        <v>44104</v>
      </c>
      <c r="D2804">
        <v>2009463</v>
      </c>
      <c r="E2804" t="s">
        <v>129</v>
      </c>
      <c r="F2804" s="6">
        <v>44106</v>
      </c>
      <c r="G2804">
        <v>3</v>
      </c>
      <c r="H2804" t="s">
        <v>188</v>
      </c>
      <c r="I2804" t="s">
        <v>120</v>
      </c>
    </row>
    <row r="2805" spans="1:9" x14ac:dyDescent="0.25">
      <c r="A2805" s="8" t="str">
        <f t="shared" si="132"/>
        <v>2009463.000</v>
      </c>
      <c r="B2805" s="9" t="str">
        <f t="shared" si="133"/>
        <v>3</v>
      </c>
      <c r="C2805" s="10">
        <f t="shared" si="134"/>
        <v>44104</v>
      </c>
      <c r="D2805">
        <v>2009463</v>
      </c>
      <c r="E2805">
        <v>0</v>
      </c>
      <c r="F2805" s="6">
        <v>44106</v>
      </c>
      <c r="G2805">
        <v>3</v>
      </c>
      <c r="H2805" t="s">
        <v>188</v>
      </c>
      <c r="I2805" t="s">
        <v>120</v>
      </c>
    </row>
    <row r="2806" spans="1:9" x14ac:dyDescent="0.25">
      <c r="A2806" s="8" t="str">
        <f t="shared" si="132"/>
        <v>2009464.X00</v>
      </c>
      <c r="B2806" s="9" t="str">
        <f t="shared" si="133"/>
        <v>3</v>
      </c>
      <c r="C2806" s="10">
        <f t="shared" si="134"/>
        <v>44153</v>
      </c>
      <c r="D2806">
        <v>2009464</v>
      </c>
      <c r="E2806" t="s">
        <v>225</v>
      </c>
      <c r="F2806" s="6">
        <v>44155</v>
      </c>
      <c r="G2806">
        <v>3</v>
      </c>
      <c r="H2806" t="s">
        <v>188</v>
      </c>
      <c r="I2806" t="s">
        <v>120</v>
      </c>
    </row>
    <row r="2807" spans="1:9" x14ac:dyDescent="0.25">
      <c r="A2807" s="8" t="str">
        <f t="shared" si="132"/>
        <v>2009464.NV0</v>
      </c>
      <c r="B2807" s="9" t="str">
        <f t="shared" si="133"/>
        <v>3</v>
      </c>
      <c r="C2807" s="10">
        <f t="shared" si="134"/>
        <v>44153</v>
      </c>
      <c r="D2807">
        <v>2009464</v>
      </c>
      <c r="E2807" t="s">
        <v>126</v>
      </c>
      <c r="F2807" s="6">
        <v>44155</v>
      </c>
      <c r="G2807">
        <v>3</v>
      </c>
      <c r="H2807" t="s">
        <v>188</v>
      </c>
      <c r="I2807" t="s">
        <v>120</v>
      </c>
    </row>
    <row r="2808" spans="1:9" x14ac:dyDescent="0.25">
      <c r="A2808" s="8" t="str">
        <f t="shared" si="132"/>
        <v>2009465.Y01</v>
      </c>
      <c r="B2808" s="9" t="str">
        <f t="shared" si="133"/>
        <v>3</v>
      </c>
      <c r="C2808" s="10">
        <f t="shared" si="134"/>
        <v>44132</v>
      </c>
      <c r="D2808">
        <v>2009465</v>
      </c>
      <c r="E2808" t="s">
        <v>132</v>
      </c>
      <c r="F2808" s="6">
        <v>44134</v>
      </c>
      <c r="G2808">
        <v>3</v>
      </c>
      <c r="H2808" t="s">
        <v>188</v>
      </c>
      <c r="I2808" t="s">
        <v>120</v>
      </c>
    </row>
    <row r="2809" spans="1:9" x14ac:dyDescent="0.25">
      <c r="A2809" s="8" t="str">
        <f t="shared" si="132"/>
        <v>2009465.H00</v>
      </c>
      <c r="B2809" s="9" t="str">
        <f t="shared" si="133"/>
        <v>3</v>
      </c>
      <c r="C2809" s="10">
        <f t="shared" si="134"/>
        <v>44132</v>
      </c>
      <c r="D2809">
        <v>2009465</v>
      </c>
      <c r="E2809" t="s">
        <v>122</v>
      </c>
      <c r="F2809" s="6">
        <v>44134</v>
      </c>
      <c r="G2809">
        <v>3</v>
      </c>
      <c r="H2809" t="s">
        <v>188</v>
      </c>
      <c r="I2809" t="s">
        <v>120</v>
      </c>
    </row>
    <row r="2810" spans="1:9" x14ac:dyDescent="0.25">
      <c r="A2810" s="8" t="str">
        <f t="shared" si="132"/>
        <v>2009466.UP2</v>
      </c>
      <c r="B2810" s="9" t="str">
        <f t="shared" si="133"/>
        <v/>
      </c>
      <c r="C2810" s="10">
        <f t="shared" si="134"/>
        <v>44116</v>
      </c>
      <c r="D2810">
        <v>2009466</v>
      </c>
      <c r="E2810" t="s">
        <v>160</v>
      </c>
      <c r="F2810" s="6">
        <v>44120</v>
      </c>
      <c r="H2810" t="s">
        <v>188</v>
      </c>
      <c r="I2810" t="s">
        <v>120</v>
      </c>
    </row>
    <row r="2811" spans="1:9" x14ac:dyDescent="0.25">
      <c r="A2811" s="8" t="str">
        <f t="shared" si="132"/>
        <v>2009467.Y02</v>
      </c>
      <c r="B2811" s="9" t="str">
        <f t="shared" si="133"/>
        <v/>
      </c>
      <c r="C2811" s="10">
        <f t="shared" si="134"/>
        <v>44116</v>
      </c>
      <c r="D2811">
        <v>2009467</v>
      </c>
      <c r="E2811" t="s">
        <v>144</v>
      </c>
      <c r="F2811" s="6">
        <v>44120</v>
      </c>
      <c r="H2811" t="s">
        <v>188</v>
      </c>
      <c r="I2811" t="s">
        <v>120</v>
      </c>
    </row>
    <row r="2812" spans="1:9" x14ac:dyDescent="0.25">
      <c r="A2812" s="8" t="str">
        <f t="shared" si="132"/>
        <v>2009468.XP0</v>
      </c>
      <c r="B2812" s="9" t="str">
        <f t="shared" si="133"/>
        <v/>
      </c>
      <c r="C2812" s="10">
        <f t="shared" si="134"/>
        <v>44102</v>
      </c>
      <c r="D2812">
        <v>2009468</v>
      </c>
      <c r="E2812" t="s">
        <v>181</v>
      </c>
      <c r="F2812" s="6">
        <v>44106</v>
      </c>
      <c r="H2812" t="s">
        <v>188</v>
      </c>
      <c r="I2812" t="s">
        <v>120</v>
      </c>
    </row>
    <row r="2813" spans="1:9" x14ac:dyDescent="0.25">
      <c r="A2813" s="8" t="str">
        <f t="shared" si="132"/>
        <v>2009469.HP1</v>
      </c>
      <c r="B2813" s="9" t="str">
        <f t="shared" si="133"/>
        <v/>
      </c>
      <c r="C2813" s="10">
        <f t="shared" si="134"/>
        <v>44116</v>
      </c>
      <c r="D2813">
        <v>2009469</v>
      </c>
      <c r="E2813" t="s">
        <v>129</v>
      </c>
      <c r="F2813" s="6">
        <v>44120</v>
      </c>
      <c r="H2813" t="s">
        <v>188</v>
      </c>
      <c r="I2813" t="s">
        <v>120</v>
      </c>
    </row>
    <row r="2814" spans="1:9" x14ac:dyDescent="0.25">
      <c r="A2814" s="8" t="str">
        <f t="shared" si="132"/>
        <v>2009470.Z01</v>
      </c>
      <c r="B2814" s="9" t="str">
        <f t="shared" si="133"/>
        <v>1</v>
      </c>
      <c r="C2814" s="10">
        <f t="shared" si="134"/>
        <v>44116</v>
      </c>
      <c r="D2814">
        <v>2009470</v>
      </c>
      <c r="E2814" t="s">
        <v>135</v>
      </c>
      <c r="F2814" s="6">
        <v>44120</v>
      </c>
      <c r="G2814">
        <v>1</v>
      </c>
      <c r="H2814" t="s">
        <v>188</v>
      </c>
      <c r="I2814" t="s">
        <v>120</v>
      </c>
    </row>
    <row r="2815" spans="1:9" x14ac:dyDescent="0.25">
      <c r="A2815" s="8" t="str">
        <f t="shared" si="132"/>
        <v>2009470.ZP1</v>
      </c>
      <c r="B2815" s="9" t="str">
        <f t="shared" si="133"/>
        <v>1</v>
      </c>
      <c r="C2815" s="10">
        <f t="shared" si="134"/>
        <v>44116</v>
      </c>
      <c r="D2815">
        <v>2009470</v>
      </c>
      <c r="E2815" t="s">
        <v>141</v>
      </c>
      <c r="F2815" s="6">
        <v>44120</v>
      </c>
      <c r="G2815">
        <v>1</v>
      </c>
      <c r="H2815" t="s">
        <v>188</v>
      </c>
      <c r="I2815" t="s">
        <v>120</v>
      </c>
    </row>
    <row r="2816" spans="1:9" x14ac:dyDescent="0.25">
      <c r="A2816" s="8" t="str">
        <f t="shared" si="132"/>
        <v>2009471.0P0</v>
      </c>
      <c r="B2816" s="9" t="str">
        <f t="shared" si="133"/>
        <v>1</v>
      </c>
      <c r="C2816" s="10">
        <f t="shared" si="134"/>
        <v>44095</v>
      </c>
      <c r="D2816">
        <v>2009471</v>
      </c>
      <c r="E2816" t="s">
        <v>119</v>
      </c>
      <c r="F2816" s="6">
        <v>44099</v>
      </c>
      <c r="G2816">
        <v>1</v>
      </c>
      <c r="H2816" t="s">
        <v>188</v>
      </c>
      <c r="I2816" t="s">
        <v>120</v>
      </c>
    </row>
    <row r="2817" spans="1:9" x14ac:dyDescent="0.25">
      <c r="A2817" s="8" t="str">
        <f t="shared" si="132"/>
        <v>2009472.000</v>
      </c>
      <c r="B2817" s="9" t="str">
        <f t="shared" si="133"/>
        <v>1</v>
      </c>
      <c r="C2817" s="10">
        <f t="shared" si="134"/>
        <v>44095</v>
      </c>
      <c r="D2817">
        <v>2009472</v>
      </c>
      <c r="E2817">
        <v>0</v>
      </c>
      <c r="F2817" s="6">
        <v>44099</v>
      </c>
      <c r="G2817">
        <v>1</v>
      </c>
      <c r="H2817" t="s">
        <v>188</v>
      </c>
      <c r="I2817" t="s">
        <v>120</v>
      </c>
    </row>
    <row r="2818" spans="1:9" x14ac:dyDescent="0.25">
      <c r="A2818" s="8" t="str">
        <f t="shared" si="132"/>
        <v>2009473.000</v>
      </c>
      <c r="B2818" s="9" t="str">
        <f t="shared" si="133"/>
        <v>1</v>
      </c>
      <c r="C2818" s="10">
        <f t="shared" si="134"/>
        <v>44095</v>
      </c>
      <c r="D2818">
        <v>2009473</v>
      </c>
      <c r="E2818">
        <v>0</v>
      </c>
      <c r="F2818" s="6">
        <v>44099</v>
      </c>
      <c r="G2818">
        <v>1</v>
      </c>
      <c r="H2818" t="s">
        <v>188</v>
      </c>
      <c r="I2818" t="s">
        <v>120</v>
      </c>
    </row>
    <row r="2819" spans="1:9" x14ac:dyDescent="0.25">
      <c r="A2819" s="8" t="str">
        <f t="shared" si="132"/>
        <v>2009473.0P0</v>
      </c>
      <c r="B2819" s="9" t="str">
        <f t="shared" si="133"/>
        <v>1</v>
      </c>
      <c r="C2819" s="10">
        <f t="shared" si="134"/>
        <v>44095</v>
      </c>
      <c r="D2819">
        <v>2009473</v>
      </c>
      <c r="E2819" t="s">
        <v>119</v>
      </c>
      <c r="F2819" s="6">
        <v>44099</v>
      </c>
      <c r="G2819">
        <v>1</v>
      </c>
      <c r="H2819" t="s">
        <v>188</v>
      </c>
      <c r="I2819" t="s">
        <v>120</v>
      </c>
    </row>
    <row r="2820" spans="1:9" x14ac:dyDescent="0.25">
      <c r="A2820" s="8" t="str">
        <f t="shared" si="132"/>
        <v>2009474.0P0</v>
      </c>
      <c r="B2820" s="9" t="str">
        <f t="shared" si="133"/>
        <v>1</v>
      </c>
      <c r="C2820" s="10">
        <f t="shared" si="134"/>
        <v>44095</v>
      </c>
      <c r="D2820">
        <v>2009474</v>
      </c>
      <c r="E2820" t="s">
        <v>119</v>
      </c>
      <c r="F2820" s="6">
        <v>44099</v>
      </c>
      <c r="G2820">
        <v>1</v>
      </c>
      <c r="H2820" t="s">
        <v>188</v>
      </c>
      <c r="I2820" t="s">
        <v>120</v>
      </c>
    </row>
    <row r="2821" spans="1:9" x14ac:dyDescent="0.25">
      <c r="A2821" s="8" t="str">
        <f t="shared" si="132"/>
        <v>2009474.000</v>
      </c>
      <c r="B2821" s="9" t="str">
        <f t="shared" si="133"/>
        <v>1</v>
      </c>
      <c r="C2821" s="10">
        <f t="shared" si="134"/>
        <v>44095</v>
      </c>
      <c r="D2821">
        <v>2009474</v>
      </c>
      <c r="E2821">
        <v>0</v>
      </c>
      <c r="F2821" s="6">
        <v>44099</v>
      </c>
      <c r="G2821">
        <v>1</v>
      </c>
      <c r="H2821" t="s">
        <v>188</v>
      </c>
      <c r="I2821" t="s">
        <v>120</v>
      </c>
    </row>
    <row r="2822" spans="1:9" x14ac:dyDescent="0.25">
      <c r="A2822" s="8" t="str">
        <f t="shared" si="132"/>
        <v>2009475.000</v>
      </c>
      <c r="B2822" s="9" t="str">
        <f t="shared" si="133"/>
        <v>1</v>
      </c>
      <c r="C2822" s="10">
        <f t="shared" si="134"/>
        <v>44095</v>
      </c>
      <c r="D2822">
        <v>2009475</v>
      </c>
      <c r="E2822">
        <v>0</v>
      </c>
      <c r="F2822" s="6">
        <v>44099</v>
      </c>
      <c r="G2822">
        <v>1</v>
      </c>
      <c r="H2822" t="s">
        <v>188</v>
      </c>
      <c r="I2822" t="s">
        <v>120</v>
      </c>
    </row>
    <row r="2823" spans="1:9" x14ac:dyDescent="0.25">
      <c r="A2823" s="8" t="str">
        <f t="shared" si="132"/>
        <v>2009476.TP0</v>
      </c>
      <c r="B2823" s="9" t="str">
        <f t="shared" si="133"/>
        <v/>
      </c>
      <c r="C2823" s="10">
        <f t="shared" si="134"/>
        <v>44109</v>
      </c>
      <c r="D2823">
        <v>2009476</v>
      </c>
      <c r="E2823" t="s">
        <v>184</v>
      </c>
      <c r="F2823" s="6">
        <v>44113</v>
      </c>
      <c r="H2823" t="s">
        <v>188</v>
      </c>
      <c r="I2823" t="s">
        <v>120</v>
      </c>
    </row>
    <row r="2824" spans="1:9" x14ac:dyDescent="0.25">
      <c r="A2824" s="8" t="str">
        <f t="shared" si="132"/>
        <v>2009477.000</v>
      </c>
      <c r="B2824" s="9" t="str">
        <f t="shared" si="133"/>
        <v>1</v>
      </c>
      <c r="C2824" s="10">
        <f t="shared" si="134"/>
        <v>44095</v>
      </c>
      <c r="D2824">
        <v>2009477</v>
      </c>
      <c r="E2824">
        <v>0</v>
      </c>
      <c r="F2824" s="6">
        <v>44099</v>
      </c>
      <c r="G2824">
        <v>1</v>
      </c>
      <c r="H2824" t="s">
        <v>188</v>
      </c>
      <c r="I2824" t="s">
        <v>120</v>
      </c>
    </row>
    <row r="2825" spans="1:9" x14ac:dyDescent="0.25">
      <c r="A2825" s="8" t="str">
        <f t="shared" si="132"/>
        <v/>
      </c>
      <c r="B2825" s="9" t="str">
        <f t="shared" si="133"/>
        <v/>
      </c>
      <c r="C2825" s="10" t="str">
        <f t="shared" si="134"/>
        <v/>
      </c>
    </row>
    <row r="2826" spans="1:9" x14ac:dyDescent="0.25">
      <c r="A2826" s="8" t="str">
        <f t="shared" si="132"/>
        <v/>
      </c>
      <c r="B2826" s="9" t="str">
        <f t="shared" si="133"/>
        <v/>
      </c>
      <c r="C2826" s="10" t="str">
        <f t="shared" si="134"/>
        <v/>
      </c>
    </row>
    <row r="2827" spans="1:9" x14ac:dyDescent="0.25">
      <c r="A2827" s="8" t="str">
        <f t="shared" si="132"/>
        <v/>
      </c>
      <c r="B2827" s="9" t="str">
        <f t="shared" si="133"/>
        <v/>
      </c>
      <c r="C2827" s="10" t="str">
        <f t="shared" si="134"/>
        <v/>
      </c>
    </row>
    <row r="2828" spans="1:9" x14ac:dyDescent="0.25">
      <c r="A2828" s="8" t="str">
        <f t="shared" si="132"/>
        <v/>
      </c>
      <c r="B2828" s="9" t="str">
        <f t="shared" si="133"/>
        <v/>
      </c>
      <c r="C2828" s="10" t="str">
        <f t="shared" si="134"/>
        <v/>
      </c>
    </row>
    <row r="2829" spans="1:9" x14ac:dyDescent="0.25">
      <c r="A2829" s="8" t="str">
        <f t="shared" si="132"/>
        <v/>
      </c>
      <c r="B2829" s="9" t="str">
        <f t="shared" si="133"/>
        <v/>
      </c>
      <c r="C2829" s="10" t="str">
        <f t="shared" si="134"/>
        <v/>
      </c>
    </row>
    <row r="2830" spans="1:9" x14ac:dyDescent="0.25">
      <c r="A2830" s="8" t="str">
        <f t="shared" si="132"/>
        <v/>
      </c>
      <c r="B2830" s="9" t="str">
        <f t="shared" si="133"/>
        <v/>
      </c>
      <c r="C2830" s="10" t="str">
        <f t="shared" si="134"/>
        <v/>
      </c>
    </row>
    <row r="2831" spans="1:9" x14ac:dyDescent="0.25">
      <c r="A2831" s="8" t="str">
        <f t="shared" si="132"/>
        <v/>
      </c>
      <c r="B2831" s="9" t="str">
        <f t="shared" si="133"/>
        <v/>
      </c>
      <c r="C2831" s="10" t="str">
        <f t="shared" si="134"/>
        <v/>
      </c>
    </row>
    <row r="2832" spans="1:9" x14ac:dyDescent="0.25">
      <c r="A2832" s="8" t="str">
        <f t="shared" si="132"/>
        <v/>
      </c>
      <c r="B2832" s="9" t="str">
        <f t="shared" si="133"/>
        <v/>
      </c>
      <c r="C2832" s="10" t="str">
        <f t="shared" si="134"/>
        <v/>
      </c>
    </row>
    <row r="2833" spans="1:3" x14ac:dyDescent="0.25">
      <c r="A2833" s="8" t="str">
        <f t="shared" si="132"/>
        <v/>
      </c>
      <c r="B2833" s="9" t="str">
        <f t="shared" si="133"/>
        <v/>
      </c>
      <c r="C2833" s="10" t="str">
        <f t="shared" si="134"/>
        <v/>
      </c>
    </row>
    <row r="2834" spans="1:3" x14ac:dyDescent="0.25">
      <c r="A2834" s="8" t="str">
        <f t="shared" si="132"/>
        <v/>
      </c>
      <c r="B2834" s="9" t="str">
        <f t="shared" si="133"/>
        <v/>
      </c>
      <c r="C2834" s="10" t="str">
        <f t="shared" si="134"/>
        <v/>
      </c>
    </row>
    <row r="2835" spans="1:3" x14ac:dyDescent="0.25">
      <c r="A2835" s="8" t="str">
        <f t="shared" si="132"/>
        <v/>
      </c>
      <c r="B2835" s="9" t="str">
        <f t="shared" si="133"/>
        <v/>
      </c>
      <c r="C2835" s="10" t="str">
        <f t="shared" si="134"/>
        <v/>
      </c>
    </row>
    <row r="2836" spans="1:3" x14ac:dyDescent="0.25">
      <c r="A2836" s="8" t="str">
        <f t="shared" si="132"/>
        <v/>
      </c>
      <c r="B2836" s="9" t="str">
        <f t="shared" si="133"/>
        <v/>
      </c>
      <c r="C2836" s="10" t="str">
        <f t="shared" si="134"/>
        <v/>
      </c>
    </row>
    <row r="2837" spans="1:3" x14ac:dyDescent="0.25">
      <c r="A2837" s="8" t="str">
        <f t="shared" si="132"/>
        <v/>
      </c>
      <c r="B2837" s="9" t="str">
        <f t="shared" si="133"/>
        <v/>
      </c>
      <c r="C2837" s="10" t="str">
        <f t="shared" si="134"/>
        <v/>
      </c>
    </row>
    <row r="2838" spans="1:3" x14ac:dyDescent="0.25">
      <c r="A2838" s="8" t="str">
        <f t="shared" si="132"/>
        <v/>
      </c>
      <c r="B2838" s="9" t="str">
        <f t="shared" si="133"/>
        <v/>
      </c>
      <c r="C2838" s="10" t="str">
        <f t="shared" si="134"/>
        <v/>
      </c>
    </row>
    <row r="2839" spans="1:3" x14ac:dyDescent="0.25">
      <c r="A2839" s="8" t="str">
        <f t="shared" si="132"/>
        <v/>
      </c>
      <c r="B2839" s="9" t="str">
        <f t="shared" si="133"/>
        <v/>
      </c>
      <c r="C2839" s="10" t="str">
        <f t="shared" si="134"/>
        <v/>
      </c>
    </row>
    <row r="2840" spans="1:3" x14ac:dyDescent="0.25">
      <c r="A2840" s="8" t="str">
        <f t="shared" si="132"/>
        <v/>
      </c>
      <c r="B2840" s="9" t="str">
        <f t="shared" si="133"/>
        <v/>
      </c>
      <c r="C2840" s="10" t="str">
        <f t="shared" si="134"/>
        <v/>
      </c>
    </row>
    <row r="2841" spans="1:3" x14ac:dyDescent="0.25">
      <c r="A2841" s="8" t="str">
        <f t="shared" si="132"/>
        <v/>
      </c>
      <c r="B2841" s="9" t="str">
        <f t="shared" si="133"/>
        <v/>
      </c>
      <c r="C2841" s="10" t="str">
        <f t="shared" si="134"/>
        <v/>
      </c>
    </row>
    <row r="2842" spans="1:3" x14ac:dyDescent="0.25">
      <c r="A2842" s="8" t="str">
        <f t="shared" si="132"/>
        <v/>
      </c>
      <c r="B2842" s="9" t="str">
        <f t="shared" si="133"/>
        <v/>
      </c>
      <c r="C2842" s="10" t="str">
        <f t="shared" si="134"/>
        <v/>
      </c>
    </row>
    <row r="2843" spans="1:3" x14ac:dyDescent="0.25">
      <c r="A2843" s="8" t="str">
        <f t="shared" si="132"/>
        <v/>
      </c>
      <c r="B2843" s="9" t="str">
        <f t="shared" si="133"/>
        <v/>
      </c>
      <c r="C2843" s="10" t="str">
        <f t="shared" si="134"/>
        <v/>
      </c>
    </row>
    <row r="2844" spans="1:3" x14ac:dyDescent="0.25">
      <c r="A2844" s="8" t="str">
        <f t="shared" si="132"/>
        <v/>
      </c>
      <c r="B2844" s="9" t="str">
        <f t="shared" si="133"/>
        <v/>
      </c>
      <c r="C2844" s="10" t="str">
        <f t="shared" si="134"/>
        <v/>
      </c>
    </row>
    <row r="2845" spans="1:3" x14ac:dyDescent="0.25">
      <c r="A2845" s="8" t="str">
        <f t="shared" si="132"/>
        <v/>
      </c>
      <c r="B2845" s="9" t="str">
        <f t="shared" si="133"/>
        <v/>
      </c>
      <c r="C2845" s="10" t="str">
        <f t="shared" si="134"/>
        <v/>
      </c>
    </row>
    <row r="2846" spans="1:3" x14ac:dyDescent="0.25">
      <c r="A2846" s="8" t="str">
        <f t="shared" si="132"/>
        <v/>
      </c>
      <c r="B2846" s="9" t="str">
        <f t="shared" si="133"/>
        <v/>
      </c>
      <c r="C2846" s="10" t="str">
        <f t="shared" si="134"/>
        <v/>
      </c>
    </row>
    <row r="2847" spans="1:3" x14ac:dyDescent="0.25">
      <c r="A2847" s="8" t="str">
        <f t="shared" si="132"/>
        <v/>
      </c>
      <c r="B2847" s="9" t="str">
        <f t="shared" si="133"/>
        <v/>
      </c>
      <c r="C2847" s="10" t="str">
        <f t="shared" si="134"/>
        <v/>
      </c>
    </row>
    <row r="2848" spans="1:3" x14ac:dyDescent="0.25">
      <c r="A2848" s="8" t="str">
        <f t="shared" si="132"/>
        <v/>
      </c>
      <c r="B2848" s="9" t="str">
        <f t="shared" si="133"/>
        <v/>
      </c>
      <c r="C2848" s="10" t="str">
        <f t="shared" si="134"/>
        <v/>
      </c>
    </row>
    <row r="2849" spans="1:3" x14ac:dyDescent="0.25">
      <c r="A2849" s="8" t="str">
        <f t="shared" si="132"/>
        <v/>
      </c>
      <c r="B2849" s="9" t="str">
        <f t="shared" si="133"/>
        <v/>
      </c>
      <c r="C2849" s="10" t="str">
        <f t="shared" si="134"/>
        <v/>
      </c>
    </row>
    <row r="2850" spans="1:3" x14ac:dyDescent="0.25">
      <c r="A2850" s="8" t="str">
        <f t="shared" si="132"/>
        <v/>
      </c>
      <c r="B2850" s="9" t="str">
        <f t="shared" si="133"/>
        <v/>
      </c>
      <c r="C2850" s="10" t="str">
        <f t="shared" si="134"/>
        <v/>
      </c>
    </row>
    <row r="2851" spans="1:3" x14ac:dyDescent="0.25">
      <c r="A2851" s="8" t="str">
        <f t="shared" si="132"/>
        <v/>
      </c>
      <c r="B2851" s="9" t="str">
        <f t="shared" si="133"/>
        <v/>
      </c>
      <c r="C2851" s="10" t="str">
        <f t="shared" si="134"/>
        <v/>
      </c>
    </row>
    <row r="2852" spans="1:3" x14ac:dyDescent="0.25">
      <c r="A2852" s="8" t="str">
        <f t="shared" si="132"/>
        <v/>
      </c>
      <c r="B2852" s="9" t="str">
        <f t="shared" si="133"/>
        <v/>
      </c>
      <c r="C2852" s="10" t="str">
        <f t="shared" si="134"/>
        <v/>
      </c>
    </row>
    <row r="2853" spans="1:3" x14ac:dyDescent="0.25">
      <c r="A2853" s="8" t="str">
        <f t="shared" si="132"/>
        <v/>
      </c>
      <c r="B2853" s="9" t="str">
        <f t="shared" si="133"/>
        <v/>
      </c>
      <c r="C2853" s="10" t="str">
        <f t="shared" si="134"/>
        <v/>
      </c>
    </row>
    <row r="2854" spans="1:3" x14ac:dyDescent="0.25">
      <c r="A2854" s="8" t="str">
        <f t="shared" si="132"/>
        <v/>
      </c>
      <c r="B2854" s="9" t="str">
        <f t="shared" si="133"/>
        <v/>
      </c>
      <c r="C2854" s="10" t="str">
        <f t="shared" si="134"/>
        <v/>
      </c>
    </row>
    <row r="2855" spans="1:3" x14ac:dyDescent="0.25">
      <c r="A2855" s="8" t="str">
        <f t="shared" ref="A2855:A2918" si="135">IF(D2855="","",IF(E2855=0,CONCATENATE(D2855,".",E2855,"00"),CONCATENATE(D2855,".",E2855)))</f>
        <v/>
      </c>
      <c r="B2855" s="9" t="str">
        <f t="shared" ref="B2855:B2918" si="136">LEFT(G2855,1)</f>
        <v/>
      </c>
      <c r="C2855" s="10" t="str">
        <f t="shared" ref="C2855:C2918" si="137">IF(F2855="","",IF(B2855="",F2855-4,IF(B2855="1",F2855-4,IF(B2855="2",F2855-3,IF(B2855="3",F2855-2,IF(B2855="4",F2855-1,IF(B2855="V",F2855-7,IF(B2855="J",F2855-8,F2855))))))))</f>
        <v/>
      </c>
    </row>
    <row r="2856" spans="1:3" x14ac:dyDescent="0.25">
      <c r="A2856" s="8" t="str">
        <f t="shared" si="135"/>
        <v/>
      </c>
      <c r="B2856" s="9" t="str">
        <f t="shared" si="136"/>
        <v/>
      </c>
      <c r="C2856" s="10" t="str">
        <f t="shared" si="137"/>
        <v/>
      </c>
    </row>
    <row r="2857" spans="1:3" x14ac:dyDescent="0.25">
      <c r="A2857" s="8" t="str">
        <f t="shared" si="135"/>
        <v/>
      </c>
      <c r="B2857" s="9" t="str">
        <f t="shared" si="136"/>
        <v/>
      </c>
      <c r="C2857" s="10" t="str">
        <f t="shared" si="137"/>
        <v/>
      </c>
    </row>
    <row r="2858" spans="1:3" x14ac:dyDescent="0.25">
      <c r="A2858" s="8" t="str">
        <f t="shared" si="135"/>
        <v/>
      </c>
      <c r="B2858" s="9" t="str">
        <f t="shared" si="136"/>
        <v/>
      </c>
      <c r="C2858" s="10" t="str">
        <f t="shared" si="137"/>
        <v/>
      </c>
    </row>
    <row r="2859" spans="1:3" x14ac:dyDescent="0.25">
      <c r="A2859" s="8" t="str">
        <f t="shared" si="135"/>
        <v/>
      </c>
      <c r="B2859" s="9" t="str">
        <f t="shared" si="136"/>
        <v/>
      </c>
      <c r="C2859" s="10" t="str">
        <f t="shared" si="137"/>
        <v/>
      </c>
    </row>
    <row r="2860" spans="1:3" x14ac:dyDescent="0.25">
      <c r="A2860" s="8" t="str">
        <f t="shared" si="135"/>
        <v/>
      </c>
      <c r="B2860" s="9" t="str">
        <f t="shared" si="136"/>
        <v/>
      </c>
      <c r="C2860" s="10" t="str">
        <f t="shared" si="137"/>
        <v/>
      </c>
    </row>
    <row r="2861" spans="1:3" x14ac:dyDescent="0.25">
      <c r="A2861" s="8" t="str">
        <f t="shared" si="135"/>
        <v/>
      </c>
      <c r="B2861" s="9" t="str">
        <f t="shared" si="136"/>
        <v/>
      </c>
      <c r="C2861" s="10" t="str">
        <f t="shared" si="137"/>
        <v/>
      </c>
    </row>
    <row r="2862" spans="1:3" x14ac:dyDescent="0.25">
      <c r="A2862" s="8" t="str">
        <f t="shared" si="135"/>
        <v/>
      </c>
      <c r="B2862" s="9" t="str">
        <f t="shared" si="136"/>
        <v/>
      </c>
      <c r="C2862" s="10" t="str">
        <f t="shared" si="137"/>
        <v/>
      </c>
    </row>
    <row r="2863" spans="1:3" x14ac:dyDescent="0.25">
      <c r="A2863" s="8" t="str">
        <f t="shared" si="135"/>
        <v/>
      </c>
      <c r="B2863" s="9" t="str">
        <f t="shared" si="136"/>
        <v/>
      </c>
      <c r="C2863" s="10" t="str">
        <f t="shared" si="137"/>
        <v/>
      </c>
    </row>
    <row r="2864" spans="1:3" x14ac:dyDescent="0.25">
      <c r="A2864" s="8" t="str">
        <f t="shared" si="135"/>
        <v/>
      </c>
      <c r="B2864" s="9" t="str">
        <f t="shared" si="136"/>
        <v/>
      </c>
      <c r="C2864" s="10" t="str">
        <f t="shared" si="137"/>
        <v/>
      </c>
    </row>
    <row r="2865" spans="1:3" x14ac:dyDescent="0.25">
      <c r="A2865" s="8" t="str">
        <f t="shared" si="135"/>
        <v/>
      </c>
      <c r="B2865" s="9" t="str">
        <f t="shared" si="136"/>
        <v/>
      </c>
      <c r="C2865" s="10" t="str">
        <f t="shared" si="137"/>
        <v/>
      </c>
    </row>
    <row r="2866" spans="1:3" x14ac:dyDescent="0.25">
      <c r="A2866" s="8" t="str">
        <f t="shared" si="135"/>
        <v/>
      </c>
      <c r="B2866" s="9" t="str">
        <f t="shared" si="136"/>
        <v/>
      </c>
      <c r="C2866" s="10" t="str">
        <f t="shared" si="137"/>
        <v/>
      </c>
    </row>
    <row r="2867" spans="1:3" x14ac:dyDescent="0.25">
      <c r="A2867" s="8" t="str">
        <f t="shared" si="135"/>
        <v/>
      </c>
      <c r="B2867" s="9" t="str">
        <f t="shared" si="136"/>
        <v/>
      </c>
      <c r="C2867" s="10" t="str">
        <f t="shared" si="137"/>
        <v/>
      </c>
    </row>
    <row r="2868" spans="1:3" x14ac:dyDescent="0.25">
      <c r="A2868" s="8" t="str">
        <f t="shared" si="135"/>
        <v/>
      </c>
      <c r="B2868" s="9" t="str">
        <f t="shared" si="136"/>
        <v/>
      </c>
      <c r="C2868" s="10" t="str">
        <f t="shared" si="137"/>
        <v/>
      </c>
    </row>
    <row r="2869" spans="1:3" x14ac:dyDescent="0.25">
      <c r="A2869" s="8" t="str">
        <f t="shared" si="135"/>
        <v/>
      </c>
      <c r="B2869" s="9" t="str">
        <f t="shared" si="136"/>
        <v/>
      </c>
      <c r="C2869" s="10" t="str">
        <f t="shared" si="137"/>
        <v/>
      </c>
    </row>
    <row r="2870" spans="1:3" x14ac:dyDescent="0.25">
      <c r="A2870" s="8" t="str">
        <f t="shared" si="135"/>
        <v/>
      </c>
      <c r="B2870" s="9" t="str">
        <f t="shared" si="136"/>
        <v/>
      </c>
      <c r="C2870" s="10" t="str">
        <f t="shared" si="137"/>
        <v/>
      </c>
    </row>
    <row r="2871" spans="1:3" x14ac:dyDescent="0.25">
      <c r="A2871" s="8" t="str">
        <f t="shared" si="135"/>
        <v/>
      </c>
      <c r="B2871" s="9" t="str">
        <f t="shared" si="136"/>
        <v/>
      </c>
      <c r="C2871" s="10" t="str">
        <f t="shared" si="137"/>
        <v/>
      </c>
    </row>
    <row r="2872" spans="1:3" x14ac:dyDescent="0.25">
      <c r="A2872" s="8" t="str">
        <f t="shared" si="135"/>
        <v/>
      </c>
      <c r="B2872" s="9" t="str">
        <f t="shared" si="136"/>
        <v/>
      </c>
      <c r="C2872" s="10" t="str">
        <f t="shared" si="137"/>
        <v/>
      </c>
    </row>
    <row r="2873" spans="1:3" x14ac:dyDescent="0.25">
      <c r="A2873" s="8" t="str">
        <f t="shared" si="135"/>
        <v/>
      </c>
      <c r="B2873" s="9" t="str">
        <f t="shared" si="136"/>
        <v/>
      </c>
      <c r="C2873" s="10" t="str">
        <f t="shared" si="137"/>
        <v/>
      </c>
    </row>
    <row r="2874" spans="1:3" x14ac:dyDescent="0.25">
      <c r="A2874" s="8" t="str">
        <f t="shared" si="135"/>
        <v/>
      </c>
      <c r="B2874" s="9" t="str">
        <f t="shared" si="136"/>
        <v/>
      </c>
      <c r="C2874" s="10" t="str">
        <f t="shared" si="137"/>
        <v/>
      </c>
    </row>
    <row r="2875" spans="1:3" x14ac:dyDescent="0.25">
      <c r="A2875" s="8" t="str">
        <f t="shared" si="135"/>
        <v/>
      </c>
      <c r="B2875" s="9" t="str">
        <f t="shared" si="136"/>
        <v/>
      </c>
      <c r="C2875" s="10" t="str">
        <f t="shared" si="137"/>
        <v/>
      </c>
    </row>
    <row r="2876" spans="1:3" x14ac:dyDescent="0.25">
      <c r="A2876" s="8" t="str">
        <f t="shared" si="135"/>
        <v/>
      </c>
      <c r="B2876" s="9" t="str">
        <f t="shared" si="136"/>
        <v/>
      </c>
      <c r="C2876" s="10" t="str">
        <f t="shared" si="137"/>
        <v/>
      </c>
    </row>
    <row r="2877" spans="1:3" x14ac:dyDescent="0.25">
      <c r="A2877" s="8" t="str">
        <f t="shared" si="135"/>
        <v/>
      </c>
      <c r="B2877" s="9" t="str">
        <f t="shared" si="136"/>
        <v/>
      </c>
      <c r="C2877" s="10" t="str">
        <f t="shared" si="137"/>
        <v/>
      </c>
    </row>
    <row r="2878" spans="1:3" x14ac:dyDescent="0.25">
      <c r="A2878" s="8" t="str">
        <f t="shared" si="135"/>
        <v/>
      </c>
      <c r="B2878" s="9" t="str">
        <f t="shared" si="136"/>
        <v/>
      </c>
      <c r="C2878" s="10" t="str">
        <f t="shared" si="137"/>
        <v/>
      </c>
    </row>
    <row r="2879" spans="1:3" x14ac:dyDescent="0.25">
      <c r="A2879" s="8" t="str">
        <f t="shared" si="135"/>
        <v/>
      </c>
      <c r="B2879" s="9" t="str">
        <f t="shared" si="136"/>
        <v/>
      </c>
      <c r="C2879" s="10" t="str">
        <f t="shared" si="137"/>
        <v/>
      </c>
    </row>
    <row r="2880" spans="1:3" x14ac:dyDescent="0.25">
      <c r="A2880" s="8" t="str">
        <f t="shared" si="135"/>
        <v/>
      </c>
      <c r="B2880" s="9" t="str">
        <f t="shared" si="136"/>
        <v/>
      </c>
      <c r="C2880" s="10" t="str">
        <f t="shared" si="137"/>
        <v/>
      </c>
    </row>
    <row r="2881" spans="1:3" x14ac:dyDescent="0.25">
      <c r="A2881" s="8" t="str">
        <f t="shared" si="135"/>
        <v/>
      </c>
      <c r="B2881" s="9" t="str">
        <f t="shared" si="136"/>
        <v/>
      </c>
      <c r="C2881" s="10" t="str">
        <f t="shared" si="137"/>
        <v/>
      </c>
    </row>
    <row r="2882" spans="1:3" x14ac:dyDescent="0.25">
      <c r="A2882" s="8" t="str">
        <f t="shared" si="135"/>
        <v/>
      </c>
      <c r="B2882" s="9" t="str">
        <f t="shared" si="136"/>
        <v/>
      </c>
      <c r="C2882" s="10" t="str">
        <f t="shared" si="137"/>
        <v/>
      </c>
    </row>
    <row r="2883" spans="1:3" x14ac:dyDescent="0.25">
      <c r="A2883" s="8" t="str">
        <f t="shared" si="135"/>
        <v/>
      </c>
      <c r="B2883" s="9" t="str">
        <f t="shared" si="136"/>
        <v/>
      </c>
      <c r="C2883" s="10" t="str">
        <f t="shared" si="137"/>
        <v/>
      </c>
    </row>
    <row r="2884" spans="1:3" x14ac:dyDescent="0.25">
      <c r="A2884" s="8" t="str">
        <f t="shared" si="135"/>
        <v/>
      </c>
      <c r="B2884" s="9" t="str">
        <f t="shared" si="136"/>
        <v/>
      </c>
      <c r="C2884" s="10" t="str">
        <f t="shared" si="137"/>
        <v/>
      </c>
    </row>
    <row r="2885" spans="1:3" x14ac:dyDescent="0.25">
      <c r="A2885" s="8" t="str">
        <f t="shared" si="135"/>
        <v/>
      </c>
      <c r="B2885" s="9" t="str">
        <f t="shared" si="136"/>
        <v/>
      </c>
      <c r="C2885" s="10" t="str">
        <f t="shared" si="137"/>
        <v/>
      </c>
    </row>
    <row r="2886" spans="1:3" x14ac:dyDescent="0.25">
      <c r="A2886" s="8" t="str">
        <f t="shared" si="135"/>
        <v/>
      </c>
      <c r="B2886" s="9" t="str">
        <f t="shared" si="136"/>
        <v/>
      </c>
      <c r="C2886" s="10" t="str">
        <f t="shared" si="137"/>
        <v/>
      </c>
    </row>
    <row r="2887" spans="1:3" x14ac:dyDescent="0.25">
      <c r="A2887" s="8" t="str">
        <f t="shared" si="135"/>
        <v/>
      </c>
      <c r="B2887" s="9" t="str">
        <f t="shared" si="136"/>
        <v/>
      </c>
      <c r="C2887" s="10" t="str">
        <f t="shared" si="137"/>
        <v/>
      </c>
    </row>
    <row r="2888" spans="1:3" x14ac:dyDescent="0.25">
      <c r="A2888" s="8" t="str">
        <f t="shared" si="135"/>
        <v/>
      </c>
      <c r="B2888" s="9" t="str">
        <f t="shared" si="136"/>
        <v/>
      </c>
      <c r="C2888" s="10" t="str">
        <f t="shared" si="137"/>
        <v/>
      </c>
    </row>
    <row r="2889" spans="1:3" x14ac:dyDescent="0.25">
      <c r="A2889" s="8" t="str">
        <f t="shared" si="135"/>
        <v/>
      </c>
      <c r="B2889" s="9" t="str">
        <f t="shared" si="136"/>
        <v/>
      </c>
      <c r="C2889" s="10" t="str">
        <f t="shared" si="137"/>
        <v/>
      </c>
    </row>
    <row r="2890" spans="1:3" x14ac:dyDescent="0.25">
      <c r="A2890" s="8" t="str">
        <f t="shared" si="135"/>
        <v/>
      </c>
      <c r="B2890" s="9" t="str">
        <f t="shared" si="136"/>
        <v/>
      </c>
      <c r="C2890" s="10" t="str">
        <f t="shared" si="137"/>
        <v/>
      </c>
    </row>
    <row r="2891" spans="1:3" x14ac:dyDescent="0.25">
      <c r="A2891" s="8" t="str">
        <f t="shared" si="135"/>
        <v/>
      </c>
      <c r="B2891" s="9" t="str">
        <f t="shared" si="136"/>
        <v/>
      </c>
      <c r="C2891" s="10" t="str">
        <f t="shared" si="137"/>
        <v/>
      </c>
    </row>
    <row r="2892" spans="1:3" x14ac:dyDescent="0.25">
      <c r="A2892" s="8" t="str">
        <f t="shared" si="135"/>
        <v/>
      </c>
      <c r="B2892" s="9" t="str">
        <f t="shared" si="136"/>
        <v/>
      </c>
      <c r="C2892" s="10" t="str">
        <f t="shared" si="137"/>
        <v/>
      </c>
    </row>
    <row r="2893" spans="1:3" x14ac:dyDescent="0.25">
      <c r="A2893" s="8" t="str">
        <f t="shared" si="135"/>
        <v/>
      </c>
      <c r="B2893" s="9" t="str">
        <f t="shared" si="136"/>
        <v/>
      </c>
      <c r="C2893" s="10" t="str">
        <f t="shared" si="137"/>
        <v/>
      </c>
    </row>
    <row r="2894" spans="1:3" x14ac:dyDescent="0.25">
      <c r="A2894" s="8" t="str">
        <f t="shared" si="135"/>
        <v/>
      </c>
      <c r="B2894" s="9" t="str">
        <f t="shared" si="136"/>
        <v/>
      </c>
      <c r="C2894" s="10" t="str">
        <f t="shared" si="137"/>
        <v/>
      </c>
    </row>
    <row r="2895" spans="1:3" x14ac:dyDescent="0.25">
      <c r="A2895" s="8" t="str">
        <f t="shared" si="135"/>
        <v/>
      </c>
      <c r="B2895" s="9" t="str">
        <f t="shared" si="136"/>
        <v/>
      </c>
      <c r="C2895" s="10" t="str">
        <f t="shared" si="137"/>
        <v/>
      </c>
    </row>
    <row r="2896" spans="1:3" x14ac:dyDescent="0.25">
      <c r="A2896" s="8" t="str">
        <f t="shared" si="135"/>
        <v/>
      </c>
      <c r="B2896" s="9" t="str">
        <f t="shared" si="136"/>
        <v/>
      </c>
      <c r="C2896" s="10" t="str">
        <f t="shared" si="137"/>
        <v/>
      </c>
    </row>
    <row r="2897" spans="1:3" x14ac:dyDescent="0.25">
      <c r="A2897" s="8" t="str">
        <f t="shared" si="135"/>
        <v/>
      </c>
      <c r="B2897" s="9" t="str">
        <f t="shared" si="136"/>
        <v/>
      </c>
      <c r="C2897" s="10" t="str">
        <f t="shared" si="137"/>
        <v/>
      </c>
    </row>
    <row r="2898" spans="1:3" x14ac:dyDescent="0.25">
      <c r="A2898" s="8" t="str">
        <f t="shared" si="135"/>
        <v/>
      </c>
      <c r="B2898" s="9" t="str">
        <f t="shared" si="136"/>
        <v/>
      </c>
      <c r="C2898" s="10" t="str">
        <f t="shared" si="137"/>
        <v/>
      </c>
    </row>
    <row r="2899" spans="1:3" x14ac:dyDescent="0.25">
      <c r="A2899" s="8" t="str">
        <f t="shared" si="135"/>
        <v/>
      </c>
      <c r="B2899" s="9" t="str">
        <f t="shared" si="136"/>
        <v/>
      </c>
      <c r="C2899" s="10" t="str">
        <f t="shared" si="137"/>
        <v/>
      </c>
    </row>
    <row r="2900" spans="1:3" x14ac:dyDescent="0.25">
      <c r="A2900" s="8" t="str">
        <f t="shared" si="135"/>
        <v/>
      </c>
      <c r="B2900" s="9" t="str">
        <f t="shared" si="136"/>
        <v/>
      </c>
      <c r="C2900" s="10" t="str">
        <f t="shared" si="137"/>
        <v/>
      </c>
    </row>
    <row r="2901" spans="1:3" x14ac:dyDescent="0.25">
      <c r="A2901" s="8" t="str">
        <f t="shared" si="135"/>
        <v/>
      </c>
      <c r="B2901" s="9" t="str">
        <f t="shared" si="136"/>
        <v/>
      </c>
      <c r="C2901" s="10" t="str">
        <f t="shared" si="137"/>
        <v/>
      </c>
    </row>
    <row r="2902" spans="1:3" x14ac:dyDescent="0.25">
      <c r="A2902" s="8" t="str">
        <f t="shared" si="135"/>
        <v/>
      </c>
      <c r="B2902" s="9" t="str">
        <f t="shared" si="136"/>
        <v/>
      </c>
      <c r="C2902" s="10" t="str">
        <f t="shared" si="137"/>
        <v/>
      </c>
    </row>
    <row r="2903" spans="1:3" x14ac:dyDescent="0.25">
      <c r="A2903" s="8" t="str">
        <f t="shared" si="135"/>
        <v/>
      </c>
      <c r="B2903" s="9" t="str">
        <f t="shared" si="136"/>
        <v/>
      </c>
      <c r="C2903" s="10" t="str">
        <f t="shared" si="137"/>
        <v/>
      </c>
    </row>
    <row r="2904" spans="1:3" x14ac:dyDescent="0.25">
      <c r="A2904" s="8" t="str">
        <f t="shared" si="135"/>
        <v/>
      </c>
      <c r="B2904" s="9" t="str">
        <f t="shared" si="136"/>
        <v/>
      </c>
      <c r="C2904" s="10" t="str">
        <f t="shared" si="137"/>
        <v/>
      </c>
    </row>
    <row r="2905" spans="1:3" x14ac:dyDescent="0.25">
      <c r="A2905" s="8" t="str">
        <f t="shared" si="135"/>
        <v/>
      </c>
      <c r="B2905" s="9" t="str">
        <f t="shared" si="136"/>
        <v/>
      </c>
      <c r="C2905" s="10" t="str">
        <f t="shared" si="137"/>
        <v/>
      </c>
    </row>
    <row r="2906" spans="1:3" x14ac:dyDescent="0.25">
      <c r="A2906" s="8" t="str">
        <f t="shared" si="135"/>
        <v/>
      </c>
      <c r="B2906" s="9" t="str">
        <f t="shared" si="136"/>
        <v/>
      </c>
      <c r="C2906" s="10" t="str">
        <f t="shared" si="137"/>
        <v/>
      </c>
    </row>
    <row r="2907" spans="1:3" x14ac:dyDescent="0.25">
      <c r="A2907" s="8" t="str">
        <f t="shared" si="135"/>
        <v/>
      </c>
      <c r="B2907" s="9" t="str">
        <f t="shared" si="136"/>
        <v/>
      </c>
      <c r="C2907" s="10" t="str">
        <f t="shared" si="137"/>
        <v/>
      </c>
    </row>
    <row r="2908" spans="1:3" x14ac:dyDescent="0.25">
      <c r="A2908" s="8" t="str">
        <f t="shared" si="135"/>
        <v/>
      </c>
      <c r="B2908" s="9" t="str">
        <f t="shared" si="136"/>
        <v/>
      </c>
      <c r="C2908" s="10" t="str">
        <f t="shared" si="137"/>
        <v/>
      </c>
    </row>
    <row r="2909" spans="1:3" x14ac:dyDescent="0.25">
      <c r="A2909" s="8" t="str">
        <f t="shared" si="135"/>
        <v/>
      </c>
      <c r="B2909" s="9" t="str">
        <f t="shared" si="136"/>
        <v/>
      </c>
      <c r="C2909" s="10" t="str">
        <f t="shared" si="137"/>
        <v/>
      </c>
    </row>
    <row r="2910" spans="1:3" x14ac:dyDescent="0.25">
      <c r="A2910" s="8" t="str">
        <f t="shared" si="135"/>
        <v/>
      </c>
      <c r="B2910" s="9" t="str">
        <f t="shared" si="136"/>
        <v/>
      </c>
      <c r="C2910" s="10" t="str">
        <f t="shared" si="137"/>
        <v/>
      </c>
    </row>
    <row r="2911" spans="1:3" x14ac:dyDescent="0.25">
      <c r="A2911" s="8" t="str">
        <f t="shared" si="135"/>
        <v/>
      </c>
      <c r="B2911" s="9" t="str">
        <f t="shared" si="136"/>
        <v/>
      </c>
      <c r="C2911" s="10" t="str">
        <f t="shared" si="137"/>
        <v/>
      </c>
    </row>
    <row r="2912" spans="1:3" x14ac:dyDescent="0.25">
      <c r="A2912" s="8" t="str">
        <f t="shared" si="135"/>
        <v/>
      </c>
      <c r="B2912" s="9" t="str">
        <f t="shared" si="136"/>
        <v/>
      </c>
      <c r="C2912" s="10" t="str">
        <f t="shared" si="137"/>
        <v/>
      </c>
    </row>
    <row r="2913" spans="1:3" x14ac:dyDescent="0.25">
      <c r="A2913" s="8" t="str">
        <f t="shared" si="135"/>
        <v/>
      </c>
      <c r="B2913" s="9" t="str">
        <f t="shared" si="136"/>
        <v/>
      </c>
      <c r="C2913" s="10" t="str">
        <f t="shared" si="137"/>
        <v/>
      </c>
    </row>
    <row r="2914" spans="1:3" x14ac:dyDescent="0.25">
      <c r="A2914" s="8" t="str">
        <f t="shared" si="135"/>
        <v/>
      </c>
      <c r="B2914" s="9" t="str">
        <f t="shared" si="136"/>
        <v/>
      </c>
      <c r="C2914" s="10" t="str">
        <f t="shared" si="137"/>
        <v/>
      </c>
    </row>
    <row r="2915" spans="1:3" x14ac:dyDescent="0.25">
      <c r="A2915" s="8" t="str">
        <f t="shared" si="135"/>
        <v/>
      </c>
      <c r="B2915" s="9" t="str">
        <f t="shared" si="136"/>
        <v/>
      </c>
      <c r="C2915" s="10" t="str">
        <f t="shared" si="137"/>
        <v/>
      </c>
    </row>
    <row r="2916" spans="1:3" x14ac:dyDescent="0.25">
      <c r="A2916" s="8" t="str">
        <f t="shared" si="135"/>
        <v/>
      </c>
      <c r="B2916" s="9" t="str">
        <f t="shared" si="136"/>
        <v/>
      </c>
      <c r="C2916" s="10" t="str">
        <f t="shared" si="137"/>
        <v/>
      </c>
    </row>
    <row r="2917" spans="1:3" x14ac:dyDescent="0.25">
      <c r="A2917" s="8" t="str">
        <f t="shared" si="135"/>
        <v/>
      </c>
      <c r="B2917" s="9" t="str">
        <f t="shared" si="136"/>
        <v/>
      </c>
      <c r="C2917" s="10" t="str">
        <f t="shared" si="137"/>
        <v/>
      </c>
    </row>
    <row r="2918" spans="1:3" x14ac:dyDescent="0.25">
      <c r="A2918" s="8" t="str">
        <f t="shared" si="135"/>
        <v/>
      </c>
      <c r="B2918" s="9" t="str">
        <f t="shared" si="136"/>
        <v/>
      </c>
      <c r="C2918" s="10" t="str">
        <f t="shared" si="137"/>
        <v/>
      </c>
    </row>
    <row r="2919" spans="1:3" x14ac:dyDescent="0.25">
      <c r="A2919" s="8" t="str">
        <f t="shared" ref="A2919:A2982" si="138">IF(D2919="","",IF(E2919=0,CONCATENATE(D2919,".",E2919,"00"),CONCATENATE(D2919,".",E2919)))</f>
        <v/>
      </c>
      <c r="B2919" s="9" t="str">
        <f t="shared" ref="B2919:B2982" si="139">LEFT(G2919,1)</f>
        <v/>
      </c>
      <c r="C2919" s="10" t="str">
        <f t="shared" ref="C2919:C2982" si="140">IF(F2919="","",IF(B2919="",F2919-4,IF(B2919="1",F2919-4,IF(B2919="2",F2919-3,IF(B2919="3",F2919-2,IF(B2919="4",F2919-1,IF(B2919="V",F2919-7,IF(B2919="J",F2919-8,F2919))))))))</f>
        <v/>
      </c>
    </row>
    <row r="2920" spans="1:3" x14ac:dyDescent="0.25">
      <c r="A2920" s="8" t="str">
        <f t="shared" si="138"/>
        <v/>
      </c>
      <c r="B2920" s="9" t="str">
        <f t="shared" si="139"/>
        <v/>
      </c>
      <c r="C2920" s="10" t="str">
        <f t="shared" si="140"/>
        <v/>
      </c>
    </row>
    <row r="2921" spans="1:3" x14ac:dyDescent="0.25">
      <c r="A2921" s="8" t="str">
        <f t="shared" si="138"/>
        <v/>
      </c>
      <c r="B2921" s="9" t="str">
        <f t="shared" si="139"/>
        <v/>
      </c>
      <c r="C2921" s="10" t="str">
        <f t="shared" si="140"/>
        <v/>
      </c>
    </row>
    <row r="2922" spans="1:3" x14ac:dyDescent="0.25">
      <c r="A2922" s="8" t="str">
        <f t="shared" si="138"/>
        <v/>
      </c>
      <c r="B2922" s="9" t="str">
        <f t="shared" si="139"/>
        <v/>
      </c>
      <c r="C2922" s="10" t="str">
        <f t="shared" si="140"/>
        <v/>
      </c>
    </row>
    <row r="2923" spans="1:3" x14ac:dyDescent="0.25">
      <c r="A2923" s="8" t="str">
        <f t="shared" si="138"/>
        <v/>
      </c>
      <c r="B2923" s="9" t="str">
        <f t="shared" si="139"/>
        <v/>
      </c>
      <c r="C2923" s="10" t="str">
        <f t="shared" si="140"/>
        <v/>
      </c>
    </row>
    <row r="2924" spans="1:3" x14ac:dyDescent="0.25">
      <c r="A2924" s="8" t="str">
        <f t="shared" si="138"/>
        <v/>
      </c>
      <c r="B2924" s="9" t="str">
        <f t="shared" si="139"/>
        <v/>
      </c>
      <c r="C2924" s="10" t="str">
        <f t="shared" si="140"/>
        <v/>
      </c>
    </row>
    <row r="2925" spans="1:3" x14ac:dyDescent="0.25">
      <c r="A2925" s="8" t="str">
        <f t="shared" si="138"/>
        <v/>
      </c>
      <c r="B2925" s="9" t="str">
        <f t="shared" si="139"/>
        <v/>
      </c>
      <c r="C2925" s="10" t="str">
        <f t="shared" si="140"/>
        <v/>
      </c>
    </row>
    <row r="2926" spans="1:3" x14ac:dyDescent="0.25">
      <c r="A2926" s="8" t="str">
        <f t="shared" si="138"/>
        <v/>
      </c>
      <c r="B2926" s="9" t="str">
        <f t="shared" si="139"/>
        <v/>
      </c>
      <c r="C2926" s="10" t="str">
        <f t="shared" si="140"/>
        <v/>
      </c>
    </row>
    <row r="2927" spans="1:3" x14ac:dyDescent="0.25">
      <c r="A2927" s="8" t="str">
        <f t="shared" si="138"/>
        <v/>
      </c>
      <c r="B2927" s="9" t="str">
        <f t="shared" si="139"/>
        <v/>
      </c>
      <c r="C2927" s="10" t="str">
        <f t="shared" si="140"/>
        <v/>
      </c>
    </row>
    <row r="2928" spans="1:3" x14ac:dyDescent="0.25">
      <c r="A2928" s="8" t="str">
        <f t="shared" si="138"/>
        <v/>
      </c>
      <c r="B2928" s="9" t="str">
        <f t="shared" si="139"/>
        <v/>
      </c>
      <c r="C2928" s="10" t="str">
        <f t="shared" si="140"/>
        <v/>
      </c>
    </row>
    <row r="2929" spans="1:3" x14ac:dyDescent="0.25">
      <c r="A2929" s="8" t="str">
        <f t="shared" si="138"/>
        <v/>
      </c>
      <c r="B2929" s="9" t="str">
        <f t="shared" si="139"/>
        <v/>
      </c>
      <c r="C2929" s="10" t="str">
        <f t="shared" si="140"/>
        <v/>
      </c>
    </row>
    <row r="2930" spans="1:3" x14ac:dyDescent="0.25">
      <c r="A2930" s="8" t="str">
        <f t="shared" si="138"/>
        <v/>
      </c>
      <c r="B2930" s="9" t="str">
        <f t="shared" si="139"/>
        <v/>
      </c>
      <c r="C2930" s="10" t="str">
        <f t="shared" si="140"/>
        <v/>
      </c>
    </row>
    <row r="2931" spans="1:3" x14ac:dyDescent="0.25">
      <c r="A2931" s="8" t="str">
        <f t="shared" si="138"/>
        <v/>
      </c>
      <c r="B2931" s="9" t="str">
        <f t="shared" si="139"/>
        <v/>
      </c>
      <c r="C2931" s="10" t="str">
        <f t="shared" si="140"/>
        <v/>
      </c>
    </row>
    <row r="2932" spans="1:3" x14ac:dyDescent="0.25">
      <c r="A2932" s="8" t="str">
        <f t="shared" si="138"/>
        <v/>
      </c>
      <c r="B2932" s="9" t="str">
        <f t="shared" si="139"/>
        <v/>
      </c>
      <c r="C2932" s="10" t="str">
        <f t="shared" si="140"/>
        <v/>
      </c>
    </row>
    <row r="2933" spans="1:3" x14ac:dyDescent="0.25">
      <c r="A2933" s="8" t="str">
        <f t="shared" si="138"/>
        <v/>
      </c>
      <c r="B2933" s="9" t="str">
        <f t="shared" si="139"/>
        <v/>
      </c>
      <c r="C2933" s="10" t="str">
        <f t="shared" si="140"/>
        <v/>
      </c>
    </row>
    <row r="2934" spans="1:3" x14ac:dyDescent="0.25">
      <c r="A2934" s="8" t="str">
        <f t="shared" si="138"/>
        <v/>
      </c>
      <c r="B2934" s="9" t="str">
        <f t="shared" si="139"/>
        <v/>
      </c>
      <c r="C2934" s="10" t="str">
        <f t="shared" si="140"/>
        <v/>
      </c>
    </row>
    <row r="2935" spans="1:3" x14ac:dyDescent="0.25">
      <c r="A2935" s="8" t="str">
        <f t="shared" si="138"/>
        <v/>
      </c>
      <c r="B2935" s="9" t="str">
        <f t="shared" si="139"/>
        <v/>
      </c>
      <c r="C2935" s="10" t="str">
        <f t="shared" si="140"/>
        <v/>
      </c>
    </row>
    <row r="2936" spans="1:3" x14ac:dyDescent="0.25">
      <c r="A2936" s="8" t="str">
        <f t="shared" si="138"/>
        <v/>
      </c>
      <c r="B2936" s="9" t="str">
        <f t="shared" si="139"/>
        <v/>
      </c>
      <c r="C2936" s="10" t="str">
        <f t="shared" si="140"/>
        <v/>
      </c>
    </row>
    <row r="2937" spans="1:3" x14ac:dyDescent="0.25">
      <c r="A2937" s="8" t="str">
        <f t="shared" si="138"/>
        <v/>
      </c>
      <c r="B2937" s="9" t="str">
        <f t="shared" si="139"/>
        <v/>
      </c>
      <c r="C2937" s="10" t="str">
        <f t="shared" si="140"/>
        <v/>
      </c>
    </row>
    <row r="2938" spans="1:3" x14ac:dyDescent="0.25">
      <c r="A2938" s="8" t="str">
        <f t="shared" si="138"/>
        <v/>
      </c>
      <c r="B2938" s="9" t="str">
        <f t="shared" si="139"/>
        <v/>
      </c>
      <c r="C2938" s="10" t="str">
        <f t="shared" si="140"/>
        <v/>
      </c>
    </row>
    <row r="2939" spans="1:3" x14ac:dyDescent="0.25">
      <c r="A2939" s="8" t="str">
        <f t="shared" si="138"/>
        <v/>
      </c>
      <c r="B2939" s="9" t="str">
        <f t="shared" si="139"/>
        <v/>
      </c>
      <c r="C2939" s="10" t="str">
        <f t="shared" si="140"/>
        <v/>
      </c>
    </row>
    <row r="2940" spans="1:3" x14ac:dyDescent="0.25">
      <c r="A2940" s="8" t="str">
        <f t="shared" si="138"/>
        <v/>
      </c>
      <c r="B2940" s="9" t="str">
        <f t="shared" si="139"/>
        <v/>
      </c>
      <c r="C2940" s="10" t="str">
        <f t="shared" si="140"/>
        <v/>
      </c>
    </row>
    <row r="2941" spans="1:3" x14ac:dyDescent="0.25">
      <c r="A2941" s="8" t="str">
        <f t="shared" si="138"/>
        <v/>
      </c>
      <c r="B2941" s="9" t="str">
        <f t="shared" si="139"/>
        <v/>
      </c>
      <c r="C2941" s="10" t="str">
        <f t="shared" si="140"/>
        <v/>
      </c>
    </row>
    <row r="2942" spans="1:3" x14ac:dyDescent="0.25">
      <c r="A2942" s="8" t="str">
        <f t="shared" si="138"/>
        <v/>
      </c>
      <c r="B2942" s="9" t="str">
        <f t="shared" si="139"/>
        <v/>
      </c>
      <c r="C2942" s="10" t="str">
        <f t="shared" si="140"/>
        <v/>
      </c>
    </row>
    <row r="2943" spans="1:3" x14ac:dyDescent="0.25">
      <c r="A2943" s="8" t="str">
        <f t="shared" si="138"/>
        <v/>
      </c>
      <c r="B2943" s="9" t="str">
        <f t="shared" si="139"/>
        <v/>
      </c>
      <c r="C2943" s="10" t="str">
        <f t="shared" si="140"/>
        <v/>
      </c>
    </row>
    <row r="2944" spans="1:3" x14ac:dyDescent="0.25">
      <c r="A2944" s="8" t="str">
        <f t="shared" si="138"/>
        <v/>
      </c>
      <c r="B2944" s="9" t="str">
        <f t="shared" si="139"/>
        <v/>
      </c>
      <c r="C2944" s="10" t="str">
        <f t="shared" si="140"/>
        <v/>
      </c>
    </row>
    <row r="2945" spans="1:3" x14ac:dyDescent="0.25">
      <c r="A2945" s="8" t="str">
        <f t="shared" si="138"/>
        <v/>
      </c>
      <c r="B2945" s="9" t="str">
        <f t="shared" si="139"/>
        <v/>
      </c>
      <c r="C2945" s="10" t="str">
        <f t="shared" si="140"/>
        <v/>
      </c>
    </row>
    <row r="2946" spans="1:3" x14ac:dyDescent="0.25">
      <c r="A2946" s="8" t="str">
        <f t="shared" si="138"/>
        <v/>
      </c>
      <c r="B2946" s="9" t="str">
        <f t="shared" si="139"/>
        <v/>
      </c>
      <c r="C2946" s="10" t="str">
        <f t="shared" si="140"/>
        <v/>
      </c>
    </row>
    <row r="2947" spans="1:3" x14ac:dyDescent="0.25">
      <c r="A2947" s="8" t="str">
        <f t="shared" si="138"/>
        <v/>
      </c>
      <c r="B2947" s="9" t="str">
        <f t="shared" si="139"/>
        <v/>
      </c>
      <c r="C2947" s="10" t="str">
        <f t="shared" si="140"/>
        <v/>
      </c>
    </row>
    <row r="2948" spans="1:3" x14ac:dyDescent="0.25">
      <c r="A2948" s="8" t="str">
        <f t="shared" si="138"/>
        <v/>
      </c>
      <c r="B2948" s="9" t="str">
        <f t="shared" si="139"/>
        <v/>
      </c>
      <c r="C2948" s="10" t="str">
        <f t="shared" si="140"/>
        <v/>
      </c>
    </row>
    <row r="2949" spans="1:3" x14ac:dyDescent="0.25">
      <c r="A2949" s="8" t="str">
        <f t="shared" si="138"/>
        <v/>
      </c>
      <c r="B2949" s="9" t="str">
        <f t="shared" si="139"/>
        <v/>
      </c>
      <c r="C2949" s="10" t="str">
        <f t="shared" si="140"/>
        <v/>
      </c>
    </row>
    <row r="2950" spans="1:3" x14ac:dyDescent="0.25">
      <c r="A2950" s="8" t="str">
        <f t="shared" si="138"/>
        <v/>
      </c>
      <c r="B2950" s="9" t="str">
        <f t="shared" si="139"/>
        <v/>
      </c>
      <c r="C2950" s="10" t="str">
        <f t="shared" si="140"/>
        <v/>
      </c>
    </row>
    <row r="2951" spans="1:3" x14ac:dyDescent="0.25">
      <c r="A2951" s="8" t="str">
        <f t="shared" si="138"/>
        <v/>
      </c>
      <c r="B2951" s="9" t="str">
        <f t="shared" si="139"/>
        <v/>
      </c>
      <c r="C2951" s="10" t="str">
        <f t="shared" si="140"/>
        <v/>
      </c>
    </row>
    <row r="2952" spans="1:3" x14ac:dyDescent="0.25">
      <c r="A2952" s="8" t="str">
        <f t="shared" si="138"/>
        <v/>
      </c>
      <c r="B2952" s="9" t="str">
        <f t="shared" si="139"/>
        <v/>
      </c>
      <c r="C2952" s="10" t="str">
        <f t="shared" si="140"/>
        <v/>
      </c>
    </row>
    <row r="2953" spans="1:3" x14ac:dyDescent="0.25">
      <c r="A2953" s="8" t="str">
        <f t="shared" si="138"/>
        <v/>
      </c>
      <c r="B2953" s="9" t="str">
        <f t="shared" si="139"/>
        <v/>
      </c>
      <c r="C2953" s="10" t="str">
        <f t="shared" si="140"/>
        <v/>
      </c>
    </row>
    <row r="2954" spans="1:3" x14ac:dyDescent="0.25">
      <c r="A2954" s="8" t="str">
        <f t="shared" si="138"/>
        <v/>
      </c>
      <c r="B2954" s="9" t="str">
        <f t="shared" si="139"/>
        <v/>
      </c>
      <c r="C2954" s="10" t="str">
        <f t="shared" si="140"/>
        <v/>
      </c>
    </row>
    <row r="2955" spans="1:3" x14ac:dyDescent="0.25">
      <c r="A2955" s="8" t="str">
        <f t="shared" si="138"/>
        <v/>
      </c>
      <c r="B2955" s="9" t="str">
        <f t="shared" si="139"/>
        <v/>
      </c>
      <c r="C2955" s="10" t="str">
        <f t="shared" si="140"/>
        <v/>
      </c>
    </row>
    <row r="2956" spans="1:3" x14ac:dyDescent="0.25">
      <c r="A2956" s="8" t="str">
        <f t="shared" si="138"/>
        <v/>
      </c>
      <c r="B2956" s="9" t="str">
        <f t="shared" si="139"/>
        <v/>
      </c>
      <c r="C2956" s="10" t="str">
        <f t="shared" si="140"/>
        <v/>
      </c>
    </row>
    <row r="2957" spans="1:3" x14ac:dyDescent="0.25">
      <c r="A2957" s="8" t="str">
        <f t="shared" si="138"/>
        <v/>
      </c>
      <c r="B2957" s="9" t="str">
        <f t="shared" si="139"/>
        <v/>
      </c>
      <c r="C2957" s="10" t="str">
        <f t="shared" si="140"/>
        <v/>
      </c>
    </row>
    <row r="2958" spans="1:3" x14ac:dyDescent="0.25">
      <c r="A2958" s="8" t="str">
        <f t="shared" si="138"/>
        <v/>
      </c>
      <c r="B2958" s="9" t="str">
        <f t="shared" si="139"/>
        <v/>
      </c>
      <c r="C2958" s="10" t="str">
        <f t="shared" si="140"/>
        <v/>
      </c>
    </row>
    <row r="2959" spans="1:3" x14ac:dyDescent="0.25">
      <c r="A2959" s="8" t="str">
        <f t="shared" si="138"/>
        <v/>
      </c>
      <c r="B2959" s="9" t="str">
        <f t="shared" si="139"/>
        <v/>
      </c>
      <c r="C2959" s="10" t="str">
        <f t="shared" si="140"/>
        <v/>
      </c>
    </row>
    <row r="2960" spans="1:3" x14ac:dyDescent="0.25">
      <c r="A2960" s="8" t="str">
        <f t="shared" si="138"/>
        <v/>
      </c>
      <c r="B2960" s="9" t="str">
        <f t="shared" si="139"/>
        <v/>
      </c>
      <c r="C2960" s="10" t="str">
        <f t="shared" si="140"/>
        <v/>
      </c>
    </row>
    <row r="2961" spans="1:3" x14ac:dyDescent="0.25">
      <c r="A2961" s="8" t="str">
        <f t="shared" si="138"/>
        <v/>
      </c>
      <c r="B2961" s="9" t="str">
        <f t="shared" si="139"/>
        <v/>
      </c>
      <c r="C2961" s="10" t="str">
        <f t="shared" si="140"/>
        <v/>
      </c>
    </row>
    <row r="2962" spans="1:3" x14ac:dyDescent="0.25">
      <c r="A2962" s="8" t="str">
        <f t="shared" si="138"/>
        <v/>
      </c>
      <c r="B2962" s="9" t="str">
        <f t="shared" si="139"/>
        <v/>
      </c>
      <c r="C2962" s="10" t="str">
        <f t="shared" si="140"/>
        <v/>
      </c>
    </row>
    <row r="2963" spans="1:3" x14ac:dyDescent="0.25">
      <c r="A2963" s="8" t="str">
        <f t="shared" si="138"/>
        <v/>
      </c>
      <c r="B2963" s="9" t="str">
        <f t="shared" si="139"/>
        <v/>
      </c>
      <c r="C2963" s="10" t="str">
        <f t="shared" si="140"/>
        <v/>
      </c>
    </row>
    <row r="2964" spans="1:3" x14ac:dyDescent="0.25">
      <c r="A2964" s="8" t="str">
        <f t="shared" si="138"/>
        <v/>
      </c>
      <c r="B2964" s="9" t="str">
        <f t="shared" si="139"/>
        <v/>
      </c>
      <c r="C2964" s="10" t="str">
        <f t="shared" si="140"/>
        <v/>
      </c>
    </row>
    <row r="2965" spans="1:3" x14ac:dyDescent="0.25">
      <c r="A2965" s="8" t="str">
        <f t="shared" si="138"/>
        <v/>
      </c>
      <c r="B2965" s="9" t="str">
        <f t="shared" si="139"/>
        <v/>
      </c>
      <c r="C2965" s="10" t="str">
        <f t="shared" si="140"/>
        <v/>
      </c>
    </row>
    <row r="2966" spans="1:3" x14ac:dyDescent="0.25">
      <c r="A2966" s="8" t="str">
        <f t="shared" si="138"/>
        <v/>
      </c>
      <c r="B2966" s="9" t="str">
        <f t="shared" si="139"/>
        <v/>
      </c>
      <c r="C2966" s="10" t="str">
        <f t="shared" si="140"/>
        <v/>
      </c>
    </row>
    <row r="2967" spans="1:3" x14ac:dyDescent="0.25">
      <c r="A2967" s="8" t="str">
        <f t="shared" si="138"/>
        <v/>
      </c>
      <c r="B2967" s="9" t="str">
        <f t="shared" si="139"/>
        <v/>
      </c>
      <c r="C2967" s="10" t="str">
        <f t="shared" si="140"/>
        <v/>
      </c>
    </row>
    <row r="2968" spans="1:3" x14ac:dyDescent="0.25">
      <c r="A2968" s="8" t="str">
        <f t="shared" si="138"/>
        <v/>
      </c>
      <c r="B2968" s="9" t="str">
        <f t="shared" si="139"/>
        <v/>
      </c>
      <c r="C2968" s="10" t="str">
        <f t="shared" si="140"/>
        <v/>
      </c>
    </row>
    <row r="2969" spans="1:3" x14ac:dyDescent="0.25">
      <c r="A2969" s="8" t="str">
        <f t="shared" si="138"/>
        <v/>
      </c>
      <c r="B2969" s="9" t="str">
        <f t="shared" si="139"/>
        <v/>
      </c>
      <c r="C2969" s="10" t="str">
        <f t="shared" si="140"/>
        <v/>
      </c>
    </row>
    <row r="2970" spans="1:3" x14ac:dyDescent="0.25">
      <c r="A2970" s="8" t="str">
        <f t="shared" si="138"/>
        <v/>
      </c>
      <c r="B2970" s="9" t="str">
        <f t="shared" si="139"/>
        <v/>
      </c>
      <c r="C2970" s="10" t="str">
        <f t="shared" si="140"/>
        <v/>
      </c>
    </row>
    <row r="2971" spans="1:3" x14ac:dyDescent="0.25">
      <c r="A2971" s="8" t="str">
        <f t="shared" si="138"/>
        <v/>
      </c>
      <c r="B2971" s="9" t="str">
        <f t="shared" si="139"/>
        <v/>
      </c>
      <c r="C2971" s="10" t="str">
        <f t="shared" si="140"/>
        <v/>
      </c>
    </row>
    <row r="2972" spans="1:3" x14ac:dyDescent="0.25">
      <c r="A2972" s="8" t="str">
        <f t="shared" si="138"/>
        <v/>
      </c>
      <c r="B2972" s="9" t="str">
        <f t="shared" si="139"/>
        <v/>
      </c>
      <c r="C2972" s="10" t="str">
        <f t="shared" si="140"/>
        <v/>
      </c>
    </row>
    <row r="2973" spans="1:3" x14ac:dyDescent="0.25">
      <c r="A2973" s="8" t="str">
        <f t="shared" si="138"/>
        <v/>
      </c>
      <c r="B2973" s="9" t="str">
        <f t="shared" si="139"/>
        <v/>
      </c>
      <c r="C2973" s="10" t="str">
        <f t="shared" si="140"/>
        <v/>
      </c>
    </row>
    <row r="2974" spans="1:3" x14ac:dyDescent="0.25">
      <c r="A2974" s="8" t="str">
        <f t="shared" si="138"/>
        <v/>
      </c>
      <c r="B2974" s="9" t="str">
        <f t="shared" si="139"/>
        <v/>
      </c>
      <c r="C2974" s="10" t="str">
        <f t="shared" si="140"/>
        <v/>
      </c>
    </row>
    <row r="2975" spans="1:3" x14ac:dyDescent="0.25">
      <c r="A2975" s="8" t="str">
        <f t="shared" si="138"/>
        <v/>
      </c>
      <c r="B2975" s="9" t="str">
        <f t="shared" si="139"/>
        <v/>
      </c>
      <c r="C2975" s="10" t="str">
        <f t="shared" si="140"/>
        <v/>
      </c>
    </row>
    <row r="2976" spans="1:3" x14ac:dyDescent="0.25">
      <c r="A2976" s="8" t="str">
        <f t="shared" si="138"/>
        <v/>
      </c>
      <c r="B2976" s="9" t="str">
        <f t="shared" si="139"/>
        <v/>
      </c>
      <c r="C2976" s="10" t="str">
        <f t="shared" si="140"/>
        <v/>
      </c>
    </row>
    <row r="2977" spans="1:3" x14ac:dyDescent="0.25">
      <c r="A2977" s="8" t="str">
        <f t="shared" si="138"/>
        <v/>
      </c>
      <c r="B2977" s="9" t="str">
        <f t="shared" si="139"/>
        <v/>
      </c>
      <c r="C2977" s="10" t="str">
        <f t="shared" si="140"/>
        <v/>
      </c>
    </row>
    <row r="2978" spans="1:3" x14ac:dyDescent="0.25">
      <c r="A2978" s="8" t="str">
        <f t="shared" si="138"/>
        <v/>
      </c>
      <c r="B2978" s="9" t="str">
        <f t="shared" si="139"/>
        <v/>
      </c>
      <c r="C2978" s="10" t="str">
        <f t="shared" si="140"/>
        <v/>
      </c>
    </row>
    <row r="2979" spans="1:3" x14ac:dyDescent="0.25">
      <c r="A2979" s="8" t="str">
        <f t="shared" si="138"/>
        <v/>
      </c>
      <c r="B2979" s="9" t="str">
        <f t="shared" si="139"/>
        <v/>
      </c>
      <c r="C2979" s="10" t="str">
        <f t="shared" si="140"/>
        <v/>
      </c>
    </row>
    <row r="2980" spans="1:3" x14ac:dyDescent="0.25">
      <c r="A2980" s="8" t="str">
        <f t="shared" si="138"/>
        <v/>
      </c>
      <c r="B2980" s="9" t="str">
        <f t="shared" si="139"/>
        <v/>
      </c>
      <c r="C2980" s="10" t="str">
        <f t="shared" si="140"/>
        <v/>
      </c>
    </row>
    <row r="2981" spans="1:3" x14ac:dyDescent="0.25">
      <c r="A2981" s="8" t="str">
        <f t="shared" si="138"/>
        <v/>
      </c>
      <c r="B2981" s="9" t="str">
        <f t="shared" si="139"/>
        <v/>
      </c>
      <c r="C2981" s="10" t="str">
        <f t="shared" si="140"/>
        <v/>
      </c>
    </row>
    <row r="2982" spans="1:3" x14ac:dyDescent="0.25">
      <c r="A2982" s="8" t="str">
        <f t="shared" si="138"/>
        <v/>
      </c>
      <c r="B2982" s="9" t="str">
        <f t="shared" si="139"/>
        <v/>
      </c>
      <c r="C2982" s="10" t="str">
        <f t="shared" si="140"/>
        <v/>
      </c>
    </row>
    <row r="2983" spans="1:3" x14ac:dyDescent="0.25">
      <c r="A2983" s="8" t="str">
        <f t="shared" ref="A2983:A3046" si="141">IF(D2983="","",IF(E2983=0,CONCATENATE(D2983,".",E2983,"00"),CONCATENATE(D2983,".",E2983)))</f>
        <v/>
      </c>
      <c r="B2983" s="9" t="str">
        <f t="shared" ref="B2983:B3046" si="142">LEFT(G2983,1)</f>
        <v/>
      </c>
      <c r="C2983" s="10" t="str">
        <f t="shared" ref="C2983:C3046" si="143">IF(F2983="","",IF(B2983="",F2983-4,IF(B2983="1",F2983-4,IF(B2983="2",F2983-3,IF(B2983="3",F2983-2,IF(B2983="4",F2983-1,IF(B2983="V",F2983-7,IF(B2983="J",F2983-8,F2983))))))))</f>
        <v/>
      </c>
    </row>
    <row r="2984" spans="1:3" x14ac:dyDescent="0.25">
      <c r="A2984" s="8" t="str">
        <f t="shared" si="141"/>
        <v/>
      </c>
      <c r="B2984" s="9" t="str">
        <f t="shared" si="142"/>
        <v/>
      </c>
      <c r="C2984" s="10" t="str">
        <f t="shared" si="143"/>
        <v/>
      </c>
    </row>
    <row r="2985" spans="1:3" x14ac:dyDescent="0.25">
      <c r="A2985" s="8" t="str">
        <f t="shared" si="141"/>
        <v/>
      </c>
      <c r="B2985" s="9" t="str">
        <f t="shared" si="142"/>
        <v/>
      </c>
      <c r="C2985" s="10" t="str">
        <f t="shared" si="143"/>
        <v/>
      </c>
    </row>
    <row r="2986" spans="1:3" x14ac:dyDescent="0.25">
      <c r="A2986" s="8" t="str">
        <f t="shared" si="141"/>
        <v/>
      </c>
      <c r="B2986" s="9" t="str">
        <f t="shared" si="142"/>
        <v/>
      </c>
      <c r="C2986" s="10" t="str">
        <f t="shared" si="143"/>
        <v/>
      </c>
    </row>
    <row r="2987" spans="1:3" x14ac:dyDescent="0.25">
      <c r="A2987" s="8" t="str">
        <f t="shared" si="141"/>
        <v/>
      </c>
      <c r="B2987" s="9" t="str">
        <f t="shared" si="142"/>
        <v/>
      </c>
      <c r="C2987" s="10" t="str">
        <f t="shared" si="143"/>
        <v/>
      </c>
    </row>
    <row r="2988" spans="1:3" x14ac:dyDescent="0.25">
      <c r="A2988" s="8" t="str">
        <f t="shared" si="141"/>
        <v/>
      </c>
      <c r="B2988" s="9" t="str">
        <f t="shared" si="142"/>
        <v/>
      </c>
      <c r="C2988" s="10" t="str">
        <f t="shared" si="143"/>
        <v/>
      </c>
    </row>
    <row r="2989" spans="1:3" x14ac:dyDescent="0.25">
      <c r="A2989" s="8" t="str">
        <f t="shared" si="141"/>
        <v/>
      </c>
      <c r="B2989" s="9" t="str">
        <f t="shared" si="142"/>
        <v/>
      </c>
      <c r="C2989" s="10" t="str">
        <f t="shared" si="143"/>
        <v/>
      </c>
    </row>
    <row r="2990" spans="1:3" x14ac:dyDescent="0.25">
      <c r="A2990" s="8" t="str">
        <f t="shared" si="141"/>
        <v/>
      </c>
      <c r="B2990" s="9" t="str">
        <f t="shared" si="142"/>
        <v/>
      </c>
      <c r="C2990" s="10" t="str">
        <f t="shared" si="143"/>
        <v/>
      </c>
    </row>
    <row r="2991" spans="1:3" x14ac:dyDescent="0.25">
      <c r="A2991" s="8" t="str">
        <f t="shared" si="141"/>
        <v/>
      </c>
      <c r="B2991" s="9" t="str">
        <f t="shared" si="142"/>
        <v/>
      </c>
      <c r="C2991" s="10" t="str">
        <f t="shared" si="143"/>
        <v/>
      </c>
    </row>
    <row r="2992" spans="1:3" x14ac:dyDescent="0.25">
      <c r="A2992" s="8" t="str">
        <f t="shared" si="141"/>
        <v/>
      </c>
      <c r="B2992" s="9" t="str">
        <f t="shared" si="142"/>
        <v/>
      </c>
      <c r="C2992" s="10" t="str">
        <f t="shared" si="143"/>
        <v/>
      </c>
    </row>
    <row r="2993" spans="1:3" x14ac:dyDescent="0.25">
      <c r="A2993" s="8" t="str">
        <f t="shared" si="141"/>
        <v/>
      </c>
      <c r="B2993" s="9" t="str">
        <f t="shared" si="142"/>
        <v/>
      </c>
      <c r="C2993" s="10" t="str">
        <f t="shared" si="143"/>
        <v/>
      </c>
    </row>
    <row r="2994" spans="1:3" x14ac:dyDescent="0.25">
      <c r="A2994" s="8" t="str">
        <f t="shared" si="141"/>
        <v/>
      </c>
      <c r="B2994" s="9" t="str">
        <f t="shared" si="142"/>
        <v/>
      </c>
      <c r="C2994" s="10" t="str">
        <f t="shared" si="143"/>
        <v/>
      </c>
    </row>
    <row r="2995" spans="1:3" x14ac:dyDescent="0.25">
      <c r="A2995" s="8" t="str">
        <f t="shared" si="141"/>
        <v/>
      </c>
      <c r="B2995" s="9" t="str">
        <f t="shared" si="142"/>
        <v/>
      </c>
      <c r="C2995" s="10" t="str">
        <f t="shared" si="143"/>
        <v/>
      </c>
    </row>
    <row r="2996" spans="1:3" x14ac:dyDescent="0.25">
      <c r="A2996" s="8" t="str">
        <f t="shared" si="141"/>
        <v/>
      </c>
      <c r="B2996" s="9" t="str">
        <f t="shared" si="142"/>
        <v/>
      </c>
      <c r="C2996" s="10" t="str">
        <f t="shared" si="143"/>
        <v/>
      </c>
    </row>
    <row r="2997" spans="1:3" x14ac:dyDescent="0.25">
      <c r="A2997" s="8" t="str">
        <f t="shared" si="141"/>
        <v/>
      </c>
      <c r="B2997" s="9" t="str">
        <f t="shared" si="142"/>
        <v/>
      </c>
      <c r="C2997" s="10" t="str">
        <f t="shared" si="143"/>
        <v/>
      </c>
    </row>
    <row r="2998" spans="1:3" x14ac:dyDescent="0.25">
      <c r="A2998" s="8" t="str">
        <f t="shared" si="141"/>
        <v/>
      </c>
      <c r="B2998" s="9" t="str">
        <f t="shared" si="142"/>
        <v/>
      </c>
      <c r="C2998" s="10" t="str">
        <f t="shared" si="143"/>
        <v/>
      </c>
    </row>
    <row r="2999" spans="1:3" x14ac:dyDescent="0.25">
      <c r="A2999" s="8" t="str">
        <f t="shared" si="141"/>
        <v/>
      </c>
      <c r="B2999" s="9" t="str">
        <f t="shared" si="142"/>
        <v/>
      </c>
      <c r="C2999" s="10" t="str">
        <f t="shared" si="143"/>
        <v/>
      </c>
    </row>
    <row r="3000" spans="1:3" x14ac:dyDescent="0.25">
      <c r="A3000" s="8" t="str">
        <f t="shared" si="141"/>
        <v/>
      </c>
      <c r="B3000" s="9" t="str">
        <f t="shared" si="142"/>
        <v/>
      </c>
      <c r="C3000" s="10" t="str">
        <f t="shared" si="143"/>
        <v/>
      </c>
    </row>
    <row r="3001" spans="1:3" x14ac:dyDescent="0.25">
      <c r="A3001" s="8" t="str">
        <f t="shared" si="141"/>
        <v/>
      </c>
      <c r="B3001" s="9" t="str">
        <f t="shared" si="142"/>
        <v/>
      </c>
      <c r="C3001" s="10" t="str">
        <f t="shared" si="143"/>
        <v/>
      </c>
    </row>
    <row r="3002" spans="1:3" x14ac:dyDescent="0.25">
      <c r="A3002" s="8" t="str">
        <f t="shared" si="141"/>
        <v/>
      </c>
      <c r="B3002" s="9" t="str">
        <f t="shared" si="142"/>
        <v/>
      </c>
      <c r="C3002" s="10" t="str">
        <f t="shared" si="143"/>
        <v/>
      </c>
    </row>
    <row r="3003" spans="1:3" x14ac:dyDescent="0.25">
      <c r="A3003" s="8" t="str">
        <f t="shared" si="141"/>
        <v/>
      </c>
      <c r="B3003" s="9" t="str">
        <f t="shared" si="142"/>
        <v/>
      </c>
      <c r="C3003" s="10" t="str">
        <f t="shared" si="143"/>
        <v/>
      </c>
    </row>
    <row r="3004" spans="1:3" x14ac:dyDescent="0.25">
      <c r="A3004" s="8" t="str">
        <f t="shared" si="141"/>
        <v/>
      </c>
      <c r="B3004" s="9" t="str">
        <f t="shared" si="142"/>
        <v/>
      </c>
      <c r="C3004" s="10" t="str">
        <f t="shared" si="143"/>
        <v/>
      </c>
    </row>
    <row r="3005" spans="1:3" x14ac:dyDescent="0.25">
      <c r="A3005" s="8" t="str">
        <f t="shared" si="141"/>
        <v/>
      </c>
      <c r="B3005" s="9" t="str">
        <f t="shared" si="142"/>
        <v/>
      </c>
      <c r="C3005" s="10" t="str">
        <f t="shared" si="143"/>
        <v/>
      </c>
    </row>
    <row r="3006" spans="1:3" x14ac:dyDescent="0.25">
      <c r="A3006" s="8" t="str">
        <f t="shared" si="141"/>
        <v/>
      </c>
      <c r="B3006" s="9" t="str">
        <f t="shared" si="142"/>
        <v/>
      </c>
      <c r="C3006" s="10" t="str">
        <f t="shared" si="143"/>
        <v/>
      </c>
    </row>
    <row r="3007" spans="1:3" x14ac:dyDescent="0.25">
      <c r="A3007" s="8" t="str">
        <f t="shared" si="141"/>
        <v/>
      </c>
      <c r="B3007" s="9" t="str">
        <f t="shared" si="142"/>
        <v/>
      </c>
      <c r="C3007" s="10" t="str">
        <f t="shared" si="143"/>
        <v/>
      </c>
    </row>
    <row r="3008" spans="1:3" x14ac:dyDescent="0.25">
      <c r="A3008" s="8" t="str">
        <f t="shared" si="141"/>
        <v/>
      </c>
      <c r="B3008" s="9" t="str">
        <f t="shared" si="142"/>
        <v/>
      </c>
      <c r="C3008" s="10" t="str">
        <f t="shared" si="143"/>
        <v/>
      </c>
    </row>
    <row r="3009" spans="1:3" x14ac:dyDescent="0.25">
      <c r="A3009" s="8" t="str">
        <f t="shared" si="141"/>
        <v/>
      </c>
      <c r="B3009" s="9" t="str">
        <f t="shared" si="142"/>
        <v/>
      </c>
      <c r="C3009" s="10" t="str">
        <f t="shared" si="143"/>
        <v/>
      </c>
    </row>
    <row r="3010" spans="1:3" x14ac:dyDescent="0.25">
      <c r="A3010" s="8" t="str">
        <f t="shared" si="141"/>
        <v/>
      </c>
      <c r="B3010" s="9" t="str">
        <f t="shared" si="142"/>
        <v/>
      </c>
      <c r="C3010" s="10" t="str">
        <f t="shared" si="143"/>
        <v/>
      </c>
    </row>
    <row r="3011" spans="1:3" x14ac:dyDescent="0.25">
      <c r="A3011" s="8" t="str">
        <f t="shared" si="141"/>
        <v/>
      </c>
      <c r="B3011" s="9" t="str">
        <f t="shared" si="142"/>
        <v/>
      </c>
      <c r="C3011" s="10" t="str">
        <f t="shared" si="143"/>
        <v/>
      </c>
    </row>
    <row r="3012" spans="1:3" x14ac:dyDescent="0.25">
      <c r="A3012" s="8" t="str">
        <f t="shared" si="141"/>
        <v/>
      </c>
      <c r="B3012" s="9" t="str">
        <f t="shared" si="142"/>
        <v/>
      </c>
      <c r="C3012" s="10" t="str">
        <f t="shared" si="143"/>
        <v/>
      </c>
    </row>
    <row r="3013" spans="1:3" x14ac:dyDescent="0.25">
      <c r="A3013" s="8" t="str">
        <f t="shared" si="141"/>
        <v/>
      </c>
      <c r="B3013" s="9" t="str">
        <f t="shared" si="142"/>
        <v/>
      </c>
      <c r="C3013" s="10" t="str">
        <f t="shared" si="143"/>
        <v/>
      </c>
    </row>
    <row r="3014" spans="1:3" x14ac:dyDescent="0.25">
      <c r="A3014" s="8" t="str">
        <f t="shared" si="141"/>
        <v/>
      </c>
      <c r="B3014" s="9" t="str">
        <f t="shared" si="142"/>
        <v/>
      </c>
      <c r="C3014" s="10" t="str">
        <f t="shared" si="143"/>
        <v/>
      </c>
    </row>
    <row r="3015" spans="1:3" x14ac:dyDescent="0.25">
      <c r="A3015" s="8" t="str">
        <f t="shared" si="141"/>
        <v/>
      </c>
      <c r="B3015" s="9" t="str">
        <f t="shared" si="142"/>
        <v/>
      </c>
      <c r="C3015" s="10" t="str">
        <f t="shared" si="143"/>
        <v/>
      </c>
    </row>
    <row r="3016" spans="1:3" x14ac:dyDescent="0.25">
      <c r="A3016" s="8" t="str">
        <f t="shared" si="141"/>
        <v/>
      </c>
      <c r="B3016" s="9" t="str">
        <f t="shared" si="142"/>
        <v/>
      </c>
      <c r="C3016" s="10" t="str">
        <f t="shared" si="143"/>
        <v/>
      </c>
    </row>
    <row r="3017" spans="1:3" x14ac:dyDescent="0.25">
      <c r="A3017" s="8" t="str">
        <f t="shared" si="141"/>
        <v/>
      </c>
      <c r="B3017" s="9" t="str">
        <f t="shared" si="142"/>
        <v/>
      </c>
      <c r="C3017" s="10" t="str">
        <f t="shared" si="143"/>
        <v/>
      </c>
    </row>
    <row r="3018" spans="1:3" x14ac:dyDescent="0.25">
      <c r="A3018" s="8" t="str">
        <f t="shared" si="141"/>
        <v/>
      </c>
      <c r="B3018" s="9" t="str">
        <f t="shared" si="142"/>
        <v/>
      </c>
      <c r="C3018" s="10" t="str">
        <f t="shared" si="143"/>
        <v/>
      </c>
    </row>
    <row r="3019" spans="1:3" x14ac:dyDescent="0.25">
      <c r="A3019" s="8" t="str">
        <f t="shared" si="141"/>
        <v/>
      </c>
      <c r="B3019" s="9" t="str">
        <f t="shared" si="142"/>
        <v/>
      </c>
      <c r="C3019" s="10" t="str">
        <f t="shared" si="143"/>
        <v/>
      </c>
    </row>
    <row r="3020" spans="1:3" x14ac:dyDescent="0.25">
      <c r="A3020" s="8" t="str">
        <f t="shared" si="141"/>
        <v/>
      </c>
      <c r="B3020" s="9" t="str">
        <f t="shared" si="142"/>
        <v/>
      </c>
      <c r="C3020" s="10" t="str">
        <f t="shared" si="143"/>
        <v/>
      </c>
    </row>
    <row r="3021" spans="1:3" x14ac:dyDescent="0.25">
      <c r="A3021" s="8" t="str">
        <f t="shared" si="141"/>
        <v/>
      </c>
      <c r="B3021" s="9" t="str">
        <f t="shared" si="142"/>
        <v/>
      </c>
      <c r="C3021" s="10" t="str">
        <f t="shared" si="143"/>
        <v/>
      </c>
    </row>
    <row r="3022" spans="1:3" x14ac:dyDescent="0.25">
      <c r="A3022" s="8" t="str">
        <f t="shared" si="141"/>
        <v/>
      </c>
      <c r="B3022" s="9" t="str">
        <f t="shared" si="142"/>
        <v/>
      </c>
      <c r="C3022" s="10" t="str">
        <f t="shared" si="143"/>
        <v/>
      </c>
    </row>
    <row r="3023" spans="1:3" x14ac:dyDescent="0.25">
      <c r="A3023" s="8" t="str">
        <f t="shared" si="141"/>
        <v/>
      </c>
      <c r="B3023" s="9" t="str">
        <f t="shared" si="142"/>
        <v/>
      </c>
      <c r="C3023" s="10" t="str">
        <f t="shared" si="143"/>
        <v/>
      </c>
    </row>
    <row r="3024" spans="1:3" x14ac:dyDescent="0.25">
      <c r="A3024" s="8" t="str">
        <f t="shared" si="141"/>
        <v/>
      </c>
      <c r="B3024" s="9" t="str">
        <f t="shared" si="142"/>
        <v/>
      </c>
      <c r="C3024" s="10" t="str">
        <f t="shared" si="143"/>
        <v/>
      </c>
    </row>
    <row r="3025" spans="1:3" x14ac:dyDescent="0.25">
      <c r="A3025" s="8" t="str">
        <f t="shared" si="141"/>
        <v/>
      </c>
      <c r="B3025" s="9" t="str">
        <f t="shared" si="142"/>
        <v/>
      </c>
      <c r="C3025" s="10" t="str">
        <f t="shared" si="143"/>
        <v/>
      </c>
    </row>
    <row r="3026" spans="1:3" x14ac:dyDescent="0.25">
      <c r="A3026" s="8" t="str">
        <f t="shared" si="141"/>
        <v/>
      </c>
      <c r="B3026" s="9" t="str">
        <f t="shared" si="142"/>
        <v/>
      </c>
      <c r="C3026" s="10" t="str">
        <f t="shared" si="143"/>
        <v/>
      </c>
    </row>
    <row r="3027" spans="1:3" x14ac:dyDescent="0.25">
      <c r="A3027" s="8" t="str">
        <f t="shared" si="141"/>
        <v/>
      </c>
      <c r="B3027" s="9" t="str">
        <f t="shared" si="142"/>
        <v/>
      </c>
      <c r="C3027" s="10" t="str">
        <f t="shared" si="143"/>
        <v/>
      </c>
    </row>
    <row r="3028" spans="1:3" x14ac:dyDescent="0.25">
      <c r="A3028" s="8" t="str">
        <f t="shared" si="141"/>
        <v/>
      </c>
      <c r="B3028" s="9" t="str">
        <f t="shared" si="142"/>
        <v/>
      </c>
      <c r="C3028" s="10" t="str">
        <f t="shared" si="143"/>
        <v/>
      </c>
    </row>
    <row r="3029" spans="1:3" x14ac:dyDescent="0.25">
      <c r="A3029" s="8" t="str">
        <f t="shared" si="141"/>
        <v/>
      </c>
      <c r="B3029" s="9" t="str">
        <f t="shared" si="142"/>
        <v/>
      </c>
      <c r="C3029" s="10" t="str">
        <f t="shared" si="143"/>
        <v/>
      </c>
    </row>
    <row r="3030" spans="1:3" x14ac:dyDescent="0.25">
      <c r="A3030" s="8" t="str">
        <f t="shared" si="141"/>
        <v/>
      </c>
      <c r="B3030" s="9" t="str">
        <f t="shared" si="142"/>
        <v/>
      </c>
      <c r="C3030" s="10" t="str">
        <f t="shared" si="143"/>
        <v/>
      </c>
    </row>
    <row r="3031" spans="1:3" x14ac:dyDescent="0.25">
      <c r="A3031" s="8" t="str">
        <f t="shared" si="141"/>
        <v/>
      </c>
      <c r="B3031" s="9" t="str">
        <f t="shared" si="142"/>
        <v/>
      </c>
      <c r="C3031" s="10" t="str">
        <f t="shared" si="143"/>
        <v/>
      </c>
    </row>
    <row r="3032" spans="1:3" x14ac:dyDescent="0.25">
      <c r="A3032" s="8" t="str">
        <f t="shared" si="141"/>
        <v/>
      </c>
      <c r="B3032" s="9" t="str">
        <f t="shared" si="142"/>
        <v/>
      </c>
      <c r="C3032" s="10" t="str">
        <f t="shared" si="143"/>
        <v/>
      </c>
    </row>
    <row r="3033" spans="1:3" x14ac:dyDescent="0.25">
      <c r="A3033" s="8" t="str">
        <f t="shared" si="141"/>
        <v/>
      </c>
      <c r="B3033" s="9" t="str">
        <f t="shared" si="142"/>
        <v/>
      </c>
      <c r="C3033" s="10" t="str">
        <f t="shared" si="143"/>
        <v/>
      </c>
    </row>
    <row r="3034" spans="1:3" x14ac:dyDescent="0.25">
      <c r="A3034" s="8" t="str">
        <f t="shared" si="141"/>
        <v/>
      </c>
      <c r="B3034" s="9" t="str">
        <f t="shared" si="142"/>
        <v/>
      </c>
      <c r="C3034" s="10" t="str">
        <f t="shared" si="143"/>
        <v/>
      </c>
    </row>
    <row r="3035" spans="1:3" x14ac:dyDescent="0.25">
      <c r="A3035" s="8" t="str">
        <f t="shared" si="141"/>
        <v/>
      </c>
      <c r="B3035" s="9" t="str">
        <f t="shared" si="142"/>
        <v/>
      </c>
      <c r="C3035" s="10" t="str">
        <f t="shared" si="143"/>
        <v/>
      </c>
    </row>
    <row r="3036" spans="1:3" x14ac:dyDescent="0.25">
      <c r="A3036" s="8" t="str">
        <f t="shared" si="141"/>
        <v/>
      </c>
      <c r="B3036" s="9" t="str">
        <f t="shared" si="142"/>
        <v/>
      </c>
      <c r="C3036" s="10" t="str">
        <f t="shared" si="143"/>
        <v/>
      </c>
    </row>
    <row r="3037" spans="1:3" x14ac:dyDescent="0.25">
      <c r="A3037" s="8" t="str">
        <f t="shared" si="141"/>
        <v/>
      </c>
      <c r="B3037" s="9" t="str">
        <f t="shared" si="142"/>
        <v/>
      </c>
      <c r="C3037" s="10" t="str">
        <f t="shared" si="143"/>
        <v/>
      </c>
    </row>
    <row r="3038" spans="1:3" x14ac:dyDescent="0.25">
      <c r="A3038" s="8" t="str">
        <f t="shared" si="141"/>
        <v/>
      </c>
      <c r="B3038" s="9" t="str">
        <f t="shared" si="142"/>
        <v/>
      </c>
      <c r="C3038" s="10" t="str">
        <f t="shared" si="143"/>
        <v/>
      </c>
    </row>
    <row r="3039" spans="1:3" x14ac:dyDescent="0.25">
      <c r="A3039" s="8" t="str">
        <f t="shared" si="141"/>
        <v/>
      </c>
      <c r="B3039" s="9" t="str">
        <f t="shared" si="142"/>
        <v/>
      </c>
      <c r="C3039" s="10" t="str">
        <f t="shared" si="143"/>
        <v/>
      </c>
    </row>
    <row r="3040" spans="1:3" x14ac:dyDescent="0.25">
      <c r="A3040" s="8" t="str">
        <f t="shared" si="141"/>
        <v/>
      </c>
      <c r="B3040" s="9" t="str">
        <f t="shared" si="142"/>
        <v/>
      </c>
      <c r="C3040" s="10" t="str">
        <f t="shared" si="143"/>
        <v/>
      </c>
    </row>
    <row r="3041" spans="1:3" x14ac:dyDescent="0.25">
      <c r="A3041" s="8" t="str">
        <f t="shared" si="141"/>
        <v/>
      </c>
      <c r="B3041" s="9" t="str">
        <f t="shared" si="142"/>
        <v/>
      </c>
      <c r="C3041" s="10" t="str">
        <f t="shared" si="143"/>
        <v/>
      </c>
    </row>
    <row r="3042" spans="1:3" x14ac:dyDescent="0.25">
      <c r="A3042" s="8" t="str">
        <f t="shared" si="141"/>
        <v/>
      </c>
      <c r="B3042" s="9" t="str">
        <f t="shared" si="142"/>
        <v/>
      </c>
      <c r="C3042" s="10" t="str">
        <f t="shared" si="143"/>
        <v/>
      </c>
    </row>
    <row r="3043" spans="1:3" x14ac:dyDescent="0.25">
      <c r="A3043" s="8" t="str">
        <f t="shared" si="141"/>
        <v/>
      </c>
      <c r="B3043" s="9" t="str">
        <f t="shared" si="142"/>
        <v/>
      </c>
      <c r="C3043" s="10" t="str">
        <f t="shared" si="143"/>
        <v/>
      </c>
    </row>
    <row r="3044" spans="1:3" x14ac:dyDescent="0.25">
      <c r="A3044" s="8" t="str">
        <f t="shared" si="141"/>
        <v/>
      </c>
      <c r="B3044" s="9" t="str">
        <f t="shared" si="142"/>
        <v/>
      </c>
      <c r="C3044" s="10" t="str">
        <f t="shared" si="143"/>
        <v/>
      </c>
    </row>
    <row r="3045" spans="1:3" x14ac:dyDescent="0.25">
      <c r="A3045" s="8" t="str">
        <f t="shared" si="141"/>
        <v/>
      </c>
      <c r="B3045" s="9" t="str">
        <f t="shared" si="142"/>
        <v/>
      </c>
      <c r="C3045" s="10" t="str">
        <f t="shared" si="143"/>
        <v/>
      </c>
    </row>
    <row r="3046" spans="1:3" x14ac:dyDescent="0.25">
      <c r="A3046" s="8" t="str">
        <f t="shared" si="141"/>
        <v/>
      </c>
      <c r="B3046" s="9" t="str">
        <f t="shared" si="142"/>
        <v/>
      </c>
      <c r="C3046" s="10" t="str">
        <f t="shared" si="143"/>
        <v/>
      </c>
    </row>
    <row r="3047" spans="1:3" x14ac:dyDescent="0.25">
      <c r="A3047" s="8" t="str">
        <f t="shared" ref="A3047:A3110" si="144">IF(D3047="","",IF(E3047=0,CONCATENATE(D3047,".",E3047,"00"),CONCATENATE(D3047,".",E3047)))</f>
        <v/>
      </c>
      <c r="B3047" s="9" t="str">
        <f t="shared" ref="B3047:B3110" si="145">LEFT(G3047,1)</f>
        <v/>
      </c>
      <c r="C3047" s="10" t="str">
        <f t="shared" ref="C3047:C3110" si="146">IF(F3047="","",IF(B3047="",F3047-4,IF(B3047="1",F3047-4,IF(B3047="2",F3047-3,IF(B3047="3",F3047-2,IF(B3047="4",F3047-1,IF(B3047="V",F3047-7,IF(B3047="J",F3047-8,F3047))))))))</f>
        <v/>
      </c>
    </row>
    <row r="3048" spans="1:3" x14ac:dyDescent="0.25">
      <c r="A3048" s="8" t="str">
        <f t="shared" si="144"/>
        <v/>
      </c>
      <c r="B3048" s="9" t="str">
        <f t="shared" si="145"/>
        <v/>
      </c>
      <c r="C3048" s="10" t="str">
        <f t="shared" si="146"/>
        <v/>
      </c>
    </row>
    <row r="3049" spans="1:3" x14ac:dyDescent="0.25">
      <c r="A3049" s="8" t="str">
        <f t="shared" si="144"/>
        <v/>
      </c>
      <c r="B3049" s="9" t="str">
        <f t="shared" si="145"/>
        <v/>
      </c>
      <c r="C3049" s="10" t="str">
        <f t="shared" si="146"/>
        <v/>
      </c>
    </row>
    <row r="3050" spans="1:3" x14ac:dyDescent="0.25">
      <c r="A3050" s="8" t="str">
        <f t="shared" si="144"/>
        <v/>
      </c>
      <c r="B3050" s="9" t="str">
        <f t="shared" si="145"/>
        <v/>
      </c>
      <c r="C3050" s="10" t="str">
        <f t="shared" si="146"/>
        <v/>
      </c>
    </row>
    <row r="3051" spans="1:3" x14ac:dyDescent="0.25">
      <c r="A3051" s="8" t="str">
        <f t="shared" si="144"/>
        <v/>
      </c>
      <c r="B3051" s="9" t="str">
        <f t="shared" si="145"/>
        <v/>
      </c>
      <c r="C3051" s="10" t="str">
        <f t="shared" si="146"/>
        <v/>
      </c>
    </row>
    <row r="3052" spans="1:3" x14ac:dyDescent="0.25">
      <c r="A3052" s="8" t="str">
        <f t="shared" si="144"/>
        <v/>
      </c>
      <c r="B3052" s="9" t="str">
        <f t="shared" si="145"/>
        <v/>
      </c>
      <c r="C3052" s="10" t="str">
        <f t="shared" si="146"/>
        <v/>
      </c>
    </row>
    <row r="3053" spans="1:3" x14ac:dyDescent="0.25">
      <c r="A3053" s="8" t="str">
        <f t="shared" si="144"/>
        <v/>
      </c>
      <c r="B3053" s="9" t="str">
        <f t="shared" si="145"/>
        <v/>
      </c>
      <c r="C3053" s="10" t="str">
        <f t="shared" si="146"/>
        <v/>
      </c>
    </row>
    <row r="3054" spans="1:3" x14ac:dyDescent="0.25">
      <c r="A3054" s="8" t="str">
        <f t="shared" si="144"/>
        <v/>
      </c>
      <c r="B3054" s="9" t="str">
        <f t="shared" si="145"/>
        <v/>
      </c>
      <c r="C3054" s="10" t="str">
        <f t="shared" si="146"/>
        <v/>
      </c>
    </row>
    <row r="3055" spans="1:3" x14ac:dyDescent="0.25">
      <c r="A3055" s="8" t="str">
        <f t="shared" si="144"/>
        <v/>
      </c>
      <c r="B3055" s="9" t="str">
        <f t="shared" si="145"/>
        <v/>
      </c>
      <c r="C3055" s="10" t="str">
        <f t="shared" si="146"/>
        <v/>
      </c>
    </row>
    <row r="3056" spans="1:3" x14ac:dyDescent="0.25">
      <c r="A3056" s="8" t="str">
        <f t="shared" si="144"/>
        <v/>
      </c>
      <c r="B3056" s="9" t="str">
        <f t="shared" si="145"/>
        <v/>
      </c>
      <c r="C3056" s="10" t="str">
        <f t="shared" si="146"/>
        <v/>
      </c>
    </row>
    <row r="3057" spans="1:3" x14ac:dyDescent="0.25">
      <c r="A3057" s="8" t="str">
        <f t="shared" si="144"/>
        <v/>
      </c>
      <c r="B3057" s="9" t="str">
        <f t="shared" si="145"/>
        <v/>
      </c>
      <c r="C3057" s="10" t="str">
        <f t="shared" si="146"/>
        <v/>
      </c>
    </row>
    <row r="3058" spans="1:3" x14ac:dyDescent="0.25">
      <c r="A3058" s="8" t="str">
        <f t="shared" si="144"/>
        <v/>
      </c>
      <c r="B3058" s="9" t="str">
        <f t="shared" si="145"/>
        <v/>
      </c>
      <c r="C3058" s="10" t="str">
        <f t="shared" si="146"/>
        <v/>
      </c>
    </row>
    <row r="3059" spans="1:3" x14ac:dyDescent="0.25">
      <c r="A3059" s="8" t="str">
        <f t="shared" si="144"/>
        <v/>
      </c>
      <c r="B3059" s="9" t="str">
        <f t="shared" si="145"/>
        <v/>
      </c>
      <c r="C3059" s="10" t="str">
        <f t="shared" si="146"/>
        <v/>
      </c>
    </row>
    <row r="3060" spans="1:3" x14ac:dyDescent="0.25">
      <c r="A3060" s="8" t="str">
        <f t="shared" si="144"/>
        <v/>
      </c>
      <c r="B3060" s="9" t="str">
        <f t="shared" si="145"/>
        <v/>
      </c>
      <c r="C3060" s="10" t="str">
        <f t="shared" si="146"/>
        <v/>
      </c>
    </row>
    <row r="3061" spans="1:3" x14ac:dyDescent="0.25">
      <c r="A3061" s="8" t="str">
        <f t="shared" si="144"/>
        <v/>
      </c>
      <c r="B3061" s="9" t="str">
        <f t="shared" si="145"/>
        <v/>
      </c>
      <c r="C3061" s="10" t="str">
        <f t="shared" si="146"/>
        <v/>
      </c>
    </row>
    <row r="3062" spans="1:3" x14ac:dyDescent="0.25">
      <c r="A3062" s="8" t="str">
        <f t="shared" si="144"/>
        <v/>
      </c>
      <c r="B3062" s="9" t="str">
        <f t="shared" si="145"/>
        <v/>
      </c>
      <c r="C3062" s="10" t="str">
        <f t="shared" si="146"/>
        <v/>
      </c>
    </row>
    <row r="3063" spans="1:3" x14ac:dyDescent="0.25">
      <c r="A3063" s="8" t="str">
        <f t="shared" si="144"/>
        <v/>
      </c>
      <c r="B3063" s="9" t="str">
        <f t="shared" si="145"/>
        <v/>
      </c>
      <c r="C3063" s="10" t="str">
        <f t="shared" si="146"/>
        <v/>
      </c>
    </row>
    <row r="3064" spans="1:3" x14ac:dyDescent="0.25">
      <c r="A3064" s="8" t="str">
        <f t="shared" si="144"/>
        <v/>
      </c>
      <c r="B3064" s="9" t="str">
        <f t="shared" si="145"/>
        <v/>
      </c>
      <c r="C3064" s="10" t="str">
        <f t="shared" si="146"/>
        <v/>
      </c>
    </row>
    <row r="3065" spans="1:3" x14ac:dyDescent="0.25">
      <c r="A3065" s="8" t="str">
        <f t="shared" si="144"/>
        <v/>
      </c>
      <c r="B3065" s="9" t="str">
        <f t="shared" si="145"/>
        <v/>
      </c>
      <c r="C3065" s="10" t="str">
        <f t="shared" si="146"/>
        <v/>
      </c>
    </row>
    <row r="3066" spans="1:3" x14ac:dyDescent="0.25">
      <c r="A3066" s="8" t="str">
        <f t="shared" si="144"/>
        <v/>
      </c>
      <c r="B3066" s="9" t="str">
        <f t="shared" si="145"/>
        <v/>
      </c>
      <c r="C3066" s="10" t="str">
        <f t="shared" si="146"/>
        <v/>
      </c>
    </row>
    <row r="3067" spans="1:3" x14ac:dyDescent="0.25">
      <c r="A3067" s="8" t="str">
        <f t="shared" si="144"/>
        <v/>
      </c>
      <c r="B3067" s="9" t="str">
        <f t="shared" si="145"/>
        <v/>
      </c>
      <c r="C3067" s="10" t="str">
        <f t="shared" si="146"/>
        <v/>
      </c>
    </row>
    <row r="3068" spans="1:3" x14ac:dyDescent="0.25">
      <c r="A3068" s="8" t="str">
        <f t="shared" si="144"/>
        <v/>
      </c>
      <c r="B3068" s="9" t="str">
        <f t="shared" si="145"/>
        <v/>
      </c>
      <c r="C3068" s="10" t="str">
        <f t="shared" si="146"/>
        <v/>
      </c>
    </row>
    <row r="3069" spans="1:3" x14ac:dyDescent="0.25">
      <c r="A3069" s="8" t="str">
        <f t="shared" si="144"/>
        <v/>
      </c>
      <c r="B3069" s="9" t="str">
        <f t="shared" si="145"/>
        <v/>
      </c>
      <c r="C3069" s="10" t="str">
        <f t="shared" si="146"/>
        <v/>
      </c>
    </row>
    <row r="3070" spans="1:3" x14ac:dyDescent="0.25">
      <c r="A3070" s="8" t="str">
        <f t="shared" si="144"/>
        <v/>
      </c>
      <c r="B3070" s="9" t="str">
        <f t="shared" si="145"/>
        <v/>
      </c>
      <c r="C3070" s="10" t="str">
        <f t="shared" si="146"/>
        <v/>
      </c>
    </row>
    <row r="3071" spans="1:3" x14ac:dyDescent="0.25">
      <c r="A3071" s="8" t="str">
        <f t="shared" si="144"/>
        <v/>
      </c>
      <c r="B3071" s="9" t="str">
        <f t="shared" si="145"/>
        <v/>
      </c>
      <c r="C3071" s="10" t="str">
        <f t="shared" si="146"/>
        <v/>
      </c>
    </row>
    <row r="3072" spans="1:3" x14ac:dyDescent="0.25">
      <c r="A3072" s="8" t="str">
        <f t="shared" si="144"/>
        <v/>
      </c>
      <c r="B3072" s="9" t="str">
        <f t="shared" si="145"/>
        <v/>
      </c>
      <c r="C3072" s="10" t="str">
        <f t="shared" si="146"/>
        <v/>
      </c>
    </row>
    <row r="3073" spans="1:3" x14ac:dyDescent="0.25">
      <c r="A3073" s="8" t="str">
        <f t="shared" si="144"/>
        <v/>
      </c>
      <c r="B3073" s="9" t="str">
        <f t="shared" si="145"/>
        <v/>
      </c>
      <c r="C3073" s="10" t="str">
        <f t="shared" si="146"/>
        <v/>
      </c>
    </row>
    <row r="3074" spans="1:3" x14ac:dyDescent="0.25">
      <c r="A3074" s="8" t="str">
        <f t="shared" si="144"/>
        <v/>
      </c>
      <c r="B3074" s="9" t="str">
        <f t="shared" si="145"/>
        <v/>
      </c>
      <c r="C3074" s="10" t="str">
        <f t="shared" si="146"/>
        <v/>
      </c>
    </row>
    <row r="3075" spans="1:3" x14ac:dyDescent="0.25">
      <c r="A3075" s="8" t="str">
        <f t="shared" si="144"/>
        <v/>
      </c>
      <c r="B3075" s="9" t="str">
        <f t="shared" si="145"/>
        <v/>
      </c>
      <c r="C3075" s="10" t="str">
        <f t="shared" si="146"/>
        <v/>
      </c>
    </row>
    <row r="3076" spans="1:3" x14ac:dyDescent="0.25">
      <c r="A3076" s="8" t="str">
        <f t="shared" si="144"/>
        <v/>
      </c>
      <c r="B3076" s="9" t="str">
        <f t="shared" si="145"/>
        <v/>
      </c>
      <c r="C3076" s="10" t="str">
        <f t="shared" si="146"/>
        <v/>
      </c>
    </row>
    <row r="3077" spans="1:3" x14ac:dyDescent="0.25">
      <c r="A3077" s="8" t="str">
        <f t="shared" si="144"/>
        <v/>
      </c>
      <c r="B3077" s="9" t="str">
        <f t="shared" si="145"/>
        <v/>
      </c>
      <c r="C3077" s="10" t="str">
        <f t="shared" si="146"/>
        <v/>
      </c>
    </row>
    <row r="3078" spans="1:3" x14ac:dyDescent="0.25">
      <c r="A3078" s="8" t="str">
        <f t="shared" si="144"/>
        <v/>
      </c>
      <c r="B3078" s="9" t="str">
        <f t="shared" si="145"/>
        <v/>
      </c>
      <c r="C3078" s="10" t="str">
        <f t="shared" si="146"/>
        <v/>
      </c>
    </row>
    <row r="3079" spans="1:3" x14ac:dyDescent="0.25">
      <c r="A3079" s="8" t="str">
        <f t="shared" si="144"/>
        <v/>
      </c>
      <c r="B3079" s="9" t="str">
        <f t="shared" si="145"/>
        <v/>
      </c>
      <c r="C3079" s="10" t="str">
        <f t="shared" si="146"/>
        <v/>
      </c>
    </row>
    <row r="3080" spans="1:3" x14ac:dyDescent="0.25">
      <c r="A3080" s="8" t="str">
        <f t="shared" si="144"/>
        <v/>
      </c>
      <c r="B3080" s="9" t="str">
        <f t="shared" si="145"/>
        <v/>
      </c>
      <c r="C3080" s="10" t="str">
        <f t="shared" si="146"/>
        <v/>
      </c>
    </row>
    <row r="3081" spans="1:3" x14ac:dyDescent="0.25">
      <c r="A3081" s="8" t="str">
        <f t="shared" si="144"/>
        <v/>
      </c>
      <c r="B3081" s="9" t="str">
        <f t="shared" si="145"/>
        <v/>
      </c>
      <c r="C3081" s="10" t="str">
        <f t="shared" si="146"/>
        <v/>
      </c>
    </row>
    <row r="3082" spans="1:3" x14ac:dyDescent="0.25">
      <c r="A3082" s="8" t="str">
        <f t="shared" si="144"/>
        <v/>
      </c>
      <c r="B3082" s="9" t="str">
        <f t="shared" si="145"/>
        <v/>
      </c>
      <c r="C3082" s="10" t="str">
        <f t="shared" si="146"/>
        <v/>
      </c>
    </row>
    <row r="3083" spans="1:3" x14ac:dyDescent="0.25">
      <c r="A3083" s="8" t="str">
        <f t="shared" si="144"/>
        <v/>
      </c>
      <c r="B3083" s="9" t="str">
        <f t="shared" si="145"/>
        <v/>
      </c>
      <c r="C3083" s="10" t="str">
        <f t="shared" si="146"/>
        <v/>
      </c>
    </row>
    <row r="3084" spans="1:3" x14ac:dyDescent="0.25">
      <c r="A3084" s="8" t="str">
        <f t="shared" si="144"/>
        <v/>
      </c>
      <c r="B3084" s="9" t="str">
        <f t="shared" si="145"/>
        <v/>
      </c>
      <c r="C3084" s="10" t="str">
        <f t="shared" si="146"/>
        <v/>
      </c>
    </row>
    <row r="3085" spans="1:3" x14ac:dyDescent="0.25">
      <c r="A3085" s="8" t="str">
        <f t="shared" si="144"/>
        <v/>
      </c>
      <c r="B3085" s="9" t="str">
        <f t="shared" si="145"/>
        <v/>
      </c>
      <c r="C3085" s="10" t="str">
        <f t="shared" si="146"/>
        <v/>
      </c>
    </row>
    <row r="3086" spans="1:3" x14ac:dyDescent="0.25">
      <c r="A3086" s="8" t="str">
        <f t="shared" si="144"/>
        <v/>
      </c>
      <c r="B3086" s="9" t="str">
        <f t="shared" si="145"/>
        <v/>
      </c>
      <c r="C3086" s="10" t="str">
        <f t="shared" si="146"/>
        <v/>
      </c>
    </row>
    <row r="3087" spans="1:3" x14ac:dyDescent="0.25">
      <c r="A3087" s="8" t="str">
        <f t="shared" si="144"/>
        <v/>
      </c>
      <c r="B3087" s="9" t="str">
        <f t="shared" si="145"/>
        <v/>
      </c>
      <c r="C3087" s="10" t="str">
        <f t="shared" si="146"/>
        <v/>
      </c>
    </row>
    <row r="3088" spans="1:3" x14ac:dyDescent="0.25">
      <c r="A3088" s="8" t="str">
        <f t="shared" si="144"/>
        <v/>
      </c>
      <c r="B3088" s="9" t="str">
        <f t="shared" si="145"/>
        <v/>
      </c>
      <c r="C3088" s="10" t="str">
        <f t="shared" si="146"/>
        <v/>
      </c>
    </row>
    <row r="3089" spans="1:3" x14ac:dyDescent="0.25">
      <c r="A3089" s="8" t="str">
        <f t="shared" si="144"/>
        <v/>
      </c>
      <c r="B3089" s="9" t="str">
        <f t="shared" si="145"/>
        <v/>
      </c>
      <c r="C3089" s="10" t="str">
        <f t="shared" si="146"/>
        <v/>
      </c>
    </row>
    <row r="3090" spans="1:3" x14ac:dyDescent="0.25">
      <c r="A3090" s="8" t="str">
        <f t="shared" si="144"/>
        <v/>
      </c>
      <c r="B3090" s="9" t="str">
        <f t="shared" si="145"/>
        <v/>
      </c>
      <c r="C3090" s="10" t="str">
        <f t="shared" si="146"/>
        <v/>
      </c>
    </row>
    <row r="3091" spans="1:3" x14ac:dyDescent="0.25">
      <c r="A3091" s="8" t="str">
        <f t="shared" si="144"/>
        <v/>
      </c>
      <c r="B3091" s="9" t="str">
        <f t="shared" si="145"/>
        <v/>
      </c>
      <c r="C3091" s="10" t="str">
        <f t="shared" si="146"/>
        <v/>
      </c>
    </row>
    <row r="3092" spans="1:3" x14ac:dyDescent="0.25">
      <c r="A3092" s="8" t="str">
        <f t="shared" si="144"/>
        <v/>
      </c>
      <c r="B3092" s="9" t="str">
        <f t="shared" si="145"/>
        <v/>
      </c>
      <c r="C3092" s="10" t="str">
        <f t="shared" si="146"/>
        <v/>
      </c>
    </row>
    <row r="3093" spans="1:3" x14ac:dyDescent="0.25">
      <c r="A3093" s="8" t="str">
        <f t="shared" si="144"/>
        <v/>
      </c>
      <c r="B3093" s="9" t="str">
        <f t="shared" si="145"/>
        <v/>
      </c>
      <c r="C3093" s="10" t="str">
        <f t="shared" si="146"/>
        <v/>
      </c>
    </row>
    <row r="3094" spans="1:3" x14ac:dyDescent="0.25">
      <c r="A3094" s="8" t="str">
        <f t="shared" si="144"/>
        <v/>
      </c>
      <c r="B3094" s="9" t="str">
        <f t="shared" si="145"/>
        <v/>
      </c>
      <c r="C3094" s="10" t="str">
        <f t="shared" si="146"/>
        <v/>
      </c>
    </row>
    <row r="3095" spans="1:3" x14ac:dyDescent="0.25">
      <c r="A3095" s="8" t="str">
        <f t="shared" si="144"/>
        <v/>
      </c>
      <c r="B3095" s="9" t="str">
        <f t="shared" si="145"/>
        <v/>
      </c>
      <c r="C3095" s="10" t="str">
        <f t="shared" si="146"/>
        <v/>
      </c>
    </row>
    <row r="3096" spans="1:3" x14ac:dyDescent="0.25">
      <c r="A3096" s="8" t="str">
        <f t="shared" si="144"/>
        <v/>
      </c>
      <c r="B3096" s="9" t="str">
        <f t="shared" si="145"/>
        <v/>
      </c>
      <c r="C3096" s="10" t="str">
        <f t="shared" si="146"/>
        <v/>
      </c>
    </row>
    <row r="3097" spans="1:3" x14ac:dyDescent="0.25">
      <c r="A3097" s="8" t="str">
        <f t="shared" si="144"/>
        <v/>
      </c>
      <c r="B3097" s="9" t="str">
        <f t="shared" si="145"/>
        <v/>
      </c>
      <c r="C3097" s="10" t="str">
        <f t="shared" si="146"/>
        <v/>
      </c>
    </row>
    <row r="3098" spans="1:3" x14ac:dyDescent="0.25">
      <c r="A3098" s="8" t="str">
        <f t="shared" si="144"/>
        <v/>
      </c>
      <c r="B3098" s="9" t="str">
        <f t="shared" si="145"/>
        <v/>
      </c>
      <c r="C3098" s="10" t="str">
        <f t="shared" si="146"/>
        <v/>
      </c>
    </row>
    <row r="3099" spans="1:3" x14ac:dyDescent="0.25">
      <c r="A3099" s="8" t="str">
        <f t="shared" si="144"/>
        <v/>
      </c>
      <c r="B3099" s="9" t="str">
        <f t="shared" si="145"/>
        <v/>
      </c>
      <c r="C3099" s="10" t="str">
        <f t="shared" si="146"/>
        <v/>
      </c>
    </row>
    <row r="3100" spans="1:3" x14ac:dyDescent="0.25">
      <c r="A3100" s="8" t="str">
        <f t="shared" si="144"/>
        <v/>
      </c>
      <c r="B3100" s="9" t="str">
        <f t="shared" si="145"/>
        <v/>
      </c>
      <c r="C3100" s="10" t="str">
        <f t="shared" si="146"/>
        <v/>
      </c>
    </row>
    <row r="3101" spans="1:3" x14ac:dyDescent="0.25">
      <c r="A3101" s="8" t="str">
        <f t="shared" si="144"/>
        <v/>
      </c>
      <c r="B3101" s="9" t="str">
        <f t="shared" si="145"/>
        <v/>
      </c>
      <c r="C3101" s="10" t="str">
        <f t="shared" si="146"/>
        <v/>
      </c>
    </row>
    <row r="3102" spans="1:3" x14ac:dyDescent="0.25">
      <c r="A3102" s="8" t="str">
        <f t="shared" si="144"/>
        <v/>
      </c>
      <c r="B3102" s="9" t="str">
        <f t="shared" si="145"/>
        <v/>
      </c>
      <c r="C3102" s="10" t="str">
        <f t="shared" si="146"/>
        <v/>
      </c>
    </row>
    <row r="3103" spans="1:3" x14ac:dyDescent="0.25">
      <c r="A3103" s="8" t="str">
        <f t="shared" si="144"/>
        <v/>
      </c>
      <c r="B3103" s="9" t="str">
        <f t="shared" si="145"/>
        <v/>
      </c>
      <c r="C3103" s="10" t="str">
        <f t="shared" si="146"/>
        <v/>
      </c>
    </row>
    <row r="3104" spans="1:3" x14ac:dyDescent="0.25">
      <c r="A3104" s="8" t="str">
        <f t="shared" si="144"/>
        <v/>
      </c>
      <c r="B3104" s="9" t="str">
        <f t="shared" si="145"/>
        <v/>
      </c>
      <c r="C3104" s="10" t="str">
        <f t="shared" si="146"/>
        <v/>
      </c>
    </row>
    <row r="3105" spans="1:3" x14ac:dyDescent="0.25">
      <c r="A3105" s="8" t="str">
        <f t="shared" si="144"/>
        <v/>
      </c>
      <c r="B3105" s="9" t="str">
        <f t="shared" si="145"/>
        <v/>
      </c>
      <c r="C3105" s="10" t="str">
        <f t="shared" si="146"/>
        <v/>
      </c>
    </row>
    <row r="3106" spans="1:3" x14ac:dyDescent="0.25">
      <c r="A3106" s="8" t="str">
        <f t="shared" si="144"/>
        <v/>
      </c>
      <c r="B3106" s="9" t="str">
        <f t="shared" si="145"/>
        <v/>
      </c>
      <c r="C3106" s="10" t="str">
        <f t="shared" si="146"/>
        <v/>
      </c>
    </row>
    <row r="3107" spans="1:3" x14ac:dyDescent="0.25">
      <c r="A3107" s="8" t="str">
        <f t="shared" si="144"/>
        <v/>
      </c>
      <c r="B3107" s="9" t="str">
        <f t="shared" si="145"/>
        <v/>
      </c>
      <c r="C3107" s="10" t="str">
        <f t="shared" si="146"/>
        <v/>
      </c>
    </row>
    <row r="3108" spans="1:3" x14ac:dyDescent="0.25">
      <c r="A3108" s="8" t="str">
        <f t="shared" si="144"/>
        <v/>
      </c>
      <c r="B3108" s="9" t="str">
        <f t="shared" si="145"/>
        <v/>
      </c>
      <c r="C3108" s="10" t="str">
        <f t="shared" si="146"/>
        <v/>
      </c>
    </row>
    <row r="3109" spans="1:3" x14ac:dyDescent="0.25">
      <c r="A3109" s="8" t="str">
        <f t="shared" si="144"/>
        <v/>
      </c>
      <c r="B3109" s="9" t="str">
        <f t="shared" si="145"/>
        <v/>
      </c>
      <c r="C3109" s="10" t="str">
        <f t="shared" si="146"/>
        <v/>
      </c>
    </row>
    <row r="3110" spans="1:3" x14ac:dyDescent="0.25">
      <c r="A3110" s="8" t="str">
        <f t="shared" si="144"/>
        <v/>
      </c>
      <c r="B3110" s="9" t="str">
        <f t="shared" si="145"/>
        <v/>
      </c>
      <c r="C3110" s="10" t="str">
        <f t="shared" si="146"/>
        <v/>
      </c>
    </row>
    <row r="3111" spans="1:3" x14ac:dyDescent="0.25">
      <c r="A3111" s="8" t="str">
        <f t="shared" ref="A3111:A3174" si="147">IF(D3111="","",IF(E3111=0,CONCATENATE(D3111,".",E3111,"00"),CONCATENATE(D3111,".",E3111)))</f>
        <v/>
      </c>
      <c r="B3111" s="9" t="str">
        <f t="shared" ref="B3111:B3174" si="148">LEFT(G3111,1)</f>
        <v/>
      </c>
      <c r="C3111" s="10" t="str">
        <f t="shared" ref="C3111:C3174" si="149">IF(F3111="","",IF(B3111="",F3111-4,IF(B3111="1",F3111-4,IF(B3111="2",F3111-3,IF(B3111="3",F3111-2,IF(B3111="4",F3111-1,IF(B3111="V",F3111-7,IF(B3111="J",F3111-8,F3111))))))))</f>
        <v/>
      </c>
    </row>
    <row r="3112" spans="1:3" x14ac:dyDescent="0.25">
      <c r="A3112" s="8" t="str">
        <f t="shared" si="147"/>
        <v/>
      </c>
      <c r="B3112" s="9" t="str">
        <f t="shared" si="148"/>
        <v/>
      </c>
      <c r="C3112" s="10" t="str">
        <f t="shared" si="149"/>
        <v/>
      </c>
    </row>
    <row r="3113" spans="1:3" x14ac:dyDescent="0.25">
      <c r="A3113" s="8" t="str">
        <f t="shared" si="147"/>
        <v/>
      </c>
      <c r="B3113" s="9" t="str">
        <f t="shared" si="148"/>
        <v/>
      </c>
      <c r="C3113" s="10" t="str">
        <f t="shared" si="149"/>
        <v/>
      </c>
    </row>
    <row r="3114" spans="1:3" x14ac:dyDescent="0.25">
      <c r="A3114" s="8" t="str">
        <f t="shared" si="147"/>
        <v/>
      </c>
      <c r="B3114" s="9" t="str">
        <f t="shared" si="148"/>
        <v/>
      </c>
      <c r="C3114" s="10" t="str">
        <f t="shared" si="149"/>
        <v/>
      </c>
    </row>
    <row r="3115" spans="1:3" x14ac:dyDescent="0.25">
      <c r="A3115" s="8" t="str">
        <f t="shared" si="147"/>
        <v/>
      </c>
      <c r="B3115" s="9" t="str">
        <f t="shared" si="148"/>
        <v/>
      </c>
      <c r="C3115" s="10" t="str">
        <f t="shared" si="149"/>
        <v/>
      </c>
    </row>
    <row r="3116" spans="1:3" x14ac:dyDescent="0.25">
      <c r="A3116" s="8" t="str">
        <f t="shared" si="147"/>
        <v/>
      </c>
      <c r="B3116" s="9" t="str">
        <f t="shared" si="148"/>
        <v/>
      </c>
      <c r="C3116" s="10" t="str">
        <f t="shared" si="149"/>
        <v/>
      </c>
    </row>
    <row r="3117" spans="1:3" x14ac:dyDescent="0.25">
      <c r="A3117" s="8" t="str">
        <f t="shared" si="147"/>
        <v/>
      </c>
      <c r="B3117" s="9" t="str">
        <f t="shared" si="148"/>
        <v/>
      </c>
      <c r="C3117" s="10" t="str">
        <f t="shared" si="149"/>
        <v/>
      </c>
    </row>
    <row r="3118" spans="1:3" x14ac:dyDescent="0.25">
      <c r="A3118" s="8" t="str">
        <f t="shared" si="147"/>
        <v/>
      </c>
      <c r="B3118" s="9" t="str">
        <f t="shared" si="148"/>
        <v/>
      </c>
      <c r="C3118" s="10" t="str">
        <f t="shared" si="149"/>
        <v/>
      </c>
    </row>
    <row r="3119" spans="1:3" x14ac:dyDescent="0.25">
      <c r="A3119" s="8" t="str">
        <f t="shared" si="147"/>
        <v/>
      </c>
      <c r="B3119" s="9" t="str">
        <f t="shared" si="148"/>
        <v/>
      </c>
      <c r="C3119" s="10" t="str">
        <f t="shared" si="149"/>
        <v/>
      </c>
    </row>
    <row r="3120" spans="1:3" x14ac:dyDescent="0.25">
      <c r="A3120" s="8" t="str">
        <f t="shared" si="147"/>
        <v/>
      </c>
      <c r="B3120" s="9" t="str">
        <f t="shared" si="148"/>
        <v/>
      </c>
      <c r="C3120" s="10" t="str">
        <f t="shared" si="149"/>
        <v/>
      </c>
    </row>
    <row r="3121" spans="1:3" x14ac:dyDescent="0.25">
      <c r="A3121" s="8" t="str">
        <f t="shared" si="147"/>
        <v/>
      </c>
      <c r="B3121" s="9" t="str">
        <f t="shared" si="148"/>
        <v/>
      </c>
      <c r="C3121" s="10" t="str">
        <f t="shared" si="149"/>
        <v/>
      </c>
    </row>
    <row r="3122" spans="1:3" x14ac:dyDescent="0.25">
      <c r="A3122" s="8" t="str">
        <f t="shared" si="147"/>
        <v/>
      </c>
      <c r="B3122" s="9" t="str">
        <f t="shared" si="148"/>
        <v/>
      </c>
      <c r="C3122" s="10" t="str">
        <f t="shared" si="149"/>
        <v/>
      </c>
    </row>
    <row r="3123" spans="1:3" x14ac:dyDescent="0.25">
      <c r="A3123" s="8" t="str">
        <f t="shared" si="147"/>
        <v/>
      </c>
      <c r="B3123" s="9" t="str">
        <f t="shared" si="148"/>
        <v/>
      </c>
      <c r="C3123" s="10" t="str">
        <f t="shared" si="149"/>
        <v/>
      </c>
    </row>
    <row r="3124" spans="1:3" x14ac:dyDescent="0.25">
      <c r="A3124" s="8" t="str">
        <f t="shared" si="147"/>
        <v/>
      </c>
      <c r="B3124" s="9" t="str">
        <f t="shared" si="148"/>
        <v/>
      </c>
      <c r="C3124" s="10" t="str">
        <f t="shared" si="149"/>
        <v/>
      </c>
    </row>
    <row r="3125" spans="1:3" x14ac:dyDescent="0.25">
      <c r="A3125" s="8" t="str">
        <f t="shared" si="147"/>
        <v/>
      </c>
      <c r="B3125" s="9" t="str">
        <f t="shared" si="148"/>
        <v/>
      </c>
      <c r="C3125" s="10" t="str">
        <f t="shared" si="149"/>
        <v/>
      </c>
    </row>
    <row r="3126" spans="1:3" x14ac:dyDescent="0.25">
      <c r="A3126" s="8" t="str">
        <f t="shared" si="147"/>
        <v/>
      </c>
      <c r="B3126" s="9" t="str">
        <f t="shared" si="148"/>
        <v/>
      </c>
      <c r="C3126" s="10" t="str">
        <f t="shared" si="149"/>
        <v/>
      </c>
    </row>
    <row r="3127" spans="1:3" x14ac:dyDescent="0.25">
      <c r="A3127" s="8" t="str">
        <f t="shared" si="147"/>
        <v/>
      </c>
      <c r="B3127" s="9" t="str">
        <f t="shared" si="148"/>
        <v/>
      </c>
      <c r="C3127" s="10" t="str">
        <f t="shared" si="149"/>
        <v/>
      </c>
    </row>
    <row r="3128" spans="1:3" x14ac:dyDescent="0.25">
      <c r="A3128" s="8" t="str">
        <f t="shared" si="147"/>
        <v/>
      </c>
      <c r="B3128" s="9" t="str">
        <f t="shared" si="148"/>
        <v/>
      </c>
      <c r="C3128" s="10" t="str">
        <f t="shared" si="149"/>
        <v/>
      </c>
    </row>
    <row r="3129" spans="1:3" x14ac:dyDescent="0.25">
      <c r="A3129" s="8" t="str">
        <f t="shared" si="147"/>
        <v/>
      </c>
      <c r="B3129" s="9" t="str">
        <f t="shared" si="148"/>
        <v/>
      </c>
      <c r="C3129" s="10" t="str">
        <f t="shared" si="149"/>
        <v/>
      </c>
    </row>
    <row r="3130" spans="1:3" x14ac:dyDescent="0.25">
      <c r="A3130" s="8" t="str">
        <f t="shared" si="147"/>
        <v/>
      </c>
      <c r="B3130" s="9" t="str">
        <f t="shared" si="148"/>
        <v/>
      </c>
      <c r="C3130" s="10" t="str">
        <f t="shared" si="149"/>
        <v/>
      </c>
    </row>
    <row r="3131" spans="1:3" x14ac:dyDescent="0.25">
      <c r="A3131" s="8" t="str">
        <f t="shared" si="147"/>
        <v/>
      </c>
      <c r="B3131" s="9" t="str">
        <f t="shared" si="148"/>
        <v/>
      </c>
      <c r="C3131" s="10" t="str">
        <f t="shared" si="149"/>
        <v/>
      </c>
    </row>
    <row r="3132" spans="1:3" x14ac:dyDescent="0.25">
      <c r="A3132" s="8" t="str">
        <f t="shared" si="147"/>
        <v/>
      </c>
      <c r="B3132" s="9" t="str">
        <f t="shared" si="148"/>
        <v/>
      </c>
      <c r="C3132" s="10" t="str">
        <f t="shared" si="149"/>
        <v/>
      </c>
    </row>
    <row r="3133" spans="1:3" x14ac:dyDescent="0.25">
      <c r="A3133" s="8" t="str">
        <f t="shared" si="147"/>
        <v/>
      </c>
      <c r="B3133" s="9" t="str">
        <f t="shared" si="148"/>
        <v/>
      </c>
      <c r="C3133" s="10" t="str">
        <f t="shared" si="149"/>
        <v/>
      </c>
    </row>
    <row r="3134" spans="1:3" x14ac:dyDescent="0.25">
      <c r="A3134" s="8" t="str">
        <f t="shared" si="147"/>
        <v/>
      </c>
      <c r="B3134" s="9" t="str">
        <f t="shared" si="148"/>
        <v/>
      </c>
      <c r="C3134" s="10" t="str">
        <f t="shared" si="149"/>
        <v/>
      </c>
    </row>
    <row r="3135" spans="1:3" x14ac:dyDescent="0.25">
      <c r="A3135" s="8" t="str">
        <f t="shared" si="147"/>
        <v/>
      </c>
      <c r="B3135" s="9" t="str">
        <f t="shared" si="148"/>
        <v/>
      </c>
      <c r="C3135" s="10" t="str">
        <f t="shared" si="149"/>
        <v/>
      </c>
    </row>
    <row r="3136" spans="1:3" x14ac:dyDescent="0.25">
      <c r="A3136" s="8" t="str">
        <f t="shared" si="147"/>
        <v/>
      </c>
      <c r="B3136" s="9" t="str">
        <f t="shared" si="148"/>
        <v/>
      </c>
      <c r="C3136" s="10" t="str">
        <f t="shared" si="149"/>
        <v/>
      </c>
    </row>
    <row r="3137" spans="1:3" x14ac:dyDescent="0.25">
      <c r="A3137" s="8" t="str">
        <f t="shared" si="147"/>
        <v/>
      </c>
      <c r="B3137" s="9" t="str">
        <f t="shared" si="148"/>
        <v/>
      </c>
      <c r="C3137" s="10" t="str">
        <f t="shared" si="149"/>
        <v/>
      </c>
    </row>
    <row r="3138" spans="1:3" x14ac:dyDescent="0.25">
      <c r="A3138" s="8" t="str">
        <f t="shared" si="147"/>
        <v/>
      </c>
      <c r="B3138" s="9" t="str">
        <f t="shared" si="148"/>
        <v/>
      </c>
      <c r="C3138" s="10" t="str">
        <f t="shared" si="149"/>
        <v/>
      </c>
    </row>
    <row r="3139" spans="1:3" x14ac:dyDescent="0.25">
      <c r="A3139" s="8" t="str">
        <f t="shared" si="147"/>
        <v/>
      </c>
      <c r="B3139" s="9" t="str">
        <f t="shared" si="148"/>
        <v/>
      </c>
      <c r="C3139" s="10" t="str">
        <f t="shared" si="149"/>
        <v/>
      </c>
    </row>
    <row r="3140" spans="1:3" x14ac:dyDescent="0.25">
      <c r="A3140" s="8" t="str">
        <f t="shared" si="147"/>
        <v/>
      </c>
      <c r="B3140" s="9" t="str">
        <f t="shared" si="148"/>
        <v/>
      </c>
      <c r="C3140" s="10" t="str">
        <f t="shared" si="149"/>
        <v/>
      </c>
    </row>
    <row r="3141" spans="1:3" x14ac:dyDescent="0.25">
      <c r="A3141" s="8" t="str">
        <f t="shared" si="147"/>
        <v/>
      </c>
      <c r="B3141" s="9" t="str">
        <f t="shared" si="148"/>
        <v/>
      </c>
      <c r="C3141" s="10" t="str">
        <f t="shared" si="149"/>
        <v/>
      </c>
    </row>
    <row r="3142" spans="1:3" x14ac:dyDescent="0.25">
      <c r="A3142" s="8" t="str">
        <f t="shared" si="147"/>
        <v/>
      </c>
      <c r="B3142" s="9" t="str">
        <f t="shared" si="148"/>
        <v/>
      </c>
      <c r="C3142" s="10" t="str">
        <f t="shared" si="149"/>
        <v/>
      </c>
    </row>
    <row r="3143" spans="1:3" x14ac:dyDescent="0.25">
      <c r="A3143" s="8" t="str">
        <f t="shared" si="147"/>
        <v/>
      </c>
      <c r="B3143" s="9" t="str">
        <f t="shared" si="148"/>
        <v/>
      </c>
      <c r="C3143" s="10" t="str">
        <f t="shared" si="149"/>
        <v/>
      </c>
    </row>
    <row r="3144" spans="1:3" x14ac:dyDescent="0.25">
      <c r="A3144" s="8" t="str">
        <f t="shared" si="147"/>
        <v/>
      </c>
      <c r="B3144" s="9" t="str">
        <f t="shared" si="148"/>
        <v/>
      </c>
      <c r="C3144" s="10" t="str">
        <f t="shared" si="149"/>
        <v/>
      </c>
    </row>
    <row r="3145" spans="1:3" x14ac:dyDescent="0.25">
      <c r="A3145" s="8" t="str">
        <f t="shared" si="147"/>
        <v/>
      </c>
      <c r="B3145" s="9" t="str">
        <f t="shared" si="148"/>
        <v/>
      </c>
      <c r="C3145" s="10" t="str">
        <f t="shared" si="149"/>
        <v/>
      </c>
    </row>
    <row r="3146" spans="1:3" x14ac:dyDescent="0.25">
      <c r="A3146" s="8" t="str">
        <f t="shared" si="147"/>
        <v/>
      </c>
      <c r="B3146" s="9" t="str">
        <f t="shared" si="148"/>
        <v/>
      </c>
      <c r="C3146" s="10" t="str">
        <f t="shared" si="149"/>
        <v/>
      </c>
    </row>
    <row r="3147" spans="1:3" x14ac:dyDescent="0.25">
      <c r="A3147" s="8" t="str">
        <f t="shared" si="147"/>
        <v/>
      </c>
      <c r="B3147" s="9" t="str">
        <f t="shared" si="148"/>
        <v/>
      </c>
      <c r="C3147" s="10" t="str">
        <f t="shared" si="149"/>
        <v/>
      </c>
    </row>
    <row r="3148" spans="1:3" x14ac:dyDescent="0.25">
      <c r="A3148" s="8" t="str">
        <f t="shared" si="147"/>
        <v/>
      </c>
      <c r="B3148" s="9" t="str">
        <f t="shared" si="148"/>
        <v/>
      </c>
      <c r="C3148" s="10" t="str">
        <f t="shared" si="149"/>
        <v/>
      </c>
    </row>
    <row r="3149" spans="1:3" x14ac:dyDescent="0.25">
      <c r="A3149" s="8" t="str">
        <f t="shared" si="147"/>
        <v/>
      </c>
      <c r="B3149" s="9" t="str">
        <f t="shared" si="148"/>
        <v/>
      </c>
      <c r="C3149" s="10" t="str">
        <f t="shared" si="149"/>
        <v/>
      </c>
    </row>
    <row r="3150" spans="1:3" x14ac:dyDescent="0.25">
      <c r="A3150" s="8" t="str">
        <f t="shared" si="147"/>
        <v/>
      </c>
      <c r="B3150" s="9" t="str">
        <f t="shared" si="148"/>
        <v/>
      </c>
      <c r="C3150" s="10" t="str">
        <f t="shared" si="149"/>
        <v/>
      </c>
    </row>
    <row r="3151" spans="1:3" x14ac:dyDescent="0.25">
      <c r="A3151" s="8" t="str">
        <f t="shared" si="147"/>
        <v/>
      </c>
      <c r="B3151" s="9" t="str">
        <f t="shared" si="148"/>
        <v/>
      </c>
      <c r="C3151" s="10" t="str">
        <f t="shared" si="149"/>
        <v/>
      </c>
    </row>
    <row r="3152" spans="1:3" x14ac:dyDescent="0.25">
      <c r="A3152" s="8" t="str">
        <f t="shared" si="147"/>
        <v/>
      </c>
      <c r="B3152" s="9" t="str">
        <f t="shared" si="148"/>
        <v/>
      </c>
      <c r="C3152" s="10" t="str">
        <f t="shared" si="149"/>
        <v/>
      </c>
    </row>
    <row r="3153" spans="1:3" x14ac:dyDescent="0.25">
      <c r="A3153" s="8" t="str">
        <f t="shared" si="147"/>
        <v/>
      </c>
      <c r="B3153" s="9" t="str">
        <f t="shared" si="148"/>
        <v/>
      </c>
      <c r="C3153" s="10" t="str">
        <f t="shared" si="149"/>
        <v/>
      </c>
    </row>
    <row r="3154" spans="1:3" x14ac:dyDescent="0.25">
      <c r="A3154" s="8" t="str">
        <f t="shared" si="147"/>
        <v/>
      </c>
      <c r="B3154" s="9" t="str">
        <f t="shared" si="148"/>
        <v/>
      </c>
      <c r="C3154" s="10" t="str">
        <f t="shared" si="149"/>
        <v/>
      </c>
    </row>
    <row r="3155" spans="1:3" x14ac:dyDescent="0.25">
      <c r="A3155" s="8" t="str">
        <f t="shared" si="147"/>
        <v/>
      </c>
      <c r="B3155" s="9" t="str">
        <f t="shared" si="148"/>
        <v/>
      </c>
      <c r="C3155" s="10" t="str">
        <f t="shared" si="149"/>
        <v/>
      </c>
    </row>
    <row r="3156" spans="1:3" x14ac:dyDescent="0.25">
      <c r="A3156" s="8" t="str">
        <f t="shared" si="147"/>
        <v/>
      </c>
      <c r="B3156" s="9" t="str">
        <f t="shared" si="148"/>
        <v/>
      </c>
      <c r="C3156" s="10" t="str">
        <f t="shared" si="149"/>
        <v/>
      </c>
    </row>
    <row r="3157" spans="1:3" x14ac:dyDescent="0.25">
      <c r="A3157" s="8" t="str">
        <f t="shared" si="147"/>
        <v/>
      </c>
      <c r="B3157" s="9" t="str">
        <f t="shared" si="148"/>
        <v/>
      </c>
      <c r="C3157" s="10" t="str">
        <f t="shared" si="149"/>
        <v/>
      </c>
    </row>
    <row r="3158" spans="1:3" x14ac:dyDescent="0.25">
      <c r="A3158" s="8" t="str">
        <f t="shared" si="147"/>
        <v/>
      </c>
      <c r="B3158" s="9" t="str">
        <f t="shared" si="148"/>
        <v/>
      </c>
      <c r="C3158" s="10" t="str">
        <f t="shared" si="149"/>
        <v/>
      </c>
    </row>
    <row r="3159" spans="1:3" x14ac:dyDescent="0.25">
      <c r="A3159" s="8" t="str">
        <f t="shared" si="147"/>
        <v/>
      </c>
      <c r="B3159" s="9" t="str">
        <f t="shared" si="148"/>
        <v/>
      </c>
      <c r="C3159" s="10" t="str">
        <f t="shared" si="149"/>
        <v/>
      </c>
    </row>
    <row r="3160" spans="1:3" x14ac:dyDescent="0.25">
      <c r="A3160" s="8" t="str">
        <f t="shared" si="147"/>
        <v/>
      </c>
      <c r="B3160" s="9" t="str">
        <f t="shared" si="148"/>
        <v/>
      </c>
      <c r="C3160" s="10" t="str">
        <f t="shared" si="149"/>
        <v/>
      </c>
    </row>
    <row r="3161" spans="1:3" x14ac:dyDescent="0.25">
      <c r="A3161" s="8" t="str">
        <f t="shared" si="147"/>
        <v/>
      </c>
      <c r="B3161" s="9" t="str">
        <f t="shared" si="148"/>
        <v/>
      </c>
      <c r="C3161" s="10" t="str">
        <f t="shared" si="149"/>
        <v/>
      </c>
    </row>
    <row r="3162" spans="1:3" x14ac:dyDescent="0.25">
      <c r="A3162" s="8" t="str">
        <f t="shared" si="147"/>
        <v/>
      </c>
      <c r="B3162" s="9" t="str">
        <f t="shared" si="148"/>
        <v/>
      </c>
      <c r="C3162" s="10" t="str">
        <f t="shared" si="149"/>
        <v/>
      </c>
    </row>
    <row r="3163" spans="1:3" x14ac:dyDescent="0.25">
      <c r="A3163" s="8" t="str">
        <f t="shared" si="147"/>
        <v/>
      </c>
      <c r="B3163" s="9" t="str">
        <f t="shared" si="148"/>
        <v/>
      </c>
      <c r="C3163" s="10" t="str">
        <f t="shared" si="149"/>
        <v/>
      </c>
    </row>
    <row r="3164" spans="1:3" x14ac:dyDescent="0.25">
      <c r="A3164" s="8" t="str">
        <f t="shared" si="147"/>
        <v/>
      </c>
      <c r="B3164" s="9" t="str">
        <f t="shared" si="148"/>
        <v/>
      </c>
      <c r="C3164" s="10" t="str">
        <f t="shared" si="149"/>
        <v/>
      </c>
    </row>
    <row r="3165" spans="1:3" x14ac:dyDescent="0.25">
      <c r="A3165" s="8" t="str">
        <f t="shared" si="147"/>
        <v/>
      </c>
      <c r="B3165" s="9" t="str">
        <f t="shared" si="148"/>
        <v/>
      </c>
      <c r="C3165" s="10" t="str">
        <f t="shared" si="149"/>
        <v/>
      </c>
    </row>
    <row r="3166" spans="1:3" x14ac:dyDescent="0.25">
      <c r="A3166" s="8" t="str">
        <f t="shared" si="147"/>
        <v/>
      </c>
      <c r="B3166" s="9" t="str">
        <f t="shared" si="148"/>
        <v/>
      </c>
      <c r="C3166" s="10" t="str">
        <f t="shared" si="149"/>
        <v/>
      </c>
    </row>
    <row r="3167" spans="1:3" x14ac:dyDescent="0.25">
      <c r="A3167" s="8" t="str">
        <f t="shared" si="147"/>
        <v/>
      </c>
      <c r="B3167" s="9" t="str">
        <f t="shared" si="148"/>
        <v/>
      </c>
      <c r="C3167" s="10" t="str">
        <f t="shared" si="149"/>
        <v/>
      </c>
    </row>
    <row r="3168" spans="1:3" x14ac:dyDescent="0.25">
      <c r="A3168" s="8" t="str">
        <f t="shared" si="147"/>
        <v/>
      </c>
      <c r="B3168" s="9" t="str">
        <f t="shared" si="148"/>
        <v/>
      </c>
      <c r="C3168" s="10" t="str">
        <f t="shared" si="149"/>
        <v/>
      </c>
    </row>
    <row r="3169" spans="1:3" x14ac:dyDescent="0.25">
      <c r="A3169" s="8" t="str">
        <f t="shared" si="147"/>
        <v/>
      </c>
      <c r="B3169" s="9" t="str">
        <f t="shared" si="148"/>
        <v/>
      </c>
      <c r="C3169" s="10" t="str">
        <f t="shared" si="149"/>
        <v/>
      </c>
    </row>
    <row r="3170" spans="1:3" x14ac:dyDescent="0.25">
      <c r="A3170" s="8" t="str">
        <f t="shared" si="147"/>
        <v/>
      </c>
      <c r="B3170" s="9" t="str">
        <f t="shared" si="148"/>
        <v/>
      </c>
      <c r="C3170" s="10" t="str">
        <f t="shared" si="149"/>
        <v/>
      </c>
    </row>
    <row r="3171" spans="1:3" x14ac:dyDescent="0.25">
      <c r="A3171" s="8" t="str">
        <f t="shared" si="147"/>
        <v/>
      </c>
      <c r="B3171" s="9" t="str">
        <f t="shared" si="148"/>
        <v/>
      </c>
      <c r="C3171" s="10" t="str">
        <f t="shared" si="149"/>
        <v/>
      </c>
    </row>
    <row r="3172" spans="1:3" x14ac:dyDescent="0.25">
      <c r="A3172" s="8" t="str">
        <f t="shared" si="147"/>
        <v/>
      </c>
      <c r="B3172" s="9" t="str">
        <f t="shared" si="148"/>
        <v/>
      </c>
      <c r="C3172" s="10" t="str">
        <f t="shared" si="149"/>
        <v/>
      </c>
    </row>
    <row r="3173" spans="1:3" x14ac:dyDescent="0.25">
      <c r="A3173" s="8" t="str">
        <f t="shared" si="147"/>
        <v/>
      </c>
      <c r="B3173" s="9" t="str">
        <f t="shared" si="148"/>
        <v/>
      </c>
      <c r="C3173" s="10" t="str">
        <f t="shared" si="149"/>
        <v/>
      </c>
    </row>
    <row r="3174" spans="1:3" x14ac:dyDescent="0.25">
      <c r="A3174" s="8" t="str">
        <f t="shared" si="147"/>
        <v/>
      </c>
      <c r="B3174" s="9" t="str">
        <f t="shared" si="148"/>
        <v/>
      </c>
      <c r="C3174" s="10" t="str">
        <f t="shared" si="149"/>
        <v/>
      </c>
    </row>
    <row r="3175" spans="1:3" x14ac:dyDescent="0.25">
      <c r="A3175" s="8" t="str">
        <f t="shared" ref="A3175:A3238" si="150">IF(D3175="","",IF(E3175=0,CONCATENATE(D3175,".",E3175,"00"),CONCATENATE(D3175,".",E3175)))</f>
        <v/>
      </c>
      <c r="B3175" s="9" t="str">
        <f t="shared" ref="B3175:B3238" si="151">LEFT(G3175,1)</f>
        <v/>
      </c>
      <c r="C3175" s="10" t="str">
        <f t="shared" ref="C3175:C3238" si="152">IF(F3175="","",IF(B3175="",F3175-4,IF(B3175="1",F3175-4,IF(B3175="2",F3175-3,IF(B3175="3",F3175-2,IF(B3175="4",F3175-1,IF(B3175="V",F3175-7,IF(B3175="J",F3175-8,F3175))))))))</f>
        <v/>
      </c>
    </row>
    <row r="3176" spans="1:3" x14ac:dyDescent="0.25">
      <c r="A3176" s="8" t="str">
        <f t="shared" si="150"/>
        <v/>
      </c>
      <c r="B3176" s="9" t="str">
        <f t="shared" si="151"/>
        <v/>
      </c>
      <c r="C3176" s="10" t="str">
        <f t="shared" si="152"/>
        <v/>
      </c>
    </row>
    <row r="3177" spans="1:3" x14ac:dyDescent="0.25">
      <c r="A3177" s="8" t="str">
        <f t="shared" si="150"/>
        <v/>
      </c>
      <c r="B3177" s="9" t="str">
        <f t="shared" si="151"/>
        <v/>
      </c>
      <c r="C3177" s="10" t="str">
        <f t="shared" si="152"/>
        <v/>
      </c>
    </row>
    <row r="3178" spans="1:3" x14ac:dyDescent="0.25">
      <c r="A3178" s="8" t="str">
        <f t="shared" si="150"/>
        <v/>
      </c>
      <c r="B3178" s="9" t="str">
        <f t="shared" si="151"/>
        <v/>
      </c>
      <c r="C3178" s="10" t="str">
        <f t="shared" si="152"/>
        <v/>
      </c>
    </row>
    <row r="3179" spans="1:3" x14ac:dyDescent="0.25">
      <c r="A3179" s="8" t="str">
        <f t="shared" si="150"/>
        <v/>
      </c>
      <c r="B3179" s="9" t="str">
        <f t="shared" si="151"/>
        <v/>
      </c>
      <c r="C3179" s="10" t="str">
        <f t="shared" si="152"/>
        <v/>
      </c>
    </row>
    <row r="3180" spans="1:3" x14ac:dyDescent="0.25">
      <c r="A3180" s="8" t="str">
        <f t="shared" si="150"/>
        <v/>
      </c>
      <c r="B3180" s="9" t="str">
        <f t="shared" si="151"/>
        <v/>
      </c>
      <c r="C3180" s="10" t="str">
        <f t="shared" si="152"/>
        <v/>
      </c>
    </row>
    <row r="3181" spans="1:3" x14ac:dyDescent="0.25">
      <c r="A3181" s="8" t="str">
        <f t="shared" si="150"/>
        <v/>
      </c>
      <c r="B3181" s="9" t="str">
        <f t="shared" si="151"/>
        <v/>
      </c>
      <c r="C3181" s="10" t="str">
        <f t="shared" si="152"/>
        <v/>
      </c>
    </row>
    <row r="3182" spans="1:3" x14ac:dyDescent="0.25">
      <c r="A3182" s="8" t="str">
        <f t="shared" si="150"/>
        <v/>
      </c>
      <c r="B3182" s="9" t="str">
        <f t="shared" si="151"/>
        <v/>
      </c>
      <c r="C3182" s="10" t="str">
        <f t="shared" si="152"/>
        <v/>
      </c>
    </row>
    <row r="3183" spans="1:3" x14ac:dyDescent="0.25">
      <c r="A3183" s="8" t="str">
        <f t="shared" si="150"/>
        <v/>
      </c>
      <c r="B3183" s="9" t="str">
        <f t="shared" si="151"/>
        <v/>
      </c>
      <c r="C3183" s="10" t="str">
        <f t="shared" si="152"/>
        <v/>
      </c>
    </row>
    <row r="3184" spans="1:3" x14ac:dyDescent="0.25">
      <c r="A3184" s="8" t="str">
        <f t="shared" si="150"/>
        <v/>
      </c>
      <c r="B3184" s="9" t="str">
        <f t="shared" si="151"/>
        <v/>
      </c>
      <c r="C3184" s="10" t="str">
        <f t="shared" si="152"/>
        <v/>
      </c>
    </row>
    <row r="3185" spans="1:3" x14ac:dyDescent="0.25">
      <c r="A3185" s="8" t="str">
        <f t="shared" si="150"/>
        <v/>
      </c>
      <c r="B3185" s="9" t="str">
        <f t="shared" si="151"/>
        <v/>
      </c>
      <c r="C3185" s="10" t="str">
        <f t="shared" si="152"/>
        <v/>
      </c>
    </row>
    <row r="3186" spans="1:3" x14ac:dyDescent="0.25">
      <c r="A3186" s="8" t="str">
        <f t="shared" si="150"/>
        <v/>
      </c>
      <c r="B3186" s="9" t="str">
        <f t="shared" si="151"/>
        <v/>
      </c>
      <c r="C3186" s="10" t="str">
        <f t="shared" si="152"/>
        <v/>
      </c>
    </row>
    <row r="3187" spans="1:3" x14ac:dyDescent="0.25">
      <c r="A3187" s="8" t="str">
        <f t="shared" si="150"/>
        <v/>
      </c>
      <c r="B3187" s="9" t="str">
        <f t="shared" si="151"/>
        <v/>
      </c>
      <c r="C3187" s="10" t="str">
        <f t="shared" si="152"/>
        <v/>
      </c>
    </row>
    <row r="3188" spans="1:3" x14ac:dyDescent="0.25">
      <c r="A3188" s="8" t="str">
        <f t="shared" si="150"/>
        <v/>
      </c>
      <c r="B3188" s="9" t="str">
        <f t="shared" si="151"/>
        <v/>
      </c>
      <c r="C3188" s="10" t="str">
        <f t="shared" si="152"/>
        <v/>
      </c>
    </row>
    <row r="3189" spans="1:3" x14ac:dyDescent="0.25">
      <c r="A3189" s="8" t="str">
        <f t="shared" si="150"/>
        <v/>
      </c>
      <c r="B3189" s="9" t="str">
        <f t="shared" si="151"/>
        <v/>
      </c>
      <c r="C3189" s="10" t="str">
        <f t="shared" si="152"/>
        <v/>
      </c>
    </row>
    <row r="3190" spans="1:3" x14ac:dyDescent="0.25">
      <c r="A3190" s="8" t="str">
        <f t="shared" si="150"/>
        <v/>
      </c>
      <c r="B3190" s="9" t="str">
        <f t="shared" si="151"/>
        <v/>
      </c>
      <c r="C3190" s="10" t="str">
        <f t="shared" si="152"/>
        <v/>
      </c>
    </row>
    <row r="3191" spans="1:3" x14ac:dyDescent="0.25">
      <c r="A3191" s="8" t="str">
        <f t="shared" si="150"/>
        <v/>
      </c>
      <c r="B3191" s="9" t="str">
        <f t="shared" si="151"/>
        <v/>
      </c>
      <c r="C3191" s="10" t="str">
        <f t="shared" si="152"/>
        <v/>
      </c>
    </row>
    <row r="3192" spans="1:3" x14ac:dyDescent="0.25">
      <c r="A3192" s="8" t="str">
        <f t="shared" si="150"/>
        <v/>
      </c>
      <c r="B3192" s="9" t="str">
        <f t="shared" si="151"/>
        <v/>
      </c>
      <c r="C3192" s="10" t="str">
        <f t="shared" si="152"/>
        <v/>
      </c>
    </row>
    <row r="3193" spans="1:3" x14ac:dyDescent="0.25">
      <c r="A3193" s="8" t="str">
        <f t="shared" si="150"/>
        <v/>
      </c>
      <c r="B3193" s="9" t="str">
        <f t="shared" si="151"/>
        <v/>
      </c>
      <c r="C3193" s="10" t="str">
        <f t="shared" si="152"/>
        <v/>
      </c>
    </row>
    <row r="3194" spans="1:3" x14ac:dyDescent="0.25">
      <c r="A3194" s="8" t="str">
        <f t="shared" si="150"/>
        <v/>
      </c>
      <c r="B3194" s="9" t="str">
        <f t="shared" si="151"/>
        <v/>
      </c>
      <c r="C3194" s="10" t="str">
        <f t="shared" si="152"/>
        <v/>
      </c>
    </row>
    <row r="3195" spans="1:3" x14ac:dyDescent="0.25">
      <c r="A3195" s="8" t="str">
        <f t="shared" si="150"/>
        <v/>
      </c>
      <c r="B3195" s="9" t="str">
        <f t="shared" si="151"/>
        <v/>
      </c>
      <c r="C3195" s="10" t="str">
        <f t="shared" si="152"/>
        <v/>
      </c>
    </row>
    <row r="3196" spans="1:3" x14ac:dyDescent="0.25">
      <c r="A3196" s="8" t="str">
        <f t="shared" si="150"/>
        <v/>
      </c>
      <c r="B3196" s="9" t="str">
        <f t="shared" si="151"/>
        <v/>
      </c>
      <c r="C3196" s="10" t="str">
        <f t="shared" si="152"/>
        <v/>
      </c>
    </row>
    <row r="3197" spans="1:3" x14ac:dyDescent="0.25">
      <c r="A3197" s="8" t="str">
        <f t="shared" si="150"/>
        <v/>
      </c>
      <c r="B3197" s="9" t="str">
        <f t="shared" si="151"/>
        <v/>
      </c>
      <c r="C3197" s="10" t="str">
        <f t="shared" si="152"/>
        <v/>
      </c>
    </row>
    <row r="3198" spans="1:3" x14ac:dyDescent="0.25">
      <c r="A3198" s="8" t="str">
        <f t="shared" si="150"/>
        <v/>
      </c>
      <c r="B3198" s="9" t="str">
        <f t="shared" si="151"/>
        <v/>
      </c>
      <c r="C3198" s="10" t="str">
        <f t="shared" si="152"/>
        <v/>
      </c>
    </row>
    <row r="3199" spans="1:3" x14ac:dyDescent="0.25">
      <c r="A3199" s="8" t="str">
        <f t="shared" si="150"/>
        <v/>
      </c>
      <c r="B3199" s="9" t="str">
        <f t="shared" si="151"/>
        <v/>
      </c>
      <c r="C3199" s="10" t="str">
        <f t="shared" si="152"/>
        <v/>
      </c>
    </row>
    <row r="3200" spans="1:3" x14ac:dyDescent="0.25">
      <c r="A3200" s="8" t="str">
        <f t="shared" si="150"/>
        <v/>
      </c>
      <c r="B3200" s="9" t="str">
        <f t="shared" si="151"/>
        <v/>
      </c>
      <c r="C3200" s="10" t="str">
        <f t="shared" si="152"/>
        <v/>
      </c>
    </row>
    <row r="3201" spans="1:3" x14ac:dyDescent="0.25">
      <c r="A3201" s="8" t="str">
        <f t="shared" si="150"/>
        <v/>
      </c>
      <c r="B3201" s="9" t="str">
        <f t="shared" si="151"/>
        <v/>
      </c>
      <c r="C3201" s="10" t="str">
        <f t="shared" si="152"/>
        <v/>
      </c>
    </row>
    <row r="3202" spans="1:3" x14ac:dyDescent="0.25">
      <c r="A3202" s="8" t="str">
        <f t="shared" si="150"/>
        <v/>
      </c>
      <c r="B3202" s="9" t="str">
        <f t="shared" si="151"/>
        <v/>
      </c>
      <c r="C3202" s="10" t="str">
        <f t="shared" si="152"/>
        <v/>
      </c>
    </row>
    <row r="3203" spans="1:3" x14ac:dyDescent="0.25">
      <c r="A3203" s="8" t="str">
        <f t="shared" si="150"/>
        <v/>
      </c>
      <c r="B3203" s="9" t="str">
        <f t="shared" si="151"/>
        <v/>
      </c>
      <c r="C3203" s="10" t="str">
        <f t="shared" si="152"/>
        <v/>
      </c>
    </row>
    <row r="3204" spans="1:3" x14ac:dyDescent="0.25">
      <c r="A3204" s="8" t="str">
        <f t="shared" si="150"/>
        <v/>
      </c>
      <c r="B3204" s="9" t="str">
        <f t="shared" si="151"/>
        <v/>
      </c>
      <c r="C3204" s="10" t="str">
        <f t="shared" si="152"/>
        <v/>
      </c>
    </row>
    <row r="3205" spans="1:3" x14ac:dyDescent="0.25">
      <c r="A3205" s="8" t="str">
        <f t="shared" si="150"/>
        <v/>
      </c>
      <c r="B3205" s="9" t="str">
        <f t="shared" si="151"/>
        <v/>
      </c>
      <c r="C3205" s="10" t="str">
        <f t="shared" si="152"/>
        <v/>
      </c>
    </row>
    <row r="3206" spans="1:3" x14ac:dyDescent="0.25">
      <c r="A3206" s="8" t="str">
        <f t="shared" si="150"/>
        <v/>
      </c>
      <c r="B3206" s="9" t="str">
        <f t="shared" si="151"/>
        <v/>
      </c>
      <c r="C3206" s="10" t="str">
        <f t="shared" si="152"/>
        <v/>
      </c>
    </row>
    <row r="3207" spans="1:3" x14ac:dyDescent="0.25">
      <c r="A3207" s="8" t="str">
        <f t="shared" si="150"/>
        <v/>
      </c>
      <c r="B3207" s="9" t="str">
        <f t="shared" si="151"/>
        <v/>
      </c>
      <c r="C3207" s="10" t="str">
        <f t="shared" si="152"/>
        <v/>
      </c>
    </row>
    <row r="3208" spans="1:3" x14ac:dyDescent="0.25">
      <c r="A3208" s="8" t="str">
        <f t="shared" si="150"/>
        <v/>
      </c>
      <c r="B3208" s="9" t="str">
        <f t="shared" si="151"/>
        <v/>
      </c>
      <c r="C3208" s="10" t="str">
        <f t="shared" si="152"/>
        <v/>
      </c>
    </row>
    <row r="3209" spans="1:3" x14ac:dyDescent="0.25">
      <c r="A3209" s="8" t="str">
        <f t="shared" si="150"/>
        <v/>
      </c>
      <c r="B3209" s="9" t="str">
        <f t="shared" si="151"/>
        <v/>
      </c>
      <c r="C3209" s="10" t="str">
        <f t="shared" si="152"/>
        <v/>
      </c>
    </row>
    <row r="3210" spans="1:3" x14ac:dyDescent="0.25">
      <c r="A3210" s="8" t="str">
        <f t="shared" si="150"/>
        <v/>
      </c>
      <c r="B3210" s="9" t="str">
        <f t="shared" si="151"/>
        <v/>
      </c>
      <c r="C3210" s="10" t="str">
        <f t="shared" si="152"/>
        <v/>
      </c>
    </row>
    <row r="3211" spans="1:3" x14ac:dyDescent="0.25">
      <c r="A3211" s="8" t="str">
        <f t="shared" si="150"/>
        <v/>
      </c>
      <c r="B3211" s="9" t="str">
        <f t="shared" si="151"/>
        <v/>
      </c>
      <c r="C3211" s="10" t="str">
        <f t="shared" si="152"/>
        <v/>
      </c>
    </row>
    <row r="3212" spans="1:3" x14ac:dyDescent="0.25">
      <c r="A3212" s="8" t="str">
        <f t="shared" si="150"/>
        <v/>
      </c>
      <c r="B3212" s="9" t="str">
        <f t="shared" si="151"/>
        <v/>
      </c>
      <c r="C3212" s="10" t="str">
        <f t="shared" si="152"/>
        <v/>
      </c>
    </row>
    <row r="3213" spans="1:3" x14ac:dyDescent="0.25">
      <c r="A3213" s="8" t="str">
        <f t="shared" si="150"/>
        <v/>
      </c>
      <c r="B3213" s="9" t="str">
        <f t="shared" si="151"/>
        <v/>
      </c>
      <c r="C3213" s="10" t="str">
        <f t="shared" si="152"/>
        <v/>
      </c>
    </row>
    <row r="3214" spans="1:3" x14ac:dyDescent="0.25">
      <c r="A3214" s="8" t="str">
        <f t="shared" si="150"/>
        <v/>
      </c>
      <c r="B3214" s="9" t="str">
        <f t="shared" si="151"/>
        <v/>
      </c>
      <c r="C3214" s="10" t="str">
        <f t="shared" si="152"/>
        <v/>
      </c>
    </row>
    <row r="3215" spans="1:3" x14ac:dyDescent="0.25">
      <c r="A3215" s="8" t="str">
        <f t="shared" si="150"/>
        <v/>
      </c>
      <c r="B3215" s="9" t="str">
        <f t="shared" si="151"/>
        <v/>
      </c>
      <c r="C3215" s="10" t="str">
        <f t="shared" si="152"/>
        <v/>
      </c>
    </row>
    <row r="3216" spans="1:3" x14ac:dyDescent="0.25">
      <c r="A3216" s="8" t="str">
        <f t="shared" si="150"/>
        <v/>
      </c>
      <c r="B3216" s="9" t="str">
        <f t="shared" si="151"/>
        <v/>
      </c>
      <c r="C3216" s="10" t="str">
        <f t="shared" si="152"/>
        <v/>
      </c>
    </row>
    <row r="3217" spans="1:3" x14ac:dyDescent="0.25">
      <c r="A3217" s="8" t="str">
        <f t="shared" si="150"/>
        <v/>
      </c>
      <c r="B3217" s="9" t="str">
        <f t="shared" si="151"/>
        <v/>
      </c>
      <c r="C3217" s="10" t="str">
        <f t="shared" si="152"/>
        <v/>
      </c>
    </row>
    <row r="3218" spans="1:3" x14ac:dyDescent="0.25">
      <c r="A3218" s="8" t="str">
        <f t="shared" si="150"/>
        <v/>
      </c>
      <c r="B3218" s="9" t="str">
        <f t="shared" si="151"/>
        <v/>
      </c>
      <c r="C3218" s="10" t="str">
        <f t="shared" si="152"/>
        <v/>
      </c>
    </row>
    <row r="3219" spans="1:3" x14ac:dyDescent="0.25">
      <c r="A3219" s="8" t="str">
        <f t="shared" si="150"/>
        <v/>
      </c>
      <c r="B3219" s="9" t="str">
        <f t="shared" si="151"/>
        <v/>
      </c>
      <c r="C3219" s="10" t="str">
        <f t="shared" si="152"/>
        <v/>
      </c>
    </row>
    <row r="3220" spans="1:3" x14ac:dyDescent="0.25">
      <c r="A3220" s="8" t="str">
        <f t="shared" si="150"/>
        <v/>
      </c>
      <c r="B3220" s="9" t="str">
        <f t="shared" si="151"/>
        <v/>
      </c>
      <c r="C3220" s="10" t="str">
        <f t="shared" si="152"/>
        <v/>
      </c>
    </row>
    <row r="3221" spans="1:3" x14ac:dyDescent="0.25">
      <c r="A3221" s="8" t="str">
        <f t="shared" si="150"/>
        <v/>
      </c>
      <c r="B3221" s="9" t="str">
        <f t="shared" si="151"/>
        <v/>
      </c>
      <c r="C3221" s="10" t="str">
        <f t="shared" si="152"/>
        <v/>
      </c>
    </row>
    <row r="3222" spans="1:3" x14ac:dyDescent="0.25">
      <c r="A3222" s="8" t="str">
        <f t="shared" si="150"/>
        <v/>
      </c>
      <c r="B3222" s="9" t="str">
        <f t="shared" si="151"/>
        <v/>
      </c>
      <c r="C3222" s="10" t="str">
        <f t="shared" si="152"/>
        <v/>
      </c>
    </row>
    <row r="3223" spans="1:3" x14ac:dyDescent="0.25">
      <c r="A3223" s="8" t="str">
        <f t="shared" si="150"/>
        <v/>
      </c>
      <c r="B3223" s="9" t="str">
        <f t="shared" si="151"/>
        <v/>
      </c>
      <c r="C3223" s="10" t="str">
        <f t="shared" si="152"/>
        <v/>
      </c>
    </row>
    <row r="3224" spans="1:3" x14ac:dyDescent="0.25">
      <c r="A3224" s="8" t="str">
        <f t="shared" si="150"/>
        <v/>
      </c>
      <c r="B3224" s="9" t="str">
        <f t="shared" si="151"/>
        <v/>
      </c>
      <c r="C3224" s="10" t="str">
        <f t="shared" si="152"/>
        <v/>
      </c>
    </row>
    <row r="3225" spans="1:3" x14ac:dyDescent="0.25">
      <c r="A3225" s="8" t="str">
        <f t="shared" si="150"/>
        <v/>
      </c>
      <c r="B3225" s="9" t="str">
        <f t="shared" si="151"/>
        <v/>
      </c>
      <c r="C3225" s="10" t="str">
        <f t="shared" si="152"/>
        <v/>
      </c>
    </row>
    <row r="3226" spans="1:3" x14ac:dyDescent="0.25">
      <c r="A3226" s="8" t="str">
        <f t="shared" si="150"/>
        <v/>
      </c>
      <c r="B3226" s="9" t="str">
        <f t="shared" si="151"/>
        <v/>
      </c>
      <c r="C3226" s="10" t="str">
        <f t="shared" si="152"/>
        <v/>
      </c>
    </row>
    <row r="3227" spans="1:3" x14ac:dyDescent="0.25">
      <c r="A3227" s="8" t="str">
        <f t="shared" si="150"/>
        <v/>
      </c>
      <c r="B3227" s="9" t="str">
        <f t="shared" si="151"/>
        <v/>
      </c>
      <c r="C3227" s="10" t="str">
        <f t="shared" si="152"/>
        <v/>
      </c>
    </row>
    <row r="3228" spans="1:3" x14ac:dyDescent="0.25">
      <c r="A3228" s="8" t="str">
        <f t="shared" si="150"/>
        <v/>
      </c>
      <c r="B3228" s="9" t="str">
        <f t="shared" si="151"/>
        <v/>
      </c>
      <c r="C3228" s="10" t="str">
        <f t="shared" si="152"/>
        <v/>
      </c>
    </row>
    <row r="3229" spans="1:3" x14ac:dyDescent="0.25">
      <c r="A3229" s="8" t="str">
        <f t="shared" si="150"/>
        <v/>
      </c>
      <c r="B3229" s="9" t="str">
        <f t="shared" si="151"/>
        <v/>
      </c>
      <c r="C3229" s="10" t="str">
        <f t="shared" si="152"/>
        <v/>
      </c>
    </row>
    <row r="3230" spans="1:3" x14ac:dyDescent="0.25">
      <c r="A3230" s="8" t="str">
        <f t="shared" si="150"/>
        <v/>
      </c>
      <c r="B3230" s="9" t="str">
        <f t="shared" si="151"/>
        <v/>
      </c>
      <c r="C3230" s="10" t="str">
        <f t="shared" si="152"/>
        <v/>
      </c>
    </row>
    <row r="3231" spans="1:3" x14ac:dyDescent="0.25">
      <c r="A3231" s="8" t="str">
        <f t="shared" si="150"/>
        <v/>
      </c>
      <c r="B3231" s="9" t="str">
        <f t="shared" si="151"/>
        <v/>
      </c>
      <c r="C3231" s="10" t="str">
        <f t="shared" si="152"/>
        <v/>
      </c>
    </row>
    <row r="3232" spans="1:3" x14ac:dyDescent="0.25">
      <c r="A3232" s="8" t="str">
        <f t="shared" si="150"/>
        <v/>
      </c>
      <c r="B3232" s="9" t="str">
        <f t="shared" si="151"/>
        <v/>
      </c>
      <c r="C3232" s="10" t="str">
        <f t="shared" si="152"/>
        <v/>
      </c>
    </row>
    <row r="3233" spans="1:3" x14ac:dyDescent="0.25">
      <c r="A3233" s="8" t="str">
        <f t="shared" si="150"/>
        <v/>
      </c>
      <c r="B3233" s="9" t="str">
        <f t="shared" si="151"/>
        <v/>
      </c>
      <c r="C3233" s="10" t="str">
        <f t="shared" si="152"/>
        <v/>
      </c>
    </row>
    <row r="3234" spans="1:3" x14ac:dyDescent="0.25">
      <c r="A3234" s="8" t="str">
        <f t="shared" si="150"/>
        <v/>
      </c>
      <c r="B3234" s="9" t="str">
        <f t="shared" si="151"/>
        <v/>
      </c>
      <c r="C3234" s="10" t="str">
        <f t="shared" si="152"/>
        <v/>
      </c>
    </row>
    <row r="3235" spans="1:3" x14ac:dyDescent="0.25">
      <c r="A3235" s="8" t="str">
        <f t="shared" si="150"/>
        <v/>
      </c>
      <c r="B3235" s="9" t="str">
        <f t="shared" si="151"/>
        <v/>
      </c>
      <c r="C3235" s="10" t="str">
        <f t="shared" si="152"/>
        <v/>
      </c>
    </row>
    <row r="3236" spans="1:3" x14ac:dyDescent="0.25">
      <c r="A3236" s="8" t="str">
        <f t="shared" si="150"/>
        <v/>
      </c>
      <c r="B3236" s="9" t="str">
        <f t="shared" si="151"/>
        <v/>
      </c>
      <c r="C3236" s="10" t="str">
        <f t="shared" si="152"/>
        <v/>
      </c>
    </row>
    <row r="3237" spans="1:3" x14ac:dyDescent="0.25">
      <c r="A3237" s="8" t="str">
        <f t="shared" si="150"/>
        <v/>
      </c>
      <c r="B3237" s="9" t="str">
        <f t="shared" si="151"/>
        <v/>
      </c>
      <c r="C3237" s="10" t="str">
        <f t="shared" si="152"/>
        <v/>
      </c>
    </row>
    <row r="3238" spans="1:3" x14ac:dyDescent="0.25">
      <c r="A3238" s="8" t="str">
        <f t="shared" si="150"/>
        <v/>
      </c>
      <c r="B3238" s="9" t="str">
        <f t="shared" si="151"/>
        <v/>
      </c>
      <c r="C3238" s="10" t="str">
        <f t="shared" si="152"/>
        <v/>
      </c>
    </row>
    <row r="3239" spans="1:3" x14ac:dyDescent="0.25">
      <c r="A3239" s="8" t="str">
        <f t="shared" ref="A3239:A3302" si="153">IF(D3239="","",IF(E3239=0,CONCATENATE(D3239,".",E3239,"00"),CONCATENATE(D3239,".",E3239)))</f>
        <v/>
      </c>
      <c r="B3239" s="9" t="str">
        <f t="shared" ref="B3239:B3302" si="154">LEFT(G3239,1)</f>
        <v/>
      </c>
      <c r="C3239" s="10" t="str">
        <f t="shared" ref="C3239:C3302" si="155">IF(F3239="","",IF(B3239="",F3239-4,IF(B3239="1",F3239-4,IF(B3239="2",F3239-3,IF(B3239="3",F3239-2,IF(B3239="4",F3239-1,IF(B3239="V",F3239-7,IF(B3239="J",F3239-8,F3239))))))))</f>
        <v/>
      </c>
    </row>
    <row r="3240" spans="1:3" x14ac:dyDescent="0.25">
      <c r="A3240" s="8" t="str">
        <f t="shared" si="153"/>
        <v/>
      </c>
      <c r="B3240" s="9" t="str">
        <f t="shared" si="154"/>
        <v/>
      </c>
      <c r="C3240" s="10" t="str">
        <f t="shared" si="155"/>
        <v/>
      </c>
    </row>
    <row r="3241" spans="1:3" x14ac:dyDescent="0.25">
      <c r="A3241" s="8" t="str">
        <f t="shared" si="153"/>
        <v/>
      </c>
      <c r="B3241" s="9" t="str">
        <f t="shared" si="154"/>
        <v/>
      </c>
      <c r="C3241" s="10" t="str">
        <f t="shared" si="155"/>
        <v/>
      </c>
    </row>
    <row r="3242" spans="1:3" x14ac:dyDescent="0.25">
      <c r="A3242" s="8" t="str">
        <f t="shared" si="153"/>
        <v/>
      </c>
      <c r="B3242" s="9" t="str">
        <f t="shared" si="154"/>
        <v/>
      </c>
      <c r="C3242" s="10" t="str">
        <f t="shared" si="155"/>
        <v/>
      </c>
    </row>
    <row r="3243" spans="1:3" x14ac:dyDescent="0.25">
      <c r="A3243" s="8" t="str">
        <f t="shared" si="153"/>
        <v/>
      </c>
      <c r="B3243" s="9" t="str">
        <f t="shared" si="154"/>
        <v/>
      </c>
      <c r="C3243" s="10" t="str">
        <f t="shared" si="155"/>
        <v/>
      </c>
    </row>
    <row r="3244" spans="1:3" x14ac:dyDescent="0.25">
      <c r="A3244" s="8" t="str">
        <f t="shared" si="153"/>
        <v/>
      </c>
      <c r="B3244" s="9" t="str">
        <f t="shared" si="154"/>
        <v/>
      </c>
      <c r="C3244" s="10" t="str">
        <f t="shared" si="155"/>
        <v/>
      </c>
    </row>
    <row r="3245" spans="1:3" x14ac:dyDescent="0.25">
      <c r="A3245" s="8" t="str">
        <f t="shared" si="153"/>
        <v/>
      </c>
      <c r="B3245" s="9" t="str">
        <f t="shared" si="154"/>
        <v/>
      </c>
      <c r="C3245" s="10" t="str">
        <f t="shared" si="155"/>
        <v/>
      </c>
    </row>
    <row r="3246" spans="1:3" x14ac:dyDescent="0.25">
      <c r="A3246" s="8" t="str">
        <f t="shared" si="153"/>
        <v/>
      </c>
      <c r="B3246" s="9" t="str">
        <f t="shared" si="154"/>
        <v/>
      </c>
      <c r="C3246" s="10" t="str">
        <f t="shared" si="155"/>
        <v/>
      </c>
    </row>
    <row r="3247" spans="1:3" x14ac:dyDescent="0.25">
      <c r="A3247" s="8" t="str">
        <f t="shared" si="153"/>
        <v/>
      </c>
      <c r="B3247" s="9" t="str">
        <f t="shared" si="154"/>
        <v/>
      </c>
      <c r="C3247" s="10" t="str">
        <f t="shared" si="155"/>
        <v/>
      </c>
    </row>
    <row r="3248" spans="1:3" x14ac:dyDescent="0.25">
      <c r="A3248" s="8" t="str">
        <f t="shared" si="153"/>
        <v/>
      </c>
      <c r="B3248" s="9" t="str">
        <f t="shared" si="154"/>
        <v/>
      </c>
      <c r="C3248" s="10" t="str">
        <f t="shared" si="155"/>
        <v/>
      </c>
    </row>
    <row r="3249" spans="1:3" x14ac:dyDescent="0.25">
      <c r="A3249" s="8" t="str">
        <f t="shared" si="153"/>
        <v/>
      </c>
      <c r="B3249" s="9" t="str">
        <f t="shared" si="154"/>
        <v/>
      </c>
      <c r="C3249" s="10" t="str">
        <f t="shared" si="155"/>
        <v/>
      </c>
    </row>
    <row r="3250" spans="1:3" x14ac:dyDescent="0.25">
      <c r="A3250" s="8" t="str">
        <f t="shared" si="153"/>
        <v/>
      </c>
      <c r="B3250" s="9" t="str">
        <f t="shared" si="154"/>
        <v/>
      </c>
      <c r="C3250" s="10" t="str">
        <f t="shared" si="155"/>
        <v/>
      </c>
    </row>
    <row r="3251" spans="1:3" x14ac:dyDescent="0.25">
      <c r="A3251" s="8" t="str">
        <f t="shared" si="153"/>
        <v/>
      </c>
      <c r="B3251" s="9" t="str">
        <f t="shared" si="154"/>
        <v/>
      </c>
      <c r="C3251" s="10" t="str">
        <f t="shared" si="155"/>
        <v/>
      </c>
    </row>
    <row r="3252" spans="1:3" x14ac:dyDescent="0.25">
      <c r="A3252" s="8" t="str">
        <f t="shared" si="153"/>
        <v/>
      </c>
      <c r="B3252" s="9" t="str">
        <f t="shared" si="154"/>
        <v/>
      </c>
      <c r="C3252" s="10" t="str">
        <f t="shared" si="155"/>
        <v/>
      </c>
    </row>
    <row r="3253" spans="1:3" x14ac:dyDescent="0.25">
      <c r="A3253" s="8" t="str">
        <f t="shared" si="153"/>
        <v/>
      </c>
      <c r="B3253" s="9" t="str">
        <f t="shared" si="154"/>
        <v/>
      </c>
      <c r="C3253" s="10" t="str">
        <f t="shared" si="155"/>
        <v/>
      </c>
    </row>
    <row r="3254" spans="1:3" x14ac:dyDescent="0.25">
      <c r="A3254" s="8" t="str">
        <f t="shared" si="153"/>
        <v/>
      </c>
      <c r="B3254" s="9" t="str">
        <f t="shared" si="154"/>
        <v/>
      </c>
      <c r="C3254" s="10" t="str">
        <f t="shared" si="155"/>
        <v/>
      </c>
    </row>
    <row r="3255" spans="1:3" x14ac:dyDescent="0.25">
      <c r="A3255" s="8" t="str">
        <f t="shared" si="153"/>
        <v/>
      </c>
      <c r="B3255" s="9" t="str">
        <f t="shared" si="154"/>
        <v/>
      </c>
      <c r="C3255" s="10" t="str">
        <f t="shared" si="155"/>
        <v/>
      </c>
    </row>
    <row r="3256" spans="1:3" x14ac:dyDescent="0.25">
      <c r="A3256" s="8" t="str">
        <f t="shared" si="153"/>
        <v/>
      </c>
      <c r="B3256" s="9" t="str">
        <f t="shared" si="154"/>
        <v/>
      </c>
      <c r="C3256" s="10" t="str">
        <f t="shared" si="155"/>
        <v/>
      </c>
    </row>
    <row r="3257" spans="1:3" x14ac:dyDescent="0.25">
      <c r="A3257" s="8" t="str">
        <f t="shared" si="153"/>
        <v/>
      </c>
      <c r="B3257" s="9" t="str">
        <f t="shared" si="154"/>
        <v/>
      </c>
      <c r="C3257" s="10" t="str">
        <f t="shared" si="155"/>
        <v/>
      </c>
    </row>
    <row r="3258" spans="1:3" x14ac:dyDescent="0.25">
      <c r="A3258" s="8" t="str">
        <f t="shared" si="153"/>
        <v/>
      </c>
      <c r="B3258" s="9" t="str">
        <f t="shared" si="154"/>
        <v/>
      </c>
      <c r="C3258" s="10" t="str">
        <f t="shared" si="155"/>
        <v/>
      </c>
    </row>
    <row r="3259" spans="1:3" x14ac:dyDescent="0.25">
      <c r="A3259" s="8" t="str">
        <f t="shared" si="153"/>
        <v/>
      </c>
      <c r="B3259" s="9" t="str">
        <f t="shared" si="154"/>
        <v/>
      </c>
      <c r="C3259" s="10" t="str">
        <f t="shared" si="155"/>
        <v/>
      </c>
    </row>
    <row r="3260" spans="1:3" x14ac:dyDescent="0.25">
      <c r="A3260" s="8" t="str">
        <f t="shared" si="153"/>
        <v/>
      </c>
      <c r="B3260" s="9" t="str">
        <f t="shared" si="154"/>
        <v/>
      </c>
      <c r="C3260" s="10" t="str">
        <f t="shared" si="155"/>
        <v/>
      </c>
    </row>
    <row r="3261" spans="1:3" x14ac:dyDescent="0.25">
      <c r="A3261" s="8" t="str">
        <f t="shared" si="153"/>
        <v/>
      </c>
      <c r="B3261" s="9" t="str">
        <f t="shared" si="154"/>
        <v/>
      </c>
      <c r="C3261" s="10" t="str">
        <f t="shared" si="155"/>
        <v/>
      </c>
    </row>
    <row r="3262" spans="1:3" x14ac:dyDescent="0.25">
      <c r="A3262" s="8" t="str">
        <f t="shared" si="153"/>
        <v/>
      </c>
      <c r="B3262" s="9" t="str">
        <f t="shared" si="154"/>
        <v/>
      </c>
      <c r="C3262" s="10" t="str">
        <f t="shared" si="155"/>
        <v/>
      </c>
    </row>
    <row r="3263" spans="1:3" x14ac:dyDescent="0.25">
      <c r="A3263" s="8" t="str">
        <f t="shared" si="153"/>
        <v/>
      </c>
      <c r="B3263" s="9" t="str">
        <f t="shared" si="154"/>
        <v/>
      </c>
      <c r="C3263" s="10" t="str">
        <f t="shared" si="155"/>
        <v/>
      </c>
    </row>
    <row r="3264" spans="1:3" x14ac:dyDescent="0.25">
      <c r="A3264" s="8" t="str">
        <f t="shared" si="153"/>
        <v/>
      </c>
      <c r="B3264" s="9" t="str">
        <f t="shared" si="154"/>
        <v/>
      </c>
      <c r="C3264" s="10" t="str">
        <f t="shared" si="155"/>
        <v/>
      </c>
    </row>
    <row r="3265" spans="1:3" x14ac:dyDescent="0.25">
      <c r="A3265" s="8" t="str">
        <f t="shared" si="153"/>
        <v/>
      </c>
      <c r="B3265" s="9" t="str">
        <f t="shared" si="154"/>
        <v/>
      </c>
      <c r="C3265" s="10" t="str">
        <f t="shared" si="155"/>
        <v/>
      </c>
    </row>
    <row r="3266" spans="1:3" x14ac:dyDescent="0.25">
      <c r="A3266" s="8" t="str">
        <f t="shared" si="153"/>
        <v/>
      </c>
      <c r="B3266" s="9" t="str">
        <f t="shared" si="154"/>
        <v/>
      </c>
      <c r="C3266" s="10" t="str">
        <f t="shared" si="155"/>
        <v/>
      </c>
    </row>
    <row r="3267" spans="1:3" x14ac:dyDescent="0.25">
      <c r="A3267" s="8" t="str">
        <f t="shared" si="153"/>
        <v/>
      </c>
      <c r="B3267" s="9" t="str">
        <f t="shared" si="154"/>
        <v/>
      </c>
      <c r="C3267" s="10" t="str">
        <f t="shared" si="155"/>
        <v/>
      </c>
    </row>
    <row r="3268" spans="1:3" x14ac:dyDescent="0.25">
      <c r="A3268" s="8" t="str">
        <f t="shared" si="153"/>
        <v/>
      </c>
      <c r="B3268" s="9" t="str">
        <f t="shared" si="154"/>
        <v/>
      </c>
      <c r="C3268" s="10" t="str">
        <f t="shared" si="155"/>
        <v/>
      </c>
    </row>
    <row r="3269" spans="1:3" x14ac:dyDescent="0.25">
      <c r="A3269" s="8" t="str">
        <f t="shared" si="153"/>
        <v/>
      </c>
      <c r="B3269" s="9" t="str">
        <f t="shared" si="154"/>
        <v/>
      </c>
      <c r="C3269" s="10" t="str">
        <f t="shared" si="155"/>
        <v/>
      </c>
    </row>
    <row r="3270" spans="1:3" x14ac:dyDescent="0.25">
      <c r="A3270" s="8" t="str">
        <f t="shared" si="153"/>
        <v/>
      </c>
      <c r="B3270" s="9" t="str">
        <f t="shared" si="154"/>
        <v/>
      </c>
      <c r="C3270" s="10" t="str">
        <f t="shared" si="155"/>
        <v/>
      </c>
    </row>
    <row r="3271" spans="1:3" x14ac:dyDescent="0.25">
      <c r="A3271" s="8" t="str">
        <f t="shared" si="153"/>
        <v/>
      </c>
      <c r="B3271" s="9" t="str">
        <f t="shared" si="154"/>
        <v/>
      </c>
      <c r="C3271" s="10" t="str">
        <f t="shared" si="155"/>
        <v/>
      </c>
    </row>
    <row r="3272" spans="1:3" x14ac:dyDescent="0.25">
      <c r="A3272" s="8" t="str">
        <f t="shared" si="153"/>
        <v/>
      </c>
      <c r="B3272" s="9" t="str">
        <f t="shared" si="154"/>
        <v/>
      </c>
      <c r="C3272" s="10" t="str">
        <f t="shared" si="155"/>
        <v/>
      </c>
    </row>
    <row r="3273" spans="1:3" x14ac:dyDescent="0.25">
      <c r="A3273" s="8" t="str">
        <f t="shared" si="153"/>
        <v/>
      </c>
      <c r="B3273" s="9" t="str">
        <f t="shared" si="154"/>
        <v/>
      </c>
      <c r="C3273" s="10" t="str">
        <f t="shared" si="155"/>
        <v/>
      </c>
    </row>
    <row r="3274" spans="1:3" x14ac:dyDescent="0.25">
      <c r="A3274" s="8" t="str">
        <f t="shared" si="153"/>
        <v/>
      </c>
      <c r="B3274" s="9" t="str">
        <f t="shared" si="154"/>
        <v/>
      </c>
      <c r="C3274" s="10" t="str">
        <f t="shared" si="155"/>
        <v/>
      </c>
    </row>
    <row r="3275" spans="1:3" x14ac:dyDescent="0.25">
      <c r="A3275" s="8" t="str">
        <f t="shared" si="153"/>
        <v/>
      </c>
      <c r="B3275" s="9" t="str">
        <f t="shared" si="154"/>
        <v/>
      </c>
      <c r="C3275" s="10" t="str">
        <f t="shared" si="155"/>
        <v/>
      </c>
    </row>
    <row r="3276" spans="1:3" x14ac:dyDescent="0.25">
      <c r="A3276" s="8" t="str">
        <f t="shared" si="153"/>
        <v/>
      </c>
      <c r="B3276" s="9" t="str">
        <f t="shared" si="154"/>
        <v/>
      </c>
      <c r="C3276" s="10" t="str">
        <f t="shared" si="155"/>
        <v/>
      </c>
    </row>
    <row r="3277" spans="1:3" x14ac:dyDescent="0.25">
      <c r="A3277" s="8" t="str">
        <f t="shared" si="153"/>
        <v/>
      </c>
      <c r="B3277" s="9" t="str">
        <f t="shared" si="154"/>
        <v/>
      </c>
      <c r="C3277" s="10" t="str">
        <f t="shared" si="155"/>
        <v/>
      </c>
    </row>
    <row r="3278" spans="1:3" x14ac:dyDescent="0.25">
      <c r="A3278" s="8" t="str">
        <f t="shared" si="153"/>
        <v/>
      </c>
      <c r="B3278" s="9" t="str">
        <f t="shared" si="154"/>
        <v/>
      </c>
      <c r="C3278" s="10" t="str">
        <f t="shared" si="155"/>
        <v/>
      </c>
    </row>
    <row r="3279" spans="1:3" x14ac:dyDescent="0.25">
      <c r="A3279" s="8" t="str">
        <f t="shared" si="153"/>
        <v/>
      </c>
      <c r="B3279" s="9" t="str">
        <f t="shared" si="154"/>
        <v/>
      </c>
      <c r="C3279" s="10" t="str">
        <f t="shared" si="155"/>
        <v/>
      </c>
    </row>
    <row r="3280" spans="1:3" x14ac:dyDescent="0.25">
      <c r="A3280" s="8" t="str">
        <f t="shared" si="153"/>
        <v/>
      </c>
      <c r="B3280" s="9" t="str">
        <f t="shared" si="154"/>
        <v/>
      </c>
      <c r="C3280" s="10" t="str">
        <f t="shared" si="155"/>
        <v/>
      </c>
    </row>
    <row r="3281" spans="1:3" x14ac:dyDescent="0.25">
      <c r="A3281" s="8" t="str">
        <f t="shared" si="153"/>
        <v/>
      </c>
      <c r="B3281" s="9" t="str">
        <f t="shared" si="154"/>
        <v/>
      </c>
      <c r="C3281" s="10" t="str">
        <f t="shared" si="155"/>
        <v/>
      </c>
    </row>
    <row r="3282" spans="1:3" x14ac:dyDescent="0.25">
      <c r="A3282" s="8" t="str">
        <f t="shared" si="153"/>
        <v/>
      </c>
      <c r="B3282" s="9" t="str">
        <f t="shared" si="154"/>
        <v/>
      </c>
      <c r="C3282" s="10" t="str">
        <f t="shared" si="155"/>
        <v/>
      </c>
    </row>
    <row r="3283" spans="1:3" x14ac:dyDescent="0.25">
      <c r="A3283" s="8" t="str">
        <f t="shared" si="153"/>
        <v/>
      </c>
      <c r="B3283" s="9" t="str">
        <f t="shared" si="154"/>
        <v/>
      </c>
      <c r="C3283" s="10" t="str">
        <f t="shared" si="155"/>
        <v/>
      </c>
    </row>
    <row r="3284" spans="1:3" x14ac:dyDescent="0.25">
      <c r="A3284" s="8" t="str">
        <f t="shared" si="153"/>
        <v/>
      </c>
      <c r="B3284" s="9" t="str">
        <f t="shared" si="154"/>
        <v/>
      </c>
      <c r="C3284" s="10" t="str">
        <f t="shared" si="155"/>
        <v/>
      </c>
    </row>
    <row r="3285" spans="1:3" x14ac:dyDescent="0.25">
      <c r="A3285" s="8" t="str">
        <f t="shared" si="153"/>
        <v/>
      </c>
      <c r="B3285" s="9" t="str">
        <f t="shared" si="154"/>
        <v/>
      </c>
      <c r="C3285" s="10" t="str">
        <f t="shared" si="155"/>
        <v/>
      </c>
    </row>
    <row r="3286" spans="1:3" x14ac:dyDescent="0.25">
      <c r="A3286" s="8" t="str">
        <f t="shared" si="153"/>
        <v/>
      </c>
      <c r="B3286" s="9" t="str">
        <f t="shared" si="154"/>
        <v/>
      </c>
      <c r="C3286" s="10" t="str">
        <f t="shared" si="155"/>
        <v/>
      </c>
    </row>
    <row r="3287" spans="1:3" x14ac:dyDescent="0.25">
      <c r="A3287" s="8" t="str">
        <f t="shared" si="153"/>
        <v/>
      </c>
      <c r="B3287" s="9" t="str">
        <f t="shared" si="154"/>
        <v/>
      </c>
      <c r="C3287" s="10" t="str">
        <f t="shared" si="155"/>
        <v/>
      </c>
    </row>
    <row r="3288" spans="1:3" x14ac:dyDescent="0.25">
      <c r="A3288" s="8" t="str">
        <f t="shared" si="153"/>
        <v/>
      </c>
      <c r="B3288" s="9" t="str">
        <f t="shared" si="154"/>
        <v/>
      </c>
      <c r="C3288" s="10" t="str">
        <f t="shared" si="155"/>
        <v/>
      </c>
    </row>
    <row r="3289" spans="1:3" x14ac:dyDescent="0.25">
      <c r="A3289" s="8" t="str">
        <f t="shared" si="153"/>
        <v/>
      </c>
      <c r="B3289" s="9" t="str">
        <f t="shared" si="154"/>
        <v/>
      </c>
      <c r="C3289" s="10" t="str">
        <f t="shared" si="155"/>
        <v/>
      </c>
    </row>
    <row r="3290" spans="1:3" x14ac:dyDescent="0.25">
      <c r="A3290" s="8" t="str">
        <f t="shared" si="153"/>
        <v/>
      </c>
      <c r="B3290" s="9" t="str">
        <f t="shared" si="154"/>
        <v/>
      </c>
      <c r="C3290" s="10" t="str">
        <f t="shared" si="155"/>
        <v/>
      </c>
    </row>
    <row r="3291" spans="1:3" x14ac:dyDescent="0.25">
      <c r="A3291" s="8" t="str">
        <f t="shared" si="153"/>
        <v/>
      </c>
      <c r="B3291" s="9" t="str">
        <f t="shared" si="154"/>
        <v/>
      </c>
      <c r="C3291" s="10" t="str">
        <f t="shared" si="155"/>
        <v/>
      </c>
    </row>
    <row r="3292" spans="1:3" x14ac:dyDescent="0.25">
      <c r="A3292" s="8" t="str">
        <f t="shared" si="153"/>
        <v/>
      </c>
      <c r="B3292" s="9" t="str">
        <f t="shared" si="154"/>
        <v/>
      </c>
      <c r="C3292" s="10" t="str">
        <f t="shared" si="155"/>
        <v/>
      </c>
    </row>
    <row r="3293" spans="1:3" x14ac:dyDescent="0.25">
      <c r="A3293" s="8" t="str">
        <f t="shared" si="153"/>
        <v/>
      </c>
      <c r="B3293" s="9" t="str">
        <f t="shared" si="154"/>
        <v/>
      </c>
      <c r="C3293" s="10" t="str">
        <f t="shared" si="155"/>
        <v/>
      </c>
    </row>
    <row r="3294" spans="1:3" x14ac:dyDescent="0.25">
      <c r="A3294" s="8" t="str">
        <f t="shared" si="153"/>
        <v/>
      </c>
      <c r="B3294" s="9" t="str">
        <f t="shared" si="154"/>
        <v/>
      </c>
      <c r="C3294" s="10" t="str">
        <f t="shared" si="155"/>
        <v/>
      </c>
    </row>
    <row r="3295" spans="1:3" x14ac:dyDescent="0.25">
      <c r="A3295" s="8" t="str">
        <f t="shared" si="153"/>
        <v/>
      </c>
      <c r="B3295" s="9" t="str">
        <f t="shared" si="154"/>
        <v/>
      </c>
      <c r="C3295" s="10" t="str">
        <f t="shared" si="155"/>
        <v/>
      </c>
    </row>
    <row r="3296" spans="1:3" x14ac:dyDescent="0.25">
      <c r="A3296" s="8" t="str">
        <f t="shared" si="153"/>
        <v/>
      </c>
      <c r="B3296" s="9" t="str">
        <f t="shared" si="154"/>
        <v/>
      </c>
      <c r="C3296" s="10" t="str">
        <f t="shared" si="155"/>
        <v/>
      </c>
    </row>
    <row r="3297" spans="1:3" x14ac:dyDescent="0.25">
      <c r="A3297" s="8" t="str">
        <f t="shared" si="153"/>
        <v/>
      </c>
      <c r="B3297" s="9" t="str">
        <f t="shared" si="154"/>
        <v/>
      </c>
      <c r="C3297" s="10" t="str">
        <f t="shared" si="155"/>
        <v/>
      </c>
    </row>
    <row r="3298" spans="1:3" x14ac:dyDescent="0.25">
      <c r="A3298" s="8" t="str">
        <f t="shared" si="153"/>
        <v/>
      </c>
      <c r="B3298" s="9" t="str">
        <f t="shared" si="154"/>
        <v/>
      </c>
      <c r="C3298" s="10" t="str">
        <f t="shared" si="155"/>
        <v/>
      </c>
    </row>
    <row r="3299" spans="1:3" x14ac:dyDescent="0.25">
      <c r="A3299" s="8" t="str">
        <f t="shared" si="153"/>
        <v/>
      </c>
      <c r="B3299" s="9" t="str">
        <f t="shared" si="154"/>
        <v/>
      </c>
      <c r="C3299" s="10" t="str">
        <f t="shared" si="155"/>
        <v/>
      </c>
    </row>
    <row r="3300" spans="1:3" x14ac:dyDescent="0.25">
      <c r="A3300" s="8" t="str">
        <f t="shared" si="153"/>
        <v/>
      </c>
      <c r="B3300" s="9" t="str">
        <f t="shared" si="154"/>
        <v/>
      </c>
      <c r="C3300" s="10" t="str">
        <f t="shared" si="155"/>
        <v/>
      </c>
    </row>
    <row r="3301" spans="1:3" x14ac:dyDescent="0.25">
      <c r="A3301" s="8" t="str">
        <f t="shared" si="153"/>
        <v/>
      </c>
      <c r="B3301" s="9" t="str">
        <f t="shared" si="154"/>
        <v/>
      </c>
      <c r="C3301" s="10" t="str">
        <f t="shared" si="155"/>
        <v/>
      </c>
    </row>
    <row r="3302" spans="1:3" x14ac:dyDescent="0.25">
      <c r="A3302" s="8" t="str">
        <f t="shared" si="153"/>
        <v/>
      </c>
      <c r="B3302" s="9" t="str">
        <f t="shared" si="154"/>
        <v/>
      </c>
      <c r="C3302" s="10" t="str">
        <f t="shared" si="155"/>
        <v/>
      </c>
    </row>
    <row r="3303" spans="1:3" x14ac:dyDescent="0.25">
      <c r="A3303" s="8" t="str">
        <f t="shared" ref="A3303:A3366" si="156">IF(D3303="","",IF(E3303=0,CONCATENATE(D3303,".",E3303,"00"),CONCATENATE(D3303,".",E3303)))</f>
        <v/>
      </c>
      <c r="B3303" s="9" t="str">
        <f t="shared" ref="B3303:B3366" si="157">LEFT(G3303,1)</f>
        <v/>
      </c>
      <c r="C3303" s="10" t="str">
        <f t="shared" ref="C3303:C3366" si="158">IF(F3303="","",IF(B3303="",F3303-4,IF(B3303="1",F3303-4,IF(B3303="2",F3303-3,IF(B3303="3",F3303-2,IF(B3303="4",F3303-1,IF(B3303="V",F3303-7,IF(B3303="J",F3303-8,F3303))))))))</f>
        <v/>
      </c>
    </row>
    <row r="3304" spans="1:3" x14ac:dyDescent="0.25">
      <c r="A3304" s="8" t="str">
        <f t="shared" si="156"/>
        <v/>
      </c>
      <c r="B3304" s="9" t="str">
        <f t="shared" si="157"/>
        <v/>
      </c>
      <c r="C3304" s="10" t="str">
        <f t="shared" si="158"/>
        <v/>
      </c>
    </row>
    <row r="3305" spans="1:3" x14ac:dyDescent="0.25">
      <c r="A3305" s="8" t="str">
        <f t="shared" si="156"/>
        <v/>
      </c>
      <c r="B3305" s="9" t="str">
        <f t="shared" si="157"/>
        <v/>
      </c>
      <c r="C3305" s="10" t="str">
        <f t="shared" si="158"/>
        <v/>
      </c>
    </row>
    <row r="3306" spans="1:3" x14ac:dyDescent="0.25">
      <c r="A3306" s="8" t="str">
        <f t="shared" si="156"/>
        <v/>
      </c>
      <c r="B3306" s="9" t="str">
        <f t="shared" si="157"/>
        <v/>
      </c>
      <c r="C3306" s="10" t="str">
        <f t="shared" si="158"/>
        <v/>
      </c>
    </row>
    <row r="3307" spans="1:3" x14ac:dyDescent="0.25">
      <c r="A3307" s="8" t="str">
        <f t="shared" si="156"/>
        <v/>
      </c>
      <c r="B3307" s="9" t="str">
        <f t="shared" si="157"/>
        <v/>
      </c>
      <c r="C3307" s="10" t="str">
        <f t="shared" si="158"/>
        <v/>
      </c>
    </row>
    <row r="3308" spans="1:3" x14ac:dyDescent="0.25">
      <c r="A3308" s="8" t="str">
        <f t="shared" si="156"/>
        <v/>
      </c>
      <c r="B3308" s="9" t="str">
        <f t="shared" si="157"/>
        <v/>
      </c>
      <c r="C3308" s="10" t="str">
        <f t="shared" si="158"/>
        <v/>
      </c>
    </row>
    <row r="3309" spans="1:3" x14ac:dyDescent="0.25">
      <c r="A3309" s="8" t="str">
        <f t="shared" si="156"/>
        <v/>
      </c>
      <c r="B3309" s="9" t="str">
        <f t="shared" si="157"/>
        <v/>
      </c>
      <c r="C3309" s="10" t="str">
        <f t="shared" si="158"/>
        <v/>
      </c>
    </row>
    <row r="3310" spans="1:3" x14ac:dyDescent="0.25">
      <c r="A3310" s="8" t="str">
        <f t="shared" si="156"/>
        <v/>
      </c>
      <c r="B3310" s="9" t="str">
        <f t="shared" si="157"/>
        <v/>
      </c>
      <c r="C3310" s="10" t="str">
        <f t="shared" si="158"/>
        <v/>
      </c>
    </row>
    <row r="3311" spans="1:3" x14ac:dyDescent="0.25">
      <c r="A3311" s="8" t="str">
        <f t="shared" si="156"/>
        <v/>
      </c>
      <c r="B3311" s="9" t="str">
        <f t="shared" si="157"/>
        <v/>
      </c>
      <c r="C3311" s="10" t="str">
        <f t="shared" si="158"/>
        <v/>
      </c>
    </row>
    <row r="3312" spans="1:3" x14ac:dyDescent="0.25">
      <c r="A3312" s="8" t="str">
        <f t="shared" si="156"/>
        <v/>
      </c>
      <c r="B3312" s="9" t="str">
        <f t="shared" si="157"/>
        <v/>
      </c>
      <c r="C3312" s="10" t="str">
        <f t="shared" si="158"/>
        <v/>
      </c>
    </row>
    <row r="3313" spans="1:3" x14ac:dyDescent="0.25">
      <c r="A3313" s="8" t="str">
        <f t="shared" si="156"/>
        <v/>
      </c>
      <c r="B3313" s="9" t="str">
        <f t="shared" si="157"/>
        <v/>
      </c>
      <c r="C3313" s="10" t="str">
        <f t="shared" si="158"/>
        <v/>
      </c>
    </row>
    <row r="3314" spans="1:3" x14ac:dyDescent="0.25">
      <c r="A3314" s="8" t="str">
        <f t="shared" si="156"/>
        <v/>
      </c>
      <c r="B3314" s="9" t="str">
        <f t="shared" si="157"/>
        <v/>
      </c>
      <c r="C3314" s="10" t="str">
        <f t="shared" si="158"/>
        <v/>
      </c>
    </row>
    <row r="3315" spans="1:3" x14ac:dyDescent="0.25">
      <c r="A3315" s="8" t="str">
        <f t="shared" si="156"/>
        <v/>
      </c>
      <c r="B3315" s="9" t="str">
        <f t="shared" si="157"/>
        <v/>
      </c>
      <c r="C3315" s="10" t="str">
        <f t="shared" si="158"/>
        <v/>
      </c>
    </row>
    <row r="3316" spans="1:3" x14ac:dyDescent="0.25">
      <c r="A3316" s="8" t="str">
        <f t="shared" si="156"/>
        <v/>
      </c>
      <c r="B3316" s="9" t="str">
        <f t="shared" si="157"/>
        <v/>
      </c>
      <c r="C3316" s="10" t="str">
        <f t="shared" si="158"/>
        <v/>
      </c>
    </row>
    <row r="3317" spans="1:3" x14ac:dyDescent="0.25">
      <c r="A3317" s="8" t="str">
        <f t="shared" si="156"/>
        <v/>
      </c>
      <c r="B3317" s="9" t="str">
        <f t="shared" si="157"/>
        <v/>
      </c>
      <c r="C3317" s="10" t="str">
        <f t="shared" si="158"/>
        <v/>
      </c>
    </row>
    <row r="3318" spans="1:3" x14ac:dyDescent="0.25">
      <c r="A3318" s="8" t="str">
        <f t="shared" si="156"/>
        <v/>
      </c>
      <c r="B3318" s="9" t="str">
        <f t="shared" si="157"/>
        <v/>
      </c>
      <c r="C3318" s="10" t="str">
        <f t="shared" si="158"/>
        <v/>
      </c>
    </row>
    <row r="3319" spans="1:3" x14ac:dyDescent="0.25">
      <c r="A3319" s="8" t="str">
        <f t="shared" si="156"/>
        <v/>
      </c>
      <c r="B3319" s="9" t="str">
        <f t="shared" si="157"/>
        <v/>
      </c>
      <c r="C3319" s="10" t="str">
        <f t="shared" si="158"/>
        <v/>
      </c>
    </row>
    <row r="3320" spans="1:3" x14ac:dyDescent="0.25">
      <c r="A3320" s="8" t="str">
        <f t="shared" si="156"/>
        <v/>
      </c>
      <c r="B3320" s="9" t="str">
        <f t="shared" si="157"/>
        <v/>
      </c>
      <c r="C3320" s="10" t="str">
        <f t="shared" si="158"/>
        <v/>
      </c>
    </row>
    <row r="3321" spans="1:3" x14ac:dyDescent="0.25">
      <c r="A3321" s="8" t="str">
        <f t="shared" si="156"/>
        <v/>
      </c>
      <c r="B3321" s="9" t="str">
        <f t="shared" si="157"/>
        <v/>
      </c>
      <c r="C3321" s="10" t="str">
        <f t="shared" si="158"/>
        <v/>
      </c>
    </row>
    <row r="3322" spans="1:3" x14ac:dyDescent="0.25">
      <c r="A3322" s="8" t="str">
        <f t="shared" si="156"/>
        <v/>
      </c>
      <c r="B3322" s="9" t="str">
        <f t="shared" si="157"/>
        <v/>
      </c>
      <c r="C3322" s="10" t="str">
        <f t="shared" si="158"/>
        <v/>
      </c>
    </row>
    <row r="3323" spans="1:3" x14ac:dyDescent="0.25">
      <c r="A3323" s="8" t="str">
        <f t="shared" si="156"/>
        <v/>
      </c>
      <c r="B3323" s="9" t="str">
        <f t="shared" si="157"/>
        <v/>
      </c>
      <c r="C3323" s="10" t="str">
        <f t="shared" si="158"/>
        <v/>
      </c>
    </row>
    <row r="3324" spans="1:3" x14ac:dyDescent="0.25">
      <c r="A3324" s="8" t="str">
        <f t="shared" si="156"/>
        <v/>
      </c>
      <c r="B3324" s="9" t="str">
        <f t="shared" si="157"/>
        <v/>
      </c>
      <c r="C3324" s="10" t="str">
        <f t="shared" si="158"/>
        <v/>
      </c>
    </row>
    <row r="3325" spans="1:3" x14ac:dyDescent="0.25">
      <c r="A3325" s="8" t="str">
        <f t="shared" si="156"/>
        <v/>
      </c>
      <c r="B3325" s="9" t="str">
        <f t="shared" si="157"/>
        <v/>
      </c>
      <c r="C3325" s="10" t="str">
        <f t="shared" si="158"/>
        <v/>
      </c>
    </row>
    <row r="3326" spans="1:3" x14ac:dyDescent="0.25">
      <c r="A3326" s="8" t="str">
        <f t="shared" si="156"/>
        <v/>
      </c>
      <c r="B3326" s="9" t="str">
        <f t="shared" si="157"/>
        <v/>
      </c>
      <c r="C3326" s="10" t="str">
        <f t="shared" si="158"/>
        <v/>
      </c>
    </row>
    <row r="3327" spans="1:3" x14ac:dyDescent="0.25">
      <c r="A3327" s="8" t="str">
        <f t="shared" si="156"/>
        <v/>
      </c>
      <c r="B3327" s="9" t="str">
        <f t="shared" si="157"/>
        <v/>
      </c>
      <c r="C3327" s="10" t="str">
        <f t="shared" si="158"/>
        <v/>
      </c>
    </row>
    <row r="3328" spans="1:3" x14ac:dyDescent="0.25">
      <c r="A3328" s="8" t="str">
        <f t="shared" si="156"/>
        <v/>
      </c>
      <c r="B3328" s="9" t="str">
        <f t="shared" si="157"/>
        <v/>
      </c>
      <c r="C3328" s="10" t="str">
        <f t="shared" si="158"/>
        <v/>
      </c>
    </row>
    <row r="3329" spans="1:3" x14ac:dyDescent="0.25">
      <c r="A3329" s="8" t="str">
        <f t="shared" si="156"/>
        <v/>
      </c>
      <c r="B3329" s="9" t="str">
        <f t="shared" si="157"/>
        <v/>
      </c>
      <c r="C3329" s="10" t="str">
        <f t="shared" si="158"/>
        <v/>
      </c>
    </row>
    <row r="3330" spans="1:3" x14ac:dyDescent="0.25">
      <c r="A3330" s="8" t="str">
        <f t="shared" si="156"/>
        <v/>
      </c>
      <c r="B3330" s="9" t="str">
        <f t="shared" si="157"/>
        <v/>
      </c>
      <c r="C3330" s="10" t="str">
        <f t="shared" si="158"/>
        <v/>
      </c>
    </row>
    <row r="3331" spans="1:3" x14ac:dyDescent="0.25">
      <c r="A3331" s="8" t="str">
        <f t="shared" si="156"/>
        <v/>
      </c>
      <c r="B3331" s="9" t="str">
        <f t="shared" si="157"/>
        <v/>
      </c>
      <c r="C3331" s="10" t="str">
        <f t="shared" si="158"/>
        <v/>
      </c>
    </row>
    <row r="3332" spans="1:3" x14ac:dyDescent="0.25">
      <c r="A3332" s="8" t="str">
        <f t="shared" si="156"/>
        <v/>
      </c>
      <c r="B3332" s="9" t="str">
        <f t="shared" si="157"/>
        <v/>
      </c>
      <c r="C3332" s="10" t="str">
        <f t="shared" si="158"/>
        <v/>
      </c>
    </row>
    <row r="3333" spans="1:3" x14ac:dyDescent="0.25">
      <c r="A3333" s="8" t="str">
        <f t="shared" si="156"/>
        <v/>
      </c>
      <c r="B3333" s="9" t="str">
        <f t="shared" si="157"/>
        <v/>
      </c>
      <c r="C3333" s="10" t="str">
        <f t="shared" si="158"/>
        <v/>
      </c>
    </row>
    <row r="3334" spans="1:3" x14ac:dyDescent="0.25">
      <c r="A3334" s="8" t="str">
        <f t="shared" si="156"/>
        <v/>
      </c>
      <c r="B3334" s="9" t="str">
        <f t="shared" si="157"/>
        <v/>
      </c>
      <c r="C3334" s="10" t="str">
        <f t="shared" si="158"/>
        <v/>
      </c>
    </row>
    <row r="3335" spans="1:3" x14ac:dyDescent="0.25">
      <c r="A3335" s="8" t="str">
        <f t="shared" si="156"/>
        <v/>
      </c>
      <c r="B3335" s="9" t="str">
        <f t="shared" si="157"/>
        <v/>
      </c>
      <c r="C3335" s="10" t="str">
        <f t="shared" si="158"/>
        <v/>
      </c>
    </row>
    <row r="3336" spans="1:3" x14ac:dyDescent="0.25">
      <c r="A3336" s="8" t="str">
        <f t="shared" si="156"/>
        <v/>
      </c>
      <c r="B3336" s="9" t="str">
        <f t="shared" si="157"/>
        <v/>
      </c>
      <c r="C3336" s="10" t="str">
        <f t="shared" si="158"/>
        <v/>
      </c>
    </row>
    <row r="3337" spans="1:3" x14ac:dyDescent="0.25">
      <c r="A3337" s="8" t="str">
        <f t="shared" si="156"/>
        <v/>
      </c>
      <c r="B3337" s="9" t="str">
        <f t="shared" si="157"/>
        <v/>
      </c>
      <c r="C3337" s="10" t="str">
        <f t="shared" si="158"/>
        <v/>
      </c>
    </row>
    <row r="3338" spans="1:3" x14ac:dyDescent="0.25">
      <c r="A3338" s="8" t="str">
        <f t="shared" si="156"/>
        <v/>
      </c>
      <c r="B3338" s="9" t="str">
        <f t="shared" si="157"/>
        <v/>
      </c>
      <c r="C3338" s="10" t="str">
        <f t="shared" si="158"/>
        <v/>
      </c>
    </row>
    <row r="3339" spans="1:3" x14ac:dyDescent="0.25">
      <c r="A3339" s="8" t="str">
        <f t="shared" si="156"/>
        <v/>
      </c>
      <c r="B3339" s="9" t="str">
        <f t="shared" si="157"/>
        <v/>
      </c>
      <c r="C3339" s="10" t="str">
        <f t="shared" si="158"/>
        <v/>
      </c>
    </row>
    <row r="3340" spans="1:3" x14ac:dyDescent="0.25">
      <c r="A3340" s="8" t="str">
        <f t="shared" si="156"/>
        <v/>
      </c>
      <c r="B3340" s="9" t="str">
        <f t="shared" si="157"/>
        <v/>
      </c>
      <c r="C3340" s="10" t="str">
        <f t="shared" si="158"/>
        <v/>
      </c>
    </row>
    <row r="3341" spans="1:3" x14ac:dyDescent="0.25">
      <c r="A3341" s="8" t="str">
        <f t="shared" si="156"/>
        <v/>
      </c>
      <c r="B3341" s="9" t="str">
        <f t="shared" si="157"/>
        <v/>
      </c>
      <c r="C3341" s="10" t="str">
        <f t="shared" si="158"/>
        <v/>
      </c>
    </row>
    <row r="3342" spans="1:3" x14ac:dyDescent="0.25">
      <c r="A3342" s="8" t="str">
        <f t="shared" si="156"/>
        <v/>
      </c>
      <c r="B3342" s="9" t="str">
        <f t="shared" si="157"/>
        <v/>
      </c>
      <c r="C3342" s="10" t="str">
        <f t="shared" si="158"/>
        <v/>
      </c>
    </row>
    <row r="3343" spans="1:3" x14ac:dyDescent="0.25">
      <c r="A3343" s="8" t="str">
        <f t="shared" si="156"/>
        <v/>
      </c>
      <c r="B3343" s="9" t="str">
        <f t="shared" si="157"/>
        <v/>
      </c>
      <c r="C3343" s="10" t="str">
        <f t="shared" si="158"/>
        <v/>
      </c>
    </row>
    <row r="3344" spans="1:3" x14ac:dyDescent="0.25">
      <c r="A3344" s="8" t="str">
        <f t="shared" si="156"/>
        <v/>
      </c>
      <c r="B3344" s="9" t="str">
        <f t="shared" si="157"/>
        <v/>
      </c>
      <c r="C3344" s="10" t="str">
        <f t="shared" si="158"/>
        <v/>
      </c>
    </row>
    <row r="3345" spans="1:3" x14ac:dyDescent="0.25">
      <c r="A3345" s="8" t="str">
        <f t="shared" si="156"/>
        <v/>
      </c>
      <c r="B3345" s="9" t="str">
        <f t="shared" si="157"/>
        <v/>
      </c>
      <c r="C3345" s="10" t="str">
        <f t="shared" si="158"/>
        <v/>
      </c>
    </row>
    <row r="3346" spans="1:3" x14ac:dyDescent="0.25">
      <c r="A3346" s="8" t="str">
        <f t="shared" si="156"/>
        <v/>
      </c>
      <c r="B3346" s="9" t="str">
        <f t="shared" si="157"/>
        <v/>
      </c>
      <c r="C3346" s="10" t="str">
        <f t="shared" si="158"/>
        <v/>
      </c>
    </row>
    <row r="3347" spans="1:3" x14ac:dyDescent="0.25">
      <c r="A3347" s="8" t="str">
        <f t="shared" si="156"/>
        <v/>
      </c>
      <c r="B3347" s="9" t="str">
        <f t="shared" si="157"/>
        <v/>
      </c>
      <c r="C3347" s="10" t="str">
        <f t="shared" si="158"/>
        <v/>
      </c>
    </row>
    <row r="3348" spans="1:3" x14ac:dyDescent="0.25">
      <c r="A3348" s="8" t="str">
        <f t="shared" si="156"/>
        <v/>
      </c>
      <c r="B3348" s="9" t="str">
        <f t="shared" si="157"/>
        <v/>
      </c>
      <c r="C3348" s="10" t="str">
        <f t="shared" si="158"/>
        <v/>
      </c>
    </row>
    <row r="3349" spans="1:3" x14ac:dyDescent="0.25">
      <c r="A3349" s="8" t="str">
        <f t="shared" si="156"/>
        <v/>
      </c>
      <c r="B3349" s="9" t="str">
        <f t="shared" si="157"/>
        <v/>
      </c>
      <c r="C3349" s="10" t="str">
        <f t="shared" si="158"/>
        <v/>
      </c>
    </row>
    <row r="3350" spans="1:3" x14ac:dyDescent="0.25">
      <c r="A3350" s="8" t="str">
        <f t="shared" si="156"/>
        <v/>
      </c>
      <c r="B3350" s="9" t="str">
        <f t="shared" si="157"/>
        <v/>
      </c>
      <c r="C3350" s="10" t="str">
        <f t="shared" si="158"/>
        <v/>
      </c>
    </row>
    <row r="3351" spans="1:3" x14ac:dyDescent="0.25">
      <c r="A3351" s="8" t="str">
        <f t="shared" si="156"/>
        <v/>
      </c>
      <c r="B3351" s="9" t="str">
        <f t="shared" si="157"/>
        <v/>
      </c>
      <c r="C3351" s="10" t="str">
        <f t="shared" si="158"/>
        <v/>
      </c>
    </row>
    <row r="3352" spans="1:3" x14ac:dyDescent="0.25">
      <c r="A3352" s="8" t="str">
        <f t="shared" si="156"/>
        <v/>
      </c>
      <c r="B3352" s="9" t="str">
        <f t="shared" si="157"/>
        <v/>
      </c>
      <c r="C3352" s="10" t="str">
        <f t="shared" si="158"/>
        <v/>
      </c>
    </row>
    <row r="3353" spans="1:3" x14ac:dyDescent="0.25">
      <c r="A3353" s="8" t="str">
        <f t="shared" si="156"/>
        <v/>
      </c>
      <c r="B3353" s="9" t="str">
        <f t="shared" si="157"/>
        <v/>
      </c>
      <c r="C3353" s="10" t="str">
        <f t="shared" si="158"/>
        <v/>
      </c>
    </row>
    <row r="3354" spans="1:3" x14ac:dyDescent="0.25">
      <c r="A3354" s="8" t="str">
        <f t="shared" si="156"/>
        <v/>
      </c>
      <c r="B3354" s="9" t="str">
        <f t="shared" si="157"/>
        <v/>
      </c>
      <c r="C3354" s="10" t="str">
        <f t="shared" si="158"/>
        <v/>
      </c>
    </row>
    <row r="3355" spans="1:3" x14ac:dyDescent="0.25">
      <c r="A3355" s="8" t="str">
        <f t="shared" si="156"/>
        <v/>
      </c>
      <c r="B3355" s="9" t="str">
        <f t="shared" si="157"/>
        <v/>
      </c>
      <c r="C3355" s="10" t="str">
        <f t="shared" si="158"/>
        <v/>
      </c>
    </row>
    <row r="3356" spans="1:3" x14ac:dyDescent="0.25">
      <c r="A3356" s="8" t="str">
        <f t="shared" si="156"/>
        <v/>
      </c>
      <c r="B3356" s="9" t="str">
        <f t="shared" si="157"/>
        <v/>
      </c>
      <c r="C3356" s="10" t="str">
        <f t="shared" si="158"/>
        <v/>
      </c>
    </row>
    <row r="3357" spans="1:3" x14ac:dyDescent="0.25">
      <c r="A3357" s="8" t="str">
        <f t="shared" si="156"/>
        <v/>
      </c>
      <c r="B3357" s="9" t="str">
        <f t="shared" si="157"/>
        <v/>
      </c>
      <c r="C3357" s="10" t="str">
        <f t="shared" si="158"/>
        <v/>
      </c>
    </row>
    <row r="3358" spans="1:3" x14ac:dyDescent="0.25">
      <c r="A3358" s="8" t="str">
        <f t="shared" si="156"/>
        <v/>
      </c>
      <c r="B3358" s="9" t="str">
        <f t="shared" si="157"/>
        <v/>
      </c>
      <c r="C3358" s="10" t="str">
        <f t="shared" si="158"/>
        <v/>
      </c>
    </row>
    <row r="3359" spans="1:3" x14ac:dyDescent="0.25">
      <c r="A3359" s="8" t="str">
        <f t="shared" si="156"/>
        <v/>
      </c>
      <c r="B3359" s="9" t="str">
        <f t="shared" si="157"/>
        <v/>
      </c>
      <c r="C3359" s="10" t="str">
        <f t="shared" si="158"/>
        <v/>
      </c>
    </row>
    <row r="3360" spans="1:3" x14ac:dyDescent="0.25">
      <c r="A3360" s="8" t="str">
        <f t="shared" si="156"/>
        <v/>
      </c>
      <c r="B3360" s="9" t="str">
        <f t="shared" si="157"/>
        <v/>
      </c>
      <c r="C3360" s="10" t="str">
        <f t="shared" si="158"/>
        <v/>
      </c>
    </row>
    <row r="3361" spans="1:3" x14ac:dyDescent="0.25">
      <c r="A3361" s="8" t="str">
        <f t="shared" si="156"/>
        <v/>
      </c>
      <c r="B3361" s="9" t="str">
        <f t="shared" si="157"/>
        <v/>
      </c>
      <c r="C3361" s="10" t="str">
        <f t="shared" si="158"/>
        <v/>
      </c>
    </row>
    <row r="3362" spans="1:3" x14ac:dyDescent="0.25">
      <c r="A3362" s="8" t="str">
        <f t="shared" si="156"/>
        <v/>
      </c>
      <c r="B3362" s="9" t="str">
        <f t="shared" si="157"/>
        <v/>
      </c>
      <c r="C3362" s="10" t="str">
        <f t="shared" si="158"/>
        <v/>
      </c>
    </row>
    <row r="3363" spans="1:3" x14ac:dyDescent="0.25">
      <c r="A3363" s="8" t="str">
        <f t="shared" si="156"/>
        <v/>
      </c>
      <c r="B3363" s="9" t="str">
        <f t="shared" si="157"/>
        <v/>
      </c>
      <c r="C3363" s="10" t="str">
        <f t="shared" si="158"/>
        <v/>
      </c>
    </row>
    <row r="3364" spans="1:3" x14ac:dyDescent="0.25">
      <c r="A3364" s="8" t="str">
        <f t="shared" si="156"/>
        <v/>
      </c>
      <c r="B3364" s="9" t="str">
        <f t="shared" si="157"/>
        <v/>
      </c>
      <c r="C3364" s="10" t="str">
        <f t="shared" si="158"/>
        <v/>
      </c>
    </row>
    <row r="3365" spans="1:3" x14ac:dyDescent="0.25">
      <c r="A3365" s="8" t="str">
        <f t="shared" si="156"/>
        <v/>
      </c>
      <c r="B3365" s="9" t="str">
        <f t="shared" si="157"/>
        <v/>
      </c>
      <c r="C3365" s="10" t="str">
        <f t="shared" si="158"/>
        <v/>
      </c>
    </row>
    <row r="3366" spans="1:3" x14ac:dyDescent="0.25">
      <c r="A3366" s="8" t="str">
        <f t="shared" si="156"/>
        <v/>
      </c>
      <c r="B3366" s="9" t="str">
        <f t="shared" si="157"/>
        <v/>
      </c>
      <c r="C3366" s="10" t="str">
        <f t="shared" si="158"/>
        <v/>
      </c>
    </row>
    <row r="3367" spans="1:3" x14ac:dyDescent="0.25">
      <c r="A3367" s="8" t="str">
        <f t="shared" ref="A3367:A3430" si="159">IF(D3367="","",IF(E3367=0,CONCATENATE(D3367,".",E3367,"00"),CONCATENATE(D3367,".",E3367)))</f>
        <v/>
      </c>
      <c r="B3367" s="9" t="str">
        <f t="shared" ref="B3367:B3430" si="160">LEFT(G3367,1)</f>
        <v/>
      </c>
      <c r="C3367" s="10" t="str">
        <f t="shared" ref="C3367:C3430" si="161">IF(F3367="","",IF(B3367="",F3367-4,IF(B3367="1",F3367-4,IF(B3367="2",F3367-3,IF(B3367="3",F3367-2,IF(B3367="4",F3367-1,IF(B3367="V",F3367-7,IF(B3367="J",F3367-8,F3367))))))))</f>
        <v/>
      </c>
    </row>
    <row r="3368" spans="1:3" x14ac:dyDescent="0.25">
      <c r="A3368" s="8" t="str">
        <f t="shared" si="159"/>
        <v/>
      </c>
      <c r="B3368" s="9" t="str">
        <f t="shared" si="160"/>
        <v/>
      </c>
      <c r="C3368" s="10" t="str">
        <f t="shared" si="161"/>
        <v/>
      </c>
    </row>
    <row r="3369" spans="1:3" x14ac:dyDescent="0.25">
      <c r="A3369" s="8" t="str">
        <f t="shared" si="159"/>
        <v/>
      </c>
      <c r="B3369" s="9" t="str">
        <f t="shared" si="160"/>
        <v/>
      </c>
      <c r="C3369" s="10" t="str">
        <f t="shared" si="161"/>
        <v/>
      </c>
    </row>
    <row r="3370" spans="1:3" x14ac:dyDescent="0.25">
      <c r="A3370" s="8" t="str">
        <f t="shared" si="159"/>
        <v/>
      </c>
      <c r="B3370" s="9" t="str">
        <f t="shared" si="160"/>
        <v/>
      </c>
      <c r="C3370" s="10" t="str">
        <f t="shared" si="161"/>
        <v/>
      </c>
    </row>
    <row r="3371" spans="1:3" x14ac:dyDescent="0.25">
      <c r="A3371" s="8" t="str">
        <f t="shared" si="159"/>
        <v/>
      </c>
      <c r="B3371" s="9" t="str">
        <f t="shared" si="160"/>
        <v/>
      </c>
      <c r="C3371" s="10" t="str">
        <f t="shared" si="161"/>
        <v/>
      </c>
    </row>
    <row r="3372" spans="1:3" x14ac:dyDescent="0.25">
      <c r="A3372" s="8" t="str">
        <f t="shared" si="159"/>
        <v/>
      </c>
      <c r="B3372" s="9" t="str">
        <f t="shared" si="160"/>
        <v/>
      </c>
      <c r="C3372" s="10" t="str">
        <f t="shared" si="161"/>
        <v/>
      </c>
    </row>
    <row r="3373" spans="1:3" x14ac:dyDescent="0.25">
      <c r="A3373" s="8" t="str">
        <f t="shared" si="159"/>
        <v/>
      </c>
      <c r="B3373" s="9" t="str">
        <f t="shared" si="160"/>
        <v/>
      </c>
      <c r="C3373" s="10" t="str">
        <f t="shared" si="161"/>
        <v/>
      </c>
    </row>
    <row r="3374" spans="1:3" x14ac:dyDescent="0.25">
      <c r="A3374" s="8" t="str">
        <f t="shared" si="159"/>
        <v/>
      </c>
      <c r="B3374" s="9" t="str">
        <f t="shared" si="160"/>
        <v/>
      </c>
      <c r="C3374" s="10" t="str">
        <f t="shared" si="161"/>
        <v/>
      </c>
    </row>
    <row r="3375" spans="1:3" x14ac:dyDescent="0.25">
      <c r="A3375" s="8" t="str">
        <f t="shared" si="159"/>
        <v/>
      </c>
      <c r="B3375" s="9" t="str">
        <f t="shared" si="160"/>
        <v/>
      </c>
      <c r="C3375" s="10" t="str">
        <f t="shared" si="161"/>
        <v/>
      </c>
    </row>
    <row r="3376" spans="1:3" x14ac:dyDescent="0.25">
      <c r="A3376" s="8" t="str">
        <f t="shared" si="159"/>
        <v/>
      </c>
      <c r="B3376" s="9" t="str">
        <f t="shared" si="160"/>
        <v/>
      </c>
      <c r="C3376" s="10" t="str">
        <f t="shared" si="161"/>
        <v/>
      </c>
    </row>
    <row r="3377" spans="1:3" x14ac:dyDescent="0.25">
      <c r="A3377" s="8" t="str">
        <f t="shared" si="159"/>
        <v/>
      </c>
      <c r="B3377" s="9" t="str">
        <f t="shared" si="160"/>
        <v/>
      </c>
      <c r="C3377" s="10" t="str">
        <f t="shared" si="161"/>
        <v/>
      </c>
    </row>
    <row r="3378" spans="1:3" x14ac:dyDescent="0.25">
      <c r="A3378" s="8" t="str">
        <f t="shared" si="159"/>
        <v/>
      </c>
      <c r="B3378" s="9" t="str">
        <f t="shared" si="160"/>
        <v/>
      </c>
      <c r="C3378" s="10" t="str">
        <f t="shared" si="161"/>
        <v/>
      </c>
    </row>
    <row r="3379" spans="1:3" x14ac:dyDescent="0.25">
      <c r="A3379" s="8" t="str">
        <f t="shared" si="159"/>
        <v/>
      </c>
      <c r="B3379" s="9" t="str">
        <f t="shared" si="160"/>
        <v/>
      </c>
      <c r="C3379" s="10" t="str">
        <f t="shared" si="161"/>
        <v/>
      </c>
    </row>
    <row r="3380" spans="1:3" x14ac:dyDescent="0.25">
      <c r="A3380" s="8" t="str">
        <f t="shared" si="159"/>
        <v/>
      </c>
      <c r="B3380" s="9" t="str">
        <f t="shared" si="160"/>
        <v/>
      </c>
      <c r="C3380" s="10" t="str">
        <f t="shared" si="161"/>
        <v/>
      </c>
    </row>
    <row r="3381" spans="1:3" x14ac:dyDescent="0.25">
      <c r="A3381" s="8" t="str">
        <f t="shared" si="159"/>
        <v/>
      </c>
      <c r="B3381" s="9" t="str">
        <f t="shared" si="160"/>
        <v/>
      </c>
      <c r="C3381" s="10" t="str">
        <f t="shared" si="161"/>
        <v/>
      </c>
    </row>
    <row r="3382" spans="1:3" x14ac:dyDescent="0.25">
      <c r="A3382" s="8" t="str">
        <f t="shared" si="159"/>
        <v/>
      </c>
      <c r="B3382" s="9" t="str">
        <f t="shared" si="160"/>
        <v/>
      </c>
      <c r="C3382" s="10" t="str">
        <f t="shared" si="161"/>
        <v/>
      </c>
    </row>
    <row r="3383" spans="1:3" x14ac:dyDescent="0.25">
      <c r="A3383" s="8" t="str">
        <f t="shared" si="159"/>
        <v/>
      </c>
      <c r="B3383" s="9" t="str">
        <f t="shared" si="160"/>
        <v/>
      </c>
      <c r="C3383" s="10" t="str">
        <f t="shared" si="161"/>
        <v/>
      </c>
    </row>
    <row r="3384" spans="1:3" x14ac:dyDescent="0.25">
      <c r="A3384" s="8" t="str">
        <f t="shared" si="159"/>
        <v/>
      </c>
      <c r="B3384" s="9" t="str">
        <f t="shared" si="160"/>
        <v/>
      </c>
      <c r="C3384" s="10" t="str">
        <f t="shared" si="161"/>
        <v/>
      </c>
    </row>
    <row r="3385" spans="1:3" x14ac:dyDescent="0.25">
      <c r="A3385" s="8" t="str">
        <f t="shared" si="159"/>
        <v/>
      </c>
      <c r="B3385" s="9" t="str">
        <f t="shared" si="160"/>
        <v/>
      </c>
      <c r="C3385" s="10" t="str">
        <f t="shared" si="161"/>
        <v/>
      </c>
    </row>
    <row r="3386" spans="1:3" x14ac:dyDescent="0.25">
      <c r="A3386" s="8" t="str">
        <f t="shared" si="159"/>
        <v/>
      </c>
      <c r="B3386" s="9" t="str">
        <f t="shared" si="160"/>
        <v/>
      </c>
      <c r="C3386" s="10" t="str">
        <f t="shared" si="161"/>
        <v/>
      </c>
    </row>
    <row r="3387" spans="1:3" x14ac:dyDescent="0.25">
      <c r="A3387" s="8" t="str">
        <f t="shared" si="159"/>
        <v/>
      </c>
      <c r="B3387" s="9" t="str">
        <f t="shared" si="160"/>
        <v/>
      </c>
      <c r="C3387" s="10" t="str">
        <f t="shared" si="161"/>
        <v/>
      </c>
    </row>
    <row r="3388" spans="1:3" x14ac:dyDescent="0.25">
      <c r="A3388" s="8" t="str">
        <f t="shared" si="159"/>
        <v/>
      </c>
      <c r="B3388" s="9" t="str">
        <f t="shared" si="160"/>
        <v/>
      </c>
      <c r="C3388" s="10" t="str">
        <f t="shared" si="161"/>
        <v/>
      </c>
    </row>
    <row r="3389" spans="1:3" x14ac:dyDescent="0.25">
      <c r="A3389" s="8" t="str">
        <f t="shared" si="159"/>
        <v/>
      </c>
      <c r="B3389" s="9" t="str">
        <f t="shared" si="160"/>
        <v/>
      </c>
      <c r="C3389" s="10" t="str">
        <f t="shared" si="161"/>
        <v/>
      </c>
    </row>
    <row r="3390" spans="1:3" x14ac:dyDescent="0.25">
      <c r="A3390" s="8" t="str">
        <f t="shared" si="159"/>
        <v/>
      </c>
      <c r="B3390" s="9" t="str">
        <f t="shared" si="160"/>
        <v/>
      </c>
      <c r="C3390" s="10" t="str">
        <f t="shared" si="161"/>
        <v/>
      </c>
    </row>
    <row r="3391" spans="1:3" x14ac:dyDescent="0.25">
      <c r="A3391" s="8" t="str">
        <f t="shared" si="159"/>
        <v/>
      </c>
      <c r="B3391" s="9" t="str">
        <f t="shared" si="160"/>
        <v/>
      </c>
      <c r="C3391" s="10" t="str">
        <f t="shared" si="161"/>
        <v/>
      </c>
    </row>
    <row r="3392" spans="1:3" x14ac:dyDescent="0.25">
      <c r="A3392" s="8" t="str">
        <f t="shared" si="159"/>
        <v/>
      </c>
      <c r="B3392" s="9" t="str">
        <f t="shared" si="160"/>
        <v/>
      </c>
      <c r="C3392" s="10" t="str">
        <f t="shared" si="161"/>
        <v/>
      </c>
    </row>
    <row r="3393" spans="1:3" x14ac:dyDescent="0.25">
      <c r="A3393" s="8" t="str">
        <f t="shared" si="159"/>
        <v/>
      </c>
      <c r="B3393" s="9" t="str">
        <f t="shared" si="160"/>
        <v/>
      </c>
      <c r="C3393" s="10" t="str">
        <f t="shared" si="161"/>
        <v/>
      </c>
    </row>
    <row r="3394" spans="1:3" x14ac:dyDescent="0.25">
      <c r="A3394" s="8" t="str">
        <f t="shared" si="159"/>
        <v/>
      </c>
      <c r="B3394" s="9" t="str">
        <f t="shared" si="160"/>
        <v/>
      </c>
      <c r="C3394" s="10" t="str">
        <f t="shared" si="161"/>
        <v/>
      </c>
    </row>
    <row r="3395" spans="1:3" x14ac:dyDescent="0.25">
      <c r="A3395" s="8" t="str">
        <f t="shared" si="159"/>
        <v/>
      </c>
      <c r="B3395" s="9" t="str">
        <f t="shared" si="160"/>
        <v/>
      </c>
      <c r="C3395" s="10" t="str">
        <f t="shared" si="161"/>
        <v/>
      </c>
    </row>
    <row r="3396" spans="1:3" x14ac:dyDescent="0.25">
      <c r="A3396" s="8" t="str">
        <f t="shared" si="159"/>
        <v/>
      </c>
      <c r="B3396" s="9" t="str">
        <f t="shared" si="160"/>
        <v/>
      </c>
      <c r="C3396" s="10" t="str">
        <f t="shared" si="161"/>
        <v/>
      </c>
    </row>
    <row r="3397" spans="1:3" x14ac:dyDescent="0.25">
      <c r="A3397" s="8" t="str">
        <f t="shared" si="159"/>
        <v/>
      </c>
      <c r="B3397" s="9" t="str">
        <f t="shared" si="160"/>
        <v/>
      </c>
      <c r="C3397" s="10" t="str">
        <f t="shared" si="161"/>
        <v/>
      </c>
    </row>
    <row r="3398" spans="1:3" x14ac:dyDescent="0.25">
      <c r="A3398" s="8" t="str">
        <f t="shared" si="159"/>
        <v/>
      </c>
      <c r="B3398" s="9" t="str">
        <f t="shared" si="160"/>
        <v/>
      </c>
      <c r="C3398" s="10" t="str">
        <f t="shared" si="161"/>
        <v/>
      </c>
    </row>
    <row r="3399" spans="1:3" x14ac:dyDescent="0.25">
      <c r="A3399" s="8" t="str">
        <f t="shared" si="159"/>
        <v/>
      </c>
      <c r="B3399" s="9" t="str">
        <f t="shared" si="160"/>
        <v/>
      </c>
      <c r="C3399" s="10" t="str">
        <f t="shared" si="161"/>
        <v/>
      </c>
    </row>
    <row r="3400" spans="1:3" x14ac:dyDescent="0.25">
      <c r="A3400" s="8" t="str">
        <f t="shared" si="159"/>
        <v/>
      </c>
      <c r="B3400" s="9" t="str">
        <f t="shared" si="160"/>
        <v/>
      </c>
      <c r="C3400" s="10" t="str">
        <f t="shared" si="161"/>
        <v/>
      </c>
    </row>
    <row r="3401" spans="1:3" x14ac:dyDescent="0.25">
      <c r="A3401" s="8" t="str">
        <f t="shared" si="159"/>
        <v/>
      </c>
      <c r="B3401" s="9" t="str">
        <f t="shared" si="160"/>
        <v/>
      </c>
      <c r="C3401" s="10" t="str">
        <f t="shared" si="161"/>
        <v/>
      </c>
    </row>
    <row r="3402" spans="1:3" x14ac:dyDescent="0.25">
      <c r="A3402" s="8" t="str">
        <f t="shared" si="159"/>
        <v/>
      </c>
      <c r="B3402" s="9" t="str">
        <f t="shared" si="160"/>
        <v/>
      </c>
      <c r="C3402" s="10" t="str">
        <f t="shared" si="161"/>
        <v/>
      </c>
    </row>
    <row r="3403" spans="1:3" x14ac:dyDescent="0.25">
      <c r="A3403" s="8" t="str">
        <f t="shared" si="159"/>
        <v/>
      </c>
      <c r="B3403" s="9" t="str">
        <f t="shared" si="160"/>
        <v/>
      </c>
      <c r="C3403" s="10" t="str">
        <f t="shared" si="161"/>
        <v/>
      </c>
    </row>
    <row r="3404" spans="1:3" x14ac:dyDescent="0.25">
      <c r="A3404" s="8" t="str">
        <f t="shared" si="159"/>
        <v/>
      </c>
      <c r="B3404" s="9" t="str">
        <f t="shared" si="160"/>
        <v/>
      </c>
      <c r="C3404" s="10" t="str">
        <f t="shared" si="161"/>
        <v/>
      </c>
    </row>
    <row r="3405" spans="1:3" x14ac:dyDescent="0.25">
      <c r="A3405" s="8" t="str">
        <f t="shared" si="159"/>
        <v/>
      </c>
      <c r="B3405" s="9" t="str">
        <f t="shared" si="160"/>
        <v/>
      </c>
      <c r="C3405" s="10" t="str">
        <f t="shared" si="161"/>
        <v/>
      </c>
    </row>
    <row r="3406" spans="1:3" x14ac:dyDescent="0.25">
      <c r="A3406" s="8" t="str">
        <f t="shared" si="159"/>
        <v/>
      </c>
      <c r="B3406" s="9" t="str">
        <f t="shared" si="160"/>
        <v/>
      </c>
      <c r="C3406" s="10" t="str">
        <f t="shared" si="161"/>
        <v/>
      </c>
    </row>
    <row r="3407" spans="1:3" x14ac:dyDescent="0.25">
      <c r="A3407" s="8" t="str">
        <f t="shared" si="159"/>
        <v/>
      </c>
      <c r="B3407" s="9" t="str">
        <f t="shared" si="160"/>
        <v/>
      </c>
      <c r="C3407" s="10" t="str">
        <f t="shared" si="161"/>
        <v/>
      </c>
    </row>
    <row r="3408" spans="1:3" x14ac:dyDescent="0.25">
      <c r="A3408" s="8" t="str">
        <f t="shared" si="159"/>
        <v/>
      </c>
      <c r="B3408" s="9" t="str">
        <f t="shared" si="160"/>
        <v/>
      </c>
      <c r="C3408" s="10" t="str">
        <f t="shared" si="161"/>
        <v/>
      </c>
    </row>
    <row r="3409" spans="1:3" x14ac:dyDescent="0.25">
      <c r="A3409" s="8" t="str">
        <f t="shared" si="159"/>
        <v/>
      </c>
      <c r="B3409" s="9" t="str">
        <f t="shared" si="160"/>
        <v/>
      </c>
      <c r="C3409" s="10" t="str">
        <f t="shared" si="161"/>
        <v/>
      </c>
    </row>
    <row r="3410" spans="1:3" x14ac:dyDescent="0.25">
      <c r="A3410" s="8" t="str">
        <f t="shared" si="159"/>
        <v/>
      </c>
      <c r="B3410" s="9" t="str">
        <f t="shared" si="160"/>
        <v/>
      </c>
      <c r="C3410" s="10" t="str">
        <f t="shared" si="161"/>
        <v/>
      </c>
    </row>
    <row r="3411" spans="1:3" x14ac:dyDescent="0.25">
      <c r="A3411" s="8" t="str">
        <f t="shared" si="159"/>
        <v/>
      </c>
      <c r="B3411" s="9" t="str">
        <f t="shared" si="160"/>
        <v/>
      </c>
      <c r="C3411" s="10" t="str">
        <f t="shared" si="161"/>
        <v/>
      </c>
    </row>
    <row r="3412" spans="1:3" x14ac:dyDescent="0.25">
      <c r="A3412" s="8" t="str">
        <f t="shared" si="159"/>
        <v/>
      </c>
      <c r="B3412" s="9" t="str">
        <f t="shared" si="160"/>
        <v/>
      </c>
      <c r="C3412" s="10" t="str">
        <f t="shared" si="161"/>
        <v/>
      </c>
    </row>
    <row r="3413" spans="1:3" x14ac:dyDescent="0.25">
      <c r="A3413" s="8" t="str">
        <f t="shared" si="159"/>
        <v/>
      </c>
      <c r="B3413" s="9" t="str">
        <f t="shared" si="160"/>
        <v/>
      </c>
      <c r="C3413" s="10" t="str">
        <f t="shared" si="161"/>
        <v/>
      </c>
    </row>
    <row r="3414" spans="1:3" x14ac:dyDescent="0.25">
      <c r="A3414" s="8" t="str">
        <f t="shared" si="159"/>
        <v/>
      </c>
      <c r="B3414" s="9" t="str">
        <f t="shared" si="160"/>
        <v/>
      </c>
      <c r="C3414" s="10" t="str">
        <f t="shared" si="161"/>
        <v/>
      </c>
    </row>
    <row r="3415" spans="1:3" x14ac:dyDescent="0.25">
      <c r="A3415" s="8" t="str">
        <f t="shared" si="159"/>
        <v/>
      </c>
      <c r="B3415" s="9" t="str">
        <f t="shared" si="160"/>
        <v/>
      </c>
      <c r="C3415" s="10" t="str">
        <f t="shared" si="161"/>
        <v/>
      </c>
    </row>
    <row r="3416" spans="1:3" x14ac:dyDescent="0.25">
      <c r="A3416" s="8" t="str">
        <f t="shared" si="159"/>
        <v/>
      </c>
      <c r="B3416" s="9" t="str">
        <f t="shared" si="160"/>
        <v/>
      </c>
      <c r="C3416" s="10" t="str">
        <f t="shared" si="161"/>
        <v/>
      </c>
    </row>
    <row r="3417" spans="1:3" x14ac:dyDescent="0.25">
      <c r="A3417" s="8" t="str">
        <f t="shared" si="159"/>
        <v/>
      </c>
      <c r="B3417" s="9" t="str">
        <f t="shared" si="160"/>
        <v/>
      </c>
      <c r="C3417" s="10" t="str">
        <f t="shared" si="161"/>
        <v/>
      </c>
    </row>
    <row r="3418" spans="1:3" x14ac:dyDescent="0.25">
      <c r="A3418" s="8" t="str">
        <f t="shared" si="159"/>
        <v/>
      </c>
      <c r="B3418" s="9" t="str">
        <f t="shared" si="160"/>
        <v/>
      </c>
      <c r="C3418" s="10" t="str">
        <f t="shared" si="161"/>
        <v/>
      </c>
    </row>
    <row r="3419" spans="1:3" x14ac:dyDescent="0.25">
      <c r="A3419" s="8" t="str">
        <f t="shared" si="159"/>
        <v/>
      </c>
      <c r="B3419" s="9" t="str">
        <f t="shared" si="160"/>
        <v/>
      </c>
      <c r="C3419" s="10" t="str">
        <f t="shared" si="161"/>
        <v/>
      </c>
    </row>
    <row r="3420" spans="1:3" x14ac:dyDescent="0.25">
      <c r="A3420" s="8" t="str">
        <f t="shared" si="159"/>
        <v/>
      </c>
      <c r="B3420" s="9" t="str">
        <f t="shared" si="160"/>
        <v/>
      </c>
      <c r="C3420" s="10" t="str">
        <f t="shared" si="161"/>
        <v/>
      </c>
    </row>
    <row r="3421" spans="1:3" x14ac:dyDescent="0.25">
      <c r="A3421" s="8" t="str">
        <f t="shared" si="159"/>
        <v/>
      </c>
      <c r="B3421" s="9" t="str">
        <f t="shared" si="160"/>
        <v/>
      </c>
      <c r="C3421" s="10" t="str">
        <f t="shared" si="161"/>
        <v/>
      </c>
    </row>
    <row r="3422" spans="1:3" x14ac:dyDescent="0.25">
      <c r="A3422" s="8" t="str">
        <f t="shared" si="159"/>
        <v/>
      </c>
      <c r="B3422" s="9" t="str">
        <f t="shared" si="160"/>
        <v/>
      </c>
      <c r="C3422" s="10" t="str">
        <f t="shared" si="161"/>
        <v/>
      </c>
    </row>
    <row r="3423" spans="1:3" x14ac:dyDescent="0.25">
      <c r="A3423" s="8" t="str">
        <f t="shared" si="159"/>
        <v/>
      </c>
      <c r="B3423" s="9" t="str">
        <f t="shared" si="160"/>
        <v/>
      </c>
      <c r="C3423" s="10" t="str">
        <f t="shared" si="161"/>
        <v/>
      </c>
    </row>
    <row r="3424" spans="1:3" x14ac:dyDescent="0.25">
      <c r="A3424" s="8" t="str">
        <f t="shared" si="159"/>
        <v/>
      </c>
      <c r="B3424" s="9" t="str">
        <f t="shared" si="160"/>
        <v/>
      </c>
      <c r="C3424" s="10" t="str">
        <f t="shared" si="161"/>
        <v/>
      </c>
    </row>
    <row r="3425" spans="1:3" x14ac:dyDescent="0.25">
      <c r="A3425" s="8" t="str">
        <f t="shared" si="159"/>
        <v/>
      </c>
      <c r="B3425" s="9" t="str">
        <f t="shared" si="160"/>
        <v/>
      </c>
      <c r="C3425" s="10" t="str">
        <f t="shared" si="161"/>
        <v/>
      </c>
    </row>
    <row r="3426" spans="1:3" x14ac:dyDescent="0.25">
      <c r="A3426" s="8" t="str">
        <f t="shared" si="159"/>
        <v/>
      </c>
      <c r="B3426" s="9" t="str">
        <f t="shared" si="160"/>
        <v/>
      </c>
      <c r="C3426" s="10" t="str">
        <f t="shared" si="161"/>
        <v/>
      </c>
    </row>
    <row r="3427" spans="1:3" x14ac:dyDescent="0.25">
      <c r="A3427" s="8" t="str">
        <f t="shared" si="159"/>
        <v/>
      </c>
      <c r="B3427" s="9" t="str">
        <f t="shared" si="160"/>
        <v/>
      </c>
      <c r="C3427" s="10" t="str">
        <f t="shared" si="161"/>
        <v/>
      </c>
    </row>
    <row r="3428" spans="1:3" x14ac:dyDescent="0.25">
      <c r="A3428" s="8" t="str">
        <f t="shared" si="159"/>
        <v/>
      </c>
      <c r="B3428" s="9" t="str">
        <f t="shared" si="160"/>
        <v/>
      </c>
      <c r="C3428" s="10" t="str">
        <f t="shared" si="161"/>
        <v/>
      </c>
    </row>
    <row r="3429" spans="1:3" x14ac:dyDescent="0.25">
      <c r="A3429" s="8" t="str">
        <f t="shared" si="159"/>
        <v/>
      </c>
      <c r="B3429" s="9" t="str">
        <f t="shared" si="160"/>
        <v/>
      </c>
      <c r="C3429" s="10" t="str">
        <f t="shared" si="161"/>
        <v/>
      </c>
    </row>
    <row r="3430" spans="1:3" x14ac:dyDescent="0.25">
      <c r="A3430" s="8" t="str">
        <f t="shared" si="159"/>
        <v/>
      </c>
      <c r="B3430" s="9" t="str">
        <f t="shared" si="160"/>
        <v/>
      </c>
      <c r="C3430" s="10" t="str">
        <f t="shared" si="161"/>
        <v/>
      </c>
    </row>
    <row r="3431" spans="1:3" x14ac:dyDescent="0.25">
      <c r="A3431" s="8" t="str">
        <f t="shared" ref="A3431:A3494" si="162">IF(D3431="","",IF(E3431=0,CONCATENATE(D3431,".",E3431,"00"),CONCATENATE(D3431,".",E3431)))</f>
        <v/>
      </c>
      <c r="B3431" s="9" t="str">
        <f t="shared" ref="B3431:B3494" si="163">LEFT(G3431,1)</f>
        <v/>
      </c>
      <c r="C3431" s="10" t="str">
        <f t="shared" ref="C3431:C3494" si="164">IF(F3431="","",IF(B3431="",F3431-4,IF(B3431="1",F3431-4,IF(B3431="2",F3431-3,IF(B3431="3",F3431-2,IF(B3431="4",F3431-1,IF(B3431="V",F3431-7,IF(B3431="J",F3431-8,F3431))))))))</f>
        <v/>
      </c>
    </row>
    <row r="3432" spans="1:3" x14ac:dyDescent="0.25">
      <c r="A3432" s="8" t="str">
        <f t="shared" si="162"/>
        <v/>
      </c>
      <c r="B3432" s="9" t="str">
        <f t="shared" si="163"/>
        <v/>
      </c>
      <c r="C3432" s="10" t="str">
        <f t="shared" si="164"/>
        <v/>
      </c>
    </row>
    <row r="3433" spans="1:3" x14ac:dyDescent="0.25">
      <c r="A3433" s="8" t="str">
        <f t="shared" si="162"/>
        <v/>
      </c>
      <c r="B3433" s="9" t="str">
        <f t="shared" si="163"/>
        <v/>
      </c>
      <c r="C3433" s="10" t="str">
        <f t="shared" si="164"/>
        <v/>
      </c>
    </row>
    <row r="3434" spans="1:3" x14ac:dyDescent="0.25">
      <c r="A3434" s="8" t="str">
        <f t="shared" si="162"/>
        <v/>
      </c>
      <c r="B3434" s="9" t="str">
        <f t="shared" si="163"/>
        <v/>
      </c>
      <c r="C3434" s="10" t="str">
        <f t="shared" si="164"/>
        <v/>
      </c>
    </row>
    <row r="3435" spans="1:3" x14ac:dyDescent="0.25">
      <c r="A3435" s="8" t="str">
        <f t="shared" si="162"/>
        <v/>
      </c>
      <c r="B3435" s="9" t="str">
        <f t="shared" si="163"/>
        <v/>
      </c>
      <c r="C3435" s="10" t="str">
        <f t="shared" si="164"/>
        <v/>
      </c>
    </row>
    <row r="3436" spans="1:3" x14ac:dyDescent="0.25">
      <c r="A3436" s="8" t="str">
        <f t="shared" si="162"/>
        <v/>
      </c>
      <c r="B3436" s="9" t="str">
        <f t="shared" si="163"/>
        <v/>
      </c>
      <c r="C3436" s="10" t="str">
        <f t="shared" si="164"/>
        <v/>
      </c>
    </row>
    <row r="3437" spans="1:3" x14ac:dyDescent="0.25">
      <c r="A3437" s="8" t="str">
        <f t="shared" si="162"/>
        <v/>
      </c>
      <c r="B3437" s="9" t="str">
        <f t="shared" si="163"/>
        <v/>
      </c>
      <c r="C3437" s="10" t="str">
        <f t="shared" si="164"/>
        <v/>
      </c>
    </row>
    <row r="3438" spans="1:3" x14ac:dyDescent="0.25">
      <c r="A3438" s="8" t="str">
        <f t="shared" si="162"/>
        <v/>
      </c>
      <c r="B3438" s="9" t="str">
        <f t="shared" si="163"/>
        <v/>
      </c>
      <c r="C3438" s="10" t="str">
        <f t="shared" si="164"/>
        <v/>
      </c>
    </row>
    <row r="3439" spans="1:3" x14ac:dyDescent="0.25">
      <c r="A3439" s="8" t="str">
        <f t="shared" si="162"/>
        <v/>
      </c>
      <c r="B3439" s="9" t="str">
        <f t="shared" si="163"/>
        <v/>
      </c>
      <c r="C3439" s="10" t="str">
        <f t="shared" si="164"/>
        <v/>
      </c>
    </row>
    <row r="3440" spans="1:3" x14ac:dyDescent="0.25">
      <c r="A3440" s="8" t="str">
        <f t="shared" si="162"/>
        <v/>
      </c>
      <c r="B3440" s="9" t="str">
        <f t="shared" si="163"/>
        <v/>
      </c>
      <c r="C3440" s="10" t="str">
        <f t="shared" si="164"/>
        <v/>
      </c>
    </row>
    <row r="3441" spans="1:3" x14ac:dyDescent="0.25">
      <c r="A3441" s="8" t="str">
        <f t="shared" si="162"/>
        <v/>
      </c>
      <c r="B3441" s="9" t="str">
        <f t="shared" si="163"/>
        <v/>
      </c>
      <c r="C3441" s="10" t="str">
        <f t="shared" si="164"/>
        <v/>
      </c>
    </row>
    <row r="3442" spans="1:3" x14ac:dyDescent="0.25">
      <c r="A3442" s="8" t="str">
        <f t="shared" si="162"/>
        <v/>
      </c>
      <c r="B3442" s="9" t="str">
        <f t="shared" si="163"/>
        <v/>
      </c>
      <c r="C3442" s="10" t="str">
        <f t="shared" si="164"/>
        <v/>
      </c>
    </row>
    <row r="3443" spans="1:3" x14ac:dyDescent="0.25">
      <c r="A3443" s="8" t="str">
        <f t="shared" si="162"/>
        <v/>
      </c>
      <c r="B3443" s="9" t="str">
        <f t="shared" si="163"/>
        <v/>
      </c>
      <c r="C3443" s="10" t="str">
        <f t="shared" si="164"/>
        <v/>
      </c>
    </row>
    <row r="3444" spans="1:3" x14ac:dyDescent="0.25">
      <c r="A3444" s="8" t="str">
        <f t="shared" si="162"/>
        <v/>
      </c>
      <c r="B3444" s="9" t="str">
        <f t="shared" si="163"/>
        <v/>
      </c>
      <c r="C3444" s="10" t="str">
        <f t="shared" si="164"/>
        <v/>
      </c>
    </row>
    <row r="3445" spans="1:3" x14ac:dyDescent="0.25">
      <c r="A3445" s="8" t="str">
        <f t="shared" si="162"/>
        <v/>
      </c>
      <c r="B3445" s="9" t="str">
        <f t="shared" si="163"/>
        <v/>
      </c>
      <c r="C3445" s="10" t="str">
        <f t="shared" si="164"/>
        <v/>
      </c>
    </row>
    <row r="3446" spans="1:3" x14ac:dyDescent="0.25">
      <c r="A3446" s="8" t="str">
        <f t="shared" si="162"/>
        <v/>
      </c>
      <c r="B3446" s="9" t="str">
        <f t="shared" si="163"/>
        <v/>
      </c>
      <c r="C3446" s="10" t="str">
        <f t="shared" si="164"/>
        <v/>
      </c>
    </row>
    <row r="3447" spans="1:3" x14ac:dyDescent="0.25">
      <c r="A3447" s="8" t="str">
        <f t="shared" si="162"/>
        <v/>
      </c>
      <c r="B3447" s="9" t="str">
        <f t="shared" si="163"/>
        <v/>
      </c>
      <c r="C3447" s="10" t="str">
        <f t="shared" si="164"/>
        <v/>
      </c>
    </row>
    <row r="3448" spans="1:3" x14ac:dyDescent="0.25">
      <c r="A3448" s="8" t="str">
        <f t="shared" si="162"/>
        <v/>
      </c>
      <c r="B3448" s="9" t="str">
        <f t="shared" si="163"/>
        <v/>
      </c>
      <c r="C3448" s="10" t="str">
        <f t="shared" si="164"/>
        <v/>
      </c>
    </row>
    <row r="3449" spans="1:3" x14ac:dyDescent="0.25">
      <c r="A3449" s="8" t="str">
        <f t="shared" si="162"/>
        <v/>
      </c>
      <c r="B3449" s="9" t="str">
        <f t="shared" si="163"/>
        <v/>
      </c>
      <c r="C3449" s="10" t="str">
        <f t="shared" si="164"/>
        <v/>
      </c>
    </row>
    <row r="3450" spans="1:3" x14ac:dyDescent="0.25">
      <c r="A3450" s="8" t="str">
        <f t="shared" si="162"/>
        <v/>
      </c>
      <c r="B3450" s="9" t="str">
        <f t="shared" si="163"/>
        <v/>
      </c>
      <c r="C3450" s="10" t="str">
        <f t="shared" si="164"/>
        <v/>
      </c>
    </row>
    <row r="3451" spans="1:3" x14ac:dyDescent="0.25">
      <c r="A3451" s="8" t="str">
        <f t="shared" si="162"/>
        <v/>
      </c>
      <c r="B3451" s="9" t="str">
        <f t="shared" si="163"/>
        <v/>
      </c>
      <c r="C3451" s="10" t="str">
        <f t="shared" si="164"/>
        <v/>
      </c>
    </row>
    <row r="3452" spans="1:3" x14ac:dyDescent="0.25">
      <c r="A3452" s="8" t="str">
        <f t="shared" si="162"/>
        <v/>
      </c>
      <c r="B3452" s="9" t="str">
        <f t="shared" si="163"/>
        <v/>
      </c>
      <c r="C3452" s="10" t="str">
        <f t="shared" si="164"/>
        <v/>
      </c>
    </row>
    <row r="3453" spans="1:3" x14ac:dyDescent="0.25">
      <c r="A3453" s="8" t="str">
        <f t="shared" si="162"/>
        <v/>
      </c>
      <c r="B3453" s="9" t="str">
        <f t="shared" si="163"/>
        <v/>
      </c>
      <c r="C3453" s="10" t="str">
        <f t="shared" si="164"/>
        <v/>
      </c>
    </row>
    <row r="3454" spans="1:3" x14ac:dyDescent="0.25">
      <c r="A3454" s="8" t="str">
        <f t="shared" si="162"/>
        <v/>
      </c>
      <c r="B3454" s="9" t="str">
        <f t="shared" si="163"/>
        <v/>
      </c>
      <c r="C3454" s="10" t="str">
        <f t="shared" si="164"/>
        <v/>
      </c>
    </row>
    <row r="3455" spans="1:3" x14ac:dyDescent="0.25">
      <c r="A3455" s="8" t="str">
        <f t="shared" si="162"/>
        <v/>
      </c>
      <c r="B3455" s="9" t="str">
        <f t="shared" si="163"/>
        <v/>
      </c>
      <c r="C3455" s="10" t="str">
        <f t="shared" si="164"/>
        <v/>
      </c>
    </row>
    <row r="3456" spans="1:3" x14ac:dyDescent="0.25">
      <c r="A3456" s="8" t="str">
        <f t="shared" si="162"/>
        <v/>
      </c>
      <c r="B3456" s="9" t="str">
        <f t="shared" si="163"/>
        <v/>
      </c>
      <c r="C3456" s="10" t="str">
        <f t="shared" si="164"/>
        <v/>
      </c>
    </row>
    <row r="3457" spans="1:3" x14ac:dyDescent="0.25">
      <c r="A3457" s="8" t="str">
        <f t="shared" si="162"/>
        <v/>
      </c>
      <c r="B3457" s="9" t="str">
        <f t="shared" si="163"/>
        <v/>
      </c>
      <c r="C3457" s="10" t="str">
        <f t="shared" si="164"/>
        <v/>
      </c>
    </row>
    <row r="3458" spans="1:3" x14ac:dyDescent="0.25">
      <c r="A3458" s="8" t="str">
        <f t="shared" si="162"/>
        <v/>
      </c>
      <c r="B3458" s="9" t="str">
        <f t="shared" si="163"/>
        <v/>
      </c>
      <c r="C3458" s="10" t="str">
        <f t="shared" si="164"/>
        <v/>
      </c>
    </row>
    <row r="3459" spans="1:3" x14ac:dyDescent="0.25">
      <c r="A3459" s="8" t="str">
        <f t="shared" si="162"/>
        <v/>
      </c>
      <c r="B3459" s="9" t="str">
        <f t="shared" si="163"/>
        <v/>
      </c>
      <c r="C3459" s="10" t="str">
        <f t="shared" si="164"/>
        <v/>
      </c>
    </row>
    <row r="3460" spans="1:3" x14ac:dyDescent="0.25">
      <c r="A3460" s="8" t="str">
        <f t="shared" si="162"/>
        <v/>
      </c>
      <c r="B3460" s="9" t="str">
        <f t="shared" si="163"/>
        <v/>
      </c>
      <c r="C3460" s="10" t="str">
        <f t="shared" si="164"/>
        <v/>
      </c>
    </row>
    <row r="3461" spans="1:3" x14ac:dyDescent="0.25">
      <c r="A3461" s="8" t="str">
        <f t="shared" si="162"/>
        <v/>
      </c>
      <c r="B3461" s="9" t="str">
        <f t="shared" si="163"/>
        <v/>
      </c>
      <c r="C3461" s="10" t="str">
        <f t="shared" si="164"/>
        <v/>
      </c>
    </row>
    <row r="3462" spans="1:3" x14ac:dyDescent="0.25">
      <c r="A3462" s="8" t="str">
        <f t="shared" si="162"/>
        <v/>
      </c>
      <c r="B3462" s="9" t="str">
        <f t="shared" si="163"/>
        <v/>
      </c>
      <c r="C3462" s="10" t="str">
        <f t="shared" si="164"/>
        <v/>
      </c>
    </row>
    <row r="3463" spans="1:3" x14ac:dyDescent="0.25">
      <c r="A3463" s="8" t="str">
        <f t="shared" si="162"/>
        <v/>
      </c>
      <c r="B3463" s="9" t="str">
        <f t="shared" si="163"/>
        <v/>
      </c>
      <c r="C3463" s="10" t="str">
        <f t="shared" si="164"/>
        <v/>
      </c>
    </row>
    <row r="3464" spans="1:3" x14ac:dyDescent="0.25">
      <c r="A3464" s="8" t="str">
        <f t="shared" si="162"/>
        <v/>
      </c>
      <c r="B3464" s="9" t="str">
        <f t="shared" si="163"/>
        <v/>
      </c>
      <c r="C3464" s="10" t="str">
        <f t="shared" si="164"/>
        <v/>
      </c>
    </row>
    <row r="3465" spans="1:3" x14ac:dyDescent="0.25">
      <c r="A3465" s="8" t="str">
        <f t="shared" si="162"/>
        <v/>
      </c>
      <c r="B3465" s="9" t="str">
        <f t="shared" si="163"/>
        <v/>
      </c>
      <c r="C3465" s="10" t="str">
        <f t="shared" si="164"/>
        <v/>
      </c>
    </row>
    <row r="3466" spans="1:3" x14ac:dyDescent="0.25">
      <c r="A3466" s="8" t="str">
        <f t="shared" si="162"/>
        <v/>
      </c>
      <c r="B3466" s="9" t="str">
        <f t="shared" si="163"/>
        <v/>
      </c>
      <c r="C3466" s="10" t="str">
        <f t="shared" si="164"/>
        <v/>
      </c>
    </row>
    <row r="3467" spans="1:3" x14ac:dyDescent="0.25">
      <c r="A3467" s="8" t="str">
        <f t="shared" si="162"/>
        <v/>
      </c>
      <c r="B3467" s="9" t="str">
        <f t="shared" si="163"/>
        <v/>
      </c>
      <c r="C3467" s="10" t="str">
        <f t="shared" si="164"/>
        <v/>
      </c>
    </row>
    <row r="3468" spans="1:3" x14ac:dyDescent="0.25">
      <c r="A3468" s="8" t="str">
        <f t="shared" si="162"/>
        <v/>
      </c>
      <c r="B3468" s="9" t="str">
        <f t="shared" si="163"/>
        <v/>
      </c>
      <c r="C3468" s="10" t="str">
        <f t="shared" si="164"/>
        <v/>
      </c>
    </row>
    <row r="3469" spans="1:3" x14ac:dyDescent="0.25">
      <c r="A3469" s="8" t="str">
        <f t="shared" si="162"/>
        <v/>
      </c>
      <c r="B3469" s="9" t="str">
        <f t="shared" si="163"/>
        <v/>
      </c>
      <c r="C3469" s="10" t="str">
        <f t="shared" si="164"/>
        <v/>
      </c>
    </row>
    <row r="3470" spans="1:3" x14ac:dyDescent="0.25">
      <c r="A3470" s="8" t="str">
        <f t="shared" si="162"/>
        <v/>
      </c>
      <c r="B3470" s="9" t="str">
        <f t="shared" si="163"/>
        <v/>
      </c>
      <c r="C3470" s="10" t="str">
        <f t="shared" si="164"/>
        <v/>
      </c>
    </row>
    <row r="3471" spans="1:3" x14ac:dyDescent="0.25">
      <c r="A3471" s="8" t="str">
        <f t="shared" si="162"/>
        <v/>
      </c>
      <c r="B3471" s="9" t="str">
        <f t="shared" si="163"/>
        <v/>
      </c>
      <c r="C3471" s="10" t="str">
        <f t="shared" si="164"/>
        <v/>
      </c>
    </row>
    <row r="3472" spans="1:3" x14ac:dyDescent="0.25">
      <c r="A3472" s="8" t="str">
        <f t="shared" si="162"/>
        <v/>
      </c>
      <c r="B3472" s="9" t="str">
        <f t="shared" si="163"/>
        <v/>
      </c>
      <c r="C3472" s="10" t="str">
        <f t="shared" si="164"/>
        <v/>
      </c>
    </row>
    <row r="3473" spans="1:3" x14ac:dyDescent="0.25">
      <c r="A3473" s="8" t="str">
        <f t="shared" si="162"/>
        <v/>
      </c>
      <c r="B3473" s="9" t="str">
        <f t="shared" si="163"/>
        <v/>
      </c>
      <c r="C3473" s="10" t="str">
        <f t="shared" si="164"/>
        <v/>
      </c>
    </row>
    <row r="3474" spans="1:3" x14ac:dyDescent="0.25">
      <c r="A3474" s="8" t="str">
        <f t="shared" si="162"/>
        <v/>
      </c>
      <c r="B3474" s="9" t="str">
        <f t="shared" si="163"/>
        <v/>
      </c>
      <c r="C3474" s="10" t="str">
        <f t="shared" si="164"/>
        <v/>
      </c>
    </row>
    <row r="3475" spans="1:3" x14ac:dyDescent="0.25">
      <c r="A3475" s="8" t="str">
        <f t="shared" si="162"/>
        <v/>
      </c>
      <c r="B3475" s="9" t="str">
        <f t="shared" si="163"/>
        <v/>
      </c>
      <c r="C3475" s="10" t="str">
        <f t="shared" si="164"/>
        <v/>
      </c>
    </row>
    <row r="3476" spans="1:3" x14ac:dyDescent="0.25">
      <c r="A3476" s="8" t="str">
        <f t="shared" si="162"/>
        <v/>
      </c>
      <c r="B3476" s="9" t="str">
        <f t="shared" si="163"/>
        <v/>
      </c>
      <c r="C3476" s="10" t="str">
        <f t="shared" si="164"/>
        <v/>
      </c>
    </row>
    <row r="3477" spans="1:3" x14ac:dyDescent="0.25">
      <c r="A3477" s="8" t="str">
        <f t="shared" si="162"/>
        <v/>
      </c>
      <c r="B3477" s="9" t="str">
        <f t="shared" si="163"/>
        <v/>
      </c>
      <c r="C3477" s="10" t="str">
        <f t="shared" si="164"/>
        <v/>
      </c>
    </row>
    <row r="3478" spans="1:3" x14ac:dyDescent="0.25">
      <c r="A3478" s="8" t="str">
        <f t="shared" si="162"/>
        <v/>
      </c>
      <c r="B3478" s="9" t="str">
        <f t="shared" si="163"/>
        <v/>
      </c>
      <c r="C3478" s="10" t="str">
        <f t="shared" si="164"/>
        <v/>
      </c>
    </row>
    <row r="3479" spans="1:3" x14ac:dyDescent="0.25">
      <c r="A3479" s="8" t="str">
        <f t="shared" si="162"/>
        <v/>
      </c>
      <c r="B3479" s="9" t="str">
        <f t="shared" si="163"/>
        <v/>
      </c>
      <c r="C3479" s="10" t="str">
        <f t="shared" si="164"/>
        <v/>
      </c>
    </row>
    <row r="3480" spans="1:3" x14ac:dyDescent="0.25">
      <c r="A3480" s="8" t="str">
        <f t="shared" si="162"/>
        <v/>
      </c>
      <c r="B3480" s="9" t="str">
        <f t="shared" si="163"/>
        <v/>
      </c>
      <c r="C3480" s="10" t="str">
        <f t="shared" si="164"/>
        <v/>
      </c>
    </row>
    <row r="3481" spans="1:3" x14ac:dyDescent="0.25">
      <c r="A3481" s="8" t="str">
        <f t="shared" si="162"/>
        <v/>
      </c>
      <c r="B3481" s="9" t="str">
        <f t="shared" si="163"/>
        <v/>
      </c>
      <c r="C3481" s="10" t="str">
        <f t="shared" si="164"/>
        <v/>
      </c>
    </row>
    <row r="3482" spans="1:3" x14ac:dyDescent="0.25">
      <c r="A3482" s="8" t="str">
        <f t="shared" si="162"/>
        <v/>
      </c>
      <c r="B3482" s="9" t="str">
        <f t="shared" si="163"/>
        <v/>
      </c>
      <c r="C3482" s="10" t="str">
        <f t="shared" si="164"/>
        <v/>
      </c>
    </row>
    <row r="3483" spans="1:3" x14ac:dyDescent="0.25">
      <c r="A3483" s="8" t="str">
        <f t="shared" si="162"/>
        <v/>
      </c>
      <c r="B3483" s="9" t="str">
        <f t="shared" si="163"/>
        <v/>
      </c>
      <c r="C3483" s="10" t="str">
        <f t="shared" si="164"/>
        <v/>
      </c>
    </row>
    <row r="3484" spans="1:3" x14ac:dyDescent="0.25">
      <c r="A3484" s="8" t="str">
        <f t="shared" si="162"/>
        <v/>
      </c>
      <c r="B3484" s="9" t="str">
        <f t="shared" si="163"/>
        <v/>
      </c>
      <c r="C3484" s="10" t="str">
        <f t="shared" si="164"/>
        <v/>
      </c>
    </row>
    <row r="3485" spans="1:3" x14ac:dyDescent="0.25">
      <c r="A3485" s="8" t="str">
        <f t="shared" si="162"/>
        <v/>
      </c>
      <c r="B3485" s="9" t="str">
        <f t="shared" si="163"/>
        <v/>
      </c>
      <c r="C3485" s="10" t="str">
        <f t="shared" si="164"/>
        <v/>
      </c>
    </row>
    <row r="3486" spans="1:3" x14ac:dyDescent="0.25">
      <c r="A3486" s="8" t="str">
        <f t="shared" si="162"/>
        <v/>
      </c>
      <c r="B3486" s="9" t="str">
        <f t="shared" si="163"/>
        <v/>
      </c>
      <c r="C3486" s="10" t="str">
        <f t="shared" si="164"/>
        <v/>
      </c>
    </row>
    <row r="3487" spans="1:3" x14ac:dyDescent="0.25">
      <c r="A3487" s="8" t="str">
        <f t="shared" si="162"/>
        <v/>
      </c>
      <c r="B3487" s="9" t="str">
        <f t="shared" si="163"/>
        <v/>
      </c>
      <c r="C3487" s="10" t="str">
        <f t="shared" si="164"/>
        <v/>
      </c>
    </row>
    <row r="3488" spans="1:3" x14ac:dyDescent="0.25">
      <c r="A3488" s="8" t="str">
        <f t="shared" si="162"/>
        <v/>
      </c>
      <c r="B3488" s="9" t="str">
        <f t="shared" si="163"/>
        <v/>
      </c>
      <c r="C3488" s="10" t="str">
        <f t="shared" si="164"/>
        <v/>
      </c>
    </row>
    <row r="3489" spans="1:3" x14ac:dyDescent="0.25">
      <c r="A3489" s="8" t="str">
        <f t="shared" si="162"/>
        <v/>
      </c>
      <c r="B3489" s="9" t="str">
        <f t="shared" si="163"/>
        <v/>
      </c>
      <c r="C3489" s="10" t="str">
        <f t="shared" si="164"/>
        <v/>
      </c>
    </row>
    <row r="3490" spans="1:3" x14ac:dyDescent="0.25">
      <c r="A3490" s="8" t="str">
        <f t="shared" si="162"/>
        <v/>
      </c>
      <c r="B3490" s="9" t="str">
        <f t="shared" si="163"/>
        <v/>
      </c>
      <c r="C3490" s="10" t="str">
        <f t="shared" si="164"/>
        <v/>
      </c>
    </row>
    <row r="3491" spans="1:3" x14ac:dyDescent="0.25">
      <c r="A3491" s="8" t="str">
        <f t="shared" si="162"/>
        <v/>
      </c>
      <c r="B3491" s="9" t="str">
        <f t="shared" si="163"/>
        <v/>
      </c>
      <c r="C3491" s="10" t="str">
        <f t="shared" si="164"/>
        <v/>
      </c>
    </row>
    <row r="3492" spans="1:3" x14ac:dyDescent="0.25">
      <c r="A3492" s="8" t="str">
        <f t="shared" si="162"/>
        <v/>
      </c>
      <c r="B3492" s="9" t="str">
        <f t="shared" si="163"/>
        <v/>
      </c>
      <c r="C3492" s="10" t="str">
        <f t="shared" si="164"/>
        <v/>
      </c>
    </row>
    <row r="3493" spans="1:3" x14ac:dyDescent="0.25">
      <c r="A3493" s="8" t="str">
        <f t="shared" si="162"/>
        <v/>
      </c>
      <c r="B3493" s="9" t="str">
        <f t="shared" si="163"/>
        <v/>
      </c>
      <c r="C3493" s="10" t="str">
        <f t="shared" si="164"/>
        <v/>
      </c>
    </row>
    <row r="3494" spans="1:3" x14ac:dyDescent="0.25">
      <c r="A3494" s="8" t="str">
        <f t="shared" si="162"/>
        <v/>
      </c>
      <c r="B3494" s="9" t="str">
        <f t="shared" si="163"/>
        <v/>
      </c>
      <c r="C3494" s="10" t="str">
        <f t="shared" si="164"/>
        <v/>
      </c>
    </row>
    <row r="3495" spans="1:3" x14ac:dyDescent="0.25">
      <c r="A3495" s="8" t="str">
        <f t="shared" ref="A3495:A3558" si="165">IF(D3495="","",IF(E3495=0,CONCATENATE(D3495,".",E3495,"00"),CONCATENATE(D3495,".",E3495)))</f>
        <v/>
      </c>
      <c r="B3495" s="9" t="str">
        <f t="shared" ref="B3495:B3558" si="166">LEFT(G3495,1)</f>
        <v/>
      </c>
      <c r="C3495" s="10" t="str">
        <f t="shared" ref="C3495:C3558" si="167">IF(F3495="","",IF(B3495="",F3495-4,IF(B3495="1",F3495-4,IF(B3495="2",F3495-3,IF(B3495="3",F3495-2,IF(B3495="4",F3495-1,IF(B3495="V",F3495-7,IF(B3495="J",F3495-8,F3495))))))))</f>
        <v/>
      </c>
    </row>
    <row r="3496" spans="1:3" x14ac:dyDescent="0.25">
      <c r="A3496" s="8" t="str">
        <f t="shared" si="165"/>
        <v/>
      </c>
      <c r="B3496" s="9" t="str">
        <f t="shared" si="166"/>
        <v/>
      </c>
      <c r="C3496" s="10" t="str">
        <f t="shared" si="167"/>
        <v/>
      </c>
    </row>
    <row r="3497" spans="1:3" x14ac:dyDescent="0.25">
      <c r="A3497" s="8" t="str">
        <f t="shared" si="165"/>
        <v/>
      </c>
      <c r="B3497" s="9" t="str">
        <f t="shared" si="166"/>
        <v/>
      </c>
      <c r="C3497" s="10" t="str">
        <f t="shared" si="167"/>
        <v/>
      </c>
    </row>
    <row r="3498" spans="1:3" x14ac:dyDescent="0.25">
      <c r="A3498" s="8" t="str">
        <f t="shared" si="165"/>
        <v/>
      </c>
      <c r="B3498" s="9" t="str">
        <f t="shared" si="166"/>
        <v/>
      </c>
      <c r="C3498" s="10" t="str">
        <f t="shared" si="167"/>
        <v/>
      </c>
    </row>
    <row r="3499" spans="1:3" x14ac:dyDescent="0.25">
      <c r="A3499" s="8" t="str">
        <f t="shared" si="165"/>
        <v/>
      </c>
      <c r="B3499" s="9" t="str">
        <f t="shared" si="166"/>
        <v/>
      </c>
      <c r="C3499" s="10" t="str">
        <f t="shared" si="167"/>
        <v/>
      </c>
    </row>
    <row r="3500" spans="1:3" x14ac:dyDescent="0.25">
      <c r="A3500" s="8" t="str">
        <f t="shared" si="165"/>
        <v/>
      </c>
      <c r="B3500" s="9" t="str">
        <f t="shared" si="166"/>
        <v/>
      </c>
      <c r="C3500" s="10" t="str">
        <f t="shared" si="167"/>
        <v/>
      </c>
    </row>
    <row r="3501" spans="1:3" x14ac:dyDescent="0.25">
      <c r="A3501" s="8" t="str">
        <f t="shared" si="165"/>
        <v/>
      </c>
      <c r="B3501" s="9" t="str">
        <f t="shared" si="166"/>
        <v/>
      </c>
      <c r="C3501" s="10" t="str">
        <f t="shared" si="167"/>
        <v/>
      </c>
    </row>
    <row r="3502" spans="1:3" x14ac:dyDescent="0.25">
      <c r="A3502" s="8" t="str">
        <f t="shared" si="165"/>
        <v/>
      </c>
      <c r="B3502" s="9" t="str">
        <f t="shared" si="166"/>
        <v/>
      </c>
      <c r="C3502" s="10" t="str">
        <f t="shared" si="167"/>
        <v/>
      </c>
    </row>
    <row r="3503" spans="1:3" x14ac:dyDescent="0.25">
      <c r="A3503" s="8" t="str">
        <f t="shared" si="165"/>
        <v/>
      </c>
      <c r="B3503" s="9" t="str">
        <f t="shared" si="166"/>
        <v/>
      </c>
      <c r="C3503" s="10" t="str">
        <f t="shared" si="167"/>
        <v/>
      </c>
    </row>
    <row r="3504" spans="1:3" x14ac:dyDescent="0.25">
      <c r="A3504" s="8" t="str">
        <f t="shared" si="165"/>
        <v/>
      </c>
      <c r="B3504" s="9" t="str">
        <f t="shared" si="166"/>
        <v/>
      </c>
      <c r="C3504" s="10" t="str">
        <f t="shared" si="167"/>
        <v/>
      </c>
    </row>
    <row r="3505" spans="1:3" x14ac:dyDescent="0.25">
      <c r="A3505" s="8" t="str">
        <f t="shared" si="165"/>
        <v/>
      </c>
      <c r="B3505" s="9" t="str">
        <f t="shared" si="166"/>
        <v/>
      </c>
      <c r="C3505" s="10" t="str">
        <f t="shared" si="167"/>
        <v/>
      </c>
    </row>
    <row r="3506" spans="1:3" x14ac:dyDescent="0.25">
      <c r="A3506" s="8" t="str">
        <f t="shared" si="165"/>
        <v/>
      </c>
      <c r="B3506" s="9" t="str">
        <f t="shared" si="166"/>
        <v/>
      </c>
      <c r="C3506" s="10" t="str">
        <f t="shared" si="167"/>
        <v/>
      </c>
    </row>
    <row r="3507" spans="1:3" x14ac:dyDescent="0.25">
      <c r="A3507" s="8" t="str">
        <f t="shared" si="165"/>
        <v/>
      </c>
      <c r="B3507" s="9" t="str">
        <f t="shared" si="166"/>
        <v/>
      </c>
      <c r="C3507" s="10" t="str">
        <f t="shared" si="167"/>
        <v/>
      </c>
    </row>
    <row r="3508" spans="1:3" x14ac:dyDescent="0.25">
      <c r="A3508" s="8" t="str">
        <f t="shared" si="165"/>
        <v/>
      </c>
      <c r="B3508" s="9" t="str">
        <f t="shared" si="166"/>
        <v/>
      </c>
      <c r="C3508" s="10" t="str">
        <f t="shared" si="167"/>
        <v/>
      </c>
    </row>
    <row r="3509" spans="1:3" x14ac:dyDescent="0.25">
      <c r="A3509" s="8" t="str">
        <f t="shared" si="165"/>
        <v/>
      </c>
      <c r="B3509" s="9" t="str">
        <f t="shared" si="166"/>
        <v/>
      </c>
      <c r="C3509" s="10" t="str">
        <f t="shared" si="167"/>
        <v/>
      </c>
    </row>
    <row r="3510" spans="1:3" x14ac:dyDescent="0.25">
      <c r="A3510" s="8" t="str">
        <f t="shared" si="165"/>
        <v/>
      </c>
      <c r="B3510" s="9" t="str">
        <f t="shared" si="166"/>
        <v/>
      </c>
      <c r="C3510" s="10" t="str">
        <f t="shared" si="167"/>
        <v/>
      </c>
    </row>
    <row r="3511" spans="1:3" x14ac:dyDescent="0.25">
      <c r="A3511" s="8" t="str">
        <f t="shared" si="165"/>
        <v/>
      </c>
      <c r="B3511" s="9" t="str">
        <f t="shared" si="166"/>
        <v/>
      </c>
      <c r="C3511" s="10" t="str">
        <f t="shared" si="167"/>
        <v/>
      </c>
    </row>
    <row r="3512" spans="1:3" x14ac:dyDescent="0.25">
      <c r="A3512" s="8" t="str">
        <f t="shared" si="165"/>
        <v/>
      </c>
      <c r="B3512" s="9" t="str">
        <f t="shared" si="166"/>
        <v/>
      </c>
      <c r="C3512" s="10" t="str">
        <f t="shared" si="167"/>
        <v/>
      </c>
    </row>
    <row r="3513" spans="1:3" x14ac:dyDescent="0.25">
      <c r="A3513" s="8" t="str">
        <f t="shared" si="165"/>
        <v/>
      </c>
      <c r="B3513" s="9" t="str">
        <f t="shared" si="166"/>
        <v/>
      </c>
      <c r="C3513" s="10" t="str">
        <f t="shared" si="167"/>
        <v/>
      </c>
    </row>
    <row r="3514" spans="1:3" x14ac:dyDescent="0.25">
      <c r="A3514" s="8" t="str">
        <f t="shared" si="165"/>
        <v/>
      </c>
      <c r="B3514" s="9" t="str">
        <f t="shared" si="166"/>
        <v/>
      </c>
      <c r="C3514" s="10" t="str">
        <f t="shared" si="167"/>
        <v/>
      </c>
    </row>
    <row r="3515" spans="1:3" x14ac:dyDescent="0.25">
      <c r="A3515" s="8" t="str">
        <f t="shared" si="165"/>
        <v/>
      </c>
      <c r="B3515" s="9" t="str">
        <f t="shared" si="166"/>
        <v/>
      </c>
      <c r="C3515" s="10" t="str">
        <f t="shared" si="167"/>
        <v/>
      </c>
    </row>
    <row r="3516" spans="1:3" x14ac:dyDescent="0.25">
      <c r="A3516" s="8" t="str">
        <f t="shared" si="165"/>
        <v/>
      </c>
      <c r="B3516" s="9" t="str">
        <f t="shared" si="166"/>
        <v/>
      </c>
      <c r="C3516" s="10" t="str">
        <f t="shared" si="167"/>
        <v/>
      </c>
    </row>
    <row r="3517" spans="1:3" x14ac:dyDescent="0.25">
      <c r="A3517" s="8" t="str">
        <f t="shared" si="165"/>
        <v/>
      </c>
      <c r="B3517" s="9" t="str">
        <f t="shared" si="166"/>
        <v/>
      </c>
      <c r="C3517" s="10" t="str">
        <f t="shared" si="167"/>
        <v/>
      </c>
    </row>
    <row r="3518" spans="1:3" x14ac:dyDescent="0.25">
      <c r="A3518" s="8" t="str">
        <f t="shared" si="165"/>
        <v/>
      </c>
      <c r="B3518" s="9" t="str">
        <f t="shared" si="166"/>
        <v/>
      </c>
      <c r="C3518" s="10" t="str">
        <f t="shared" si="167"/>
        <v/>
      </c>
    </row>
    <row r="3519" spans="1:3" x14ac:dyDescent="0.25">
      <c r="A3519" s="8" t="str">
        <f t="shared" si="165"/>
        <v/>
      </c>
      <c r="B3519" s="9" t="str">
        <f t="shared" si="166"/>
        <v/>
      </c>
      <c r="C3519" s="10" t="str">
        <f t="shared" si="167"/>
        <v/>
      </c>
    </row>
    <row r="3520" spans="1:3" x14ac:dyDescent="0.25">
      <c r="A3520" s="8" t="str">
        <f t="shared" si="165"/>
        <v/>
      </c>
      <c r="B3520" s="9" t="str">
        <f t="shared" si="166"/>
        <v/>
      </c>
      <c r="C3520" s="10" t="str">
        <f t="shared" si="167"/>
        <v/>
      </c>
    </row>
    <row r="3521" spans="1:3" x14ac:dyDescent="0.25">
      <c r="A3521" s="8" t="str">
        <f t="shared" si="165"/>
        <v/>
      </c>
      <c r="B3521" s="9" t="str">
        <f t="shared" si="166"/>
        <v/>
      </c>
      <c r="C3521" s="10" t="str">
        <f t="shared" si="167"/>
        <v/>
      </c>
    </row>
    <row r="3522" spans="1:3" x14ac:dyDescent="0.25">
      <c r="A3522" s="8" t="str">
        <f t="shared" si="165"/>
        <v/>
      </c>
      <c r="B3522" s="9" t="str">
        <f t="shared" si="166"/>
        <v/>
      </c>
      <c r="C3522" s="10" t="str">
        <f t="shared" si="167"/>
        <v/>
      </c>
    </row>
    <row r="3523" spans="1:3" x14ac:dyDescent="0.25">
      <c r="A3523" s="8" t="str">
        <f t="shared" si="165"/>
        <v/>
      </c>
      <c r="B3523" s="9" t="str">
        <f t="shared" si="166"/>
        <v/>
      </c>
      <c r="C3523" s="10" t="str">
        <f t="shared" si="167"/>
        <v/>
      </c>
    </row>
    <row r="3524" spans="1:3" x14ac:dyDescent="0.25">
      <c r="A3524" s="8" t="str">
        <f t="shared" si="165"/>
        <v/>
      </c>
      <c r="B3524" s="9" t="str">
        <f t="shared" si="166"/>
        <v/>
      </c>
      <c r="C3524" s="10" t="str">
        <f t="shared" si="167"/>
        <v/>
      </c>
    </row>
    <row r="3525" spans="1:3" x14ac:dyDescent="0.25">
      <c r="A3525" s="8" t="str">
        <f t="shared" si="165"/>
        <v/>
      </c>
      <c r="B3525" s="9" t="str">
        <f t="shared" si="166"/>
        <v/>
      </c>
      <c r="C3525" s="10" t="str">
        <f t="shared" si="167"/>
        <v/>
      </c>
    </row>
    <row r="3526" spans="1:3" x14ac:dyDescent="0.25">
      <c r="A3526" s="8" t="str">
        <f t="shared" si="165"/>
        <v/>
      </c>
      <c r="B3526" s="9" t="str">
        <f t="shared" si="166"/>
        <v/>
      </c>
      <c r="C3526" s="10" t="str">
        <f t="shared" si="167"/>
        <v/>
      </c>
    </row>
    <row r="3527" spans="1:3" x14ac:dyDescent="0.25">
      <c r="A3527" s="8" t="str">
        <f t="shared" si="165"/>
        <v/>
      </c>
      <c r="B3527" s="9" t="str">
        <f t="shared" si="166"/>
        <v/>
      </c>
      <c r="C3527" s="10" t="str">
        <f t="shared" si="167"/>
        <v/>
      </c>
    </row>
    <row r="3528" spans="1:3" x14ac:dyDescent="0.25">
      <c r="A3528" s="8" t="str">
        <f t="shared" si="165"/>
        <v/>
      </c>
      <c r="B3528" s="9" t="str">
        <f t="shared" si="166"/>
        <v/>
      </c>
      <c r="C3528" s="10" t="str">
        <f t="shared" si="167"/>
        <v/>
      </c>
    </row>
    <row r="3529" spans="1:3" x14ac:dyDescent="0.25">
      <c r="A3529" s="8" t="str">
        <f t="shared" si="165"/>
        <v/>
      </c>
      <c r="B3529" s="9" t="str">
        <f t="shared" si="166"/>
        <v/>
      </c>
      <c r="C3529" s="10" t="str">
        <f t="shared" si="167"/>
        <v/>
      </c>
    </row>
    <row r="3530" spans="1:3" x14ac:dyDescent="0.25">
      <c r="A3530" s="8" t="str">
        <f t="shared" si="165"/>
        <v/>
      </c>
      <c r="B3530" s="9" t="str">
        <f t="shared" si="166"/>
        <v/>
      </c>
      <c r="C3530" s="10" t="str">
        <f t="shared" si="167"/>
        <v/>
      </c>
    </row>
    <row r="3531" spans="1:3" x14ac:dyDescent="0.25">
      <c r="A3531" s="8" t="str">
        <f t="shared" si="165"/>
        <v/>
      </c>
      <c r="B3531" s="9" t="str">
        <f t="shared" si="166"/>
        <v/>
      </c>
      <c r="C3531" s="10" t="str">
        <f t="shared" si="167"/>
        <v/>
      </c>
    </row>
    <row r="3532" spans="1:3" x14ac:dyDescent="0.25">
      <c r="A3532" s="8" t="str">
        <f t="shared" si="165"/>
        <v/>
      </c>
      <c r="B3532" s="9" t="str">
        <f t="shared" si="166"/>
        <v/>
      </c>
      <c r="C3532" s="10" t="str">
        <f t="shared" si="167"/>
        <v/>
      </c>
    </row>
    <row r="3533" spans="1:3" x14ac:dyDescent="0.25">
      <c r="A3533" s="8" t="str">
        <f t="shared" si="165"/>
        <v/>
      </c>
      <c r="B3533" s="9" t="str">
        <f t="shared" si="166"/>
        <v/>
      </c>
      <c r="C3533" s="10" t="str">
        <f t="shared" si="167"/>
        <v/>
      </c>
    </row>
    <row r="3534" spans="1:3" x14ac:dyDescent="0.25">
      <c r="A3534" s="8" t="str">
        <f t="shared" si="165"/>
        <v/>
      </c>
      <c r="B3534" s="9" t="str">
        <f t="shared" si="166"/>
        <v/>
      </c>
      <c r="C3534" s="10" t="str">
        <f t="shared" si="167"/>
        <v/>
      </c>
    </row>
    <row r="3535" spans="1:3" x14ac:dyDescent="0.25">
      <c r="A3535" s="8" t="str">
        <f t="shared" si="165"/>
        <v/>
      </c>
      <c r="B3535" s="9" t="str">
        <f t="shared" si="166"/>
        <v/>
      </c>
      <c r="C3535" s="10" t="str">
        <f t="shared" si="167"/>
        <v/>
      </c>
    </row>
    <row r="3536" spans="1:3" x14ac:dyDescent="0.25">
      <c r="A3536" s="8" t="str">
        <f t="shared" si="165"/>
        <v/>
      </c>
      <c r="B3536" s="9" t="str">
        <f t="shared" si="166"/>
        <v/>
      </c>
      <c r="C3536" s="10" t="str">
        <f t="shared" si="167"/>
        <v/>
      </c>
    </row>
    <row r="3537" spans="1:3" x14ac:dyDescent="0.25">
      <c r="A3537" s="8" t="str">
        <f t="shared" si="165"/>
        <v/>
      </c>
      <c r="B3537" s="9" t="str">
        <f t="shared" si="166"/>
        <v/>
      </c>
      <c r="C3537" s="10" t="str">
        <f t="shared" si="167"/>
        <v/>
      </c>
    </row>
    <row r="3538" spans="1:3" x14ac:dyDescent="0.25">
      <c r="A3538" s="8" t="str">
        <f t="shared" si="165"/>
        <v/>
      </c>
      <c r="B3538" s="9" t="str">
        <f t="shared" si="166"/>
        <v/>
      </c>
      <c r="C3538" s="10" t="str">
        <f t="shared" si="167"/>
        <v/>
      </c>
    </row>
    <row r="3539" spans="1:3" x14ac:dyDescent="0.25">
      <c r="A3539" s="8" t="str">
        <f t="shared" si="165"/>
        <v/>
      </c>
      <c r="B3539" s="9" t="str">
        <f t="shared" si="166"/>
        <v/>
      </c>
      <c r="C3539" s="10" t="str">
        <f t="shared" si="167"/>
        <v/>
      </c>
    </row>
    <row r="3540" spans="1:3" x14ac:dyDescent="0.25">
      <c r="A3540" s="8" t="str">
        <f t="shared" si="165"/>
        <v/>
      </c>
      <c r="B3540" s="9" t="str">
        <f t="shared" si="166"/>
        <v/>
      </c>
      <c r="C3540" s="10" t="str">
        <f t="shared" si="167"/>
        <v/>
      </c>
    </row>
    <row r="3541" spans="1:3" x14ac:dyDescent="0.25">
      <c r="A3541" s="8" t="str">
        <f t="shared" si="165"/>
        <v/>
      </c>
      <c r="B3541" s="9" t="str">
        <f t="shared" si="166"/>
        <v/>
      </c>
      <c r="C3541" s="10" t="str">
        <f t="shared" si="167"/>
        <v/>
      </c>
    </row>
    <row r="3542" spans="1:3" x14ac:dyDescent="0.25">
      <c r="A3542" s="8" t="str">
        <f t="shared" si="165"/>
        <v/>
      </c>
      <c r="B3542" s="9" t="str">
        <f t="shared" si="166"/>
        <v/>
      </c>
      <c r="C3542" s="10" t="str">
        <f t="shared" si="167"/>
        <v/>
      </c>
    </row>
    <row r="3543" spans="1:3" x14ac:dyDescent="0.25">
      <c r="A3543" s="8" t="str">
        <f t="shared" si="165"/>
        <v/>
      </c>
      <c r="B3543" s="9" t="str">
        <f t="shared" si="166"/>
        <v/>
      </c>
      <c r="C3543" s="10" t="str">
        <f t="shared" si="167"/>
        <v/>
      </c>
    </row>
    <row r="3544" spans="1:3" x14ac:dyDescent="0.25">
      <c r="A3544" s="8" t="str">
        <f t="shared" si="165"/>
        <v/>
      </c>
      <c r="B3544" s="9" t="str">
        <f t="shared" si="166"/>
        <v/>
      </c>
      <c r="C3544" s="10" t="str">
        <f t="shared" si="167"/>
        <v/>
      </c>
    </row>
    <row r="3545" spans="1:3" x14ac:dyDescent="0.25">
      <c r="A3545" s="8" t="str">
        <f t="shared" si="165"/>
        <v/>
      </c>
      <c r="B3545" s="9" t="str">
        <f t="shared" si="166"/>
        <v/>
      </c>
      <c r="C3545" s="10" t="str">
        <f t="shared" si="167"/>
        <v/>
      </c>
    </row>
    <row r="3546" spans="1:3" x14ac:dyDescent="0.25">
      <c r="A3546" s="8" t="str">
        <f t="shared" si="165"/>
        <v/>
      </c>
      <c r="B3546" s="9" t="str">
        <f t="shared" si="166"/>
        <v/>
      </c>
      <c r="C3546" s="10" t="str">
        <f t="shared" si="167"/>
        <v/>
      </c>
    </row>
    <row r="3547" spans="1:3" x14ac:dyDescent="0.25">
      <c r="A3547" s="8" t="str">
        <f t="shared" si="165"/>
        <v/>
      </c>
      <c r="B3547" s="9" t="str">
        <f t="shared" si="166"/>
        <v/>
      </c>
      <c r="C3547" s="10" t="str">
        <f t="shared" si="167"/>
        <v/>
      </c>
    </row>
    <row r="3548" spans="1:3" x14ac:dyDescent="0.25">
      <c r="A3548" s="8" t="str">
        <f t="shared" si="165"/>
        <v/>
      </c>
      <c r="B3548" s="9" t="str">
        <f t="shared" si="166"/>
        <v/>
      </c>
      <c r="C3548" s="10" t="str">
        <f t="shared" si="167"/>
        <v/>
      </c>
    </row>
    <row r="3549" spans="1:3" x14ac:dyDescent="0.25">
      <c r="A3549" s="8" t="str">
        <f t="shared" si="165"/>
        <v/>
      </c>
      <c r="B3549" s="9" t="str">
        <f t="shared" si="166"/>
        <v/>
      </c>
      <c r="C3549" s="10" t="str">
        <f t="shared" si="167"/>
        <v/>
      </c>
    </row>
    <row r="3550" spans="1:3" x14ac:dyDescent="0.25">
      <c r="A3550" s="8" t="str">
        <f t="shared" si="165"/>
        <v/>
      </c>
      <c r="B3550" s="9" t="str">
        <f t="shared" si="166"/>
        <v/>
      </c>
      <c r="C3550" s="10" t="str">
        <f t="shared" si="167"/>
        <v/>
      </c>
    </row>
    <row r="3551" spans="1:3" x14ac:dyDescent="0.25">
      <c r="A3551" s="8" t="str">
        <f t="shared" si="165"/>
        <v/>
      </c>
      <c r="B3551" s="9" t="str">
        <f t="shared" si="166"/>
        <v/>
      </c>
      <c r="C3551" s="10" t="str">
        <f t="shared" si="167"/>
        <v/>
      </c>
    </row>
    <row r="3552" spans="1:3" x14ac:dyDescent="0.25">
      <c r="A3552" s="8" t="str">
        <f t="shared" si="165"/>
        <v/>
      </c>
      <c r="B3552" s="9" t="str">
        <f t="shared" si="166"/>
        <v/>
      </c>
      <c r="C3552" s="10" t="str">
        <f t="shared" si="167"/>
        <v/>
      </c>
    </row>
    <row r="3553" spans="1:3" x14ac:dyDescent="0.25">
      <c r="A3553" s="8" t="str">
        <f t="shared" si="165"/>
        <v/>
      </c>
      <c r="B3553" s="9" t="str">
        <f t="shared" si="166"/>
        <v/>
      </c>
      <c r="C3553" s="10" t="str">
        <f t="shared" si="167"/>
        <v/>
      </c>
    </row>
    <row r="3554" spans="1:3" x14ac:dyDescent="0.25">
      <c r="A3554" s="8" t="str">
        <f t="shared" si="165"/>
        <v/>
      </c>
      <c r="B3554" s="9" t="str">
        <f t="shared" si="166"/>
        <v/>
      </c>
      <c r="C3554" s="10" t="str">
        <f t="shared" si="167"/>
        <v/>
      </c>
    </row>
    <row r="3555" spans="1:3" x14ac:dyDescent="0.25">
      <c r="A3555" s="8" t="str">
        <f t="shared" si="165"/>
        <v/>
      </c>
      <c r="B3555" s="9" t="str">
        <f t="shared" si="166"/>
        <v/>
      </c>
      <c r="C3555" s="10" t="str">
        <f t="shared" si="167"/>
        <v/>
      </c>
    </row>
    <row r="3556" spans="1:3" x14ac:dyDescent="0.25">
      <c r="A3556" s="8" t="str">
        <f t="shared" si="165"/>
        <v/>
      </c>
      <c r="B3556" s="9" t="str">
        <f t="shared" si="166"/>
        <v/>
      </c>
      <c r="C3556" s="10" t="str">
        <f t="shared" si="167"/>
        <v/>
      </c>
    </row>
    <row r="3557" spans="1:3" x14ac:dyDescent="0.25">
      <c r="A3557" s="8" t="str">
        <f t="shared" si="165"/>
        <v/>
      </c>
      <c r="B3557" s="9" t="str">
        <f t="shared" si="166"/>
        <v/>
      </c>
      <c r="C3557" s="10" t="str">
        <f t="shared" si="167"/>
        <v/>
      </c>
    </row>
    <row r="3558" spans="1:3" x14ac:dyDescent="0.25">
      <c r="A3558" s="8" t="str">
        <f t="shared" si="165"/>
        <v/>
      </c>
      <c r="B3558" s="9" t="str">
        <f t="shared" si="166"/>
        <v/>
      </c>
      <c r="C3558" s="10" t="str">
        <f t="shared" si="167"/>
        <v/>
      </c>
    </row>
    <row r="3559" spans="1:3" x14ac:dyDescent="0.25">
      <c r="A3559" s="8" t="str">
        <f t="shared" ref="A3559:A3622" si="168">IF(D3559="","",IF(E3559=0,CONCATENATE(D3559,".",E3559,"00"),CONCATENATE(D3559,".",E3559)))</f>
        <v/>
      </c>
      <c r="B3559" s="9" t="str">
        <f t="shared" ref="B3559:B3622" si="169">LEFT(G3559,1)</f>
        <v/>
      </c>
      <c r="C3559" s="10" t="str">
        <f t="shared" ref="C3559:C3622" si="170">IF(F3559="","",IF(B3559="",F3559-4,IF(B3559="1",F3559-4,IF(B3559="2",F3559-3,IF(B3559="3",F3559-2,IF(B3559="4",F3559-1,IF(B3559="V",F3559-7,IF(B3559="J",F3559-8,F3559))))))))</f>
        <v/>
      </c>
    </row>
    <row r="3560" spans="1:3" x14ac:dyDescent="0.25">
      <c r="A3560" s="8" t="str">
        <f t="shared" si="168"/>
        <v/>
      </c>
      <c r="B3560" s="9" t="str">
        <f t="shared" si="169"/>
        <v/>
      </c>
      <c r="C3560" s="10" t="str">
        <f t="shared" si="170"/>
        <v/>
      </c>
    </row>
    <row r="3561" spans="1:3" x14ac:dyDescent="0.25">
      <c r="A3561" s="8" t="str">
        <f t="shared" si="168"/>
        <v/>
      </c>
      <c r="B3561" s="9" t="str">
        <f t="shared" si="169"/>
        <v/>
      </c>
      <c r="C3561" s="10" t="str">
        <f t="shared" si="170"/>
        <v/>
      </c>
    </row>
    <row r="3562" spans="1:3" x14ac:dyDescent="0.25">
      <c r="A3562" s="8" t="str">
        <f t="shared" si="168"/>
        <v/>
      </c>
      <c r="B3562" s="9" t="str">
        <f t="shared" si="169"/>
        <v/>
      </c>
      <c r="C3562" s="10" t="str">
        <f t="shared" si="170"/>
        <v/>
      </c>
    </row>
    <row r="3563" spans="1:3" x14ac:dyDescent="0.25">
      <c r="A3563" s="8" t="str">
        <f t="shared" si="168"/>
        <v/>
      </c>
      <c r="B3563" s="9" t="str">
        <f t="shared" si="169"/>
        <v/>
      </c>
      <c r="C3563" s="10" t="str">
        <f t="shared" si="170"/>
        <v/>
      </c>
    </row>
    <row r="3564" spans="1:3" x14ac:dyDescent="0.25">
      <c r="A3564" s="8" t="str">
        <f t="shared" si="168"/>
        <v/>
      </c>
      <c r="B3564" s="9" t="str">
        <f t="shared" si="169"/>
        <v/>
      </c>
      <c r="C3564" s="10" t="str">
        <f t="shared" si="170"/>
        <v/>
      </c>
    </row>
    <row r="3565" spans="1:3" x14ac:dyDescent="0.25">
      <c r="A3565" s="8" t="str">
        <f t="shared" si="168"/>
        <v/>
      </c>
      <c r="B3565" s="9" t="str">
        <f t="shared" si="169"/>
        <v/>
      </c>
      <c r="C3565" s="10" t="str">
        <f t="shared" si="170"/>
        <v/>
      </c>
    </row>
    <row r="3566" spans="1:3" x14ac:dyDescent="0.25">
      <c r="A3566" s="8" t="str">
        <f t="shared" si="168"/>
        <v/>
      </c>
      <c r="B3566" s="9" t="str">
        <f t="shared" si="169"/>
        <v/>
      </c>
      <c r="C3566" s="10" t="str">
        <f t="shared" si="170"/>
        <v/>
      </c>
    </row>
    <row r="3567" spans="1:3" x14ac:dyDescent="0.25">
      <c r="A3567" s="8" t="str">
        <f t="shared" si="168"/>
        <v/>
      </c>
      <c r="B3567" s="9" t="str">
        <f t="shared" si="169"/>
        <v/>
      </c>
      <c r="C3567" s="10" t="str">
        <f t="shared" si="170"/>
        <v/>
      </c>
    </row>
    <row r="3568" spans="1:3" x14ac:dyDescent="0.25">
      <c r="A3568" s="8" t="str">
        <f t="shared" si="168"/>
        <v/>
      </c>
      <c r="B3568" s="9" t="str">
        <f t="shared" si="169"/>
        <v/>
      </c>
      <c r="C3568" s="10" t="str">
        <f t="shared" si="170"/>
        <v/>
      </c>
    </row>
    <row r="3569" spans="1:3" x14ac:dyDescent="0.25">
      <c r="A3569" s="8" t="str">
        <f t="shared" si="168"/>
        <v/>
      </c>
      <c r="B3569" s="9" t="str">
        <f t="shared" si="169"/>
        <v/>
      </c>
      <c r="C3569" s="10" t="str">
        <f t="shared" si="170"/>
        <v/>
      </c>
    </row>
    <row r="3570" spans="1:3" x14ac:dyDescent="0.25">
      <c r="A3570" s="8" t="str">
        <f t="shared" si="168"/>
        <v/>
      </c>
      <c r="B3570" s="9" t="str">
        <f t="shared" si="169"/>
        <v/>
      </c>
      <c r="C3570" s="10" t="str">
        <f t="shared" si="170"/>
        <v/>
      </c>
    </row>
    <row r="3571" spans="1:3" x14ac:dyDescent="0.25">
      <c r="A3571" s="8" t="str">
        <f t="shared" si="168"/>
        <v/>
      </c>
      <c r="B3571" s="9" t="str">
        <f t="shared" si="169"/>
        <v/>
      </c>
      <c r="C3571" s="10" t="str">
        <f t="shared" si="170"/>
        <v/>
      </c>
    </row>
    <row r="3572" spans="1:3" x14ac:dyDescent="0.25">
      <c r="A3572" s="8" t="str">
        <f t="shared" si="168"/>
        <v/>
      </c>
      <c r="B3572" s="9" t="str">
        <f t="shared" si="169"/>
        <v/>
      </c>
      <c r="C3572" s="10" t="str">
        <f t="shared" si="170"/>
        <v/>
      </c>
    </row>
    <row r="3573" spans="1:3" x14ac:dyDescent="0.25">
      <c r="A3573" s="8" t="str">
        <f t="shared" si="168"/>
        <v/>
      </c>
      <c r="B3573" s="9" t="str">
        <f t="shared" si="169"/>
        <v/>
      </c>
      <c r="C3573" s="10" t="str">
        <f t="shared" si="170"/>
        <v/>
      </c>
    </row>
    <row r="3574" spans="1:3" x14ac:dyDescent="0.25">
      <c r="A3574" s="8" t="str">
        <f t="shared" si="168"/>
        <v/>
      </c>
      <c r="B3574" s="9" t="str">
        <f t="shared" si="169"/>
        <v/>
      </c>
      <c r="C3574" s="10" t="str">
        <f t="shared" si="170"/>
        <v/>
      </c>
    </row>
    <row r="3575" spans="1:3" x14ac:dyDescent="0.25">
      <c r="A3575" s="8" t="str">
        <f t="shared" si="168"/>
        <v/>
      </c>
      <c r="B3575" s="9" t="str">
        <f t="shared" si="169"/>
        <v/>
      </c>
      <c r="C3575" s="10" t="str">
        <f t="shared" si="170"/>
        <v/>
      </c>
    </row>
    <row r="3576" spans="1:3" x14ac:dyDescent="0.25">
      <c r="A3576" s="8" t="str">
        <f t="shared" si="168"/>
        <v/>
      </c>
      <c r="B3576" s="9" t="str">
        <f t="shared" si="169"/>
        <v/>
      </c>
      <c r="C3576" s="10" t="str">
        <f t="shared" si="170"/>
        <v/>
      </c>
    </row>
    <row r="3577" spans="1:3" x14ac:dyDescent="0.25">
      <c r="A3577" s="8" t="str">
        <f t="shared" si="168"/>
        <v/>
      </c>
      <c r="B3577" s="9" t="str">
        <f t="shared" si="169"/>
        <v/>
      </c>
      <c r="C3577" s="10" t="str">
        <f t="shared" si="170"/>
        <v/>
      </c>
    </row>
    <row r="3578" spans="1:3" x14ac:dyDescent="0.25">
      <c r="A3578" s="8" t="str">
        <f t="shared" si="168"/>
        <v/>
      </c>
      <c r="B3578" s="9" t="str">
        <f t="shared" si="169"/>
        <v/>
      </c>
      <c r="C3578" s="10" t="str">
        <f t="shared" si="170"/>
        <v/>
      </c>
    </row>
    <row r="3579" spans="1:3" x14ac:dyDescent="0.25">
      <c r="A3579" s="8" t="str">
        <f t="shared" si="168"/>
        <v/>
      </c>
      <c r="B3579" s="9" t="str">
        <f t="shared" si="169"/>
        <v/>
      </c>
      <c r="C3579" s="10" t="str">
        <f t="shared" si="170"/>
        <v/>
      </c>
    </row>
    <row r="3580" spans="1:3" x14ac:dyDescent="0.25">
      <c r="A3580" s="8" t="str">
        <f t="shared" si="168"/>
        <v/>
      </c>
      <c r="B3580" s="9" t="str">
        <f t="shared" si="169"/>
        <v/>
      </c>
      <c r="C3580" s="10" t="str">
        <f t="shared" si="170"/>
        <v/>
      </c>
    </row>
    <row r="3581" spans="1:3" x14ac:dyDescent="0.25">
      <c r="A3581" s="8" t="str">
        <f t="shared" si="168"/>
        <v/>
      </c>
      <c r="B3581" s="9" t="str">
        <f t="shared" si="169"/>
        <v/>
      </c>
      <c r="C3581" s="10" t="str">
        <f t="shared" si="170"/>
        <v/>
      </c>
    </row>
    <row r="3582" spans="1:3" x14ac:dyDescent="0.25">
      <c r="A3582" s="8" t="str">
        <f t="shared" si="168"/>
        <v/>
      </c>
      <c r="B3582" s="9" t="str">
        <f t="shared" si="169"/>
        <v/>
      </c>
      <c r="C3582" s="10" t="str">
        <f t="shared" si="170"/>
        <v/>
      </c>
    </row>
    <row r="3583" spans="1:3" x14ac:dyDescent="0.25">
      <c r="A3583" s="8" t="str">
        <f t="shared" si="168"/>
        <v/>
      </c>
      <c r="B3583" s="9" t="str">
        <f t="shared" si="169"/>
        <v/>
      </c>
      <c r="C3583" s="10" t="str">
        <f t="shared" si="170"/>
        <v/>
      </c>
    </row>
    <row r="3584" spans="1:3" x14ac:dyDescent="0.25">
      <c r="A3584" s="8" t="str">
        <f t="shared" si="168"/>
        <v/>
      </c>
      <c r="B3584" s="9" t="str">
        <f t="shared" si="169"/>
        <v/>
      </c>
      <c r="C3584" s="10" t="str">
        <f t="shared" si="170"/>
        <v/>
      </c>
    </row>
    <row r="3585" spans="1:3" x14ac:dyDescent="0.25">
      <c r="A3585" s="8" t="str">
        <f t="shared" si="168"/>
        <v/>
      </c>
      <c r="B3585" s="9" t="str">
        <f t="shared" si="169"/>
        <v/>
      </c>
      <c r="C3585" s="10" t="str">
        <f t="shared" si="170"/>
        <v/>
      </c>
    </row>
    <row r="3586" spans="1:3" x14ac:dyDescent="0.25">
      <c r="A3586" s="8" t="str">
        <f t="shared" si="168"/>
        <v/>
      </c>
      <c r="B3586" s="9" t="str">
        <f t="shared" si="169"/>
        <v/>
      </c>
      <c r="C3586" s="10" t="str">
        <f t="shared" si="170"/>
        <v/>
      </c>
    </row>
    <row r="3587" spans="1:3" x14ac:dyDescent="0.25">
      <c r="A3587" s="8" t="str">
        <f t="shared" si="168"/>
        <v/>
      </c>
      <c r="B3587" s="9" t="str">
        <f t="shared" si="169"/>
        <v/>
      </c>
      <c r="C3587" s="10" t="str">
        <f t="shared" si="170"/>
        <v/>
      </c>
    </row>
    <row r="3588" spans="1:3" x14ac:dyDescent="0.25">
      <c r="A3588" s="8" t="str">
        <f t="shared" si="168"/>
        <v/>
      </c>
      <c r="B3588" s="9" t="str">
        <f t="shared" si="169"/>
        <v/>
      </c>
      <c r="C3588" s="10" t="str">
        <f t="shared" si="170"/>
        <v/>
      </c>
    </row>
    <row r="3589" spans="1:3" x14ac:dyDescent="0.25">
      <c r="A3589" s="8" t="str">
        <f t="shared" si="168"/>
        <v/>
      </c>
      <c r="B3589" s="9" t="str">
        <f t="shared" si="169"/>
        <v/>
      </c>
      <c r="C3589" s="10" t="str">
        <f t="shared" si="170"/>
        <v/>
      </c>
    </row>
    <row r="3590" spans="1:3" x14ac:dyDescent="0.25">
      <c r="A3590" s="8" t="str">
        <f t="shared" si="168"/>
        <v/>
      </c>
      <c r="B3590" s="9" t="str">
        <f t="shared" si="169"/>
        <v/>
      </c>
      <c r="C3590" s="10" t="str">
        <f t="shared" si="170"/>
        <v/>
      </c>
    </row>
    <row r="3591" spans="1:3" x14ac:dyDescent="0.25">
      <c r="A3591" s="8" t="str">
        <f t="shared" si="168"/>
        <v/>
      </c>
      <c r="B3591" s="9" t="str">
        <f t="shared" si="169"/>
        <v/>
      </c>
      <c r="C3591" s="10" t="str">
        <f t="shared" si="170"/>
        <v/>
      </c>
    </row>
    <row r="3592" spans="1:3" x14ac:dyDescent="0.25">
      <c r="A3592" s="8" t="str">
        <f t="shared" si="168"/>
        <v/>
      </c>
      <c r="B3592" s="9" t="str">
        <f t="shared" si="169"/>
        <v/>
      </c>
      <c r="C3592" s="10" t="str">
        <f t="shared" si="170"/>
        <v/>
      </c>
    </row>
    <row r="3593" spans="1:3" x14ac:dyDescent="0.25">
      <c r="A3593" s="8" t="str">
        <f t="shared" si="168"/>
        <v/>
      </c>
      <c r="B3593" s="9" t="str">
        <f t="shared" si="169"/>
        <v/>
      </c>
      <c r="C3593" s="10" t="str">
        <f t="shared" si="170"/>
        <v/>
      </c>
    </row>
    <row r="3594" spans="1:3" x14ac:dyDescent="0.25">
      <c r="A3594" s="8" t="str">
        <f t="shared" si="168"/>
        <v/>
      </c>
      <c r="B3594" s="9" t="str">
        <f t="shared" si="169"/>
        <v/>
      </c>
      <c r="C3594" s="10" t="str">
        <f t="shared" si="170"/>
        <v/>
      </c>
    </row>
    <row r="3595" spans="1:3" x14ac:dyDescent="0.25">
      <c r="A3595" s="8" t="str">
        <f t="shared" si="168"/>
        <v/>
      </c>
      <c r="B3595" s="9" t="str">
        <f t="shared" si="169"/>
        <v/>
      </c>
      <c r="C3595" s="10" t="str">
        <f t="shared" si="170"/>
        <v/>
      </c>
    </row>
    <row r="3596" spans="1:3" x14ac:dyDescent="0.25">
      <c r="A3596" s="8" t="str">
        <f t="shared" si="168"/>
        <v/>
      </c>
      <c r="B3596" s="9" t="str">
        <f t="shared" si="169"/>
        <v/>
      </c>
      <c r="C3596" s="10" t="str">
        <f t="shared" si="170"/>
        <v/>
      </c>
    </row>
    <row r="3597" spans="1:3" x14ac:dyDescent="0.25">
      <c r="A3597" s="8" t="str">
        <f t="shared" si="168"/>
        <v/>
      </c>
      <c r="B3597" s="9" t="str">
        <f t="shared" si="169"/>
        <v/>
      </c>
      <c r="C3597" s="10" t="str">
        <f t="shared" si="170"/>
        <v/>
      </c>
    </row>
    <row r="3598" spans="1:3" x14ac:dyDescent="0.25">
      <c r="A3598" s="8" t="str">
        <f t="shared" si="168"/>
        <v/>
      </c>
      <c r="B3598" s="9" t="str">
        <f t="shared" si="169"/>
        <v/>
      </c>
      <c r="C3598" s="10" t="str">
        <f t="shared" si="170"/>
        <v/>
      </c>
    </row>
    <row r="3599" spans="1:3" x14ac:dyDescent="0.25">
      <c r="A3599" s="8" t="str">
        <f t="shared" si="168"/>
        <v/>
      </c>
      <c r="B3599" s="9" t="str">
        <f t="shared" si="169"/>
        <v/>
      </c>
      <c r="C3599" s="10" t="str">
        <f t="shared" si="170"/>
        <v/>
      </c>
    </row>
    <row r="3600" spans="1:3" x14ac:dyDescent="0.25">
      <c r="A3600" s="8" t="str">
        <f t="shared" si="168"/>
        <v/>
      </c>
      <c r="B3600" s="9" t="str">
        <f t="shared" si="169"/>
        <v/>
      </c>
      <c r="C3600" s="10" t="str">
        <f t="shared" si="170"/>
        <v/>
      </c>
    </row>
    <row r="3601" spans="1:3" x14ac:dyDescent="0.25">
      <c r="A3601" s="8" t="str">
        <f t="shared" si="168"/>
        <v/>
      </c>
      <c r="B3601" s="9" t="str">
        <f t="shared" si="169"/>
        <v/>
      </c>
      <c r="C3601" s="10" t="str">
        <f t="shared" si="170"/>
        <v/>
      </c>
    </row>
    <row r="3602" spans="1:3" x14ac:dyDescent="0.25">
      <c r="A3602" s="8" t="str">
        <f t="shared" si="168"/>
        <v/>
      </c>
      <c r="B3602" s="9" t="str">
        <f t="shared" si="169"/>
        <v/>
      </c>
      <c r="C3602" s="10" t="str">
        <f t="shared" si="170"/>
        <v/>
      </c>
    </row>
    <row r="3603" spans="1:3" x14ac:dyDescent="0.25">
      <c r="A3603" s="8" t="str">
        <f t="shared" si="168"/>
        <v/>
      </c>
      <c r="B3603" s="9" t="str">
        <f t="shared" si="169"/>
        <v/>
      </c>
      <c r="C3603" s="10" t="str">
        <f t="shared" si="170"/>
        <v/>
      </c>
    </row>
    <row r="3604" spans="1:3" x14ac:dyDescent="0.25">
      <c r="A3604" s="8" t="str">
        <f t="shared" si="168"/>
        <v/>
      </c>
      <c r="B3604" s="9" t="str">
        <f t="shared" si="169"/>
        <v/>
      </c>
      <c r="C3604" s="10" t="str">
        <f t="shared" si="170"/>
        <v/>
      </c>
    </row>
    <row r="3605" spans="1:3" x14ac:dyDescent="0.25">
      <c r="A3605" s="8" t="str">
        <f t="shared" si="168"/>
        <v/>
      </c>
      <c r="B3605" s="9" t="str">
        <f t="shared" si="169"/>
        <v/>
      </c>
      <c r="C3605" s="10" t="str">
        <f t="shared" si="170"/>
        <v/>
      </c>
    </row>
    <row r="3606" spans="1:3" x14ac:dyDescent="0.25">
      <c r="A3606" s="8" t="str">
        <f t="shared" si="168"/>
        <v/>
      </c>
      <c r="B3606" s="9" t="str">
        <f t="shared" si="169"/>
        <v/>
      </c>
      <c r="C3606" s="10" t="str">
        <f t="shared" si="170"/>
        <v/>
      </c>
    </row>
    <row r="3607" spans="1:3" x14ac:dyDescent="0.25">
      <c r="A3607" s="8" t="str">
        <f t="shared" si="168"/>
        <v/>
      </c>
      <c r="B3607" s="9" t="str">
        <f t="shared" si="169"/>
        <v/>
      </c>
      <c r="C3607" s="10" t="str">
        <f t="shared" si="170"/>
        <v/>
      </c>
    </row>
    <row r="3608" spans="1:3" x14ac:dyDescent="0.25">
      <c r="A3608" s="8" t="str">
        <f t="shared" si="168"/>
        <v/>
      </c>
      <c r="B3608" s="9" t="str">
        <f t="shared" si="169"/>
        <v/>
      </c>
      <c r="C3608" s="10" t="str">
        <f t="shared" si="170"/>
        <v/>
      </c>
    </row>
    <row r="3609" spans="1:3" x14ac:dyDescent="0.25">
      <c r="A3609" s="8" t="str">
        <f t="shared" si="168"/>
        <v/>
      </c>
      <c r="B3609" s="9" t="str">
        <f t="shared" si="169"/>
        <v/>
      </c>
      <c r="C3609" s="10" t="str">
        <f t="shared" si="170"/>
        <v/>
      </c>
    </row>
    <row r="3610" spans="1:3" x14ac:dyDescent="0.25">
      <c r="A3610" s="8" t="str">
        <f t="shared" si="168"/>
        <v/>
      </c>
      <c r="B3610" s="9" t="str">
        <f t="shared" si="169"/>
        <v/>
      </c>
      <c r="C3610" s="10" t="str">
        <f t="shared" si="170"/>
        <v/>
      </c>
    </row>
    <row r="3611" spans="1:3" x14ac:dyDescent="0.25">
      <c r="A3611" s="8" t="str">
        <f t="shared" si="168"/>
        <v/>
      </c>
      <c r="B3611" s="9" t="str">
        <f t="shared" si="169"/>
        <v/>
      </c>
      <c r="C3611" s="10" t="str">
        <f t="shared" si="170"/>
        <v/>
      </c>
    </row>
    <row r="3612" spans="1:3" x14ac:dyDescent="0.25">
      <c r="A3612" s="8" t="str">
        <f t="shared" si="168"/>
        <v/>
      </c>
      <c r="B3612" s="9" t="str">
        <f t="shared" si="169"/>
        <v/>
      </c>
      <c r="C3612" s="10" t="str">
        <f t="shared" si="170"/>
        <v/>
      </c>
    </row>
    <row r="3613" spans="1:3" x14ac:dyDescent="0.25">
      <c r="A3613" s="8" t="str">
        <f t="shared" si="168"/>
        <v/>
      </c>
      <c r="B3613" s="9" t="str">
        <f t="shared" si="169"/>
        <v/>
      </c>
      <c r="C3613" s="10" t="str">
        <f t="shared" si="170"/>
        <v/>
      </c>
    </row>
    <row r="3614" spans="1:3" x14ac:dyDescent="0.25">
      <c r="A3614" s="8" t="str">
        <f t="shared" si="168"/>
        <v/>
      </c>
      <c r="B3614" s="9" t="str">
        <f t="shared" si="169"/>
        <v/>
      </c>
      <c r="C3614" s="10" t="str">
        <f t="shared" si="170"/>
        <v/>
      </c>
    </row>
    <row r="3615" spans="1:3" x14ac:dyDescent="0.25">
      <c r="A3615" s="8" t="str">
        <f t="shared" si="168"/>
        <v/>
      </c>
      <c r="B3615" s="9" t="str">
        <f t="shared" si="169"/>
        <v/>
      </c>
      <c r="C3615" s="10" t="str">
        <f t="shared" si="170"/>
        <v/>
      </c>
    </row>
    <row r="3616" spans="1:3" x14ac:dyDescent="0.25">
      <c r="A3616" s="8" t="str">
        <f t="shared" si="168"/>
        <v/>
      </c>
      <c r="B3616" s="9" t="str">
        <f t="shared" si="169"/>
        <v/>
      </c>
      <c r="C3616" s="10" t="str">
        <f t="shared" si="170"/>
        <v/>
      </c>
    </row>
    <row r="3617" spans="1:3" x14ac:dyDescent="0.25">
      <c r="A3617" s="8" t="str">
        <f t="shared" si="168"/>
        <v/>
      </c>
      <c r="B3617" s="9" t="str">
        <f t="shared" si="169"/>
        <v/>
      </c>
      <c r="C3617" s="10" t="str">
        <f t="shared" si="170"/>
        <v/>
      </c>
    </row>
    <row r="3618" spans="1:3" x14ac:dyDescent="0.25">
      <c r="A3618" s="8" t="str">
        <f t="shared" si="168"/>
        <v/>
      </c>
      <c r="B3618" s="9" t="str">
        <f t="shared" si="169"/>
        <v/>
      </c>
      <c r="C3618" s="10" t="str">
        <f t="shared" si="170"/>
        <v/>
      </c>
    </row>
    <row r="3619" spans="1:3" x14ac:dyDescent="0.25">
      <c r="A3619" s="8" t="str">
        <f t="shared" si="168"/>
        <v/>
      </c>
      <c r="B3619" s="9" t="str">
        <f t="shared" si="169"/>
        <v/>
      </c>
      <c r="C3619" s="10" t="str">
        <f t="shared" si="170"/>
        <v/>
      </c>
    </row>
    <row r="3620" spans="1:3" x14ac:dyDescent="0.25">
      <c r="A3620" s="8" t="str">
        <f t="shared" si="168"/>
        <v/>
      </c>
      <c r="B3620" s="9" t="str">
        <f t="shared" si="169"/>
        <v/>
      </c>
      <c r="C3620" s="10" t="str">
        <f t="shared" si="170"/>
        <v/>
      </c>
    </row>
    <row r="3621" spans="1:3" x14ac:dyDescent="0.25">
      <c r="A3621" s="8" t="str">
        <f t="shared" si="168"/>
        <v/>
      </c>
      <c r="B3621" s="9" t="str">
        <f t="shared" si="169"/>
        <v/>
      </c>
      <c r="C3621" s="10" t="str">
        <f t="shared" si="170"/>
        <v/>
      </c>
    </row>
    <row r="3622" spans="1:3" x14ac:dyDescent="0.25">
      <c r="A3622" s="8" t="str">
        <f t="shared" si="168"/>
        <v/>
      </c>
      <c r="B3622" s="9" t="str">
        <f t="shared" si="169"/>
        <v/>
      </c>
      <c r="C3622" s="10" t="str">
        <f t="shared" si="170"/>
        <v/>
      </c>
    </row>
    <row r="3623" spans="1:3" x14ac:dyDescent="0.25">
      <c r="A3623" s="8" t="str">
        <f t="shared" ref="A3623:A3686" si="171">IF(D3623="","",IF(E3623=0,CONCATENATE(D3623,".",E3623,"00"),CONCATENATE(D3623,".",E3623)))</f>
        <v/>
      </c>
      <c r="B3623" s="9" t="str">
        <f t="shared" ref="B3623:B3686" si="172">LEFT(G3623,1)</f>
        <v/>
      </c>
      <c r="C3623" s="10" t="str">
        <f t="shared" ref="C3623:C3686" si="173">IF(F3623="","",IF(B3623="",F3623-4,IF(B3623="1",F3623-4,IF(B3623="2",F3623-3,IF(B3623="3",F3623-2,IF(B3623="4",F3623-1,IF(B3623="V",F3623-7,IF(B3623="J",F3623-8,F3623))))))))</f>
        <v/>
      </c>
    </row>
    <row r="3624" spans="1:3" x14ac:dyDescent="0.25">
      <c r="A3624" s="8" t="str">
        <f t="shared" si="171"/>
        <v/>
      </c>
      <c r="B3624" s="9" t="str">
        <f t="shared" si="172"/>
        <v/>
      </c>
      <c r="C3624" s="10" t="str">
        <f t="shared" si="173"/>
        <v/>
      </c>
    </row>
    <row r="3625" spans="1:3" x14ac:dyDescent="0.25">
      <c r="A3625" s="8" t="str">
        <f t="shared" si="171"/>
        <v/>
      </c>
      <c r="B3625" s="9" t="str">
        <f t="shared" si="172"/>
        <v/>
      </c>
      <c r="C3625" s="10" t="str">
        <f t="shared" si="173"/>
        <v/>
      </c>
    </row>
    <row r="3626" spans="1:3" x14ac:dyDescent="0.25">
      <c r="A3626" s="8" t="str">
        <f t="shared" si="171"/>
        <v/>
      </c>
      <c r="B3626" s="9" t="str">
        <f t="shared" si="172"/>
        <v/>
      </c>
      <c r="C3626" s="10" t="str">
        <f t="shared" si="173"/>
        <v/>
      </c>
    </row>
    <row r="3627" spans="1:3" x14ac:dyDescent="0.25">
      <c r="A3627" s="8" t="str">
        <f t="shared" si="171"/>
        <v/>
      </c>
      <c r="B3627" s="9" t="str">
        <f t="shared" si="172"/>
        <v/>
      </c>
      <c r="C3627" s="10" t="str">
        <f t="shared" si="173"/>
        <v/>
      </c>
    </row>
    <row r="3628" spans="1:3" x14ac:dyDescent="0.25">
      <c r="A3628" s="8" t="str">
        <f t="shared" si="171"/>
        <v/>
      </c>
      <c r="B3628" s="9" t="str">
        <f t="shared" si="172"/>
        <v/>
      </c>
      <c r="C3628" s="10" t="str">
        <f t="shared" si="173"/>
        <v/>
      </c>
    </row>
    <row r="3629" spans="1:3" x14ac:dyDescent="0.25">
      <c r="A3629" s="8" t="str">
        <f t="shared" si="171"/>
        <v/>
      </c>
      <c r="B3629" s="9" t="str">
        <f t="shared" si="172"/>
        <v/>
      </c>
      <c r="C3629" s="10" t="str">
        <f t="shared" si="173"/>
        <v/>
      </c>
    </row>
    <row r="3630" spans="1:3" x14ac:dyDescent="0.25">
      <c r="A3630" s="8" t="str">
        <f t="shared" si="171"/>
        <v/>
      </c>
      <c r="B3630" s="9" t="str">
        <f t="shared" si="172"/>
        <v/>
      </c>
      <c r="C3630" s="10" t="str">
        <f t="shared" si="173"/>
        <v/>
      </c>
    </row>
    <row r="3631" spans="1:3" x14ac:dyDescent="0.25">
      <c r="A3631" s="8" t="str">
        <f t="shared" si="171"/>
        <v/>
      </c>
      <c r="B3631" s="9" t="str">
        <f t="shared" si="172"/>
        <v/>
      </c>
      <c r="C3631" s="10" t="str">
        <f t="shared" si="173"/>
        <v/>
      </c>
    </row>
    <row r="3632" spans="1:3" x14ac:dyDescent="0.25">
      <c r="A3632" s="8" t="str">
        <f t="shared" si="171"/>
        <v/>
      </c>
      <c r="B3632" s="9" t="str">
        <f t="shared" si="172"/>
        <v/>
      </c>
      <c r="C3632" s="10" t="str">
        <f t="shared" si="173"/>
        <v/>
      </c>
    </row>
    <row r="3633" spans="1:3" x14ac:dyDescent="0.25">
      <c r="A3633" s="8" t="str">
        <f t="shared" si="171"/>
        <v/>
      </c>
      <c r="B3633" s="9" t="str">
        <f t="shared" si="172"/>
        <v/>
      </c>
      <c r="C3633" s="10" t="str">
        <f t="shared" si="173"/>
        <v/>
      </c>
    </row>
    <row r="3634" spans="1:3" x14ac:dyDescent="0.25">
      <c r="A3634" s="8" t="str">
        <f t="shared" si="171"/>
        <v/>
      </c>
      <c r="B3634" s="9" t="str">
        <f t="shared" si="172"/>
        <v/>
      </c>
      <c r="C3634" s="10" t="str">
        <f t="shared" si="173"/>
        <v/>
      </c>
    </row>
    <row r="3635" spans="1:3" x14ac:dyDescent="0.25">
      <c r="A3635" s="8" t="str">
        <f t="shared" si="171"/>
        <v/>
      </c>
      <c r="B3635" s="9" t="str">
        <f t="shared" si="172"/>
        <v/>
      </c>
      <c r="C3635" s="10" t="str">
        <f t="shared" si="173"/>
        <v/>
      </c>
    </row>
    <row r="3636" spans="1:3" x14ac:dyDescent="0.25">
      <c r="A3636" s="8" t="str">
        <f t="shared" si="171"/>
        <v/>
      </c>
      <c r="B3636" s="9" t="str">
        <f t="shared" si="172"/>
        <v/>
      </c>
      <c r="C3636" s="10" t="str">
        <f t="shared" si="173"/>
        <v/>
      </c>
    </row>
    <row r="3637" spans="1:3" x14ac:dyDescent="0.25">
      <c r="A3637" s="8" t="str">
        <f t="shared" si="171"/>
        <v/>
      </c>
      <c r="B3637" s="9" t="str">
        <f t="shared" si="172"/>
        <v/>
      </c>
      <c r="C3637" s="10" t="str">
        <f t="shared" si="173"/>
        <v/>
      </c>
    </row>
    <row r="3638" spans="1:3" x14ac:dyDescent="0.25">
      <c r="A3638" s="8" t="str">
        <f t="shared" si="171"/>
        <v/>
      </c>
      <c r="B3638" s="9" t="str">
        <f t="shared" si="172"/>
        <v/>
      </c>
      <c r="C3638" s="10" t="str">
        <f t="shared" si="173"/>
        <v/>
      </c>
    </row>
    <row r="3639" spans="1:3" x14ac:dyDescent="0.25">
      <c r="A3639" s="8" t="str">
        <f t="shared" si="171"/>
        <v/>
      </c>
      <c r="B3639" s="9" t="str">
        <f t="shared" si="172"/>
        <v/>
      </c>
      <c r="C3639" s="10" t="str">
        <f t="shared" si="173"/>
        <v/>
      </c>
    </row>
    <row r="3640" spans="1:3" x14ac:dyDescent="0.25">
      <c r="A3640" s="8" t="str">
        <f t="shared" si="171"/>
        <v/>
      </c>
      <c r="B3640" s="9" t="str">
        <f t="shared" si="172"/>
        <v/>
      </c>
      <c r="C3640" s="10" t="str">
        <f t="shared" si="173"/>
        <v/>
      </c>
    </row>
    <row r="3641" spans="1:3" x14ac:dyDescent="0.25">
      <c r="A3641" s="8" t="str">
        <f t="shared" si="171"/>
        <v/>
      </c>
      <c r="B3641" s="9" t="str">
        <f t="shared" si="172"/>
        <v/>
      </c>
      <c r="C3641" s="10" t="str">
        <f t="shared" si="173"/>
        <v/>
      </c>
    </row>
    <row r="3642" spans="1:3" x14ac:dyDescent="0.25">
      <c r="A3642" s="8" t="str">
        <f t="shared" si="171"/>
        <v/>
      </c>
      <c r="B3642" s="9" t="str">
        <f t="shared" si="172"/>
        <v/>
      </c>
      <c r="C3642" s="10" t="str">
        <f t="shared" si="173"/>
        <v/>
      </c>
    </row>
    <row r="3643" spans="1:3" x14ac:dyDescent="0.25">
      <c r="A3643" s="8" t="str">
        <f t="shared" si="171"/>
        <v/>
      </c>
      <c r="B3643" s="9" t="str">
        <f t="shared" si="172"/>
        <v/>
      </c>
      <c r="C3643" s="10" t="str">
        <f t="shared" si="173"/>
        <v/>
      </c>
    </row>
    <row r="3644" spans="1:3" x14ac:dyDescent="0.25">
      <c r="A3644" s="8" t="str">
        <f t="shared" si="171"/>
        <v/>
      </c>
      <c r="B3644" s="9" t="str">
        <f t="shared" si="172"/>
        <v/>
      </c>
      <c r="C3644" s="10" t="str">
        <f t="shared" si="173"/>
        <v/>
      </c>
    </row>
    <row r="3645" spans="1:3" x14ac:dyDescent="0.25">
      <c r="A3645" s="8" t="str">
        <f t="shared" si="171"/>
        <v/>
      </c>
      <c r="B3645" s="9" t="str">
        <f t="shared" si="172"/>
        <v/>
      </c>
      <c r="C3645" s="10" t="str">
        <f t="shared" si="173"/>
        <v/>
      </c>
    </row>
    <row r="3646" spans="1:3" x14ac:dyDescent="0.25">
      <c r="A3646" s="8" t="str">
        <f t="shared" si="171"/>
        <v/>
      </c>
      <c r="B3646" s="9" t="str">
        <f t="shared" si="172"/>
        <v/>
      </c>
      <c r="C3646" s="10" t="str">
        <f t="shared" si="173"/>
        <v/>
      </c>
    </row>
    <row r="3647" spans="1:3" x14ac:dyDescent="0.25">
      <c r="A3647" s="8" t="str">
        <f t="shared" si="171"/>
        <v/>
      </c>
      <c r="B3647" s="9" t="str">
        <f t="shared" si="172"/>
        <v/>
      </c>
      <c r="C3647" s="10" t="str">
        <f t="shared" si="173"/>
        <v/>
      </c>
    </row>
    <row r="3648" spans="1:3" x14ac:dyDescent="0.25">
      <c r="A3648" s="8" t="str">
        <f t="shared" si="171"/>
        <v/>
      </c>
      <c r="B3648" s="9" t="str">
        <f t="shared" si="172"/>
        <v/>
      </c>
      <c r="C3648" s="10" t="str">
        <f t="shared" si="173"/>
        <v/>
      </c>
    </row>
    <row r="3649" spans="1:3" x14ac:dyDescent="0.25">
      <c r="A3649" s="8" t="str">
        <f t="shared" si="171"/>
        <v/>
      </c>
      <c r="B3649" s="9" t="str">
        <f t="shared" si="172"/>
        <v/>
      </c>
      <c r="C3649" s="10" t="str">
        <f t="shared" si="173"/>
        <v/>
      </c>
    </row>
    <row r="3650" spans="1:3" x14ac:dyDescent="0.25">
      <c r="A3650" s="8" t="str">
        <f t="shared" si="171"/>
        <v/>
      </c>
      <c r="B3650" s="9" t="str">
        <f t="shared" si="172"/>
        <v/>
      </c>
      <c r="C3650" s="10" t="str">
        <f t="shared" si="173"/>
        <v/>
      </c>
    </row>
    <row r="3651" spans="1:3" x14ac:dyDescent="0.25">
      <c r="A3651" s="8" t="str">
        <f t="shared" si="171"/>
        <v/>
      </c>
      <c r="B3651" s="9" t="str">
        <f t="shared" si="172"/>
        <v/>
      </c>
      <c r="C3651" s="10" t="str">
        <f t="shared" si="173"/>
        <v/>
      </c>
    </row>
    <row r="3652" spans="1:3" x14ac:dyDescent="0.25">
      <c r="A3652" s="8" t="str">
        <f t="shared" si="171"/>
        <v/>
      </c>
      <c r="B3652" s="9" t="str">
        <f t="shared" si="172"/>
        <v/>
      </c>
      <c r="C3652" s="10" t="str">
        <f t="shared" si="173"/>
        <v/>
      </c>
    </row>
    <row r="3653" spans="1:3" x14ac:dyDescent="0.25">
      <c r="A3653" s="8" t="str">
        <f t="shared" si="171"/>
        <v/>
      </c>
      <c r="B3653" s="9" t="str">
        <f t="shared" si="172"/>
        <v/>
      </c>
      <c r="C3653" s="10" t="str">
        <f t="shared" si="173"/>
        <v/>
      </c>
    </row>
    <row r="3654" spans="1:3" x14ac:dyDescent="0.25">
      <c r="A3654" s="8" t="str">
        <f t="shared" si="171"/>
        <v/>
      </c>
      <c r="B3654" s="9" t="str">
        <f t="shared" si="172"/>
        <v/>
      </c>
      <c r="C3654" s="10" t="str">
        <f t="shared" si="173"/>
        <v/>
      </c>
    </row>
    <row r="3655" spans="1:3" x14ac:dyDescent="0.25">
      <c r="A3655" s="8" t="str">
        <f t="shared" si="171"/>
        <v/>
      </c>
      <c r="B3655" s="9" t="str">
        <f t="shared" si="172"/>
        <v/>
      </c>
      <c r="C3655" s="10" t="str">
        <f t="shared" si="173"/>
        <v/>
      </c>
    </row>
    <row r="3656" spans="1:3" x14ac:dyDescent="0.25">
      <c r="A3656" s="8" t="str">
        <f t="shared" si="171"/>
        <v/>
      </c>
      <c r="B3656" s="9" t="str">
        <f t="shared" si="172"/>
        <v/>
      </c>
      <c r="C3656" s="10" t="str">
        <f t="shared" si="173"/>
        <v/>
      </c>
    </row>
    <row r="3657" spans="1:3" x14ac:dyDescent="0.25">
      <c r="A3657" s="8" t="str">
        <f t="shared" si="171"/>
        <v/>
      </c>
      <c r="B3657" s="9" t="str">
        <f t="shared" si="172"/>
        <v/>
      </c>
      <c r="C3657" s="10" t="str">
        <f t="shared" si="173"/>
        <v/>
      </c>
    </row>
    <row r="3658" spans="1:3" x14ac:dyDescent="0.25">
      <c r="A3658" s="8" t="str">
        <f t="shared" si="171"/>
        <v/>
      </c>
      <c r="B3658" s="9" t="str">
        <f t="shared" si="172"/>
        <v/>
      </c>
      <c r="C3658" s="10" t="str">
        <f t="shared" si="173"/>
        <v/>
      </c>
    </row>
    <row r="3659" spans="1:3" x14ac:dyDescent="0.25">
      <c r="A3659" s="8" t="str">
        <f t="shared" si="171"/>
        <v/>
      </c>
      <c r="B3659" s="9" t="str">
        <f t="shared" si="172"/>
        <v/>
      </c>
      <c r="C3659" s="10" t="str">
        <f t="shared" si="173"/>
        <v/>
      </c>
    </row>
    <row r="3660" spans="1:3" x14ac:dyDescent="0.25">
      <c r="A3660" s="8" t="str">
        <f t="shared" si="171"/>
        <v/>
      </c>
      <c r="B3660" s="9" t="str">
        <f t="shared" si="172"/>
        <v/>
      </c>
      <c r="C3660" s="10" t="str">
        <f t="shared" si="173"/>
        <v/>
      </c>
    </row>
    <row r="3661" spans="1:3" x14ac:dyDescent="0.25">
      <c r="A3661" s="8" t="str">
        <f t="shared" si="171"/>
        <v/>
      </c>
      <c r="B3661" s="9" t="str">
        <f t="shared" si="172"/>
        <v/>
      </c>
      <c r="C3661" s="10" t="str">
        <f t="shared" si="173"/>
        <v/>
      </c>
    </row>
    <row r="3662" spans="1:3" x14ac:dyDescent="0.25">
      <c r="A3662" s="8" t="str">
        <f t="shared" si="171"/>
        <v/>
      </c>
      <c r="B3662" s="9" t="str">
        <f t="shared" si="172"/>
        <v/>
      </c>
      <c r="C3662" s="10" t="str">
        <f t="shared" si="173"/>
        <v/>
      </c>
    </row>
    <row r="3663" spans="1:3" x14ac:dyDescent="0.25">
      <c r="A3663" s="8" t="str">
        <f t="shared" si="171"/>
        <v/>
      </c>
      <c r="B3663" s="9" t="str">
        <f t="shared" si="172"/>
        <v/>
      </c>
      <c r="C3663" s="10" t="str">
        <f t="shared" si="173"/>
        <v/>
      </c>
    </row>
    <row r="3664" spans="1:3" x14ac:dyDescent="0.25">
      <c r="A3664" s="8" t="str">
        <f t="shared" si="171"/>
        <v/>
      </c>
      <c r="B3664" s="9" t="str">
        <f t="shared" si="172"/>
        <v/>
      </c>
      <c r="C3664" s="10" t="str">
        <f t="shared" si="173"/>
        <v/>
      </c>
    </row>
    <row r="3665" spans="1:3" x14ac:dyDescent="0.25">
      <c r="A3665" s="8" t="str">
        <f t="shared" si="171"/>
        <v/>
      </c>
      <c r="B3665" s="9" t="str">
        <f t="shared" si="172"/>
        <v/>
      </c>
      <c r="C3665" s="10" t="str">
        <f t="shared" si="173"/>
        <v/>
      </c>
    </row>
    <row r="3666" spans="1:3" x14ac:dyDescent="0.25">
      <c r="A3666" s="8" t="str">
        <f t="shared" si="171"/>
        <v/>
      </c>
      <c r="B3666" s="9" t="str">
        <f t="shared" si="172"/>
        <v/>
      </c>
      <c r="C3666" s="10" t="str">
        <f t="shared" si="173"/>
        <v/>
      </c>
    </row>
    <row r="3667" spans="1:3" x14ac:dyDescent="0.25">
      <c r="A3667" s="8" t="str">
        <f t="shared" si="171"/>
        <v/>
      </c>
      <c r="B3667" s="9" t="str">
        <f t="shared" si="172"/>
        <v/>
      </c>
      <c r="C3667" s="10" t="str">
        <f t="shared" si="173"/>
        <v/>
      </c>
    </row>
    <row r="3668" spans="1:3" x14ac:dyDescent="0.25">
      <c r="A3668" s="8" t="str">
        <f t="shared" si="171"/>
        <v/>
      </c>
      <c r="B3668" s="9" t="str">
        <f t="shared" si="172"/>
        <v/>
      </c>
      <c r="C3668" s="10" t="str">
        <f t="shared" si="173"/>
        <v/>
      </c>
    </row>
    <row r="3669" spans="1:3" x14ac:dyDescent="0.25">
      <c r="A3669" s="8" t="str">
        <f t="shared" si="171"/>
        <v/>
      </c>
      <c r="B3669" s="9" t="str">
        <f t="shared" si="172"/>
        <v/>
      </c>
      <c r="C3669" s="10" t="str">
        <f t="shared" si="173"/>
        <v/>
      </c>
    </row>
    <row r="3670" spans="1:3" x14ac:dyDescent="0.25">
      <c r="A3670" s="8" t="str">
        <f t="shared" si="171"/>
        <v/>
      </c>
      <c r="B3670" s="9" t="str">
        <f t="shared" si="172"/>
        <v/>
      </c>
      <c r="C3670" s="10" t="str">
        <f t="shared" si="173"/>
        <v/>
      </c>
    </row>
    <row r="3671" spans="1:3" x14ac:dyDescent="0.25">
      <c r="A3671" s="8" t="str">
        <f t="shared" si="171"/>
        <v/>
      </c>
      <c r="B3671" s="9" t="str">
        <f t="shared" si="172"/>
        <v/>
      </c>
      <c r="C3671" s="10" t="str">
        <f t="shared" si="173"/>
        <v/>
      </c>
    </row>
    <row r="3672" spans="1:3" x14ac:dyDescent="0.25">
      <c r="A3672" s="8" t="str">
        <f t="shared" si="171"/>
        <v/>
      </c>
      <c r="B3672" s="9" t="str">
        <f t="shared" si="172"/>
        <v/>
      </c>
      <c r="C3672" s="10" t="str">
        <f t="shared" si="173"/>
        <v/>
      </c>
    </row>
    <row r="3673" spans="1:3" x14ac:dyDescent="0.25">
      <c r="A3673" s="8" t="str">
        <f t="shared" si="171"/>
        <v/>
      </c>
      <c r="B3673" s="9" t="str">
        <f t="shared" si="172"/>
        <v/>
      </c>
      <c r="C3673" s="10" t="str">
        <f t="shared" si="173"/>
        <v/>
      </c>
    </row>
    <row r="3674" spans="1:3" x14ac:dyDescent="0.25">
      <c r="A3674" s="8" t="str">
        <f t="shared" si="171"/>
        <v/>
      </c>
      <c r="B3674" s="9" t="str">
        <f t="shared" si="172"/>
        <v/>
      </c>
      <c r="C3674" s="10" t="str">
        <f t="shared" si="173"/>
        <v/>
      </c>
    </row>
    <row r="3675" spans="1:3" x14ac:dyDescent="0.25">
      <c r="A3675" s="8" t="str">
        <f t="shared" si="171"/>
        <v/>
      </c>
      <c r="B3675" s="9" t="str">
        <f t="shared" si="172"/>
        <v/>
      </c>
      <c r="C3675" s="10" t="str">
        <f t="shared" si="173"/>
        <v/>
      </c>
    </row>
    <row r="3676" spans="1:3" x14ac:dyDescent="0.25">
      <c r="A3676" s="8" t="str">
        <f t="shared" si="171"/>
        <v/>
      </c>
      <c r="B3676" s="9" t="str">
        <f t="shared" si="172"/>
        <v/>
      </c>
      <c r="C3676" s="10" t="str">
        <f t="shared" si="173"/>
        <v/>
      </c>
    </row>
    <row r="3677" spans="1:3" x14ac:dyDescent="0.25">
      <c r="A3677" s="8" t="str">
        <f t="shared" si="171"/>
        <v/>
      </c>
      <c r="B3677" s="9" t="str">
        <f t="shared" si="172"/>
        <v/>
      </c>
      <c r="C3677" s="10" t="str">
        <f t="shared" si="173"/>
        <v/>
      </c>
    </row>
    <row r="3678" spans="1:3" x14ac:dyDescent="0.25">
      <c r="A3678" s="8" t="str">
        <f t="shared" si="171"/>
        <v/>
      </c>
      <c r="B3678" s="9" t="str">
        <f t="shared" si="172"/>
        <v/>
      </c>
      <c r="C3678" s="10" t="str">
        <f t="shared" si="173"/>
        <v/>
      </c>
    </row>
    <row r="3679" spans="1:3" x14ac:dyDescent="0.25">
      <c r="A3679" s="8" t="str">
        <f t="shared" si="171"/>
        <v/>
      </c>
      <c r="B3679" s="9" t="str">
        <f t="shared" si="172"/>
        <v/>
      </c>
      <c r="C3679" s="10" t="str">
        <f t="shared" si="173"/>
        <v/>
      </c>
    </row>
    <row r="3680" spans="1:3" x14ac:dyDescent="0.25">
      <c r="A3680" s="8" t="str">
        <f t="shared" si="171"/>
        <v/>
      </c>
      <c r="B3680" s="9" t="str">
        <f t="shared" si="172"/>
        <v/>
      </c>
      <c r="C3680" s="10" t="str">
        <f t="shared" si="173"/>
        <v/>
      </c>
    </row>
    <row r="3681" spans="1:3" x14ac:dyDescent="0.25">
      <c r="A3681" s="8" t="str">
        <f t="shared" si="171"/>
        <v/>
      </c>
      <c r="B3681" s="9" t="str">
        <f t="shared" si="172"/>
        <v/>
      </c>
      <c r="C3681" s="10" t="str">
        <f t="shared" si="173"/>
        <v/>
      </c>
    </row>
    <row r="3682" spans="1:3" x14ac:dyDescent="0.25">
      <c r="A3682" s="8" t="str">
        <f t="shared" si="171"/>
        <v/>
      </c>
      <c r="B3682" s="9" t="str">
        <f t="shared" si="172"/>
        <v/>
      </c>
      <c r="C3682" s="10" t="str">
        <f t="shared" si="173"/>
        <v/>
      </c>
    </row>
    <row r="3683" spans="1:3" x14ac:dyDescent="0.25">
      <c r="A3683" s="8" t="str">
        <f t="shared" si="171"/>
        <v/>
      </c>
      <c r="B3683" s="9" t="str">
        <f t="shared" si="172"/>
        <v/>
      </c>
      <c r="C3683" s="10" t="str">
        <f t="shared" si="173"/>
        <v/>
      </c>
    </row>
    <row r="3684" spans="1:3" x14ac:dyDescent="0.25">
      <c r="A3684" s="8" t="str">
        <f t="shared" si="171"/>
        <v/>
      </c>
      <c r="B3684" s="9" t="str">
        <f t="shared" si="172"/>
        <v/>
      </c>
      <c r="C3684" s="10" t="str">
        <f t="shared" si="173"/>
        <v/>
      </c>
    </row>
    <row r="3685" spans="1:3" x14ac:dyDescent="0.25">
      <c r="A3685" s="8" t="str">
        <f t="shared" si="171"/>
        <v/>
      </c>
      <c r="B3685" s="9" t="str">
        <f t="shared" si="172"/>
        <v/>
      </c>
      <c r="C3685" s="10" t="str">
        <f t="shared" si="173"/>
        <v/>
      </c>
    </row>
    <row r="3686" spans="1:3" x14ac:dyDescent="0.25">
      <c r="A3686" s="8" t="str">
        <f t="shared" si="171"/>
        <v/>
      </c>
      <c r="B3686" s="9" t="str">
        <f t="shared" si="172"/>
        <v/>
      </c>
      <c r="C3686" s="10" t="str">
        <f t="shared" si="173"/>
        <v/>
      </c>
    </row>
    <row r="3687" spans="1:3" x14ac:dyDescent="0.25">
      <c r="A3687" s="8" t="str">
        <f t="shared" ref="A3687:A3750" si="174">IF(D3687="","",IF(E3687=0,CONCATENATE(D3687,".",E3687,"00"),CONCATENATE(D3687,".",E3687)))</f>
        <v/>
      </c>
      <c r="B3687" s="9" t="str">
        <f t="shared" ref="B3687:B3750" si="175">LEFT(G3687,1)</f>
        <v/>
      </c>
      <c r="C3687" s="10" t="str">
        <f t="shared" ref="C3687:C3750" si="176">IF(F3687="","",IF(B3687="",F3687-4,IF(B3687="1",F3687-4,IF(B3687="2",F3687-3,IF(B3687="3",F3687-2,IF(B3687="4",F3687-1,IF(B3687="V",F3687-7,IF(B3687="J",F3687-8,F3687))))))))</f>
        <v/>
      </c>
    </row>
    <row r="3688" spans="1:3" x14ac:dyDescent="0.25">
      <c r="A3688" s="8" t="str">
        <f t="shared" si="174"/>
        <v/>
      </c>
      <c r="B3688" s="9" t="str">
        <f t="shared" si="175"/>
        <v/>
      </c>
      <c r="C3688" s="10" t="str">
        <f t="shared" si="176"/>
        <v/>
      </c>
    </row>
    <row r="3689" spans="1:3" x14ac:dyDescent="0.25">
      <c r="A3689" s="8" t="str">
        <f t="shared" si="174"/>
        <v/>
      </c>
      <c r="B3689" s="9" t="str">
        <f t="shared" si="175"/>
        <v/>
      </c>
      <c r="C3689" s="10" t="str">
        <f t="shared" si="176"/>
        <v/>
      </c>
    </row>
    <row r="3690" spans="1:3" x14ac:dyDescent="0.25">
      <c r="A3690" s="8" t="str">
        <f t="shared" si="174"/>
        <v/>
      </c>
      <c r="B3690" s="9" t="str">
        <f t="shared" si="175"/>
        <v/>
      </c>
      <c r="C3690" s="10" t="str">
        <f t="shared" si="176"/>
        <v/>
      </c>
    </row>
    <row r="3691" spans="1:3" x14ac:dyDescent="0.25">
      <c r="A3691" s="8" t="str">
        <f t="shared" si="174"/>
        <v/>
      </c>
      <c r="B3691" s="9" t="str">
        <f t="shared" si="175"/>
        <v/>
      </c>
      <c r="C3691" s="10" t="str">
        <f t="shared" si="176"/>
        <v/>
      </c>
    </row>
    <row r="3692" spans="1:3" x14ac:dyDescent="0.25">
      <c r="A3692" s="8" t="str">
        <f t="shared" si="174"/>
        <v/>
      </c>
      <c r="B3692" s="9" t="str">
        <f t="shared" si="175"/>
        <v/>
      </c>
      <c r="C3692" s="10" t="str">
        <f t="shared" si="176"/>
        <v/>
      </c>
    </row>
    <row r="3693" spans="1:3" x14ac:dyDescent="0.25">
      <c r="A3693" s="8" t="str">
        <f t="shared" si="174"/>
        <v/>
      </c>
      <c r="B3693" s="9" t="str">
        <f t="shared" si="175"/>
        <v/>
      </c>
      <c r="C3693" s="10" t="str">
        <f t="shared" si="176"/>
        <v/>
      </c>
    </row>
    <row r="3694" spans="1:3" x14ac:dyDescent="0.25">
      <c r="A3694" s="8" t="str">
        <f t="shared" si="174"/>
        <v/>
      </c>
      <c r="B3694" s="9" t="str">
        <f t="shared" si="175"/>
        <v/>
      </c>
      <c r="C3694" s="10" t="str">
        <f t="shared" si="176"/>
        <v/>
      </c>
    </row>
    <row r="3695" spans="1:3" x14ac:dyDescent="0.25">
      <c r="A3695" s="8" t="str">
        <f t="shared" si="174"/>
        <v/>
      </c>
      <c r="B3695" s="9" t="str">
        <f t="shared" si="175"/>
        <v/>
      </c>
      <c r="C3695" s="10" t="str">
        <f t="shared" si="176"/>
        <v/>
      </c>
    </row>
    <row r="3696" spans="1:3" x14ac:dyDescent="0.25">
      <c r="A3696" s="8" t="str">
        <f t="shared" si="174"/>
        <v/>
      </c>
      <c r="B3696" s="9" t="str">
        <f t="shared" si="175"/>
        <v/>
      </c>
      <c r="C3696" s="10" t="str">
        <f t="shared" si="176"/>
        <v/>
      </c>
    </row>
    <row r="3697" spans="1:3" x14ac:dyDescent="0.25">
      <c r="A3697" s="8" t="str">
        <f t="shared" si="174"/>
        <v/>
      </c>
      <c r="B3697" s="9" t="str">
        <f t="shared" si="175"/>
        <v/>
      </c>
      <c r="C3697" s="10" t="str">
        <f t="shared" si="176"/>
        <v/>
      </c>
    </row>
    <row r="3698" spans="1:3" x14ac:dyDescent="0.25">
      <c r="A3698" s="8" t="str">
        <f t="shared" si="174"/>
        <v/>
      </c>
      <c r="B3698" s="9" t="str">
        <f t="shared" si="175"/>
        <v/>
      </c>
      <c r="C3698" s="10" t="str">
        <f t="shared" si="176"/>
        <v/>
      </c>
    </row>
    <row r="3699" spans="1:3" x14ac:dyDescent="0.25">
      <c r="A3699" s="8" t="str">
        <f t="shared" si="174"/>
        <v/>
      </c>
      <c r="B3699" s="9" t="str">
        <f t="shared" si="175"/>
        <v/>
      </c>
      <c r="C3699" s="10" t="str">
        <f t="shared" si="176"/>
        <v/>
      </c>
    </row>
    <row r="3700" spans="1:3" x14ac:dyDescent="0.25">
      <c r="A3700" s="8" t="str">
        <f t="shared" si="174"/>
        <v/>
      </c>
      <c r="B3700" s="9" t="str">
        <f t="shared" si="175"/>
        <v/>
      </c>
      <c r="C3700" s="10" t="str">
        <f t="shared" si="176"/>
        <v/>
      </c>
    </row>
    <row r="3701" spans="1:3" x14ac:dyDescent="0.25">
      <c r="A3701" s="8" t="str">
        <f t="shared" si="174"/>
        <v/>
      </c>
      <c r="B3701" s="9" t="str">
        <f t="shared" si="175"/>
        <v/>
      </c>
      <c r="C3701" s="10" t="str">
        <f t="shared" si="176"/>
        <v/>
      </c>
    </row>
    <row r="3702" spans="1:3" x14ac:dyDescent="0.25">
      <c r="A3702" s="8" t="str">
        <f t="shared" si="174"/>
        <v/>
      </c>
      <c r="B3702" s="9" t="str">
        <f t="shared" si="175"/>
        <v/>
      </c>
      <c r="C3702" s="10" t="str">
        <f t="shared" si="176"/>
        <v/>
      </c>
    </row>
    <row r="3703" spans="1:3" x14ac:dyDescent="0.25">
      <c r="A3703" s="8" t="str">
        <f t="shared" si="174"/>
        <v/>
      </c>
      <c r="B3703" s="9" t="str">
        <f t="shared" si="175"/>
        <v/>
      </c>
      <c r="C3703" s="10" t="str">
        <f t="shared" si="176"/>
        <v/>
      </c>
    </row>
    <row r="3704" spans="1:3" x14ac:dyDescent="0.25">
      <c r="A3704" s="8" t="str">
        <f t="shared" si="174"/>
        <v/>
      </c>
      <c r="B3704" s="9" t="str">
        <f t="shared" si="175"/>
        <v/>
      </c>
      <c r="C3704" s="10" t="str">
        <f t="shared" si="176"/>
        <v/>
      </c>
    </row>
    <row r="3705" spans="1:3" x14ac:dyDescent="0.25">
      <c r="A3705" s="8" t="str">
        <f t="shared" si="174"/>
        <v/>
      </c>
      <c r="B3705" s="9" t="str">
        <f t="shared" si="175"/>
        <v/>
      </c>
      <c r="C3705" s="10" t="str">
        <f t="shared" si="176"/>
        <v/>
      </c>
    </row>
    <row r="3706" spans="1:3" x14ac:dyDescent="0.25">
      <c r="A3706" s="8" t="str">
        <f t="shared" si="174"/>
        <v/>
      </c>
      <c r="B3706" s="9" t="str">
        <f t="shared" si="175"/>
        <v/>
      </c>
      <c r="C3706" s="10" t="str">
        <f t="shared" si="176"/>
        <v/>
      </c>
    </row>
    <row r="3707" spans="1:3" x14ac:dyDescent="0.25">
      <c r="A3707" s="8" t="str">
        <f t="shared" si="174"/>
        <v/>
      </c>
      <c r="B3707" s="9" t="str">
        <f t="shared" si="175"/>
        <v/>
      </c>
      <c r="C3707" s="10" t="str">
        <f t="shared" si="176"/>
        <v/>
      </c>
    </row>
    <row r="3708" spans="1:3" x14ac:dyDescent="0.25">
      <c r="A3708" s="8" t="str">
        <f t="shared" si="174"/>
        <v/>
      </c>
      <c r="B3708" s="9" t="str">
        <f t="shared" si="175"/>
        <v/>
      </c>
      <c r="C3708" s="10" t="str">
        <f t="shared" si="176"/>
        <v/>
      </c>
    </row>
    <row r="3709" spans="1:3" x14ac:dyDescent="0.25">
      <c r="A3709" s="8" t="str">
        <f t="shared" si="174"/>
        <v/>
      </c>
      <c r="B3709" s="9" t="str">
        <f t="shared" si="175"/>
        <v/>
      </c>
      <c r="C3709" s="10" t="str">
        <f t="shared" si="176"/>
        <v/>
      </c>
    </row>
    <row r="3710" spans="1:3" x14ac:dyDescent="0.25">
      <c r="A3710" s="8" t="str">
        <f t="shared" si="174"/>
        <v/>
      </c>
      <c r="B3710" s="9" t="str">
        <f t="shared" si="175"/>
        <v/>
      </c>
      <c r="C3710" s="10" t="str">
        <f t="shared" si="176"/>
        <v/>
      </c>
    </row>
    <row r="3711" spans="1:3" x14ac:dyDescent="0.25">
      <c r="A3711" s="8" t="str">
        <f t="shared" si="174"/>
        <v/>
      </c>
      <c r="B3711" s="9" t="str">
        <f t="shared" si="175"/>
        <v/>
      </c>
      <c r="C3711" s="10" t="str">
        <f t="shared" si="176"/>
        <v/>
      </c>
    </row>
    <row r="3712" spans="1:3" x14ac:dyDescent="0.25">
      <c r="A3712" s="8" t="str">
        <f t="shared" si="174"/>
        <v/>
      </c>
      <c r="B3712" s="9" t="str">
        <f t="shared" si="175"/>
        <v/>
      </c>
      <c r="C3712" s="10" t="str">
        <f t="shared" si="176"/>
        <v/>
      </c>
    </row>
    <row r="3713" spans="1:3" x14ac:dyDescent="0.25">
      <c r="A3713" s="8" t="str">
        <f t="shared" si="174"/>
        <v/>
      </c>
      <c r="B3713" s="9" t="str">
        <f t="shared" si="175"/>
        <v/>
      </c>
      <c r="C3713" s="10" t="str">
        <f t="shared" si="176"/>
        <v/>
      </c>
    </row>
    <row r="3714" spans="1:3" x14ac:dyDescent="0.25">
      <c r="A3714" s="8" t="str">
        <f t="shared" si="174"/>
        <v/>
      </c>
      <c r="B3714" s="9" t="str">
        <f t="shared" si="175"/>
        <v/>
      </c>
      <c r="C3714" s="10" t="str">
        <f t="shared" si="176"/>
        <v/>
      </c>
    </row>
    <row r="3715" spans="1:3" x14ac:dyDescent="0.25">
      <c r="A3715" s="8" t="str">
        <f t="shared" si="174"/>
        <v/>
      </c>
      <c r="B3715" s="9" t="str">
        <f t="shared" si="175"/>
        <v/>
      </c>
      <c r="C3715" s="10" t="str">
        <f t="shared" si="176"/>
        <v/>
      </c>
    </row>
    <row r="3716" spans="1:3" x14ac:dyDescent="0.25">
      <c r="A3716" s="8" t="str">
        <f t="shared" si="174"/>
        <v/>
      </c>
      <c r="B3716" s="9" t="str">
        <f t="shared" si="175"/>
        <v/>
      </c>
      <c r="C3716" s="10" t="str">
        <f t="shared" si="176"/>
        <v/>
      </c>
    </row>
    <row r="3717" spans="1:3" x14ac:dyDescent="0.25">
      <c r="A3717" s="8" t="str">
        <f t="shared" si="174"/>
        <v/>
      </c>
      <c r="B3717" s="9" t="str">
        <f t="shared" si="175"/>
        <v/>
      </c>
      <c r="C3717" s="10" t="str">
        <f t="shared" si="176"/>
        <v/>
      </c>
    </row>
    <row r="3718" spans="1:3" x14ac:dyDescent="0.25">
      <c r="A3718" s="8" t="str">
        <f t="shared" si="174"/>
        <v/>
      </c>
      <c r="B3718" s="9" t="str">
        <f t="shared" si="175"/>
        <v/>
      </c>
      <c r="C3718" s="10" t="str">
        <f t="shared" si="176"/>
        <v/>
      </c>
    </row>
    <row r="3719" spans="1:3" x14ac:dyDescent="0.25">
      <c r="A3719" s="8" t="str">
        <f t="shared" si="174"/>
        <v/>
      </c>
      <c r="B3719" s="9" t="str">
        <f t="shared" si="175"/>
        <v/>
      </c>
      <c r="C3719" s="10" t="str">
        <f t="shared" si="176"/>
        <v/>
      </c>
    </row>
    <row r="3720" spans="1:3" x14ac:dyDescent="0.25">
      <c r="A3720" s="8" t="str">
        <f t="shared" si="174"/>
        <v/>
      </c>
      <c r="B3720" s="9" t="str">
        <f t="shared" si="175"/>
        <v/>
      </c>
      <c r="C3720" s="10" t="str">
        <f t="shared" si="176"/>
        <v/>
      </c>
    </row>
    <row r="3721" spans="1:3" x14ac:dyDescent="0.25">
      <c r="A3721" s="8" t="str">
        <f t="shared" si="174"/>
        <v/>
      </c>
      <c r="B3721" s="9" t="str">
        <f t="shared" si="175"/>
        <v/>
      </c>
      <c r="C3721" s="10" t="str">
        <f t="shared" si="176"/>
        <v/>
      </c>
    </row>
    <row r="3722" spans="1:3" x14ac:dyDescent="0.25">
      <c r="A3722" s="8" t="str">
        <f t="shared" si="174"/>
        <v/>
      </c>
      <c r="B3722" s="9" t="str">
        <f t="shared" si="175"/>
        <v/>
      </c>
      <c r="C3722" s="10" t="str">
        <f t="shared" si="176"/>
        <v/>
      </c>
    </row>
    <row r="3723" spans="1:3" x14ac:dyDescent="0.25">
      <c r="A3723" s="8" t="str">
        <f t="shared" si="174"/>
        <v/>
      </c>
      <c r="B3723" s="9" t="str">
        <f t="shared" si="175"/>
        <v/>
      </c>
      <c r="C3723" s="10" t="str">
        <f t="shared" si="176"/>
        <v/>
      </c>
    </row>
    <row r="3724" spans="1:3" x14ac:dyDescent="0.25">
      <c r="A3724" s="8" t="str">
        <f t="shared" si="174"/>
        <v/>
      </c>
      <c r="B3724" s="9" t="str">
        <f t="shared" si="175"/>
        <v/>
      </c>
      <c r="C3724" s="10" t="str">
        <f t="shared" si="176"/>
        <v/>
      </c>
    </row>
    <row r="3725" spans="1:3" x14ac:dyDescent="0.25">
      <c r="A3725" s="8" t="str">
        <f t="shared" si="174"/>
        <v/>
      </c>
      <c r="B3725" s="9" t="str">
        <f t="shared" si="175"/>
        <v/>
      </c>
      <c r="C3725" s="10" t="str">
        <f t="shared" si="176"/>
        <v/>
      </c>
    </row>
    <row r="3726" spans="1:3" x14ac:dyDescent="0.25">
      <c r="A3726" s="8" t="str">
        <f t="shared" si="174"/>
        <v/>
      </c>
      <c r="B3726" s="9" t="str">
        <f t="shared" si="175"/>
        <v/>
      </c>
      <c r="C3726" s="10" t="str">
        <f t="shared" si="176"/>
        <v/>
      </c>
    </row>
    <row r="3727" spans="1:3" x14ac:dyDescent="0.25">
      <c r="A3727" s="8" t="str">
        <f t="shared" si="174"/>
        <v/>
      </c>
      <c r="B3727" s="9" t="str">
        <f t="shared" si="175"/>
        <v/>
      </c>
      <c r="C3727" s="10" t="str">
        <f t="shared" si="176"/>
        <v/>
      </c>
    </row>
    <row r="3728" spans="1:3" x14ac:dyDescent="0.25">
      <c r="A3728" s="8" t="str">
        <f t="shared" si="174"/>
        <v/>
      </c>
      <c r="B3728" s="9" t="str">
        <f t="shared" si="175"/>
        <v/>
      </c>
      <c r="C3728" s="10" t="str">
        <f t="shared" si="176"/>
        <v/>
      </c>
    </row>
    <row r="3729" spans="1:3" x14ac:dyDescent="0.25">
      <c r="A3729" s="8" t="str">
        <f t="shared" si="174"/>
        <v/>
      </c>
      <c r="B3729" s="9" t="str">
        <f t="shared" si="175"/>
        <v/>
      </c>
      <c r="C3729" s="10" t="str">
        <f t="shared" si="176"/>
        <v/>
      </c>
    </row>
    <row r="3730" spans="1:3" x14ac:dyDescent="0.25">
      <c r="A3730" s="8" t="str">
        <f t="shared" si="174"/>
        <v/>
      </c>
      <c r="B3730" s="9" t="str">
        <f t="shared" si="175"/>
        <v/>
      </c>
      <c r="C3730" s="10" t="str">
        <f t="shared" si="176"/>
        <v/>
      </c>
    </row>
    <row r="3731" spans="1:3" x14ac:dyDescent="0.25">
      <c r="A3731" s="8" t="str">
        <f t="shared" si="174"/>
        <v/>
      </c>
      <c r="B3731" s="9" t="str">
        <f t="shared" si="175"/>
        <v/>
      </c>
      <c r="C3731" s="10" t="str">
        <f t="shared" si="176"/>
        <v/>
      </c>
    </row>
    <row r="3732" spans="1:3" x14ac:dyDescent="0.25">
      <c r="A3732" s="8" t="str">
        <f t="shared" si="174"/>
        <v/>
      </c>
      <c r="B3732" s="9" t="str">
        <f t="shared" si="175"/>
        <v/>
      </c>
      <c r="C3732" s="10" t="str">
        <f t="shared" si="176"/>
        <v/>
      </c>
    </row>
    <row r="3733" spans="1:3" x14ac:dyDescent="0.25">
      <c r="A3733" s="8" t="str">
        <f t="shared" si="174"/>
        <v/>
      </c>
      <c r="B3733" s="9" t="str">
        <f t="shared" si="175"/>
        <v/>
      </c>
      <c r="C3733" s="10" t="str">
        <f t="shared" si="176"/>
        <v/>
      </c>
    </row>
    <row r="3734" spans="1:3" x14ac:dyDescent="0.25">
      <c r="A3734" s="8" t="str">
        <f t="shared" si="174"/>
        <v/>
      </c>
      <c r="B3734" s="9" t="str">
        <f t="shared" si="175"/>
        <v/>
      </c>
      <c r="C3734" s="10" t="str">
        <f t="shared" si="176"/>
        <v/>
      </c>
    </row>
    <row r="3735" spans="1:3" x14ac:dyDescent="0.25">
      <c r="A3735" s="8" t="str">
        <f t="shared" si="174"/>
        <v/>
      </c>
      <c r="B3735" s="9" t="str">
        <f t="shared" si="175"/>
        <v/>
      </c>
      <c r="C3735" s="10" t="str">
        <f t="shared" si="176"/>
        <v/>
      </c>
    </row>
    <row r="3736" spans="1:3" x14ac:dyDescent="0.25">
      <c r="A3736" s="8" t="str">
        <f t="shared" si="174"/>
        <v/>
      </c>
      <c r="B3736" s="9" t="str">
        <f t="shared" si="175"/>
        <v/>
      </c>
      <c r="C3736" s="10" t="str">
        <f t="shared" si="176"/>
        <v/>
      </c>
    </row>
    <row r="3737" spans="1:3" x14ac:dyDescent="0.25">
      <c r="A3737" s="8" t="str">
        <f t="shared" si="174"/>
        <v/>
      </c>
      <c r="B3737" s="9" t="str">
        <f t="shared" si="175"/>
        <v/>
      </c>
      <c r="C3737" s="10" t="str">
        <f t="shared" si="176"/>
        <v/>
      </c>
    </row>
    <row r="3738" spans="1:3" x14ac:dyDescent="0.25">
      <c r="A3738" s="8" t="str">
        <f t="shared" si="174"/>
        <v/>
      </c>
      <c r="B3738" s="9" t="str">
        <f t="shared" si="175"/>
        <v/>
      </c>
      <c r="C3738" s="10" t="str">
        <f t="shared" si="176"/>
        <v/>
      </c>
    </row>
    <row r="3739" spans="1:3" x14ac:dyDescent="0.25">
      <c r="A3739" s="8" t="str">
        <f t="shared" si="174"/>
        <v/>
      </c>
      <c r="B3739" s="9" t="str">
        <f t="shared" si="175"/>
        <v/>
      </c>
      <c r="C3739" s="10" t="str">
        <f t="shared" si="176"/>
        <v/>
      </c>
    </row>
    <row r="3740" spans="1:3" x14ac:dyDescent="0.25">
      <c r="A3740" s="8" t="str">
        <f t="shared" si="174"/>
        <v/>
      </c>
      <c r="B3740" s="9" t="str">
        <f t="shared" si="175"/>
        <v/>
      </c>
      <c r="C3740" s="10" t="str">
        <f t="shared" si="176"/>
        <v/>
      </c>
    </row>
    <row r="3741" spans="1:3" x14ac:dyDescent="0.25">
      <c r="A3741" s="8" t="str">
        <f t="shared" si="174"/>
        <v/>
      </c>
      <c r="B3741" s="9" t="str">
        <f t="shared" si="175"/>
        <v/>
      </c>
      <c r="C3741" s="10" t="str">
        <f t="shared" si="176"/>
        <v/>
      </c>
    </row>
    <row r="3742" spans="1:3" x14ac:dyDescent="0.25">
      <c r="A3742" s="8" t="str">
        <f t="shared" si="174"/>
        <v/>
      </c>
      <c r="B3742" s="9" t="str">
        <f t="shared" si="175"/>
        <v/>
      </c>
      <c r="C3742" s="10" t="str">
        <f t="shared" si="176"/>
        <v/>
      </c>
    </row>
    <row r="3743" spans="1:3" x14ac:dyDescent="0.25">
      <c r="A3743" s="8" t="str">
        <f t="shared" si="174"/>
        <v/>
      </c>
      <c r="B3743" s="9" t="str">
        <f t="shared" si="175"/>
        <v/>
      </c>
      <c r="C3743" s="10" t="str">
        <f t="shared" si="176"/>
        <v/>
      </c>
    </row>
    <row r="3744" spans="1:3" x14ac:dyDescent="0.25">
      <c r="A3744" s="8" t="str">
        <f t="shared" si="174"/>
        <v/>
      </c>
      <c r="B3744" s="9" t="str">
        <f t="shared" si="175"/>
        <v/>
      </c>
      <c r="C3744" s="10" t="str">
        <f t="shared" si="176"/>
        <v/>
      </c>
    </row>
    <row r="3745" spans="1:3" x14ac:dyDescent="0.25">
      <c r="A3745" s="8" t="str">
        <f t="shared" si="174"/>
        <v/>
      </c>
      <c r="B3745" s="9" t="str">
        <f t="shared" si="175"/>
        <v/>
      </c>
      <c r="C3745" s="10" t="str">
        <f t="shared" si="176"/>
        <v/>
      </c>
    </row>
    <row r="3746" spans="1:3" x14ac:dyDescent="0.25">
      <c r="A3746" s="8" t="str">
        <f t="shared" si="174"/>
        <v/>
      </c>
      <c r="B3746" s="9" t="str">
        <f t="shared" si="175"/>
        <v/>
      </c>
      <c r="C3746" s="10" t="str">
        <f t="shared" si="176"/>
        <v/>
      </c>
    </row>
    <row r="3747" spans="1:3" x14ac:dyDescent="0.25">
      <c r="A3747" s="8" t="str">
        <f t="shared" si="174"/>
        <v/>
      </c>
      <c r="B3747" s="9" t="str">
        <f t="shared" si="175"/>
        <v/>
      </c>
      <c r="C3747" s="10" t="str">
        <f t="shared" si="176"/>
        <v/>
      </c>
    </row>
    <row r="3748" spans="1:3" x14ac:dyDescent="0.25">
      <c r="A3748" s="8" t="str">
        <f t="shared" si="174"/>
        <v/>
      </c>
      <c r="B3748" s="9" t="str">
        <f t="shared" si="175"/>
        <v/>
      </c>
      <c r="C3748" s="10" t="str">
        <f t="shared" si="176"/>
        <v/>
      </c>
    </row>
    <row r="3749" spans="1:3" x14ac:dyDescent="0.25">
      <c r="A3749" s="8" t="str">
        <f t="shared" si="174"/>
        <v/>
      </c>
      <c r="B3749" s="9" t="str">
        <f t="shared" si="175"/>
        <v/>
      </c>
      <c r="C3749" s="10" t="str">
        <f t="shared" si="176"/>
        <v/>
      </c>
    </row>
    <row r="3750" spans="1:3" x14ac:dyDescent="0.25">
      <c r="A3750" s="8" t="str">
        <f t="shared" si="174"/>
        <v/>
      </c>
      <c r="B3750" s="9" t="str">
        <f t="shared" si="175"/>
        <v/>
      </c>
      <c r="C3750" s="10" t="str">
        <f t="shared" si="176"/>
        <v/>
      </c>
    </row>
    <row r="3751" spans="1:3" x14ac:dyDescent="0.25">
      <c r="A3751" s="8" t="str">
        <f t="shared" ref="A3751:A3814" si="177">IF(D3751="","",IF(E3751=0,CONCATENATE(D3751,".",E3751,"00"),CONCATENATE(D3751,".",E3751)))</f>
        <v/>
      </c>
      <c r="B3751" s="9" t="str">
        <f t="shared" ref="B3751:B3814" si="178">LEFT(G3751,1)</f>
        <v/>
      </c>
      <c r="C3751" s="10" t="str">
        <f t="shared" ref="C3751:C3814" si="179">IF(F3751="","",IF(B3751="",F3751-4,IF(B3751="1",F3751-4,IF(B3751="2",F3751-3,IF(B3751="3",F3751-2,IF(B3751="4",F3751-1,IF(B3751="V",F3751-7,IF(B3751="J",F3751-8,F3751))))))))</f>
        <v/>
      </c>
    </row>
    <row r="3752" spans="1:3" x14ac:dyDescent="0.25">
      <c r="A3752" s="8" t="str">
        <f t="shared" si="177"/>
        <v/>
      </c>
      <c r="B3752" s="9" t="str">
        <f t="shared" si="178"/>
        <v/>
      </c>
      <c r="C3752" s="10" t="str">
        <f t="shared" si="179"/>
        <v/>
      </c>
    </row>
    <row r="3753" spans="1:3" x14ac:dyDescent="0.25">
      <c r="A3753" s="8" t="str">
        <f t="shared" si="177"/>
        <v/>
      </c>
      <c r="B3753" s="9" t="str">
        <f t="shared" si="178"/>
        <v/>
      </c>
      <c r="C3753" s="10" t="str">
        <f t="shared" si="179"/>
        <v/>
      </c>
    </row>
    <row r="3754" spans="1:3" x14ac:dyDescent="0.25">
      <c r="A3754" s="8" t="str">
        <f t="shared" si="177"/>
        <v/>
      </c>
      <c r="B3754" s="9" t="str">
        <f t="shared" si="178"/>
        <v/>
      </c>
      <c r="C3754" s="10" t="str">
        <f t="shared" si="179"/>
        <v/>
      </c>
    </row>
    <row r="3755" spans="1:3" x14ac:dyDescent="0.25">
      <c r="A3755" s="8" t="str">
        <f t="shared" si="177"/>
        <v/>
      </c>
      <c r="B3755" s="9" t="str">
        <f t="shared" si="178"/>
        <v/>
      </c>
      <c r="C3755" s="10" t="str">
        <f t="shared" si="179"/>
        <v/>
      </c>
    </row>
    <row r="3756" spans="1:3" x14ac:dyDescent="0.25">
      <c r="A3756" s="8" t="str">
        <f t="shared" si="177"/>
        <v/>
      </c>
      <c r="B3756" s="9" t="str">
        <f t="shared" si="178"/>
        <v/>
      </c>
      <c r="C3756" s="10" t="str">
        <f t="shared" si="179"/>
        <v/>
      </c>
    </row>
    <row r="3757" spans="1:3" x14ac:dyDescent="0.25">
      <c r="A3757" s="8" t="str">
        <f t="shared" si="177"/>
        <v/>
      </c>
      <c r="B3757" s="9" t="str">
        <f t="shared" si="178"/>
        <v/>
      </c>
      <c r="C3757" s="10" t="str">
        <f t="shared" si="179"/>
        <v/>
      </c>
    </row>
    <row r="3758" spans="1:3" x14ac:dyDescent="0.25">
      <c r="A3758" s="8" t="str">
        <f t="shared" si="177"/>
        <v/>
      </c>
      <c r="B3758" s="9" t="str">
        <f t="shared" si="178"/>
        <v/>
      </c>
      <c r="C3758" s="10" t="str">
        <f t="shared" si="179"/>
        <v/>
      </c>
    </row>
    <row r="3759" spans="1:3" x14ac:dyDescent="0.25">
      <c r="A3759" s="8" t="str">
        <f t="shared" si="177"/>
        <v/>
      </c>
      <c r="B3759" s="9" t="str">
        <f t="shared" si="178"/>
        <v/>
      </c>
      <c r="C3759" s="10" t="str">
        <f t="shared" si="179"/>
        <v/>
      </c>
    </row>
    <row r="3760" spans="1:3" x14ac:dyDescent="0.25">
      <c r="A3760" s="8" t="str">
        <f t="shared" si="177"/>
        <v/>
      </c>
      <c r="B3760" s="9" t="str">
        <f t="shared" si="178"/>
        <v/>
      </c>
      <c r="C3760" s="10" t="str">
        <f t="shared" si="179"/>
        <v/>
      </c>
    </row>
    <row r="3761" spans="1:3" x14ac:dyDescent="0.25">
      <c r="A3761" s="8" t="str">
        <f t="shared" si="177"/>
        <v/>
      </c>
      <c r="B3761" s="9" t="str">
        <f t="shared" si="178"/>
        <v/>
      </c>
      <c r="C3761" s="10" t="str">
        <f t="shared" si="179"/>
        <v/>
      </c>
    </row>
    <row r="3762" spans="1:3" x14ac:dyDescent="0.25">
      <c r="A3762" s="8" t="str">
        <f t="shared" si="177"/>
        <v/>
      </c>
      <c r="B3762" s="9" t="str">
        <f t="shared" si="178"/>
        <v/>
      </c>
      <c r="C3762" s="10" t="str">
        <f t="shared" si="179"/>
        <v/>
      </c>
    </row>
    <row r="3763" spans="1:3" x14ac:dyDescent="0.25">
      <c r="A3763" s="8" t="str">
        <f t="shared" si="177"/>
        <v/>
      </c>
      <c r="B3763" s="9" t="str">
        <f t="shared" si="178"/>
        <v/>
      </c>
      <c r="C3763" s="10" t="str">
        <f t="shared" si="179"/>
        <v/>
      </c>
    </row>
    <row r="3764" spans="1:3" x14ac:dyDescent="0.25">
      <c r="A3764" s="8" t="str">
        <f t="shared" si="177"/>
        <v/>
      </c>
      <c r="B3764" s="9" t="str">
        <f t="shared" si="178"/>
        <v/>
      </c>
      <c r="C3764" s="10" t="str">
        <f t="shared" si="179"/>
        <v/>
      </c>
    </row>
    <row r="3765" spans="1:3" x14ac:dyDescent="0.25">
      <c r="A3765" s="8" t="str">
        <f t="shared" si="177"/>
        <v/>
      </c>
      <c r="B3765" s="9" t="str">
        <f t="shared" si="178"/>
        <v/>
      </c>
      <c r="C3765" s="10" t="str">
        <f t="shared" si="179"/>
        <v/>
      </c>
    </row>
    <row r="3766" spans="1:3" x14ac:dyDescent="0.25">
      <c r="A3766" s="8" t="str">
        <f t="shared" si="177"/>
        <v/>
      </c>
      <c r="B3766" s="9" t="str">
        <f t="shared" si="178"/>
        <v/>
      </c>
      <c r="C3766" s="10" t="str">
        <f t="shared" si="179"/>
        <v/>
      </c>
    </row>
    <row r="3767" spans="1:3" x14ac:dyDescent="0.25">
      <c r="A3767" s="8" t="str">
        <f t="shared" si="177"/>
        <v/>
      </c>
      <c r="B3767" s="9" t="str">
        <f t="shared" si="178"/>
        <v/>
      </c>
      <c r="C3767" s="10" t="str">
        <f t="shared" si="179"/>
        <v/>
      </c>
    </row>
    <row r="3768" spans="1:3" x14ac:dyDescent="0.25">
      <c r="A3768" s="8" t="str">
        <f t="shared" si="177"/>
        <v/>
      </c>
      <c r="B3768" s="9" t="str">
        <f t="shared" si="178"/>
        <v/>
      </c>
      <c r="C3768" s="10" t="str">
        <f t="shared" si="179"/>
        <v/>
      </c>
    </row>
    <row r="3769" spans="1:3" x14ac:dyDescent="0.25">
      <c r="A3769" s="8" t="str">
        <f t="shared" si="177"/>
        <v/>
      </c>
      <c r="B3769" s="9" t="str">
        <f t="shared" si="178"/>
        <v/>
      </c>
      <c r="C3769" s="10" t="str">
        <f t="shared" si="179"/>
        <v/>
      </c>
    </row>
    <row r="3770" spans="1:3" x14ac:dyDescent="0.25">
      <c r="A3770" s="8" t="str">
        <f t="shared" si="177"/>
        <v/>
      </c>
      <c r="B3770" s="9" t="str">
        <f t="shared" si="178"/>
        <v/>
      </c>
      <c r="C3770" s="10" t="str">
        <f t="shared" si="179"/>
        <v/>
      </c>
    </row>
    <row r="3771" spans="1:3" x14ac:dyDescent="0.25">
      <c r="A3771" s="8" t="str">
        <f t="shared" si="177"/>
        <v/>
      </c>
      <c r="B3771" s="9" t="str">
        <f t="shared" si="178"/>
        <v/>
      </c>
      <c r="C3771" s="10" t="str">
        <f t="shared" si="179"/>
        <v/>
      </c>
    </row>
    <row r="3772" spans="1:3" x14ac:dyDescent="0.25">
      <c r="A3772" s="8" t="str">
        <f t="shared" si="177"/>
        <v/>
      </c>
      <c r="B3772" s="9" t="str">
        <f t="shared" si="178"/>
        <v/>
      </c>
      <c r="C3772" s="10" t="str">
        <f t="shared" si="179"/>
        <v/>
      </c>
    </row>
    <row r="3773" spans="1:3" x14ac:dyDescent="0.25">
      <c r="A3773" s="8" t="str">
        <f t="shared" si="177"/>
        <v/>
      </c>
      <c r="B3773" s="9" t="str">
        <f t="shared" si="178"/>
        <v/>
      </c>
      <c r="C3773" s="10" t="str">
        <f t="shared" si="179"/>
        <v/>
      </c>
    </row>
    <row r="3774" spans="1:3" x14ac:dyDescent="0.25">
      <c r="A3774" s="8" t="str">
        <f t="shared" si="177"/>
        <v/>
      </c>
      <c r="B3774" s="9" t="str">
        <f t="shared" si="178"/>
        <v/>
      </c>
      <c r="C3774" s="10" t="str">
        <f t="shared" si="179"/>
        <v/>
      </c>
    </row>
    <row r="3775" spans="1:3" x14ac:dyDescent="0.25">
      <c r="A3775" s="8" t="str">
        <f t="shared" si="177"/>
        <v/>
      </c>
      <c r="B3775" s="9" t="str">
        <f t="shared" si="178"/>
        <v/>
      </c>
      <c r="C3775" s="10" t="str">
        <f t="shared" si="179"/>
        <v/>
      </c>
    </row>
    <row r="3776" spans="1:3" x14ac:dyDescent="0.25">
      <c r="A3776" s="8" t="str">
        <f t="shared" si="177"/>
        <v/>
      </c>
      <c r="B3776" s="9" t="str">
        <f t="shared" si="178"/>
        <v/>
      </c>
      <c r="C3776" s="10" t="str">
        <f t="shared" si="179"/>
        <v/>
      </c>
    </row>
    <row r="3777" spans="1:3" x14ac:dyDescent="0.25">
      <c r="A3777" s="8" t="str">
        <f t="shared" si="177"/>
        <v/>
      </c>
      <c r="B3777" s="9" t="str">
        <f t="shared" si="178"/>
        <v/>
      </c>
      <c r="C3777" s="10" t="str">
        <f t="shared" si="179"/>
        <v/>
      </c>
    </row>
    <row r="3778" spans="1:3" x14ac:dyDescent="0.25">
      <c r="A3778" s="8" t="str">
        <f t="shared" si="177"/>
        <v/>
      </c>
      <c r="B3778" s="9" t="str">
        <f t="shared" si="178"/>
        <v/>
      </c>
      <c r="C3778" s="10" t="str">
        <f t="shared" si="179"/>
        <v/>
      </c>
    </row>
    <row r="3779" spans="1:3" x14ac:dyDescent="0.25">
      <c r="A3779" s="8" t="str">
        <f t="shared" si="177"/>
        <v/>
      </c>
      <c r="B3779" s="9" t="str">
        <f t="shared" si="178"/>
        <v/>
      </c>
      <c r="C3779" s="10" t="str">
        <f t="shared" si="179"/>
        <v/>
      </c>
    </row>
    <row r="3780" spans="1:3" x14ac:dyDescent="0.25">
      <c r="A3780" s="8" t="str">
        <f t="shared" si="177"/>
        <v/>
      </c>
      <c r="B3780" s="9" t="str">
        <f t="shared" si="178"/>
        <v/>
      </c>
      <c r="C3780" s="10" t="str">
        <f t="shared" si="179"/>
        <v/>
      </c>
    </row>
    <row r="3781" spans="1:3" x14ac:dyDescent="0.25">
      <c r="A3781" s="8" t="str">
        <f t="shared" si="177"/>
        <v/>
      </c>
      <c r="B3781" s="9" t="str">
        <f t="shared" si="178"/>
        <v/>
      </c>
      <c r="C3781" s="10" t="str">
        <f t="shared" si="179"/>
        <v/>
      </c>
    </row>
    <row r="3782" spans="1:3" x14ac:dyDescent="0.25">
      <c r="A3782" s="8" t="str">
        <f t="shared" si="177"/>
        <v/>
      </c>
      <c r="B3782" s="9" t="str">
        <f t="shared" si="178"/>
        <v/>
      </c>
      <c r="C3782" s="10" t="str">
        <f t="shared" si="179"/>
        <v/>
      </c>
    </row>
    <row r="3783" spans="1:3" x14ac:dyDescent="0.25">
      <c r="A3783" s="8" t="str">
        <f t="shared" si="177"/>
        <v/>
      </c>
      <c r="B3783" s="9" t="str">
        <f t="shared" si="178"/>
        <v/>
      </c>
      <c r="C3783" s="10" t="str">
        <f t="shared" si="179"/>
        <v/>
      </c>
    </row>
    <row r="3784" spans="1:3" x14ac:dyDescent="0.25">
      <c r="A3784" s="8" t="str">
        <f t="shared" si="177"/>
        <v/>
      </c>
      <c r="B3784" s="9" t="str">
        <f t="shared" si="178"/>
        <v/>
      </c>
      <c r="C3784" s="10" t="str">
        <f t="shared" si="179"/>
        <v/>
      </c>
    </row>
    <row r="3785" spans="1:3" x14ac:dyDescent="0.25">
      <c r="A3785" s="8" t="str">
        <f t="shared" si="177"/>
        <v/>
      </c>
      <c r="B3785" s="9" t="str">
        <f t="shared" si="178"/>
        <v/>
      </c>
      <c r="C3785" s="10" t="str">
        <f t="shared" si="179"/>
        <v/>
      </c>
    </row>
    <row r="3786" spans="1:3" x14ac:dyDescent="0.25">
      <c r="A3786" s="8" t="str">
        <f t="shared" si="177"/>
        <v/>
      </c>
      <c r="B3786" s="9" t="str">
        <f t="shared" si="178"/>
        <v/>
      </c>
      <c r="C3786" s="10" t="str">
        <f t="shared" si="179"/>
        <v/>
      </c>
    </row>
    <row r="3787" spans="1:3" x14ac:dyDescent="0.25">
      <c r="A3787" s="8" t="str">
        <f t="shared" si="177"/>
        <v/>
      </c>
      <c r="B3787" s="9" t="str">
        <f t="shared" si="178"/>
        <v/>
      </c>
      <c r="C3787" s="10" t="str">
        <f t="shared" si="179"/>
        <v/>
      </c>
    </row>
    <row r="3788" spans="1:3" x14ac:dyDescent="0.25">
      <c r="A3788" s="8" t="str">
        <f t="shared" si="177"/>
        <v/>
      </c>
      <c r="B3788" s="9" t="str">
        <f t="shared" si="178"/>
        <v/>
      </c>
      <c r="C3788" s="10" t="str">
        <f t="shared" si="179"/>
        <v/>
      </c>
    </row>
    <row r="3789" spans="1:3" x14ac:dyDescent="0.25">
      <c r="A3789" s="8" t="str">
        <f t="shared" si="177"/>
        <v/>
      </c>
      <c r="B3789" s="9" t="str">
        <f t="shared" si="178"/>
        <v/>
      </c>
      <c r="C3789" s="10" t="str">
        <f t="shared" si="179"/>
        <v/>
      </c>
    </row>
    <row r="3790" spans="1:3" x14ac:dyDescent="0.25">
      <c r="A3790" s="8" t="str">
        <f t="shared" si="177"/>
        <v/>
      </c>
      <c r="B3790" s="9" t="str">
        <f t="shared" si="178"/>
        <v/>
      </c>
      <c r="C3790" s="10" t="str">
        <f t="shared" si="179"/>
        <v/>
      </c>
    </row>
    <row r="3791" spans="1:3" x14ac:dyDescent="0.25">
      <c r="A3791" s="8" t="str">
        <f t="shared" si="177"/>
        <v/>
      </c>
      <c r="B3791" s="9" t="str">
        <f t="shared" si="178"/>
        <v/>
      </c>
      <c r="C3791" s="10" t="str">
        <f t="shared" si="179"/>
        <v/>
      </c>
    </row>
    <row r="3792" spans="1:3" x14ac:dyDescent="0.25">
      <c r="A3792" s="8" t="str">
        <f t="shared" si="177"/>
        <v/>
      </c>
      <c r="B3792" s="9" t="str">
        <f t="shared" si="178"/>
        <v/>
      </c>
      <c r="C3792" s="10" t="str">
        <f t="shared" si="179"/>
        <v/>
      </c>
    </row>
    <row r="3793" spans="1:3" x14ac:dyDescent="0.25">
      <c r="A3793" s="8" t="str">
        <f t="shared" si="177"/>
        <v/>
      </c>
      <c r="B3793" s="9" t="str">
        <f t="shared" si="178"/>
        <v/>
      </c>
      <c r="C3793" s="10" t="str">
        <f t="shared" si="179"/>
        <v/>
      </c>
    </row>
    <row r="3794" spans="1:3" x14ac:dyDescent="0.25">
      <c r="A3794" s="8" t="str">
        <f t="shared" si="177"/>
        <v/>
      </c>
      <c r="B3794" s="9" t="str">
        <f t="shared" si="178"/>
        <v/>
      </c>
      <c r="C3794" s="10" t="str">
        <f t="shared" si="179"/>
        <v/>
      </c>
    </row>
    <row r="3795" spans="1:3" x14ac:dyDescent="0.25">
      <c r="A3795" s="8" t="str">
        <f t="shared" si="177"/>
        <v/>
      </c>
      <c r="B3795" s="9" t="str">
        <f t="shared" si="178"/>
        <v/>
      </c>
      <c r="C3795" s="10" t="str">
        <f t="shared" si="179"/>
        <v/>
      </c>
    </row>
    <row r="3796" spans="1:3" x14ac:dyDescent="0.25">
      <c r="A3796" s="8" t="str">
        <f t="shared" si="177"/>
        <v/>
      </c>
      <c r="B3796" s="9" t="str">
        <f t="shared" si="178"/>
        <v/>
      </c>
      <c r="C3796" s="10" t="str">
        <f t="shared" si="179"/>
        <v/>
      </c>
    </row>
    <row r="3797" spans="1:3" x14ac:dyDescent="0.25">
      <c r="A3797" s="8" t="str">
        <f t="shared" si="177"/>
        <v/>
      </c>
      <c r="B3797" s="9" t="str">
        <f t="shared" si="178"/>
        <v/>
      </c>
      <c r="C3797" s="10" t="str">
        <f t="shared" si="179"/>
        <v/>
      </c>
    </row>
    <row r="3798" spans="1:3" x14ac:dyDescent="0.25">
      <c r="A3798" s="8" t="str">
        <f t="shared" si="177"/>
        <v/>
      </c>
      <c r="B3798" s="9" t="str">
        <f t="shared" si="178"/>
        <v/>
      </c>
      <c r="C3798" s="10" t="str">
        <f t="shared" si="179"/>
        <v/>
      </c>
    </row>
    <row r="3799" spans="1:3" x14ac:dyDescent="0.25">
      <c r="A3799" s="8" t="str">
        <f t="shared" si="177"/>
        <v/>
      </c>
      <c r="B3799" s="9" t="str">
        <f t="shared" si="178"/>
        <v/>
      </c>
      <c r="C3799" s="10" t="str">
        <f t="shared" si="179"/>
        <v/>
      </c>
    </row>
    <row r="3800" spans="1:3" x14ac:dyDescent="0.25">
      <c r="A3800" s="8" t="str">
        <f t="shared" si="177"/>
        <v/>
      </c>
      <c r="B3800" s="9" t="str">
        <f t="shared" si="178"/>
        <v/>
      </c>
      <c r="C3800" s="10" t="str">
        <f t="shared" si="179"/>
        <v/>
      </c>
    </row>
    <row r="3801" spans="1:3" x14ac:dyDescent="0.25">
      <c r="A3801" s="8" t="str">
        <f t="shared" si="177"/>
        <v/>
      </c>
      <c r="B3801" s="9" t="str">
        <f t="shared" si="178"/>
        <v/>
      </c>
      <c r="C3801" s="10" t="str">
        <f t="shared" si="179"/>
        <v/>
      </c>
    </row>
    <row r="3802" spans="1:3" x14ac:dyDescent="0.25">
      <c r="A3802" s="8" t="str">
        <f t="shared" si="177"/>
        <v/>
      </c>
      <c r="B3802" s="9" t="str">
        <f t="shared" si="178"/>
        <v/>
      </c>
      <c r="C3802" s="10" t="str">
        <f t="shared" si="179"/>
        <v/>
      </c>
    </row>
    <row r="3803" spans="1:3" x14ac:dyDescent="0.25">
      <c r="A3803" s="8" t="str">
        <f t="shared" si="177"/>
        <v/>
      </c>
      <c r="B3803" s="9" t="str">
        <f t="shared" si="178"/>
        <v/>
      </c>
      <c r="C3803" s="10" t="str">
        <f t="shared" si="179"/>
        <v/>
      </c>
    </row>
    <row r="3804" spans="1:3" x14ac:dyDescent="0.25">
      <c r="A3804" s="8" t="str">
        <f t="shared" si="177"/>
        <v/>
      </c>
      <c r="B3804" s="9" t="str">
        <f t="shared" si="178"/>
        <v/>
      </c>
      <c r="C3804" s="10" t="str">
        <f t="shared" si="179"/>
        <v/>
      </c>
    </row>
    <row r="3805" spans="1:3" x14ac:dyDescent="0.25">
      <c r="A3805" s="8" t="str">
        <f t="shared" si="177"/>
        <v/>
      </c>
      <c r="B3805" s="9" t="str">
        <f t="shared" si="178"/>
        <v/>
      </c>
      <c r="C3805" s="10" t="str">
        <f t="shared" si="179"/>
        <v/>
      </c>
    </row>
    <row r="3806" spans="1:3" x14ac:dyDescent="0.25">
      <c r="A3806" s="8" t="str">
        <f t="shared" si="177"/>
        <v/>
      </c>
      <c r="B3806" s="9" t="str">
        <f t="shared" si="178"/>
        <v/>
      </c>
      <c r="C3806" s="10" t="str">
        <f t="shared" si="179"/>
        <v/>
      </c>
    </row>
    <row r="3807" spans="1:3" x14ac:dyDescent="0.25">
      <c r="A3807" s="8" t="str">
        <f t="shared" si="177"/>
        <v/>
      </c>
      <c r="B3807" s="9" t="str">
        <f t="shared" si="178"/>
        <v/>
      </c>
      <c r="C3807" s="10" t="str">
        <f t="shared" si="179"/>
        <v/>
      </c>
    </row>
    <row r="3808" spans="1:3" x14ac:dyDescent="0.25">
      <c r="A3808" s="8" t="str">
        <f t="shared" si="177"/>
        <v/>
      </c>
      <c r="B3808" s="9" t="str">
        <f t="shared" si="178"/>
        <v/>
      </c>
      <c r="C3808" s="10" t="str">
        <f t="shared" si="179"/>
        <v/>
      </c>
    </row>
    <row r="3809" spans="1:3" x14ac:dyDescent="0.25">
      <c r="A3809" s="8" t="str">
        <f t="shared" si="177"/>
        <v/>
      </c>
      <c r="B3809" s="9" t="str">
        <f t="shared" si="178"/>
        <v/>
      </c>
      <c r="C3809" s="10" t="str">
        <f t="shared" si="179"/>
        <v/>
      </c>
    </row>
    <row r="3810" spans="1:3" x14ac:dyDescent="0.25">
      <c r="A3810" s="8" t="str">
        <f t="shared" si="177"/>
        <v/>
      </c>
      <c r="B3810" s="9" t="str">
        <f t="shared" si="178"/>
        <v/>
      </c>
      <c r="C3810" s="10" t="str">
        <f t="shared" si="179"/>
        <v/>
      </c>
    </row>
    <row r="3811" spans="1:3" x14ac:dyDescent="0.25">
      <c r="A3811" s="8" t="str">
        <f t="shared" si="177"/>
        <v/>
      </c>
      <c r="B3811" s="9" t="str">
        <f t="shared" si="178"/>
        <v/>
      </c>
      <c r="C3811" s="10" t="str">
        <f t="shared" si="179"/>
        <v/>
      </c>
    </row>
    <row r="3812" spans="1:3" x14ac:dyDescent="0.25">
      <c r="A3812" s="8" t="str">
        <f t="shared" si="177"/>
        <v/>
      </c>
      <c r="B3812" s="9" t="str">
        <f t="shared" si="178"/>
        <v/>
      </c>
      <c r="C3812" s="10" t="str">
        <f t="shared" si="179"/>
        <v/>
      </c>
    </row>
    <row r="3813" spans="1:3" x14ac:dyDescent="0.25">
      <c r="A3813" s="8" t="str">
        <f t="shared" si="177"/>
        <v/>
      </c>
      <c r="B3813" s="9" t="str">
        <f t="shared" si="178"/>
        <v/>
      </c>
      <c r="C3813" s="10" t="str">
        <f t="shared" si="179"/>
        <v/>
      </c>
    </row>
    <row r="3814" spans="1:3" x14ac:dyDescent="0.25">
      <c r="A3814" s="8" t="str">
        <f t="shared" si="177"/>
        <v/>
      </c>
      <c r="B3814" s="9" t="str">
        <f t="shared" si="178"/>
        <v/>
      </c>
      <c r="C3814" s="10" t="str">
        <f t="shared" si="179"/>
        <v/>
      </c>
    </row>
    <row r="3815" spans="1:3" x14ac:dyDescent="0.25">
      <c r="A3815" s="8" t="str">
        <f t="shared" ref="A3815:A3878" si="180">IF(D3815="","",IF(E3815=0,CONCATENATE(D3815,".",E3815,"00"),CONCATENATE(D3815,".",E3815)))</f>
        <v/>
      </c>
      <c r="B3815" s="9" t="str">
        <f t="shared" ref="B3815:B3878" si="181">LEFT(G3815,1)</f>
        <v/>
      </c>
      <c r="C3815" s="10" t="str">
        <f t="shared" ref="C3815:C3878" si="182">IF(F3815="","",IF(B3815="",F3815-4,IF(B3815="1",F3815-4,IF(B3815="2",F3815-3,IF(B3815="3",F3815-2,IF(B3815="4",F3815-1,IF(B3815="V",F3815-7,IF(B3815="J",F3815-8,F3815))))))))</f>
        <v/>
      </c>
    </row>
    <row r="3816" spans="1:3" x14ac:dyDescent="0.25">
      <c r="A3816" s="8" t="str">
        <f t="shared" si="180"/>
        <v/>
      </c>
      <c r="B3816" s="9" t="str">
        <f t="shared" si="181"/>
        <v/>
      </c>
      <c r="C3816" s="10" t="str">
        <f t="shared" si="182"/>
        <v/>
      </c>
    </row>
    <row r="3817" spans="1:3" x14ac:dyDescent="0.25">
      <c r="A3817" s="8" t="str">
        <f t="shared" si="180"/>
        <v/>
      </c>
      <c r="B3817" s="9" t="str">
        <f t="shared" si="181"/>
        <v/>
      </c>
      <c r="C3817" s="10" t="str">
        <f t="shared" si="182"/>
        <v/>
      </c>
    </row>
    <row r="3818" spans="1:3" x14ac:dyDescent="0.25">
      <c r="A3818" s="8" t="str">
        <f t="shared" si="180"/>
        <v/>
      </c>
      <c r="B3818" s="9" t="str">
        <f t="shared" si="181"/>
        <v/>
      </c>
      <c r="C3818" s="10" t="str">
        <f t="shared" si="182"/>
        <v/>
      </c>
    </row>
    <row r="3819" spans="1:3" x14ac:dyDescent="0.25">
      <c r="A3819" s="8" t="str">
        <f t="shared" si="180"/>
        <v/>
      </c>
      <c r="B3819" s="9" t="str">
        <f t="shared" si="181"/>
        <v/>
      </c>
      <c r="C3819" s="10" t="str">
        <f t="shared" si="182"/>
        <v/>
      </c>
    </row>
    <row r="3820" spans="1:3" x14ac:dyDescent="0.25">
      <c r="A3820" s="8" t="str">
        <f t="shared" si="180"/>
        <v/>
      </c>
      <c r="B3820" s="9" t="str">
        <f t="shared" si="181"/>
        <v/>
      </c>
      <c r="C3820" s="10" t="str">
        <f t="shared" si="182"/>
        <v/>
      </c>
    </row>
    <row r="3821" spans="1:3" x14ac:dyDescent="0.25">
      <c r="A3821" s="8" t="str">
        <f t="shared" si="180"/>
        <v/>
      </c>
      <c r="B3821" s="9" t="str">
        <f t="shared" si="181"/>
        <v/>
      </c>
      <c r="C3821" s="10" t="str">
        <f t="shared" si="182"/>
        <v/>
      </c>
    </row>
    <row r="3822" spans="1:3" x14ac:dyDescent="0.25">
      <c r="A3822" s="8" t="str">
        <f t="shared" si="180"/>
        <v/>
      </c>
      <c r="B3822" s="9" t="str">
        <f t="shared" si="181"/>
        <v/>
      </c>
      <c r="C3822" s="10" t="str">
        <f t="shared" si="182"/>
        <v/>
      </c>
    </row>
    <row r="3823" spans="1:3" x14ac:dyDescent="0.25">
      <c r="A3823" s="8" t="str">
        <f t="shared" si="180"/>
        <v/>
      </c>
      <c r="B3823" s="9" t="str">
        <f t="shared" si="181"/>
        <v/>
      </c>
      <c r="C3823" s="10" t="str">
        <f t="shared" si="182"/>
        <v/>
      </c>
    </row>
    <row r="3824" spans="1:3" x14ac:dyDescent="0.25">
      <c r="A3824" s="8" t="str">
        <f t="shared" si="180"/>
        <v/>
      </c>
      <c r="B3824" s="9" t="str">
        <f t="shared" si="181"/>
        <v/>
      </c>
      <c r="C3824" s="10" t="str">
        <f t="shared" si="182"/>
        <v/>
      </c>
    </row>
    <row r="3825" spans="1:3" x14ac:dyDescent="0.25">
      <c r="A3825" s="8" t="str">
        <f t="shared" si="180"/>
        <v/>
      </c>
      <c r="B3825" s="9" t="str">
        <f t="shared" si="181"/>
        <v/>
      </c>
      <c r="C3825" s="10" t="str">
        <f t="shared" si="182"/>
        <v/>
      </c>
    </row>
    <row r="3826" spans="1:3" x14ac:dyDescent="0.25">
      <c r="A3826" s="8" t="str">
        <f t="shared" si="180"/>
        <v/>
      </c>
      <c r="B3826" s="9" t="str">
        <f t="shared" si="181"/>
        <v/>
      </c>
      <c r="C3826" s="10" t="str">
        <f t="shared" si="182"/>
        <v/>
      </c>
    </row>
    <row r="3827" spans="1:3" x14ac:dyDescent="0.25">
      <c r="A3827" s="8" t="str">
        <f t="shared" si="180"/>
        <v/>
      </c>
      <c r="B3827" s="9" t="str">
        <f t="shared" si="181"/>
        <v/>
      </c>
      <c r="C3827" s="10" t="str">
        <f t="shared" si="182"/>
        <v/>
      </c>
    </row>
    <row r="3828" spans="1:3" x14ac:dyDescent="0.25">
      <c r="A3828" s="8" t="str">
        <f t="shared" si="180"/>
        <v/>
      </c>
      <c r="B3828" s="9" t="str">
        <f t="shared" si="181"/>
        <v/>
      </c>
      <c r="C3828" s="10" t="str">
        <f t="shared" si="182"/>
        <v/>
      </c>
    </row>
    <row r="3829" spans="1:3" x14ac:dyDescent="0.25">
      <c r="A3829" s="8" t="str">
        <f t="shared" si="180"/>
        <v/>
      </c>
      <c r="B3829" s="9" t="str">
        <f t="shared" si="181"/>
        <v/>
      </c>
      <c r="C3829" s="10" t="str">
        <f t="shared" si="182"/>
        <v/>
      </c>
    </row>
    <row r="3830" spans="1:3" x14ac:dyDescent="0.25">
      <c r="A3830" s="8" t="str">
        <f t="shared" si="180"/>
        <v/>
      </c>
      <c r="B3830" s="9" t="str">
        <f t="shared" si="181"/>
        <v/>
      </c>
      <c r="C3830" s="10" t="str">
        <f t="shared" si="182"/>
        <v/>
      </c>
    </row>
    <row r="3831" spans="1:3" x14ac:dyDescent="0.25">
      <c r="A3831" s="8" t="str">
        <f t="shared" si="180"/>
        <v/>
      </c>
      <c r="B3831" s="9" t="str">
        <f t="shared" si="181"/>
        <v/>
      </c>
      <c r="C3831" s="10" t="str">
        <f t="shared" si="182"/>
        <v/>
      </c>
    </row>
    <row r="3832" spans="1:3" x14ac:dyDescent="0.25">
      <c r="A3832" s="8" t="str">
        <f t="shared" si="180"/>
        <v/>
      </c>
      <c r="B3832" s="9" t="str">
        <f t="shared" si="181"/>
        <v/>
      </c>
      <c r="C3832" s="10" t="str">
        <f t="shared" si="182"/>
        <v/>
      </c>
    </row>
    <row r="3833" spans="1:3" x14ac:dyDescent="0.25">
      <c r="A3833" s="8" t="str">
        <f t="shared" si="180"/>
        <v/>
      </c>
      <c r="B3833" s="9" t="str">
        <f t="shared" si="181"/>
        <v/>
      </c>
      <c r="C3833" s="10" t="str">
        <f t="shared" si="182"/>
        <v/>
      </c>
    </row>
    <row r="3834" spans="1:3" x14ac:dyDescent="0.25">
      <c r="A3834" s="8" t="str">
        <f t="shared" si="180"/>
        <v/>
      </c>
      <c r="B3834" s="9" t="str">
        <f t="shared" si="181"/>
        <v/>
      </c>
      <c r="C3834" s="10" t="str">
        <f t="shared" si="182"/>
        <v/>
      </c>
    </row>
    <row r="3835" spans="1:3" x14ac:dyDescent="0.25">
      <c r="A3835" s="8" t="str">
        <f t="shared" si="180"/>
        <v/>
      </c>
      <c r="B3835" s="9" t="str">
        <f t="shared" si="181"/>
        <v/>
      </c>
      <c r="C3835" s="10" t="str">
        <f t="shared" si="182"/>
        <v/>
      </c>
    </row>
    <row r="3836" spans="1:3" x14ac:dyDescent="0.25">
      <c r="A3836" s="8" t="str">
        <f t="shared" si="180"/>
        <v/>
      </c>
      <c r="B3836" s="9" t="str">
        <f t="shared" si="181"/>
        <v/>
      </c>
      <c r="C3836" s="10" t="str">
        <f t="shared" si="182"/>
        <v/>
      </c>
    </row>
    <row r="3837" spans="1:3" x14ac:dyDescent="0.25">
      <c r="A3837" s="8" t="str">
        <f t="shared" si="180"/>
        <v/>
      </c>
      <c r="B3837" s="9" t="str">
        <f t="shared" si="181"/>
        <v/>
      </c>
      <c r="C3837" s="10" t="str">
        <f t="shared" si="182"/>
        <v/>
      </c>
    </row>
    <row r="3838" spans="1:3" x14ac:dyDescent="0.25">
      <c r="A3838" s="8" t="str">
        <f t="shared" si="180"/>
        <v/>
      </c>
      <c r="B3838" s="9" t="str">
        <f t="shared" si="181"/>
        <v/>
      </c>
      <c r="C3838" s="10" t="str">
        <f t="shared" si="182"/>
        <v/>
      </c>
    </row>
    <row r="3839" spans="1:3" x14ac:dyDescent="0.25">
      <c r="A3839" s="8" t="str">
        <f t="shared" si="180"/>
        <v/>
      </c>
      <c r="B3839" s="9" t="str">
        <f t="shared" si="181"/>
        <v/>
      </c>
      <c r="C3839" s="10" t="str">
        <f t="shared" si="182"/>
        <v/>
      </c>
    </row>
    <row r="3840" spans="1:3" x14ac:dyDescent="0.25">
      <c r="A3840" s="8" t="str">
        <f t="shared" si="180"/>
        <v/>
      </c>
      <c r="B3840" s="9" t="str">
        <f t="shared" si="181"/>
        <v/>
      </c>
      <c r="C3840" s="10" t="str">
        <f t="shared" si="182"/>
        <v/>
      </c>
    </row>
    <row r="3841" spans="1:3" x14ac:dyDescent="0.25">
      <c r="A3841" s="8" t="str">
        <f t="shared" si="180"/>
        <v/>
      </c>
      <c r="B3841" s="9" t="str">
        <f t="shared" si="181"/>
        <v/>
      </c>
      <c r="C3841" s="10" t="str">
        <f t="shared" si="182"/>
        <v/>
      </c>
    </row>
    <row r="3842" spans="1:3" x14ac:dyDescent="0.25">
      <c r="A3842" s="8" t="str">
        <f t="shared" si="180"/>
        <v/>
      </c>
      <c r="B3842" s="9" t="str">
        <f t="shared" si="181"/>
        <v/>
      </c>
      <c r="C3842" s="10" t="str">
        <f t="shared" si="182"/>
        <v/>
      </c>
    </row>
    <row r="3843" spans="1:3" x14ac:dyDescent="0.25">
      <c r="A3843" s="8" t="str">
        <f t="shared" si="180"/>
        <v/>
      </c>
      <c r="B3843" s="9" t="str">
        <f t="shared" si="181"/>
        <v/>
      </c>
      <c r="C3843" s="10" t="str">
        <f t="shared" si="182"/>
        <v/>
      </c>
    </row>
    <row r="3844" spans="1:3" x14ac:dyDescent="0.25">
      <c r="A3844" s="8" t="str">
        <f t="shared" si="180"/>
        <v/>
      </c>
      <c r="B3844" s="9" t="str">
        <f t="shared" si="181"/>
        <v/>
      </c>
      <c r="C3844" s="10" t="str">
        <f t="shared" si="182"/>
        <v/>
      </c>
    </row>
    <row r="3845" spans="1:3" x14ac:dyDescent="0.25">
      <c r="A3845" s="8" t="str">
        <f t="shared" si="180"/>
        <v/>
      </c>
      <c r="B3845" s="9" t="str">
        <f t="shared" si="181"/>
        <v/>
      </c>
      <c r="C3845" s="10" t="str">
        <f t="shared" si="182"/>
        <v/>
      </c>
    </row>
    <row r="3846" spans="1:3" x14ac:dyDescent="0.25">
      <c r="A3846" s="8" t="str">
        <f t="shared" si="180"/>
        <v/>
      </c>
      <c r="B3846" s="9" t="str">
        <f t="shared" si="181"/>
        <v/>
      </c>
      <c r="C3846" s="10" t="str">
        <f t="shared" si="182"/>
        <v/>
      </c>
    </row>
    <row r="3847" spans="1:3" x14ac:dyDescent="0.25">
      <c r="A3847" s="8" t="str">
        <f t="shared" si="180"/>
        <v/>
      </c>
      <c r="B3847" s="9" t="str">
        <f t="shared" si="181"/>
        <v/>
      </c>
      <c r="C3847" s="10" t="str">
        <f t="shared" si="182"/>
        <v/>
      </c>
    </row>
    <row r="3848" spans="1:3" x14ac:dyDescent="0.25">
      <c r="A3848" s="8" t="str">
        <f t="shared" si="180"/>
        <v/>
      </c>
      <c r="B3848" s="9" t="str">
        <f t="shared" si="181"/>
        <v/>
      </c>
      <c r="C3848" s="10" t="str">
        <f t="shared" si="182"/>
        <v/>
      </c>
    </row>
    <row r="3849" spans="1:3" x14ac:dyDescent="0.25">
      <c r="A3849" s="8" t="str">
        <f t="shared" si="180"/>
        <v/>
      </c>
      <c r="B3849" s="9" t="str">
        <f t="shared" si="181"/>
        <v/>
      </c>
      <c r="C3849" s="10" t="str">
        <f t="shared" si="182"/>
        <v/>
      </c>
    </row>
    <row r="3850" spans="1:3" x14ac:dyDescent="0.25">
      <c r="A3850" s="8" t="str">
        <f t="shared" si="180"/>
        <v/>
      </c>
      <c r="B3850" s="9" t="str">
        <f t="shared" si="181"/>
        <v/>
      </c>
      <c r="C3850" s="10" t="str">
        <f t="shared" si="182"/>
        <v/>
      </c>
    </row>
    <row r="3851" spans="1:3" x14ac:dyDescent="0.25">
      <c r="A3851" s="8" t="str">
        <f t="shared" si="180"/>
        <v/>
      </c>
      <c r="B3851" s="9" t="str">
        <f t="shared" si="181"/>
        <v/>
      </c>
      <c r="C3851" s="10" t="str">
        <f t="shared" si="182"/>
        <v/>
      </c>
    </row>
    <row r="3852" spans="1:3" x14ac:dyDescent="0.25">
      <c r="A3852" s="8" t="str">
        <f t="shared" si="180"/>
        <v/>
      </c>
      <c r="B3852" s="9" t="str">
        <f t="shared" si="181"/>
        <v/>
      </c>
      <c r="C3852" s="10" t="str">
        <f t="shared" si="182"/>
        <v/>
      </c>
    </row>
    <row r="3853" spans="1:3" x14ac:dyDescent="0.25">
      <c r="A3853" s="8" t="str">
        <f t="shared" si="180"/>
        <v/>
      </c>
      <c r="B3853" s="9" t="str">
        <f t="shared" si="181"/>
        <v/>
      </c>
      <c r="C3853" s="10" t="str">
        <f t="shared" si="182"/>
        <v/>
      </c>
    </row>
    <row r="3854" spans="1:3" x14ac:dyDescent="0.25">
      <c r="A3854" s="8" t="str">
        <f t="shared" si="180"/>
        <v/>
      </c>
      <c r="B3854" s="9" t="str">
        <f t="shared" si="181"/>
        <v/>
      </c>
      <c r="C3854" s="10" t="str">
        <f t="shared" si="182"/>
        <v/>
      </c>
    </row>
    <row r="3855" spans="1:3" x14ac:dyDescent="0.25">
      <c r="A3855" s="8" t="str">
        <f t="shared" si="180"/>
        <v/>
      </c>
      <c r="B3855" s="9" t="str">
        <f t="shared" si="181"/>
        <v/>
      </c>
      <c r="C3855" s="10" t="str">
        <f t="shared" si="182"/>
        <v/>
      </c>
    </row>
    <row r="3856" spans="1:3" x14ac:dyDescent="0.25">
      <c r="A3856" s="8" t="str">
        <f t="shared" si="180"/>
        <v/>
      </c>
      <c r="B3856" s="9" t="str">
        <f t="shared" si="181"/>
        <v/>
      </c>
      <c r="C3856" s="10" t="str">
        <f t="shared" si="182"/>
        <v/>
      </c>
    </row>
    <row r="3857" spans="1:3" x14ac:dyDescent="0.25">
      <c r="A3857" s="8" t="str">
        <f t="shared" si="180"/>
        <v/>
      </c>
      <c r="B3857" s="9" t="str">
        <f t="shared" si="181"/>
        <v/>
      </c>
      <c r="C3857" s="10" t="str">
        <f t="shared" si="182"/>
        <v/>
      </c>
    </row>
    <row r="3858" spans="1:3" x14ac:dyDescent="0.25">
      <c r="A3858" s="8" t="str">
        <f t="shared" si="180"/>
        <v/>
      </c>
      <c r="B3858" s="9" t="str">
        <f t="shared" si="181"/>
        <v/>
      </c>
      <c r="C3858" s="10" t="str">
        <f t="shared" si="182"/>
        <v/>
      </c>
    </row>
    <row r="3859" spans="1:3" x14ac:dyDescent="0.25">
      <c r="A3859" s="8" t="str">
        <f t="shared" si="180"/>
        <v/>
      </c>
      <c r="B3859" s="9" t="str">
        <f t="shared" si="181"/>
        <v/>
      </c>
      <c r="C3859" s="10" t="str">
        <f t="shared" si="182"/>
        <v/>
      </c>
    </row>
    <row r="3860" spans="1:3" x14ac:dyDescent="0.25">
      <c r="A3860" s="8" t="str">
        <f t="shared" si="180"/>
        <v/>
      </c>
      <c r="B3860" s="9" t="str">
        <f t="shared" si="181"/>
        <v/>
      </c>
      <c r="C3860" s="10" t="str">
        <f t="shared" si="182"/>
        <v/>
      </c>
    </row>
    <row r="3861" spans="1:3" x14ac:dyDescent="0.25">
      <c r="A3861" s="8" t="str">
        <f t="shared" si="180"/>
        <v/>
      </c>
      <c r="B3861" s="9" t="str">
        <f t="shared" si="181"/>
        <v/>
      </c>
      <c r="C3861" s="10" t="str">
        <f t="shared" si="182"/>
        <v/>
      </c>
    </row>
    <row r="3862" spans="1:3" x14ac:dyDescent="0.25">
      <c r="A3862" s="8" t="str">
        <f t="shared" si="180"/>
        <v/>
      </c>
      <c r="B3862" s="9" t="str">
        <f t="shared" si="181"/>
        <v/>
      </c>
      <c r="C3862" s="10" t="str">
        <f t="shared" si="182"/>
        <v/>
      </c>
    </row>
    <row r="3863" spans="1:3" x14ac:dyDescent="0.25">
      <c r="A3863" s="8" t="str">
        <f t="shared" si="180"/>
        <v/>
      </c>
      <c r="B3863" s="9" t="str">
        <f t="shared" si="181"/>
        <v/>
      </c>
      <c r="C3863" s="10" t="str">
        <f t="shared" si="182"/>
        <v/>
      </c>
    </row>
    <row r="3864" spans="1:3" x14ac:dyDescent="0.25">
      <c r="A3864" s="8" t="str">
        <f t="shared" si="180"/>
        <v/>
      </c>
      <c r="B3864" s="9" t="str">
        <f t="shared" si="181"/>
        <v/>
      </c>
      <c r="C3864" s="10" t="str">
        <f t="shared" si="182"/>
        <v/>
      </c>
    </row>
    <row r="3865" spans="1:3" x14ac:dyDescent="0.25">
      <c r="A3865" s="8" t="str">
        <f t="shared" si="180"/>
        <v/>
      </c>
      <c r="B3865" s="9" t="str">
        <f t="shared" si="181"/>
        <v/>
      </c>
      <c r="C3865" s="10" t="str">
        <f t="shared" si="182"/>
        <v/>
      </c>
    </row>
    <row r="3866" spans="1:3" x14ac:dyDescent="0.25">
      <c r="A3866" s="8" t="str">
        <f t="shared" si="180"/>
        <v/>
      </c>
      <c r="B3866" s="9" t="str">
        <f t="shared" si="181"/>
        <v/>
      </c>
      <c r="C3866" s="10" t="str">
        <f t="shared" si="182"/>
        <v/>
      </c>
    </row>
    <row r="3867" spans="1:3" x14ac:dyDescent="0.25">
      <c r="A3867" s="8" t="str">
        <f t="shared" si="180"/>
        <v/>
      </c>
      <c r="B3867" s="9" t="str">
        <f t="shared" si="181"/>
        <v/>
      </c>
      <c r="C3867" s="10" t="str">
        <f t="shared" si="182"/>
        <v/>
      </c>
    </row>
    <row r="3868" spans="1:3" x14ac:dyDescent="0.25">
      <c r="A3868" s="8" t="str">
        <f t="shared" si="180"/>
        <v/>
      </c>
      <c r="B3868" s="9" t="str">
        <f t="shared" si="181"/>
        <v/>
      </c>
      <c r="C3868" s="10" t="str">
        <f t="shared" si="182"/>
        <v/>
      </c>
    </row>
    <row r="3869" spans="1:3" x14ac:dyDescent="0.25">
      <c r="A3869" s="8" t="str">
        <f t="shared" si="180"/>
        <v/>
      </c>
      <c r="B3869" s="9" t="str">
        <f t="shared" si="181"/>
        <v/>
      </c>
      <c r="C3869" s="10" t="str">
        <f t="shared" si="182"/>
        <v/>
      </c>
    </row>
    <row r="3870" spans="1:3" x14ac:dyDescent="0.25">
      <c r="A3870" s="8" t="str">
        <f t="shared" si="180"/>
        <v/>
      </c>
      <c r="B3870" s="9" t="str">
        <f t="shared" si="181"/>
        <v/>
      </c>
      <c r="C3870" s="10" t="str">
        <f t="shared" si="182"/>
        <v/>
      </c>
    </row>
    <row r="3871" spans="1:3" x14ac:dyDescent="0.25">
      <c r="A3871" s="8" t="str">
        <f t="shared" si="180"/>
        <v/>
      </c>
      <c r="B3871" s="9" t="str">
        <f t="shared" si="181"/>
        <v/>
      </c>
      <c r="C3871" s="10" t="str">
        <f t="shared" si="182"/>
        <v/>
      </c>
    </row>
    <row r="3872" spans="1:3" x14ac:dyDescent="0.25">
      <c r="A3872" s="8" t="str">
        <f t="shared" si="180"/>
        <v/>
      </c>
      <c r="B3872" s="9" t="str">
        <f t="shared" si="181"/>
        <v/>
      </c>
      <c r="C3872" s="10" t="str">
        <f t="shared" si="182"/>
        <v/>
      </c>
    </row>
    <row r="3873" spans="1:3" x14ac:dyDescent="0.25">
      <c r="A3873" s="8" t="str">
        <f t="shared" si="180"/>
        <v/>
      </c>
      <c r="B3873" s="9" t="str">
        <f t="shared" si="181"/>
        <v/>
      </c>
      <c r="C3873" s="10" t="str">
        <f t="shared" si="182"/>
        <v/>
      </c>
    </row>
    <row r="3874" spans="1:3" x14ac:dyDescent="0.25">
      <c r="A3874" s="8" t="str">
        <f t="shared" si="180"/>
        <v/>
      </c>
      <c r="B3874" s="9" t="str">
        <f t="shared" si="181"/>
        <v/>
      </c>
      <c r="C3874" s="10" t="str">
        <f t="shared" si="182"/>
        <v/>
      </c>
    </row>
    <row r="3875" spans="1:3" x14ac:dyDescent="0.25">
      <c r="A3875" s="8" t="str">
        <f t="shared" si="180"/>
        <v/>
      </c>
      <c r="B3875" s="9" t="str">
        <f t="shared" si="181"/>
        <v/>
      </c>
      <c r="C3875" s="10" t="str">
        <f t="shared" si="182"/>
        <v/>
      </c>
    </row>
    <row r="3876" spans="1:3" x14ac:dyDescent="0.25">
      <c r="A3876" s="8" t="str">
        <f t="shared" si="180"/>
        <v/>
      </c>
      <c r="B3876" s="9" t="str">
        <f t="shared" si="181"/>
        <v/>
      </c>
      <c r="C3876" s="10" t="str">
        <f t="shared" si="182"/>
        <v/>
      </c>
    </row>
    <row r="3877" spans="1:3" x14ac:dyDescent="0.25">
      <c r="A3877" s="8" t="str">
        <f t="shared" si="180"/>
        <v/>
      </c>
      <c r="B3877" s="9" t="str">
        <f t="shared" si="181"/>
        <v/>
      </c>
      <c r="C3877" s="10" t="str">
        <f t="shared" si="182"/>
        <v/>
      </c>
    </row>
    <row r="3878" spans="1:3" x14ac:dyDescent="0.25">
      <c r="A3878" s="8" t="str">
        <f t="shared" si="180"/>
        <v/>
      </c>
      <c r="B3878" s="9" t="str">
        <f t="shared" si="181"/>
        <v/>
      </c>
      <c r="C3878" s="10" t="str">
        <f t="shared" si="182"/>
        <v/>
      </c>
    </row>
    <row r="3879" spans="1:3" x14ac:dyDescent="0.25">
      <c r="A3879" s="8" t="str">
        <f t="shared" ref="A3879:A3942" si="183">IF(D3879="","",IF(E3879=0,CONCATENATE(D3879,".",E3879,"00"),CONCATENATE(D3879,".",E3879)))</f>
        <v/>
      </c>
      <c r="B3879" s="9" t="str">
        <f t="shared" ref="B3879:B3942" si="184">LEFT(G3879,1)</f>
        <v/>
      </c>
      <c r="C3879" s="10" t="str">
        <f t="shared" ref="C3879:C3942" si="185">IF(F3879="","",IF(B3879="",F3879-4,IF(B3879="1",F3879-4,IF(B3879="2",F3879-3,IF(B3879="3",F3879-2,IF(B3879="4",F3879-1,IF(B3879="V",F3879-7,IF(B3879="J",F3879-8,F3879))))))))</f>
        <v/>
      </c>
    </row>
    <row r="3880" spans="1:3" x14ac:dyDescent="0.25">
      <c r="A3880" s="8" t="str">
        <f t="shared" si="183"/>
        <v/>
      </c>
      <c r="B3880" s="9" t="str">
        <f t="shared" si="184"/>
        <v/>
      </c>
      <c r="C3880" s="10" t="str">
        <f t="shared" si="185"/>
        <v/>
      </c>
    </row>
    <row r="3881" spans="1:3" x14ac:dyDescent="0.25">
      <c r="A3881" s="8" t="str">
        <f t="shared" si="183"/>
        <v/>
      </c>
      <c r="B3881" s="9" t="str">
        <f t="shared" si="184"/>
        <v/>
      </c>
      <c r="C3881" s="10" t="str">
        <f t="shared" si="185"/>
        <v/>
      </c>
    </row>
    <row r="3882" spans="1:3" x14ac:dyDescent="0.25">
      <c r="A3882" s="8" t="str">
        <f t="shared" si="183"/>
        <v/>
      </c>
      <c r="B3882" s="9" t="str">
        <f t="shared" si="184"/>
        <v/>
      </c>
      <c r="C3882" s="10" t="str">
        <f t="shared" si="185"/>
        <v/>
      </c>
    </row>
    <row r="3883" spans="1:3" x14ac:dyDescent="0.25">
      <c r="A3883" s="8" t="str">
        <f t="shared" si="183"/>
        <v/>
      </c>
      <c r="B3883" s="9" t="str">
        <f t="shared" si="184"/>
        <v/>
      </c>
      <c r="C3883" s="10" t="str">
        <f t="shared" si="185"/>
        <v/>
      </c>
    </row>
    <row r="3884" spans="1:3" x14ac:dyDescent="0.25">
      <c r="A3884" s="8" t="str">
        <f t="shared" si="183"/>
        <v/>
      </c>
      <c r="B3884" s="9" t="str">
        <f t="shared" si="184"/>
        <v/>
      </c>
      <c r="C3884" s="10" t="str">
        <f t="shared" si="185"/>
        <v/>
      </c>
    </row>
    <row r="3885" spans="1:3" x14ac:dyDescent="0.25">
      <c r="A3885" s="8" t="str">
        <f t="shared" si="183"/>
        <v/>
      </c>
      <c r="B3885" s="9" t="str">
        <f t="shared" si="184"/>
        <v/>
      </c>
      <c r="C3885" s="10" t="str">
        <f t="shared" si="185"/>
        <v/>
      </c>
    </row>
    <row r="3886" spans="1:3" x14ac:dyDescent="0.25">
      <c r="A3886" s="8" t="str">
        <f t="shared" si="183"/>
        <v/>
      </c>
      <c r="B3886" s="9" t="str">
        <f t="shared" si="184"/>
        <v/>
      </c>
      <c r="C3886" s="10" t="str">
        <f t="shared" si="185"/>
        <v/>
      </c>
    </row>
    <row r="3887" spans="1:3" x14ac:dyDescent="0.25">
      <c r="A3887" s="8" t="str">
        <f t="shared" si="183"/>
        <v/>
      </c>
      <c r="B3887" s="9" t="str">
        <f t="shared" si="184"/>
        <v/>
      </c>
      <c r="C3887" s="10" t="str">
        <f t="shared" si="185"/>
        <v/>
      </c>
    </row>
    <row r="3888" spans="1:3" x14ac:dyDescent="0.25">
      <c r="A3888" s="8" t="str">
        <f t="shared" si="183"/>
        <v/>
      </c>
      <c r="B3888" s="9" t="str">
        <f t="shared" si="184"/>
        <v/>
      </c>
      <c r="C3888" s="10" t="str">
        <f t="shared" si="185"/>
        <v/>
      </c>
    </row>
    <row r="3889" spans="1:3" x14ac:dyDescent="0.25">
      <c r="A3889" s="8" t="str">
        <f t="shared" si="183"/>
        <v/>
      </c>
      <c r="B3889" s="9" t="str">
        <f t="shared" si="184"/>
        <v/>
      </c>
      <c r="C3889" s="10" t="str">
        <f t="shared" si="185"/>
        <v/>
      </c>
    </row>
    <row r="3890" spans="1:3" x14ac:dyDescent="0.25">
      <c r="A3890" s="8" t="str">
        <f t="shared" si="183"/>
        <v/>
      </c>
      <c r="B3890" s="9" t="str">
        <f t="shared" si="184"/>
        <v/>
      </c>
      <c r="C3890" s="10" t="str">
        <f t="shared" si="185"/>
        <v/>
      </c>
    </row>
    <row r="3891" spans="1:3" x14ac:dyDescent="0.25">
      <c r="A3891" s="8" t="str">
        <f t="shared" si="183"/>
        <v/>
      </c>
      <c r="B3891" s="9" t="str">
        <f t="shared" si="184"/>
        <v/>
      </c>
      <c r="C3891" s="10" t="str">
        <f t="shared" si="185"/>
        <v/>
      </c>
    </row>
    <row r="3892" spans="1:3" x14ac:dyDescent="0.25">
      <c r="A3892" s="8" t="str">
        <f t="shared" si="183"/>
        <v/>
      </c>
      <c r="B3892" s="9" t="str">
        <f t="shared" si="184"/>
        <v/>
      </c>
      <c r="C3892" s="10" t="str">
        <f t="shared" si="185"/>
        <v/>
      </c>
    </row>
    <row r="3893" spans="1:3" x14ac:dyDescent="0.25">
      <c r="A3893" s="8" t="str">
        <f t="shared" si="183"/>
        <v/>
      </c>
      <c r="B3893" s="9" t="str">
        <f t="shared" si="184"/>
        <v/>
      </c>
      <c r="C3893" s="10" t="str">
        <f t="shared" si="185"/>
        <v/>
      </c>
    </row>
    <row r="3894" spans="1:3" x14ac:dyDescent="0.25">
      <c r="A3894" s="8" t="str">
        <f t="shared" si="183"/>
        <v/>
      </c>
      <c r="B3894" s="9" t="str">
        <f t="shared" si="184"/>
        <v/>
      </c>
      <c r="C3894" s="10" t="str">
        <f t="shared" si="185"/>
        <v/>
      </c>
    </row>
    <row r="3895" spans="1:3" x14ac:dyDescent="0.25">
      <c r="A3895" s="8" t="str">
        <f t="shared" si="183"/>
        <v/>
      </c>
      <c r="B3895" s="9" t="str">
        <f t="shared" si="184"/>
        <v/>
      </c>
      <c r="C3895" s="10" t="str">
        <f t="shared" si="185"/>
        <v/>
      </c>
    </row>
    <row r="3896" spans="1:3" x14ac:dyDescent="0.25">
      <c r="A3896" s="8" t="str">
        <f t="shared" si="183"/>
        <v/>
      </c>
      <c r="B3896" s="9" t="str">
        <f t="shared" si="184"/>
        <v/>
      </c>
      <c r="C3896" s="10" t="str">
        <f t="shared" si="185"/>
        <v/>
      </c>
    </row>
    <row r="3897" spans="1:3" x14ac:dyDescent="0.25">
      <c r="A3897" s="8" t="str">
        <f t="shared" si="183"/>
        <v/>
      </c>
      <c r="B3897" s="9" t="str">
        <f t="shared" si="184"/>
        <v/>
      </c>
      <c r="C3897" s="10" t="str">
        <f t="shared" si="185"/>
        <v/>
      </c>
    </row>
    <row r="3898" spans="1:3" x14ac:dyDescent="0.25">
      <c r="A3898" s="8" t="str">
        <f t="shared" si="183"/>
        <v/>
      </c>
      <c r="B3898" s="9" t="str">
        <f t="shared" si="184"/>
        <v/>
      </c>
      <c r="C3898" s="10" t="str">
        <f t="shared" si="185"/>
        <v/>
      </c>
    </row>
    <row r="3899" spans="1:3" x14ac:dyDescent="0.25">
      <c r="A3899" s="8" t="str">
        <f t="shared" si="183"/>
        <v/>
      </c>
      <c r="B3899" s="9" t="str">
        <f t="shared" si="184"/>
        <v/>
      </c>
      <c r="C3899" s="10" t="str">
        <f t="shared" si="185"/>
        <v/>
      </c>
    </row>
    <row r="3900" spans="1:3" x14ac:dyDescent="0.25">
      <c r="A3900" s="8" t="str">
        <f t="shared" si="183"/>
        <v/>
      </c>
      <c r="B3900" s="9" t="str">
        <f t="shared" si="184"/>
        <v/>
      </c>
      <c r="C3900" s="10" t="str">
        <f t="shared" si="185"/>
        <v/>
      </c>
    </row>
    <row r="3901" spans="1:3" x14ac:dyDescent="0.25">
      <c r="A3901" s="8" t="str">
        <f t="shared" si="183"/>
        <v/>
      </c>
      <c r="B3901" s="9" t="str">
        <f t="shared" si="184"/>
        <v/>
      </c>
      <c r="C3901" s="10" t="str">
        <f t="shared" si="185"/>
        <v/>
      </c>
    </row>
    <row r="3902" spans="1:3" x14ac:dyDescent="0.25">
      <c r="A3902" s="8" t="str">
        <f t="shared" si="183"/>
        <v/>
      </c>
      <c r="B3902" s="9" t="str">
        <f t="shared" si="184"/>
        <v/>
      </c>
      <c r="C3902" s="10" t="str">
        <f t="shared" si="185"/>
        <v/>
      </c>
    </row>
    <row r="3903" spans="1:3" x14ac:dyDescent="0.25">
      <c r="A3903" s="8" t="str">
        <f t="shared" si="183"/>
        <v/>
      </c>
      <c r="B3903" s="9" t="str">
        <f t="shared" si="184"/>
        <v/>
      </c>
      <c r="C3903" s="10" t="str">
        <f t="shared" si="185"/>
        <v/>
      </c>
    </row>
    <row r="3904" spans="1:3" x14ac:dyDescent="0.25">
      <c r="A3904" s="8" t="str">
        <f t="shared" si="183"/>
        <v/>
      </c>
      <c r="B3904" s="9" t="str">
        <f t="shared" si="184"/>
        <v/>
      </c>
      <c r="C3904" s="10" t="str">
        <f t="shared" si="185"/>
        <v/>
      </c>
    </row>
    <row r="3905" spans="1:3" x14ac:dyDescent="0.25">
      <c r="A3905" s="8" t="str">
        <f t="shared" si="183"/>
        <v/>
      </c>
      <c r="B3905" s="9" t="str">
        <f t="shared" si="184"/>
        <v/>
      </c>
      <c r="C3905" s="10" t="str">
        <f t="shared" si="185"/>
        <v/>
      </c>
    </row>
    <row r="3906" spans="1:3" x14ac:dyDescent="0.25">
      <c r="A3906" s="8" t="str">
        <f t="shared" si="183"/>
        <v/>
      </c>
      <c r="B3906" s="9" t="str">
        <f t="shared" si="184"/>
        <v/>
      </c>
      <c r="C3906" s="10" t="str">
        <f t="shared" si="185"/>
        <v/>
      </c>
    </row>
    <row r="3907" spans="1:3" x14ac:dyDescent="0.25">
      <c r="A3907" s="8" t="str">
        <f t="shared" si="183"/>
        <v/>
      </c>
      <c r="B3907" s="9" t="str">
        <f t="shared" si="184"/>
        <v/>
      </c>
      <c r="C3907" s="10" t="str">
        <f t="shared" si="185"/>
        <v/>
      </c>
    </row>
    <row r="3908" spans="1:3" x14ac:dyDescent="0.25">
      <c r="A3908" s="8" t="str">
        <f t="shared" si="183"/>
        <v/>
      </c>
      <c r="B3908" s="9" t="str">
        <f t="shared" si="184"/>
        <v/>
      </c>
      <c r="C3908" s="10" t="str">
        <f t="shared" si="185"/>
        <v/>
      </c>
    </row>
    <row r="3909" spans="1:3" x14ac:dyDescent="0.25">
      <c r="A3909" s="8" t="str">
        <f t="shared" si="183"/>
        <v/>
      </c>
      <c r="B3909" s="9" t="str">
        <f t="shared" si="184"/>
        <v/>
      </c>
      <c r="C3909" s="10" t="str">
        <f t="shared" si="185"/>
        <v/>
      </c>
    </row>
    <row r="3910" spans="1:3" x14ac:dyDescent="0.25">
      <c r="A3910" s="8" t="str">
        <f t="shared" si="183"/>
        <v/>
      </c>
      <c r="B3910" s="9" t="str">
        <f t="shared" si="184"/>
        <v/>
      </c>
      <c r="C3910" s="10" t="str">
        <f t="shared" si="185"/>
        <v/>
      </c>
    </row>
    <row r="3911" spans="1:3" x14ac:dyDescent="0.25">
      <c r="A3911" s="8" t="str">
        <f t="shared" si="183"/>
        <v/>
      </c>
      <c r="B3911" s="9" t="str">
        <f t="shared" si="184"/>
        <v/>
      </c>
      <c r="C3911" s="10" t="str">
        <f t="shared" si="185"/>
        <v/>
      </c>
    </row>
    <row r="3912" spans="1:3" x14ac:dyDescent="0.25">
      <c r="A3912" s="8" t="str">
        <f t="shared" si="183"/>
        <v/>
      </c>
      <c r="B3912" s="9" t="str">
        <f t="shared" si="184"/>
        <v/>
      </c>
      <c r="C3912" s="10" t="str">
        <f t="shared" si="185"/>
        <v/>
      </c>
    </row>
    <row r="3913" spans="1:3" x14ac:dyDescent="0.25">
      <c r="A3913" s="8" t="str">
        <f t="shared" si="183"/>
        <v/>
      </c>
      <c r="B3913" s="9" t="str">
        <f t="shared" si="184"/>
        <v/>
      </c>
      <c r="C3913" s="10" t="str">
        <f t="shared" si="185"/>
        <v/>
      </c>
    </row>
    <row r="3914" spans="1:3" x14ac:dyDescent="0.25">
      <c r="A3914" s="8" t="str">
        <f t="shared" si="183"/>
        <v/>
      </c>
      <c r="B3914" s="9" t="str">
        <f t="shared" si="184"/>
        <v/>
      </c>
      <c r="C3914" s="10" t="str">
        <f t="shared" si="185"/>
        <v/>
      </c>
    </row>
    <row r="3915" spans="1:3" x14ac:dyDescent="0.25">
      <c r="A3915" s="8" t="str">
        <f t="shared" si="183"/>
        <v/>
      </c>
      <c r="B3915" s="9" t="str">
        <f t="shared" si="184"/>
        <v/>
      </c>
      <c r="C3915" s="10" t="str">
        <f t="shared" si="185"/>
        <v/>
      </c>
    </row>
    <row r="3916" spans="1:3" x14ac:dyDescent="0.25">
      <c r="A3916" s="8" t="str">
        <f t="shared" si="183"/>
        <v/>
      </c>
      <c r="B3916" s="9" t="str">
        <f t="shared" si="184"/>
        <v/>
      </c>
      <c r="C3916" s="10" t="str">
        <f t="shared" si="185"/>
        <v/>
      </c>
    </row>
    <row r="3917" spans="1:3" x14ac:dyDescent="0.25">
      <c r="A3917" s="8" t="str">
        <f t="shared" si="183"/>
        <v/>
      </c>
      <c r="B3917" s="9" t="str">
        <f t="shared" si="184"/>
        <v/>
      </c>
      <c r="C3917" s="10" t="str">
        <f t="shared" si="185"/>
        <v/>
      </c>
    </row>
    <row r="3918" spans="1:3" x14ac:dyDescent="0.25">
      <c r="A3918" s="8" t="str">
        <f t="shared" si="183"/>
        <v/>
      </c>
      <c r="B3918" s="9" t="str">
        <f t="shared" si="184"/>
        <v/>
      </c>
      <c r="C3918" s="10" t="str">
        <f t="shared" si="185"/>
        <v/>
      </c>
    </row>
    <row r="3919" spans="1:3" x14ac:dyDescent="0.25">
      <c r="A3919" s="8" t="str">
        <f t="shared" si="183"/>
        <v/>
      </c>
      <c r="B3919" s="9" t="str">
        <f t="shared" si="184"/>
        <v/>
      </c>
      <c r="C3919" s="10" t="str">
        <f t="shared" si="185"/>
        <v/>
      </c>
    </row>
    <row r="3920" spans="1:3" x14ac:dyDescent="0.25">
      <c r="A3920" s="8" t="str">
        <f t="shared" si="183"/>
        <v/>
      </c>
      <c r="B3920" s="9" t="str">
        <f t="shared" si="184"/>
        <v/>
      </c>
      <c r="C3920" s="10" t="str">
        <f t="shared" si="185"/>
        <v/>
      </c>
    </row>
    <row r="3921" spans="1:3" x14ac:dyDescent="0.25">
      <c r="A3921" s="8" t="str">
        <f t="shared" si="183"/>
        <v/>
      </c>
      <c r="B3921" s="9" t="str">
        <f t="shared" si="184"/>
        <v/>
      </c>
      <c r="C3921" s="10" t="str">
        <f t="shared" si="185"/>
        <v/>
      </c>
    </row>
    <row r="3922" spans="1:3" x14ac:dyDescent="0.25">
      <c r="A3922" s="8" t="str">
        <f t="shared" si="183"/>
        <v/>
      </c>
      <c r="B3922" s="9" t="str">
        <f t="shared" si="184"/>
        <v/>
      </c>
      <c r="C3922" s="10" t="str">
        <f t="shared" si="185"/>
        <v/>
      </c>
    </row>
    <row r="3923" spans="1:3" x14ac:dyDescent="0.25">
      <c r="A3923" s="8" t="str">
        <f t="shared" si="183"/>
        <v/>
      </c>
      <c r="B3923" s="9" t="str">
        <f t="shared" si="184"/>
        <v/>
      </c>
      <c r="C3923" s="10" t="str">
        <f t="shared" si="185"/>
        <v/>
      </c>
    </row>
    <row r="3924" spans="1:3" x14ac:dyDescent="0.25">
      <c r="A3924" s="8" t="str">
        <f t="shared" si="183"/>
        <v/>
      </c>
      <c r="B3924" s="9" t="str">
        <f t="shared" si="184"/>
        <v/>
      </c>
      <c r="C3924" s="10" t="str">
        <f t="shared" si="185"/>
        <v/>
      </c>
    </row>
    <row r="3925" spans="1:3" x14ac:dyDescent="0.25">
      <c r="A3925" s="8" t="str">
        <f t="shared" si="183"/>
        <v/>
      </c>
      <c r="B3925" s="9" t="str">
        <f t="shared" si="184"/>
        <v/>
      </c>
      <c r="C3925" s="10" t="str">
        <f t="shared" si="185"/>
        <v/>
      </c>
    </row>
    <row r="3926" spans="1:3" x14ac:dyDescent="0.25">
      <c r="A3926" s="8" t="str">
        <f t="shared" si="183"/>
        <v/>
      </c>
      <c r="B3926" s="9" t="str">
        <f t="shared" si="184"/>
        <v/>
      </c>
      <c r="C3926" s="10" t="str">
        <f t="shared" si="185"/>
        <v/>
      </c>
    </row>
    <row r="3927" spans="1:3" x14ac:dyDescent="0.25">
      <c r="A3927" s="8" t="str">
        <f t="shared" si="183"/>
        <v/>
      </c>
      <c r="B3927" s="9" t="str">
        <f t="shared" si="184"/>
        <v/>
      </c>
      <c r="C3927" s="10" t="str">
        <f t="shared" si="185"/>
        <v/>
      </c>
    </row>
    <row r="3928" spans="1:3" x14ac:dyDescent="0.25">
      <c r="A3928" s="8" t="str">
        <f t="shared" si="183"/>
        <v/>
      </c>
      <c r="B3928" s="9" t="str">
        <f t="shared" si="184"/>
        <v/>
      </c>
      <c r="C3928" s="10" t="str">
        <f t="shared" si="185"/>
        <v/>
      </c>
    </row>
    <row r="3929" spans="1:3" x14ac:dyDescent="0.25">
      <c r="A3929" s="8" t="str">
        <f t="shared" si="183"/>
        <v/>
      </c>
      <c r="B3929" s="9" t="str">
        <f t="shared" si="184"/>
        <v/>
      </c>
      <c r="C3929" s="10" t="str">
        <f t="shared" si="185"/>
        <v/>
      </c>
    </row>
    <row r="3930" spans="1:3" x14ac:dyDescent="0.25">
      <c r="A3930" s="8" t="str">
        <f t="shared" si="183"/>
        <v/>
      </c>
      <c r="B3930" s="9" t="str">
        <f t="shared" si="184"/>
        <v/>
      </c>
      <c r="C3930" s="10" t="str">
        <f t="shared" si="185"/>
        <v/>
      </c>
    </row>
    <row r="3931" spans="1:3" x14ac:dyDescent="0.25">
      <c r="A3931" s="8" t="str">
        <f t="shared" si="183"/>
        <v/>
      </c>
      <c r="B3931" s="9" t="str">
        <f t="shared" si="184"/>
        <v/>
      </c>
      <c r="C3931" s="10" t="str">
        <f t="shared" si="185"/>
        <v/>
      </c>
    </row>
    <row r="3932" spans="1:3" x14ac:dyDescent="0.25">
      <c r="A3932" s="8" t="str">
        <f t="shared" si="183"/>
        <v/>
      </c>
      <c r="B3932" s="9" t="str">
        <f t="shared" si="184"/>
        <v/>
      </c>
      <c r="C3932" s="10" t="str">
        <f t="shared" si="185"/>
        <v/>
      </c>
    </row>
    <row r="3933" spans="1:3" x14ac:dyDescent="0.25">
      <c r="A3933" s="8" t="str">
        <f t="shared" si="183"/>
        <v/>
      </c>
      <c r="B3933" s="9" t="str">
        <f t="shared" si="184"/>
        <v/>
      </c>
      <c r="C3933" s="10" t="str">
        <f t="shared" si="185"/>
        <v/>
      </c>
    </row>
    <row r="3934" spans="1:3" x14ac:dyDescent="0.25">
      <c r="A3934" s="8" t="str">
        <f t="shared" si="183"/>
        <v/>
      </c>
      <c r="B3934" s="9" t="str">
        <f t="shared" si="184"/>
        <v/>
      </c>
      <c r="C3934" s="10" t="str">
        <f t="shared" si="185"/>
        <v/>
      </c>
    </row>
    <row r="3935" spans="1:3" x14ac:dyDescent="0.25">
      <c r="A3935" s="8" t="str">
        <f t="shared" si="183"/>
        <v/>
      </c>
      <c r="B3935" s="9" t="str">
        <f t="shared" si="184"/>
        <v/>
      </c>
      <c r="C3935" s="10" t="str">
        <f t="shared" si="185"/>
        <v/>
      </c>
    </row>
    <row r="3936" spans="1:3" x14ac:dyDescent="0.25">
      <c r="A3936" s="8" t="str">
        <f t="shared" si="183"/>
        <v/>
      </c>
      <c r="B3936" s="9" t="str">
        <f t="shared" si="184"/>
        <v/>
      </c>
      <c r="C3936" s="10" t="str">
        <f t="shared" si="185"/>
        <v/>
      </c>
    </row>
    <row r="3937" spans="1:3" x14ac:dyDescent="0.25">
      <c r="A3937" s="8" t="str">
        <f t="shared" si="183"/>
        <v/>
      </c>
      <c r="B3937" s="9" t="str">
        <f t="shared" si="184"/>
        <v/>
      </c>
      <c r="C3937" s="10" t="str">
        <f t="shared" si="185"/>
        <v/>
      </c>
    </row>
    <row r="3938" spans="1:3" x14ac:dyDescent="0.25">
      <c r="A3938" s="8" t="str">
        <f t="shared" si="183"/>
        <v/>
      </c>
      <c r="B3938" s="9" t="str">
        <f t="shared" si="184"/>
        <v/>
      </c>
      <c r="C3938" s="10" t="str">
        <f t="shared" si="185"/>
        <v/>
      </c>
    </row>
    <row r="3939" spans="1:3" x14ac:dyDescent="0.25">
      <c r="A3939" s="8" t="str">
        <f t="shared" si="183"/>
        <v/>
      </c>
      <c r="B3939" s="9" t="str">
        <f t="shared" si="184"/>
        <v/>
      </c>
      <c r="C3939" s="10" t="str">
        <f t="shared" si="185"/>
        <v/>
      </c>
    </row>
    <row r="3940" spans="1:3" x14ac:dyDescent="0.25">
      <c r="A3940" s="8" t="str">
        <f t="shared" si="183"/>
        <v/>
      </c>
      <c r="B3940" s="9" t="str">
        <f t="shared" si="184"/>
        <v/>
      </c>
      <c r="C3940" s="10" t="str">
        <f t="shared" si="185"/>
        <v/>
      </c>
    </row>
    <row r="3941" spans="1:3" x14ac:dyDescent="0.25">
      <c r="A3941" s="8" t="str">
        <f t="shared" si="183"/>
        <v/>
      </c>
      <c r="B3941" s="9" t="str">
        <f t="shared" si="184"/>
        <v/>
      </c>
      <c r="C3941" s="10" t="str">
        <f t="shared" si="185"/>
        <v/>
      </c>
    </row>
    <row r="3942" spans="1:3" x14ac:dyDescent="0.25">
      <c r="A3942" s="8" t="str">
        <f t="shared" si="183"/>
        <v/>
      </c>
      <c r="B3942" s="9" t="str">
        <f t="shared" si="184"/>
        <v/>
      </c>
      <c r="C3942" s="10" t="str">
        <f t="shared" si="185"/>
        <v/>
      </c>
    </row>
    <row r="3943" spans="1:3" x14ac:dyDescent="0.25">
      <c r="A3943" s="8" t="str">
        <f t="shared" ref="A3943:A4006" si="186">IF(D3943="","",IF(E3943=0,CONCATENATE(D3943,".",E3943,"00"),CONCATENATE(D3943,".",E3943)))</f>
        <v/>
      </c>
      <c r="B3943" s="9" t="str">
        <f t="shared" ref="B3943:B4006" si="187">LEFT(G3943,1)</f>
        <v/>
      </c>
      <c r="C3943" s="10" t="str">
        <f t="shared" ref="C3943:C4006" si="188">IF(F3943="","",IF(B3943="",F3943-4,IF(B3943="1",F3943-4,IF(B3943="2",F3943-3,IF(B3943="3",F3943-2,IF(B3943="4",F3943-1,IF(B3943="V",F3943-7,IF(B3943="J",F3943-8,F3943))))))))</f>
        <v/>
      </c>
    </row>
    <row r="3944" spans="1:3" x14ac:dyDescent="0.25">
      <c r="A3944" s="8" t="str">
        <f t="shared" si="186"/>
        <v/>
      </c>
      <c r="B3944" s="9" t="str">
        <f t="shared" si="187"/>
        <v/>
      </c>
      <c r="C3944" s="10" t="str">
        <f t="shared" si="188"/>
        <v/>
      </c>
    </row>
    <row r="3945" spans="1:3" x14ac:dyDescent="0.25">
      <c r="A3945" s="8" t="str">
        <f t="shared" si="186"/>
        <v/>
      </c>
      <c r="B3945" s="9" t="str">
        <f t="shared" si="187"/>
        <v/>
      </c>
      <c r="C3945" s="10" t="str">
        <f t="shared" si="188"/>
        <v/>
      </c>
    </row>
    <row r="3946" spans="1:3" x14ac:dyDescent="0.25">
      <c r="A3946" s="8" t="str">
        <f t="shared" si="186"/>
        <v/>
      </c>
      <c r="B3946" s="9" t="str">
        <f t="shared" si="187"/>
        <v/>
      </c>
      <c r="C3946" s="10" t="str">
        <f t="shared" si="188"/>
        <v/>
      </c>
    </row>
    <row r="3947" spans="1:3" x14ac:dyDescent="0.25">
      <c r="A3947" s="8" t="str">
        <f t="shared" si="186"/>
        <v/>
      </c>
      <c r="B3947" s="9" t="str">
        <f t="shared" si="187"/>
        <v/>
      </c>
      <c r="C3947" s="10" t="str">
        <f t="shared" si="188"/>
        <v/>
      </c>
    </row>
    <row r="3948" spans="1:3" x14ac:dyDescent="0.25">
      <c r="A3948" s="8" t="str">
        <f t="shared" si="186"/>
        <v/>
      </c>
      <c r="B3948" s="9" t="str">
        <f t="shared" si="187"/>
        <v/>
      </c>
      <c r="C3948" s="10" t="str">
        <f t="shared" si="188"/>
        <v/>
      </c>
    </row>
    <row r="3949" spans="1:3" x14ac:dyDescent="0.25">
      <c r="A3949" s="8" t="str">
        <f t="shared" si="186"/>
        <v/>
      </c>
      <c r="B3949" s="9" t="str">
        <f t="shared" si="187"/>
        <v/>
      </c>
      <c r="C3949" s="10" t="str">
        <f t="shared" si="188"/>
        <v/>
      </c>
    </row>
    <row r="3950" spans="1:3" x14ac:dyDescent="0.25">
      <c r="A3950" s="8" t="str">
        <f t="shared" si="186"/>
        <v/>
      </c>
      <c r="B3950" s="9" t="str">
        <f t="shared" si="187"/>
        <v/>
      </c>
      <c r="C3950" s="10" t="str">
        <f t="shared" si="188"/>
        <v/>
      </c>
    </row>
    <row r="3951" spans="1:3" x14ac:dyDescent="0.25">
      <c r="A3951" s="8" t="str">
        <f t="shared" si="186"/>
        <v/>
      </c>
      <c r="B3951" s="9" t="str">
        <f t="shared" si="187"/>
        <v/>
      </c>
      <c r="C3951" s="10" t="str">
        <f t="shared" si="188"/>
        <v/>
      </c>
    </row>
    <row r="3952" spans="1:3" x14ac:dyDescent="0.25">
      <c r="A3952" s="8" t="str">
        <f t="shared" si="186"/>
        <v/>
      </c>
      <c r="B3952" s="9" t="str">
        <f t="shared" si="187"/>
        <v/>
      </c>
      <c r="C3952" s="10" t="str">
        <f t="shared" si="188"/>
        <v/>
      </c>
    </row>
    <row r="3953" spans="1:3" x14ac:dyDescent="0.25">
      <c r="A3953" s="8" t="str">
        <f t="shared" si="186"/>
        <v/>
      </c>
      <c r="B3953" s="9" t="str">
        <f t="shared" si="187"/>
        <v/>
      </c>
      <c r="C3953" s="10" t="str">
        <f t="shared" si="188"/>
        <v/>
      </c>
    </row>
    <row r="3954" spans="1:3" x14ac:dyDescent="0.25">
      <c r="A3954" s="8" t="str">
        <f t="shared" si="186"/>
        <v/>
      </c>
      <c r="B3954" s="9" t="str">
        <f t="shared" si="187"/>
        <v/>
      </c>
      <c r="C3954" s="10" t="str">
        <f t="shared" si="188"/>
        <v/>
      </c>
    </row>
    <row r="3955" spans="1:3" x14ac:dyDescent="0.25">
      <c r="A3955" s="8" t="str">
        <f t="shared" si="186"/>
        <v/>
      </c>
      <c r="B3955" s="9" t="str">
        <f t="shared" si="187"/>
        <v/>
      </c>
      <c r="C3955" s="10" t="str">
        <f t="shared" si="188"/>
        <v/>
      </c>
    </row>
    <row r="3956" spans="1:3" x14ac:dyDescent="0.25">
      <c r="A3956" s="8" t="str">
        <f t="shared" si="186"/>
        <v/>
      </c>
      <c r="B3956" s="9" t="str">
        <f t="shared" si="187"/>
        <v/>
      </c>
      <c r="C3956" s="10" t="str">
        <f t="shared" si="188"/>
        <v/>
      </c>
    </row>
    <row r="3957" spans="1:3" x14ac:dyDescent="0.25">
      <c r="A3957" s="8" t="str">
        <f t="shared" si="186"/>
        <v/>
      </c>
      <c r="B3957" s="9" t="str">
        <f t="shared" si="187"/>
        <v/>
      </c>
      <c r="C3957" s="10" t="str">
        <f t="shared" si="188"/>
        <v/>
      </c>
    </row>
    <row r="3958" spans="1:3" x14ac:dyDescent="0.25">
      <c r="A3958" s="8" t="str">
        <f t="shared" si="186"/>
        <v/>
      </c>
      <c r="B3958" s="9" t="str">
        <f t="shared" si="187"/>
        <v/>
      </c>
      <c r="C3958" s="10" t="str">
        <f t="shared" si="188"/>
        <v/>
      </c>
    </row>
    <row r="3959" spans="1:3" x14ac:dyDescent="0.25">
      <c r="A3959" s="8" t="str">
        <f t="shared" si="186"/>
        <v/>
      </c>
      <c r="B3959" s="9" t="str">
        <f t="shared" si="187"/>
        <v/>
      </c>
      <c r="C3959" s="10" t="str">
        <f t="shared" si="188"/>
        <v/>
      </c>
    </row>
    <row r="3960" spans="1:3" x14ac:dyDescent="0.25">
      <c r="A3960" s="8" t="str">
        <f t="shared" si="186"/>
        <v/>
      </c>
      <c r="B3960" s="9" t="str">
        <f t="shared" si="187"/>
        <v/>
      </c>
      <c r="C3960" s="10" t="str">
        <f t="shared" si="188"/>
        <v/>
      </c>
    </row>
    <row r="3961" spans="1:3" x14ac:dyDescent="0.25">
      <c r="A3961" s="8" t="str">
        <f t="shared" si="186"/>
        <v/>
      </c>
      <c r="B3961" s="9" t="str">
        <f t="shared" si="187"/>
        <v/>
      </c>
      <c r="C3961" s="10" t="str">
        <f t="shared" si="188"/>
        <v/>
      </c>
    </row>
    <row r="3962" spans="1:3" x14ac:dyDescent="0.25">
      <c r="A3962" s="8" t="str">
        <f t="shared" si="186"/>
        <v/>
      </c>
      <c r="B3962" s="9" t="str">
        <f t="shared" si="187"/>
        <v/>
      </c>
      <c r="C3962" s="10" t="str">
        <f t="shared" si="188"/>
        <v/>
      </c>
    </row>
    <row r="3963" spans="1:3" x14ac:dyDescent="0.25">
      <c r="A3963" s="8" t="str">
        <f t="shared" si="186"/>
        <v/>
      </c>
      <c r="B3963" s="9" t="str">
        <f t="shared" si="187"/>
        <v/>
      </c>
      <c r="C3963" s="10" t="str">
        <f t="shared" si="188"/>
        <v/>
      </c>
    </row>
    <row r="3964" spans="1:3" x14ac:dyDescent="0.25">
      <c r="A3964" s="8" t="str">
        <f t="shared" si="186"/>
        <v/>
      </c>
      <c r="B3964" s="9" t="str">
        <f t="shared" si="187"/>
        <v/>
      </c>
      <c r="C3964" s="10" t="str">
        <f t="shared" si="188"/>
        <v/>
      </c>
    </row>
    <row r="3965" spans="1:3" x14ac:dyDescent="0.25">
      <c r="A3965" s="8" t="str">
        <f t="shared" si="186"/>
        <v/>
      </c>
      <c r="B3965" s="9" t="str">
        <f t="shared" si="187"/>
        <v/>
      </c>
      <c r="C3965" s="10" t="str">
        <f t="shared" si="188"/>
        <v/>
      </c>
    </row>
    <row r="3966" spans="1:3" x14ac:dyDescent="0.25">
      <c r="A3966" s="8" t="str">
        <f t="shared" si="186"/>
        <v/>
      </c>
      <c r="B3966" s="9" t="str">
        <f t="shared" si="187"/>
        <v/>
      </c>
      <c r="C3966" s="10" t="str">
        <f t="shared" si="188"/>
        <v/>
      </c>
    </row>
    <row r="3967" spans="1:3" x14ac:dyDescent="0.25">
      <c r="A3967" s="8" t="str">
        <f t="shared" si="186"/>
        <v/>
      </c>
      <c r="B3967" s="9" t="str">
        <f t="shared" si="187"/>
        <v/>
      </c>
      <c r="C3967" s="10" t="str">
        <f t="shared" si="188"/>
        <v/>
      </c>
    </row>
    <row r="3968" spans="1:3" x14ac:dyDescent="0.25">
      <c r="A3968" s="8" t="str">
        <f t="shared" si="186"/>
        <v/>
      </c>
      <c r="B3968" s="9" t="str">
        <f t="shared" si="187"/>
        <v/>
      </c>
      <c r="C3968" s="10" t="str">
        <f t="shared" si="188"/>
        <v/>
      </c>
    </row>
    <row r="3969" spans="1:3" x14ac:dyDescent="0.25">
      <c r="A3969" s="8" t="str">
        <f t="shared" si="186"/>
        <v/>
      </c>
      <c r="B3969" s="9" t="str">
        <f t="shared" si="187"/>
        <v/>
      </c>
      <c r="C3969" s="10" t="str">
        <f t="shared" si="188"/>
        <v/>
      </c>
    </row>
    <row r="3970" spans="1:3" x14ac:dyDescent="0.25">
      <c r="A3970" s="8" t="str">
        <f t="shared" si="186"/>
        <v/>
      </c>
      <c r="B3970" s="9" t="str">
        <f t="shared" si="187"/>
        <v/>
      </c>
      <c r="C3970" s="10" t="str">
        <f t="shared" si="188"/>
        <v/>
      </c>
    </row>
    <row r="3971" spans="1:3" x14ac:dyDescent="0.25">
      <c r="A3971" s="8" t="str">
        <f t="shared" si="186"/>
        <v/>
      </c>
      <c r="B3971" s="9" t="str">
        <f t="shared" si="187"/>
        <v/>
      </c>
      <c r="C3971" s="10" t="str">
        <f t="shared" si="188"/>
        <v/>
      </c>
    </row>
    <row r="3972" spans="1:3" x14ac:dyDescent="0.25">
      <c r="A3972" s="8" t="str">
        <f t="shared" si="186"/>
        <v/>
      </c>
      <c r="B3972" s="9" t="str">
        <f t="shared" si="187"/>
        <v/>
      </c>
      <c r="C3972" s="10" t="str">
        <f t="shared" si="188"/>
        <v/>
      </c>
    </row>
    <row r="3973" spans="1:3" x14ac:dyDescent="0.25">
      <c r="A3973" s="8" t="str">
        <f t="shared" si="186"/>
        <v/>
      </c>
      <c r="B3973" s="9" t="str">
        <f t="shared" si="187"/>
        <v/>
      </c>
      <c r="C3973" s="10" t="str">
        <f t="shared" si="188"/>
        <v/>
      </c>
    </row>
    <row r="3974" spans="1:3" x14ac:dyDescent="0.25">
      <c r="A3974" s="8" t="str">
        <f t="shared" si="186"/>
        <v/>
      </c>
      <c r="B3974" s="9" t="str">
        <f t="shared" si="187"/>
        <v/>
      </c>
      <c r="C3974" s="10" t="str">
        <f t="shared" si="188"/>
        <v/>
      </c>
    </row>
    <row r="3975" spans="1:3" x14ac:dyDescent="0.25">
      <c r="A3975" s="8" t="str">
        <f t="shared" si="186"/>
        <v/>
      </c>
      <c r="B3975" s="9" t="str">
        <f t="shared" si="187"/>
        <v/>
      </c>
      <c r="C3975" s="10" t="str">
        <f t="shared" si="188"/>
        <v/>
      </c>
    </row>
    <row r="3976" spans="1:3" x14ac:dyDescent="0.25">
      <c r="A3976" s="8" t="str">
        <f t="shared" si="186"/>
        <v/>
      </c>
      <c r="B3976" s="9" t="str">
        <f t="shared" si="187"/>
        <v/>
      </c>
      <c r="C3976" s="10" t="str">
        <f t="shared" si="188"/>
        <v/>
      </c>
    </row>
    <row r="3977" spans="1:3" x14ac:dyDescent="0.25">
      <c r="A3977" s="8" t="str">
        <f t="shared" si="186"/>
        <v/>
      </c>
      <c r="B3977" s="9" t="str">
        <f t="shared" si="187"/>
        <v/>
      </c>
      <c r="C3977" s="10" t="str">
        <f t="shared" si="188"/>
        <v/>
      </c>
    </row>
    <row r="3978" spans="1:3" x14ac:dyDescent="0.25">
      <c r="A3978" s="8" t="str">
        <f t="shared" si="186"/>
        <v/>
      </c>
      <c r="B3978" s="9" t="str">
        <f t="shared" si="187"/>
        <v/>
      </c>
      <c r="C3978" s="10" t="str">
        <f t="shared" si="188"/>
        <v/>
      </c>
    </row>
    <row r="3979" spans="1:3" x14ac:dyDescent="0.25">
      <c r="A3979" s="8" t="str">
        <f t="shared" si="186"/>
        <v/>
      </c>
      <c r="B3979" s="9" t="str">
        <f t="shared" si="187"/>
        <v/>
      </c>
      <c r="C3979" s="10" t="str">
        <f t="shared" si="188"/>
        <v/>
      </c>
    </row>
    <row r="3980" spans="1:3" x14ac:dyDescent="0.25">
      <c r="A3980" s="8" t="str">
        <f t="shared" si="186"/>
        <v/>
      </c>
      <c r="B3980" s="9" t="str">
        <f t="shared" si="187"/>
        <v/>
      </c>
      <c r="C3980" s="10" t="str">
        <f t="shared" si="188"/>
        <v/>
      </c>
    </row>
    <row r="3981" spans="1:3" x14ac:dyDescent="0.25">
      <c r="A3981" s="8" t="str">
        <f t="shared" si="186"/>
        <v/>
      </c>
      <c r="B3981" s="9" t="str">
        <f t="shared" si="187"/>
        <v/>
      </c>
      <c r="C3981" s="10" t="str">
        <f t="shared" si="188"/>
        <v/>
      </c>
    </row>
    <row r="3982" spans="1:3" x14ac:dyDescent="0.25">
      <c r="A3982" s="8" t="str">
        <f t="shared" si="186"/>
        <v/>
      </c>
      <c r="B3982" s="9" t="str">
        <f t="shared" si="187"/>
        <v/>
      </c>
      <c r="C3982" s="10" t="str">
        <f t="shared" si="188"/>
        <v/>
      </c>
    </row>
    <row r="3983" spans="1:3" x14ac:dyDescent="0.25">
      <c r="A3983" s="8" t="str">
        <f t="shared" si="186"/>
        <v/>
      </c>
      <c r="B3983" s="9" t="str">
        <f t="shared" si="187"/>
        <v/>
      </c>
      <c r="C3983" s="10" t="str">
        <f t="shared" si="188"/>
        <v/>
      </c>
    </row>
    <row r="3984" spans="1:3" x14ac:dyDescent="0.25">
      <c r="A3984" s="8" t="str">
        <f t="shared" si="186"/>
        <v/>
      </c>
      <c r="B3984" s="9" t="str">
        <f t="shared" si="187"/>
        <v/>
      </c>
      <c r="C3984" s="10" t="str">
        <f t="shared" si="188"/>
        <v/>
      </c>
    </row>
    <row r="3985" spans="1:3" x14ac:dyDescent="0.25">
      <c r="A3985" s="8" t="str">
        <f t="shared" si="186"/>
        <v/>
      </c>
      <c r="B3985" s="9" t="str">
        <f t="shared" si="187"/>
        <v/>
      </c>
      <c r="C3985" s="10" t="str">
        <f t="shared" si="188"/>
        <v/>
      </c>
    </row>
    <row r="3986" spans="1:3" x14ac:dyDescent="0.25">
      <c r="A3986" s="8" t="str">
        <f t="shared" si="186"/>
        <v/>
      </c>
      <c r="B3986" s="9" t="str">
        <f t="shared" si="187"/>
        <v/>
      </c>
      <c r="C3986" s="10" t="str">
        <f t="shared" si="188"/>
        <v/>
      </c>
    </row>
    <row r="3987" spans="1:3" x14ac:dyDescent="0.25">
      <c r="A3987" s="8" t="str">
        <f t="shared" si="186"/>
        <v/>
      </c>
      <c r="B3987" s="9" t="str">
        <f t="shared" si="187"/>
        <v/>
      </c>
      <c r="C3987" s="10" t="str">
        <f t="shared" si="188"/>
        <v/>
      </c>
    </row>
    <row r="3988" spans="1:3" x14ac:dyDescent="0.25">
      <c r="A3988" s="8" t="str">
        <f t="shared" si="186"/>
        <v/>
      </c>
      <c r="B3988" s="9" t="str">
        <f t="shared" si="187"/>
        <v/>
      </c>
      <c r="C3988" s="10" t="str">
        <f t="shared" si="188"/>
        <v/>
      </c>
    </row>
    <row r="3989" spans="1:3" x14ac:dyDescent="0.25">
      <c r="A3989" s="8" t="str">
        <f t="shared" si="186"/>
        <v/>
      </c>
      <c r="B3989" s="9" t="str">
        <f t="shared" si="187"/>
        <v/>
      </c>
      <c r="C3989" s="10" t="str">
        <f t="shared" si="188"/>
        <v/>
      </c>
    </row>
    <row r="3990" spans="1:3" x14ac:dyDescent="0.25">
      <c r="A3990" s="8" t="str">
        <f t="shared" si="186"/>
        <v/>
      </c>
      <c r="B3990" s="9" t="str">
        <f t="shared" si="187"/>
        <v/>
      </c>
      <c r="C3990" s="10" t="str">
        <f t="shared" si="188"/>
        <v/>
      </c>
    </row>
    <row r="3991" spans="1:3" x14ac:dyDescent="0.25">
      <c r="A3991" s="8" t="str">
        <f t="shared" si="186"/>
        <v/>
      </c>
      <c r="B3991" s="9" t="str">
        <f t="shared" si="187"/>
        <v/>
      </c>
      <c r="C3991" s="10" t="str">
        <f t="shared" si="188"/>
        <v/>
      </c>
    </row>
    <row r="3992" spans="1:3" x14ac:dyDescent="0.25">
      <c r="A3992" s="8" t="str">
        <f t="shared" si="186"/>
        <v/>
      </c>
      <c r="B3992" s="9" t="str">
        <f t="shared" si="187"/>
        <v/>
      </c>
      <c r="C3992" s="10" t="str">
        <f t="shared" si="188"/>
        <v/>
      </c>
    </row>
    <row r="3993" spans="1:3" x14ac:dyDescent="0.25">
      <c r="A3993" s="8" t="str">
        <f t="shared" si="186"/>
        <v/>
      </c>
      <c r="B3993" s="9" t="str">
        <f t="shared" si="187"/>
        <v/>
      </c>
      <c r="C3993" s="10" t="str">
        <f t="shared" si="188"/>
        <v/>
      </c>
    </row>
    <row r="3994" spans="1:3" x14ac:dyDescent="0.25">
      <c r="A3994" s="8" t="str">
        <f t="shared" si="186"/>
        <v/>
      </c>
      <c r="B3994" s="9" t="str">
        <f t="shared" si="187"/>
        <v/>
      </c>
      <c r="C3994" s="10" t="str">
        <f t="shared" si="188"/>
        <v/>
      </c>
    </row>
    <row r="3995" spans="1:3" x14ac:dyDescent="0.25">
      <c r="A3995" s="8" t="str">
        <f t="shared" si="186"/>
        <v/>
      </c>
      <c r="B3995" s="9" t="str">
        <f t="shared" si="187"/>
        <v/>
      </c>
      <c r="C3995" s="10" t="str">
        <f t="shared" si="188"/>
        <v/>
      </c>
    </row>
    <row r="3996" spans="1:3" x14ac:dyDescent="0.25">
      <c r="A3996" s="8" t="str">
        <f t="shared" si="186"/>
        <v/>
      </c>
      <c r="B3996" s="9" t="str">
        <f t="shared" si="187"/>
        <v/>
      </c>
      <c r="C3996" s="10" t="str">
        <f t="shared" si="188"/>
        <v/>
      </c>
    </row>
    <row r="3997" spans="1:3" x14ac:dyDescent="0.25">
      <c r="A3997" s="8" t="str">
        <f t="shared" si="186"/>
        <v/>
      </c>
      <c r="B3997" s="9" t="str">
        <f t="shared" si="187"/>
        <v/>
      </c>
      <c r="C3997" s="10" t="str">
        <f t="shared" si="188"/>
        <v/>
      </c>
    </row>
    <row r="3998" spans="1:3" x14ac:dyDescent="0.25">
      <c r="A3998" s="8" t="str">
        <f t="shared" si="186"/>
        <v/>
      </c>
      <c r="B3998" s="9" t="str">
        <f t="shared" si="187"/>
        <v/>
      </c>
      <c r="C3998" s="10" t="str">
        <f t="shared" si="188"/>
        <v/>
      </c>
    </row>
    <row r="3999" spans="1:3" x14ac:dyDescent="0.25">
      <c r="A3999" s="8" t="str">
        <f t="shared" si="186"/>
        <v/>
      </c>
      <c r="B3999" s="9" t="str">
        <f t="shared" si="187"/>
        <v/>
      </c>
      <c r="C3999" s="10" t="str">
        <f t="shared" si="188"/>
        <v/>
      </c>
    </row>
    <row r="4000" spans="1:3" x14ac:dyDescent="0.25">
      <c r="A4000" s="8" t="str">
        <f t="shared" si="186"/>
        <v/>
      </c>
      <c r="B4000" s="9" t="str">
        <f t="shared" si="187"/>
        <v/>
      </c>
      <c r="C4000" s="10" t="str">
        <f t="shared" si="188"/>
        <v/>
      </c>
    </row>
    <row r="4001" spans="1:3" x14ac:dyDescent="0.25">
      <c r="A4001" s="8" t="str">
        <f t="shared" si="186"/>
        <v/>
      </c>
      <c r="B4001" s="9" t="str">
        <f t="shared" si="187"/>
        <v/>
      </c>
      <c r="C4001" s="10" t="str">
        <f t="shared" si="188"/>
        <v/>
      </c>
    </row>
    <row r="4002" spans="1:3" x14ac:dyDescent="0.25">
      <c r="A4002" s="8" t="str">
        <f t="shared" si="186"/>
        <v/>
      </c>
      <c r="B4002" s="9" t="str">
        <f t="shared" si="187"/>
        <v/>
      </c>
      <c r="C4002" s="10" t="str">
        <f t="shared" si="188"/>
        <v/>
      </c>
    </row>
    <row r="4003" spans="1:3" x14ac:dyDescent="0.25">
      <c r="A4003" s="8" t="str">
        <f t="shared" si="186"/>
        <v/>
      </c>
      <c r="B4003" s="9" t="str">
        <f t="shared" si="187"/>
        <v/>
      </c>
      <c r="C4003" s="10" t="str">
        <f t="shared" si="188"/>
        <v/>
      </c>
    </row>
    <row r="4004" spans="1:3" x14ac:dyDescent="0.25">
      <c r="A4004" s="8" t="str">
        <f t="shared" si="186"/>
        <v/>
      </c>
      <c r="B4004" s="9" t="str">
        <f t="shared" si="187"/>
        <v/>
      </c>
      <c r="C4004" s="10" t="str">
        <f t="shared" si="188"/>
        <v/>
      </c>
    </row>
    <row r="4005" spans="1:3" x14ac:dyDescent="0.25">
      <c r="A4005" s="8" t="str">
        <f t="shared" si="186"/>
        <v/>
      </c>
      <c r="B4005" s="9" t="str">
        <f t="shared" si="187"/>
        <v/>
      </c>
      <c r="C4005" s="10" t="str">
        <f t="shared" si="188"/>
        <v/>
      </c>
    </row>
    <row r="4006" spans="1:3" x14ac:dyDescent="0.25">
      <c r="A4006" s="8" t="str">
        <f t="shared" si="186"/>
        <v/>
      </c>
      <c r="B4006" s="9" t="str">
        <f t="shared" si="187"/>
        <v/>
      </c>
      <c r="C4006" s="10" t="str">
        <f t="shared" si="188"/>
        <v/>
      </c>
    </row>
    <row r="4007" spans="1:3" x14ac:dyDescent="0.25">
      <c r="A4007" s="8" t="str">
        <f t="shared" ref="A4007:A4070" si="189">IF(D4007="","",IF(E4007=0,CONCATENATE(D4007,".",E4007,"00"),CONCATENATE(D4007,".",E4007)))</f>
        <v/>
      </c>
      <c r="B4007" s="9" t="str">
        <f t="shared" ref="B4007:B4070" si="190">LEFT(G4007,1)</f>
        <v/>
      </c>
      <c r="C4007" s="10" t="str">
        <f t="shared" ref="C4007:C4070" si="191">IF(F4007="","",IF(B4007="",F4007-4,IF(B4007="1",F4007-4,IF(B4007="2",F4007-3,IF(B4007="3",F4007-2,IF(B4007="4",F4007-1,IF(B4007="V",F4007-7,IF(B4007="J",F4007-8,F4007))))))))</f>
        <v/>
      </c>
    </row>
    <row r="4008" spans="1:3" x14ac:dyDescent="0.25">
      <c r="A4008" s="8" t="str">
        <f t="shared" si="189"/>
        <v/>
      </c>
      <c r="B4008" s="9" t="str">
        <f t="shared" si="190"/>
        <v/>
      </c>
      <c r="C4008" s="10" t="str">
        <f t="shared" si="191"/>
        <v/>
      </c>
    </row>
    <row r="4009" spans="1:3" x14ac:dyDescent="0.25">
      <c r="A4009" s="8" t="str">
        <f t="shared" si="189"/>
        <v/>
      </c>
      <c r="B4009" s="9" t="str">
        <f t="shared" si="190"/>
        <v/>
      </c>
      <c r="C4009" s="10" t="str">
        <f t="shared" si="191"/>
        <v/>
      </c>
    </row>
    <row r="4010" spans="1:3" x14ac:dyDescent="0.25">
      <c r="A4010" s="8" t="str">
        <f t="shared" si="189"/>
        <v/>
      </c>
      <c r="B4010" s="9" t="str">
        <f t="shared" si="190"/>
        <v/>
      </c>
      <c r="C4010" s="10" t="str">
        <f t="shared" si="191"/>
        <v/>
      </c>
    </row>
    <row r="4011" spans="1:3" x14ac:dyDescent="0.25">
      <c r="A4011" s="8" t="str">
        <f t="shared" si="189"/>
        <v/>
      </c>
      <c r="B4011" s="9" t="str">
        <f t="shared" si="190"/>
        <v/>
      </c>
      <c r="C4011" s="10" t="str">
        <f t="shared" si="191"/>
        <v/>
      </c>
    </row>
    <row r="4012" spans="1:3" x14ac:dyDescent="0.25">
      <c r="A4012" s="8" t="str">
        <f t="shared" si="189"/>
        <v/>
      </c>
      <c r="B4012" s="9" t="str">
        <f t="shared" si="190"/>
        <v/>
      </c>
      <c r="C4012" s="10" t="str">
        <f t="shared" si="191"/>
        <v/>
      </c>
    </row>
    <row r="4013" spans="1:3" x14ac:dyDescent="0.25">
      <c r="A4013" s="8" t="str">
        <f t="shared" si="189"/>
        <v/>
      </c>
      <c r="B4013" s="9" t="str">
        <f t="shared" si="190"/>
        <v/>
      </c>
      <c r="C4013" s="10" t="str">
        <f t="shared" si="191"/>
        <v/>
      </c>
    </row>
    <row r="4014" spans="1:3" x14ac:dyDescent="0.25">
      <c r="A4014" s="8" t="str">
        <f t="shared" si="189"/>
        <v/>
      </c>
      <c r="B4014" s="9" t="str">
        <f t="shared" si="190"/>
        <v/>
      </c>
      <c r="C4014" s="10" t="str">
        <f t="shared" si="191"/>
        <v/>
      </c>
    </row>
    <row r="4015" spans="1:3" x14ac:dyDescent="0.25">
      <c r="A4015" s="8" t="str">
        <f t="shared" si="189"/>
        <v/>
      </c>
      <c r="B4015" s="9" t="str">
        <f t="shared" si="190"/>
        <v/>
      </c>
      <c r="C4015" s="10" t="str">
        <f t="shared" si="191"/>
        <v/>
      </c>
    </row>
    <row r="4016" spans="1:3" x14ac:dyDescent="0.25">
      <c r="A4016" s="8" t="str">
        <f t="shared" si="189"/>
        <v/>
      </c>
      <c r="B4016" s="9" t="str">
        <f t="shared" si="190"/>
        <v/>
      </c>
      <c r="C4016" s="10" t="str">
        <f t="shared" si="191"/>
        <v/>
      </c>
    </row>
    <row r="4017" spans="1:3" x14ac:dyDescent="0.25">
      <c r="A4017" s="8" t="str">
        <f t="shared" si="189"/>
        <v/>
      </c>
      <c r="B4017" s="9" t="str">
        <f t="shared" si="190"/>
        <v/>
      </c>
      <c r="C4017" s="10" t="str">
        <f t="shared" si="191"/>
        <v/>
      </c>
    </row>
    <row r="4018" spans="1:3" x14ac:dyDescent="0.25">
      <c r="A4018" s="8" t="str">
        <f t="shared" si="189"/>
        <v/>
      </c>
      <c r="B4018" s="9" t="str">
        <f t="shared" si="190"/>
        <v/>
      </c>
      <c r="C4018" s="10" t="str">
        <f t="shared" si="191"/>
        <v/>
      </c>
    </row>
    <row r="4019" spans="1:3" x14ac:dyDescent="0.25">
      <c r="A4019" s="8" t="str">
        <f t="shared" si="189"/>
        <v/>
      </c>
      <c r="B4019" s="9" t="str">
        <f t="shared" si="190"/>
        <v/>
      </c>
      <c r="C4019" s="10" t="str">
        <f t="shared" si="191"/>
        <v/>
      </c>
    </row>
    <row r="4020" spans="1:3" x14ac:dyDescent="0.25">
      <c r="A4020" s="8" t="str">
        <f t="shared" si="189"/>
        <v/>
      </c>
      <c r="B4020" s="9" t="str">
        <f t="shared" si="190"/>
        <v/>
      </c>
      <c r="C4020" s="10" t="str">
        <f t="shared" si="191"/>
        <v/>
      </c>
    </row>
    <row r="4021" spans="1:3" x14ac:dyDescent="0.25">
      <c r="A4021" s="8" t="str">
        <f t="shared" si="189"/>
        <v/>
      </c>
      <c r="B4021" s="9" t="str">
        <f t="shared" si="190"/>
        <v/>
      </c>
      <c r="C4021" s="10" t="str">
        <f t="shared" si="191"/>
        <v/>
      </c>
    </row>
    <row r="4022" spans="1:3" x14ac:dyDescent="0.25">
      <c r="A4022" s="8" t="str">
        <f t="shared" si="189"/>
        <v/>
      </c>
      <c r="B4022" s="9" t="str">
        <f t="shared" si="190"/>
        <v/>
      </c>
      <c r="C4022" s="10" t="str">
        <f t="shared" si="191"/>
        <v/>
      </c>
    </row>
    <row r="4023" spans="1:3" x14ac:dyDescent="0.25">
      <c r="A4023" s="8" t="str">
        <f t="shared" si="189"/>
        <v/>
      </c>
      <c r="B4023" s="9" t="str">
        <f t="shared" si="190"/>
        <v/>
      </c>
      <c r="C4023" s="10" t="str">
        <f t="shared" si="191"/>
        <v/>
      </c>
    </row>
    <row r="4024" spans="1:3" x14ac:dyDescent="0.25">
      <c r="A4024" s="8" t="str">
        <f t="shared" si="189"/>
        <v/>
      </c>
      <c r="B4024" s="9" t="str">
        <f t="shared" si="190"/>
        <v/>
      </c>
      <c r="C4024" s="10" t="str">
        <f t="shared" si="191"/>
        <v/>
      </c>
    </row>
    <row r="4025" spans="1:3" x14ac:dyDescent="0.25">
      <c r="A4025" s="8" t="str">
        <f t="shared" si="189"/>
        <v/>
      </c>
      <c r="B4025" s="9" t="str">
        <f t="shared" si="190"/>
        <v/>
      </c>
      <c r="C4025" s="10" t="str">
        <f t="shared" si="191"/>
        <v/>
      </c>
    </row>
    <row r="4026" spans="1:3" x14ac:dyDescent="0.25">
      <c r="A4026" s="8" t="str">
        <f t="shared" si="189"/>
        <v/>
      </c>
      <c r="B4026" s="9" t="str">
        <f t="shared" si="190"/>
        <v/>
      </c>
      <c r="C4026" s="10" t="str">
        <f t="shared" si="191"/>
        <v/>
      </c>
    </row>
    <row r="4027" spans="1:3" x14ac:dyDescent="0.25">
      <c r="A4027" s="8" t="str">
        <f t="shared" si="189"/>
        <v/>
      </c>
      <c r="B4027" s="9" t="str">
        <f t="shared" si="190"/>
        <v/>
      </c>
      <c r="C4027" s="10" t="str">
        <f t="shared" si="191"/>
        <v/>
      </c>
    </row>
    <row r="4028" spans="1:3" x14ac:dyDescent="0.25">
      <c r="A4028" s="8" t="str">
        <f t="shared" si="189"/>
        <v/>
      </c>
      <c r="B4028" s="9" t="str">
        <f t="shared" si="190"/>
        <v/>
      </c>
      <c r="C4028" s="10" t="str">
        <f t="shared" si="191"/>
        <v/>
      </c>
    </row>
    <row r="4029" spans="1:3" x14ac:dyDescent="0.25">
      <c r="A4029" s="8" t="str">
        <f t="shared" si="189"/>
        <v/>
      </c>
      <c r="B4029" s="9" t="str">
        <f t="shared" si="190"/>
        <v/>
      </c>
      <c r="C4029" s="10" t="str">
        <f t="shared" si="191"/>
        <v/>
      </c>
    </row>
    <row r="4030" spans="1:3" x14ac:dyDescent="0.25">
      <c r="A4030" s="8" t="str">
        <f t="shared" si="189"/>
        <v/>
      </c>
      <c r="B4030" s="9" t="str">
        <f t="shared" si="190"/>
        <v/>
      </c>
      <c r="C4030" s="10" t="str">
        <f t="shared" si="191"/>
        <v/>
      </c>
    </row>
    <row r="4031" spans="1:3" x14ac:dyDescent="0.25">
      <c r="A4031" s="8" t="str">
        <f t="shared" si="189"/>
        <v/>
      </c>
      <c r="B4031" s="9" t="str">
        <f t="shared" si="190"/>
        <v/>
      </c>
      <c r="C4031" s="10" t="str">
        <f t="shared" si="191"/>
        <v/>
      </c>
    </row>
    <row r="4032" spans="1:3" x14ac:dyDescent="0.25">
      <c r="A4032" s="8" t="str">
        <f t="shared" si="189"/>
        <v/>
      </c>
      <c r="B4032" s="9" t="str">
        <f t="shared" si="190"/>
        <v/>
      </c>
      <c r="C4032" s="10" t="str">
        <f t="shared" si="191"/>
        <v/>
      </c>
    </row>
    <row r="4033" spans="1:3" x14ac:dyDescent="0.25">
      <c r="A4033" s="8" t="str">
        <f t="shared" si="189"/>
        <v/>
      </c>
      <c r="B4033" s="9" t="str">
        <f t="shared" si="190"/>
        <v/>
      </c>
      <c r="C4033" s="10" t="str">
        <f t="shared" si="191"/>
        <v/>
      </c>
    </row>
    <row r="4034" spans="1:3" x14ac:dyDescent="0.25">
      <c r="A4034" s="8" t="str">
        <f t="shared" si="189"/>
        <v/>
      </c>
      <c r="B4034" s="9" t="str">
        <f t="shared" si="190"/>
        <v/>
      </c>
      <c r="C4034" s="10" t="str">
        <f t="shared" si="191"/>
        <v/>
      </c>
    </row>
    <row r="4035" spans="1:3" x14ac:dyDescent="0.25">
      <c r="A4035" s="8" t="str">
        <f t="shared" si="189"/>
        <v/>
      </c>
      <c r="B4035" s="9" t="str">
        <f t="shared" si="190"/>
        <v/>
      </c>
      <c r="C4035" s="10" t="str">
        <f t="shared" si="191"/>
        <v/>
      </c>
    </row>
    <row r="4036" spans="1:3" x14ac:dyDescent="0.25">
      <c r="A4036" s="8" t="str">
        <f t="shared" si="189"/>
        <v/>
      </c>
      <c r="B4036" s="9" t="str">
        <f t="shared" si="190"/>
        <v/>
      </c>
      <c r="C4036" s="10" t="str">
        <f t="shared" si="191"/>
        <v/>
      </c>
    </row>
    <row r="4037" spans="1:3" x14ac:dyDescent="0.25">
      <c r="A4037" s="8" t="str">
        <f t="shared" si="189"/>
        <v/>
      </c>
      <c r="B4037" s="9" t="str">
        <f t="shared" si="190"/>
        <v/>
      </c>
      <c r="C4037" s="10" t="str">
        <f t="shared" si="191"/>
        <v/>
      </c>
    </row>
    <row r="4038" spans="1:3" x14ac:dyDescent="0.25">
      <c r="A4038" s="8" t="str">
        <f t="shared" si="189"/>
        <v/>
      </c>
      <c r="B4038" s="9" t="str">
        <f t="shared" si="190"/>
        <v/>
      </c>
      <c r="C4038" s="10" t="str">
        <f t="shared" si="191"/>
        <v/>
      </c>
    </row>
    <row r="4039" spans="1:3" x14ac:dyDescent="0.25">
      <c r="A4039" s="8" t="str">
        <f t="shared" si="189"/>
        <v/>
      </c>
      <c r="B4039" s="9" t="str">
        <f t="shared" si="190"/>
        <v/>
      </c>
      <c r="C4039" s="10" t="str">
        <f t="shared" si="191"/>
        <v/>
      </c>
    </row>
    <row r="4040" spans="1:3" x14ac:dyDescent="0.25">
      <c r="A4040" s="8" t="str">
        <f t="shared" si="189"/>
        <v/>
      </c>
      <c r="B4040" s="9" t="str">
        <f t="shared" si="190"/>
        <v/>
      </c>
      <c r="C4040" s="10" t="str">
        <f t="shared" si="191"/>
        <v/>
      </c>
    </row>
    <row r="4041" spans="1:3" x14ac:dyDescent="0.25">
      <c r="A4041" s="8" t="str">
        <f t="shared" si="189"/>
        <v/>
      </c>
      <c r="B4041" s="9" t="str">
        <f t="shared" si="190"/>
        <v/>
      </c>
      <c r="C4041" s="10" t="str">
        <f t="shared" si="191"/>
        <v/>
      </c>
    </row>
    <row r="4042" spans="1:3" x14ac:dyDescent="0.25">
      <c r="A4042" s="8" t="str">
        <f t="shared" si="189"/>
        <v/>
      </c>
      <c r="B4042" s="9" t="str">
        <f t="shared" si="190"/>
        <v/>
      </c>
      <c r="C4042" s="10" t="str">
        <f t="shared" si="191"/>
        <v/>
      </c>
    </row>
    <row r="4043" spans="1:3" x14ac:dyDescent="0.25">
      <c r="A4043" s="8" t="str">
        <f t="shared" si="189"/>
        <v/>
      </c>
      <c r="B4043" s="9" t="str">
        <f t="shared" si="190"/>
        <v/>
      </c>
      <c r="C4043" s="10" t="str">
        <f t="shared" si="191"/>
        <v/>
      </c>
    </row>
    <row r="4044" spans="1:3" x14ac:dyDescent="0.25">
      <c r="A4044" s="8" t="str">
        <f t="shared" si="189"/>
        <v/>
      </c>
      <c r="B4044" s="9" t="str">
        <f t="shared" si="190"/>
        <v/>
      </c>
      <c r="C4044" s="10" t="str">
        <f t="shared" si="191"/>
        <v/>
      </c>
    </row>
    <row r="4045" spans="1:3" x14ac:dyDescent="0.25">
      <c r="A4045" s="8" t="str">
        <f t="shared" si="189"/>
        <v/>
      </c>
      <c r="B4045" s="9" t="str">
        <f t="shared" si="190"/>
        <v/>
      </c>
      <c r="C4045" s="10" t="str">
        <f t="shared" si="191"/>
        <v/>
      </c>
    </row>
    <row r="4046" spans="1:3" x14ac:dyDescent="0.25">
      <c r="A4046" s="8" t="str">
        <f t="shared" si="189"/>
        <v/>
      </c>
      <c r="B4046" s="9" t="str">
        <f t="shared" si="190"/>
        <v/>
      </c>
      <c r="C4046" s="10" t="str">
        <f t="shared" si="191"/>
        <v/>
      </c>
    </row>
    <row r="4047" spans="1:3" x14ac:dyDescent="0.25">
      <c r="A4047" s="8" t="str">
        <f t="shared" si="189"/>
        <v/>
      </c>
      <c r="B4047" s="9" t="str">
        <f t="shared" si="190"/>
        <v/>
      </c>
      <c r="C4047" s="10" t="str">
        <f t="shared" si="191"/>
        <v/>
      </c>
    </row>
    <row r="4048" spans="1:3" x14ac:dyDescent="0.25">
      <c r="A4048" s="8" t="str">
        <f t="shared" si="189"/>
        <v/>
      </c>
      <c r="B4048" s="9" t="str">
        <f t="shared" si="190"/>
        <v/>
      </c>
      <c r="C4048" s="10" t="str">
        <f t="shared" si="191"/>
        <v/>
      </c>
    </row>
    <row r="4049" spans="1:3" x14ac:dyDescent="0.25">
      <c r="A4049" s="8" t="str">
        <f t="shared" si="189"/>
        <v/>
      </c>
      <c r="B4049" s="9" t="str">
        <f t="shared" si="190"/>
        <v/>
      </c>
      <c r="C4049" s="10" t="str">
        <f t="shared" si="191"/>
        <v/>
      </c>
    </row>
    <row r="4050" spans="1:3" x14ac:dyDescent="0.25">
      <c r="A4050" s="8" t="str">
        <f t="shared" si="189"/>
        <v/>
      </c>
      <c r="B4050" s="9" t="str">
        <f t="shared" si="190"/>
        <v/>
      </c>
      <c r="C4050" s="10" t="str">
        <f t="shared" si="191"/>
        <v/>
      </c>
    </row>
    <row r="4051" spans="1:3" x14ac:dyDescent="0.25">
      <c r="A4051" s="8" t="str">
        <f t="shared" si="189"/>
        <v/>
      </c>
      <c r="B4051" s="9" t="str">
        <f t="shared" si="190"/>
        <v/>
      </c>
      <c r="C4051" s="10" t="str">
        <f t="shared" si="191"/>
        <v/>
      </c>
    </row>
    <row r="4052" spans="1:3" x14ac:dyDescent="0.25">
      <c r="A4052" s="8" t="str">
        <f t="shared" si="189"/>
        <v/>
      </c>
      <c r="B4052" s="9" t="str">
        <f t="shared" si="190"/>
        <v/>
      </c>
      <c r="C4052" s="10" t="str">
        <f t="shared" si="191"/>
        <v/>
      </c>
    </row>
    <row r="4053" spans="1:3" x14ac:dyDescent="0.25">
      <c r="A4053" s="8" t="str">
        <f t="shared" si="189"/>
        <v/>
      </c>
      <c r="B4053" s="9" t="str">
        <f t="shared" si="190"/>
        <v/>
      </c>
      <c r="C4053" s="10" t="str">
        <f t="shared" si="191"/>
        <v/>
      </c>
    </row>
    <row r="4054" spans="1:3" x14ac:dyDescent="0.25">
      <c r="A4054" s="8" t="str">
        <f t="shared" si="189"/>
        <v/>
      </c>
      <c r="B4054" s="9" t="str">
        <f t="shared" si="190"/>
        <v/>
      </c>
      <c r="C4054" s="10" t="str">
        <f t="shared" si="191"/>
        <v/>
      </c>
    </row>
    <row r="4055" spans="1:3" x14ac:dyDescent="0.25">
      <c r="A4055" s="8" t="str">
        <f t="shared" si="189"/>
        <v/>
      </c>
      <c r="B4055" s="9" t="str">
        <f t="shared" si="190"/>
        <v/>
      </c>
      <c r="C4055" s="10" t="str">
        <f t="shared" si="191"/>
        <v/>
      </c>
    </row>
    <row r="4056" spans="1:3" x14ac:dyDescent="0.25">
      <c r="A4056" s="8" t="str">
        <f t="shared" si="189"/>
        <v/>
      </c>
      <c r="B4056" s="9" t="str">
        <f t="shared" si="190"/>
        <v/>
      </c>
      <c r="C4056" s="10" t="str">
        <f t="shared" si="191"/>
        <v/>
      </c>
    </row>
    <row r="4057" spans="1:3" x14ac:dyDescent="0.25">
      <c r="A4057" s="8" t="str">
        <f t="shared" si="189"/>
        <v/>
      </c>
      <c r="B4057" s="9" t="str">
        <f t="shared" si="190"/>
        <v/>
      </c>
      <c r="C4057" s="10" t="str">
        <f t="shared" si="191"/>
        <v/>
      </c>
    </row>
    <row r="4058" spans="1:3" x14ac:dyDescent="0.25">
      <c r="A4058" s="8" t="str">
        <f t="shared" si="189"/>
        <v/>
      </c>
      <c r="B4058" s="9" t="str">
        <f t="shared" si="190"/>
        <v/>
      </c>
      <c r="C4058" s="10" t="str">
        <f t="shared" si="191"/>
        <v/>
      </c>
    </row>
    <row r="4059" spans="1:3" x14ac:dyDescent="0.25">
      <c r="A4059" s="8" t="str">
        <f t="shared" si="189"/>
        <v/>
      </c>
      <c r="B4059" s="9" t="str">
        <f t="shared" si="190"/>
        <v/>
      </c>
      <c r="C4059" s="10" t="str">
        <f t="shared" si="191"/>
        <v/>
      </c>
    </row>
    <row r="4060" spans="1:3" x14ac:dyDescent="0.25">
      <c r="A4060" s="8" t="str">
        <f t="shared" si="189"/>
        <v/>
      </c>
      <c r="B4060" s="9" t="str">
        <f t="shared" si="190"/>
        <v/>
      </c>
      <c r="C4060" s="10" t="str">
        <f t="shared" si="191"/>
        <v/>
      </c>
    </row>
    <row r="4061" spans="1:3" x14ac:dyDescent="0.25">
      <c r="A4061" s="8" t="str">
        <f t="shared" si="189"/>
        <v/>
      </c>
      <c r="B4061" s="9" t="str">
        <f t="shared" si="190"/>
        <v/>
      </c>
      <c r="C4061" s="10" t="str">
        <f t="shared" si="191"/>
        <v/>
      </c>
    </row>
    <row r="4062" spans="1:3" x14ac:dyDescent="0.25">
      <c r="A4062" s="8" t="str">
        <f t="shared" si="189"/>
        <v/>
      </c>
      <c r="B4062" s="9" t="str">
        <f t="shared" si="190"/>
        <v/>
      </c>
      <c r="C4062" s="10" t="str">
        <f t="shared" si="191"/>
        <v/>
      </c>
    </row>
    <row r="4063" spans="1:3" x14ac:dyDescent="0.25">
      <c r="A4063" s="8" t="str">
        <f t="shared" si="189"/>
        <v/>
      </c>
      <c r="B4063" s="9" t="str">
        <f t="shared" si="190"/>
        <v/>
      </c>
      <c r="C4063" s="10" t="str">
        <f t="shared" si="191"/>
        <v/>
      </c>
    </row>
    <row r="4064" spans="1:3" x14ac:dyDescent="0.25">
      <c r="A4064" s="8" t="str">
        <f t="shared" si="189"/>
        <v/>
      </c>
      <c r="B4064" s="9" t="str">
        <f t="shared" si="190"/>
        <v/>
      </c>
      <c r="C4064" s="10" t="str">
        <f t="shared" si="191"/>
        <v/>
      </c>
    </row>
    <row r="4065" spans="1:3" x14ac:dyDescent="0.25">
      <c r="A4065" s="8" t="str">
        <f t="shared" si="189"/>
        <v/>
      </c>
      <c r="B4065" s="9" t="str">
        <f t="shared" si="190"/>
        <v/>
      </c>
      <c r="C4065" s="10" t="str">
        <f t="shared" si="191"/>
        <v/>
      </c>
    </row>
    <row r="4066" spans="1:3" x14ac:dyDescent="0.25">
      <c r="A4066" s="8" t="str">
        <f t="shared" si="189"/>
        <v/>
      </c>
      <c r="B4066" s="9" t="str">
        <f t="shared" si="190"/>
        <v/>
      </c>
      <c r="C4066" s="10" t="str">
        <f t="shared" si="191"/>
        <v/>
      </c>
    </row>
    <row r="4067" spans="1:3" x14ac:dyDescent="0.25">
      <c r="A4067" s="8" t="str">
        <f t="shared" si="189"/>
        <v/>
      </c>
      <c r="B4067" s="9" t="str">
        <f t="shared" si="190"/>
        <v/>
      </c>
      <c r="C4067" s="10" t="str">
        <f t="shared" si="191"/>
        <v/>
      </c>
    </row>
    <row r="4068" spans="1:3" x14ac:dyDescent="0.25">
      <c r="A4068" s="8" t="str">
        <f t="shared" si="189"/>
        <v/>
      </c>
      <c r="B4068" s="9" t="str">
        <f t="shared" si="190"/>
        <v/>
      </c>
      <c r="C4068" s="10" t="str">
        <f t="shared" si="191"/>
        <v/>
      </c>
    </row>
    <row r="4069" spans="1:3" x14ac:dyDescent="0.25">
      <c r="A4069" s="8" t="str">
        <f t="shared" si="189"/>
        <v/>
      </c>
      <c r="B4069" s="9" t="str">
        <f t="shared" si="190"/>
        <v/>
      </c>
      <c r="C4069" s="10" t="str">
        <f t="shared" si="191"/>
        <v/>
      </c>
    </row>
    <row r="4070" spans="1:3" x14ac:dyDescent="0.25">
      <c r="A4070" s="8" t="str">
        <f t="shared" si="189"/>
        <v/>
      </c>
      <c r="B4070" s="9" t="str">
        <f t="shared" si="190"/>
        <v/>
      </c>
      <c r="C4070" s="10" t="str">
        <f t="shared" si="191"/>
        <v/>
      </c>
    </row>
    <row r="4071" spans="1:3" x14ac:dyDescent="0.25">
      <c r="A4071" s="8" t="str">
        <f t="shared" ref="A4071:A4134" si="192">IF(D4071="","",IF(E4071=0,CONCATENATE(D4071,".",E4071,"00"),CONCATENATE(D4071,".",E4071)))</f>
        <v/>
      </c>
      <c r="B4071" s="9" t="str">
        <f t="shared" ref="B4071:B4134" si="193">LEFT(G4071,1)</f>
        <v/>
      </c>
      <c r="C4071" s="10" t="str">
        <f t="shared" ref="C4071:C4134" si="194">IF(F4071="","",IF(B4071="",F4071-4,IF(B4071="1",F4071-4,IF(B4071="2",F4071-3,IF(B4071="3",F4071-2,IF(B4071="4",F4071-1,IF(B4071="V",F4071-7,IF(B4071="J",F4071-8,F4071))))))))</f>
        <v/>
      </c>
    </row>
    <row r="4072" spans="1:3" x14ac:dyDescent="0.25">
      <c r="A4072" s="8" t="str">
        <f t="shared" si="192"/>
        <v/>
      </c>
      <c r="B4072" s="9" t="str">
        <f t="shared" si="193"/>
        <v/>
      </c>
      <c r="C4072" s="10" t="str">
        <f t="shared" si="194"/>
        <v/>
      </c>
    </row>
    <row r="4073" spans="1:3" x14ac:dyDescent="0.25">
      <c r="A4073" s="8" t="str">
        <f t="shared" si="192"/>
        <v/>
      </c>
      <c r="B4073" s="9" t="str">
        <f t="shared" si="193"/>
        <v/>
      </c>
      <c r="C4073" s="10" t="str">
        <f t="shared" si="194"/>
        <v/>
      </c>
    </row>
    <row r="4074" spans="1:3" x14ac:dyDescent="0.25">
      <c r="A4074" s="8" t="str">
        <f t="shared" si="192"/>
        <v/>
      </c>
      <c r="B4074" s="9" t="str">
        <f t="shared" si="193"/>
        <v/>
      </c>
      <c r="C4074" s="10" t="str">
        <f t="shared" si="194"/>
        <v/>
      </c>
    </row>
    <row r="4075" spans="1:3" x14ac:dyDescent="0.25">
      <c r="A4075" s="8" t="str">
        <f t="shared" si="192"/>
        <v/>
      </c>
      <c r="B4075" s="9" t="str">
        <f t="shared" si="193"/>
        <v/>
      </c>
      <c r="C4075" s="10" t="str">
        <f t="shared" si="194"/>
        <v/>
      </c>
    </row>
    <row r="4076" spans="1:3" x14ac:dyDescent="0.25">
      <c r="A4076" s="8" t="str">
        <f t="shared" si="192"/>
        <v/>
      </c>
      <c r="B4076" s="9" t="str">
        <f t="shared" si="193"/>
        <v/>
      </c>
      <c r="C4076" s="10" t="str">
        <f t="shared" si="194"/>
        <v/>
      </c>
    </row>
    <row r="4077" spans="1:3" x14ac:dyDescent="0.25">
      <c r="A4077" s="8" t="str">
        <f t="shared" si="192"/>
        <v/>
      </c>
      <c r="B4077" s="9" t="str">
        <f t="shared" si="193"/>
        <v/>
      </c>
      <c r="C4077" s="10" t="str">
        <f t="shared" si="194"/>
        <v/>
      </c>
    </row>
    <row r="4078" spans="1:3" x14ac:dyDescent="0.25">
      <c r="A4078" s="8" t="str">
        <f t="shared" si="192"/>
        <v/>
      </c>
      <c r="B4078" s="9" t="str">
        <f t="shared" si="193"/>
        <v/>
      </c>
      <c r="C4078" s="10" t="str">
        <f t="shared" si="194"/>
        <v/>
      </c>
    </row>
    <row r="4079" spans="1:3" x14ac:dyDescent="0.25">
      <c r="A4079" s="8" t="str">
        <f t="shared" si="192"/>
        <v/>
      </c>
      <c r="B4079" s="9" t="str">
        <f t="shared" si="193"/>
        <v/>
      </c>
      <c r="C4079" s="10" t="str">
        <f t="shared" si="194"/>
        <v/>
      </c>
    </row>
    <row r="4080" spans="1:3" x14ac:dyDescent="0.25">
      <c r="A4080" s="8" t="str">
        <f t="shared" si="192"/>
        <v/>
      </c>
      <c r="B4080" s="9" t="str">
        <f t="shared" si="193"/>
        <v/>
      </c>
      <c r="C4080" s="10" t="str">
        <f t="shared" si="194"/>
        <v/>
      </c>
    </row>
    <row r="4081" spans="1:3" x14ac:dyDescent="0.25">
      <c r="A4081" s="8" t="str">
        <f t="shared" si="192"/>
        <v/>
      </c>
      <c r="B4081" s="9" t="str">
        <f t="shared" si="193"/>
        <v/>
      </c>
      <c r="C4081" s="10" t="str">
        <f t="shared" si="194"/>
        <v/>
      </c>
    </row>
    <row r="4082" spans="1:3" x14ac:dyDescent="0.25">
      <c r="A4082" s="8" t="str">
        <f t="shared" si="192"/>
        <v/>
      </c>
      <c r="B4082" s="9" t="str">
        <f t="shared" si="193"/>
        <v/>
      </c>
      <c r="C4082" s="10" t="str">
        <f t="shared" si="194"/>
        <v/>
      </c>
    </row>
    <row r="4083" spans="1:3" x14ac:dyDescent="0.25">
      <c r="A4083" s="8" t="str">
        <f t="shared" si="192"/>
        <v/>
      </c>
      <c r="B4083" s="9" t="str">
        <f t="shared" si="193"/>
        <v/>
      </c>
      <c r="C4083" s="10" t="str">
        <f t="shared" si="194"/>
        <v/>
      </c>
    </row>
    <row r="4084" spans="1:3" x14ac:dyDescent="0.25">
      <c r="A4084" s="8" t="str">
        <f t="shared" si="192"/>
        <v/>
      </c>
      <c r="B4084" s="9" t="str">
        <f t="shared" si="193"/>
        <v/>
      </c>
      <c r="C4084" s="10" t="str">
        <f t="shared" si="194"/>
        <v/>
      </c>
    </row>
    <row r="4085" spans="1:3" x14ac:dyDescent="0.25">
      <c r="A4085" s="8" t="str">
        <f t="shared" si="192"/>
        <v/>
      </c>
      <c r="B4085" s="9" t="str">
        <f t="shared" si="193"/>
        <v/>
      </c>
      <c r="C4085" s="10" t="str">
        <f t="shared" si="194"/>
        <v/>
      </c>
    </row>
    <row r="4086" spans="1:3" x14ac:dyDescent="0.25">
      <c r="A4086" s="8" t="str">
        <f t="shared" si="192"/>
        <v/>
      </c>
      <c r="B4086" s="9" t="str">
        <f t="shared" si="193"/>
        <v/>
      </c>
      <c r="C4086" s="10" t="str">
        <f t="shared" si="194"/>
        <v/>
      </c>
    </row>
    <row r="4087" spans="1:3" x14ac:dyDescent="0.25">
      <c r="A4087" s="8" t="str">
        <f t="shared" si="192"/>
        <v/>
      </c>
      <c r="B4087" s="9" t="str">
        <f t="shared" si="193"/>
        <v/>
      </c>
      <c r="C4087" s="10" t="str">
        <f t="shared" si="194"/>
        <v/>
      </c>
    </row>
    <row r="4088" spans="1:3" x14ac:dyDescent="0.25">
      <c r="A4088" s="8" t="str">
        <f t="shared" si="192"/>
        <v/>
      </c>
      <c r="B4088" s="9" t="str">
        <f t="shared" si="193"/>
        <v/>
      </c>
      <c r="C4088" s="10" t="str">
        <f t="shared" si="194"/>
        <v/>
      </c>
    </row>
    <row r="4089" spans="1:3" x14ac:dyDescent="0.25">
      <c r="A4089" s="8" t="str">
        <f t="shared" si="192"/>
        <v/>
      </c>
      <c r="B4089" s="9" t="str">
        <f t="shared" si="193"/>
        <v/>
      </c>
      <c r="C4089" s="10" t="str">
        <f t="shared" si="194"/>
        <v/>
      </c>
    </row>
    <row r="4090" spans="1:3" x14ac:dyDescent="0.25">
      <c r="A4090" s="8" t="str">
        <f t="shared" si="192"/>
        <v/>
      </c>
      <c r="B4090" s="9" t="str">
        <f t="shared" si="193"/>
        <v/>
      </c>
      <c r="C4090" s="10" t="str">
        <f t="shared" si="194"/>
        <v/>
      </c>
    </row>
    <row r="4091" spans="1:3" x14ac:dyDescent="0.25">
      <c r="A4091" s="8" t="str">
        <f t="shared" si="192"/>
        <v/>
      </c>
      <c r="B4091" s="9" t="str">
        <f t="shared" si="193"/>
        <v/>
      </c>
      <c r="C4091" s="10" t="str">
        <f t="shared" si="194"/>
        <v/>
      </c>
    </row>
    <row r="4092" spans="1:3" x14ac:dyDescent="0.25">
      <c r="A4092" s="8" t="str">
        <f t="shared" si="192"/>
        <v/>
      </c>
      <c r="B4092" s="9" t="str">
        <f t="shared" si="193"/>
        <v/>
      </c>
      <c r="C4092" s="10" t="str">
        <f t="shared" si="194"/>
        <v/>
      </c>
    </row>
    <row r="4093" spans="1:3" x14ac:dyDescent="0.25">
      <c r="A4093" s="8" t="str">
        <f t="shared" si="192"/>
        <v/>
      </c>
      <c r="B4093" s="9" t="str">
        <f t="shared" si="193"/>
        <v/>
      </c>
      <c r="C4093" s="10" t="str">
        <f t="shared" si="194"/>
        <v/>
      </c>
    </row>
    <row r="4094" spans="1:3" x14ac:dyDescent="0.25">
      <c r="A4094" s="8" t="str">
        <f t="shared" si="192"/>
        <v/>
      </c>
      <c r="B4094" s="9" t="str">
        <f t="shared" si="193"/>
        <v/>
      </c>
      <c r="C4094" s="10" t="str">
        <f t="shared" si="194"/>
        <v/>
      </c>
    </row>
    <row r="4095" spans="1:3" x14ac:dyDescent="0.25">
      <c r="A4095" s="8" t="str">
        <f t="shared" si="192"/>
        <v/>
      </c>
      <c r="B4095" s="9" t="str">
        <f t="shared" si="193"/>
        <v/>
      </c>
      <c r="C4095" s="10" t="str">
        <f t="shared" si="194"/>
        <v/>
      </c>
    </row>
    <row r="4096" spans="1:3" x14ac:dyDescent="0.25">
      <c r="A4096" s="8" t="str">
        <f t="shared" si="192"/>
        <v/>
      </c>
      <c r="B4096" s="9" t="str">
        <f t="shared" si="193"/>
        <v/>
      </c>
      <c r="C4096" s="10" t="str">
        <f t="shared" si="194"/>
        <v/>
      </c>
    </row>
    <row r="4097" spans="1:3" x14ac:dyDescent="0.25">
      <c r="A4097" s="8" t="str">
        <f t="shared" si="192"/>
        <v/>
      </c>
      <c r="B4097" s="9" t="str">
        <f t="shared" si="193"/>
        <v/>
      </c>
      <c r="C4097" s="10" t="str">
        <f t="shared" si="194"/>
        <v/>
      </c>
    </row>
    <row r="4098" spans="1:3" x14ac:dyDescent="0.25">
      <c r="A4098" s="8" t="str">
        <f t="shared" si="192"/>
        <v/>
      </c>
      <c r="B4098" s="9" t="str">
        <f t="shared" si="193"/>
        <v/>
      </c>
      <c r="C4098" s="10" t="str">
        <f t="shared" si="194"/>
        <v/>
      </c>
    </row>
    <row r="4099" spans="1:3" x14ac:dyDescent="0.25">
      <c r="A4099" s="8" t="str">
        <f t="shared" si="192"/>
        <v/>
      </c>
      <c r="B4099" s="9" t="str">
        <f t="shared" si="193"/>
        <v/>
      </c>
      <c r="C4099" s="10" t="str">
        <f t="shared" si="194"/>
        <v/>
      </c>
    </row>
    <row r="4100" spans="1:3" x14ac:dyDescent="0.25">
      <c r="A4100" s="8" t="str">
        <f t="shared" si="192"/>
        <v/>
      </c>
      <c r="B4100" s="9" t="str">
        <f t="shared" si="193"/>
        <v/>
      </c>
      <c r="C4100" s="10" t="str">
        <f t="shared" si="194"/>
        <v/>
      </c>
    </row>
    <row r="4101" spans="1:3" x14ac:dyDescent="0.25">
      <c r="A4101" s="8" t="str">
        <f t="shared" si="192"/>
        <v/>
      </c>
      <c r="B4101" s="9" t="str">
        <f t="shared" si="193"/>
        <v/>
      </c>
      <c r="C4101" s="10" t="str">
        <f t="shared" si="194"/>
        <v/>
      </c>
    </row>
    <row r="4102" spans="1:3" x14ac:dyDescent="0.25">
      <c r="A4102" s="8" t="str">
        <f t="shared" si="192"/>
        <v/>
      </c>
      <c r="B4102" s="9" t="str">
        <f t="shared" si="193"/>
        <v/>
      </c>
      <c r="C4102" s="10" t="str">
        <f t="shared" si="194"/>
        <v/>
      </c>
    </row>
    <row r="4103" spans="1:3" x14ac:dyDescent="0.25">
      <c r="A4103" s="8" t="str">
        <f t="shared" si="192"/>
        <v/>
      </c>
      <c r="B4103" s="9" t="str">
        <f t="shared" si="193"/>
        <v/>
      </c>
      <c r="C4103" s="10" t="str">
        <f t="shared" si="194"/>
        <v/>
      </c>
    </row>
    <row r="4104" spans="1:3" x14ac:dyDescent="0.25">
      <c r="A4104" s="8" t="str">
        <f t="shared" si="192"/>
        <v/>
      </c>
      <c r="B4104" s="9" t="str">
        <f t="shared" si="193"/>
        <v/>
      </c>
      <c r="C4104" s="10" t="str">
        <f t="shared" si="194"/>
        <v/>
      </c>
    </row>
    <row r="4105" spans="1:3" x14ac:dyDescent="0.25">
      <c r="A4105" s="8" t="str">
        <f t="shared" si="192"/>
        <v/>
      </c>
      <c r="B4105" s="9" t="str">
        <f t="shared" si="193"/>
        <v/>
      </c>
      <c r="C4105" s="10" t="str">
        <f t="shared" si="194"/>
        <v/>
      </c>
    </row>
    <row r="4106" spans="1:3" x14ac:dyDescent="0.25">
      <c r="A4106" s="8" t="str">
        <f t="shared" si="192"/>
        <v/>
      </c>
      <c r="B4106" s="9" t="str">
        <f t="shared" si="193"/>
        <v/>
      </c>
      <c r="C4106" s="10" t="str">
        <f t="shared" si="194"/>
        <v/>
      </c>
    </row>
    <row r="4107" spans="1:3" x14ac:dyDescent="0.25">
      <c r="A4107" s="8" t="str">
        <f t="shared" si="192"/>
        <v/>
      </c>
      <c r="B4107" s="9" t="str">
        <f t="shared" si="193"/>
        <v/>
      </c>
      <c r="C4107" s="10" t="str">
        <f t="shared" si="194"/>
        <v/>
      </c>
    </row>
    <row r="4108" spans="1:3" x14ac:dyDescent="0.25">
      <c r="A4108" s="8" t="str">
        <f t="shared" si="192"/>
        <v/>
      </c>
      <c r="B4108" s="9" t="str">
        <f t="shared" si="193"/>
        <v/>
      </c>
      <c r="C4108" s="10" t="str">
        <f t="shared" si="194"/>
        <v/>
      </c>
    </row>
    <row r="4109" spans="1:3" x14ac:dyDescent="0.25">
      <c r="A4109" s="8" t="str">
        <f t="shared" si="192"/>
        <v/>
      </c>
      <c r="B4109" s="9" t="str">
        <f t="shared" si="193"/>
        <v/>
      </c>
      <c r="C4109" s="10" t="str">
        <f t="shared" si="194"/>
        <v/>
      </c>
    </row>
    <row r="4110" spans="1:3" x14ac:dyDescent="0.25">
      <c r="A4110" s="8" t="str">
        <f t="shared" si="192"/>
        <v/>
      </c>
      <c r="B4110" s="9" t="str">
        <f t="shared" si="193"/>
        <v/>
      </c>
      <c r="C4110" s="10" t="str">
        <f t="shared" si="194"/>
        <v/>
      </c>
    </row>
    <row r="4111" spans="1:3" x14ac:dyDescent="0.25">
      <c r="A4111" s="8" t="str">
        <f t="shared" si="192"/>
        <v/>
      </c>
      <c r="B4111" s="9" t="str">
        <f t="shared" si="193"/>
        <v/>
      </c>
      <c r="C4111" s="10" t="str">
        <f t="shared" si="194"/>
        <v/>
      </c>
    </row>
    <row r="4112" spans="1:3" x14ac:dyDescent="0.25">
      <c r="A4112" s="8" t="str">
        <f t="shared" si="192"/>
        <v/>
      </c>
      <c r="B4112" s="9" t="str">
        <f t="shared" si="193"/>
        <v/>
      </c>
      <c r="C4112" s="10" t="str">
        <f t="shared" si="194"/>
        <v/>
      </c>
    </row>
    <row r="4113" spans="1:3" x14ac:dyDescent="0.25">
      <c r="A4113" s="8" t="str">
        <f t="shared" si="192"/>
        <v/>
      </c>
      <c r="B4113" s="9" t="str">
        <f t="shared" si="193"/>
        <v/>
      </c>
      <c r="C4113" s="10" t="str">
        <f t="shared" si="194"/>
        <v/>
      </c>
    </row>
    <row r="4114" spans="1:3" x14ac:dyDescent="0.25">
      <c r="A4114" s="8" t="str">
        <f t="shared" si="192"/>
        <v/>
      </c>
      <c r="B4114" s="9" t="str">
        <f t="shared" si="193"/>
        <v/>
      </c>
      <c r="C4114" s="10" t="str">
        <f t="shared" si="194"/>
        <v/>
      </c>
    </row>
    <row r="4115" spans="1:3" x14ac:dyDescent="0.25">
      <c r="A4115" s="8" t="str">
        <f t="shared" si="192"/>
        <v/>
      </c>
      <c r="B4115" s="9" t="str">
        <f t="shared" si="193"/>
        <v/>
      </c>
      <c r="C4115" s="10" t="str">
        <f t="shared" si="194"/>
        <v/>
      </c>
    </row>
    <row r="4116" spans="1:3" x14ac:dyDescent="0.25">
      <c r="A4116" s="8" t="str">
        <f t="shared" si="192"/>
        <v/>
      </c>
      <c r="B4116" s="9" t="str">
        <f t="shared" si="193"/>
        <v/>
      </c>
      <c r="C4116" s="10" t="str">
        <f t="shared" si="194"/>
        <v/>
      </c>
    </row>
    <row r="4117" spans="1:3" x14ac:dyDescent="0.25">
      <c r="A4117" s="8" t="str">
        <f t="shared" si="192"/>
        <v/>
      </c>
      <c r="B4117" s="9" t="str">
        <f t="shared" si="193"/>
        <v/>
      </c>
      <c r="C4117" s="10" t="str">
        <f t="shared" si="194"/>
        <v/>
      </c>
    </row>
    <row r="4118" spans="1:3" x14ac:dyDescent="0.25">
      <c r="A4118" s="8" t="str">
        <f t="shared" si="192"/>
        <v/>
      </c>
      <c r="B4118" s="9" t="str">
        <f t="shared" si="193"/>
        <v/>
      </c>
      <c r="C4118" s="10" t="str">
        <f t="shared" si="194"/>
        <v/>
      </c>
    </row>
    <row r="4119" spans="1:3" x14ac:dyDescent="0.25">
      <c r="A4119" s="8" t="str">
        <f t="shared" si="192"/>
        <v/>
      </c>
      <c r="B4119" s="9" t="str">
        <f t="shared" si="193"/>
        <v/>
      </c>
      <c r="C4119" s="10" t="str">
        <f t="shared" si="194"/>
        <v/>
      </c>
    </row>
    <row r="4120" spans="1:3" x14ac:dyDescent="0.25">
      <c r="A4120" s="8" t="str">
        <f t="shared" si="192"/>
        <v/>
      </c>
      <c r="B4120" s="9" t="str">
        <f t="shared" si="193"/>
        <v/>
      </c>
      <c r="C4120" s="10" t="str">
        <f t="shared" si="194"/>
        <v/>
      </c>
    </row>
    <row r="4121" spans="1:3" x14ac:dyDescent="0.25">
      <c r="A4121" s="8" t="str">
        <f t="shared" si="192"/>
        <v/>
      </c>
      <c r="B4121" s="9" t="str">
        <f t="shared" si="193"/>
        <v/>
      </c>
      <c r="C4121" s="10" t="str">
        <f t="shared" si="194"/>
        <v/>
      </c>
    </row>
    <row r="4122" spans="1:3" x14ac:dyDescent="0.25">
      <c r="A4122" s="8" t="str">
        <f t="shared" si="192"/>
        <v/>
      </c>
      <c r="B4122" s="9" t="str">
        <f t="shared" si="193"/>
        <v/>
      </c>
      <c r="C4122" s="10" t="str">
        <f t="shared" si="194"/>
        <v/>
      </c>
    </row>
    <row r="4123" spans="1:3" x14ac:dyDescent="0.25">
      <c r="A4123" s="8" t="str">
        <f t="shared" si="192"/>
        <v/>
      </c>
      <c r="B4123" s="9" t="str">
        <f t="shared" si="193"/>
        <v/>
      </c>
      <c r="C4123" s="10" t="str">
        <f t="shared" si="194"/>
        <v/>
      </c>
    </row>
    <row r="4124" spans="1:3" x14ac:dyDescent="0.25">
      <c r="A4124" s="8" t="str">
        <f t="shared" si="192"/>
        <v/>
      </c>
      <c r="B4124" s="9" t="str">
        <f t="shared" si="193"/>
        <v/>
      </c>
      <c r="C4124" s="10" t="str">
        <f t="shared" si="194"/>
        <v/>
      </c>
    </row>
    <row r="4125" spans="1:3" x14ac:dyDescent="0.25">
      <c r="A4125" s="8" t="str">
        <f t="shared" si="192"/>
        <v/>
      </c>
      <c r="B4125" s="9" t="str">
        <f t="shared" si="193"/>
        <v/>
      </c>
      <c r="C4125" s="10" t="str">
        <f t="shared" si="194"/>
        <v/>
      </c>
    </row>
    <row r="4126" spans="1:3" x14ac:dyDescent="0.25">
      <c r="A4126" s="8" t="str">
        <f t="shared" si="192"/>
        <v/>
      </c>
      <c r="B4126" s="9" t="str">
        <f t="shared" si="193"/>
        <v/>
      </c>
      <c r="C4126" s="10" t="str">
        <f t="shared" si="194"/>
        <v/>
      </c>
    </row>
    <row r="4127" spans="1:3" x14ac:dyDescent="0.25">
      <c r="A4127" s="8" t="str">
        <f t="shared" si="192"/>
        <v/>
      </c>
      <c r="B4127" s="9" t="str">
        <f t="shared" si="193"/>
        <v/>
      </c>
      <c r="C4127" s="10" t="str">
        <f t="shared" si="194"/>
        <v/>
      </c>
    </row>
    <row r="4128" spans="1:3" x14ac:dyDescent="0.25">
      <c r="A4128" s="8" t="str">
        <f t="shared" si="192"/>
        <v/>
      </c>
      <c r="B4128" s="9" t="str">
        <f t="shared" si="193"/>
        <v/>
      </c>
      <c r="C4128" s="10" t="str">
        <f t="shared" si="194"/>
        <v/>
      </c>
    </row>
    <row r="4129" spans="1:3" x14ac:dyDescent="0.25">
      <c r="A4129" s="8" t="str">
        <f t="shared" si="192"/>
        <v/>
      </c>
      <c r="B4129" s="9" t="str">
        <f t="shared" si="193"/>
        <v/>
      </c>
      <c r="C4129" s="10" t="str">
        <f t="shared" si="194"/>
        <v/>
      </c>
    </row>
    <row r="4130" spans="1:3" x14ac:dyDescent="0.25">
      <c r="A4130" s="8" t="str">
        <f t="shared" si="192"/>
        <v/>
      </c>
      <c r="B4130" s="9" t="str">
        <f t="shared" si="193"/>
        <v/>
      </c>
      <c r="C4130" s="10" t="str">
        <f t="shared" si="194"/>
        <v/>
      </c>
    </row>
    <row r="4131" spans="1:3" x14ac:dyDescent="0.25">
      <c r="A4131" s="8" t="str">
        <f t="shared" si="192"/>
        <v/>
      </c>
      <c r="B4131" s="9" t="str">
        <f t="shared" si="193"/>
        <v/>
      </c>
      <c r="C4131" s="10" t="str">
        <f t="shared" si="194"/>
        <v/>
      </c>
    </row>
    <row r="4132" spans="1:3" x14ac:dyDescent="0.25">
      <c r="A4132" s="8" t="str">
        <f t="shared" si="192"/>
        <v/>
      </c>
      <c r="B4132" s="9" t="str">
        <f t="shared" si="193"/>
        <v/>
      </c>
      <c r="C4132" s="10" t="str">
        <f t="shared" si="194"/>
        <v/>
      </c>
    </row>
    <row r="4133" spans="1:3" x14ac:dyDescent="0.25">
      <c r="A4133" s="8" t="str">
        <f t="shared" si="192"/>
        <v/>
      </c>
      <c r="B4133" s="9" t="str">
        <f t="shared" si="193"/>
        <v/>
      </c>
      <c r="C4133" s="10" t="str">
        <f t="shared" si="194"/>
        <v/>
      </c>
    </row>
    <row r="4134" spans="1:3" x14ac:dyDescent="0.25">
      <c r="A4134" s="8" t="str">
        <f t="shared" si="192"/>
        <v/>
      </c>
      <c r="B4134" s="9" t="str">
        <f t="shared" si="193"/>
        <v/>
      </c>
      <c r="C4134" s="10" t="str">
        <f t="shared" si="194"/>
        <v/>
      </c>
    </row>
    <row r="4135" spans="1:3" x14ac:dyDescent="0.25">
      <c r="A4135" s="8" t="str">
        <f t="shared" ref="A4135:A4198" si="195">IF(D4135="","",IF(E4135=0,CONCATENATE(D4135,".",E4135,"00"),CONCATENATE(D4135,".",E4135)))</f>
        <v/>
      </c>
      <c r="B4135" s="9" t="str">
        <f t="shared" ref="B4135:B4198" si="196">LEFT(G4135,1)</f>
        <v/>
      </c>
      <c r="C4135" s="10" t="str">
        <f t="shared" ref="C4135:C4198" si="197">IF(F4135="","",IF(B4135="",F4135-4,IF(B4135="1",F4135-4,IF(B4135="2",F4135-3,IF(B4135="3",F4135-2,IF(B4135="4",F4135-1,IF(B4135="V",F4135-7,IF(B4135="J",F4135-8,F4135))))))))</f>
        <v/>
      </c>
    </row>
    <row r="4136" spans="1:3" x14ac:dyDescent="0.25">
      <c r="A4136" s="8" t="str">
        <f t="shared" si="195"/>
        <v/>
      </c>
      <c r="B4136" s="9" t="str">
        <f t="shared" si="196"/>
        <v/>
      </c>
      <c r="C4136" s="10" t="str">
        <f t="shared" si="197"/>
        <v/>
      </c>
    </row>
    <row r="4137" spans="1:3" x14ac:dyDescent="0.25">
      <c r="A4137" s="8" t="str">
        <f t="shared" si="195"/>
        <v/>
      </c>
      <c r="B4137" s="9" t="str">
        <f t="shared" si="196"/>
        <v/>
      </c>
      <c r="C4137" s="10" t="str">
        <f t="shared" si="197"/>
        <v/>
      </c>
    </row>
    <row r="4138" spans="1:3" x14ac:dyDescent="0.25">
      <c r="A4138" s="8" t="str">
        <f t="shared" si="195"/>
        <v/>
      </c>
      <c r="B4138" s="9" t="str">
        <f t="shared" si="196"/>
        <v/>
      </c>
      <c r="C4138" s="10" t="str">
        <f t="shared" si="197"/>
        <v/>
      </c>
    </row>
    <row r="4139" spans="1:3" x14ac:dyDescent="0.25">
      <c r="A4139" s="8" t="str">
        <f t="shared" si="195"/>
        <v/>
      </c>
      <c r="B4139" s="9" t="str">
        <f t="shared" si="196"/>
        <v/>
      </c>
      <c r="C4139" s="10" t="str">
        <f t="shared" si="197"/>
        <v/>
      </c>
    </row>
    <row r="4140" spans="1:3" x14ac:dyDescent="0.25">
      <c r="A4140" s="8" t="str">
        <f t="shared" si="195"/>
        <v/>
      </c>
      <c r="B4140" s="9" t="str">
        <f t="shared" si="196"/>
        <v/>
      </c>
      <c r="C4140" s="10" t="str">
        <f t="shared" si="197"/>
        <v/>
      </c>
    </row>
    <row r="4141" spans="1:3" x14ac:dyDescent="0.25">
      <c r="A4141" s="8" t="str">
        <f t="shared" si="195"/>
        <v/>
      </c>
      <c r="B4141" s="9" t="str">
        <f t="shared" si="196"/>
        <v/>
      </c>
      <c r="C4141" s="10" t="str">
        <f t="shared" si="197"/>
        <v/>
      </c>
    </row>
    <row r="4142" spans="1:3" x14ac:dyDescent="0.25">
      <c r="A4142" s="8" t="str">
        <f t="shared" si="195"/>
        <v/>
      </c>
      <c r="B4142" s="9" t="str">
        <f t="shared" si="196"/>
        <v/>
      </c>
      <c r="C4142" s="10" t="str">
        <f t="shared" si="197"/>
        <v/>
      </c>
    </row>
    <row r="4143" spans="1:3" x14ac:dyDescent="0.25">
      <c r="A4143" s="8" t="str">
        <f t="shared" si="195"/>
        <v/>
      </c>
      <c r="B4143" s="9" t="str">
        <f t="shared" si="196"/>
        <v/>
      </c>
      <c r="C4143" s="10" t="str">
        <f t="shared" si="197"/>
        <v/>
      </c>
    </row>
    <row r="4144" spans="1:3" x14ac:dyDescent="0.25">
      <c r="A4144" s="8" t="str">
        <f t="shared" si="195"/>
        <v/>
      </c>
      <c r="B4144" s="9" t="str">
        <f t="shared" si="196"/>
        <v/>
      </c>
      <c r="C4144" s="10" t="str">
        <f t="shared" si="197"/>
        <v/>
      </c>
    </row>
    <row r="4145" spans="1:3" x14ac:dyDescent="0.25">
      <c r="A4145" s="8" t="str">
        <f t="shared" si="195"/>
        <v/>
      </c>
      <c r="B4145" s="9" t="str">
        <f t="shared" si="196"/>
        <v/>
      </c>
      <c r="C4145" s="10" t="str">
        <f t="shared" si="197"/>
        <v/>
      </c>
    </row>
    <row r="4146" spans="1:3" x14ac:dyDescent="0.25">
      <c r="A4146" s="8" t="str">
        <f t="shared" si="195"/>
        <v/>
      </c>
      <c r="B4146" s="9" t="str">
        <f t="shared" si="196"/>
        <v/>
      </c>
      <c r="C4146" s="10" t="str">
        <f t="shared" si="197"/>
        <v/>
      </c>
    </row>
    <row r="4147" spans="1:3" x14ac:dyDescent="0.25">
      <c r="A4147" s="8" t="str">
        <f t="shared" si="195"/>
        <v/>
      </c>
      <c r="B4147" s="9" t="str">
        <f t="shared" si="196"/>
        <v/>
      </c>
      <c r="C4147" s="10" t="str">
        <f t="shared" si="197"/>
        <v/>
      </c>
    </row>
    <row r="4148" spans="1:3" x14ac:dyDescent="0.25">
      <c r="A4148" s="8" t="str">
        <f t="shared" si="195"/>
        <v/>
      </c>
      <c r="B4148" s="9" t="str">
        <f t="shared" si="196"/>
        <v/>
      </c>
      <c r="C4148" s="10" t="str">
        <f t="shared" si="197"/>
        <v/>
      </c>
    </row>
    <row r="4149" spans="1:3" x14ac:dyDescent="0.25">
      <c r="A4149" s="8" t="str">
        <f t="shared" si="195"/>
        <v/>
      </c>
      <c r="B4149" s="9" t="str">
        <f t="shared" si="196"/>
        <v/>
      </c>
      <c r="C4149" s="10" t="str">
        <f t="shared" si="197"/>
        <v/>
      </c>
    </row>
    <row r="4150" spans="1:3" x14ac:dyDescent="0.25">
      <c r="A4150" s="8" t="str">
        <f t="shared" si="195"/>
        <v/>
      </c>
      <c r="B4150" s="9" t="str">
        <f t="shared" si="196"/>
        <v/>
      </c>
      <c r="C4150" s="10" t="str">
        <f t="shared" si="197"/>
        <v/>
      </c>
    </row>
    <row r="4151" spans="1:3" x14ac:dyDescent="0.25">
      <c r="A4151" s="8" t="str">
        <f t="shared" si="195"/>
        <v/>
      </c>
      <c r="B4151" s="9" t="str">
        <f t="shared" si="196"/>
        <v/>
      </c>
      <c r="C4151" s="10" t="str">
        <f t="shared" si="197"/>
        <v/>
      </c>
    </row>
    <row r="4152" spans="1:3" x14ac:dyDescent="0.25">
      <c r="A4152" s="8" t="str">
        <f t="shared" si="195"/>
        <v/>
      </c>
      <c r="B4152" s="9" t="str">
        <f t="shared" si="196"/>
        <v/>
      </c>
      <c r="C4152" s="10" t="str">
        <f t="shared" si="197"/>
        <v/>
      </c>
    </row>
    <row r="4153" spans="1:3" x14ac:dyDescent="0.25">
      <c r="A4153" s="8" t="str">
        <f t="shared" si="195"/>
        <v/>
      </c>
      <c r="B4153" s="9" t="str">
        <f t="shared" si="196"/>
        <v/>
      </c>
      <c r="C4153" s="10" t="str">
        <f t="shared" si="197"/>
        <v/>
      </c>
    </row>
    <row r="4154" spans="1:3" x14ac:dyDescent="0.25">
      <c r="A4154" s="8" t="str">
        <f t="shared" si="195"/>
        <v/>
      </c>
      <c r="B4154" s="9" t="str">
        <f t="shared" si="196"/>
        <v/>
      </c>
      <c r="C4154" s="10" t="str">
        <f t="shared" si="197"/>
        <v/>
      </c>
    </row>
    <row r="4155" spans="1:3" x14ac:dyDescent="0.25">
      <c r="A4155" s="8" t="str">
        <f t="shared" si="195"/>
        <v/>
      </c>
      <c r="B4155" s="9" t="str">
        <f t="shared" si="196"/>
        <v/>
      </c>
      <c r="C4155" s="10" t="str">
        <f t="shared" si="197"/>
        <v/>
      </c>
    </row>
    <row r="4156" spans="1:3" x14ac:dyDescent="0.25">
      <c r="A4156" s="8" t="str">
        <f t="shared" si="195"/>
        <v/>
      </c>
      <c r="B4156" s="9" t="str">
        <f t="shared" si="196"/>
        <v/>
      </c>
      <c r="C4156" s="10" t="str">
        <f t="shared" si="197"/>
        <v/>
      </c>
    </row>
    <row r="4157" spans="1:3" x14ac:dyDescent="0.25">
      <c r="A4157" s="8" t="str">
        <f t="shared" si="195"/>
        <v/>
      </c>
      <c r="B4157" s="9" t="str">
        <f t="shared" si="196"/>
        <v/>
      </c>
      <c r="C4157" s="10" t="str">
        <f t="shared" si="197"/>
        <v/>
      </c>
    </row>
    <row r="4158" spans="1:3" x14ac:dyDescent="0.25">
      <c r="A4158" s="8" t="str">
        <f t="shared" si="195"/>
        <v/>
      </c>
      <c r="B4158" s="9" t="str">
        <f t="shared" si="196"/>
        <v/>
      </c>
      <c r="C4158" s="10" t="str">
        <f t="shared" si="197"/>
        <v/>
      </c>
    </row>
    <row r="4159" spans="1:3" x14ac:dyDescent="0.25">
      <c r="A4159" s="8" t="str">
        <f t="shared" si="195"/>
        <v/>
      </c>
      <c r="B4159" s="9" t="str">
        <f t="shared" si="196"/>
        <v/>
      </c>
      <c r="C4159" s="10" t="str">
        <f t="shared" si="197"/>
        <v/>
      </c>
    </row>
    <row r="4160" spans="1:3" x14ac:dyDescent="0.25">
      <c r="A4160" s="8" t="str">
        <f t="shared" si="195"/>
        <v/>
      </c>
      <c r="B4160" s="9" t="str">
        <f t="shared" si="196"/>
        <v/>
      </c>
      <c r="C4160" s="10" t="str">
        <f t="shared" si="197"/>
        <v/>
      </c>
    </row>
    <row r="4161" spans="1:3" x14ac:dyDescent="0.25">
      <c r="A4161" s="8" t="str">
        <f t="shared" si="195"/>
        <v/>
      </c>
      <c r="B4161" s="9" t="str">
        <f t="shared" si="196"/>
        <v/>
      </c>
      <c r="C4161" s="10" t="str">
        <f t="shared" si="197"/>
        <v/>
      </c>
    </row>
    <row r="4162" spans="1:3" x14ac:dyDescent="0.25">
      <c r="A4162" s="8" t="str">
        <f t="shared" si="195"/>
        <v/>
      </c>
      <c r="B4162" s="9" t="str">
        <f t="shared" si="196"/>
        <v/>
      </c>
      <c r="C4162" s="10" t="str">
        <f t="shared" si="197"/>
        <v/>
      </c>
    </row>
    <row r="4163" spans="1:3" x14ac:dyDescent="0.25">
      <c r="A4163" s="8" t="str">
        <f t="shared" si="195"/>
        <v/>
      </c>
      <c r="B4163" s="9" t="str">
        <f t="shared" si="196"/>
        <v/>
      </c>
      <c r="C4163" s="10" t="str">
        <f t="shared" si="197"/>
        <v/>
      </c>
    </row>
    <row r="4164" spans="1:3" x14ac:dyDescent="0.25">
      <c r="A4164" s="8" t="str">
        <f t="shared" si="195"/>
        <v/>
      </c>
      <c r="B4164" s="9" t="str">
        <f t="shared" si="196"/>
        <v/>
      </c>
      <c r="C4164" s="10" t="str">
        <f t="shared" si="197"/>
        <v/>
      </c>
    </row>
    <row r="4165" spans="1:3" x14ac:dyDescent="0.25">
      <c r="A4165" s="8" t="str">
        <f t="shared" si="195"/>
        <v/>
      </c>
      <c r="B4165" s="9" t="str">
        <f t="shared" si="196"/>
        <v/>
      </c>
      <c r="C4165" s="10" t="str">
        <f t="shared" si="197"/>
        <v/>
      </c>
    </row>
    <row r="4166" spans="1:3" x14ac:dyDescent="0.25">
      <c r="A4166" s="8" t="str">
        <f t="shared" si="195"/>
        <v/>
      </c>
      <c r="B4166" s="9" t="str">
        <f t="shared" si="196"/>
        <v/>
      </c>
      <c r="C4166" s="10" t="str">
        <f t="shared" si="197"/>
        <v/>
      </c>
    </row>
    <row r="4167" spans="1:3" x14ac:dyDescent="0.25">
      <c r="A4167" s="8" t="str">
        <f t="shared" si="195"/>
        <v/>
      </c>
      <c r="B4167" s="9" t="str">
        <f t="shared" si="196"/>
        <v/>
      </c>
      <c r="C4167" s="10" t="str">
        <f t="shared" si="197"/>
        <v/>
      </c>
    </row>
    <row r="4168" spans="1:3" x14ac:dyDescent="0.25">
      <c r="A4168" s="8" t="str">
        <f t="shared" si="195"/>
        <v/>
      </c>
      <c r="B4168" s="9" t="str">
        <f t="shared" si="196"/>
        <v/>
      </c>
      <c r="C4168" s="10" t="str">
        <f t="shared" si="197"/>
        <v/>
      </c>
    </row>
    <row r="4169" spans="1:3" x14ac:dyDescent="0.25">
      <c r="A4169" s="8" t="str">
        <f t="shared" si="195"/>
        <v/>
      </c>
      <c r="B4169" s="9" t="str">
        <f t="shared" si="196"/>
        <v/>
      </c>
      <c r="C4169" s="10" t="str">
        <f t="shared" si="197"/>
        <v/>
      </c>
    </row>
    <row r="4170" spans="1:3" x14ac:dyDescent="0.25">
      <c r="A4170" s="8" t="str">
        <f t="shared" si="195"/>
        <v/>
      </c>
      <c r="B4170" s="9" t="str">
        <f t="shared" si="196"/>
        <v/>
      </c>
      <c r="C4170" s="10" t="str">
        <f t="shared" si="197"/>
        <v/>
      </c>
    </row>
    <row r="4171" spans="1:3" x14ac:dyDescent="0.25">
      <c r="A4171" s="8" t="str">
        <f t="shared" si="195"/>
        <v/>
      </c>
      <c r="B4171" s="9" t="str">
        <f t="shared" si="196"/>
        <v/>
      </c>
      <c r="C4171" s="10" t="str">
        <f t="shared" si="197"/>
        <v/>
      </c>
    </row>
    <row r="4172" spans="1:3" x14ac:dyDescent="0.25">
      <c r="A4172" s="8" t="str">
        <f t="shared" si="195"/>
        <v/>
      </c>
      <c r="B4172" s="9" t="str">
        <f t="shared" si="196"/>
        <v/>
      </c>
      <c r="C4172" s="10" t="str">
        <f t="shared" si="197"/>
        <v/>
      </c>
    </row>
    <row r="4173" spans="1:3" x14ac:dyDescent="0.25">
      <c r="A4173" s="8" t="str">
        <f t="shared" si="195"/>
        <v/>
      </c>
      <c r="B4173" s="9" t="str">
        <f t="shared" si="196"/>
        <v/>
      </c>
      <c r="C4173" s="10" t="str">
        <f t="shared" si="197"/>
        <v/>
      </c>
    </row>
    <row r="4174" spans="1:3" x14ac:dyDescent="0.25">
      <c r="A4174" s="8" t="str">
        <f t="shared" si="195"/>
        <v/>
      </c>
      <c r="B4174" s="9" t="str">
        <f t="shared" si="196"/>
        <v/>
      </c>
      <c r="C4174" s="10" t="str">
        <f t="shared" si="197"/>
        <v/>
      </c>
    </row>
    <row r="4175" spans="1:3" x14ac:dyDescent="0.25">
      <c r="A4175" s="8" t="str">
        <f t="shared" si="195"/>
        <v/>
      </c>
      <c r="B4175" s="9" t="str">
        <f t="shared" si="196"/>
        <v/>
      </c>
      <c r="C4175" s="10" t="str">
        <f t="shared" si="197"/>
        <v/>
      </c>
    </row>
    <row r="4176" spans="1:3" x14ac:dyDescent="0.25">
      <c r="A4176" s="8" t="str">
        <f t="shared" si="195"/>
        <v/>
      </c>
      <c r="B4176" s="9" t="str">
        <f t="shared" si="196"/>
        <v/>
      </c>
      <c r="C4176" s="10" t="str">
        <f t="shared" si="197"/>
        <v/>
      </c>
    </row>
    <row r="4177" spans="1:3" x14ac:dyDescent="0.25">
      <c r="A4177" s="8" t="str">
        <f t="shared" si="195"/>
        <v/>
      </c>
      <c r="B4177" s="9" t="str">
        <f t="shared" si="196"/>
        <v/>
      </c>
      <c r="C4177" s="10" t="str">
        <f t="shared" si="197"/>
        <v/>
      </c>
    </row>
    <row r="4178" spans="1:3" x14ac:dyDescent="0.25">
      <c r="A4178" s="8" t="str">
        <f t="shared" si="195"/>
        <v/>
      </c>
      <c r="B4178" s="9" t="str">
        <f t="shared" si="196"/>
        <v/>
      </c>
      <c r="C4178" s="10" t="str">
        <f t="shared" si="197"/>
        <v/>
      </c>
    </row>
    <row r="4179" spans="1:3" x14ac:dyDescent="0.25">
      <c r="A4179" s="8" t="str">
        <f t="shared" si="195"/>
        <v/>
      </c>
      <c r="B4179" s="9" t="str">
        <f t="shared" si="196"/>
        <v/>
      </c>
      <c r="C4179" s="10" t="str">
        <f t="shared" si="197"/>
        <v/>
      </c>
    </row>
    <row r="4180" spans="1:3" x14ac:dyDescent="0.25">
      <c r="A4180" s="8" t="str">
        <f t="shared" si="195"/>
        <v/>
      </c>
      <c r="B4180" s="9" t="str">
        <f t="shared" si="196"/>
        <v/>
      </c>
      <c r="C4180" s="10" t="str">
        <f t="shared" si="197"/>
        <v/>
      </c>
    </row>
    <row r="4181" spans="1:3" x14ac:dyDescent="0.25">
      <c r="A4181" s="8" t="str">
        <f t="shared" si="195"/>
        <v/>
      </c>
      <c r="B4181" s="9" t="str">
        <f t="shared" si="196"/>
        <v/>
      </c>
      <c r="C4181" s="10" t="str">
        <f t="shared" si="197"/>
        <v/>
      </c>
    </row>
    <row r="4182" spans="1:3" x14ac:dyDescent="0.25">
      <c r="A4182" s="8" t="str">
        <f t="shared" si="195"/>
        <v/>
      </c>
      <c r="B4182" s="9" t="str">
        <f t="shared" si="196"/>
        <v/>
      </c>
      <c r="C4182" s="10" t="str">
        <f t="shared" si="197"/>
        <v/>
      </c>
    </row>
    <row r="4183" spans="1:3" x14ac:dyDescent="0.25">
      <c r="A4183" s="8" t="str">
        <f t="shared" si="195"/>
        <v/>
      </c>
      <c r="B4183" s="9" t="str">
        <f t="shared" si="196"/>
        <v/>
      </c>
      <c r="C4183" s="10" t="str">
        <f t="shared" si="197"/>
        <v/>
      </c>
    </row>
    <row r="4184" spans="1:3" x14ac:dyDescent="0.25">
      <c r="A4184" s="8" t="str">
        <f t="shared" si="195"/>
        <v/>
      </c>
      <c r="B4184" s="9" t="str">
        <f t="shared" si="196"/>
        <v/>
      </c>
      <c r="C4184" s="10" t="str">
        <f t="shared" si="197"/>
        <v/>
      </c>
    </row>
    <row r="4185" spans="1:3" x14ac:dyDescent="0.25">
      <c r="A4185" s="8" t="str">
        <f t="shared" si="195"/>
        <v/>
      </c>
      <c r="B4185" s="9" t="str">
        <f t="shared" si="196"/>
        <v/>
      </c>
      <c r="C4185" s="10" t="str">
        <f t="shared" si="197"/>
        <v/>
      </c>
    </row>
    <row r="4186" spans="1:3" x14ac:dyDescent="0.25">
      <c r="A4186" s="8" t="str">
        <f t="shared" si="195"/>
        <v/>
      </c>
      <c r="B4186" s="9" t="str">
        <f t="shared" si="196"/>
        <v/>
      </c>
      <c r="C4186" s="10" t="str">
        <f t="shared" si="197"/>
        <v/>
      </c>
    </row>
    <row r="4187" spans="1:3" x14ac:dyDescent="0.25">
      <c r="A4187" s="8" t="str">
        <f t="shared" si="195"/>
        <v/>
      </c>
      <c r="B4187" s="9" t="str">
        <f t="shared" si="196"/>
        <v/>
      </c>
      <c r="C4187" s="10" t="str">
        <f t="shared" si="197"/>
        <v/>
      </c>
    </row>
    <row r="4188" spans="1:3" x14ac:dyDescent="0.25">
      <c r="A4188" s="8" t="str">
        <f t="shared" si="195"/>
        <v/>
      </c>
      <c r="B4188" s="9" t="str">
        <f t="shared" si="196"/>
        <v/>
      </c>
      <c r="C4188" s="10" t="str">
        <f t="shared" si="197"/>
        <v/>
      </c>
    </row>
    <row r="4189" spans="1:3" x14ac:dyDescent="0.25">
      <c r="A4189" s="8" t="str">
        <f t="shared" si="195"/>
        <v/>
      </c>
      <c r="B4189" s="9" t="str">
        <f t="shared" si="196"/>
        <v/>
      </c>
      <c r="C4189" s="10" t="str">
        <f t="shared" si="197"/>
        <v/>
      </c>
    </row>
    <row r="4190" spans="1:3" x14ac:dyDescent="0.25">
      <c r="A4190" s="8" t="str">
        <f t="shared" si="195"/>
        <v/>
      </c>
      <c r="B4190" s="9" t="str">
        <f t="shared" si="196"/>
        <v/>
      </c>
      <c r="C4190" s="10" t="str">
        <f t="shared" si="197"/>
        <v/>
      </c>
    </row>
    <row r="4191" spans="1:3" x14ac:dyDescent="0.25">
      <c r="A4191" s="8" t="str">
        <f t="shared" si="195"/>
        <v/>
      </c>
      <c r="B4191" s="9" t="str">
        <f t="shared" si="196"/>
        <v/>
      </c>
      <c r="C4191" s="10" t="str">
        <f t="shared" si="197"/>
        <v/>
      </c>
    </row>
    <row r="4192" spans="1:3" x14ac:dyDescent="0.25">
      <c r="A4192" s="8" t="str">
        <f t="shared" si="195"/>
        <v/>
      </c>
      <c r="B4192" s="9" t="str">
        <f t="shared" si="196"/>
        <v/>
      </c>
      <c r="C4192" s="10" t="str">
        <f t="shared" si="197"/>
        <v/>
      </c>
    </row>
    <row r="4193" spans="1:3" x14ac:dyDescent="0.25">
      <c r="A4193" s="8" t="str">
        <f t="shared" si="195"/>
        <v/>
      </c>
      <c r="B4193" s="9" t="str">
        <f t="shared" si="196"/>
        <v/>
      </c>
      <c r="C4193" s="10" t="str">
        <f t="shared" si="197"/>
        <v/>
      </c>
    </row>
    <row r="4194" spans="1:3" x14ac:dyDescent="0.25">
      <c r="A4194" s="8" t="str">
        <f t="shared" si="195"/>
        <v/>
      </c>
      <c r="B4194" s="9" t="str">
        <f t="shared" si="196"/>
        <v/>
      </c>
      <c r="C4194" s="10" t="str">
        <f t="shared" si="197"/>
        <v/>
      </c>
    </row>
    <row r="4195" spans="1:3" x14ac:dyDescent="0.25">
      <c r="A4195" s="8" t="str">
        <f t="shared" si="195"/>
        <v/>
      </c>
      <c r="B4195" s="9" t="str">
        <f t="shared" si="196"/>
        <v/>
      </c>
      <c r="C4195" s="10" t="str">
        <f t="shared" si="197"/>
        <v/>
      </c>
    </row>
    <row r="4196" spans="1:3" x14ac:dyDescent="0.25">
      <c r="A4196" s="8" t="str">
        <f t="shared" si="195"/>
        <v/>
      </c>
      <c r="B4196" s="9" t="str">
        <f t="shared" si="196"/>
        <v/>
      </c>
      <c r="C4196" s="10" t="str">
        <f t="shared" si="197"/>
        <v/>
      </c>
    </row>
    <row r="4197" spans="1:3" x14ac:dyDescent="0.25">
      <c r="A4197" s="8" t="str">
        <f t="shared" si="195"/>
        <v/>
      </c>
      <c r="B4197" s="9" t="str">
        <f t="shared" si="196"/>
        <v/>
      </c>
      <c r="C4197" s="10" t="str">
        <f t="shared" si="197"/>
        <v/>
      </c>
    </row>
    <row r="4198" spans="1:3" x14ac:dyDescent="0.25">
      <c r="A4198" s="8" t="str">
        <f t="shared" si="195"/>
        <v/>
      </c>
      <c r="B4198" s="9" t="str">
        <f t="shared" si="196"/>
        <v/>
      </c>
      <c r="C4198" s="10" t="str">
        <f t="shared" si="197"/>
        <v/>
      </c>
    </row>
    <row r="4199" spans="1:3" x14ac:dyDescent="0.25">
      <c r="A4199" s="8" t="str">
        <f t="shared" ref="A4199:A4262" si="198">IF(D4199="","",IF(E4199=0,CONCATENATE(D4199,".",E4199,"00"),CONCATENATE(D4199,".",E4199)))</f>
        <v/>
      </c>
      <c r="B4199" s="9" t="str">
        <f t="shared" ref="B4199:B4262" si="199">LEFT(G4199,1)</f>
        <v/>
      </c>
      <c r="C4199" s="10" t="str">
        <f t="shared" ref="C4199:C4262" si="200">IF(F4199="","",IF(B4199="",F4199-4,IF(B4199="1",F4199-4,IF(B4199="2",F4199-3,IF(B4199="3",F4199-2,IF(B4199="4",F4199-1,IF(B4199="V",F4199-7,IF(B4199="J",F4199-8,F4199))))))))</f>
        <v/>
      </c>
    </row>
    <row r="4200" spans="1:3" x14ac:dyDescent="0.25">
      <c r="A4200" s="8" t="str">
        <f t="shared" si="198"/>
        <v/>
      </c>
      <c r="B4200" s="9" t="str">
        <f t="shared" si="199"/>
        <v/>
      </c>
      <c r="C4200" s="10" t="str">
        <f t="shared" si="200"/>
        <v/>
      </c>
    </row>
    <row r="4201" spans="1:3" x14ac:dyDescent="0.25">
      <c r="A4201" s="8" t="str">
        <f t="shared" si="198"/>
        <v/>
      </c>
      <c r="B4201" s="9" t="str">
        <f t="shared" si="199"/>
        <v/>
      </c>
      <c r="C4201" s="10" t="str">
        <f t="shared" si="200"/>
        <v/>
      </c>
    </row>
    <row r="4202" spans="1:3" x14ac:dyDescent="0.25">
      <c r="A4202" s="8" t="str">
        <f t="shared" si="198"/>
        <v/>
      </c>
      <c r="B4202" s="9" t="str">
        <f t="shared" si="199"/>
        <v/>
      </c>
      <c r="C4202" s="10" t="str">
        <f t="shared" si="200"/>
        <v/>
      </c>
    </row>
    <row r="4203" spans="1:3" x14ac:dyDescent="0.25">
      <c r="A4203" s="8" t="str">
        <f t="shared" si="198"/>
        <v/>
      </c>
      <c r="B4203" s="9" t="str">
        <f t="shared" si="199"/>
        <v/>
      </c>
      <c r="C4203" s="10" t="str">
        <f t="shared" si="200"/>
        <v/>
      </c>
    </row>
    <row r="4204" spans="1:3" x14ac:dyDescent="0.25">
      <c r="A4204" s="8" t="str">
        <f t="shared" si="198"/>
        <v/>
      </c>
      <c r="B4204" s="9" t="str">
        <f t="shared" si="199"/>
        <v/>
      </c>
      <c r="C4204" s="10" t="str">
        <f t="shared" si="200"/>
        <v/>
      </c>
    </row>
    <row r="4205" spans="1:3" x14ac:dyDescent="0.25">
      <c r="A4205" s="8" t="str">
        <f t="shared" si="198"/>
        <v/>
      </c>
      <c r="B4205" s="9" t="str">
        <f t="shared" si="199"/>
        <v/>
      </c>
      <c r="C4205" s="10" t="str">
        <f t="shared" si="200"/>
        <v/>
      </c>
    </row>
    <row r="4206" spans="1:3" x14ac:dyDescent="0.25">
      <c r="A4206" s="8" t="str">
        <f t="shared" si="198"/>
        <v/>
      </c>
      <c r="B4206" s="9" t="str">
        <f t="shared" si="199"/>
        <v/>
      </c>
      <c r="C4206" s="10" t="str">
        <f t="shared" si="200"/>
        <v/>
      </c>
    </row>
    <row r="4207" spans="1:3" x14ac:dyDescent="0.25">
      <c r="A4207" s="8" t="str">
        <f t="shared" si="198"/>
        <v/>
      </c>
      <c r="B4207" s="9" t="str">
        <f t="shared" si="199"/>
        <v/>
      </c>
      <c r="C4207" s="10" t="str">
        <f t="shared" si="200"/>
        <v/>
      </c>
    </row>
    <row r="4208" spans="1:3" x14ac:dyDescent="0.25">
      <c r="A4208" s="8" t="str">
        <f t="shared" si="198"/>
        <v/>
      </c>
      <c r="B4208" s="9" t="str">
        <f t="shared" si="199"/>
        <v/>
      </c>
      <c r="C4208" s="10" t="str">
        <f t="shared" si="200"/>
        <v/>
      </c>
    </row>
    <row r="4209" spans="1:3" x14ac:dyDescent="0.25">
      <c r="A4209" s="8" t="str">
        <f t="shared" si="198"/>
        <v/>
      </c>
      <c r="B4209" s="9" t="str">
        <f t="shared" si="199"/>
        <v/>
      </c>
      <c r="C4209" s="10" t="str">
        <f t="shared" si="200"/>
        <v/>
      </c>
    </row>
    <row r="4210" spans="1:3" x14ac:dyDescent="0.25">
      <c r="A4210" s="8" t="str">
        <f t="shared" si="198"/>
        <v/>
      </c>
      <c r="B4210" s="9" t="str">
        <f t="shared" si="199"/>
        <v/>
      </c>
      <c r="C4210" s="10" t="str">
        <f t="shared" si="200"/>
        <v/>
      </c>
    </row>
    <row r="4211" spans="1:3" x14ac:dyDescent="0.25">
      <c r="A4211" s="8" t="str">
        <f t="shared" si="198"/>
        <v/>
      </c>
      <c r="B4211" s="9" t="str">
        <f t="shared" si="199"/>
        <v/>
      </c>
      <c r="C4211" s="10" t="str">
        <f t="shared" si="200"/>
        <v/>
      </c>
    </row>
    <row r="4212" spans="1:3" x14ac:dyDescent="0.25">
      <c r="A4212" s="8" t="str">
        <f t="shared" si="198"/>
        <v/>
      </c>
      <c r="B4212" s="9" t="str">
        <f t="shared" si="199"/>
        <v/>
      </c>
      <c r="C4212" s="10" t="str">
        <f t="shared" si="200"/>
        <v/>
      </c>
    </row>
    <row r="4213" spans="1:3" x14ac:dyDescent="0.25">
      <c r="A4213" s="8" t="str">
        <f t="shared" si="198"/>
        <v/>
      </c>
      <c r="B4213" s="9" t="str">
        <f t="shared" si="199"/>
        <v/>
      </c>
      <c r="C4213" s="10" t="str">
        <f t="shared" si="200"/>
        <v/>
      </c>
    </row>
    <row r="4214" spans="1:3" x14ac:dyDescent="0.25">
      <c r="A4214" s="8" t="str">
        <f t="shared" si="198"/>
        <v/>
      </c>
      <c r="B4214" s="9" t="str">
        <f t="shared" si="199"/>
        <v/>
      </c>
      <c r="C4214" s="10" t="str">
        <f t="shared" si="200"/>
        <v/>
      </c>
    </row>
    <row r="4215" spans="1:3" x14ac:dyDescent="0.25">
      <c r="A4215" s="8" t="str">
        <f t="shared" si="198"/>
        <v/>
      </c>
      <c r="B4215" s="9" t="str">
        <f t="shared" si="199"/>
        <v/>
      </c>
      <c r="C4215" s="10" t="str">
        <f t="shared" si="200"/>
        <v/>
      </c>
    </row>
    <row r="4216" spans="1:3" x14ac:dyDescent="0.25">
      <c r="A4216" s="8" t="str">
        <f t="shared" si="198"/>
        <v/>
      </c>
      <c r="B4216" s="9" t="str">
        <f t="shared" si="199"/>
        <v/>
      </c>
      <c r="C4216" s="10" t="str">
        <f t="shared" si="200"/>
        <v/>
      </c>
    </row>
    <row r="4217" spans="1:3" x14ac:dyDescent="0.25">
      <c r="A4217" s="8" t="str">
        <f t="shared" si="198"/>
        <v/>
      </c>
      <c r="B4217" s="9" t="str">
        <f t="shared" si="199"/>
        <v/>
      </c>
      <c r="C4217" s="10" t="str">
        <f t="shared" si="200"/>
        <v/>
      </c>
    </row>
    <row r="4218" spans="1:3" x14ac:dyDescent="0.25">
      <c r="A4218" s="8" t="str">
        <f t="shared" si="198"/>
        <v/>
      </c>
      <c r="B4218" s="9" t="str">
        <f t="shared" si="199"/>
        <v/>
      </c>
      <c r="C4218" s="10" t="str">
        <f t="shared" si="200"/>
        <v/>
      </c>
    </row>
    <row r="4219" spans="1:3" x14ac:dyDescent="0.25">
      <c r="A4219" s="8" t="str">
        <f t="shared" si="198"/>
        <v/>
      </c>
      <c r="B4219" s="9" t="str">
        <f t="shared" si="199"/>
        <v/>
      </c>
      <c r="C4219" s="10" t="str">
        <f t="shared" si="200"/>
        <v/>
      </c>
    </row>
    <row r="4220" spans="1:3" x14ac:dyDescent="0.25">
      <c r="A4220" s="8" t="str">
        <f t="shared" si="198"/>
        <v/>
      </c>
      <c r="B4220" s="9" t="str">
        <f t="shared" si="199"/>
        <v/>
      </c>
      <c r="C4220" s="10" t="str">
        <f t="shared" si="200"/>
        <v/>
      </c>
    </row>
    <row r="4221" spans="1:3" x14ac:dyDescent="0.25">
      <c r="A4221" s="8" t="str">
        <f t="shared" si="198"/>
        <v/>
      </c>
      <c r="B4221" s="9" t="str">
        <f t="shared" si="199"/>
        <v/>
      </c>
      <c r="C4221" s="10" t="str">
        <f t="shared" si="200"/>
        <v/>
      </c>
    </row>
    <row r="4222" spans="1:3" x14ac:dyDescent="0.25">
      <c r="A4222" s="8" t="str">
        <f t="shared" si="198"/>
        <v/>
      </c>
      <c r="B4222" s="9" t="str">
        <f t="shared" si="199"/>
        <v/>
      </c>
      <c r="C4222" s="10" t="str">
        <f t="shared" si="200"/>
        <v/>
      </c>
    </row>
    <row r="4223" spans="1:3" x14ac:dyDescent="0.25">
      <c r="A4223" s="8" t="str">
        <f t="shared" si="198"/>
        <v/>
      </c>
      <c r="B4223" s="9" t="str">
        <f t="shared" si="199"/>
        <v/>
      </c>
      <c r="C4223" s="10" t="str">
        <f t="shared" si="200"/>
        <v/>
      </c>
    </row>
    <row r="4224" spans="1:3" x14ac:dyDescent="0.25">
      <c r="A4224" s="8" t="str">
        <f t="shared" si="198"/>
        <v/>
      </c>
      <c r="B4224" s="9" t="str">
        <f t="shared" si="199"/>
        <v/>
      </c>
      <c r="C4224" s="10" t="str">
        <f t="shared" si="200"/>
        <v/>
      </c>
    </row>
    <row r="4225" spans="1:3" x14ac:dyDescent="0.25">
      <c r="A4225" s="8" t="str">
        <f t="shared" si="198"/>
        <v/>
      </c>
      <c r="B4225" s="9" t="str">
        <f t="shared" si="199"/>
        <v/>
      </c>
      <c r="C4225" s="10" t="str">
        <f t="shared" si="200"/>
        <v/>
      </c>
    </row>
    <row r="4226" spans="1:3" x14ac:dyDescent="0.25">
      <c r="A4226" s="8" t="str">
        <f t="shared" si="198"/>
        <v/>
      </c>
      <c r="B4226" s="9" t="str">
        <f t="shared" si="199"/>
        <v/>
      </c>
      <c r="C4226" s="10" t="str">
        <f t="shared" si="200"/>
        <v/>
      </c>
    </row>
    <row r="4227" spans="1:3" x14ac:dyDescent="0.25">
      <c r="A4227" s="8" t="str">
        <f t="shared" si="198"/>
        <v/>
      </c>
      <c r="B4227" s="9" t="str">
        <f t="shared" si="199"/>
        <v/>
      </c>
      <c r="C4227" s="10" t="str">
        <f t="shared" si="200"/>
        <v/>
      </c>
    </row>
    <row r="4228" spans="1:3" x14ac:dyDescent="0.25">
      <c r="A4228" s="8" t="str">
        <f t="shared" si="198"/>
        <v/>
      </c>
      <c r="B4228" s="9" t="str">
        <f t="shared" si="199"/>
        <v/>
      </c>
      <c r="C4228" s="10" t="str">
        <f t="shared" si="200"/>
        <v/>
      </c>
    </row>
    <row r="4229" spans="1:3" x14ac:dyDescent="0.25">
      <c r="A4229" s="8" t="str">
        <f t="shared" si="198"/>
        <v/>
      </c>
      <c r="B4229" s="9" t="str">
        <f t="shared" si="199"/>
        <v/>
      </c>
      <c r="C4229" s="10" t="str">
        <f t="shared" si="200"/>
        <v/>
      </c>
    </row>
    <row r="4230" spans="1:3" x14ac:dyDescent="0.25">
      <c r="A4230" s="8" t="str">
        <f t="shared" si="198"/>
        <v/>
      </c>
      <c r="B4230" s="9" t="str">
        <f t="shared" si="199"/>
        <v/>
      </c>
      <c r="C4230" s="10" t="str">
        <f t="shared" si="200"/>
        <v/>
      </c>
    </row>
    <row r="4231" spans="1:3" x14ac:dyDescent="0.25">
      <c r="A4231" s="8" t="str">
        <f t="shared" si="198"/>
        <v/>
      </c>
      <c r="B4231" s="9" t="str">
        <f t="shared" si="199"/>
        <v/>
      </c>
      <c r="C4231" s="10" t="str">
        <f t="shared" si="200"/>
        <v/>
      </c>
    </row>
    <row r="4232" spans="1:3" x14ac:dyDescent="0.25">
      <c r="A4232" s="8" t="str">
        <f t="shared" si="198"/>
        <v/>
      </c>
      <c r="B4232" s="9" t="str">
        <f t="shared" si="199"/>
        <v/>
      </c>
      <c r="C4232" s="10" t="str">
        <f t="shared" si="200"/>
        <v/>
      </c>
    </row>
    <row r="4233" spans="1:3" x14ac:dyDescent="0.25">
      <c r="A4233" s="8" t="str">
        <f t="shared" si="198"/>
        <v/>
      </c>
      <c r="B4233" s="9" t="str">
        <f t="shared" si="199"/>
        <v/>
      </c>
      <c r="C4233" s="10" t="str">
        <f t="shared" si="200"/>
        <v/>
      </c>
    </row>
    <row r="4234" spans="1:3" x14ac:dyDescent="0.25">
      <c r="A4234" s="8" t="str">
        <f t="shared" si="198"/>
        <v/>
      </c>
      <c r="B4234" s="9" t="str">
        <f t="shared" si="199"/>
        <v/>
      </c>
      <c r="C4234" s="10" t="str">
        <f t="shared" si="200"/>
        <v/>
      </c>
    </row>
    <row r="4235" spans="1:3" x14ac:dyDescent="0.25">
      <c r="A4235" s="8" t="str">
        <f t="shared" si="198"/>
        <v/>
      </c>
      <c r="B4235" s="9" t="str">
        <f t="shared" si="199"/>
        <v/>
      </c>
      <c r="C4235" s="10" t="str">
        <f t="shared" si="200"/>
        <v/>
      </c>
    </row>
    <row r="4236" spans="1:3" x14ac:dyDescent="0.25">
      <c r="A4236" s="8" t="str">
        <f t="shared" si="198"/>
        <v/>
      </c>
      <c r="B4236" s="9" t="str">
        <f t="shared" si="199"/>
        <v/>
      </c>
      <c r="C4236" s="10" t="str">
        <f t="shared" si="200"/>
        <v/>
      </c>
    </row>
    <row r="4237" spans="1:3" x14ac:dyDescent="0.25">
      <c r="A4237" s="8" t="str">
        <f t="shared" si="198"/>
        <v/>
      </c>
      <c r="B4237" s="9" t="str">
        <f t="shared" si="199"/>
        <v/>
      </c>
      <c r="C4237" s="10" t="str">
        <f t="shared" si="200"/>
        <v/>
      </c>
    </row>
    <row r="4238" spans="1:3" x14ac:dyDescent="0.25">
      <c r="A4238" s="8" t="str">
        <f t="shared" si="198"/>
        <v/>
      </c>
      <c r="B4238" s="9" t="str">
        <f t="shared" si="199"/>
        <v/>
      </c>
      <c r="C4238" s="10" t="str">
        <f t="shared" si="200"/>
        <v/>
      </c>
    </row>
    <row r="4239" spans="1:3" x14ac:dyDescent="0.25">
      <c r="A4239" s="8" t="str">
        <f t="shared" si="198"/>
        <v/>
      </c>
      <c r="B4239" s="9" t="str">
        <f t="shared" si="199"/>
        <v/>
      </c>
      <c r="C4239" s="10" t="str">
        <f t="shared" si="200"/>
        <v/>
      </c>
    </row>
    <row r="4240" spans="1:3" x14ac:dyDescent="0.25">
      <c r="A4240" s="8" t="str">
        <f t="shared" si="198"/>
        <v/>
      </c>
      <c r="B4240" s="9" t="str">
        <f t="shared" si="199"/>
        <v/>
      </c>
      <c r="C4240" s="10" t="str">
        <f t="shared" si="200"/>
        <v/>
      </c>
    </row>
    <row r="4241" spans="1:3" x14ac:dyDescent="0.25">
      <c r="A4241" s="8" t="str">
        <f t="shared" si="198"/>
        <v/>
      </c>
      <c r="B4241" s="9" t="str">
        <f t="shared" si="199"/>
        <v/>
      </c>
      <c r="C4241" s="10" t="str">
        <f t="shared" si="200"/>
        <v/>
      </c>
    </row>
    <row r="4242" spans="1:3" x14ac:dyDescent="0.25">
      <c r="A4242" s="8" t="str">
        <f t="shared" si="198"/>
        <v/>
      </c>
      <c r="B4242" s="9" t="str">
        <f t="shared" si="199"/>
        <v/>
      </c>
      <c r="C4242" s="10" t="str">
        <f t="shared" si="200"/>
        <v/>
      </c>
    </row>
    <row r="4243" spans="1:3" x14ac:dyDescent="0.25">
      <c r="A4243" s="8" t="str">
        <f t="shared" si="198"/>
        <v/>
      </c>
      <c r="B4243" s="9" t="str">
        <f t="shared" si="199"/>
        <v/>
      </c>
      <c r="C4243" s="10" t="str">
        <f t="shared" si="200"/>
        <v/>
      </c>
    </row>
    <row r="4244" spans="1:3" x14ac:dyDescent="0.25">
      <c r="A4244" s="8" t="str">
        <f t="shared" si="198"/>
        <v/>
      </c>
      <c r="B4244" s="9" t="str">
        <f t="shared" si="199"/>
        <v/>
      </c>
      <c r="C4244" s="10" t="str">
        <f t="shared" si="200"/>
        <v/>
      </c>
    </row>
    <row r="4245" spans="1:3" x14ac:dyDescent="0.25">
      <c r="A4245" s="8" t="str">
        <f t="shared" si="198"/>
        <v/>
      </c>
      <c r="B4245" s="9" t="str">
        <f t="shared" si="199"/>
        <v/>
      </c>
      <c r="C4245" s="10" t="str">
        <f t="shared" si="200"/>
        <v/>
      </c>
    </row>
    <row r="4246" spans="1:3" x14ac:dyDescent="0.25">
      <c r="A4246" s="8" t="str">
        <f t="shared" si="198"/>
        <v/>
      </c>
      <c r="B4246" s="9" t="str">
        <f t="shared" si="199"/>
        <v/>
      </c>
      <c r="C4246" s="10" t="str">
        <f t="shared" si="200"/>
        <v/>
      </c>
    </row>
    <row r="4247" spans="1:3" x14ac:dyDescent="0.25">
      <c r="A4247" s="8" t="str">
        <f t="shared" si="198"/>
        <v/>
      </c>
      <c r="B4247" s="9" t="str">
        <f t="shared" si="199"/>
        <v/>
      </c>
      <c r="C4247" s="10" t="str">
        <f t="shared" si="200"/>
        <v/>
      </c>
    </row>
    <row r="4248" spans="1:3" x14ac:dyDescent="0.25">
      <c r="A4248" s="8" t="str">
        <f t="shared" si="198"/>
        <v/>
      </c>
      <c r="B4248" s="9" t="str">
        <f t="shared" si="199"/>
        <v/>
      </c>
      <c r="C4248" s="10" t="str">
        <f t="shared" si="200"/>
        <v/>
      </c>
    </row>
    <row r="4249" spans="1:3" x14ac:dyDescent="0.25">
      <c r="A4249" s="8" t="str">
        <f t="shared" si="198"/>
        <v/>
      </c>
      <c r="B4249" s="9" t="str">
        <f t="shared" si="199"/>
        <v/>
      </c>
      <c r="C4249" s="10" t="str">
        <f t="shared" si="200"/>
        <v/>
      </c>
    </row>
    <row r="4250" spans="1:3" x14ac:dyDescent="0.25">
      <c r="A4250" s="8" t="str">
        <f t="shared" si="198"/>
        <v/>
      </c>
      <c r="B4250" s="9" t="str">
        <f t="shared" si="199"/>
        <v/>
      </c>
      <c r="C4250" s="10" t="str">
        <f t="shared" si="200"/>
        <v/>
      </c>
    </row>
    <row r="4251" spans="1:3" x14ac:dyDescent="0.25">
      <c r="A4251" s="8" t="str">
        <f t="shared" si="198"/>
        <v/>
      </c>
      <c r="B4251" s="9" t="str">
        <f t="shared" si="199"/>
        <v/>
      </c>
      <c r="C4251" s="10" t="str">
        <f t="shared" si="200"/>
        <v/>
      </c>
    </row>
    <row r="4252" spans="1:3" x14ac:dyDescent="0.25">
      <c r="A4252" s="8" t="str">
        <f t="shared" si="198"/>
        <v/>
      </c>
      <c r="B4252" s="9" t="str">
        <f t="shared" si="199"/>
        <v/>
      </c>
      <c r="C4252" s="10" t="str">
        <f t="shared" si="200"/>
        <v/>
      </c>
    </row>
    <row r="4253" spans="1:3" x14ac:dyDescent="0.25">
      <c r="A4253" s="8" t="str">
        <f t="shared" si="198"/>
        <v/>
      </c>
      <c r="B4253" s="9" t="str">
        <f t="shared" si="199"/>
        <v/>
      </c>
      <c r="C4253" s="10" t="str">
        <f t="shared" si="200"/>
        <v/>
      </c>
    </row>
    <row r="4254" spans="1:3" x14ac:dyDescent="0.25">
      <c r="A4254" s="8" t="str">
        <f t="shared" si="198"/>
        <v/>
      </c>
      <c r="B4254" s="9" t="str">
        <f t="shared" si="199"/>
        <v/>
      </c>
      <c r="C4254" s="10" t="str">
        <f t="shared" si="200"/>
        <v/>
      </c>
    </row>
    <row r="4255" spans="1:3" x14ac:dyDescent="0.25">
      <c r="A4255" s="8" t="str">
        <f t="shared" si="198"/>
        <v/>
      </c>
      <c r="B4255" s="9" t="str">
        <f t="shared" si="199"/>
        <v/>
      </c>
      <c r="C4255" s="10" t="str">
        <f t="shared" si="200"/>
        <v/>
      </c>
    </row>
    <row r="4256" spans="1:3" x14ac:dyDescent="0.25">
      <c r="A4256" s="8" t="str">
        <f t="shared" si="198"/>
        <v/>
      </c>
      <c r="B4256" s="9" t="str">
        <f t="shared" si="199"/>
        <v/>
      </c>
      <c r="C4256" s="10" t="str">
        <f t="shared" si="200"/>
        <v/>
      </c>
    </row>
    <row r="4257" spans="1:3" x14ac:dyDescent="0.25">
      <c r="A4257" s="8" t="str">
        <f t="shared" si="198"/>
        <v/>
      </c>
      <c r="B4257" s="9" t="str">
        <f t="shared" si="199"/>
        <v/>
      </c>
      <c r="C4257" s="10" t="str">
        <f t="shared" si="200"/>
        <v/>
      </c>
    </row>
    <row r="4258" spans="1:3" x14ac:dyDescent="0.25">
      <c r="A4258" s="8" t="str">
        <f t="shared" si="198"/>
        <v/>
      </c>
      <c r="B4258" s="9" t="str">
        <f t="shared" si="199"/>
        <v/>
      </c>
      <c r="C4258" s="10" t="str">
        <f t="shared" si="200"/>
        <v/>
      </c>
    </row>
    <row r="4259" spans="1:3" x14ac:dyDescent="0.25">
      <c r="A4259" s="8" t="str">
        <f t="shared" si="198"/>
        <v/>
      </c>
      <c r="B4259" s="9" t="str">
        <f t="shared" si="199"/>
        <v/>
      </c>
      <c r="C4259" s="10" t="str">
        <f t="shared" si="200"/>
        <v/>
      </c>
    </row>
    <row r="4260" spans="1:3" x14ac:dyDescent="0.25">
      <c r="A4260" s="8" t="str">
        <f t="shared" si="198"/>
        <v/>
      </c>
      <c r="B4260" s="9" t="str">
        <f t="shared" si="199"/>
        <v/>
      </c>
      <c r="C4260" s="10" t="str">
        <f t="shared" si="200"/>
        <v/>
      </c>
    </row>
    <row r="4261" spans="1:3" x14ac:dyDescent="0.25">
      <c r="A4261" s="8" t="str">
        <f t="shared" si="198"/>
        <v/>
      </c>
      <c r="B4261" s="9" t="str">
        <f t="shared" si="199"/>
        <v/>
      </c>
      <c r="C4261" s="10" t="str">
        <f t="shared" si="200"/>
        <v/>
      </c>
    </row>
    <row r="4262" spans="1:3" x14ac:dyDescent="0.25">
      <c r="A4262" s="8" t="str">
        <f t="shared" si="198"/>
        <v/>
      </c>
      <c r="B4262" s="9" t="str">
        <f t="shared" si="199"/>
        <v/>
      </c>
      <c r="C4262" s="10" t="str">
        <f t="shared" si="200"/>
        <v/>
      </c>
    </row>
    <row r="4263" spans="1:3" x14ac:dyDescent="0.25">
      <c r="A4263" s="8" t="str">
        <f t="shared" ref="A4263:A4326" si="201">IF(D4263="","",IF(E4263=0,CONCATENATE(D4263,".",E4263,"00"),CONCATENATE(D4263,".",E4263)))</f>
        <v/>
      </c>
      <c r="B4263" s="9" t="str">
        <f t="shared" ref="B4263:B4326" si="202">LEFT(G4263,1)</f>
        <v/>
      </c>
      <c r="C4263" s="10" t="str">
        <f t="shared" ref="C4263:C4326" si="203">IF(F4263="","",IF(B4263="",F4263-4,IF(B4263="1",F4263-4,IF(B4263="2",F4263-3,IF(B4263="3",F4263-2,IF(B4263="4",F4263-1,IF(B4263="V",F4263-7,IF(B4263="J",F4263-8,F4263))))))))</f>
        <v/>
      </c>
    </row>
    <row r="4264" spans="1:3" x14ac:dyDescent="0.25">
      <c r="A4264" s="8" t="str">
        <f t="shared" si="201"/>
        <v/>
      </c>
      <c r="B4264" s="9" t="str">
        <f t="shared" si="202"/>
        <v/>
      </c>
      <c r="C4264" s="10" t="str">
        <f t="shared" si="203"/>
        <v/>
      </c>
    </row>
    <row r="4265" spans="1:3" x14ac:dyDescent="0.25">
      <c r="A4265" s="8" t="str">
        <f t="shared" si="201"/>
        <v/>
      </c>
      <c r="B4265" s="9" t="str">
        <f t="shared" si="202"/>
        <v/>
      </c>
      <c r="C4265" s="10" t="str">
        <f t="shared" si="203"/>
        <v/>
      </c>
    </row>
    <row r="4266" spans="1:3" x14ac:dyDescent="0.25">
      <c r="A4266" s="8" t="str">
        <f t="shared" si="201"/>
        <v/>
      </c>
      <c r="B4266" s="9" t="str">
        <f t="shared" si="202"/>
        <v/>
      </c>
      <c r="C4266" s="10" t="str">
        <f t="shared" si="203"/>
        <v/>
      </c>
    </row>
    <row r="4267" spans="1:3" x14ac:dyDescent="0.25">
      <c r="A4267" s="8" t="str">
        <f t="shared" si="201"/>
        <v/>
      </c>
      <c r="B4267" s="9" t="str">
        <f t="shared" si="202"/>
        <v/>
      </c>
      <c r="C4267" s="10" t="str">
        <f t="shared" si="203"/>
        <v/>
      </c>
    </row>
    <row r="4268" spans="1:3" x14ac:dyDescent="0.25">
      <c r="A4268" s="8" t="str">
        <f t="shared" si="201"/>
        <v/>
      </c>
      <c r="B4268" s="9" t="str">
        <f t="shared" si="202"/>
        <v/>
      </c>
      <c r="C4268" s="10" t="str">
        <f t="shared" si="203"/>
        <v/>
      </c>
    </row>
    <row r="4269" spans="1:3" x14ac:dyDescent="0.25">
      <c r="A4269" s="8" t="str">
        <f t="shared" si="201"/>
        <v/>
      </c>
      <c r="B4269" s="9" t="str">
        <f t="shared" si="202"/>
        <v/>
      </c>
      <c r="C4269" s="10" t="str">
        <f t="shared" si="203"/>
        <v/>
      </c>
    </row>
    <row r="4270" spans="1:3" x14ac:dyDescent="0.25">
      <c r="A4270" s="8" t="str">
        <f t="shared" si="201"/>
        <v/>
      </c>
      <c r="B4270" s="9" t="str">
        <f t="shared" si="202"/>
        <v/>
      </c>
      <c r="C4270" s="10" t="str">
        <f t="shared" si="203"/>
        <v/>
      </c>
    </row>
    <row r="4271" spans="1:3" x14ac:dyDescent="0.25">
      <c r="A4271" s="8" t="str">
        <f t="shared" si="201"/>
        <v/>
      </c>
      <c r="B4271" s="9" t="str">
        <f t="shared" si="202"/>
        <v/>
      </c>
      <c r="C4271" s="10" t="str">
        <f t="shared" si="203"/>
        <v/>
      </c>
    </row>
    <row r="4272" spans="1:3" x14ac:dyDescent="0.25">
      <c r="A4272" s="8" t="str">
        <f t="shared" si="201"/>
        <v/>
      </c>
      <c r="B4272" s="9" t="str">
        <f t="shared" si="202"/>
        <v/>
      </c>
      <c r="C4272" s="10" t="str">
        <f t="shared" si="203"/>
        <v/>
      </c>
    </row>
    <row r="4273" spans="1:3" x14ac:dyDescent="0.25">
      <c r="A4273" s="8" t="str">
        <f t="shared" si="201"/>
        <v/>
      </c>
      <c r="B4273" s="9" t="str">
        <f t="shared" si="202"/>
        <v/>
      </c>
      <c r="C4273" s="10" t="str">
        <f t="shared" si="203"/>
        <v/>
      </c>
    </row>
    <row r="4274" spans="1:3" x14ac:dyDescent="0.25">
      <c r="A4274" s="8" t="str">
        <f t="shared" si="201"/>
        <v/>
      </c>
      <c r="B4274" s="9" t="str">
        <f t="shared" si="202"/>
        <v/>
      </c>
      <c r="C4274" s="10" t="str">
        <f t="shared" si="203"/>
        <v/>
      </c>
    </row>
    <row r="4275" spans="1:3" x14ac:dyDescent="0.25">
      <c r="A4275" s="8" t="str">
        <f t="shared" si="201"/>
        <v/>
      </c>
      <c r="B4275" s="9" t="str">
        <f t="shared" si="202"/>
        <v/>
      </c>
      <c r="C4275" s="10" t="str">
        <f t="shared" si="203"/>
        <v/>
      </c>
    </row>
    <row r="4276" spans="1:3" x14ac:dyDescent="0.25">
      <c r="A4276" s="8" t="str">
        <f t="shared" si="201"/>
        <v/>
      </c>
      <c r="B4276" s="9" t="str">
        <f t="shared" si="202"/>
        <v/>
      </c>
      <c r="C4276" s="10" t="str">
        <f t="shared" si="203"/>
        <v/>
      </c>
    </row>
    <row r="4277" spans="1:3" x14ac:dyDescent="0.25">
      <c r="A4277" s="8" t="str">
        <f t="shared" si="201"/>
        <v/>
      </c>
      <c r="B4277" s="9" t="str">
        <f t="shared" si="202"/>
        <v/>
      </c>
      <c r="C4277" s="10" t="str">
        <f t="shared" si="203"/>
        <v/>
      </c>
    </row>
    <row r="4278" spans="1:3" x14ac:dyDescent="0.25">
      <c r="A4278" s="8" t="str">
        <f t="shared" si="201"/>
        <v/>
      </c>
      <c r="B4278" s="9" t="str">
        <f t="shared" si="202"/>
        <v/>
      </c>
      <c r="C4278" s="10" t="str">
        <f t="shared" si="203"/>
        <v/>
      </c>
    </row>
    <row r="4279" spans="1:3" x14ac:dyDescent="0.25">
      <c r="A4279" s="8" t="str">
        <f t="shared" si="201"/>
        <v/>
      </c>
      <c r="B4279" s="9" t="str">
        <f t="shared" si="202"/>
        <v/>
      </c>
      <c r="C4279" s="10" t="str">
        <f t="shared" si="203"/>
        <v/>
      </c>
    </row>
    <row r="4280" spans="1:3" x14ac:dyDescent="0.25">
      <c r="A4280" s="8" t="str">
        <f t="shared" si="201"/>
        <v/>
      </c>
      <c r="B4280" s="9" t="str">
        <f t="shared" si="202"/>
        <v/>
      </c>
      <c r="C4280" s="10" t="str">
        <f t="shared" si="203"/>
        <v/>
      </c>
    </row>
    <row r="4281" spans="1:3" x14ac:dyDescent="0.25">
      <c r="A4281" s="8" t="str">
        <f t="shared" si="201"/>
        <v/>
      </c>
      <c r="B4281" s="9" t="str">
        <f t="shared" si="202"/>
        <v/>
      </c>
      <c r="C4281" s="10" t="str">
        <f t="shared" si="203"/>
        <v/>
      </c>
    </row>
    <row r="4282" spans="1:3" x14ac:dyDescent="0.25">
      <c r="A4282" s="8" t="str">
        <f t="shared" si="201"/>
        <v/>
      </c>
      <c r="B4282" s="9" t="str">
        <f t="shared" si="202"/>
        <v/>
      </c>
      <c r="C4282" s="10" t="str">
        <f t="shared" si="203"/>
        <v/>
      </c>
    </row>
    <row r="4283" spans="1:3" x14ac:dyDescent="0.25">
      <c r="A4283" s="8" t="str">
        <f t="shared" si="201"/>
        <v/>
      </c>
      <c r="B4283" s="9" t="str">
        <f t="shared" si="202"/>
        <v/>
      </c>
      <c r="C4283" s="10" t="str">
        <f t="shared" si="203"/>
        <v/>
      </c>
    </row>
    <row r="4284" spans="1:3" x14ac:dyDescent="0.25">
      <c r="A4284" s="8" t="str">
        <f t="shared" si="201"/>
        <v/>
      </c>
      <c r="B4284" s="9" t="str">
        <f t="shared" si="202"/>
        <v/>
      </c>
      <c r="C4284" s="10" t="str">
        <f t="shared" si="203"/>
        <v/>
      </c>
    </row>
    <row r="4285" spans="1:3" x14ac:dyDescent="0.25">
      <c r="A4285" s="8" t="str">
        <f t="shared" si="201"/>
        <v/>
      </c>
      <c r="B4285" s="9" t="str">
        <f t="shared" si="202"/>
        <v/>
      </c>
      <c r="C4285" s="10" t="str">
        <f t="shared" si="203"/>
        <v/>
      </c>
    </row>
    <row r="4286" spans="1:3" x14ac:dyDescent="0.25">
      <c r="A4286" s="8" t="str">
        <f t="shared" si="201"/>
        <v/>
      </c>
      <c r="B4286" s="9" t="str">
        <f t="shared" si="202"/>
        <v/>
      </c>
      <c r="C4286" s="10" t="str">
        <f t="shared" si="203"/>
        <v/>
      </c>
    </row>
    <row r="4287" spans="1:3" x14ac:dyDescent="0.25">
      <c r="A4287" s="8" t="str">
        <f t="shared" si="201"/>
        <v/>
      </c>
      <c r="B4287" s="9" t="str">
        <f t="shared" si="202"/>
        <v/>
      </c>
      <c r="C4287" s="10" t="str">
        <f t="shared" si="203"/>
        <v/>
      </c>
    </row>
    <row r="4288" spans="1:3" x14ac:dyDescent="0.25">
      <c r="A4288" s="8" t="str">
        <f t="shared" si="201"/>
        <v/>
      </c>
      <c r="B4288" s="9" t="str">
        <f t="shared" si="202"/>
        <v/>
      </c>
      <c r="C4288" s="10" t="str">
        <f t="shared" si="203"/>
        <v/>
      </c>
    </row>
    <row r="4289" spans="1:3" x14ac:dyDescent="0.25">
      <c r="A4289" s="8" t="str">
        <f t="shared" si="201"/>
        <v/>
      </c>
      <c r="B4289" s="9" t="str">
        <f t="shared" si="202"/>
        <v/>
      </c>
      <c r="C4289" s="10" t="str">
        <f t="shared" si="203"/>
        <v/>
      </c>
    </row>
    <row r="4290" spans="1:3" x14ac:dyDescent="0.25">
      <c r="A4290" s="8" t="str">
        <f t="shared" si="201"/>
        <v/>
      </c>
      <c r="B4290" s="9" t="str">
        <f t="shared" si="202"/>
        <v/>
      </c>
      <c r="C4290" s="10" t="str">
        <f t="shared" si="203"/>
        <v/>
      </c>
    </row>
    <row r="4291" spans="1:3" x14ac:dyDescent="0.25">
      <c r="A4291" s="8" t="str">
        <f t="shared" si="201"/>
        <v/>
      </c>
      <c r="B4291" s="9" t="str">
        <f t="shared" si="202"/>
        <v/>
      </c>
      <c r="C4291" s="10" t="str">
        <f t="shared" si="203"/>
        <v/>
      </c>
    </row>
    <row r="4292" spans="1:3" x14ac:dyDescent="0.25">
      <c r="A4292" s="8" t="str">
        <f t="shared" si="201"/>
        <v/>
      </c>
      <c r="B4292" s="9" t="str">
        <f t="shared" si="202"/>
        <v/>
      </c>
      <c r="C4292" s="10" t="str">
        <f t="shared" si="203"/>
        <v/>
      </c>
    </row>
    <row r="4293" spans="1:3" x14ac:dyDescent="0.25">
      <c r="A4293" s="8" t="str">
        <f t="shared" si="201"/>
        <v/>
      </c>
      <c r="B4293" s="9" t="str">
        <f t="shared" si="202"/>
        <v/>
      </c>
      <c r="C4293" s="10" t="str">
        <f t="shared" si="203"/>
        <v/>
      </c>
    </row>
    <row r="4294" spans="1:3" x14ac:dyDescent="0.25">
      <c r="A4294" s="8" t="str">
        <f t="shared" si="201"/>
        <v/>
      </c>
      <c r="B4294" s="9" t="str">
        <f t="shared" si="202"/>
        <v/>
      </c>
      <c r="C4294" s="10" t="str">
        <f t="shared" si="203"/>
        <v/>
      </c>
    </row>
    <row r="4295" spans="1:3" x14ac:dyDescent="0.25">
      <c r="A4295" s="8" t="str">
        <f t="shared" si="201"/>
        <v/>
      </c>
      <c r="B4295" s="9" t="str">
        <f t="shared" si="202"/>
        <v/>
      </c>
      <c r="C4295" s="10" t="str">
        <f t="shared" si="203"/>
        <v/>
      </c>
    </row>
    <row r="4296" spans="1:3" x14ac:dyDescent="0.25">
      <c r="A4296" s="8" t="str">
        <f t="shared" si="201"/>
        <v/>
      </c>
      <c r="B4296" s="9" t="str">
        <f t="shared" si="202"/>
        <v/>
      </c>
      <c r="C4296" s="10" t="str">
        <f t="shared" si="203"/>
        <v/>
      </c>
    </row>
    <row r="4297" spans="1:3" x14ac:dyDescent="0.25">
      <c r="A4297" s="8" t="str">
        <f t="shared" si="201"/>
        <v/>
      </c>
      <c r="B4297" s="9" t="str">
        <f t="shared" si="202"/>
        <v/>
      </c>
      <c r="C4297" s="10" t="str">
        <f t="shared" si="203"/>
        <v/>
      </c>
    </row>
    <row r="4298" spans="1:3" x14ac:dyDescent="0.25">
      <c r="A4298" s="8" t="str">
        <f t="shared" si="201"/>
        <v/>
      </c>
      <c r="B4298" s="9" t="str">
        <f t="shared" si="202"/>
        <v/>
      </c>
      <c r="C4298" s="10" t="str">
        <f t="shared" si="203"/>
        <v/>
      </c>
    </row>
    <row r="4299" spans="1:3" x14ac:dyDescent="0.25">
      <c r="A4299" s="8" t="str">
        <f t="shared" si="201"/>
        <v/>
      </c>
      <c r="B4299" s="9" t="str">
        <f t="shared" si="202"/>
        <v/>
      </c>
      <c r="C4299" s="10" t="str">
        <f t="shared" si="203"/>
        <v/>
      </c>
    </row>
    <row r="4300" spans="1:3" x14ac:dyDescent="0.25">
      <c r="A4300" s="8" t="str">
        <f t="shared" si="201"/>
        <v/>
      </c>
      <c r="B4300" s="9" t="str">
        <f t="shared" si="202"/>
        <v/>
      </c>
      <c r="C4300" s="10" t="str">
        <f t="shared" si="203"/>
        <v/>
      </c>
    </row>
    <row r="4301" spans="1:3" x14ac:dyDescent="0.25">
      <c r="A4301" s="8" t="str">
        <f t="shared" si="201"/>
        <v/>
      </c>
      <c r="B4301" s="9" t="str">
        <f t="shared" si="202"/>
        <v/>
      </c>
      <c r="C4301" s="10" t="str">
        <f t="shared" si="203"/>
        <v/>
      </c>
    </row>
    <row r="4302" spans="1:3" x14ac:dyDescent="0.25">
      <c r="A4302" s="8" t="str">
        <f t="shared" si="201"/>
        <v/>
      </c>
      <c r="B4302" s="9" t="str">
        <f t="shared" si="202"/>
        <v/>
      </c>
      <c r="C4302" s="10" t="str">
        <f t="shared" si="203"/>
        <v/>
      </c>
    </row>
    <row r="4303" spans="1:3" x14ac:dyDescent="0.25">
      <c r="A4303" s="8" t="str">
        <f t="shared" si="201"/>
        <v/>
      </c>
      <c r="B4303" s="9" t="str">
        <f t="shared" si="202"/>
        <v/>
      </c>
      <c r="C4303" s="10" t="str">
        <f t="shared" si="203"/>
        <v/>
      </c>
    </row>
    <row r="4304" spans="1:3" x14ac:dyDescent="0.25">
      <c r="A4304" s="8" t="str">
        <f t="shared" si="201"/>
        <v/>
      </c>
      <c r="B4304" s="9" t="str">
        <f t="shared" si="202"/>
        <v/>
      </c>
      <c r="C4304" s="10" t="str">
        <f t="shared" si="203"/>
        <v/>
      </c>
    </row>
    <row r="4305" spans="1:3" x14ac:dyDescent="0.25">
      <c r="A4305" s="8" t="str">
        <f t="shared" si="201"/>
        <v/>
      </c>
      <c r="B4305" s="9" t="str">
        <f t="shared" si="202"/>
        <v/>
      </c>
      <c r="C4305" s="10" t="str">
        <f t="shared" si="203"/>
        <v/>
      </c>
    </row>
    <row r="4306" spans="1:3" x14ac:dyDescent="0.25">
      <c r="A4306" s="8" t="str">
        <f t="shared" si="201"/>
        <v/>
      </c>
      <c r="B4306" s="9" t="str">
        <f t="shared" si="202"/>
        <v/>
      </c>
      <c r="C4306" s="10" t="str">
        <f t="shared" si="203"/>
        <v/>
      </c>
    </row>
    <row r="4307" spans="1:3" x14ac:dyDescent="0.25">
      <c r="A4307" s="8" t="str">
        <f t="shared" si="201"/>
        <v/>
      </c>
      <c r="B4307" s="9" t="str">
        <f t="shared" si="202"/>
        <v/>
      </c>
      <c r="C4307" s="10" t="str">
        <f t="shared" si="203"/>
        <v/>
      </c>
    </row>
    <row r="4308" spans="1:3" x14ac:dyDescent="0.25">
      <c r="A4308" s="8" t="str">
        <f t="shared" si="201"/>
        <v/>
      </c>
      <c r="B4308" s="9" t="str">
        <f t="shared" si="202"/>
        <v/>
      </c>
      <c r="C4308" s="10" t="str">
        <f t="shared" si="203"/>
        <v/>
      </c>
    </row>
    <row r="4309" spans="1:3" x14ac:dyDescent="0.25">
      <c r="A4309" s="8" t="str">
        <f t="shared" si="201"/>
        <v/>
      </c>
      <c r="B4309" s="9" t="str">
        <f t="shared" si="202"/>
        <v/>
      </c>
      <c r="C4309" s="10" t="str">
        <f t="shared" si="203"/>
        <v/>
      </c>
    </row>
    <row r="4310" spans="1:3" x14ac:dyDescent="0.25">
      <c r="A4310" s="8" t="str">
        <f t="shared" si="201"/>
        <v/>
      </c>
      <c r="B4310" s="9" t="str">
        <f t="shared" si="202"/>
        <v/>
      </c>
      <c r="C4310" s="10" t="str">
        <f t="shared" si="203"/>
        <v/>
      </c>
    </row>
    <row r="4311" spans="1:3" x14ac:dyDescent="0.25">
      <c r="A4311" s="8" t="str">
        <f t="shared" si="201"/>
        <v/>
      </c>
      <c r="B4311" s="9" t="str">
        <f t="shared" si="202"/>
        <v/>
      </c>
      <c r="C4311" s="10" t="str">
        <f t="shared" si="203"/>
        <v/>
      </c>
    </row>
    <row r="4312" spans="1:3" x14ac:dyDescent="0.25">
      <c r="A4312" s="8" t="str">
        <f t="shared" si="201"/>
        <v/>
      </c>
      <c r="B4312" s="9" t="str">
        <f t="shared" si="202"/>
        <v/>
      </c>
      <c r="C4312" s="10" t="str">
        <f t="shared" si="203"/>
        <v/>
      </c>
    </row>
    <row r="4313" spans="1:3" x14ac:dyDescent="0.25">
      <c r="A4313" s="8" t="str">
        <f t="shared" si="201"/>
        <v/>
      </c>
      <c r="B4313" s="9" t="str">
        <f t="shared" si="202"/>
        <v/>
      </c>
      <c r="C4313" s="10" t="str">
        <f t="shared" si="203"/>
        <v/>
      </c>
    </row>
    <row r="4314" spans="1:3" x14ac:dyDescent="0.25">
      <c r="A4314" s="8" t="str">
        <f t="shared" si="201"/>
        <v/>
      </c>
      <c r="B4314" s="9" t="str">
        <f t="shared" si="202"/>
        <v/>
      </c>
      <c r="C4314" s="10" t="str">
        <f t="shared" si="203"/>
        <v/>
      </c>
    </row>
    <row r="4315" spans="1:3" x14ac:dyDescent="0.25">
      <c r="A4315" s="8" t="str">
        <f t="shared" si="201"/>
        <v/>
      </c>
      <c r="B4315" s="9" t="str">
        <f t="shared" si="202"/>
        <v/>
      </c>
      <c r="C4315" s="10" t="str">
        <f t="shared" si="203"/>
        <v/>
      </c>
    </row>
    <row r="4316" spans="1:3" x14ac:dyDescent="0.25">
      <c r="A4316" s="8" t="str">
        <f t="shared" si="201"/>
        <v/>
      </c>
      <c r="B4316" s="9" t="str">
        <f t="shared" si="202"/>
        <v/>
      </c>
      <c r="C4316" s="10" t="str">
        <f t="shared" si="203"/>
        <v/>
      </c>
    </row>
    <row r="4317" spans="1:3" x14ac:dyDescent="0.25">
      <c r="A4317" s="8" t="str">
        <f t="shared" si="201"/>
        <v/>
      </c>
      <c r="B4317" s="9" t="str">
        <f t="shared" si="202"/>
        <v/>
      </c>
      <c r="C4317" s="10" t="str">
        <f t="shared" si="203"/>
        <v/>
      </c>
    </row>
    <row r="4318" spans="1:3" x14ac:dyDescent="0.25">
      <c r="A4318" s="8" t="str">
        <f t="shared" si="201"/>
        <v/>
      </c>
      <c r="B4318" s="9" t="str">
        <f t="shared" si="202"/>
        <v/>
      </c>
      <c r="C4318" s="10" t="str">
        <f t="shared" si="203"/>
        <v/>
      </c>
    </row>
    <row r="4319" spans="1:3" x14ac:dyDescent="0.25">
      <c r="A4319" s="8" t="str">
        <f t="shared" si="201"/>
        <v/>
      </c>
      <c r="B4319" s="9" t="str">
        <f t="shared" si="202"/>
        <v/>
      </c>
      <c r="C4319" s="10" t="str">
        <f t="shared" si="203"/>
        <v/>
      </c>
    </row>
    <row r="4320" spans="1:3" x14ac:dyDescent="0.25">
      <c r="A4320" s="8" t="str">
        <f t="shared" si="201"/>
        <v/>
      </c>
      <c r="B4320" s="9" t="str">
        <f t="shared" si="202"/>
        <v/>
      </c>
      <c r="C4320" s="10" t="str">
        <f t="shared" si="203"/>
        <v/>
      </c>
    </row>
    <row r="4321" spans="1:3" x14ac:dyDescent="0.25">
      <c r="A4321" s="8" t="str">
        <f t="shared" si="201"/>
        <v/>
      </c>
      <c r="B4321" s="9" t="str">
        <f t="shared" si="202"/>
        <v/>
      </c>
      <c r="C4321" s="10" t="str">
        <f t="shared" si="203"/>
        <v/>
      </c>
    </row>
    <row r="4322" spans="1:3" x14ac:dyDescent="0.25">
      <c r="A4322" s="8" t="str">
        <f t="shared" si="201"/>
        <v/>
      </c>
      <c r="B4322" s="9" t="str">
        <f t="shared" si="202"/>
        <v/>
      </c>
      <c r="C4322" s="10" t="str">
        <f t="shared" si="203"/>
        <v/>
      </c>
    </row>
    <row r="4323" spans="1:3" x14ac:dyDescent="0.25">
      <c r="A4323" s="8" t="str">
        <f t="shared" si="201"/>
        <v/>
      </c>
      <c r="B4323" s="9" t="str">
        <f t="shared" si="202"/>
        <v/>
      </c>
      <c r="C4323" s="10" t="str">
        <f t="shared" si="203"/>
        <v/>
      </c>
    </row>
    <row r="4324" spans="1:3" x14ac:dyDescent="0.25">
      <c r="A4324" s="8" t="str">
        <f t="shared" si="201"/>
        <v/>
      </c>
      <c r="B4324" s="9" t="str">
        <f t="shared" si="202"/>
        <v/>
      </c>
      <c r="C4324" s="10" t="str">
        <f t="shared" si="203"/>
        <v/>
      </c>
    </row>
    <row r="4325" spans="1:3" x14ac:dyDescent="0.25">
      <c r="A4325" s="8" t="str">
        <f t="shared" si="201"/>
        <v/>
      </c>
      <c r="B4325" s="9" t="str">
        <f t="shared" si="202"/>
        <v/>
      </c>
      <c r="C4325" s="10" t="str">
        <f t="shared" si="203"/>
        <v/>
      </c>
    </row>
    <row r="4326" spans="1:3" x14ac:dyDescent="0.25">
      <c r="A4326" s="8" t="str">
        <f t="shared" si="201"/>
        <v/>
      </c>
      <c r="B4326" s="9" t="str">
        <f t="shared" si="202"/>
        <v/>
      </c>
      <c r="C4326" s="10" t="str">
        <f t="shared" si="203"/>
        <v/>
      </c>
    </row>
    <row r="4327" spans="1:3" x14ac:dyDescent="0.25">
      <c r="A4327" s="8" t="str">
        <f t="shared" ref="A4327:A4390" si="204">IF(D4327="","",IF(E4327=0,CONCATENATE(D4327,".",E4327,"00"),CONCATENATE(D4327,".",E4327)))</f>
        <v/>
      </c>
      <c r="B4327" s="9" t="str">
        <f t="shared" ref="B4327:B4390" si="205">LEFT(G4327,1)</f>
        <v/>
      </c>
      <c r="C4327" s="10" t="str">
        <f t="shared" ref="C4327:C4390" si="206">IF(F4327="","",IF(B4327="",F4327-4,IF(B4327="1",F4327-4,IF(B4327="2",F4327-3,IF(B4327="3",F4327-2,IF(B4327="4",F4327-1,IF(B4327="V",F4327-7,IF(B4327="J",F4327-8,F4327))))))))</f>
        <v/>
      </c>
    </row>
    <row r="4328" spans="1:3" x14ac:dyDescent="0.25">
      <c r="A4328" s="8" t="str">
        <f t="shared" si="204"/>
        <v/>
      </c>
      <c r="B4328" s="9" t="str">
        <f t="shared" si="205"/>
        <v/>
      </c>
      <c r="C4328" s="10" t="str">
        <f t="shared" si="206"/>
        <v/>
      </c>
    </row>
    <row r="4329" spans="1:3" x14ac:dyDescent="0.25">
      <c r="A4329" s="8" t="str">
        <f t="shared" si="204"/>
        <v/>
      </c>
      <c r="B4329" s="9" t="str">
        <f t="shared" si="205"/>
        <v/>
      </c>
      <c r="C4329" s="10" t="str">
        <f t="shared" si="206"/>
        <v/>
      </c>
    </row>
    <row r="4330" spans="1:3" x14ac:dyDescent="0.25">
      <c r="A4330" s="8" t="str">
        <f t="shared" si="204"/>
        <v/>
      </c>
      <c r="B4330" s="9" t="str">
        <f t="shared" si="205"/>
        <v/>
      </c>
      <c r="C4330" s="10" t="str">
        <f t="shared" si="206"/>
        <v/>
      </c>
    </row>
    <row r="4331" spans="1:3" x14ac:dyDescent="0.25">
      <c r="A4331" s="8" t="str">
        <f t="shared" si="204"/>
        <v/>
      </c>
      <c r="B4331" s="9" t="str">
        <f t="shared" si="205"/>
        <v/>
      </c>
      <c r="C4331" s="10" t="str">
        <f t="shared" si="206"/>
        <v/>
      </c>
    </row>
    <row r="4332" spans="1:3" x14ac:dyDescent="0.25">
      <c r="A4332" s="8" t="str">
        <f t="shared" si="204"/>
        <v/>
      </c>
      <c r="B4332" s="9" t="str">
        <f t="shared" si="205"/>
        <v/>
      </c>
      <c r="C4332" s="10" t="str">
        <f t="shared" si="206"/>
        <v/>
      </c>
    </row>
    <row r="4333" spans="1:3" x14ac:dyDescent="0.25">
      <c r="A4333" s="8" t="str">
        <f t="shared" si="204"/>
        <v/>
      </c>
      <c r="B4333" s="9" t="str">
        <f t="shared" si="205"/>
        <v/>
      </c>
      <c r="C4333" s="10" t="str">
        <f t="shared" si="206"/>
        <v/>
      </c>
    </row>
    <row r="4334" spans="1:3" x14ac:dyDescent="0.25">
      <c r="A4334" s="8" t="str">
        <f t="shared" si="204"/>
        <v/>
      </c>
      <c r="B4334" s="9" t="str">
        <f t="shared" si="205"/>
        <v/>
      </c>
      <c r="C4334" s="10" t="str">
        <f t="shared" si="206"/>
        <v/>
      </c>
    </row>
    <row r="4335" spans="1:3" x14ac:dyDescent="0.25">
      <c r="A4335" s="8" t="str">
        <f t="shared" si="204"/>
        <v/>
      </c>
      <c r="B4335" s="9" t="str">
        <f t="shared" si="205"/>
        <v/>
      </c>
      <c r="C4335" s="10" t="str">
        <f t="shared" si="206"/>
        <v/>
      </c>
    </row>
    <row r="4336" spans="1:3" x14ac:dyDescent="0.25">
      <c r="A4336" s="8" t="str">
        <f t="shared" si="204"/>
        <v/>
      </c>
      <c r="B4336" s="9" t="str">
        <f t="shared" si="205"/>
        <v/>
      </c>
      <c r="C4336" s="10" t="str">
        <f t="shared" si="206"/>
        <v/>
      </c>
    </row>
    <row r="4337" spans="1:3" x14ac:dyDescent="0.25">
      <c r="A4337" s="8" t="str">
        <f t="shared" si="204"/>
        <v/>
      </c>
      <c r="B4337" s="9" t="str">
        <f t="shared" si="205"/>
        <v/>
      </c>
      <c r="C4337" s="10" t="str">
        <f t="shared" si="206"/>
        <v/>
      </c>
    </row>
    <row r="4338" spans="1:3" x14ac:dyDescent="0.25">
      <c r="A4338" s="8" t="str">
        <f t="shared" si="204"/>
        <v/>
      </c>
      <c r="B4338" s="9" t="str">
        <f t="shared" si="205"/>
        <v/>
      </c>
      <c r="C4338" s="10" t="str">
        <f t="shared" si="206"/>
        <v/>
      </c>
    </row>
    <row r="4339" spans="1:3" x14ac:dyDescent="0.25">
      <c r="A4339" s="8" t="str">
        <f t="shared" si="204"/>
        <v/>
      </c>
      <c r="B4339" s="9" t="str">
        <f t="shared" si="205"/>
        <v/>
      </c>
      <c r="C4339" s="10" t="str">
        <f t="shared" si="206"/>
        <v/>
      </c>
    </row>
    <row r="4340" spans="1:3" x14ac:dyDescent="0.25">
      <c r="A4340" s="8" t="str">
        <f t="shared" si="204"/>
        <v/>
      </c>
      <c r="B4340" s="9" t="str">
        <f t="shared" si="205"/>
        <v/>
      </c>
      <c r="C4340" s="10" t="str">
        <f t="shared" si="206"/>
        <v/>
      </c>
    </row>
    <row r="4341" spans="1:3" x14ac:dyDescent="0.25">
      <c r="A4341" s="8" t="str">
        <f t="shared" si="204"/>
        <v/>
      </c>
      <c r="B4341" s="9" t="str">
        <f t="shared" si="205"/>
        <v/>
      </c>
      <c r="C4341" s="10" t="str">
        <f t="shared" si="206"/>
        <v/>
      </c>
    </row>
    <row r="4342" spans="1:3" x14ac:dyDescent="0.25">
      <c r="A4342" s="8" t="str">
        <f t="shared" si="204"/>
        <v/>
      </c>
      <c r="B4342" s="9" t="str">
        <f t="shared" si="205"/>
        <v/>
      </c>
      <c r="C4342" s="10" t="str">
        <f t="shared" si="206"/>
        <v/>
      </c>
    </row>
    <row r="4343" spans="1:3" x14ac:dyDescent="0.25">
      <c r="A4343" s="8" t="str">
        <f t="shared" si="204"/>
        <v/>
      </c>
      <c r="B4343" s="9" t="str">
        <f t="shared" si="205"/>
        <v/>
      </c>
      <c r="C4343" s="10" t="str">
        <f t="shared" si="206"/>
        <v/>
      </c>
    </row>
    <row r="4344" spans="1:3" x14ac:dyDescent="0.25">
      <c r="A4344" s="8" t="str">
        <f t="shared" si="204"/>
        <v/>
      </c>
      <c r="B4344" s="9" t="str">
        <f t="shared" si="205"/>
        <v/>
      </c>
      <c r="C4344" s="10" t="str">
        <f t="shared" si="206"/>
        <v/>
      </c>
    </row>
    <row r="4345" spans="1:3" x14ac:dyDescent="0.25">
      <c r="A4345" s="8" t="str">
        <f t="shared" si="204"/>
        <v/>
      </c>
      <c r="B4345" s="9" t="str">
        <f t="shared" si="205"/>
        <v/>
      </c>
      <c r="C4345" s="10" t="str">
        <f t="shared" si="206"/>
        <v/>
      </c>
    </row>
    <row r="4346" spans="1:3" x14ac:dyDescent="0.25">
      <c r="A4346" s="8" t="str">
        <f t="shared" si="204"/>
        <v/>
      </c>
      <c r="B4346" s="9" t="str">
        <f t="shared" si="205"/>
        <v/>
      </c>
      <c r="C4346" s="10" t="str">
        <f t="shared" si="206"/>
        <v/>
      </c>
    </row>
    <row r="4347" spans="1:3" x14ac:dyDescent="0.25">
      <c r="A4347" s="8" t="str">
        <f t="shared" si="204"/>
        <v/>
      </c>
      <c r="B4347" s="9" t="str">
        <f t="shared" si="205"/>
        <v/>
      </c>
      <c r="C4347" s="10" t="str">
        <f t="shared" si="206"/>
        <v/>
      </c>
    </row>
    <row r="4348" spans="1:3" x14ac:dyDescent="0.25">
      <c r="A4348" s="8" t="str">
        <f t="shared" si="204"/>
        <v/>
      </c>
      <c r="B4348" s="9" t="str">
        <f t="shared" si="205"/>
        <v/>
      </c>
      <c r="C4348" s="10" t="str">
        <f t="shared" si="206"/>
        <v/>
      </c>
    </row>
    <row r="4349" spans="1:3" x14ac:dyDescent="0.25">
      <c r="A4349" s="8" t="str">
        <f t="shared" si="204"/>
        <v/>
      </c>
      <c r="B4349" s="9" t="str">
        <f t="shared" si="205"/>
        <v/>
      </c>
      <c r="C4349" s="10" t="str">
        <f t="shared" si="206"/>
        <v/>
      </c>
    </row>
    <row r="4350" spans="1:3" x14ac:dyDescent="0.25">
      <c r="A4350" s="8" t="str">
        <f t="shared" si="204"/>
        <v/>
      </c>
      <c r="B4350" s="9" t="str">
        <f t="shared" si="205"/>
        <v/>
      </c>
      <c r="C4350" s="10" t="str">
        <f t="shared" si="206"/>
        <v/>
      </c>
    </row>
    <row r="4351" spans="1:3" x14ac:dyDescent="0.25">
      <c r="A4351" s="8" t="str">
        <f t="shared" si="204"/>
        <v/>
      </c>
      <c r="B4351" s="9" t="str">
        <f t="shared" si="205"/>
        <v/>
      </c>
      <c r="C4351" s="10" t="str">
        <f t="shared" si="206"/>
        <v/>
      </c>
    </row>
    <row r="4352" spans="1:3" x14ac:dyDescent="0.25">
      <c r="A4352" s="8" t="str">
        <f t="shared" si="204"/>
        <v/>
      </c>
      <c r="B4352" s="9" t="str">
        <f t="shared" si="205"/>
        <v/>
      </c>
      <c r="C4352" s="10" t="str">
        <f t="shared" si="206"/>
        <v/>
      </c>
    </row>
    <row r="4353" spans="1:3" x14ac:dyDescent="0.25">
      <c r="A4353" s="8" t="str">
        <f t="shared" si="204"/>
        <v/>
      </c>
      <c r="B4353" s="9" t="str">
        <f t="shared" si="205"/>
        <v/>
      </c>
      <c r="C4353" s="10" t="str">
        <f t="shared" si="206"/>
        <v/>
      </c>
    </row>
    <row r="4354" spans="1:3" x14ac:dyDescent="0.25">
      <c r="A4354" s="8" t="str">
        <f t="shared" si="204"/>
        <v/>
      </c>
      <c r="B4354" s="9" t="str">
        <f t="shared" si="205"/>
        <v/>
      </c>
      <c r="C4354" s="10" t="str">
        <f t="shared" si="206"/>
        <v/>
      </c>
    </row>
    <row r="4355" spans="1:3" x14ac:dyDescent="0.25">
      <c r="A4355" s="8" t="str">
        <f t="shared" si="204"/>
        <v/>
      </c>
      <c r="B4355" s="9" t="str">
        <f t="shared" si="205"/>
        <v/>
      </c>
      <c r="C4355" s="10" t="str">
        <f t="shared" si="206"/>
        <v/>
      </c>
    </row>
    <row r="4356" spans="1:3" x14ac:dyDescent="0.25">
      <c r="A4356" s="8" t="str">
        <f t="shared" si="204"/>
        <v/>
      </c>
      <c r="B4356" s="9" t="str">
        <f t="shared" si="205"/>
        <v/>
      </c>
      <c r="C4356" s="10" t="str">
        <f t="shared" si="206"/>
        <v/>
      </c>
    </row>
    <row r="4357" spans="1:3" x14ac:dyDescent="0.25">
      <c r="A4357" s="8" t="str">
        <f t="shared" si="204"/>
        <v/>
      </c>
      <c r="B4357" s="9" t="str">
        <f t="shared" si="205"/>
        <v/>
      </c>
      <c r="C4357" s="10" t="str">
        <f t="shared" si="206"/>
        <v/>
      </c>
    </row>
    <row r="4358" spans="1:3" x14ac:dyDescent="0.25">
      <c r="A4358" s="8" t="str">
        <f t="shared" si="204"/>
        <v/>
      </c>
      <c r="B4358" s="9" t="str">
        <f t="shared" si="205"/>
        <v/>
      </c>
      <c r="C4358" s="10" t="str">
        <f t="shared" si="206"/>
        <v/>
      </c>
    </row>
    <row r="4359" spans="1:3" x14ac:dyDescent="0.25">
      <c r="A4359" s="8" t="str">
        <f t="shared" si="204"/>
        <v/>
      </c>
      <c r="B4359" s="9" t="str">
        <f t="shared" si="205"/>
        <v/>
      </c>
      <c r="C4359" s="10" t="str">
        <f t="shared" si="206"/>
        <v/>
      </c>
    </row>
    <row r="4360" spans="1:3" x14ac:dyDescent="0.25">
      <c r="A4360" s="8" t="str">
        <f t="shared" si="204"/>
        <v/>
      </c>
      <c r="B4360" s="9" t="str">
        <f t="shared" si="205"/>
        <v/>
      </c>
      <c r="C4360" s="10" t="str">
        <f t="shared" si="206"/>
        <v/>
      </c>
    </row>
    <row r="4361" spans="1:3" x14ac:dyDescent="0.25">
      <c r="A4361" s="8" t="str">
        <f t="shared" si="204"/>
        <v/>
      </c>
      <c r="B4361" s="9" t="str">
        <f t="shared" si="205"/>
        <v/>
      </c>
      <c r="C4361" s="10" t="str">
        <f t="shared" si="206"/>
        <v/>
      </c>
    </row>
    <row r="4362" spans="1:3" x14ac:dyDescent="0.25">
      <c r="A4362" s="8" t="str">
        <f t="shared" si="204"/>
        <v/>
      </c>
      <c r="B4362" s="9" t="str">
        <f t="shared" si="205"/>
        <v/>
      </c>
      <c r="C4362" s="10" t="str">
        <f t="shared" si="206"/>
        <v/>
      </c>
    </row>
    <row r="4363" spans="1:3" x14ac:dyDescent="0.25">
      <c r="A4363" s="8" t="str">
        <f t="shared" si="204"/>
        <v/>
      </c>
      <c r="B4363" s="9" t="str">
        <f t="shared" si="205"/>
        <v/>
      </c>
      <c r="C4363" s="10" t="str">
        <f t="shared" si="206"/>
        <v/>
      </c>
    </row>
    <row r="4364" spans="1:3" x14ac:dyDescent="0.25">
      <c r="A4364" s="8" t="str">
        <f t="shared" si="204"/>
        <v/>
      </c>
      <c r="B4364" s="9" t="str">
        <f t="shared" si="205"/>
        <v/>
      </c>
      <c r="C4364" s="10" t="str">
        <f t="shared" si="206"/>
        <v/>
      </c>
    </row>
    <row r="4365" spans="1:3" x14ac:dyDescent="0.25">
      <c r="A4365" s="8" t="str">
        <f t="shared" si="204"/>
        <v/>
      </c>
      <c r="B4365" s="9" t="str">
        <f t="shared" si="205"/>
        <v/>
      </c>
      <c r="C4365" s="10" t="str">
        <f t="shared" si="206"/>
        <v/>
      </c>
    </row>
    <row r="4366" spans="1:3" x14ac:dyDescent="0.25">
      <c r="A4366" s="8" t="str">
        <f t="shared" si="204"/>
        <v/>
      </c>
      <c r="B4366" s="9" t="str">
        <f t="shared" si="205"/>
        <v/>
      </c>
      <c r="C4366" s="10" t="str">
        <f t="shared" si="206"/>
        <v/>
      </c>
    </row>
    <row r="4367" spans="1:3" x14ac:dyDescent="0.25">
      <c r="A4367" s="8" t="str">
        <f t="shared" si="204"/>
        <v/>
      </c>
      <c r="B4367" s="9" t="str">
        <f t="shared" si="205"/>
        <v/>
      </c>
      <c r="C4367" s="10" t="str">
        <f t="shared" si="206"/>
        <v/>
      </c>
    </row>
    <row r="4368" spans="1:3" x14ac:dyDescent="0.25">
      <c r="A4368" s="8" t="str">
        <f t="shared" si="204"/>
        <v/>
      </c>
      <c r="B4368" s="9" t="str">
        <f t="shared" si="205"/>
        <v/>
      </c>
      <c r="C4368" s="10" t="str">
        <f t="shared" si="206"/>
        <v/>
      </c>
    </row>
    <row r="4369" spans="1:3" x14ac:dyDescent="0.25">
      <c r="A4369" s="8" t="str">
        <f t="shared" si="204"/>
        <v/>
      </c>
      <c r="B4369" s="9" t="str">
        <f t="shared" si="205"/>
        <v/>
      </c>
      <c r="C4369" s="10" t="str">
        <f t="shared" si="206"/>
        <v/>
      </c>
    </row>
    <row r="4370" spans="1:3" x14ac:dyDescent="0.25">
      <c r="A4370" s="8" t="str">
        <f t="shared" si="204"/>
        <v/>
      </c>
      <c r="B4370" s="9" t="str">
        <f t="shared" si="205"/>
        <v/>
      </c>
      <c r="C4370" s="10" t="str">
        <f t="shared" si="206"/>
        <v/>
      </c>
    </row>
    <row r="4371" spans="1:3" x14ac:dyDescent="0.25">
      <c r="A4371" s="8" t="str">
        <f t="shared" si="204"/>
        <v/>
      </c>
      <c r="B4371" s="9" t="str">
        <f t="shared" si="205"/>
        <v/>
      </c>
      <c r="C4371" s="10" t="str">
        <f t="shared" si="206"/>
        <v/>
      </c>
    </row>
    <row r="4372" spans="1:3" x14ac:dyDescent="0.25">
      <c r="A4372" s="8" t="str">
        <f t="shared" si="204"/>
        <v/>
      </c>
      <c r="B4372" s="9" t="str">
        <f t="shared" si="205"/>
        <v/>
      </c>
      <c r="C4372" s="10" t="str">
        <f t="shared" si="206"/>
        <v/>
      </c>
    </row>
    <row r="4373" spans="1:3" x14ac:dyDescent="0.25">
      <c r="A4373" s="8" t="str">
        <f t="shared" si="204"/>
        <v/>
      </c>
      <c r="B4373" s="9" t="str">
        <f t="shared" si="205"/>
        <v/>
      </c>
      <c r="C4373" s="10" t="str">
        <f t="shared" si="206"/>
        <v/>
      </c>
    </row>
    <row r="4374" spans="1:3" x14ac:dyDescent="0.25">
      <c r="A4374" s="8" t="str">
        <f t="shared" si="204"/>
        <v/>
      </c>
      <c r="B4374" s="9" t="str">
        <f t="shared" si="205"/>
        <v/>
      </c>
      <c r="C4374" s="10" t="str">
        <f t="shared" si="206"/>
        <v/>
      </c>
    </row>
    <row r="4375" spans="1:3" x14ac:dyDescent="0.25">
      <c r="A4375" s="8" t="str">
        <f t="shared" si="204"/>
        <v/>
      </c>
      <c r="B4375" s="9" t="str">
        <f t="shared" si="205"/>
        <v/>
      </c>
      <c r="C4375" s="10" t="str">
        <f t="shared" si="206"/>
        <v/>
      </c>
    </row>
    <row r="4376" spans="1:3" x14ac:dyDescent="0.25">
      <c r="A4376" s="8" t="str">
        <f t="shared" si="204"/>
        <v/>
      </c>
      <c r="B4376" s="9" t="str">
        <f t="shared" si="205"/>
        <v/>
      </c>
      <c r="C4376" s="10" t="str">
        <f t="shared" si="206"/>
        <v/>
      </c>
    </row>
    <row r="4377" spans="1:3" x14ac:dyDescent="0.25">
      <c r="A4377" s="8" t="str">
        <f t="shared" si="204"/>
        <v/>
      </c>
      <c r="B4377" s="9" t="str">
        <f t="shared" si="205"/>
        <v/>
      </c>
      <c r="C4377" s="10" t="str">
        <f t="shared" si="206"/>
        <v/>
      </c>
    </row>
    <row r="4378" spans="1:3" x14ac:dyDescent="0.25">
      <c r="A4378" s="8" t="str">
        <f t="shared" si="204"/>
        <v/>
      </c>
      <c r="B4378" s="9" t="str">
        <f t="shared" si="205"/>
        <v/>
      </c>
      <c r="C4378" s="10" t="str">
        <f t="shared" si="206"/>
        <v/>
      </c>
    </row>
    <row r="4379" spans="1:3" x14ac:dyDescent="0.25">
      <c r="A4379" s="8" t="str">
        <f t="shared" si="204"/>
        <v/>
      </c>
      <c r="B4379" s="9" t="str">
        <f t="shared" si="205"/>
        <v/>
      </c>
      <c r="C4379" s="10" t="str">
        <f t="shared" si="206"/>
        <v/>
      </c>
    </row>
    <row r="4380" spans="1:3" x14ac:dyDescent="0.25">
      <c r="A4380" s="8" t="str">
        <f t="shared" si="204"/>
        <v/>
      </c>
      <c r="B4380" s="9" t="str">
        <f t="shared" si="205"/>
        <v/>
      </c>
      <c r="C4380" s="10" t="str">
        <f t="shared" si="206"/>
        <v/>
      </c>
    </row>
    <row r="4381" spans="1:3" x14ac:dyDescent="0.25">
      <c r="A4381" s="8" t="str">
        <f t="shared" si="204"/>
        <v/>
      </c>
      <c r="B4381" s="9" t="str">
        <f t="shared" si="205"/>
        <v/>
      </c>
      <c r="C4381" s="10" t="str">
        <f t="shared" si="206"/>
        <v/>
      </c>
    </row>
    <row r="4382" spans="1:3" x14ac:dyDescent="0.25">
      <c r="A4382" s="8" t="str">
        <f t="shared" si="204"/>
        <v/>
      </c>
      <c r="B4382" s="9" t="str">
        <f t="shared" si="205"/>
        <v/>
      </c>
      <c r="C4382" s="10" t="str">
        <f t="shared" si="206"/>
        <v/>
      </c>
    </row>
    <row r="4383" spans="1:3" x14ac:dyDescent="0.25">
      <c r="A4383" s="8" t="str">
        <f t="shared" si="204"/>
        <v/>
      </c>
      <c r="B4383" s="9" t="str">
        <f t="shared" si="205"/>
        <v/>
      </c>
      <c r="C4383" s="10" t="str">
        <f t="shared" si="206"/>
        <v/>
      </c>
    </row>
    <row r="4384" spans="1:3" x14ac:dyDescent="0.25">
      <c r="A4384" s="8" t="str">
        <f t="shared" si="204"/>
        <v/>
      </c>
      <c r="B4384" s="9" t="str">
        <f t="shared" si="205"/>
        <v/>
      </c>
      <c r="C4384" s="10" t="str">
        <f t="shared" si="206"/>
        <v/>
      </c>
    </row>
    <row r="4385" spans="1:3" x14ac:dyDescent="0.25">
      <c r="A4385" s="8" t="str">
        <f t="shared" si="204"/>
        <v/>
      </c>
      <c r="B4385" s="9" t="str">
        <f t="shared" si="205"/>
        <v/>
      </c>
      <c r="C4385" s="10" t="str">
        <f t="shared" si="206"/>
        <v/>
      </c>
    </row>
    <row r="4386" spans="1:3" x14ac:dyDescent="0.25">
      <c r="A4386" s="8" t="str">
        <f t="shared" si="204"/>
        <v/>
      </c>
      <c r="B4386" s="9" t="str">
        <f t="shared" si="205"/>
        <v/>
      </c>
      <c r="C4386" s="10" t="str">
        <f t="shared" si="206"/>
        <v/>
      </c>
    </row>
    <row r="4387" spans="1:3" x14ac:dyDescent="0.25">
      <c r="A4387" s="8" t="str">
        <f t="shared" si="204"/>
        <v/>
      </c>
      <c r="B4387" s="9" t="str">
        <f t="shared" si="205"/>
        <v/>
      </c>
      <c r="C4387" s="10" t="str">
        <f t="shared" si="206"/>
        <v/>
      </c>
    </row>
    <row r="4388" spans="1:3" x14ac:dyDescent="0.25">
      <c r="A4388" s="8" t="str">
        <f t="shared" si="204"/>
        <v/>
      </c>
      <c r="B4388" s="9" t="str">
        <f t="shared" si="205"/>
        <v/>
      </c>
      <c r="C4388" s="10" t="str">
        <f t="shared" si="206"/>
        <v/>
      </c>
    </row>
    <row r="4389" spans="1:3" x14ac:dyDescent="0.25">
      <c r="A4389" s="8" t="str">
        <f t="shared" si="204"/>
        <v/>
      </c>
      <c r="B4389" s="9" t="str">
        <f t="shared" si="205"/>
        <v/>
      </c>
      <c r="C4389" s="10" t="str">
        <f t="shared" si="206"/>
        <v/>
      </c>
    </row>
    <row r="4390" spans="1:3" x14ac:dyDescent="0.25">
      <c r="A4390" s="8" t="str">
        <f t="shared" si="204"/>
        <v/>
      </c>
      <c r="B4390" s="9" t="str">
        <f t="shared" si="205"/>
        <v/>
      </c>
      <c r="C4390" s="10" t="str">
        <f t="shared" si="206"/>
        <v/>
      </c>
    </row>
    <row r="4391" spans="1:3" x14ac:dyDescent="0.25">
      <c r="A4391" s="8" t="str">
        <f t="shared" ref="A4391:A4454" si="207">IF(D4391="","",IF(E4391=0,CONCATENATE(D4391,".",E4391,"00"),CONCATENATE(D4391,".",E4391)))</f>
        <v/>
      </c>
      <c r="B4391" s="9" t="str">
        <f t="shared" ref="B4391:B4454" si="208">LEFT(G4391,1)</f>
        <v/>
      </c>
      <c r="C4391" s="10" t="str">
        <f t="shared" ref="C4391:C4454" si="209">IF(F4391="","",IF(B4391="",F4391-4,IF(B4391="1",F4391-4,IF(B4391="2",F4391-3,IF(B4391="3",F4391-2,IF(B4391="4",F4391-1,IF(B4391="V",F4391-7,IF(B4391="J",F4391-8,F4391))))))))</f>
        <v/>
      </c>
    </row>
    <row r="4392" spans="1:3" x14ac:dyDescent="0.25">
      <c r="A4392" s="8" t="str">
        <f t="shared" si="207"/>
        <v/>
      </c>
      <c r="B4392" s="9" t="str">
        <f t="shared" si="208"/>
        <v/>
      </c>
      <c r="C4392" s="10" t="str">
        <f t="shared" si="209"/>
        <v/>
      </c>
    </row>
    <row r="4393" spans="1:3" x14ac:dyDescent="0.25">
      <c r="A4393" s="8" t="str">
        <f t="shared" si="207"/>
        <v/>
      </c>
      <c r="B4393" s="9" t="str">
        <f t="shared" si="208"/>
        <v/>
      </c>
      <c r="C4393" s="10" t="str">
        <f t="shared" si="209"/>
        <v/>
      </c>
    </row>
    <row r="4394" spans="1:3" x14ac:dyDescent="0.25">
      <c r="A4394" s="8" t="str">
        <f t="shared" si="207"/>
        <v/>
      </c>
      <c r="B4394" s="9" t="str">
        <f t="shared" si="208"/>
        <v/>
      </c>
      <c r="C4394" s="10" t="str">
        <f t="shared" si="209"/>
        <v/>
      </c>
    </row>
    <row r="4395" spans="1:3" x14ac:dyDescent="0.25">
      <c r="A4395" s="8" t="str">
        <f t="shared" si="207"/>
        <v/>
      </c>
      <c r="B4395" s="9" t="str">
        <f t="shared" si="208"/>
        <v/>
      </c>
      <c r="C4395" s="10" t="str">
        <f t="shared" si="209"/>
        <v/>
      </c>
    </row>
    <row r="4396" spans="1:3" x14ac:dyDescent="0.25">
      <c r="A4396" s="8" t="str">
        <f t="shared" si="207"/>
        <v/>
      </c>
      <c r="B4396" s="9" t="str">
        <f t="shared" si="208"/>
        <v/>
      </c>
      <c r="C4396" s="10" t="str">
        <f t="shared" si="209"/>
        <v/>
      </c>
    </row>
    <row r="4397" spans="1:3" x14ac:dyDescent="0.25">
      <c r="A4397" s="8" t="str">
        <f t="shared" si="207"/>
        <v/>
      </c>
      <c r="B4397" s="9" t="str">
        <f t="shared" si="208"/>
        <v/>
      </c>
      <c r="C4397" s="10" t="str">
        <f t="shared" si="209"/>
        <v/>
      </c>
    </row>
    <row r="4398" spans="1:3" x14ac:dyDescent="0.25">
      <c r="A4398" s="8" t="str">
        <f t="shared" si="207"/>
        <v/>
      </c>
      <c r="B4398" s="9" t="str">
        <f t="shared" si="208"/>
        <v/>
      </c>
      <c r="C4398" s="10" t="str">
        <f t="shared" si="209"/>
        <v/>
      </c>
    </row>
    <row r="4399" spans="1:3" x14ac:dyDescent="0.25">
      <c r="A4399" s="8" t="str">
        <f t="shared" si="207"/>
        <v/>
      </c>
      <c r="B4399" s="9" t="str">
        <f t="shared" si="208"/>
        <v/>
      </c>
      <c r="C4399" s="10" t="str">
        <f t="shared" si="209"/>
        <v/>
      </c>
    </row>
    <row r="4400" spans="1:3" x14ac:dyDescent="0.25">
      <c r="A4400" s="8" t="str">
        <f t="shared" si="207"/>
        <v/>
      </c>
      <c r="B4400" s="9" t="str">
        <f t="shared" si="208"/>
        <v/>
      </c>
      <c r="C4400" s="10" t="str">
        <f t="shared" si="209"/>
        <v/>
      </c>
    </row>
    <row r="4401" spans="1:3" x14ac:dyDescent="0.25">
      <c r="A4401" s="8" t="str">
        <f t="shared" si="207"/>
        <v/>
      </c>
      <c r="B4401" s="9" t="str">
        <f t="shared" si="208"/>
        <v/>
      </c>
      <c r="C4401" s="10" t="str">
        <f t="shared" si="209"/>
        <v/>
      </c>
    </row>
    <row r="4402" spans="1:3" x14ac:dyDescent="0.25">
      <c r="A4402" s="8" t="str">
        <f t="shared" si="207"/>
        <v/>
      </c>
      <c r="B4402" s="9" t="str">
        <f t="shared" si="208"/>
        <v/>
      </c>
      <c r="C4402" s="10" t="str">
        <f t="shared" si="209"/>
        <v/>
      </c>
    </row>
    <row r="4403" spans="1:3" x14ac:dyDescent="0.25">
      <c r="A4403" s="8" t="str">
        <f t="shared" si="207"/>
        <v/>
      </c>
      <c r="B4403" s="9" t="str">
        <f t="shared" si="208"/>
        <v/>
      </c>
      <c r="C4403" s="10" t="str">
        <f t="shared" si="209"/>
        <v/>
      </c>
    </row>
    <row r="4404" spans="1:3" x14ac:dyDescent="0.25">
      <c r="A4404" s="8" t="str">
        <f t="shared" si="207"/>
        <v/>
      </c>
      <c r="B4404" s="9" t="str">
        <f t="shared" si="208"/>
        <v/>
      </c>
      <c r="C4404" s="10" t="str">
        <f t="shared" si="209"/>
        <v/>
      </c>
    </row>
    <row r="4405" spans="1:3" x14ac:dyDescent="0.25">
      <c r="A4405" s="8" t="str">
        <f t="shared" si="207"/>
        <v/>
      </c>
      <c r="B4405" s="9" t="str">
        <f t="shared" si="208"/>
        <v/>
      </c>
      <c r="C4405" s="10" t="str">
        <f t="shared" si="209"/>
        <v/>
      </c>
    </row>
    <row r="4406" spans="1:3" x14ac:dyDescent="0.25">
      <c r="A4406" s="8" t="str">
        <f t="shared" si="207"/>
        <v/>
      </c>
      <c r="B4406" s="9" t="str">
        <f t="shared" si="208"/>
        <v/>
      </c>
      <c r="C4406" s="10" t="str">
        <f t="shared" si="209"/>
        <v/>
      </c>
    </row>
    <row r="4407" spans="1:3" x14ac:dyDescent="0.25">
      <c r="A4407" s="8" t="str">
        <f t="shared" si="207"/>
        <v/>
      </c>
      <c r="B4407" s="9" t="str">
        <f t="shared" si="208"/>
        <v/>
      </c>
      <c r="C4407" s="10" t="str">
        <f t="shared" si="209"/>
        <v/>
      </c>
    </row>
    <row r="4408" spans="1:3" x14ac:dyDescent="0.25">
      <c r="A4408" s="8" t="str">
        <f t="shared" si="207"/>
        <v/>
      </c>
      <c r="B4408" s="9" t="str">
        <f t="shared" si="208"/>
        <v/>
      </c>
      <c r="C4408" s="10" t="str">
        <f t="shared" si="209"/>
        <v/>
      </c>
    </row>
    <row r="4409" spans="1:3" x14ac:dyDescent="0.25">
      <c r="A4409" s="8" t="str">
        <f t="shared" si="207"/>
        <v/>
      </c>
      <c r="B4409" s="9" t="str">
        <f t="shared" si="208"/>
        <v/>
      </c>
      <c r="C4409" s="10" t="str">
        <f t="shared" si="209"/>
        <v/>
      </c>
    </row>
    <row r="4410" spans="1:3" x14ac:dyDescent="0.25">
      <c r="A4410" s="8" t="str">
        <f t="shared" si="207"/>
        <v/>
      </c>
      <c r="B4410" s="9" t="str">
        <f t="shared" si="208"/>
        <v/>
      </c>
      <c r="C4410" s="10" t="str">
        <f t="shared" si="209"/>
        <v/>
      </c>
    </row>
    <row r="4411" spans="1:3" x14ac:dyDescent="0.25">
      <c r="A4411" s="8" t="str">
        <f t="shared" si="207"/>
        <v/>
      </c>
      <c r="B4411" s="9" t="str">
        <f t="shared" si="208"/>
        <v/>
      </c>
      <c r="C4411" s="10" t="str">
        <f t="shared" si="209"/>
        <v/>
      </c>
    </row>
    <row r="4412" spans="1:3" x14ac:dyDescent="0.25">
      <c r="A4412" s="8" t="str">
        <f t="shared" si="207"/>
        <v/>
      </c>
      <c r="B4412" s="9" t="str">
        <f t="shared" si="208"/>
        <v/>
      </c>
      <c r="C4412" s="10" t="str">
        <f t="shared" si="209"/>
        <v/>
      </c>
    </row>
    <row r="4413" spans="1:3" x14ac:dyDescent="0.25">
      <c r="A4413" s="8" t="str">
        <f t="shared" si="207"/>
        <v/>
      </c>
      <c r="B4413" s="9" t="str">
        <f t="shared" si="208"/>
        <v/>
      </c>
      <c r="C4413" s="10" t="str">
        <f t="shared" si="209"/>
        <v/>
      </c>
    </row>
    <row r="4414" spans="1:3" x14ac:dyDescent="0.25">
      <c r="A4414" s="8" t="str">
        <f t="shared" si="207"/>
        <v/>
      </c>
      <c r="B4414" s="9" t="str">
        <f t="shared" si="208"/>
        <v/>
      </c>
      <c r="C4414" s="10" t="str">
        <f t="shared" si="209"/>
        <v/>
      </c>
    </row>
    <row r="4415" spans="1:3" x14ac:dyDescent="0.25">
      <c r="A4415" s="8" t="str">
        <f t="shared" si="207"/>
        <v/>
      </c>
      <c r="B4415" s="9" t="str">
        <f t="shared" si="208"/>
        <v/>
      </c>
      <c r="C4415" s="10" t="str">
        <f t="shared" si="209"/>
        <v/>
      </c>
    </row>
    <row r="4416" spans="1:3" x14ac:dyDescent="0.25">
      <c r="A4416" s="8" t="str">
        <f t="shared" si="207"/>
        <v/>
      </c>
      <c r="B4416" s="9" t="str">
        <f t="shared" si="208"/>
        <v/>
      </c>
      <c r="C4416" s="10" t="str">
        <f t="shared" si="209"/>
        <v/>
      </c>
    </row>
    <row r="4417" spans="1:3" x14ac:dyDescent="0.25">
      <c r="A4417" s="8" t="str">
        <f t="shared" si="207"/>
        <v/>
      </c>
      <c r="B4417" s="9" t="str">
        <f t="shared" si="208"/>
        <v/>
      </c>
      <c r="C4417" s="10" t="str">
        <f t="shared" si="209"/>
        <v/>
      </c>
    </row>
    <row r="4418" spans="1:3" x14ac:dyDescent="0.25">
      <c r="A4418" s="8" t="str">
        <f t="shared" si="207"/>
        <v/>
      </c>
      <c r="B4418" s="9" t="str">
        <f t="shared" si="208"/>
        <v/>
      </c>
      <c r="C4418" s="10" t="str">
        <f t="shared" si="209"/>
        <v/>
      </c>
    </row>
    <row r="4419" spans="1:3" x14ac:dyDescent="0.25">
      <c r="A4419" s="8" t="str">
        <f t="shared" si="207"/>
        <v/>
      </c>
      <c r="B4419" s="9" t="str">
        <f t="shared" si="208"/>
        <v/>
      </c>
      <c r="C4419" s="10" t="str">
        <f t="shared" si="209"/>
        <v/>
      </c>
    </row>
    <row r="4420" spans="1:3" x14ac:dyDescent="0.25">
      <c r="A4420" s="8" t="str">
        <f t="shared" si="207"/>
        <v/>
      </c>
      <c r="B4420" s="9" t="str">
        <f t="shared" si="208"/>
        <v/>
      </c>
      <c r="C4420" s="10" t="str">
        <f t="shared" si="209"/>
        <v/>
      </c>
    </row>
    <row r="4421" spans="1:3" x14ac:dyDescent="0.25">
      <c r="A4421" s="8" t="str">
        <f t="shared" si="207"/>
        <v/>
      </c>
      <c r="B4421" s="9" t="str">
        <f t="shared" si="208"/>
        <v/>
      </c>
      <c r="C4421" s="10" t="str">
        <f t="shared" si="209"/>
        <v/>
      </c>
    </row>
    <row r="4422" spans="1:3" x14ac:dyDescent="0.25">
      <c r="A4422" s="8" t="str">
        <f t="shared" si="207"/>
        <v/>
      </c>
      <c r="B4422" s="9" t="str">
        <f t="shared" si="208"/>
        <v/>
      </c>
      <c r="C4422" s="10" t="str">
        <f t="shared" si="209"/>
        <v/>
      </c>
    </row>
    <row r="4423" spans="1:3" x14ac:dyDescent="0.25">
      <c r="A4423" s="8" t="str">
        <f t="shared" si="207"/>
        <v/>
      </c>
      <c r="B4423" s="9" t="str">
        <f t="shared" si="208"/>
        <v/>
      </c>
      <c r="C4423" s="10" t="str">
        <f t="shared" si="209"/>
        <v/>
      </c>
    </row>
    <row r="4424" spans="1:3" x14ac:dyDescent="0.25">
      <c r="A4424" s="8" t="str">
        <f t="shared" si="207"/>
        <v/>
      </c>
      <c r="B4424" s="9" t="str">
        <f t="shared" si="208"/>
        <v/>
      </c>
      <c r="C4424" s="10" t="str">
        <f t="shared" si="209"/>
        <v/>
      </c>
    </row>
    <row r="4425" spans="1:3" x14ac:dyDescent="0.25">
      <c r="A4425" s="8" t="str">
        <f t="shared" si="207"/>
        <v/>
      </c>
      <c r="B4425" s="9" t="str">
        <f t="shared" si="208"/>
        <v/>
      </c>
      <c r="C4425" s="10" t="str">
        <f t="shared" si="209"/>
        <v/>
      </c>
    </row>
    <row r="4426" spans="1:3" x14ac:dyDescent="0.25">
      <c r="A4426" s="8" t="str">
        <f t="shared" si="207"/>
        <v/>
      </c>
      <c r="B4426" s="9" t="str">
        <f t="shared" si="208"/>
        <v/>
      </c>
      <c r="C4426" s="10" t="str">
        <f t="shared" si="209"/>
        <v/>
      </c>
    </row>
    <row r="4427" spans="1:3" x14ac:dyDescent="0.25">
      <c r="A4427" s="8" t="str">
        <f t="shared" si="207"/>
        <v/>
      </c>
      <c r="B4427" s="9" t="str">
        <f t="shared" si="208"/>
        <v/>
      </c>
      <c r="C4427" s="10" t="str">
        <f t="shared" si="209"/>
        <v/>
      </c>
    </row>
    <row r="4428" spans="1:3" x14ac:dyDescent="0.25">
      <c r="A4428" s="8" t="str">
        <f t="shared" si="207"/>
        <v/>
      </c>
      <c r="B4428" s="9" t="str">
        <f t="shared" si="208"/>
        <v/>
      </c>
      <c r="C4428" s="10" t="str">
        <f t="shared" si="209"/>
        <v/>
      </c>
    </row>
    <row r="4429" spans="1:3" x14ac:dyDescent="0.25">
      <c r="A4429" s="8" t="str">
        <f t="shared" si="207"/>
        <v/>
      </c>
      <c r="B4429" s="9" t="str">
        <f t="shared" si="208"/>
        <v/>
      </c>
      <c r="C4429" s="10" t="str">
        <f t="shared" si="209"/>
        <v/>
      </c>
    </row>
    <row r="4430" spans="1:3" x14ac:dyDescent="0.25">
      <c r="A4430" s="8" t="str">
        <f t="shared" si="207"/>
        <v/>
      </c>
      <c r="B4430" s="9" t="str">
        <f t="shared" si="208"/>
        <v/>
      </c>
      <c r="C4430" s="10" t="str">
        <f t="shared" si="209"/>
        <v/>
      </c>
    </row>
    <row r="4431" spans="1:3" x14ac:dyDescent="0.25">
      <c r="A4431" s="8" t="str">
        <f t="shared" si="207"/>
        <v/>
      </c>
      <c r="B4431" s="9" t="str">
        <f t="shared" si="208"/>
        <v/>
      </c>
      <c r="C4431" s="10" t="str">
        <f t="shared" si="209"/>
        <v/>
      </c>
    </row>
    <row r="4432" spans="1:3" x14ac:dyDescent="0.25">
      <c r="A4432" s="8" t="str">
        <f t="shared" si="207"/>
        <v/>
      </c>
      <c r="B4432" s="9" t="str">
        <f t="shared" si="208"/>
        <v/>
      </c>
      <c r="C4432" s="10" t="str">
        <f t="shared" si="209"/>
        <v/>
      </c>
    </row>
    <row r="4433" spans="1:3" x14ac:dyDescent="0.25">
      <c r="A4433" s="8" t="str">
        <f t="shared" si="207"/>
        <v/>
      </c>
      <c r="B4433" s="9" t="str">
        <f t="shared" si="208"/>
        <v/>
      </c>
      <c r="C4433" s="10" t="str">
        <f t="shared" si="209"/>
        <v/>
      </c>
    </row>
    <row r="4434" spans="1:3" x14ac:dyDescent="0.25">
      <c r="A4434" s="8" t="str">
        <f t="shared" si="207"/>
        <v/>
      </c>
      <c r="B4434" s="9" t="str">
        <f t="shared" si="208"/>
        <v/>
      </c>
      <c r="C4434" s="10" t="str">
        <f t="shared" si="209"/>
        <v/>
      </c>
    </row>
    <row r="4435" spans="1:3" x14ac:dyDescent="0.25">
      <c r="A4435" s="8" t="str">
        <f t="shared" si="207"/>
        <v/>
      </c>
      <c r="B4435" s="9" t="str">
        <f t="shared" si="208"/>
        <v/>
      </c>
      <c r="C4435" s="10" t="str">
        <f t="shared" si="209"/>
        <v/>
      </c>
    </row>
    <row r="4436" spans="1:3" x14ac:dyDescent="0.25">
      <c r="A4436" s="8" t="str">
        <f t="shared" si="207"/>
        <v/>
      </c>
      <c r="B4436" s="9" t="str">
        <f t="shared" si="208"/>
        <v/>
      </c>
      <c r="C4436" s="10" t="str">
        <f t="shared" si="209"/>
        <v/>
      </c>
    </row>
    <row r="4437" spans="1:3" x14ac:dyDescent="0.25">
      <c r="A4437" s="8" t="str">
        <f t="shared" si="207"/>
        <v/>
      </c>
      <c r="B4437" s="9" t="str">
        <f t="shared" si="208"/>
        <v/>
      </c>
      <c r="C4437" s="10" t="str">
        <f t="shared" si="209"/>
        <v/>
      </c>
    </row>
    <row r="4438" spans="1:3" x14ac:dyDescent="0.25">
      <c r="A4438" s="8" t="str">
        <f t="shared" si="207"/>
        <v/>
      </c>
      <c r="B4438" s="9" t="str">
        <f t="shared" si="208"/>
        <v/>
      </c>
      <c r="C4438" s="10" t="str">
        <f t="shared" si="209"/>
        <v/>
      </c>
    </row>
    <row r="4439" spans="1:3" x14ac:dyDescent="0.25">
      <c r="A4439" s="8" t="str">
        <f t="shared" si="207"/>
        <v/>
      </c>
      <c r="B4439" s="9" t="str">
        <f t="shared" si="208"/>
        <v/>
      </c>
      <c r="C4439" s="10" t="str">
        <f t="shared" si="209"/>
        <v/>
      </c>
    </row>
    <row r="4440" spans="1:3" x14ac:dyDescent="0.25">
      <c r="A4440" s="8" t="str">
        <f t="shared" si="207"/>
        <v/>
      </c>
      <c r="B4440" s="9" t="str">
        <f t="shared" si="208"/>
        <v/>
      </c>
      <c r="C4440" s="10" t="str">
        <f t="shared" si="209"/>
        <v/>
      </c>
    </row>
    <row r="4441" spans="1:3" x14ac:dyDescent="0.25">
      <c r="A4441" s="8" t="str">
        <f t="shared" si="207"/>
        <v/>
      </c>
      <c r="B4441" s="9" t="str">
        <f t="shared" si="208"/>
        <v/>
      </c>
      <c r="C4441" s="10" t="str">
        <f t="shared" si="209"/>
        <v/>
      </c>
    </row>
    <row r="4442" spans="1:3" x14ac:dyDescent="0.25">
      <c r="A4442" s="8" t="str">
        <f t="shared" si="207"/>
        <v/>
      </c>
      <c r="B4442" s="9" t="str">
        <f t="shared" si="208"/>
        <v/>
      </c>
      <c r="C4442" s="10" t="str">
        <f t="shared" si="209"/>
        <v/>
      </c>
    </row>
    <row r="4443" spans="1:3" x14ac:dyDescent="0.25">
      <c r="A4443" s="8" t="str">
        <f t="shared" si="207"/>
        <v/>
      </c>
      <c r="B4443" s="9" t="str">
        <f t="shared" si="208"/>
        <v/>
      </c>
      <c r="C4443" s="10" t="str">
        <f t="shared" si="209"/>
        <v/>
      </c>
    </row>
    <row r="4444" spans="1:3" x14ac:dyDescent="0.25">
      <c r="A4444" s="8" t="str">
        <f t="shared" si="207"/>
        <v/>
      </c>
      <c r="B4444" s="9" t="str">
        <f t="shared" si="208"/>
        <v/>
      </c>
      <c r="C4444" s="10" t="str">
        <f t="shared" si="209"/>
        <v/>
      </c>
    </row>
    <row r="4445" spans="1:3" x14ac:dyDescent="0.25">
      <c r="A4445" s="8" t="str">
        <f t="shared" si="207"/>
        <v/>
      </c>
      <c r="B4445" s="9" t="str">
        <f t="shared" si="208"/>
        <v/>
      </c>
      <c r="C4445" s="10" t="str">
        <f t="shared" si="209"/>
        <v/>
      </c>
    </row>
    <row r="4446" spans="1:3" x14ac:dyDescent="0.25">
      <c r="A4446" s="8" t="str">
        <f t="shared" si="207"/>
        <v/>
      </c>
      <c r="B4446" s="9" t="str">
        <f t="shared" si="208"/>
        <v/>
      </c>
      <c r="C4446" s="10" t="str">
        <f t="shared" si="209"/>
        <v/>
      </c>
    </row>
    <row r="4447" spans="1:3" x14ac:dyDescent="0.25">
      <c r="A4447" s="8" t="str">
        <f t="shared" si="207"/>
        <v/>
      </c>
      <c r="B4447" s="9" t="str">
        <f t="shared" si="208"/>
        <v/>
      </c>
      <c r="C4447" s="10" t="str">
        <f t="shared" si="209"/>
        <v/>
      </c>
    </row>
    <row r="4448" spans="1:3" x14ac:dyDescent="0.25">
      <c r="A4448" s="8" t="str">
        <f t="shared" si="207"/>
        <v/>
      </c>
      <c r="B4448" s="9" t="str">
        <f t="shared" si="208"/>
        <v/>
      </c>
      <c r="C4448" s="10" t="str">
        <f t="shared" si="209"/>
        <v/>
      </c>
    </row>
    <row r="4449" spans="1:3" x14ac:dyDescent="0.25">
      <c r="A4449" s="8" t="str">
        <f t="shared" si="207"/>
        <v/>
      </c>
      <c r="B4449" s="9" t="str">
        <f t="shared" si="208"/>
        <v/>
      </c>
      <c r="C4449" s="10" t="str">
        <f t="shared" si="209"/>
        <v/>
      </c>
    </row>
    <row r="4450" spans="1:3" x14ac:dyDescent="0.25">
      <c r="A4450" s="8" t="str">
        <f t="shared" si="207"/>
        <v/>
      </c>
      <c r="B4450" s="9" t="str">
        <f t="shared" si="208"/>
        <v/>
      </c>
      <c r="C4450" s="10" t="str">
        <f t="shared" si="209"/>
        <v/>
      </c>
    </row>
    <row r="4451" spans="1:3" x14ac:dyDescent="0.25">
      <c r="A4451" s="8" t="str">
        <f t="shared" si="207"/>
        <v/>
      </c>
      <c r="B4451" s="9" t="str">
        <f t="shared" si="208"/>
        <v/>
      </c>
      <c r="C4451" s="10" t="str">
        <f t="shared" si="209"/>
        <v/>
      </c>
    </row>
    <row r="4452" spans="1:3" x14ac:dyDescent="0.25">
      <c r="A4452" s="8" t="str">
        <f t="shared" si="207"/>
        <v/>
      </c>
      <c r="B4452" s="9" t="str">
        <f t="shared" si="208"/>
        <v/>
      </c>
      <c r="C4452" s="10" t="str">
        <f t="shared" si="209"/>
        <v/>
      </c>
    </row>
    <row r="4453" spans="1:3" x14ac:dyDescent="0.25">
      <c r="A4453" s="8" t="str">
        <f t="shared" si="207"/>
        <v/>
      </c>
      <c r="B4453" s="9" t="str">
        <f t="shared" si="208"/>
        <v/>
      </c>
      <c r="C4453" s="10" t="str">
        <f t="shared" si="209"/>
        <v/>
      </c>
    </row>
    <row r="4454" spans="1:3" x14ac:dyDescent="0.25">
      <c r="A4454" s="8" t="str">
        <f t="shared" si="207"/>
        <v/>
      </c>
      <c r="B4454" s="9" t="str">
        <f t="shared" si="208"/>
        <v/>
      </c>
      <c r="C4454" s="10" t="str">
        <f t="shared" si="209"/>
        <v/>
      </c>
    </row>
    <row r="4455" spans="1:3" x14ac:dyDescent="0.25">
      <c r="A4455" s="8" t="str">
        <f t="shared" ref="A4455:A4518" si="210">IF(D4455="","",IF(E4455=0,CONCATENATE(D4455,".",E4455,"00"),CONCATENATE(D4455,".",E4455)))</f>
        <v/>
      </c>
      <c r="B4455" s="9" t="str">
        <f t="shared" ref="B4455:B4518" si="211">LEFT(G4455,1)</f>
        <v/>
      </c>
      <c r="C4455" s="10" t="str">
        <f t="shared" ref="C4455:C4518" si="212">IF(F4455="","",IF(B4455="",F4455-4,IF(B4455="1",F4455-4,IF(B4455="2",F4455-3,IF(B4455="3",F4455-2,IF(B4455="4",F4455-1,IF(B4455="V",F4455-7,IF(B4455="J",F4455-8,F4455))))))))</f>
        <v/>
      </c>
    </row>
    <row r="4456" spans="1:3" x14ac:dyDescent="0.25">
      <c r="A4456" s="8" t="str">
        <f t="shared" si="210"/>
        <v/>
      </c>
      <c r="B4456" s="9" t="str">
        <f t="shared" si="211"/>
        <v/>
      </c>
      <c r="C4456" s="10" t="str">
        <f t="shared" si="212"/>
        <v/>
      </c>
    </row>
    <row r="4457" spans="1:3" x14ac:dyDescent="0.25">
      <c r="A4457" s="8" t="str">
        <f t="shared" si="210"/>
        <v/>
      </c>
      <c r="B4457" s="9" t="str">
        <f t="shared" si="211"/>
        <v/>
      </c>
      <c r="C4457" s="10" t="str">
        <f t="shared" si="212"/>
        <v/>
      </c>
    </row>
    <row r="4458" spans="1:3" x14ac:dyDescent="0.25">
      <c r="A4458" s="8" t="str">
        <f t="shared" si="210"/>
        <v/>
      </c>
      <c r="B4458" s="9" t="str">
        <f t="shared" si="211"/>
        <v/>
      </c>
      <c r="C4458" s="10" t="str">
        <f t="shared" si="212"/>
        <v/>
      </c>
    </row>
    <row r="4459" spans="1:3" x14ac:dyDescent="0.25">
      <c r="A4459" s="8" t="str">
        <f t="shared" si="210"/>
        <v/>
      </c>
      <c r="B4459" s="9" t="str">
        <f t="shared" si="211"/>
        <v/>
      </c>
      <c r="C4459" s="10" t="str">
        <f t="shared" si="212"/>
        <v/>
      </c>
    </row>
    <row r="4460" spans="1:3" x14ac:dyDescent="0.25">
      <c r="A4460" s="8" t="str">
        <f t="shared" si="210"/>
        <v/>
      </c>
      <c r="B4460" s="9" t="str">
        <f t="shared" si="211"/>
        <v/>
      </c>
      <c r="C4460" s="10" t="str">
        <f t="shared" si="212"/>
        <v/>
      </c>
    </row>
    <row r="4461" spans="1:3" x14ac:dyDescent="0.25">
      <c r="A4461" s="8" t="str">
        <f t="shared" si="210"/>
        <v/>
      </c>
      <c r="B4461" s="9" t="str">
        <f t="shared" si="211"/>
        <v/>
      </c>
      <c r="C4461" s="10" t="str">
        <f t="shared" si="212"/>
        <v/>
      </c>
    </row>
    <row r="4462" spans="1:3" x14ac:dyDescent="0.25">
      <c r="A4462" s="8" t="str">
        <f t="shared" si="210"/>
        <v/>
      </c>
      <c r="B4462" s="9" t="str">
        <f t="shared" si="211"/>
        <v/>
      </c>
      <c r="C4462" s="10" t="str">
        <f t="shared" si="212"/>
        <v/>
      </c>
    </row>
    <row r="4463" spans="1:3" x14ac:dyDescent="0.25">
      <c r="A4463" s="8" t="str">
        <f t="shared" si="210"/>
        <v/>
      </c>
      <c r="B4463" s="9" t="str">
        <f t="shared" si="211"/>
        <v/>
      </c>
      <c r="C4463" s="10" t="str">
        <f t="shared" si="212"/>
        <v/>
      </c>
    </row>
    <row r="4464" spans="1:3" x14ac:dyDescent="0.25">
      <c r="A4464" s="8" t="str">
        <f t="shared" si="210"/>
        <v/>
      </c>
      <c r="B4464" s="9" t="str">
        <f t="shared" si="211"/>
        <v/>
      </c>
      <c r="C4464" s="10" t="str">
        <f t="shared" si="212"/>
        <v/>
      </c>
    </row>
    <row r="4465" spans="1:3" x14ac:dyDescent="0.25">
      <c r="A4465" s="8" t="str">
        <f t="shared" si="210"/>
        <v/>
      </c>
      <c r="B4465" s="9" t="str">
        <f t="shared" si="211"/>
        <v/>
      </c>
      <c r="C4465" s="10" t="str">
        <f t="shared" si="212"/>
        <v/>
      </c>
    </row>
    <row r="4466" spans="1:3" x14ac:dyDescent="0.25">
      <c r="A4466" s="8" t="str">
        <f t="shared" si="210"/>
        <v/>
      </c>
      <c r="B4466" s="9" t="str">
        <f t="shared" si="211"/>
        <v/>
      </c>
      <c r="C4466" s="10" t="str">
        <f t="shared" si="212"/>
        <v/>
      </c>
    </row>
    <row r="4467" spans="1:3" x14ac:dyDescent="0.25">
      <c r="A4467" s="8" t="str">
        <f t="shared" si="210"/>
        <v/>
      </c>
      <c r="B4467" s="9" t="str">
        <f t="shared" si="211"/>
        <v/>
      </c>
      <c r="C4467" s="10" t="str">
        <f t="shared" si="212"/>
        <v/>
      </c>
    </row>
    <row r="4468" spans="1:3" x14ac:dyDescent="0.25">
      <c r="A4468" s="8" t="str">
        <f t="shared" si="210"/>
        <v/>
      </c>
      <c r="B4468" s="9" t="str">
        <f t="shared" si="211"/>
        <v/>
      </c>
      <c r="C4468" s="10" t="str">
        <f t="shared" si="212"/>
        <v/>
      </c>
    </row>
    <row r="4469" spans="1:3" x14ac:dyDescent="0.25">
      <c r="A4469" s="8" t="str">
        <f t="shared" si="210"/>
        <v/>
      </c>
      <c r="B4469" s="9" t="str">
        <f t="shared" si="211"/>
        <v/>
      </c>
      <c r="C4469" s="10" t="str">
        <f t="shared" si="212"/>
        <v/>
      </c>
    </row>
    <row r="4470" spans="1:3" x14ac:dyDescent="0.25">
      <c r="A4470" s="8" t="str">
        <f t="shared" si="210"/>
        <v/>
      </c>
      <c r="B4470" s="9" t="str">
        <f t="shared" si="211"/>
        <v/>
      </c>
      <c r="C4470" s="10" t="str">
        <f t="shared" si="212"/>
        <v/>
      </c>
    </row>
    <row r="4471" spans="1:3" x14ac:dyDescent="0.25">
      <c r="A4471" s="8" t="str">
        <f t="shared" si="210"/>
        <v/>
      </c>
      <c r="B4471" s="9" t="str">
        <f t="shared" si="211"/>
        <v/>
      </c>
      <c r="C4471" s="10" t="str">
        <f t="shared" si="212"/>
        <v/>
      </c>
    </row>
    <row r="4472" spans="1:3" x14ac:dyDescent="0.25">
      <c r="A4472" s="8" t="str">
        <f t="shared" si="210"/>
        <v/>
      </c>
      <c r="B4472" s="9" t="str">
        <f t="shared" si="211"/>
        <v/>
      </c>
      <c r="C4472" s="10" t="str">
        <f t="shared" si="212"/>
        <v/>
      </c>
    </row>
    <row r="4473" spans="1:3" x14ac:dyDescent="0.25">
      <c r="A4473" s="8" t="str">
        <f t="shared" si="210"/>
        <v/>
      </c>
      <c r="B4473" s="9" t="str">
        <f t="shared" si="211"/>
        <v/>
      </c>
      <c r="C4473" s="10" t="str">
        <f t="shared" si="212"/>
        <v/>
      </c>
    </row>
    <row r="4474" spans="1:3" x14ac:dyDescent="0.25">
      <c r="A4474" s="8" t="str">
        <f t="shared" si="210"/>
        <v/>
      </c>
      <c r="B4474" s="9" t="str">
        <f t="shared" si="211"/>
        <v/>
      </c>
      <c r="C4474" s="10" t="str">
        <f t="shared" si="212"/>
        <v/>
      </c>
    </row>
    <row r="4475" spans="1:3" x14ac:dyDescent="0.25">
      <c r="A4475" s="8" t="str">
        <f t="shared" si="210"/>
        <v/>
      </c>
      <c r="B4475" s="9" t="str">
        <f t="shared" si="211"/>
        <v/>
      </c>
      <c r="C4475" s="10" t="str">
        <f t="shared" si="212"/>
        <v/>
      </c>
    </row>
    <row r="4476" spans="1:3" x14ac:dyDescent="0.25">
      <c r="A4476" s="8" t="str">
        <f t="shared" si="210"/>
        <v/>
      </c>
      <c r="B4476" s="9" t="str">
        <f t="shared" si="211"/>
        <v/>
      </c>
      <c r="C4476" s="10" t="str">
        <f t="shared" si="212"/>
        <v/>
      </c>
    </row>
    <row r="4477" spans="1:3" x14ac:dyDescent="0.25">
      <c r="A4477" s="8" t="str">
        <f t="shared" si="210"/>
        <v/>
      </c>
      <c r="B4477" s="9" t="str">
        <f t="shared" si="211"/>
        <v/>
      </c>
      <c r="C4477" s="10" t="str">
        <f t="shared" si="212"/>
        <v/>
      </c>
    </row>
    <row r="4478" spans="1:3" x14ac:dyDescent="0.25">
      <c r="A4478" s="8" t="str">
        <f t="shared" si="210"/>
        <v/>
      </c>
      <c r="B4478" s="9" t="str">
        <f t="shared" si="211"/>
        <v/>
      </c>
      <c r="C4478" s="10" t="str">
        <f t="shared" si="212"/>
        <v/>
      </c>
    </row>
    <row r="4479" spans="1:3" x14ac:dyDescent="0.25">
      <c r="A4479" s="8" t="str">
        <f t="shared" si="210"/>
        <v/>
      </c>
      <c r="B4479" s="9" t="str">
        <f t="shared" si="211"/>
        <v/>
      </c>
      <c r="C4479" s="10" t="str">
        <f t="shared" si="212"/>
        <v/>
      </c>
    </row>
    <row r="4480" spans="1:3" x14ac:dyDescent="0.25">
      <c r="A4480" s="8" t="str">
        <f t="shared" si="210"/>
        <v/>
      </c>
      <c r="B4480" s="9" t="str">
        <f t="shared" si="211"/>
        <v/>
      </c>
      <c r="C4480" s="10" t="str">
        <f t="shared" si="212"/>
        <v/>
      </c>
    </row>
    <row r="4481" spans="1:3" x14ac:dyDescent="0.25">
      <c r="A4481" s="8" t="str">
        <f t="shared" si="210"/>
        <v/>
      </c>
      <c r="B4481" s="9" t="str">
        <f t="shared" si="211"/>
        <v/>
      </c>
      <c r="C4481" s="10" t="str">
        <f t="shared" si="212"/>
        <v/>
      </c>
    </row>
    <row r="4482" spans="1:3" x14ac:dyDescent="0.25">
      <c r="A4482" s="8" t="str">
        <f t="shared" si="210"/>
        <v/>
      </c>
      <c r="B4482" s="9" t="str">
        <f t="shared" si="211"/>
        <v/>
      </c>
      <c r="C4482" s="10" t="str">
        <f t="shared" si="212"/>
        <v/>
      </c>
    </row>
    <row r="4483" spans="1:3" x14ac:dyDescent="0.25">
      <c r="A4483" s="8" t="str">
        <f t="shared" si="210"/>
        <v/>
      </c>
      <c r="B4483" s="9" t="str">
        <f t="shared" si="211"/>
        <v/>
      </c>
      <c r="C4483" s="10" t="str">
        <f t="shared" si="212"/>
        <v/>
      </c>
    </row>
    <row r="4484" spans="1:3" x14ac:dyDescent="0.25">
      <c r="A4484" s="8" t="str">
        <f t="shared" si="210"/>
        <v/>
      </c>
      <c r="B4484" s="9" t="str">
        <f t="shared" si="211"/>
        <v/>
      </c>
      <c r="C4484" s="10" t="str">
        <f t="shared" si="212"/>
        <v/>
      </c>
    </row>
    <row r="4485" spans="1:3" x14ac:dyDescent="0.25">
      <c r="A4485" s="8" t="str">
        <f t="shared" si="210"/>
        <v/>
      </c>
      <c r="B4485" s="9" t="str">
        <f t="shared" si="211"/>
        <v/>
      </c>
      <c r="C4485" s="10" t="str">
        <f t="shared" si="212"/>
        <v/>
      </c>
    </row>
    <row r="4486" spans="1:3" x14ac:dyDescent="0.25">
      <c r="A4486" s="8" t="str">
        <f t="shared" si="210"/>
        <v/>
      </c>
      <c r="B4486" s="9" t="str">
        <f t="shared" si="211"/>
        <v/>
      </c>
      <c r="C4486" s="10" t="str">
        <f t="shared" si="212"/>
        <v/>
      </c>
    </row>
    <row r="4487" spans="1:3" x14ac:dyDescent="0.25">
      <c r="A4487" s="8" t="str">
        <f t="shared" si="210"/>
        <v/>
      </c>
      <c r="B4487" s="9" t="str">
        <f t="shared" si="211"/>
        <v/>
      </c>
      <c r="C4487" s="10" t="str">
        <f t="shared" si="212"/>
        <v/>
      </c>
    </row>
    <row r="4488" spans="1:3" x14ac:dyDescent="0.25">
      <c r="A4488" s="8" t="str">
        <f t="shared" si="210"/>
        <v/>
      </c>
      <c r="B4488" s="9" t="str">
        <f t="shared" si="211"/>
        <v/>
      </c>
      <c r="C4488" s="10" t="str">
        <f t="shared" si="212"/>
        <v/>
      </c>
    </row>
    <row r="4489" spans="1:3" x14ac:dyDescent="0.25">
      <c r="A4489" s="8" t="str">
        <f t="shared" si="210"/>
        <v/>
      </c>
      <c r="B4489" s="9" t="str">
        <f t="shared" si="211"/>
        <v/>
      </c>
      <c r="C4489" s="10" t="str">
        <f t="shared" si="212"/>
        <v/>
      </c>
    </row>
    <row r="4490" spans="1:3" x14ac:dyDescent="0.25">
      <c r="A4490" s="8" t="str">
        <f t="shared" si="210"/>
        <v/>
      </c>
      <c r="B4490" s="9" t="str">
        <f t="shared" si="211"/>
        <v/>
      </c>
      <c r="C4490" s="10" t="str">
        <f t="shared" si="212"/>
        <v/>
      </c>
    </row>
    <row r="4491" spans="1:3" x14ac:dyDescent="0.25">
      <c r="A4491" s="8" t="str">
        <f t="shared" si="210"/>
        <v/>
      </c>
      <c r="B4491" s="9" t="str">
        <f t="shared" si="211"/>
        <v/>
      </c>
      <c r="C4491" s="10" t="str">
        <f t="shared" si="212"/>
        <v/>
      </c>
    </row>
    <row r="4492" spans="1:3" x14ac:dyDescent="0.25">
      <c r="A4492" s="8" t="str">
        <f t="shared" si="210"/>
        <v/>
      </c>
      <c r="B4492" s="9" t="str">
        <f t="shared" si="211"/>
        <v/>
      </c>
      <c r="C4492" s="10" t="str">
        <f t="shared" si="212"/>
        <v/>
      </c>
    </row>
    <row r="4493" spans="1:3" x14ac:dyDescent="0.25">
      <c r="A4493" s="8" t="str">
        <f t="shared" si="210"/>
        <v/>
      </c>
      <c r="B4493" s="9" t="str">
        <f t="shared" si="211"/>
        <v/>
      </c>
      <c r="C4493" s="10" t="str">
        <f t="shared" si="212"/>
        <v/>
      </c>
    </row>
    <row r="4494" spans="1:3" x14ac:dyDescent="0.25">
      <c r="A4494" s="8" t="str">
        <f t="shared" si="210"/>
        <v/>
      </c>
      <c r="B4494" s="9" t="str">
        <f t="shared" si="211"/>
        <v/>
      </c>
      <c r="C4494" s="10" t="str">
        <f t="shared" si="212"/>
        <v/>
      </c>
    </row>
    <row r="4495" spans="1:3" x14ac:dyDescent="0.25">
      <c r="A4495" s="8" t="str">
        <f t="shared" si="210"/>
        <v/>
      </c>
      <c r="B4495" s="9" t="str">
        <f t="shared" si="211"/>
        <v/>
      </c>
      <c r="C4495" s="10" t="str">
        <f t="shared" si="212"/>
        <v/>
      </c>
    </row>
    <row r="4496" spans="1:3" x14ac:dyDescent="0.25">
      <c r="A4496" s="8" t="str">
        <f t="shared" si="210"/>
        <v/>
      </c>
      <c r="B4496" s="9" t="str">
        <f t="shared" si="211"/>
        <v/>
      </c>
      <c r="C4496" s="10" t="str">
        <f t="shared" si="212"/>
        <v/>
      </c>
    </row>
    <row r="4497" spans="1:3" x14ac:dyDescent="0.25">
      <c r="A4497" s="8" t="str">
        <f t="shared" si="210"/>
        <v/>
      </c>
      <c r="B4497" s="9" t="str">
        <f t="shared" si="211"/>
        <v/>
      </c>
      <c r="C4497" s="10" t="str">
        <f t="shared" si="212"/>
        <v/>
      </c>
    </row>
    <row r="4498" spans="1:3" x14ac:dyDescent="0.25">
      <c r="A4498" s="8" t="str">
        <f t="shared" si="210"/>
        <v/>
      </c>
      <c r="B4498" s="9" t="str">
        <f t="shared" si="211"/>
        <v/>
      </c>
      <c r="C4498" s="10" t="str">
        <f t="shared" si="212"/>
        <v/>
      </c>
    </row>
    <row r="4499" spans="1:3" x14ac:dyDescent="0.25">
      <c r="A4499" s="8" t="str">
        <f t="shared" si="210"/>
        <v/>
      </c>
      <c r="B4499" s="9" t="str">
        <f t="shared" si="211"/>
        <v/>
      </c>
      <c r="C4499" s="10" t="str">
        <f t="shared" si="212"/>
        <v/>
      </c>
    </row>
    <row r="4500" spans="1:3" x14ac:dyDescent="0.25">
      <c r="A4500" s="8" t="str">
        <f t="shared" si="210"/>
        <v/>
      </c>
      <c r="B4500" s="9" t="str">
        <f t="shared" si="211"/>
        <v/>
      </c>
      <c r="C4500" s="10" t="str">
        <f t="shared" si="212"/>
        <v/>
      </c>
    </row>
    <row r="4501" spans="1:3" x14ac:dyDescent="0.25">
      <c r="A4501" s="8" t="str">
        <f t="shared" si="210"/>
        <v/>
      </c>
      <c r="B4501" s="9" t="str">
        <f t="shared" si="211"/>
        <v/>
      </c>
      <c r="C4501" s="10" t="str">
        <f t="shared" si="212"/>
        <v/>
      </c>
    </row>
    <row r="4502" spans="1:3" x14ac:dyDescent="0.25">
      <c r="A4502" s="8" t="str">
        <f t="shared" si="210"/>
        <v/>
      </c>
      <c r="B4502" s="9" t="str">
        <f t="shared" si="211"/>
        <v/>
      </c>
      <c r="C4502" s="10" t="str">
        <f t="shared" si="212"/>
        <v/>
      </c>
    </row>
    <row r="4503" spans="1:3" x14ac:dyDescent="0.25">
      <c r="A4503" s="8" t="str">
        <f t="shared" si="210"/>
        <v/>
      </c>
      <c r="B4503" s="9" t="str">
        <f t="shared" si="211"/>
        <v/>
      </c>
      <c r="C4503" s="10" t="str">
        <f t="shared" si="212"/>
        <v/>
      </c>
    </row>
    <row r="4504" spans="1:3" x14ac:dyDescent="0.25">
      <c r="A4504" s="8" t="str">
        <f t="shared" si="210"/>
        <v/>
      </c>
      <c r="B4504" s="9" t="str">
        <f t="shared" si="211"/>
        <v/>
      </c>
      <c r="C4504" s="10" t="str">
        <f t="shared" si="212"/>
        <v/>
      </c>
    </row>
    <row r="4505" spans="1:3" x14ac:dyDescent="0.25">
      <c r="A4505" s="8" t="str">
        <f t="shared" si="210"/>
        <v/>
      </c>
      <c r="B4505" s="9" t="str">
        <f t="shared" si="211"/>
        <v/>
      </c>
      <c r="C4505" s="10" t="str">
        <f t="shared" si="212"/>
        <v/>
      </c>
    </row>
    <row r="4506" spans="1:3" x14ac:dyDescent="0.25">
      <c r="A4506" s="8" t="str">
        <f t="shared" si="210"/>
        <v/>
      </c>
      <c r="B4506" s="9" t="str">
        <f t="shared" si="211"/>
        <v/>
      </c>
      <c r="C4506" s="10" t="str">
        <f t="shared" si="212"/>
        <v/>
      </c>
    </row>
    <row r="4507" spans="1:3" x14ac:dyDescent="0.25">
      <c r="A4507" s="8" t="str">
        <f t="shared" si="210"/>
        <v/>
      </c>
      <c r="B4507" s="9" t="str">
        <f t="shared" si="211"/>
        <v/>
      </c>
      <c r="C4507" s="10" t="str">
        <f t="shared" si="212"/>
        <v/>
      </c>
    </row>
    <row r="4508" spans="1:3" x14ac:dyDescent="0.25">
      <c r="A4508" s="8" t="str">
        <f t="shared" si="210"/>
        <v/>
      </c>
      <c r="B4508" s="9" t="str">
        <f t="shared" si="211"/>
        <v/>
      </c>
      <c r="C4508" s="10" t="str">
        <f t="shared" si="212"/>
        <v/>
      </c>
    </row>
    <row r="4509" spans="1:3" x14ac:dyDescent="0.25">
      <c r="A4509" s="8" t="str">
        <f t="shared" si="210"/>
        <v/>
      </c>
      <c r="B4509" s="9" t="str">
        <f t="shared" si="211"/>
        <v/>
      </c>
      <c r="C4509" s="10" t="str">
        <f t="shared" si="212"/>
        <v/>
      </c>
    </row>
    <row r="4510" spans="1:3" x14ac:dyDescent="0.25">
      <c r="A4510" s="8" t="str">
        <f t="shared" si="210"/>
        <v/>
      </c>
      <c r="B4510" s="9" t="str">
        <f t="shared" si="211"/>
        <v/>
      </c>
      <c r="C4510" s="10" t="str">
        <f t="shared" si="212"/>
        <v/>
      </c>
    </row>
    <row r="4511" spans="1:3" x14ac:dyDescent="0.25">
      <c r="A4511" s="8" t="str">
        <f t="shared" si="210"/>
        <v/>
      </c>
      <c r="B4511" s="9" t="str">
        <f t="shared" si="211"/>
        <v/>
      </c>
      <c r="C4511" s="10" t="str">
        <f t="shared" si="212"/>
        <v/>
      </c>
    </row>
    <row r="4512" spans="1:3" x14ac:dyDescent="0.25">
      <c r="A4512" s="8" t="str">
        <f t="shared" si="210"/>
        <v/>
      </c>
      <c r="B4512" s="9" t="str">
        <f t="shared" si="211"/>
        <v/>
      </c>
      <c r="C4512" s="10" t="str">
        <f t="shared" si="212"/>
        <v/>
      </c>
    </row>
    <row r="4513" spans="1:3" x14ac:dyDescent="0.25">
      <c r="A4513" s="8" t="str">
        <f t="shared" si="210"/>
        <v/>
      </c>
      <c r="B4513" s="9" t="str">
        <f t="shared" si="211"/>
        <v/>
      </c>
      <c r="C4513" s="10" t="str">
        <f t="shared" si="212"/>
        <v/>
      </c>
    </row>
    <row r="4514" spans="1:3" x14ac:dyDescent="0.25">
      <c r="A4514" s="8" t="str">
        <f t="shared" si="210"/>
        <v/>
      </c>
      <c r="B4514" s="9" t="str">
        <f t="shared" si="211"/>
        <v/>
      </c>
      <c r="C4514" s="10" t="str">
        <f t="shared" si="212"/>
        <v/>
      </c>
    </row>
    <row r="4515" spans="1:3" x14ac:dyDescent="0.25">
      <c r="A4515" s="8" t="str">
        <f t="shared" si="210"/>
        <v/>
      </c>
      <c r="B4515" s="9" t="str">
        <f t="shared" si="211"/>
        <v/>
      </c>
      <c r="C4515" s="10" t="str">
        <f t="shared" si="212"/>
        <v/>
      </c>
    </row>
    <row r="4516" spans="1:3" x14ac:dyDescent="0.25">
      <c r="A4516" s="8" t="str">
        <f t="shared" si="210"/>
        <v/>
      </c>
      <c r="B4516" s="9" t="str">
        <f t="shared" si="211"/>
        <v/>
      </c>
      <c r="C4516" s="10" t="str">
        <f t="shared" si="212"/>
        <v/>
      </c>
    </row>
    <row r="4517" spans="1:3" x14ac:dyDescent="0.25">
      <c r="A4517" s="8" t="str">
        <f t="shared" si="210"/>
        <v/>
      </c>
      <c r="B4517" s="9" t="str">
        <f t="shared" si="211"/>
        <v/>
      </c>
      <c r="C4517" s="10" t="str">
        <f t="shared" si="212"/>
        <v/>
      </c>
    </row>
    <row r="4518" spans="1:3" x14ac:dyDescent="0.25">
      <c r="A4518" s="8" t="str">
        <f t="shared" si="210"/>
        <v/>
      </c>
      <c r="B4518" s="9" t="str">
        <f t="shared" si="211"/>
        <v/>
      </c>
      <c r="C4518" s="10" t="str">
        <f t="shared" si="212"/>
        <v/>
      </c>
    </row>
    <row r="4519" spans="1:3" x14ac:dyDescent="0.25">
      <c r="A4519" s="8" t="str">
        <f t="shared" ref="A4519:A4582" si="213">IF(D4519="","",IF(E4519=0,CONCATENATE(D4519,".",E4519,"00"),CONCATENATE(D4519,".",E4519)))</f>
        <v/>
      </c>
      <c r="B4519" s="9" t="str">
        <f t="shared" ref="B4519:B4582" si="214">LEFT(G4519,1)</f>
        <v/>
      </c>
      <c r="C4519" s="10" t="str">
        <f t="shared" ref="C4519:C4582" si="215">IF(F4519="","",IF(B4519="",F4519-4,IF(B4519="1",F4519-4,IF(B4519="2",F4519-3,IF(B4519="3",F4519-2,IF(B4519="4",F4519-1,IF(B4519="V",F4519-7,IF(B4519="J",F4519-8,F4519))))))))</f>
        <v/>
      </c>
    </row>
    <row r="4520" spans="1:3" x14ac:dyDescent="0.25">
      <c r="A4520" s="8" t="str">
        <f t="shared" si="213"/>
        <v/>
      </c>
      <c r="B4520" s="9" t="str">
        <f t="shared" si="214"/>
        <v/>
      </c>
      <c r="C4520" s="10" t="str">
        <f t="shared" si="215"/>
        <v/>
      </c>
    </row>
    <row r="4521" spans="1:3" x14ac:dyDescent="0.25">
      <c r="A4521" s="8" t="str">
        <f t="shared" si="213"/>
        <v/>
      </c>
      <c r="B4521" s="9" t="str">
        <f t="shared" si="214"/>
        <v/>
      </c>
      <c r="C4521" s="10" t="str">
        <f t="shared" si="215"/>
        <v/>
      </c>
    </row>
    <row r="4522" spans="1:3" x14ac:dyDescent="0.25">
      <c r="A4522" s="8" t="str">
        <f t="shared" si="213"/>
        <v/>
      </c>
      <c r="B4522" s="9" t="str">
        <f t="shared" si="214"/>
        <v/>
      </c>
      <c r="C4522" s="10" t="str">
        <f t="shared" si="215"/>
        <v/>
      </c>
    </row>
    <row r="4523" spans="1:3" x14ac:dyDescent="0.25">
      <c r="A4523" s="8" t="str">
        <f t="shared" si="213"/>
        <v/>
      </c>
      <c r="B4523" s="9" t="str">
        <f t="shared" si="214"/>
        <v/>
      </c>
      <c r="C4523" s="10" t="str">
        <f t="shared" si="215"/>
        <v/>
      </c>
    </row>
    <row r="4524" spans="1:3" x14ac:dyDescent="0.25">
      <c r="A4524" s="8" t="str">
        <f t="shared" si="213"/>
        <v/>
      </c>
      <c r="B4524" s="9" t="str">
        <f t="shared" si="214"/>
        <v/>
      </c>
      <c r="C4524" s="10" t="str">
        <f t="shared" si="215"/>
        <v/>
      </c>
    </row>
    <row r="4525" spans="1:3" x14ac:dyDescent="0.25">
      <c r="A4525" s="8" t="str">
        <f t="shared" si="213"/>
        <v/>
      </c>
      <c r="B4525" s="9" t="str">
        <f t="shared" si="214"/>
        <v/>
      </c>
      <c r="C4525" s="10" t="str">
        <f t="shared" si="215"/>
        <v/>
      </c>
    </row>
    <row r="4526" spans="1:3" x14ac:dyDescent="0.25">
      <c r="A4526" s="8" t="str">
        <f t="shared" si="213"/>
        <v/>
      </c>
      <c r="B4526" s="9" t="str">
        <f t="shared" si="214"/>
        <v/>
      </c>
      <c r="C4526" s="10" t="str">
        <f t="shared" si="215"/>
        <v/>
      </c>
    </row>
    <row r="4527" spans="1:3" x14ac:dyDescent="0.25">
      <c r="A4527" s="8" t="str">
        <f t="shared" si="213"/>
        <v/>
      </c>
      <c r="B4527" s="9" t="str">
        <f t="shared" si="214"/>
        <v/>
      </c>
      <c r="C4527" s="10" t="str">
        <f t="shared" si="215"/>
        <v/>
      </c>
    </row>
    <row r="4528" spans="1:3" x14ac:dyDescent="0.25">
      <c r="A4528" s="8" t="str">
        <f t="shared" si="213"/>
        <v/>
      </c>
      <c r="B4528" s="9" t="str">
        <f t="shared" si="214"/>
        <v/>
      </c>
      <c r="C4528" s="10" t="str">
        <f t="shared" si="215"/>
        <v/>
      </c>
    </row>
    <row r="4529" spans="1:3" x14ac:dyDescent="0.25">
      <c r="A4529" s="8" t="str">
        <f t="shared" si="213"/>
        <v/>
      </c>
      <c r="B4529" s="9" t="str">
        <f t="shared" si="214"/>
        <v/>
      </c>
      <c r="C4529" s="10" t="str">
        <f t="shared" si="215"/>
        <v/>
      </c>
    </row>
    <row r="4530" spans="1:3" x14ac:dyDescent="0.25">
      <c r="A4530" s="8" t="str">
        <f t="shared" si="213"/>
        <v/>
      </c>
      <c r="B4530" s="9" t="str">
        <f t="shared" si="214"/>
        <v/>
      </c>
      <c r="C4530" s="10" t="str">
        <f t="shared" si="215"/>
        <v/>
      </c>
    </row>
    <row r="4531" spans="1:3" x14ac:dyDescent="0.25">
      <c r="A4531" s="8" t="str">
        <f t="shared" si="213"/>
        <v/>
      </c>
      <c r="B4531" s="9" t="str">
        <f t="shared" si="214"/>
        <v/>
      </c>
      <c r="C4531" s="10" t="str">
        <f t="shared" si="215"/>
        <v/>
      </c>
    </row>
    <row r="4532" spans="1:3" x14ac:dyDescent="0.25">
      <c r="A4532" s="8" t="str">
        <f t="shared" si="213"/>
        <v/>
      </c>
      <c r="B4532" s="9" t="str">
        <f t="shared" si="214"/>
        <v/>
      </c>
      <c r="C4532" s="10" t="str">
        <f t="shared" si="215"/>
        <v/>
      </c>
    </row>
    <row r="4533" spans="1:3" x14ac:dyDescent="0.25">
      <c r="A4533" s="8" t="str">
        <f t="shared" si="213"/>
        <v/>
      </c>
      <c r="B4533" s="9" t="str">
        <f t="shared" si="214"/>
        <v/>
      </c>
      <c r="C4533" s="10" t="str">
        <f t="shared" si="215"/>
        <v/>
      </c>
    </row>
    <row r="4534" spans="1:3" x14ac:dyDescent="0.25">
      <c r="A4534" s="8" t="str">
        <f t="shared" si="213"/>
        <v/>
      </c>
      <c r="B4534" s="9" t="str">
        <f t="shared" si="214"/>
        <v/>
      </c>
      <c r="C4534" s="10" t="str">
        <f t="shared" si="215"/>
        <v/>
      </c>
    </row>
    <row r="4535" spans="1:3" x14ac:dyDescent="0.25">
      <c r="A4535" s="8" t="str">
        <f t="shared" si="213"/>
        <v/>
      </c>
      <c r="B4535" s="9" t="str">
        <f t="shared" si="214"/>
        <v/>
      </c>
      <c r="C4535" s="10" t="str">
        <f t="shared" si="215"/>
        <v/>
      </c>
    </row>
    <row r="4536" spans="1:3" x14ac:dyDescent="0.25">
      <c r="A4536" s="8" t="str">
        <f t="shared" si="213"/>
        <v/>
      </c>
      <c r="B4536" s="9" t="str">
        <f t="shared" si="214"/>
        <v/>
      </c>
      <c r="C4536" s="10" t="str">
        <f t="shared" si="215"/>
        <v/>
      </c>
    </row>
    <row r="4537" spans="1:3" x14ac:dyDescent="0.25">
      <c r="A4537" s="8" t="str">
        <f t="shared" si="213"/>
        <v/>
      </c>
      <c r="B4537" s="9" t="str">
        <f t="shared" si="214"/>
        <v/>
      </c>
      <c r="C4537" s="10" t="str">
        <f t="shared" si="215"/>
        <v/>
      </c>
    </row>
    <row r="4538" spans="1:3" x14ac:dyDescent="0.25">
      <c r="A4538" s="8" t="str">
        <f t="shared" si="213"/>
        <v/>
      </c>
      <c r="B4538" s="9" t="str">
        <f t="shared" si="214"/>
        <v/>
      </c>
      <c r="C4538" s="10" t="str">
        <f t="shared" si="215"/>
        <v/>
      </c>
    </row>
    <row r="4539" spans="1:3" x14ac:dyDescent="0.25">
      <c r="A4539" s="8" t="str">
        <f t="shared" si="213"/>
        <v/>
      </c>
      <c r="B4539" s="9" t="str">
        <f t="shared" si="214"/>
        <v/>
      </c>
      <c r="C4539" s="10" t="str">
        <f t="shared" si="215"/>
        <v/>
      </c>
    </row>
    <row r="4540" spans="1:3" x14ac:dyDescent="0.25">
      <c r="A4540" s="8" t="str">
        <f t="shared" si="213"/>
        <v/>
      </c>
      <c r="B4540" s="9" t="str">
        <f t="shared" si="214"/>
        <v/>
      </c>
      <c r="C4540" s="10" t="str">
        <f t="shared" si="215"/>
        <v/>
      </c>
    </row>
    <row r="4541" spans="1:3" x14ac:dyDescent="0.25">
      <c r="A4541" s="8" t="str">
        <f t="shared" si="213"/>
        <v/>
      </c>
      <c r="B4541" s="9" t="str">
        <f t="shared" si="214"/>
        <v/>
      </c>
      <c r="C4541" s="10" t="str">
        <f t="shared" si="215"/>
        <v/>
      </c>
    </row>
    <row r="4542" spans="1:3" x14ac:dyDescent="0.25">
      <c r="A4542" s="8" t="str">
        <f t="shared" si="213"/>
        <v/>
      </c>
      <c r="B4542" s="9" t="str">
        <f t="shared" si="214"/>
        <v/>
      </c>
      <c r="C4542" s="10" t="str">
        <f t="shared" si="215"/>
        <v/>
      </c>
    </row>
    <row r="4543" spans="1:3" x14ac:dyDescent="0.25">
      <c r="A4543" s="8" t="str">
        <f t="shared" si="213"/>
        <v/>
      </c>
      <c r="B4543" s="9" t="str">
        <f t="shared" si="214"/>
        <v/>
      </c>
      <c r="C4543" s="10" t="str">
        <f t="shared" si="215"/>
        <v/>
      </c>
    </row>
    <row r="4544" spans="1:3" x14ac:dyDescent="0.25">
      <c r="A4544" s="8" t="str">
        <f t="shared" si="213"/>
        <v/>
      </c>
      <c r="B4544" s="9" t="str">
        <f t="shared" si="214"/>
        <v/>
      </c>
      <c r="C4544" s="10" t="str">
        <f t="shared" si="215"/>
        <v/>
      </c>
    </row>
    <row r="4545" spans="1:3" x14ac:dyDescent="0.25">
      <c r="A4545" s="8" t="str">
        <f t="shared" si="213"/>
        <v/>
      </c>
      <c r="B4545" s="9" t="str">
        <f t="shared" si="214"/>
        <v/>
      </c>
      <c r="C4545" s="10" t="str">
        <f t="shared" si="215"/>
        <v/>
      </c>
    </row>
    <row r="4546" spans="1:3" x14ac:dyDescent="0.25">
      <c r="A4546" s="8" t="str">
        <f t="shared" si="213"/>
        <v/>
      </c>
      <c r="B4546" s="9" t="str">
        <f t="shared" si="214"/>
        <v/>
      </c>
      <c r="C4546" s="10" t="str">
        <f t="shared" si="215"/>
        <v/>
      </c>
    </row>
    <row r="4547" spans="1:3" x14ac:dyDescent="0.25">
      <c r="A4547" s="8" t="str">
        <f t="shared" si="213"/>
        <v/>
      </c>
      <c r="B4547" s="9" t="str">
        <f t="shared" si="214"/>
        <v/>
      </c>
      <c r="C4547" s="10" t="str">
        <f t="shared" si="215"/>
        <v/>
      </c>
    </row>
    <row r="4548" spans="1:3" x14ac:dyDescent="0.25">
      <c r="A4548" s="8" t="str">
        <f t="shared" si="213"/>
        <v/>
      </c>
      <c r="B4548" s="9" t="str">
        <f t="shared" si="214"/>
        <v/>
      </c>
      <c r="C4548" s="10" t="str">
        <f t="shared" si="215"/>
        <v/>
      </c>
    </row>
    <row r="4549" spans="1:3" x14ac:dyDescent="0.25">
      <c r="A4549" s="8" t="str">
        <f t="shared" si="213"/>
        <v/>
      </c>
      <c r="B4549" s="9" t="str">
        <f t="shared" si="214"/>
        <v/>
      </c>
      <c r="C4549" s="10" t="str">
        <f t="shared" si="215"/>
        <v/>
      </c>
    </row>
    <row r="4550" spans="1:3" x14ac:dyDescent="0.25">
      <c r="A4550" s="8" t="str">
        <f t="shared" si="213"/>
        <v/>
      </c>
      <c r="B4550" s="9" t="str">
        <f t="shared" si="214"/>
        <v/>
      </c>
      <c r="C4550" s="10" t="str">
        <f t="shared" si="215"/>
        <v/>
      </c>
    </row>
    <row r="4551" spans="1:3" x14ac:dyDescent="0.25">
      <c r="A4551" s="8" t="str">
        <f t="shared" si="213"/>
        <v/>
      </c>
      <c r="B4551" s="9" t="str">
        <f t="shared" si="214"/>
        <v/>
      </c>
      <c r="C4551" s="10" t="str">
        <f t="shared" si="215"/>
        <v/>
      </c>
    </row>
    <row r="4552" spans="1:3" x14ac:dyDescent="0.25">
      <c r="A4552" s="8" t="str">
        <f t="shared" si="213"/>
        <v/>
      </c>
      <c r="B4552" s="9" t="str">
        <f t="shared" si="214"/>
        <v/>
      </c>
      <c r="C4552" s="10" t="str">
        <f t="shared" si="215"/>
        <v/>
      </c>
    </row>
    <row r="4553" spans="1:3" x14ac:dyDescent="0.25">
      <c r="A4553" s="8" t="str">
        <f t="shared" si="213"/>
        <v/>
      </c>
      <c r="B4553" s="9" t="str">
        <f t="shared" si="214"/>
        <v/>
      </c>
      <c r="C4553" s="10" t="str">
        <f t="shared" si="215"/>
        <v/>
      </c>
    </row>
    <row r="4554" spans="1:3" x14ac:dyDescent="0.25">
      <c r="A4554" s="8" t="str">
        <f t="shared" si="213"/>
        <v/>
      </c>
      <c r="B4554" s="9" t="str">
        <f t="shared" si="214"/>
        <v/>
      </c>
      <c r="C4554" s="10" t="str">
        <f t="shared" si="215"/>
        <v/>
      </c>
    </row>
    <row r="4555" spans="1:3" x14ac:dyDescent="0.25">
      <c r="A4555" s="8" t="str">
        <f t="shared" si="213"/>
        <v/>
      </c>
      <c r="B4555" s="9" t="str">
        <f t="shared" si="214"/>
        <v/>
      </c>
      <c r="C4555" s="10" t="str">
        <f t="shared" si="215"/>
        <v/>
      </c>
    </row>
    <row r="4556" spans="1:3" x14ac:dyDescent="0.25">
      <c r="A4556" s="8" t="str">
        <f t="shared" si="213"/>
        <v/>
      </c>
      <c r="B4556" s="9" t="str">
        <f t="shared" si="214"/>
        <v/>
      </c>
      <c r="C4556" s="10" t="str">
        <f t="shared" si="215"/>
        <v/>
      </c>
    </row>
    <row r="4557" spans="1:3" x14ac:dyDescent="0.25">
      <c r="A4557" s="8" t="str">
        <f t="shared" si="213"/>
        <v/>
      </c>
      <c r="B4557" s="9" t="str">
        <f t="shared" si="214"/>
        <v/>
      </c>
      <c r="C4557" s="10" t="str">
        <f t="shared" si="215"/>
        <v/>
      </c>
    </row>
    <row r="4558" spans="1:3" x14ac:dyDescent="0.25">
      <c r="A4558" s="8" t="str">
        <f t="shared" si="213"/>
        <v/>
      </c>
      <c r="B4558" s="9" t="str">
        <f t="shared" si="214"/>
        <v/>
      </c>
      <c r="C4558" s="10" t="str">
        <f t="shared" si="215"/>
        <v/>
      </c>
    </row>
    <row r="4559" spans="1:3" x14ac:dyDescent="0.25">
      <c r="A4559" s="8" t="str">
        <f t="shared" si="213"/>
        <v/>
      </c>
      <c r="B4559" s="9" t="str">
        <f t="shared" si="214"/>
        <v/>
      </c>
      <c r="C4559" s="10" t="str">
        <f t="shared" si="215"/>
        <v/>
      </c>
    </row>
    <row r="4560" spans="1:3" x14ac:dyDescent="0.25">
      <c r="A4560" s="8" t="str">
        <f t="shared" si="213"/>
        <v/>
      </c>
      <c r="B4560" s="9" t="str">
        <f t="shared" si="214"/>
        <v/>
      </c>
      <c r="C4560" s="10" t="str">
        <f t="shared" si="215"/>
        <v/>
      </c>
    </row>
    <row r="4561" spans="1:3" x14ac:dyDescent="0.25">
      <c r="A4561" s="8" t="str">
        <f t="shared" si="213"/>
        <v/>
      </c>
      <c r="B4561" s="9" t="str">
        <f t="shared" si="214"/>
        <v/>
      </c>
      <c r="C4561" s="10" t="str">
        <f t="shared" si="215"/>
        <v/>
      </c>
    </row>
    <row r="4562" spans="1:3" x14ac:dyDescent="0.25">
      <c r="A4562" s="8" t="str">
        <f t="shared" si="213"/>
        <v/>
      </c>
      <c r="B4562" s="9" t="str">
        <f t="shared" si="214"/>
        <v/>
      </c>
      <c r="C4562" s="10" t="str">
        <f t="shared" si="215"/>
        <v/>
      </c>
    </row>
    <row r="4563" spans="1:3" x14ac:dyDescent="0.25">
      <c r="A4563" s="8" t="str">
        <f t="shared" si="213"/>
        <v/>
      </c>
      <c r="B4563" s="9" t="str">
        <f t="shared" si="214"/>
        <v/>
      </c>
      <c r="C4563" s="10" t="str">
        <f t="shared" si="215"/>
        <v/>
      </c>
    </row>
    <row r="4564" spans="1:3" x14ac:dyDescent="0.25">
      <c r="A4564" s="8" t="str">
        <f t="shared" si="213"/>
        <v/>
      </c>
      <c r="B4564" s="9" t="str">
        <f t="shared" si="214"/>
        <v/>
      </c>
      <c r="C4564" s="10" t="str">
        <f t="shared" si="215"/>
        <v/>
      </c>
    </row>
    <row r="4565" spans="1:3" x14ac:dyDescent="0.25">
      <c r="A4565" s="8" t="str">
        <f t="shared" si="213"/>
        <v/>
      </c>
      <c r="B4565" s="9" t="str">
        <f t="shared" si="214"/>
        <v/>
      </c>
      <c r="C4565" s="10" t="str">
        <f t="shared" si="215"/>
        <v/>
      </c>
    </row>
    <row r="4566" spans="1:3" x14ac:dyDescent="0.25">
      <c r="A4566" s="8" t="str">
        <f t="shared" si="213"/>
        <v/>
      </c>
      <c r="B4566" s="9" t="str">
        <f t="shared" si="214"/>
        <v/>
      </c>
      <c r="C4566" s="10" t="str">
        <f t="shared" si="215"/>
        <v/>
      </c>
    </row>
    <row r="4567" spans="1:3" x14ac:dyDescent="0.25">
      <c r="A4567" s="8" t="str">
        <f t="shared" si="213"/>
        <v/>
      </c>
      <c r="B4567" s="9" t="str">
        <f t="shared" si="214"/>
        <v/>
      </c>
      <c r="C4567" s="10" t="str">
        <f t="shared" si="215"/>
        <v/>
      </c>
    </row>
    <row r="4568" spans="1:3" x14ac:dyDescent="0.25">
      <c r="A4568" s="8" t="str">
        <f t="shared" si="213"/>
        <v/>
      </c>
      <c r="B4568" s="9" t="str">
        <f t="shared" si="214"/>
        <v/>
      </c>
      <c r="C4568" s="10" t="str">
        <f t="shared" si="215"/>
        <v/>
      </c>
    </row>
    <row r="4569" spans="1:3" x14ac:dyDescent="0.25">
      <c r="A4569" s="8" t="str">
        <f t="shared" si="213"/>
        <v/>
      </c>
      <c r="B4569" s="9" t="str">
        <f t="shared" si="214"/>
        <v/>
      </c>
      <c r="C4569" s="10" t="str">
        <f t="shared" si="215"/>
        <v/>
      </c>
    </row>
    <row r="4570" spans="1:3" x14ac:dyDescent="0.25">
      <c r="A4570" s="8" t="str">
        <f t="shared" si="213"/>
        <v/>
      </c>
      <c r="B4570" s="9" t="str">
        <f t="shared" si="214"/>
        <v/>
      </c>
      <c r="C4570" s="10" t="str">
        <f t="shared" si="215"/>
        <v/>
      </c>
    </row>
    <row r="4571" spans="1:3" x14ac:dyDescent="0.25">
      <c r="A4571" s="8" t="str">
        <f t="shared" si="213"/>
        <v/>
      </c>
      <c r="B4571" s="9" t="str">
        <f t="shared" si="214"/>
        <v/>
      </c>
      <c r="C4571" s="10" t="str">
        <f t="shared" si="215"/>
        <v/>
      </c>
    </row>
    <row r="4572" spans="1:3" x14ac:dyDescent="0.25">
      <c r="A4572" s="8" t="str">
        <f t="shared" si="213"/>
        <v/>
      </c>
      <c r="B4572" s="9" t="str">
        <f t="shared" si="214"/>
        <v/>
      </c>
      <c r="C4572" s="10" t="str">
        <f t="shared" si="215"/>
        <v/>
      </c>
    </row>
    <row r="4573" spans="1:3" x14ac:dyDescent="0.25">
      <c r="A4573" s="8" t="str">
        <f t="shared" si="213"/>
        <v/>
      </c>
      <c r="B4573" s="9" t="str">
        <f t="shared" si="214"/>
        <v/>
      </c>
      <c r="C4573" s="10" t="str">
        <f t="shared" si="215"/>
        <v/>
      </c>
    </row>
    <row r="4574" spans="1:3" x14ac:dyDescent="0.25">
      <c r="A4574" s="8" t="str">
        <f t="shared" si="213"/>
        <v/>
      </c>
      <c r="B4574" s="9" t="str">
        <f t="shared" si="214"/>
        <v/>
      </c>
      <c r="C4574" s="10" t="str">
        <f t="shared" si="215"/>
        <v/>
      </c>
    </row>
    <row r="4575" spans="1:3" x14ac:dyDescent="0.25">
      <c r="A4575" s="8" t="str">
        <f t="shared" si="213"/>
        <v/>
      </c>
      <c r="B4575" s="9" t="str">
        <f t="shared" si="214"/>
        <v/>
      </c>
      <c r="C4575" s="10" t="str">
        <f t="shared" si="215"/>
        <v/>
      </c>
    </row>
    <row r="4576" spans="1:3" x14ac:dyDescent="0.25">
      <c r="A4576" s="8" t="str">
        <f t="shared" si="213"/>
        <v/>
      </c>
      <c r="B4576" s="9" t="str">
        <f t="shared" si="214"/>
        <v/>
      </c>
      <c r="C4576" s="10" t="str">
        <f t="shared" si="215"/>
        <v/>
      </c>
    </row>
    <row r="4577" spans="1:3" x14ac:dyDescent="0.25">
      <c r="A4577" s="8" t="str">
        <f t="shared" si="213"/>
        <v/>
      </c>
      <c r="B4577" s="9" t="str">
        <f t="shared" si="214"/>
        <v/>
      </c>
      <c r="C4577" s="10" t="str">
        <f t="shared" si="215"/>
        <v/>
      </c>
    </row>
    <row r="4578" spans="1:3" x14ac:dyDescent="0.25">
      <c r="A4578" s="8" t="str">
        <f t="shared" si="213"/>
        <v/>
      </c>
      <c r="B4578" s="9" t="str">
        <f t="shared" si="214"/>
        <v/>
      </c>
      <c r="C4578" s="10" t="str">
        <f t="shared" si="215"/>
        <v/>
      </c>
    </row>
    <row r="4579" spans="1:3" x14ac:dyDescent="0.25">
      <c r="A4579" s="8" t="str">
        <f t="shared" si="213"/>
        <v/>
      </c>
      <c r="B4579" s="9" t="str">
        <f t="shared" si="214"/>
        <v/>
      </c>
      <c r="C4579" s="10" t="str">
        <f t="shared" si="215"/>
        <v/>
      </c>
    </row>
    <row r="4580" spans="1:3" x14ac:dyDescent="0.25">
      <c r="A4580" s="8" t="str">
        <f t="shared" si="213"/>
        <v/>
      </c>
      <c r="B4580" s="9" t="str">
        <f t="shared" si="214"/>
        <v/>
      </c>
      <c r="C4580" s="10" t="str">
        <f t="shared" si="215"/>
        <v/>
      </c>
    </row>
    <row r="4581" spans="1:3" x14ac:dyDescent="0.25">
      <c r="A4581" s="8" t="str">
        <f t="shared" si="213"/>
        <v/>
      </c>
      <c r="B4581" s="9" t="str">
        <f t="shared" si="214"/>
        <v/>
      </c>
      <c r="C4581" s="10" t="str">
        <f t="shared" si="215"/>
        <v/>
      </c>
    </row>
    <row r="4582" spans="1:3" x14ac:dyDescent="0.25">
      <c r="A4582" s="8" t="str">
        <f t="shared" si="213"/>
        <v/>
      </c>
      <c r="B4582" s="9" t="str">
        <f t="shared" si="214"/>
        <v/>
      </c>
      <c r="C4582" s="10" t="str">
        <f t="shared" si="215"/>
        <v/>
      </c>
    </row>
    <row r="4583" spans="1:3" x14ac:dyDescent="0.25">
      <c r="A4583" s="8" t="str">
        <f t="shared" ref="A4583:A4646" si="216">IF(D4583="","",IF(E4583=0,CONCATENATE(D4583,".",E4583,"00"),CONCATENATE(D4583,".",E4583)))</f>
        <v/>
      </c>
      <c r="B4583" s="9" t="str">
        <f t="shared" ref="B4583:B4646" si="217">LEFT(G4583,1)</f>
        <v/>
      </c>
      <c r="C4583" s="10" t="str">
        <f t="shared" ref="C4583:C4646" si="218">IF(F4583="","",IF(B4583="",F4583-4,IF(B4583="1",F4583-4,IF(B4583="2",F4583-3,IF(B4583="3",F4583-2,IF(B4583="4",F4583-1,IF(B4583="V",F4583-7,IF(B4583="J",F4583-8,F4583))))))))</f>
        <v/>
      </c>
    </row>
    <row r="4584" spans="1:3" x14ac:dyDescent="0.25">
      <c r="A4584" s="8" t="str">
        <f t="shared" si="216"/>
        <v/>
      </c>
      <c r="B4584" s="9" t="str">
        <f t="shared" si="217"/>
        <v/>
      </c>
      <c r="C4584" s="10" t="str">
        <f t="shared" si="218"/>
        <v/>
      </c>
    </row>
    <row r="4585" spans="1:3" x14ac:dyDescent="0.25">
      <c r="A4585" s="8" t="str">
        <f t="shared" si="216"/>
        <v/>
      </c>
      <c r="B4585" s="9" t="str">
        <f t="shared" si="217"/>
        <v/>
      </c>
      <c r="C4585" s="10" t="str">
        <f t="shared" si="218"/>
        <v/>
      </c>
    </row>
    <row r="4586" spans="1:3" x14ac:dyDescent="0.25">
      <c r="A4586" s="8" t="str">
        <f t="shared" si="216"/>
        <v/>
      </c>
      <c r="B4586" s="9" t="str">
        <f t="shared" si="217"/>
        <v/>
      </c>
      <c r="C4586" s="10" t="str">
        <f t="shared" si="218"/>
        <v/>
      </c>
    </row>
    <row r="4587" spans="1:3" x14ac:dyDescent="0.25">
      <c r="A4587" s="8" t="str">
        <f t="shared" si="216"/>
        <v/>
      </c>
      <c r="B4587" s="9" t="str">
        <f t="shared" si="217"/>
        <v/>
      </c>
      <c r="C4587" s="10" t="str">
        <f t="shared" si="218"/>
        <v/>
      </c>
    </row>
    <row r="4588" spans="1:3" x14ac:dyDescent="0.25">
      <c r="A4588" s="8" t="str">
        <f t="shared" si="216"/>
        <v/>
      </c>
      <c r="B4588" s="9" t="str">
        <f t="shared" si="217"/>
        <v/>
      </c>
      <c r="C4588" s="10" t="str">
        <f t="shared" si="218"/>
        <v/>
      </c>
    </row>
    <row r="4589" spans="1:3" x14ac:dyDescent="0.25">
      <c r="A4589" s="8" t="str">
        <f t="shared" si="216"/>
        <v/>
      </c>
      <c r="B4589" s="9" t="str">
        <f t="shared" si="217"/>
        <v/>
      </c>
      <c r="C4589" s="10" t="str">
        <f t="shared" si="218"/>
        <v/>
      </c>
    </row>
    <row r="4590" spans="1:3" x14ac:dyDescent="0.25">
      <c r="A4590" s="8" t="str">
        <f t="shared" si="216"/>
        <v/>
      </c>
      <c r="B4590" s="9" t="str">
        <f t="shared" si="217"/>
        <v/>
      </c>
      <c r="C4590" s="10" t="str">
        <f t="shared" si="218"/>
        <v/>
      </c>
    </row>
    <row r="4591" spans="1:3" x14ac:dyDescent="0.25">
      <c r="A4591" s="8" t="str">
        <f t="shared" si="216"/>
        <v/>
      </c>
      <c r="B4591" s="9" t="str">
        <f t="shared" si="217"/>
        <v/>
      </c>
      <c r="C4591" s="10" t="str">
        <f t="shared" si="218"/>
        <v/>
      </c>
    </row>
    <row r="4592" spans="1:3" x14ac:dyDescent="0.25">
      <c r="A4592" s="8" t="str">
        <f t="shared" si="216"/>
        <v/>
      </c>
      <c r="B4592" s="9" t="str">
        <f t="shared" si="217"/>
        <v/>
      </c>
      <c r="C4592" s="10" t="str">
        <f t="shared" si="218"/>
        <v/>
      </c>
    </row>
    <row r="4593" spans="1:3" x14ac:dyDescent="0.25">
      <c r="A4593" s="8" t="str">
        <f t="shared" si="216"/>
        <v/>
      </c>
      <c r="B4593" s="9" t="str">
        <f t="shared" si="217"/>
        <v/>
      </c>
      <c r="C4593" s="10" t="str">
        <f t="shared" si="218"/>
        <v/>
      </c>
    </row>
    <row r="4594" spans="1:3" x14ac:dyDescent="0.25">
      <c r="A4594" s="8" t="str">
        <f t="shared" si="216"/>
        <v/>
      </c>
      <c r="B4594" s="9" t="str">
        <f t="shared" si="217"/>
        <v/>
      </c>
      <c r="C4594" s="10" t="str">
        <f t="shared" si="218"/>
        <v/>
      </c>
    </row>
    <row r="4595" spans="1:3" x14ac:dyDescent="0.25">
      <c r="A4595" s="8" t="str">
        <f t="shared" si="216"/>
        <v/>
      </c>
      <c r="B4595" s="9" t="str">
        <f t="shared" si="217"/>
        <v/>
      </c>
      <c r="C4595" s="10" t="str">
        <f t="shared" si="218"/>
        <v/>
      </c>
    </row>
    <row r="4596" spans="1:3" x14ac:dyDescent="0.25">
      <c r="A4596" s="8" t="str">
        <f t="shared" si="216"/>
        <v/>
      </c>
      <c r="B4596" s="9" t="str">
        <f t="shared" si="217"/>
        <v/>
      </c>
      <c r="C4596" s="10" t="str">
        <f t="shared" si="218"/>
        <v/>
      </c>
    </row>
    <row r="4597" spans="1:3" x14ac:dyDescent="0.25">
      <c r="A4597" s="8" t="str">
        <f t="shared" si="216"/>
        <v/>
      </c>
      <c r="B4597" s="9" t="str">
        <f t="shared" si="217"/>
        <v/>
      </c>
      <c r="C4597" s="10" t="str">
        <f t="shared" si="218"/>
        <v/>
      </c>
    </row>
    <row r="4598" spans="1:3" x14ac:dyDescent="0.25">
      <c r="A4598" s="8" t="str">
        <f t="shared" si="216"/>
        <v/>
      </c>
      <c r="B4598" s="9" t="str">
        <f t="shared" si="217"/>
        <v/>
      </c>
      <c r="C4598" s="10" t="str">
        <f t="shared" si="218"/>
        <v/>
      </c>
    </row>
    <row r="4599" spans="1:3" x14ac:dyDescent="0.25">
      <c r="A4599" s="8" t="str">
        <f t="shared" si="216"/>
        <v/>
      </c>
      <c r="B4599" s="9" t="str">
        <f t="shared" si="217"/>
        <v/>
      </c>
      <c r="C4599" s="10" t="str">
        <f t="shared" si="218"/>
        <v/>
      </c>
    </row>
    <row r="4600" spans="1:3" x14ac:dyDescent="0.25">
      <c r="A4600" s="8" t="str">
        <f t="shared" si="216"/>
        <v/>
      </c>
      <c r="B4600" s="9" t="str">
        <f t="shared" si="217"/>
        <v/>
      </c>
      <c r="C4600" s="10" t="str">
        <f t="shared" si="218"/>
        <v/>
      </c>
    </row>
    <row r="4601" spans="1:3" x14ac:dyDescent="0.25">
      <c r="A4601" s="8" t="str">
        <f t="shared" si="216"/>
        <v/>
      </c>
      <c r="B4601" s="9" t="str">
        <f t="shared" si="217"/>
        <v/>
      </c>
      <c r="C4601" s="10" t="str">
        <f t="shared" si="218"/>
        <v/>
      </c>
    </row>
    <row r="4602" spans="1:3" x14ac:dyDescent="0.25">
      <c r="A4602" s="8" t="str">
        <f t="shared" si="216"/>
        <v/>
      </c>
      <c r="B4602" s="9" t="str">
        <f t="shared" si="217"/>
        <v/>
      </c>
      <c r="C4602" s="10" t="str">
        <f t="shared" si="218"/>
        <v/>
      </c>
    </row>
    <row r="4603" spans="1:3" x14ac:dyDescent="0.25">
      <c r="A4603" s="8" t="str">
        <f t="shared" si="216"/>
        <v/>
      </c>
      <c r="B4603" s="9" t="str">
        <f t="shared" si="217"/>
        <v/>
      </c>
      <c r="C4603" s="10" t="str">
        <f t="shared" si="218"/>
        <v/>
      </c>
    </row>
    <row r="4604" spans="1:3" x14ac:dyDescent="0.25">
      <c r="A4604" s="8" t="str">
        <f t="shared" si="216"/>
        <v/>
      </c>
      <c r="B4604" s="9" t="str">
        <f t="shared" si="217"/>
        <v/>
      </c>
      <c r="C4604" s="10" t="str">
        <f t="shared" si="218"/>
        <v/>
      </c>
    </row>
    <row r="4605" spans="1:3" x14ac:dyDescent="0.25">
      <c r="A4605" s="8" t="str">
        <f t="shared" si="216"/>
        <v/>
      </c>
      <c r="B4605" s="9" t="str">
        <f t="shared" si="217"/>
        <v/>
      </c>
      <c r="C4605" s="10" t="str">
        <f t="shared" si="218"/>
        <v/>
      </c>
    </row>
    <row r="4606" spans="1:3" x14ac:dyDescent="0.25">
      <c r="A4606" s="8" t="str">
        <f t="shared" si="216"/>
        <v/>
      </c>
      <c r="B4606" s="9" t="str">
        <f t="shared" si="217"/>
        <v/>
      </c>
      <c r="C4606" s="10" t="str">
        <f t="shared" si="218"/>
        <v/>
      </c>
    </row>
    <row r="4607" spans="1:3" x14ac:dyDescent="0.25">
      <c r="A4607" s="8" t="str">
        <f t="shared" si="216"/>
        <v/>
      </c>
      <c r="B4607" s="9" t="str">
        <f t="shared" si="217"/>
        <v/>
      </c>
      <c r="C4607" s="10" t="str">
        <f t="shared" si="218"/>
        <v/>
      </c>
    </row>
    <row r="4608" spans="1:3" x14ac:dyDescent="0.25">
      <c r="A4608" s="8" t="str">
        <f t="shared" si="216"/>
        <v/>
      </c>
      <c r="B4608" s="9" t="str">
        <f t="shared" si="217"/>
        <v/>
      </c>
      <c r="C4608" s="10" t="str">
        <f t="shared" si="218"/>
        <v/>
      </c>
    </row>
    <row r="4609" spans="1:3" x14ac:dyDescent="0.25">
      <c r="A4609" s="8" t="str">
        <f t="shared" si="216"/>
        <v/>
      </c>
      <c r="B4609" s="9" t="str">
        <f t="shared" si="217"/>
        <v/>
      </c>
      <c r="C4609" s="10" t="str">
        <f t="shared" si="218"/>
        <v/>
      </c>
    </row>
    <row r="4610" spans="1:3" x14ac:dyDescent="0.25">
      <c r="A4610" s="8" t="str">
        <f t="shared" si="216"/>
        <v/>
      </c>
      <c r="B4610" s="9" t="str">
        <f t="shared" si="217"/>
        <v/>
      </c>
      <c r="C4610" s="10" t="str">
        <f t="shared" si="218"/>
        <v/>
      </c>
    </row>
    <row r="4611" spans="1:3" x14ac:dyDescent="0.25">
      <c r="A4611" s="8" t="str">
        <f t="shared" si="216"/>
        <v/>
      </c>
      <c r="B4611" s="9" t="str">
        <f t="shared" si="217"/>
        <v/>
      </c>
      <c r="C4611" s="10" t="str">
        <f t="shared" si="218"/>
        <v/>
      </c>
    </row>
    <row r="4612" spans="1:3" x14ac:dyDescent="0.25">
      <c r="A4612" s="8" t="str">
        <f t="shared" si="216"/>
        <v/>
      </c>
      <c r="B4612" s="9" t="str">
        <f t="shared" si="217"/>
        <v/>
      </c>
      <c r="C4612" s="10" t="str">
        <f t="shared" si="218"/>
        <v/>
      </c>
    </row>
    <row r="4613" spans="1:3" x14ac:dyDescent="0.25">
      <c r="A4613" s="8" t="str">
        <f t="shared" si="216"/>
        <v/>
      </c>
      <c r="B4613" s="9" t="str">
        <f t="shared" si="217"/>
        <v/>
      </c>
      <c r="C4613" s="10" t="str">
        <f t="shared" si="218"/>
        <v/>
      </c>
    </row>
    <row r="4614" spans="1:3" x14ac:dyDescent="0.25">
      <c r="A4614" s="8" t="str">
        <f t="shared" si="216"/>
        <v/>
      </c>
      <c r="B4614" s="9" t="str">
        <f t="shared" si="217"/>
        <v/>
      </c>
      <c r="C4614" s="10" t="str">
        <f t="shared" si="218"/>
        <v/>
      </c>
    </row>
    <row r="4615" spans="1:3" x14ac:dyDescent="0.25">
      <c r="A4615" s="8" t="str">
        <f t="shared" si="216"/>
        <v/>
      </c>
      <c r="B4615" s="9" t="str">
        <f t="shared" si="217"/>
        <v/>
      </c>
      <c r="C4615" s="10" t="str">
        <f t="shared" si="218"/>
        <v/>
      </c>
    </row>
    <row r="4616" spans="1:3" x14ac:dyDescent="0.25">
      <c r="A4616" s="8" t="str">
        <f t="shared" si="216"/>
        <v/>
      </c>
      <c r="B4616" s="9" t="str">
        <f t="shared" si="217"/>
        <v/>
      </c>
      <c r="C4616" s="10" t="str">
        <f t="shared" si="218"/>
        <v/>
      </c>
    </row>
    <row r="4617" spans="1:3" x14ac:dyDescent="0.25">
      <c r="A4617" s="8" t="str">
        <f t="shared" si="216"/>
        <v/>
      </c>
      <c r="B4617" s="9" t="str">
        <f t="shared" si="217"/>
        <v/>
      </c>
      <c r="C4617" s="10" t="str">
        <f t="shared" si="218"/>
        <v/>
      </c>
    </row>
    <row r="4618" spans="1:3" x14ac:dyDescent="0.25">
      <c r="A4618" s="8" t="str">
        <f t="shared" si="216"/>
        <v/>
      </c>
      <c r="B4618" s="9" t="str">
        <f t="shared" si="217"/>
        <v/>
      </c>
      <c r="C4618" s="10" t="str">
        <f t="shared" si="218"/>
        <v/>
      </c>
    </row>
    <row r="4619" spans="1:3" x14ac:dyDescent="0.25">
      <c r="A4619" s="8" t="str">
        <f t="shared" si="216"/>
        <v/>
      </c>
      <c r="B4619" s="9" t="str">
        <f t="shared" si="217"/>
        <v/>
      </c>
      <c r="C4619" s="10" t="str">
        <f t="shared" si="218"/>
        <v/>
      </c>
    </row>
    <row r="4620" spans="1:3" x14ac:dyDescent="0.25">
      <c r="A4620" s="8" t="str">
        <f t="shared" si="216"/>
        <v/>
      </c>
      <c r="B4620" s="9" t="str">
        <f t="shared" si="217"/>
        <v/>
      </c>
      <c r="C4620" s="10" t="str">
        <f t="shared" si="218"/>
        <v/>
      </c>
    </row>
    <row r="4621" spans="1:3" x14ac:dyDescent="0.25">
      <c r="A4621" s="8" t="str">
        <f t="shared" si="216"/>
        <v/>
      </c>
      <c r="B4621" s="9" t="str">
        <f t="shared" si="217"/>
        <v/>
      </c>
      <c r="C4621" s="10" t="str">
        <f t="shared" si="218"/>
        <v/>
      </c>
    </row>
    <row r="4622" spans="1:3" x14ac:dyDescent="0.25">
      <c r="A4622" s="8" t="str">
        <f t="shared" si="216"/>
        <v/>
      </c>
      <c r="B4622" s="9" t="str">
        <f t="shared" si="217"/>
        <v/>
      </c>
      <c r="C4622" s="10" t="str">
        <f t="shared" si="218"/>
        <v/>
      </c>
    </row>
    <row r="4623" spans="1:3" x14ac:dyDescent="0.25">
      <c r="A4623" s="8" t="str">
        <f t="shared" si="216"/>
        <v/>
      </c>
      <c r="B4623" s="9" t="str">
        <f t="shared" si="217"/>
        <v/>
      </c>
      <c r="C4623" s="10" t="str">
        <f t="shared" si="218"/>
        <v/>
      </c>
    </row>
    <row r="4624" spans="1:3" x14ac:dyDescent="0.25">
      <c r="A4624" s="8" t="str">
        <f t="shared" si="216"/>
        <v/>
      </c>
      <c r="B4624" s="9" t="str">
        <f t="shared" si="217"/>
        <v/>
      </c>
      <c r="C4624" s="10" t="str">
        <f t="shared" si="218"/>
        <v/>
      </c>
    </row>
    <row r="4625" spans="1:3" x14ac:dyDescent="0.25">
      <c r="A4625" s="8" t="str">
        <f t="shared" si="216"/>
        <v/>
      </c>
      <c r="B4625" s="9" t="str">
        <f t="shared" si="217"/>
        <v/>
      </c>
      <c r="C4625" s="10" t="str">
        <f t="shared" si="218"/>
        <v/>
      </c>
    </row>
    <row r="4626" spans="1:3" x14ac:dyDescent="0.25">
      <c r="A4626" s="8" t="str">
        <f t="shared" si="216"/>
        <v/>
      </c>
      <c r="B4626" s="9" t="str">
        <f t="shared" si="217"/>
        <v/>
      </c>
      <c r="C4626" s="10" t="str">
        <f t="shared" si="218"/>
        <v/>
      </c>
    </row>
    <row r="4627" spans="1:3" x14ac:dyDescent="0.25">
      <c r="A4627" s="8" t="str">
        <f t="shared" si="216"/>
        <v/>
      </c>
      <c r="B4627" s="9" t="str">
        <f t="shared" si="217"/>
        <v/>
      </c>
      <c r="C4627" s="10" t="str">
        <f t="shared" si="218"/>
        <v/>
      </c>
    </row>
    <row r="4628" spans="1:3" x14ac:dyDescent="0.25">
      <c r="A4628" s="8" t="str">
        <f t="shared" si="216"/>
        <v/>
      </c>
      <c r="B4628" s="9" t="str">
        <f t="shared" si="217"/>
        <v/>
      </c>
      <c r="C4628" s="10" t="str">
        <f t="shared" si="218"/>
        <v/>
      </c>
    </row>
    <row r="4629" spans="1:3" x14ac:dyDescent="0.25">
      <c r="A4629" s="8" t="str">
        <f t="shared" si="216"/>
        <v/>
      </c>
      <c r="B4629" s="9" t="str">
        <f t="shared" si="217"/>
        <v/>
      </c>
      <c r="C4629" s="10" t="str">
        <f t="shared" si="218"/>
        <v/>
      </c>
    </row>
    <row r="4630" spans="1:3" x14ac:dyDescent="0.25">
      <c r="A4630" s="8" t="str">
        <f t="shared" si="216"/>
        <v/>
      </c>
      <c r="B4630" s="9" t="str">
        <f t="shared" si="217"/>
        <v/>
      </c>
      <c r="C4630" s="10" t="str">
        <f t="shared" si="218"/>
        <v/>
      </c>
    </row>
    <row r="4631" spans="1:3" x14ac:dyDescent="0.25">
      <c r="A4631" s="8" t="str">
        <f t="shared" si="216"/>
        <v/>
      </c>
      <c r="B4631" s="9" t="str">
        <f t="shared" si="217"/>
        <v/>
      </c>
      <c r="C4631" s="10" t="str">
        <f t="shared" si="218"/>
        <v/>
      </c>
    </row>
    <row r="4632" spans="1:3" x14ac:dyDescent="0.25">
      <c r="A4632" s="8" t="str">
        <f t="shared" si="216"/>
        <v/>
      </c>
      <c r="B4632" s="9" t="str">
        <f t="shared" si="217"/>
        <v/>
      </c>
      <c r="C4632" s="10" t="str">
        <f t="shared" si="218"/>
        <v/>
      </c>
    </row>
    <row r="4633" spans="1:3" x14ac:dyDescent="0.25">
      <c r="A4633" s="8" t="str">
        <f t="shared" si="216"/>
        <v/>
      </c>
      <c r="B4633" s="9" t="str">
        <f t="shared" si="217"/>
        <v/>
      </c>
      <c r="C4633" s="10" t="str">
        <f t="shared" si="218"/>
        <v/>
      </c>
    </row>
    <row r="4634" spans="1:3" x14ac:dyDescent="0.25">
      <c r="A4634" s="8" t="str">
        <f t="shared" si="216"/>
        <v/>
      </c>
      <c r="B4634" s="9" t="str">
        <f t="shared" si="217"/>
        <v/>
      </c>
      <c r="C4634" s="10" t="str">
        <f t="shared" si="218"/>
        <v/>
      </c>
    </row>
    <row r="4635" spans="1:3" x14ac:dyDescent="0.25">
      <c r="A4635" s="8" t="str">
        <f t="shared" si="216"/>
        <v/>
      </c>
      <c r="B4635" s="9" t="str">
        <f t="shared" si="217"/>
        <v/>
      </c>
      <c r="C4635" s="10" t="str">
        <f t="shared" si="218"/>
        <v/>
      </c>
    </row>
    <row r="4636" spans="1:3" x14ac:dyDescent="0.25">
      <c r="A4636" s="8" t="str">
        <f t="shared" si="216"/>
        <v/>
      </c>
      <c r="B4636" s="9" t="str">
        <f t="shared" si="217"/>
        <v/>
      </c>
      <c r="C4636" s="10" t="str">
        <f t="shared" si="218"/>
        <v/>
      </c>
    </row>
    <row r="4637" spans="1:3" x14ac:dyDescent="0.25">
      <c r="A4637" s="8" t="str">
        <f t="shared" si="216"/>
        <v/>
      </c>
      <c r="B4637" s="9" t="str">
        <f t="shared" si="217"/>
        <v/>
      </c>
      <c r="C4637" s="10" t="str">
        <f t="shared" si="218"/>
        <v/>
      </c>
    </row>
    <row r="4638" spans="1:3" x14ac:dyDescent="0.25">
      <c r="A4638" s="8" t="str">
        <f t="shared" si="216"/>
        <v/>
      </c>
      <c r="B4638" s="9" t="str">
        <f t="shared" si="217"/>
        <v/>
      </c>
      <c r="C4638" s="10" t="str">
        <f t="shared" si="218"/>
        <v/>
      </c>
    </row>
    <row r="4639" spans="1:3" x14ac:dyDescent="0.25">
      <c r="A4639" s="8" t="str">
        <f t="shared" si="216"/>
        <v/>
      </c>
      <c r="B4639" s="9" t="str">
        <f t="shared" si="217"/>
        <v/>
      </c>
      <c r="C4639" s="10" t="str">
        <f t="shared" si="218"/>
        <v/>
      </c>
    </row>
    <row r="4640" spans="1:3" x14ac:dyDescent="0.25">
      <c r="A4640" s="8" t="str">
        <f t="shared" si="216"/>
        <v/>
      </c>
      <c r="B4640" s="9" t="str">
        <f t="shared" si="217"/>
        <v/>
      </c>
      <c r="C4640" s="10" t="str">
        <f t="shared" si="218"/>
        <v/>
      </c>
    </row>
    <row r="4641" spans="1:3" x14ac:dyDescent="0.25">
      <c r="A4641" s="8" t="str">
        <f t="shared" si="216"/>
        <v/>
      </c>
      <c r="B4641" s="9" t="str">
        <f t="shared" si="217"/>
        <v/>
      </c>
      <c r="C4641" s="10" t="str">
        <f t="shared" si="218"/>
        <v/>
      </c>
    </row>
    <row r="4642" spans="1:3" x14ac:dyDescent="0.25">
      <c r="A4642" s="8" t="str">
        <f t="shared" si="216"/>
        <v/>
      </c>
      <c r="B4642" s="9" t="str">
        <f t="shared" si="217"/>
        <v/>
      </c>
      <c r="C4642" s="10" t="str">
        <f t="shared" si="218"/>
        <v/>
      </c>
    </row>
    <row r="4643" spans="1:3" x14ac:dyDescent="0.25">
      <c r="A4643" s="8" t="str">
        <f t="shared" si="216"/>
        <v/>
      </c>
      <c r="B4643" s="9" t="str">
        <f t="shared" si="217"/>
        <v/>
      </c>
      <c r="C4643" s="10" t="str">
        <f t="shared" si="218"/>
        <v/>
      </c>
    </row>
    <row r="4644" spans="1:3" x14ac:dyDescent="0.25">
      <c r="A4644" s="8" t="str">
        <f t="shared" si="216"/>
        <v/>
      </c>
      <c r="B4644" s="9" t="str">
        <f t="shared" si="217"/>
        <v/>
      </c>
      <c r="C4644" s="10" t="str">
        <f t="shared" si="218"/>
        <v/>
      </c>
    </row>
    <row r="4645" spans="1:3" x14ac:dyDescent="0.25">
      <c r="A4645" s="8" t="str">
        <f t="shared" si="216"/>
        <v/>
      </c>
      <c r="B4645" s="9" t="str">
        <f t="shared" si="217"/>
        <v/>
      </c>
      <c r="C4645" s="10" t="str">
        <f t="shared" si="218"/>
        <v/>
      </c>
    </row>
    <row r="4646" spans="1:3" x14ac:dyDescent="0.25">
      <c r="A4646" s="8" t="str">
        <f t="shared" si="216"/>
        <v/>
      </c>
      <c r="B4646" s="9" t="str">
        <f t="shared" si="217"/>
        <v/>
      </c>
      <c r="C4646" s="10" t="str">
        <f t="shared" si="218"/>
        <v/>
      </c>
    </row>
    <row r="4647" spans="1:3" x14ac:dyDescent="0.25">
      <c r="A4647" s="8" t="str">
        <f t="shared" ref="A4647:A4710" si="219">IF(D4647="","",IF(E4647=0,CONCATENATE(D4647,".",E4647,"00"),CONCATENATE(D4647,".",E4647)))</f>
        <v/>
      </c>
      <c r="B4647" s="9" t="str">
        <f t="shared" ref="B4647:B4710" si="220">LEFT(G4647,1)</f>
        <v/>
      </c>
      <c r="C4647" s="10" t="str">
        <f t="shared" ref="C4647:C4710" si="221">IF(F4647="","",IF(B4647="",F4647-4,IF(B4647="1",F4647-4,IF(B4647="2",F4647-3,IF(B4647="3",F4647-2,IF(B4647="4",F4647-1,IF(B4647="V",F4647-7,IF(B4647="J",F4647-8,F4647))))))))</f>
        <v/>
      </c>
    </row>
    <row r="4648" spans="1:3" x14ac:dyDescent="0.25">
      <c r="A4648" s="8" t="str">
        <f t="shared" si="219"/>
        <v/>
      </c>
      <c r="B4648" s="9" t="str">
        <f t="shared" si="220"/>
        <v/>
      </c>
      <c r="C4648" s="10" t="str">
        <f t="shared" si="221"/>
        <v/>
      </c>
    </row>
    <row r="4649" spans="1:3" x14ac:dyDescent="0.25">
      <c r="A4649" s="8" t="str">
        <f t="shared" si="219"/>
        <v/>
      </c>
      <c r="B4649" s="9" t="str">
        <f t="shared" si="220"/>
        <v/>
      </c>
      <c r="C4649" s="10" t="str">
        <f t="shared" si="221"/>
        <v/>
      </c>
    </row>
    <row r="4650" spans="1:3" x14ac:dyDescent="0.25">
      <c r="A4650" s="8" t="str">
        <f t="shared" si="219"/>
        <v/>
      </c>
      <c r="B4650" s="9" t="str">
        <f t="shared" si="220"/>
        <v/>
      </c>
      <c r="C4650" s="10" t="str">
        <f t="shared" si="221"/>
        <v/>
      </c>
    </row>
    <row r="4651" spans="1:3" x14ac:dyDescent="0.25">
      <c r="A4651" s="8" t="str">
        <f t="shared" si="219"/>
        <v/>
      </c>
      <c r="B4651" s="9" t="str">
        <f t="shared" si="220"/>
        <v/>
      </c>
      <c r="C4651" s="10" t="str">
        <f t="shared" si="221"/>
        <v/>
      </c>
    </row>
    <row r="4652" spans="1:3" x14ac:dyDescent="0.25">
      <c r="A4652" s="8" t="str">
        <f t="shared" si="219"/>
        <v/>
      </c>
      <c r="B4652" s="9" t="str">
        <f t="shared" si="220"/>
        <v/>
      </c>
      <c r="C4652" s="10" t="str">
        <f t="shared" si="221"/>
        <v/>
      </c>
    </row>
    <row r="4653" spans="1:3" x14ac:dyDescent="0.25">
      <c r="A4653" s="8" t="str">
        <f t="shared" si="219"/>
        <v/>
      </c>
      <c r="B4653" s="9" t="str">
        <f t="shared" si="220"/>
        <v/>
      </c>
      <c r="C4653" s="10" t="str">
        <f t="shared" si="221"/>
        <v/>
      </c>
    </row>
    <row r="4654" spans="1:3" x14ac:dyDescent="0.25">
      <c r="A4654" s="8" t="str">
        <f t="shared" si="219"/>
        <v/>
      </c>
      <c r="B4654" s="9" t="str">
        <f t="shared" si="220"/>
        <v/>
      </c>
      <c r="C4654" s="10" t="str">
        <f t="shared" si="221"/>
        <v/>
      </c>
    </row>
    <row r="4655" spans="1:3" x14ac:dyDescent="0.25">
      <c r="A4655" s="8" t="str">
        <f t="shared" si="219"/>
        <v/>
      </c>
      <c r="B4655" s="9" t="str">
        <f t="shared" si="220"/>
        <v/>
      </c>
      <c r="C4655" s="10" t="str">
        <f t="shared" si="221"/>
        <v/>
      </c>
    </row>
    <row r="4656" spans="1:3" x14ac:dyDescent="0.25">
      <c r="A4656" s="8" t="str">
        <f t="shared" si="219"/>
        <v/>
      </c>
      <c r="B4656" s="9" t="str">
        <f t="shared" si="220"/>
        <v/>
      </c>
      <c r="C4656" s="10" t="str">
        <f t="shared" si="221"/>
        <v/>
      </c>
    </row>
    <row r="4657" spans="1:3" x14ac:dyDescent="0.25">
      <c r="A4657" s="8" t="str">
        <f t="shared" si="219"/>
        <v/>
      </c>
      <c r="B4657" s="9" t="str">
        <f t="shared" si="220"/>
        <v/>
      </c>
      <c r="C4657" s="10" t="str">
        <f t="shared" si="221"/>
        <v/>
      </c>
    </row>
    <row r="4658" spans="1:3" x14ac:dyDescent="0.25">
      <c r="A4658" s="8" t="str">
        <f t="shared" si="219"/>
        <v/>
      </c>
      <c r="B4658" s="9" t="str">
        <f t="shared" si="220"/>
        <v/>
      </c>
      <c r="C4658" s="10" t="str">
        <f t="shared" si="221"/>
        <v/>
      </c>
    </row>
    <row r="4659" spans="1:3" x14ac:dyDescent="0.25">
      <c r="A4659" s="8" t="str">
        <f t="shared" si="219"/>
        <v/>
      </c>
      <c r="B4659" s="9" t="str">
        <f t="shared" si="220"/>
        <v/>
      </c>
      <c r="C4659" s="10" t="str">
        <f t="shared" si="221"/>
        <v/>
      </c>
    </row>
    <row r="4660" spans="1:3" x14ac:dyDescent="0.25">
      <c r="A4660" s="8" t="str">
        <f t="shared" si="219"/>
        <v/>
      </c>
      <c r="B4660" s="9" t="str">
        <f t="shared" si="220"/>
        <v/>
      </c>
      <c r="C4660" s="10" t="str">
        <f t="shared" si="221"/>
        <v/>
      </c>
    </row>
    <row r="4661" spans="1:3" x14ac:dyDescent="0.25">
      <c r="A4661" s="8" t="str">
        <f t="shared" si="219"/>
        <v/>
      </c>
      <c r="B4661" s="9" t="str">
        <f t="shared" si="220"/>
        <v/>
      </c>
      <c r="C4661" s="10" t="str">
        <f t="shared" si="221"/>
        <v/>
      </c>
    </row>
    <row r="4662" spans="1:3" x14ac:dyDescent="0.25">
      <c r="A4662" s="8" t="str">
        <f t="shared" si="219"/>
        <v/>
      </c>
      <c r="B4662" s="9" t="str">
        <f t="shared" si="220"/>
        <v/>
      </c>
      <c r="C4662" s="10" t="str">
        <f t="shared" si="221"/>
        <v/>
      </c>
    </row>
    <row r="4663" spans="1:3" x14ac:dyDescent="0.25">
      <c r="A4663" s="8" t="str">
        <f t="shared" si="219"/>
        <v/>
      </c>
      <c r="B4663" s="9" t="str">
        <f t="shared" si="220"/>
        <v/>
      </c>
      <c r="C4663" s="10" t="str">
        <f t="shared" si="221"/>
        <v/>
      </c>
    </row>
    <row r="4664" spans="1:3" x14ac:dyDescent="0.25">
      <c r="A4664" s="8" t="str">
        <f t="shared" si="219"/>
        <v/>
      </c>
      <c r="B4664" s="9" t="str">
        <f t="shared" si="220"/>
        <v/>
      </c>
      <c r="C4664" s="10" t="str">
        <f t="shared" si="221"/>
        <v/>
      </c>
    </row>
    <row r="4665" spans="1:3" x14ac:dyDescent="0.25">
      <c r="A4665" s="8" t="str">
        <f t="shared" si="219"/>
        <v/>
      </c>
      <c r="B4665" s="9" t="str">
        <f t="shared" si="220"/>
        <v/>
      </c>
      <c r="C4665" s="10" t="str">
        <f t="shared" si="221"/>
        <v/>
      </c>
    </row>
    <row r="4666" spans="1:3" x14ac:dyDescent="0.25">
      <c r="A4666" s="8" t="str">
        <f t="shared" si="219"/>
        <v/>
      </c>
      <c r="B4666" s="9" t="str">
        <f t="shared" si="220"/>
        <v/>
      </c>
      <c r="C4666" s="10" t="str">
        <f t="shared" si="221"/>
        <v/>
      </c>
    </row>
    <row r="4667" spans="1:3" x14ac:dyDescent="0.25">
      <c r="A4667" s="8" t="str">
        <f t="shared" si="219"/>
        <v/>
      </c>
      <c r="B4667" s="9" t="str">
        <f t="shared" si="220"/>
        <v/>
      </c>
      <c r="C4667" s="10" t="str">
        <f t="shared" si="221"/>
        <v/>
      </c>
    </row>
    <row r="4668" spans="1:3" x14ac:dyDescent="0.25">
      <c r="A4668" s="8" t="str">
        <f t="shared" si="219"/>
        <v/>
      </c>
      <c r="B4668" s="9" t="str">
        <f t="shared" si="220"/>
        <v/>
      </c>
      <c r="C4668" s="10" t="str">
        <f t="shared" si="221"/>
        <v/>
      </c>
    </row>
    <row r="4669" spans="1:3" x14ac:dyDescent="0.25">
      <c r="A4669" s="8" t="str">
        <f t="shared" si="219"/>
        <v/>
      </c>
      <c r="B4669" s="9" t="str">
        <f t="shared" si="220"/>
        <v/>
      </c>
      <c r="C4669" s="10" t="str">
        <f t="shared" si="221"/>
        <v/>
      </c>
    </row>
    <row r="4670" spans="1:3" x14ac:dyDescent="0.25">
      <c r="A4670" s="8" t="str">
        <f t="shared" si="219"/>
        <v/>
      </c>
      <c r="B4670" s="9" t="str">
        <f t="shared" si="220"/>
        <v/>
      </c>
      <c r="C4670" s="10" t="str">
        <f t="shared" si="221"/>
        <v/>
      </c>
    </row>
    <row r="4671" spans="1:3" x14ac:dyDescent="0.25">
      <c r="A4671" s="8" t="str">
        <f t="shared" si="219"/>
        <v/>
      </c>
      <c r="B4671" s="9" t="str">
        <f t="shared" si="220"/>
        <v/>
      </c>
      <c r="C4671" s="10" t="str">
        <f t="shared" si="221"/>
        <v/>
      </c>
    </row>
    <row r="4672" spans="1:3" x14ac:dyDescent="0.25">
      <c r="A4672" s="8" t="str">
        <f t="shared" si="219"/>
        <v/>
      </c>
      <c r="B4672" s="9" t="str">
        <f t="shared" si="220"/>
        <v/>
      </c>
      <c r="C4672" s="10" t="str">
        <f t="shared" si="221"/>
        <v/>
      </c>
    </row>
    <row r="4673" spans="1:3" x14ac:dyDescent="0.25">
      <c r="A4673" s="8" t="str">
        <f t="shared" si="219"/>
        <v/>
      </c>
      <c r="B4673" s="9" t="str">
        <f t="shared" si="220"/>
        <v/>
      </c>
      <c r="C4673" s="10" t="str">
        <f t="shared" si="221"/>
        <v/>
      </c>
    </row>
    <row r="4674" spans="1:3" x14ac:dyDescent="0.25">
      <c r="A4674" s="8" t="str">
        <f t="shared" si="219"/>
        <v/>
      </c>
      <c r="B4674" s="9" t="str">
        <f t="shared" si="220"/>
        <v/>
      </c>
      <c r="C4674" s="10" t="str">
        <f t="shared" si="221"/>
        <v/>
      </c>
    </row>
    <row r="4675" spans="1:3" x14ac:dyDescent="0.25">
      <c r="A4675" s="8" t="str">
        <f t="shared" si="219"/>
        <v/>
      </c>
      <c r="B4675" s="9" t="str">
        <f t="shared" si="220"/>
        <v/>
      </c>
      <c r="C4675" s="10" t="str">
        <f t="shared" si="221"/>
        <v/>
      </c>
    </row>
    <row r="4676" spans="1:3" x14ac:dyDescent="0.25">
      <c r="A4676" s="8" t="str">
        <f t="shared" si="219"/>
        <v/>
      </c>
      <c r="B4676" s="9" t="str">
        <f t="shared" si="220"/>
        <v/>
      </c>
      <c r="C4676" s="10" t="str">
        <f t="shared" si="221"/>
        <v/>
      </c>
    </row>
    <row r="4677" spans="1:3" x14ac:dyDescent="0.25">
      <c r="A4677" s="8" t="str">
        <f t="shared" si="219"/>
        <v/>
      </c>
      <c r="B4677" s="9" t="str">
        <f t="shared" si="220"/>
        <v/>
      </c>
      <c r="C4677" s="10" t="str">
        <f t="shared" si="221"/>
        <v/>
      </c>
    </row>
    <row r="4678" spans="1:3" x14ac:dyDescent="0.25">
      <c r="A4678" s="8" t="str">
        <f t="shared" si="219"/>
        <v/>
      </c>
      <c r="B4678" s="9" t="str">
        <f t="shared" si="220"/>
        <v/>
      </c>
      <c r="C4678" s="10" t="str">
        <f t="shared" si="221"/>
        <v/>
      </c>
    </row>
    <row r="4679" spans="1:3" x14ac:dyDescent="0.25">
      <c r="A4679" s="8" t="str">
        <f t="shared" si="219"/>
        <v/>
      </c>
      <c r="B4679" s="9" t="str">
        <f t="shared" si="220"/>
        <v/>
      </c>
      <c r="C4679" s="10" t="str">
        <f t="shared" si="221"/>
        <v/>
      </c>
    </row>
    <row r="4680" spans="1:3" x14ac:dyDescent="0.25">
      <c r="A4680" s="8" t="str">
        <f t="shared" si="219"/>
        <v/>
      </c>
      <c r="B4680" s="9" t="str">
        <f t="shared" si="220"/>
        <v/>
      </c>
      <c r="C4680" s="10" t="str">
        <f t="shared" si="221"/>
        <v/>
      </c>
    </row>
    <row r="4681" spans="1:3" x14ac:dyDescent="0.25">
      <c r="A4681" s="8" t="str">
        <f t="shared" si="219"/>
        <v/>
      </c>
      <c r="B4681" s="9" t="str">
        <f t="shared" si="220"/>
        <v/>
      </c>
      <c r="C4681" s="10" t="str">
        <f t="shared" si="221"/>
        <v/>
      </c>
    </row>
    <row r="4682" spans="1:3" x14ac:dyDescent="0.25">
      <c r="A4682" s="8" t="str">
        <f t="shared" si="219"/>
        <v/>
      </c>
      <c r="B4682" s="9" t="str">
        <f t="shared" si="220"/>
        <v/>
      </c>
      <c r="C4682" s="10" t="str">
        <f t="shared" si="221"/>
        <v/>
      </c>
    </row>
    <row r="4683" spans="1:3" x14ac:dyDescent="0.25">
      <c r="A4683" s="8" t="str">
        <f t="shared" si="219"/>
        <v/>
      </c>
      <c r="B4683" s="9" t="str">
        <f t="shared" si="220"/>
        <v/>
      </c>
      <c r="C4683" s="10" t="str">
        <f t="shared" si="221"/>
        <v/>
      </c>
    </row>
    <row r="4684" spans="1:3" x14ac:dyDescent="0.25">
      <c r="A4684" s="8" t="str">
        <f t="shared" si="219"/>
        <v/>
      </c>
      <c r="B4684" s="9" t="str">
        <f t="shared" si="220"/>
        <v/>
      </c>
      <c r="C4684" s="10" t="str">
        <f t="shared" si="221"/>
        <v/>
      </c>
    </row>
    <row r="4685" spans="1:3" x14ac:dyDescent="0.25">
      <c r="A4685" s="8" t="str">
        <f t="shared" si="219"/>
        <v/>
      </c>
      <c r="B4685" s="9" t="str">
        <f t="shared" si="220"/>
        <v/>
      </c>
      <c r="C4685" s="10" t="str">
        <f t="shared" si="221"/>
        <v/>
      </c>
    </row>
    <row r="4686" spans="1:3" x14ac:dyDescent="0.25">
      <c r="A4686" s="8" t="str">
        <f t="shared" si="219"/>
        <v/>
      </c>
      <c r="B4686" s="9" t="str">
        <f t="shared" si="220"/>
        <v/>
      </c>
      <c r="C4686" s="10" t="str">
        <f t="shared" si="221"/>
        <v/>
      </c>
    </row>
    <row r="4687" spans="1:3" x14ac:dyDescent="0.25">
      <c r="A4687" s="8" t="str">
        <f t="shared" si="219"/>
        <v/>
      </c>
      <c r="B4687" s="9" t="str">
        <f t="shared" si="220"/>
        <v/>
      </c>
      <c r="C4687" s="10" t="str">
        <f t="shared" si="221"/>
        <v/>
      </c>
    </row>
    <row r="4688" spans="1:3" x14ac:dyDescent="0.25">
      <c r="A4688" s="8" t="str">
        <f t="shared" si="219"/>
        <v/>
      </c>
      <c r="B4688" s="9" t="str">
        <f t="shared" si="220"/>
        <v/>
      </c>
      <c r="C4688" s="10" t="str">
        <f t="shared" si="221"/>
        <v/>
      </c>
    </row>
    <row r="4689" spans="1:3" x14ac:dyDescent="0.25">
      <c r="A4689" s="8" t="str">
        <f t="shared" si="219"/>
        <v/>
      </c>
      <c r="B4689" s="9" t="str">
        <f t="shared" si="220"/>
        <v/>
      </c>
      <c r="C4689" s="10" t="str">
        <f t="shared" si="221"/>
        <v/>
      </c>
    </row>
    <row r="4690" spans="1:3" x14ac:dyDescent="0.25">
      <c r="A4690" s="8" t="str">
        <f t="shared" si="219"/>
        <v/>
      </c>
      <c r="B4690" s="9" t="str">
        <f t="shared" si="220"/>
        <v/>
      </c>
      <c r="C4690" s="10" t="str">
        <f t="shared" si="221"/>
        <v/>
      </c>
    </row>
    <row r="4691" spans="1:3" x14ac:dyDescent="0.25">
      <c r="A4691" s="8" t="str">
        <f t="shared" si="219"/>
        <v/>
      </c>
      <c r="B4691" s="9" t="str">
        <f t="shared" si="220"/>
        <v/>
      </c>
      <c r="C4691" s="10" t="str">
        <f t="shared" si="221"/>
        <v/>
      </c>
    </row>
    <row r="4692" spans="1:3" x14ac:dyDescent="0.25">
      <c r="A4692" s="8" t="str">
        <f t="shared" si="219"/>
        <v/>
      </c>
      <c r="B4692" s="9" t="str">
        <f t="shared" si="220"/>
        <v/>
      </c>
      <c r="C4692" s="10" t="str">
        <f t="shared" si="221"/>
        <v/>
      </c>
    </row>
    <row r="4693" spans="1:3" x14ac:dyDescent="0.25">
      <c r="A4693" s="8" t="str">
        <f t="shared" si="219"/>
        <v/>
      </c>
      <c r="B4693" s="9" t="str">
        <f t="shared" si="220"/>
        <v/>
      </c>
      <c r="C4693" s="10" t="str">
        <f t="shared" si="221"/>
        <v/>
      </c>
    </row>
    <row r="4694" spans="1:3" x14ac:dyDescent="0.25">
      <c r="A4694" s="8" t="str">
        <f t="shared" si="219"/>
        <v/>
      </c>
      <c r="B4694" s="9" t="str">
        <f t="shared" si="220"/>
        <v/>
      </c>
      <c r="C4694" s="10" t="str">
        <f t="shared" si="221"/>
        <v/>
      </c>
    </row>
    <row r="4695" spans="1:3" x14ac:dyDescent="0.25">
      <c r="A4695" s="8" t="str">
        <f t="shared" si="219"/>
        <v/>
      </c>
      <c r="B4695" s="9" t="str">
        <f t="shared" si="220"/>
        <v/>
      </c>
      <c r="C4695" s="10" t="str">
        <f t="shared" si="221"/>
        <v/>
      </c>
    </row>
    <row r="4696" spans="1:3" x14ac:dyDescent="0.25">
      <c r="A4696" s="8" t="str">
        <f t="shared" si="219"/>
        <v/>
      </c>
      <c r="B4696" s="9" t="str">
        <f t="shared" si="220"/>
        <v/>
      </c>
      <c r="C4696" s="10" t="str">
        <f t="shared" si="221"/>
        <v/>
      </c>
    </row>
    <row r="4697" spans="1:3" x14ac:dyDescent="0.25">
      <c r="A4697" s="8" t="str">
        <f t="shared" si="219"/>
        <v/>
      </c>
      <c r="B4697" s="9" t="str">
        <f t="shared" si="220"/>
        <v/>
      </c>
      <c r="C4697" s="10" t="str">
        <f t="shared" si="221"/>
        <v/>
      </c>
    </row>
    <row r="4698" spans="1:3" x14ac:dyDescent="0.25">
      <c r="A4698" s="8" t="str">
        <f t="shared" si="219"/>
        <v/>
      </c>
      <c r="B4698" s="9" t="str">
        <f t="shared" si="220"/>
        <v/>
      </c>
      <c r="C4698" s="10" t="str">
        <f t="shared" si="221"/>
        <v/>
      </c>
    </row>
    <row r="4699" spans="1:3" x14ac:dyDescent="0.25">
      <c r="A4699" s="8" t="str">
        <f t="shared" si="219"/>
        <v/>
      </c>
      <c r="B4699" s="9" t="str">
        <f t="shared" si="220"/>
        <v/>
      </c>
      <c r="C4699" s="10" t="str">
        <f t="shared" si="221"/>
        <v/>
      </c>
    </row>
    <row r="4700" spans="1:3" x14ac:dyDescent="0.25">
      <c r="A4700" s="8" t="str">
        <f t="shared" si="219"/>
        <v/>
      </c>
      <c r="B4700" s="9" t="str">
        <f t="shared" si="220"/>
        <v/>
      </c>
      <c r="C4700" s="10" t="str">
        <f t="shared" si="221"/>
        <v/>
      </c>
    </row>
    <row r="4701" spans="1:3" x14ac:dyDescent="0.25">
      <c r="A4701" s="8" t="str">
        <f t="shared" si="219"/>
        <v/>
      </c>
      <c r="B4701" s="9" t="str">
        <f t="shared" si="220"/>
        <v/>
      </c>
      <c r="C4701" s="10" t="str">
        <f t="shared" si="221"/>
        <v/>
      </c>
    </row>
    <row r="4702" spans="1:3" x14ac:dyDescent="0.25">
      <c r="A4702" s="8" t="str">
        <f t="shared" si="219"/>
        <v/>
      </c>
      <c r="B4702" s="9" t="str">
        <f t="shared" si="220"/>
        <v/>
      </c>
      <c r="C4702" s="10" t="str">
        <f t="shared" si="221"/>
        <v/>
      </c>
    </row>
    <row r="4703" spans="1:3" x14ac:dyDescent="0.25">
      <c r="A4703" s="8" t="str">
        <f t="shared" si="219"/>
        <v/>
      </c>
      <c r="B4703" s="9" t="str">
        <f t="shared" si="220"/>
        <v/>
      </c>
      <c r="C4703" s="10" t="str">
        <f t="shared" si="221"/>
        <v/>
      </c>
    </row>
    <row r="4704" spans="1:3" x14ac:dyDescent="0.25">
      <c r="A4704" s="8" t="str">
        <f t="shared" si="219"/>
        <v/>
      </c>
      <c r="B4704" s="9" t="str">
        <f t="shared" si="220"/>
        <v/>
      </c>
      <c r="C4704" s="10" t="str">
        <f t="shared" si="221"/>
        <v/>
      </c>
    </row>
    <row r="4705" spans="1:3" x14ac:dyDescent="0.25">
      <c r="A4705" s="8" t="str">
        <f t="shared" si="219"/>
        <v/>
      </c>
      <c r="B4705" s="9" t="str">
        <f t="shared" si="220"/>
        <v/>
      </c>
      <c r="C4705" s="10" t="str">
        <f t="shared" si="221"/>
        <v/>
      </c>
    </row>
    <row r="4706" spans="1:3" x14ac:dyDescent="0.25">
      <c r="A4706" s="8" t="str">
        <f t="shared" si="219"/>
        <v/>
      </c>
      <c r="B4706" s="9" t="str">
        <f t="shared" si="220"/>
        <v/>
      </c>
      <c r="C4706" s="10" t="str">
        <f t="shared" si="221"/>
        <v/>
      </c>
    </row>
    <row r="4707" spans="1:3" x14ac:dyDescent="0.25">
      <c r="A4707" s="8" t="str">
        <f t="shared" si="219"/>
        <v/>
      </c>
      <c r="B4707" s="9" t="str">
        <f t="shared" si="220"/>
        <v/>
      </c>
      <c r="C4707" s="10" t="str">
        <f t="shared" si="221"/>
        <v/>
      </c>
    </row>
    <row r="4708" spans="1:3" x14ac:dyDescent="0.25">
      <c r="A4708" s="8" t="str">
        <f t="shared" si="219"/>
        <v/>
      </c>
      <c r="B4708" s="9" t="str">
        <f t="shared" si="220"/>
        <v/>
      </c>
      <c r="C4708" s="10" t="str">
        <f t="shared" si="221"/>
        <v/>
      </c>
    </row>
    <row r="4709" spans="1:3" x14ac:dyDescent="0.25">
      <c r="A4709" s="8" t="str">
        <f t="shared" si="219"/>
        <v/>
      </c>
      <c r="B4709" s="9" t="str">
        <f t="shared" si="220"/>
        <v/>
      </c>
      <c r="C4709" s="10" t="str">
        <f t="shared" si="221"/>
        <v/>
      </c>
    </row>
    <row r="4710" spans="1:3" x14ac:dyDescent="0.25">
      <c r="A4710" s="8" t="str">
        <f t="shared" si="219"/>
        <v/>
      </c>
      <c r="B4710" s="9" t="str">
        <f t="shared" si="220"/>
        <v/>
      </c>
      <c r="C4710" s="10" t="str">
        <f t="shared" si="221"/>
        <v/>
      </c>
    </row>
    <row r="4711" spans="1:3" x14ac:dyDescent="0.25">
      <c r="A4711" s="8" t="str">
        <f t="shared" ref="A4711:A4774" si="222">IF(D4711="","",IF(E4711=0,CONCATENATE(D4711,".",E4711,"00"),CONCATENATE(D4711,".",E4711)))</f>
        <v/>
      </c>
      <c r="B4711" s="9" t="str">
        <f t="shared" ref="B4711:B4774" si="223">LEFT(G4711,1)</f>
        <v/>
      </c>
      <c r="C4711" s="10" t="str">
        <f t="shared" ref="C4711:C4774" si="224">IF(F4711="","",IF(B4711="",F4711-4,IF(B4711="1",F4711-4,IF(B4711="2",F4711-3,IF(B4711="3",F4711-2,IF(B4711="4",F4711-1,IF(B4711="V",F4711-7,IF(B4711="J",F4711-8,F4711))))))))</f>
        <v/>
      </c>
    </row>
    <row r="4712" spans="1:3" x14ac:dyDescent="0.25">
      <c r="A4712" s="8" t="str">
        <f t="shared" si="222"/>
        <v/>
      </c>
      <c r="B4712" s="9" t="str">
        <f t="shared" si="223"/>
        <v/>
      </c>
      <c r="C4712" s="10" t="str">
        <f t="shared" si="224"/>
        <v/>
      </c>
    </row>
    <row r="4713" spans="1:3" x14ac:dyDescent="0.25">
      <c r="A4713" s="8" t="str">
        <f t="shared" si="222"/>
        <v/>
      </c>
      <c r="B4713" s="9" t="str">
        <f t="shared" si="223"/>
        <v/>
      </c>
      <c r="C4713" s="10" t="str">
        <f t="shared" si="224"/>
        <v/>
      </c>
    </row>
    <row r="4714" spans="1:3" x14ac:dyDescent="0.25">
      <c r="A4714" s="8" t="str">
        <f t="shared" si="222"/>
        <v/>
      </c>
      <c r="B4714" s="9" t="str">
        <f t="shared" si="223"/>
        <v/>
      </c>
      <c r="C4714" s="10" t="str">
        <f t="shared" si="224"/>
        <v/>
      </c>
    </row>
    <row r="4715" spans="1:3" x14ac:dyDescent="0.25">
      <c r="A4715" s="8" t="str">
        <f t="shared" si="222"/>
        <v/>
      </c>
      <c r="B4715" s="9" t="str">
        <f t="shared" si="223"/>
        <v/>
      </c>
      <c r="C4715" s="10" t="str">
        <f t="shared" si="224"/>
        <v/>
      </c>
    </row>
    <row r="4716" spans="1:3" x14ac:dyDescent="0.25">
      <c r="A4716" s="8" t="str">
        <f t="shared" si="222"/>
        <v/>
      </c>
      <c r="B4716" s="9" t="str">
        <f t="shared" si="223"/>
        <v/>
      </c>
      <c r="C4716" s="10" t="str">
        <f t="shared" si="224"/>
        <v/>
      </c>
    </row>
    <row r="4717" spans="1:3" x14ac:dyDescent="0.25">
      <c r="A4717" s="8" t="str">
        <f t="shared" si="222"/>
        <v/>
      </c>
      <c r="B4717" s="9" t="str">
        <f t="shared" si="223"/>
        <v/>
      </c>
      <c r="C4717" s="10" t="str">
        <f t="shared" si="224"/>
        <v/>
      </c>
    </row>
    <row r="4718" spans="1:3" x14ac:dyDescent="0.25">
      <c r="A4718" s="8" t="str">
        <f t="shared" si="222"/>
        <v/>
      </c>
      <c r="B4718" s="9" t="str">
        <f t="shared" si="223"/>
        <v/>
      </c>
      <c r="C4718" s="10" t="str">
        <f t="shared" si="224"/>
        <v/>
      </c>
    </row>
    <row r="4719" spans="1:3" x14ac:dyDescent="0.25">
      <c r="A4719" s="8" t="str">
        <f t="shared" si="222"/>
        <v/>
      </c>
      <c r="B4719" s="9" t="str">
        <f t="shared" si="223"/>
        <v/>
      </c>
      <c r="C4719" s="10" t="str">
        <f t="shared" si="224"/>
        <v/>
      </c>
    </row>
    <row r="4720" spans="1:3" x14ac:dyDescent="0.25">
      <c r="A4720" s="8" t="str">
        <f t="shared" si="222"/>
        <v/>
      </c>
      <c r="B4720" s="9" t="str">
        <f t="shared" si="223"/>
        <v/>
      </c>
      <c r="C4720" s="10" t="str">
        <f t="shared" si="224"/>
        <v/>
      </c>
    </row>
    <row r="4721" spans="1:3" x14ac:dyDescent="0.25">
      <c r="A4721" s="8" t="str">
        <f t="shared" si="222"/>
        <v/>
      </c>
      <c r="B4721" s="9" t="str">
        <f t="shared" si="223"/>
        <v/>
      </c>
      <c r="C4721" s="10" t="str">
        <f t="shared" si="224"/>
        <v/>
      </c>
    </row>
    <row r="4722" spans="1:3" x14ac:dyDescent="0.25">
      <c r="A4722" s="8" t="str">
        <f t="shared" si="222"/>
        <v/>
      </c>
      <c r="B4722" s="9" t="str">
        <f t="shared" si="223"/>
        <v/>
      </c>
      <c r="C4722" s="10" t="str">
        <f t="shared" si="224"/>
        <v/>
      </c>
    </row>
    <row r="4723" spans="1:3" x14ac:dyDescent="0.25">
      <c r="A4723" s="8" t="str">
        <f t="shared" si="222"/>
        <v/>
      </c>
      <c r="B4723" s="9" t="str">
        <f t="shared" si="223"/>
        <v/>
      </c>
      <c r="C4723" s="10" t="str">
        <f t="shared" si="224"/>
        <v/>
      </c>
    </row>
    <row r="4724" spans="1:3" x14ac:dyDescent="0.25">
      <c r="A4724" s="8" t="str">
        <f t="shared" si="222"/>
        <v/>
      </c>
      <c r="B4724" s="9" t="str">
        <f t="shared" si="223"/>
        <v/>
      </c>
      <c r="C4724" s="10" t="str">
        <f t="shared" si="224"/>
        <v/>
      </c>
    </row>
    <row r="4725" spans="1:3" x14ac:dyDescent="0.25">
      <c r="A4725" s="8" t="str">
        <f t="shared" si="222"/>
        <v/>
      </c>
      <c r="B4725" s="9" t="str">
        <f t="shared" si="223"/>
        <v/>
      </c>
      <c r="C4725" s="10" t="str">
        <f t="shared" si="224"/>
        <v/>
      </c>
    </row>
    <row r="4726" spans="1:3" x14ac:dyDescent="0.25">
      <c r="A4726" s="8" t="str">
        <f t="shared" si="222"/>
        <v/>
      </c>
      <c r="B4726" s="9" t="str">
        <f t="shared" si="223"/>
        <v/>
      </c>
      <c r="C4726" s="10" t="str">
        <f t="shared" si="224"/>
        <v/>
      </c>
    </row>
    <row r="4727" spans="1:3" x14ac:dyDescent="0.25">
      <c r="A4727" s="8" t="str">
        <f t="shared" si="222"/>
        <v/>
      </c>
      <c r="B4727" s="9" t="str">
        <f t="shared" si="223"/>
        <v/>
      </c>
      <c r="C4727" s="10" t="str">
        <f t="shared" si="224"/>
        <v/>
      </c>
    </row>
    <row r="4728" spans="1:3" x14ac:dyDescent="0.25">
      <c r="A4728" s="8" t="str">
        <f t="shared" si="222"/>
        <v/>
      </c>
      <c r="B4728" s="9" t="str">
        <f t="shared" si="223"/>
        <v/>
      </c>
      <c r="C4728" s="10" t="str">
        <f t="shared" si="224"/>
        <v/>
      </c>
    </row>
    <row r="4729" spans="1:3" x14ac:dyDescent="0.25">
      <c r="A4729" s="8" t="str">
        <f t="shared" si="222"/>
        <v/>
      </c>
      <c r="B4729" s="9" t="str">
        <f t="shared" si="223"/>
        <v/>
      </c>
      <c r="C4729" s="10" t="str">
        <f t="shared" si="224"/>
        <v/>
      </c>
    </row>
    <row r="4730" spans="1:3" x14ac:dyDescent="0.25">
      <c r="A4730" s="8" t="str">
        <f t="shared" si="222"/>
        <v/>
      </c>
      <c r="B4730" s="9" t="str">
        <f t="shared" si="223"/>
        <v/>
      </c>
      <c r="C4730" s="10" t="str">
        <f t="shared" si="224"/>
        <v/>
      </c>
    </row>
    <row r="4731" spans="1:3" x14ac:dyDescent="0.25">
      <c r="A4731" s="8" t="str">
        <f t="shared" si="222"/>
        <v/>
      </c>
      <c r="B4731" s="9" t="str">
        <f t="shared" si="223"/>
        <v/>
      </c>
      <c r="C4731" s="10" t="str">
        <f t="shared" si="224"/>
        <v/>
      </c>
    </row>
    <row r="4732" spans="1:3" x14ac:dyDescent="0.25">
      <c r="A4732" s="8" t="str">
        <f t="shared" si="222"/>
        <v/>
      </c>
      <c r="B4732" s="9" t="str">
        <f t="shared" si="223"/>
        <v/>
      </c>
      <c r="C4732" s="10" t="str">
        <f t="shared" si="224"/>
        <v/>
      </c>
    </row>
    <row r="4733" spans="1:3" x14ac:dyDescent="0.25">
      <c r="A4733" s="8" t="str">
        <f t="shared" si="222"/>
        <v/>
      </c>
      <c r="B4733" s="9" t="str">
        <f t="shared" si="223"/>
        <v/>
      </c>
      <c r="C4733" s="10" t="str">
        <f t="shared" si="224"/>
        <v/>
      </c>
    </row>
    <row r="4734" spans="1:3" x14ac:dyDescent="0.25">
      <c r="A4734" s="8" t="str">
        <f t="shared" si="222"/>
        <v/>
      </c>
      <c r="B4734" s="9" t="str">
        <f t="shared" si="223"/>
        <v/>
      </c>
      <c r="C4734" s="10" t="str">
        <f t="shared" si="224"/>
        <v/>
      </c>
    </row>
    <row r="4735" spans="1:3" x14ac:dyDescent="0.25">
      <c r="A4735" s="8" t="str">
        <f t="shared" si="222"/>
        <v/>
      </c>
      <c r="B4735" s="9" t="str">
        <f t="shared" si="223"/>
        <v/>
      </c>
      <c r="C4735" s="10" t="str">
        <f t="shared" si="224"/>
        <v/>
      </c>
    </row>
    <row r="4736" spans="1:3" x14ac:dyDescent="0.25">
      <c r="A4736" s="8" t="str">
        <f t="shared" si="222"/>
        <v/>
      </c>
      <c r="B4736" s="9" t="str">
        <f t="shared" si="223"/>
        <v/>
      </c>
      <c r="C4736" s="10" t="str">
        <f t="shared" si="224"/>
        <v/>
      </c>
    </row>
    <row r="4737" spans="1:3" x14ac:dyDescent="0.25">
      <c r="A4737" s="8" t="str">
        <f t="shared" si="222"/>
        <v/>
      </c>
      <c r="B4737" s="9" t="str">
        <f t="shared" si="223"/>
        <v/>
      </c>
      <c r="C4737" s="10" t="str">
        <f t="shared" si="224"/>
        <v/>
      </c>
    </row>
    <row r="4738" spans="1:3" x14ac:dyDescent="0.25">
      <c r="A4738" s="8" t="str">
        <f t="shared" si="222"/>
        <v/>
      </c>
      <c r="B4738" s="9" t="str">
        <f t="shared" si="223"/>
        <v/>
      </c>
      <c r="C4738" s="10" t="str">
        <f t="shared" si="224"/>
        <v/>
      </c>
    </row>
    <row r="4739" spans="1:3" x14ac:dyDescent="0.25">
      <c r="A4739" s="8" t="str">
        <f t="shared" si="222"/>
        <v/>
      </c>
      <c r="B4739" s="9" t="str">
        <f t="shared" si="223"/>
        <v/>
      </c>
      <c r="C4739" s="10" t="str">
        <f t="shared" si="224"/>
        <v/>
      </c>
    </row>
    <row r="4740" spans="1:3" x14ac:dyDescent="0.25">
      <c r="A4740" s="8" t="str">
        <f t="shared" si="222"/>
        <v/>
      </c>
      <c r="B4740" s="9" t="str">
        <f t="shared" si="223"/>
        <v/>
      </c>
      <c r="C4740" s="10" t="str">
        <f t="shared" si="224"/>
        <v/>
      </c>
    </row>
    <row r="4741" spans="1:3" x14ac:dyDescent="0.25">
      <c r="A4741" s="8" t="str">
        <f t="shared" si="222"/>
        <v/>
      </c>
      <c r="B4741" s="9" t="str">
        <f t="shared" si="223"/>
        <v/>
      </c>
      <c r="C4741" s="10" t="str">
        <f t="shared" si="224"/>
        <v/>
      </c>
    </row>
    <row r="4742" spans="1:3" x14ac:dyDescent="0.25">
      <c r="A4742" s="8" t="str">
        <f t="shared" si="222"/>
        <v/>
      </c>
      <c r="B4742" s="9" t="str">
        <f t="shared" si="223"/>
        <v/>
      </c>
      <c r="C4742" s="10" t="str">
        <f t="shared" si="224"/>
        <v/>
      </c>
    </row>
    <row r="4743" spans="1:3" x14ac:dyDescent="0.25">
      <c r="A4743" s="8" t="str">
        <f t="shared" si="222"/>
        <v/>
      </c>
      <c r="B4743" s="9" t="str">
        <f t="shared" si="223"/>
        <v/>
      </c>
      <c r="C4743" s="10" t="str">
        <f t="shared" si="224"/>
        <v/>
      </c>
    </row>
    <row r="4744" spans="1:3" x14ac:dyDescent="0.25">
      <c r="A4744" s="8" t="str">
        <f t="shared" si="222"/>
        <v/>
      </c>
      <c r="B4744" s="9" t="str">
        <f t="shared" si="223"/>
        <v/>
      </c>
      <c r="C4744" s="10" t="str">
        <f t="shared" si="224"/>
        <v/>
      </c>
    </row>
    <row r="4745" spans="1:3" x14ac:dyDescent="0.25">
      <c r="A4745" s="8" t="str">
        <f t="shared" si="222"/>
        <v/>
      </c>
      <c r="B4745" s="9" t="str">
        <f t="shared" si="223"/>
        <v/>
      </c>
      <c r="C4745" s="10" t="str">
        <f t="shared" si="224"/>
        <v/>
      </c>
    </row>
    <row r="4746" spans="1:3" x14ac:dyDescent="0.25">
      <c r="A4746" s="8" t="str">
        <f t="shared" si="222"/>
        <v/>
      </c>
      <c r="B4746" s="9" t="str">
        <f t="shared" si="223"/>
        <v/>
      </c>
      <c r="C4746" s="10" t="str">
        <f t="shared" si="224"/>
        <v/>
      </c>
    </row>
    <row r="4747" spans="1:3" x14ac:dyDescent="0.25">
      <c r="A4747" s="8" t="str">
        <f t="shared" si="222"/>
        <v/>
      </c>
      <c r="B4747" s="9" t="str">
        <f t="shared" si="223"/>
        <v/>
      </c>
      <c r="C4747" s="10" t="str">
        <f t="shared" si="224"/>
        <v/>
      </c>
    </row>
    <row r="4748" spans="1:3" x14ac:dyDescent="0.25">
      <c r="A4748" s="8" t="str">
        <f t="shared" si="222"/>
        <v/>
      </c>
      <c r="B4748" s="9" t="str">
        <f t="shared" si="223"/>
        <v/>
      </c>
      <c r="C4748" s="10" t="str">
        <f t="shared" si="224"/>
        <v/>
      </c>
    </row>
    <row r="4749" spans="1:3" x14ac:dyDescent="0.25">
      <c r="A4749" s="8" t="str">
        <f t="shared" si="222"/>
        <v/>
      </c>
      <c r="B4749" s="9" t="str">
        <f t="shared" si="223"/>
        <v/>
      </c>
      <c r="C4749" s="10" t="str">
        <f t="shared" si="224"/>
        <v/>
      </c>
    </row>
    <row r="4750" spans="1:3" x14ac:dyDescent="0.25">
      <c r="A4750" s="8" t="str">
        <f t="shared" si="222"/>
        <v/>
      </c>
      <c r="B4750" s="9" t="str">
        <f t="shared" si="223"/>
        <v/>
      </c>
      <c r="C4750" s="10" t="str">
        <f t="shared" si="224"/>
        <v/>
      </c>
    </row>
    <row r="4751" spans="1:3" x14ac:dyDescent="0.25">
      <c r="A4751" s="8" t="str">
        <f t="shared" si="222"/>
        <v/>
      </c>
      <c r="B4751" s="9" t="str">
        <f t="shared" si="223"/>
        <v/>
      </c>
      <c r="C4751" s="10" t="str">
        <f t="shared" si="224"/>
        <v/>
      </c>
    </row>
    <row r="4752" spans="1:3" x14ac:dyDescent="0.25">
      <c r="A4752" s="8" t="str">
        <f t="shared" si="222"/>
        <v/>
      </c>
      <c r="B4752" s="9" t="str">
        <f t="shared" si="223"/>
        <v/>
      </c>
      <c r="C4752" s="10" t="str">
        <f t="shared" si="224"/>
        <v/>
      </c>
    </row>
    <row r="4753" spans="1:3" x14ac:dyDescent="0.25">
      <c r="A4753" s="8" t="str">
        <f t="shared" si="222"/>
        <v/>
      </c>
      <c r="B4753" s="9" t="str">
        <f t="shared" si="223"/>
        <v/>
      </c>
      <c r="C4753" s="10" t="str">
        <f t="shared" si="224"/>
        <v/>
      </c>
    </row>
    <row r="4754" spans="1:3" x14ac:dyDescent="0.25">
      <c r="A4754" s="8" t="str">
        <f t="shared" si="222"/>
        <v/>
      </c>
      <c r="B4754" s="9" t="str">
        <f t="shared" si="223"/>
        <v/>
      </c>
      <c r="C4754" s="10" t="str">
        <f t="shared" si="224"/>
        <v/>
      </c>
    </row>
    <row r="4755" spans="1:3" x14ac:dyDescent="0.25">
      <c r="A4755" s="8" t="str">
        <f t="shared" si="222"/>
        <v/>
      </c>
      <c r="B4755" s="9" t="str">
        <f t="shared" si="223"/>
        <v/>
      </c>
      <c r="C4755" s="10" t="str">
        <f t="shared" si="224"/>
        <v/>
      </c>
    </row>
    <row r="4756" spans="1:3" x14ac:dyDescent="0.25">
      <c r="A4756" s="8" t="str">
        <f t="shared" si="222"/>
        <v/>
      </c>
      <c r="B4756" s="9" t="str">
        <f t="shared" si="223"/>
        <v/>
      </c>
      <c r="C4756" s="10" t="str">
        <f t="shared" si="224"/>
        <v/>
      </c>
    </row>
    <row r="4757" spans="1:3" x14ac:dyDescent="0.25">
      <c r="A4757" s="8" t="str">
        <f t="shared" si="222"/>
        <v/>
      </c>
      <c r="B4757" s="9" t="str">
        <f t="shared" si="223"/>
        <v/>
      </c>
      <c r="C4757" s="10" t="str">
        <f t="shared" si="224"/>
        <v/>
      </c>
    </row>
    <row r="4758" spans="1:3" x14ac:dyDescent="0.25">
      <c r="A4758" s="8" t="str">
        <f t="shared" si="222"/>
        <v/>
      </c>
      <c r="B4758" s="9" t="str">
        <f t="shared" si="223"/>
        <v/>
      </c>
      <c r="C4758" s="10" t="str">
        <f t="shared" si="224"/>
        <v/>
      </c>
    </row>
    <row r="4759" spans="1:3" x14ac:dyDescent="0.25">
      <c r="A4759" s="8" t="str">
        <f t="shared" si="222"/>
        <v/>
      </c>
      <c r="B4759" s="9" t="str">
        <f t="shared" si="223"/>
        <v/>
      </c>
      <c r="C4759" s="10" t="str">
        <f t="shared" si="224"/>
        <v/>
      </c>
    </row>
    <row r="4760" spans="1:3" x14ac:dyDescent="0.25">
      <c r="A4760" s="8" t="str">
        <f t="shared" si="222"/>
        <v/>
      </c>
      <c r="B4760" s="9" t="str">
        <f t="shared" si="223"/>
        <v/>
      </c>
      <c r="C4760" s="10" t="str">
        <f t="shared" si="224"/>
        <v/>
      </c>
    </row>
    <row r="4761" spans="1:3" x14ac:dyDescent="0.25">
      <c r="A4761" s="8" t="str">
        <f t="shared" si="222"/>
        <v/>
      </c>
      <c r="B4761" s="9" t="str">
        <f t="shared" si="223"/>
        <v/>
      </c>
      <c r="C4761" s="10" t="str">
        <f t="shared" si="224"/>
        <v/>
      </c>
    </row>
    <row r="4762" spans="1:3" x14ac:dyDescent="0.25">
      <c r="A4762" s="8" t="str">
        <f t="shared" si="222"/>
        <v/>
      </c>
      <c r="B4762" s="9" t="str">
        <f t="shared" si="223"/>
        <v/>
      </c>
      <c r="C4762" s="10" t="str">
        <f t="shared" si="224"/>
        <v/>
      </c>
    </row>
    <row r="4763" spans="1:3" x14ac:dyDescent="0.25">
      <c r="A4763" s="8" t="str">
        <f t="shared" si="222"/>
        <v/>
      </c>
      <c r="B4763" s="9" t="str">
        <f t="shared" si="223"/>
        <v/>
      </c>
      <c r="C4763" s="10" t="str">
        <f t="shared" si="224"/>
        <v/>
      </c>
    </row>
    <row r="4764" spans="1:3" x14ac:dyDescent="0.25">
      <c r="A4764" s="8" t="str">
        <f t="shared" si="222"/>
        <v/>
      </c>
      <c r="B4764" s="9" t="str">
        <f t="shared" si="223"/>
        <v/>
      </c>
      <c r="C4764" s="10" t="str">
        <f t="shared" si="224"/>
        <v/>
      </c>
    </row>
    <row r="4765" spans="1:3" x14ac:dyDescent="0.25">
      <c r="A4765" s="8" t="str">
        <f t="shared" si="222"/>
        <v/>
      </c>
      <c r="B4765" s="9" t="str">
        <f t="shared" si="223"/>
        <v/>
      </c>
      <c r="C4765" s="10" t="str">
        <f t="shared" si="224"/>
        <v/>
      </c>
    </row>
    <row r="4766" spans="1:3" x14ac:dyDescent="0.25">
      <c r="A4766" s="8" t="str">
        <f t="shared" si="222"/>
        <v/>
      </c>
      <c r="B4766" s="9" t="str">
        <f t="shared" si="223"/>
        <v/>
      </c>
      <c r="C4766" s="10" t="str">
        <f t="shared" si="224"/>
        <v/>
      </c>
    </row>
    <row r="4767" spans="1:3" x14ac:dyDescent="0.25">
      <c r="A4767" s="8" t="str">
        <f t="shared" si="222"/>
        <v/>
      </c>
      <c r="B4767" s="9" t="str">
        <f t="shared" si="223"/>
        <v/>
      </c>
      <c r="C4767" s="10" t="str">
        <f t="shared" si="224"/>
        <v/>
      </c>
    </row>
    <row r="4768" spans="1:3" x14ac:dyDescent="0.25">
      <c r="A4768" s="8" t="str">
        <f t="shared" si="222"/>
        <v/>
      </c>
      <c r="B4768" s="9" t="str">
        <f t="shared" si="223"/>
        <v/>
      </c>
      <c r="C4768" s="10" t="str">
        <f t="shared" si="224"/>
        <v/>
      </c>
    </row>
    <row r="4769" spans="1:3" x14ac:dyDescent="0.25">
      <c r="A4769" s="8" t="str">
        <f t="shared" si="222"/>
        <v/>
      </c>
      <c r="B4769" s="9" t="str">
        <f t="shared" si="223"/>
        <v/>
      </c>
      <c r="C4769" s="10" t="str">
        <f t="shared" si="224"/>
        <v/>
      </c>
    </row>
    <row r="4770" spans="1:3" x14ac:dyDescent="0.25">
      <c r="A4770" s="8" t="str">
        <f t="shared" si="222"/>
        <v/>
      </c>
      <c r="B4770" s="9" t="str">
        <f t="shared" si="223"/>
        <v/>
      </c>
      <c r="C4770" s="10" t="str">
        <f t="shared" si="224"/>
        <v/>
      </c>
    </row>
    <row r="4771" spans="1:3" x14ac:dyDescent="0.25">
      <c r="A4771" s="8" t="str">
        <f t="shared" si="222"/>
        <v/>
      </c>
      <c r="B4771" s="9" t="str">
        <f t="shared" si="223"/>
        <v/>
      </c>
      <c r="C4771" s="10" t="str">
        <f t="shared" si="224"/>
        <v/>
      </c>
    </row>
    <row r="4772" spans="1:3" x14ac:dyDescent="0.25">
      <c r="A4772" s="8" t="str">
        <f t="shared" si="222"/>
        <v/>
      </c>
      <c r="B4772" s="9" t="str">
        <f t="shared" si="223"/>
        <v/>
      </c>
      <c r="C4772" s="10" t="str">
        <f t="shared" si="224"/>
        <v/>
      </c>
    </row>
    <row r="4773" spans="1:3" x14ac:dyDescent="0.25">
      <c r="A4773" s="8" t="str">
        <f t="shared" si="222"/>
        <v/>
      </c>
      <c r="B4773" s="9" t="str">
        <f t="shared" si="223"/>
        <v/>
      </c>
      <c r="C4773" s="10" t="str">
        <f t="shared" si="224"/>
        <v/>
      </c>
    </row>
    <row r="4774" spans="1:3" x14ac:dyDescent="0.25">
      <c r="A4774" s="8" t="str">
        <f t="shared" si="222"/>
        <v/>
      </c>
      <c r="B4774" s="9" t="str">
        <f t="shared" si="223"/>
        <v/>
      </c>
      <c r="C4774" s="10" t="str">
        <f t="shared" si="224"/>
        <v/>
      </c>
    </row>
    <row r="4775" spans="1:3" x14ac:dyDescent="0.25">
      <c r="A4775" s="8" t="str">
        <f t="shared" ref="A4775:A4838" si="225">IF(D4775="","",IF(E4775=0,CONCATENATE(D4775,".",E4775,"00"),CONCATENATE(D4775,".",E4775)))</f>
        <v/>
      </c>
      <c r="B4775" s="9" t="str">
        <f t="shared" ref="B4775:B4838" si="226">LEFT(G4775,1)</f>
        <v/>
      </c>
      <c r="C4775" s="10" t="str">
        <f t="shared" ref="C4775:C4838" si="227">IF(F4775="","",IF(B4775="",F4775-4,IF(B4775="1",F4775-4,IF(B4775="2",F4775-3,IF(B4775="3",F4775-2,IF(B4775="4",F4775-1,IF(B4775="V",F4775-7,IF(B4775="J",F4775-8,F4775))))))))</f>
        <v/>
      </c>
    </row>
    <row r="4776" spans="1:3" x14ac:dyDescent="0.25">
      <c r="A4776" s="8" t="str">
        <f t="shared" si="225"/>
        <v/>
      </c>
      <c r="B4776" s="9" t="str">
        <f t="shared" si="226"/>
        <v/>
      </c>
      <c r="C4776" s="10" t="str">
        <f t="shared" si="227"/>
        <v/>
      </c>
    </row>
    <row r="4777" spans="1:3" x14ac:dyDescent="0.25">
      <c r="A4777" s="8" t="str">
        <f t="shared" si="225"/>
        <v/>
      </c>
      <c r="B4777" s="9" t="str">
        <f t="shared" si="226"/>
        <v/>
      </c>
      <c r="C4777" s="10" t="str">
        <f t="shared" si="227"/>
        <v/>
      </c>
    </row>
    <row r="4778" spans="1:3" x14ac:dyDescent="0.25">
      <c r="A4778" s="8" t="str">
        <f t="shared" si="225"/>
        <v/>
      </c>
      <c r="B4778" s="9" t="str">
        <f t="shared" si="226"/>
        <v/>
      </c>
      <c r="C4778" s="10" t="str">
        <f t="shared" si="227"/>
        <v/>
      </c>
    </row>
    <row r="4779" spans="1:3" x14ac:dyDescent="0.25">
      <c r="A4779" s="8" t="str">
        <f t="shared" si="225"/>
        <v/>
      </c>
      <c r="B4779" s="9" t="str">
        <f t="shared" si="226"/>
        <v/>
      </c>
      <c r="C4779" s="10" t="str">
        <f t="shared" si="227"/>
        <v/>
      </c>
    </row>
    <row r="4780" spans="1:3" x14ac:dyDescent="0.25">
      <c r="A4780" s="8" t="str">
        <f t="shared" si="225"/>
        <v/>
      </c>
      <c r="B4780" s="9" t="str">
        <f t="shared" si="226"/>
        <v/>
      </c>
      <c r="C4780" s="10" t="str">
        <f t="shared" si="227"/>
        <v/>
      </c>
    </row>
    <row r="4781" spans="1:3" x14ac:dyDescent="0.25">
      <c r="A4781" s="8" t="str">
        <f t="shared" si="225"/>
        <v/>
      </c>
      <c r="B4781" s="9" t="str">
        <f t="shared" si="226"/>
        <v/>
      </c>
      <c r="C4781" s="10" t="str">
        <f t="shared" si="227"/>
        <v/>
      </c>
    </row>
    <row r="4782" spans="1:3" x14ac:dyDescent="0.25">
      <c r="A4782" s="8" t="str">
        <f t="shared" si="225"/>
        <v/>
      </c>
      <c r="B4782" s="9" t="str">
        <f t="shared" si="226"/>
        <v/>
      </c>
      <c r="C4782" s="10" t="str">
        <f t="shared" si="227"/>
        <v/>
      </c>
    </row>
    <row r="4783" spans="1:3" x14ac:dyDescent="0.25">
      <c r="A4783" s="8" t="str">
        <f t="shared" si="225"/>
        <v/>
      </c>
      <c r="B4783" s="9" t="str">
        <f t="shared" si="226"/>
        <v/>
      </c>
      <c r="C4783" s="10" t="str">
        <f t="shared" si="227"/>
        <v/>
      </c>
    </row>
    <row r="4784" spans="1:3" x14ac:dyDescent="0.25">
      <c r="A4784" s="8" t="str">
        <f t="shared" si="225"/>
        <v/>
      </c>
      <c r="B4784" s="9" t="str">
        <f t="shared" si="226"/>
        <v/>
      </c>
      <c r="C4784" s="10" t="str">
        <f t="shared" si="227"/>
        <v/>
      </c>
    </row>
    <row r="4785" spans="1:3" x14ac:dyDescent="0.25">
      <c r="A4785" s="8" t="str">
        <f t="shared" si="225"/>
        <v/>
      </c>
      <c r="B4785" s="9" t="str">
        <f t="shared" si="226"/>
        <v/>
      </c>
      <c r="C4785" s="10" t="str">
        <f t="shared" si="227"/>
        <v/>
      </c>
    </row>
    <row r="4786" spans="1:3" x14ac:dyDescent="0.25">
      <c r="A4786" s="8" t="str">
        <f t="shared" si="225"/>
        <v/>
      </c>
      <c r="B4786" s="9" t="str">
        <f t="shared" si="226"/>
        <v/>
      </c>
      <c r="C4786" s="10" t="str">
        <f t="shared" si="227"/>
        <v/>
      </c>
    </row>
    <row r="4787" spans="1:3" x14ac:dyDescent="0.25">
      <c r="A4787" s="8" t="str">
        <f t="shared" si="225"/>
        <v/>
      </c>
      <c r="B4787" s="9" t="str">
        <f t="shared" si="226"/>
        <v/>
      </c>
      <c r="C4787" s="10" t="str">
        <f t="shared" si="227"/>
        <v/>
      </c>
    </row>
    <row r="4788" spans="1:3" x14ac:dyDescent="0.25">
      <c r="A4788" s="8" t="str">
        <f t="shared" si="225"/>
        <v/>
      </c>
      <c r="B4788" s="9" t="str">
        <f t="shared" si="226"/>
        <v/>
      </c>
      <c r="C4788" s="10" t="str">
        <f t="shared" si="227"/>
        <v/>
      </c>
    </row>
    <row r="4789" spans="1:3" x14ac:dyDescent="0.25">
      <c r="A4789" s="8" t="str">
        <f t="shared" si="225"/>
        <v/>
      </c>
      <c r="B4789" s="9" t="str">
        <f t="shared" si="226"/>
        <v/>
      </c>
      <c r="C4789" s="10" t="str">
        <f t="shared" si="227"/>
        <v/>
      </c>
    </row>
    <row r="4790" spans="1:3" x14ac:dyDescent="0.25">
      <c r="A4790" s="8" t="str">
        <f t="shared" si="225"/>
        <v/>
      </c>
      <c r="B4790" s="9" t="str">
        <f t="shared" si="226"/>
        <v/>
      </c>
      <c r="C4790" s="10" t="str">
        <f t="shared" si="227"/>
        <v/>
      </c>
    </row>
    <row r="4791" spans="1:3" x14ac:dyDescent="0.25">
      <c r="A4791" s="8" t="str">
        <f t="shared" si="225"/>
        <v/>
      </c>
      <c r="B4791" s="9" t="str">
        <f t="shared" si="226"/>
        <v/>
      </c>
      <c r="C4791" s="10" t="str">
        <f t="shared" si="227"/>
        <v/>
      </c>
    </row>
    <row r="4792" spans="1:3" x14ac:dyDescent="0.25">
      <c r="A4792" s="8" t="str">
        <f t="shared" si="225"/>
        <v/>
      </c>
      <c r="B4792" s="9" t="str">
        <f t="shared" si="226"/>
        <v/>
      </c>
      <c r="C4792" s="10" t="str">
        <f t="shared" si="227"/>
        <v/>
      </c>
    </row>
    <row r="4793" spans="1:3" x14ac:dyDescent="0.25">
      <c r="A4793" s="8" t="str">
        <f t="shared" si="225"/>
        <v/>
      </c>
      <c r="B4793" s="9" t="str">
        <f t="shared" si="226"/>
        <v/>
      </c>
      <c r="C4793" s="10" t="str">
        <f t="shared" si="227"/>
        <v/>
      </c>
    </row>
    <row r="4794" spans="1:3" x14ac:dyDescent="0.25">
      <c r="A4794" s="8" t="str">
        <f t="shared" si="225"/>
        <v/>
      </c>
      <c r="B4794" s="9" t="str">
        <f t="shared" si="226"/>
        <v/>
      </c>
      <c r="C4794" s="10" t="str">
        <f t="shared" si="227"/>
        <v/>
      </c>
    </row>
    <row r="4795" spans="1:3" x14ac:dyDescent="0.25">
      <c r="A4795" s="8" t="str">
        <f t="shared" si="225"/>
        <v/>
      </c>
      <c r="B4795" s="9" t="str">
        <f t="shared" si="226"/>
        <v/>
      </c>
      <c r="C4795" s="10" t="str">
        <f t="shared" si="227"/>
        <v/>
      </c>
    </row>
    <row r="4796" spans="1:3" x14ac:dyDescent="0.25">
      <c r="A4796" s="8" t="str">
        <f t="shared" si="225"/>
        <v/>
      </c>
      <c r="B4796" s="9" t="str">
        <f t="shared" si="226"/>
        <v/>
      </c>
      <c r="C4796" s="10" t="str">
        <f t="shared" si="227"/>
        <v/>
      </c>
    </row>
    <row r="4797" spans="1:3" x14ac:dyDescent="0.25">
      <c r="A4797" s="8" t="str">
        <f t="shared" si="225"/>
        <v/>
      </c>
      <c r="B4797" s="9" t="str">
        <f t="shared" si="226"/>
        <v/>
      </c>
      <c r="C4797" s="10" t="str">
        <f t="shared" si="227"/>
        <v/>
      </c>
    </row>
    <row r="4798" spans="1:3" x14ac:dyDescent="0.25">
      <c r="A4798" s="8" t="str">
        <f t="shared" si="225"/>
        <v/>
      </c>
      <c r="B4798" s="9" t="str">
        <f t="shared" si="226"/>
        <v/>
      </c>
      <c r="C4798" s="10" t="str">
        <f t="shared" si="227"/>
        <v/>
      </c>
    </row>
    <row r="4799" spans="1:3" x14ac:dyDescent="0.25">
      <c r="A4799" s="8" t="str">
        <f t="shared" si="225"/>
        <v/>
      </c>
      <c r="B4799" s="9" t="str">
        <f t="shared" si="226"/>
        <v/>
      </c>
      <c r="C4799" s="10" t="str">
        <f t="shared" si="227"/>
        <v/>
      </c>
    </row>
    <row r="4800" spans="1:3" x14ac:dyDescent="0.25">
      <c r="A4800" s="8" t="str">
        <f t="shared" si="225"/>
        <v/>
      </c>
      <c r="B4800" s="9" t="str">
        <f t="shared" si="226"/>
        <v/>
      </c>
      <c r="C4800" s="10" t="str">
        <f t="shared" si="227"/>
        <v/>
      </c>
    </row>
    <row r="4801" spans="1:3" x14ac:dyDescent="0.25">
      <c r="A4801" s="8" t="str">
        <f t="shared" si="225"/>
        <v/>
      </c>
      <c r="B4801" s="9" t="str">
        <f t="shared" si="226"/>
        <v/>
      </c>
      <c r="C4801" s="10" t="str">
        <f t="shared" si="227"/>
        <v/>
      </c>
    </row>
    <row r="4802" spans="1:3" x14ac:dyDescent="0.25">
      <c r="A4802" s="8" t="str">
        <f t="shared" si="225"/>
        <v/>
      </c>
      <c r="B4802" s="9" t="str">
        <f t="shared" si="226"/>
        <v/>
      </c>
      <c r="C4802" s="10" t="str">
        <f t="shared" si="227"/>
        <v/>
      </c>
    </row>
    <row r="4803" spans="1:3" x14ac:dyDescent="0.25">
      <c r="A4803" s="8" t="str">
        <f t="shared" si="225"/>
        <v/>
      </c>
      <c r="B4803" s="9" t="str">
        <f t="shared" si="226"/>
        <v/>
      </c>
      <c r="C4803" s="10" t="str">
        <f t="shared" si="227"/>
        <v/>
      </c>
    </row>
    <row r="4804" spans="1:3" x14ac:dyDescent="0.25">
      <c r="A4804" s="8" t="str">
        <f t="shared" si="225"/>
        <v/>
      </c>
      <c r="B4804" s="9" t="str">
        <f t="shared" si="226"/>
        <v/>
      </c>
      <c r="C4804" s="10" t="str">
        <f t="shared" si="227"/>
        <v/>
      </c>
    </row>
    <row r="4805" spans="1:3" x14ac:dyDescent="0.25">
      <c r="A4805" s="8" t="str">
        <f t="shared" si="225"/>
        <v/>
      </c>
      <c r="B4805" s="9" t="str">
        <f t="shared" si="226"/>
        <v/>
      </c>
      <c r="C4805" s="10" t="str">
        <f t="shared" si="227"/>
        <v/>
      </c>
    </row>
    <row r="4806" spans="1:3" x14ac:dyDescent="0.25">
      <c r="A4806" s="8" t="str">
        <f t="shared" si="225"/>
        <v/>
      </c>
      <c r="B4806" s="9" t="str">
        <f t="shared" si="226"/>
        <v/>
      </c>
      <c r="C4806" s="10" t="str">
        <f t="shared" si="227"/>
        <v/>
      </c>
    </row>
    <row r="4807" spans="1:3" x14ac:dyDescent="0.25">
      <c r="A4807" s="8" t="str">
        <f t="shared" si="225"/>
        <v/>
      </c>
      <c r="B4807" s="9" t="str">
        <f t="shared" si="226"/>
        <v/>
      </c>
      <c r="C4807" s="10" t="str">
        <f t="shared" si="227"/>
        <v/>
      </c>
    </row>
    <row r="4808" spans="1:3" x14ac:dyDescent="0.25">
      <c r="A4808" s="8" t="str">
        <f t="shared" si="225"/>
        <v/>
      </c>
      <c r="B4808" s="9" t="str">
        <f t="shared" si="226"/>
        <v/>
      </c>
      <c r="C4808" s="10" t="str">
        <f t="shared" si="227"/>
        <v/>
      </c>
    </row>
    <row r="4809" spans="1:3" x14ac:dyDescent="0.25">
      <c r="A4809" s="8" t="str">
        <f t="shared" si="225"/>
        <v/>
      </c>
      <c r="B4809" s="9" t="str">
        <f t="shared" si="226"/>
        <v/>
      </c>
      <c r="C4809" s="10" t="str">
        <f t="shared" si="227"/>
        <v/>
      </c>
    </row>
    <row r="4810" spans="1:3" x14ac:dyDescent="0.25">
      <c r="A4810" s="8" t="str">
        <f t="shared" si="225"/>
        <v/>
      </c>
      <c r="B4810" s="9" t="str">
        <f t="shared" si="226"/>
        <v/>
      </c>
      <c r="C4810" s="10" t="str">
        <f t="shared" si="227"/>
        <v/>
      </c>
    </row>
    <row r="4811" spans="1:3" x14ac:dyDescent="0.25">
      <c r="A4811" s="8" t="str">
        <f t="shared" si="225"/>
        <v/>
      </c>
      <c r="B4811" s="9" t="str">
        <f t="shared" si="226"/>
        <v/>
      </c>
      <c r="C4811" s="10" t="str">
        <f t="shared" si="227"/>
        <v/>
      </c>
    </row>
    <row r="4812" spans="1:3" x14ac:dyDescent="0.25">
      <c r="A4812" s="8" t="str">
        <f t="shared" si="225"/>
        <v/>
      </c>
      <c r="B4812" s="9" t="str">
        <f t="shared" si="226"/>
        <v/>
      </c>
      <c r="C4812" s="10" t="str">
        <f t="shared" si="227"/>
        <v/>
      </c>
    </row>
    <row r="4813" spans="1:3" x14ac:dyDescent="0.25">
      <c r="A4813" s="8" t="str">
        <f t="shared" si="225"/>
        <v/>
      </c>
      <c r="B4813" s="9" t="str">
        <f t="shared" si="226"/>
        <v/>
      </c>
      <c r="C4813" s="10" t="str">
        <f t="shared" si="227"/>
        <v/>
      </c>
    </row>
    <row r="4814" spans="1:3" x14ac:dyDescent="0.25">
      <c r="A4814" s="8" t="str">
        <f t="shared" si="225"/>
        <v/>
      </c>
      <c r="B4814" s="9" t="str">
        <f t="shared" si="226"/>
        <v/>
      </c>
      <c r="C4814" s="10" t="str">
        <f t="shared" si="227"/>
        <v/>
      </c>
    </row>
    <row r="4815" spans="1:3" x14ac:dyDescent="0.25">
      <c r="A4815" s="8" t="str">
        <f t="shared" si="225"/>
        <v/>
      </c>
      <c r="B4815" s="9" t="str">
        <f t="shared" si="226"/>
        <v/>
      </c>
      <c r="C4815" s="10" t="str">
        <f t="shared" si="227"/>
        <v/>
      </c>
    </row>
    <row r="4816" spans="1:3" x14ac:dyDescent="0.25">
      <c r="A4816" s="8" t="str">
        <f t="shared" si="225"/>
        <v/>
      </c>
      <c r="B4816" s="9" t="str">
        <f t="shared" si="226"/>
        <v/>
      </c>
      <c r="C4816" s="10" t="str">
        <f t="shared" si="227"/>
        <v/>
      </c>
    </row>
    <row r="4817" spans="1:3" x14ac:dyDescent="0.25">
      <c r="A4817" s="8" t="str">
        <f t="shared" si="225"/>
        <v/>
      </c>
      <c r="B4817" s="9" t="str">
        <f t="shared" si="226"/>
        <v/>
      </c>
      <c r="C4817" s="10" t="str">
        <f t="shared" si="227"/>
        <v/>
      </c>
    </row>
    <row r="4818" spans="1:3" x14ac:dyDescent="0.25">
      <c r="A4818" s="8" t="str">
        <f t="shared" si="225"/>
        <v/>
      </c>
      <c r="B4818" s="9" t="str">
        <f t="shared" si="226"/>
        <v/>
      </c>
      <c r="C4818" s="10" t="str">
        <f t="shared" si="227"/>
        <v/>
      </c>
    </row>
    <row r="4819" spans="1:3" x14ac:dyDescent="0.25">
      <c r="A4819" s="8" t="str">
        <f t="shared" si="225"/>
        <v/>
      </c>
      <c r="B4819" s="9" t="str">
        <f t="shared" si="226"/>
        <v/>
      </c>
      <c r="C4819" s="10" t="str">
        <f t="shared" si="227"/>
        <v/>
      </c>
    </row>
    <row r="4820" spans="1:3" x14ac:dyDescent="0.25">
      <c r="A4820" s="8" t="str">
        <f t="shared" si="225"/>
        <v/>
      </c>
      <c r="B4820" s="9" t="str">
        <f t="shared" si="226"/>
        <v/>
      </c>
      <c r="C4820" s="10" t="str">
        <f t="shared" si="227"/>
        <v/>
      </c>
    </row>
    <row r="4821" spans="1:3" x14ac:dyDescent="0.25">
      <c r="A4821" s="8" t="str">
        <f t="shared" si="225"/>
        <v/>
      </c>
      <c r="B4821" s="9" t="str">
        <f t="shared" si="226"/>
        <v/>
      </c>
      <c r="C4821" s="10" t="str">
        <f t="shared" si="227"/>
        <v/>
      </c>
    </row>
    <row r="4822" spans="1:3" x14ac:dyDescent="0.25">
      <c r="A4822" s="8" t="str">
        <f t="shared" si="225"/>
        <v/>
      </c>
      <c r="B4822" s="9" t="str">
        <f t="shared" si="226"/>
        <v/>
      </c>
      <c r="C4822" s="10" t="str">
        <f t="shared" si="227"/>
        <v/>
      </c>
    </row>
    <row r="4823" spans="1:3" x14ac:dyDescent="0.25">
      <c r="A4823" s="8" t="str">
        <f t="shared" si="225"/>
        <v/>
      </c>
      <c r="B4823" s="9" t="str">
        <f t="shared" si="226"/>
        <v/>
      </c>
      <c r="C4823" s="10" t="str">
        <f t="shared" si="227"/>
        <v/>
      </c>
    </row>
    <row r="4824" spans="1:3" x14ac:dyDescent="0.25">
      <c r="A4824" s="8" t="str">
        <f t="shared" si="225"/>
        <v/>
      </c>
      <c r="B4824" s="9" t="str">
        <f t="shared" si="226"/>
        <v/>
      </c>
      <c r="C4824" s="10" t="str">
        <f t="shared" si="227"/>
        <v/>
      </c>
    </row>
    <row r="4825" spans="1:3" x14ac:dyDescent="0.25">
      <c r="A4825" s="8" t="str">
        <f t="shared" si="225"/>
        <v/>
      </c>
      <c r="B4825" s="9" t="str">
        <f t="shared" si="226"/>
        <v/>
      </c>
      <c r="C4825" s="10" t="str">
        <f t="shared" si="227"/>
        <v/>
      </c>
    </row>
    <row r="4826" spans="1:3" x14ac:dyDescent="0.25">
      <c r="A4826" s="8" t="str">
        <f t="shared" si="225"/>
        <v/>
      </c>
      <c r="B4826" s="9" t="str">
        <f t="shared" si="226"/>
        <v/>
      </c>
      <c r="C4826" s="10" t="str">
        <f t="shared" si="227"/>
        <v/>
      </c>
    </row>
    <row r="4827" spans="1:3" x14ac:dyDescent="0.25">
      <c r="A4827" s="8" t="str">
        <f t="shared" si="225"/>
        <v/>
      </c>
      <c r="B4827" s="9" t="str">
        <f t="shared" si="226"/>
        <v/>
      </c>
      <c r="C4827" s="10" t="str">
        <f t="shared" si="227"/>
        <v/>
      </c>
    </row>
    <row r="4828" spans="1:3" x14ac:dyDescent="0.25">
      <c r="A4828" s="8" t="str">
        <f t="shared" si="225"/>
        <v/>
      </c>
      <c r="B4828" s="9" t="str">
        <f t="shared" si="226"/>
        <v/>
      </c>
      <c r="C4828" s="10" t="str">
        <f t="shared" si="227"/>
        <v/>
      </c>
    </row>
    <row r="4829" spans="1:3" x14ac:dyDescent="0.25">
      <c r="A4829" s="8" t="str">
        <f t="shared" si="225"/>
        <v/>
      </c>
      <c r="B4829" s="9" t="str">
        <f t="shared" si="226"/>
        <v/>
      </c>
      <c r="C4829" s="10" t="str">
        <f t="shared" si="227"/>
        <v/>
      </c>
    </row>
    <row r="4830" spans="1:3" x14ac:dyDescent="0.25">
      <c r="A4830" s="8" t="str">
        <f t="shared" si="225"/>
        <v/>
      </c>
      <c r="B4830" s="9" t="str">
        <f t="shared" si="226"/>
        <v/>
      </c>
      <c r="C4830" s="10" t="str">
        <f t="shared" si="227"/>
        <v/>
      </c>
    </row>
    <row r="4831" spans="1:3" x14ac:dyDescent="0.25">
      <c r="A4831" s="8" t="str">
        <f t="shared" si="225"/>
        <v/>
      </c>
      <c r="B4831" s="9" t="str">
        <f t="shared" si="226"/>
        <v/>
      </c>
      <c r="C4831" s="10" t="str">
        <f t="shared" si="227"/>
        <v/>
      </c>
    </row>
    <row r="4832" spans="1:3" x14ac:dyDescent="0.25">
      <c r="A4832" s="8" t="str">
        <f t="shared" si="225"/>
        <v/>
      </c>
      <c r="B4832" s="9" t="str">
        <f t="shared" si="226"/>
        <v/>
      </c>
      <c r="C4832" s="10" t="str">
        <f t="shared" si="227"/>
        <v/>
      </c>
    </row>
    <row r="4833" spans="1:3" x14ac:dyDescent="0.25">
      <c r="A4833" s="8" t="str">
        <f t="shared" si="225"/>
        <v/>
      </c>
      <c r="B4833" s="9" t="str">
        <f t="shared" si="226"/>
        <v/>
      </c>
      <c r="C4833" s="10" t="str">
        <f t="shared" si="227"/>
        <v/>
      </c>
    </row>
    <row r="4834" spans="1:3" x14ac:dyDescent="0.25">
      <c r="A4834" s="8" t="str">
        <f t="shared" si="225"/>
        <v/>
      </c>
      <c r="B4834" s="9" t="str">
        <f t="shared" si="226"/>
        <v/>
      </c>
      <c r="C4834" s="10" t="str">
        <f t="shared" si="227"/>
        <v/>
      </c>
    </row>
    <row r="4835" spans="1:3" x14ac:dyDescent="0.25">
      <c r="A4835" s="8" t="str">
        <f t="shared" si="225"/>
        <v/>
      </c>
      <c r="B4835" s="9" t="str">
        <f t="shared" si="226"/>
        <v/>
      </c>
      <c r="C4835" s="10" t="str">
        <f t="shared" si="227"/>
        <v/>
      </c>
    </row>
    <row r="4836" spans="1:3" x14ac:dyDescent="0.25">
      <c r="A4836" s="8" t="str">
        <f t="shared" si="225"/>
        <v/>
      </c>
      <c r="B4836" s="9" t="str">
        <f t="shared" si="226"/>
        <v/>
      </c>
      <c r="C4836" s="10" t="str">
        <f t="shared" si="227"/>
        <v/>
      </c>
    </row>
    <row r="4837" spans="1:3" x14ac:dyDescent="0.25">
      <c r="A4837" s="8" t="str">
        <f t="shared" si="225"/>
        <v/>
      </c>
      <c r="B4837" s="9" t="str">
        <f t="shared" si="226"/>
        <v/>
      </c>
      <c r="C4837" s="10" t="str">
        <f t="shared" si="227"/>
        <v/>
      </c>
    </row>
    <row r="4838" spans="1:3" x14ac:dyDescent="0.25">
      <c r="A4838" s="8" t="str">
        <f t="shared" si="225"/>
        <v/>
      </c>
      <c r="B4838" s="9" t="str">
        <f t="shared" si="226"/>
        <v/>
      </c>
      <c r="C4838" s="10" t="str">
        <f t="shared" si="227"/>
        <v/>
      </c>
    </row>
    <row r="4839" spans="1:3" x14ac:dyDescent="0.25">
      <c r="A4839" s="8" t="str">
        <f t="shared" ref="A4839:A4902" si="228">IF(D4839="","",IF(E4839=0,CONCATENATE(D4839,".",E4839,"00"),CONCATENATE(D4839,".",E4839)))</f>
        <v/>
      </c>
      <c r="B4839" s="9" t="str">
        <f t="shared" ref="B4839:B4902" si="229">LEFT(G4839,1)</f>
        <v/>
      </c>
      <c r="C4839" s="10" t="str">
        <f t="shared" ref="C4839:C4902" si="230">IF(F4839="","",IF(B4839="",F4839-4,IF(B4839="1",F4839-4,IF(B4839="2",F4839-3,IF(B4839="3",F4839-2,IF(B4839="4",F4839-1,IF(B4839="V",F4839-7,IF(B4839="J",F4839-8,F4839))))))))</f>
        <v/>
      </c>
    </row>
    <row r="4840" spans="1:3" x14ac:dyDescent="0.25">
      <c r="A4840" s="8" t="str">
        <f t="shared" si="228"/>
        <v/>
      </c>
      <c r="B4840" s="9" t="str">
        <f t="shared" si="229"/>
        <v/>
      </c>
      <c r="C4840" s="10" t="str">
        <f t="shared" si="230"/>
        <v/>
      </c>
    </row>
    <row r="4841" spans="1:3" x14ac:dyDescent="0.25">
      <c r="A4841" s="8" t="str">
        <f t="shared" si="228"/>
        <v/>
      </c>
      <c r="B4841" s="9" t="str">
        <f t="shared" si="229"/>
        <v/>
      </c>
      <c r="C4841" s="10" t="str">
        <f t="shared" si="230"/>
        <v/>
      </c>
    </row>
    <row r="4842" spans="1:3" x14ac:dyDescent="0.25">
      <c r="A4842" s="8" t="str">
        <f t="shared" si="228"/>
        <v/>
      </c>
      <c r="B4842" s="9" t="str">
        <f t="shared" si="229"/>
        <v/>
      </c>
      <c r="C4842" s="10" t="str">
        <f t="shared" si="230"/>
        <v/>
      </c>
    </row>
    <row r="4843" spans="1:3" x14ac:dyDescent="0.25">
      <c r="A4843" s="8" t="str">
        <f t="shared" si="228"/>
        <v/>
      </c>
      <c r="B4843" s="9" t="str">
        <f t="shared" si="229"/>
        <v/>
      </c>
      <c r="C4843" s="10" t="str">
        <f t="shared" si="230"/>
        <v/>
      </c>
    </row>
    <row r="4844" spans="1:3" x14ac:dyDescent="0.25">
      <c r="A4844" s="8" t="str">
        <f t="shared" si="228"/>
        <v/>
      </c>
      <c r="B4844" s="9" t="str">
        <f t="shared" si="229"/>
        <v/>
      </c>
      <c r="C4844" s="10" t="str">
        <f t="shared" si="230"/>
        <v/>
      </c>
    </row>
    <row r="4845" spans="1:3" x14ac:dyDescent="0.25">
      <c r="A4845" s="8" t="str">
        <f t="shared" si="228"/>
        <v/>
      </c>
      <c r="B4845" s="9" t="str">
        <f t="shared" si="229"/>
        <v/>
      </c>
      <c r="C4845" s="10" t="str">
        <f t="shared" si="230"/>
        <v/>
      </c>
    </row>
    <row r="4846" spans="1:3" x14ac:dyDescent="0.25">
      <c r="A4846" s="8" t="str">
        <f t="shared" si="228"/>
        <v/>
      </c>
      <c r="B4846" s="9" t="str">
        <f t="shared" si="229"/>
        <v/>
      </c>
      <c r="C4846" s="10" t="str">
        <f t="shared" si="230"/>
        <v/>
      </c>
    </row>
    <row r="4847" spans="1:3" x14ac:dyDescent="0.25">
      <c r="A4847" s="8" t="str">
        <f t="shared" si="228"/>
        <v/>
      </c>
      <c r="B4847" s="9" t="str">
        <f t="shared" si="229"/>
        <v/>
      </c>
      <c r="C4847" s="10" t="str">
        <f t="shared" si="230"/>
        <v/>
      </c>
    </row>
    <row r="4848" spans="1:3" x14ac:dyDescent="0.25">
      <c r="A4848" s="8" t="str">
        <f t="shared" si="228"/>
        <v/>
      </c>
      <c r="B4848" s="9" t="str">
        <f t="shared" si="229"/>
        <v/>
      </c>
      <c r="C4848" s="10" t="str">
        <f t="shared" si="230"/>
        <v/>
      </c>
    </row>
    <row r="4849" spans="1:3" x14ac:dyDescent="0.25">
      <c r="A4849" s="8" t="str">
        <f t="shared" si="228"/>
        <v/>
      </c>
      <c r="B4849" s="9" t="str">
        <f t="shared" si="229"/>
        <v/>
      </c>
      <c r="C4849" s="10" t="str">
        <f t="shared" si="230"/>
        <v/>
      </c>
    </row>
    <row r="4850" spans="1:3" x14ac:dyDescent="0.25">
      <c r="A4850" s="8" t="str">
        <f t="shared" si="228"/>
        <v/>
      </c>
      <c r="B4850" s="9" t="str">
        <f t="shared" si="229"/>
        <v/>
      </c>
      <c r="C4850" s="10" t="str">
        <f t="shared" si="230"/>
        <v/>
      </c>
    </row>
    <row r="4851" spans="1:3" x14ac:dyDescent="0.25">
      <c r="A4851" s="8" t="str">
        <f t="shared" si="228"/>
        <v/>
      </c>
      <c r="B4851" s="9" t="str">
        <f t="shared" si="229"/>
        <v/>
      </c>
      <c r="C4851" s="10" t="str">
        <f t="shared" si="230"/>
        <v/>
      </c>
    </row>
    <row r="4852" spans="1:3" x14ac:dyDescent="0.25">
      <c r="A4852" s="8" t="str">
        <f t="shared" si="228"/>
        <v/>
      </c>
      <c r="B4852" s="9" t="str">
        <f t="shared" si="229"/>
        <v/>
      </c>
      <c r="C4852" s="10" t="str">
        <f t="shared" si="230"/>
        <v/>
      </c>
    </row>
    <row r="4853" spans="1:3" x14ac:dyDescent="0.25">
      <c r="A4853" s="8" t="str">
        <f t="shared" si="228"/>
        <v/>
      </c>
      <c r="B4853" s="9" t="str">
        <f t="shared" si="229"/>
        <v/>
      </c>
      <c r="C4853" s="10" t="str">
        <f t="shared" si="230"/>
        <v/>
      </c>
    </row>
    <row r="4854" spans="1:3" x14ac:dyDescent="0.25">
      <c r="A4854" s="8" t="str">
        <f t="shared" si="228"/>
        <v/>
      </c>
      <c r="B4854" s="9" t="str">
        <f t="shared" si="229"/>
        <v/>
      </c>
      <c r="C4854" s="10" t="str">
        <f t="shared" si="230"/>
        <v/>
      </c>
    </row>
    <row r="4855" spans="1:3" x14ac:dyDescent="0.25">
      <c r="A4855" s="8" t="str">
        <f t="shared" si="228"/>
        <v/>
      </c>
      <c r="B4855" s="9" t="str">
        <f t="shared" si="229"/>
        <v/>
      </c>
      <c r="C4855" s="10" t="str">
        <f t="shared" si="230"/>
        <v/>
      </c>
    </row>
    <row r="4856" spans="1:3" x14ac:dyDescent="0.25">
      <c r="A4856" s="8" t="str">
        <f t="shared" si="228"/>
        <v/>
      </c>
      <c r="B4856" s="9" t="str">
        <f t="shared" si="229"/>
        <v/>
      </c>
      <c r="C4856" s="10" t="str">
        <f t="shared" si="230"/>
        <v/>
      </c>
    </row>
    <row r="4857" spans="1:3" x14ac:dyDescent="0.25">
      <c r="A4857" s="8" t="str">
        <f t="shared" si="228"/>
        <v/>
      </c>
      <c r="B4857" s="9" t="str">
        <f t="shared" si="229"/>
        <v/>
      </c>
      <c r="C4857" s="10" t="str">
        <f t="shared" si="230"/>
        <v/>
      </c>
    </row>
    <row r="4858" spans="1:3" x14ac:dyDescent="0.25">
      <c r="A4858" s="8" t="str">
        <f t="shared" si="228"/>
        <v/>
      </c>
      <c r="B4858" s="9" t="str">
        <f t="shared" si="229"/>
        <v/>
      </c>
      <c r="C4858" s="10" t="str">
        <f t="shared" si="230"/>
        <v/>
      </c>
    </row>
    <row r="4859" spans="1:3" x14ac:dyDescent="0.25">
      <c r="A4859" s="8" t="str">
        <f t="shared" si="228"/>
        <v/>
      </c>
      <c r="B4859" s="9" t="str">
        <f t="shared" si="229"/>
        <v/>
      </c>
      <c r="C4859" s="10" t="str">
        <f t="shared" si="230"/>
        <v/>
      </c>
    </row>
    <row r="4860" spans="1:3" x14ac:dyDescent="0.25">
      <c r="A4860" s="8" t="str">
        <f t="shared" si="228"/>
        <v/>
      </c>
      <c r="B4860" s="9" t="str">
        <f t="shared" si="229"/>
        <v/>
      </c>
      <c r="C4860" s="10" t="str">
        <f t="shared" si="230"/>
        <v/>
      </c>
    </row>
    <row r="4861" spans="1:3" x14ac:dyDescent="0.25">
      <c r="A4861" s="8" t="str">
        <f t="shared" si="228"/>
        <v/>
      </c>
      <c r="B4861" s="9" t="str">
        <f t="shared" si="229"/>
        <v/>
      </c>
      <c r="C4861" s="10" t="str">
        <f t="shared" si="230"/>
        <v/>
      </c>
    </row>
    <row r="4862" spans="1:3" x14ac:dyDescent="0.25">
      <c r="A4862" s="8" t="str">
        <f t="shared" si="228"/>
        <v/>
      </c>
      <c r="B4862" s="9" t="str">
        <f t="shared" si="229"/>
        <v/>
      </c>
      <c r="C4862" s="10" t="str">
        <f t="shared" si="230"/>
        <v/>
      </c>
    </row>
    <row r="4863" spans="1:3" x14ac:dyDescent="0.25">
      <c r="A4863" s="8" t="str">
        <f t="shared" si="228"/>
        <v/>
      </c>
      <c r="B4863" s="9" t="str">
        <f t="shared" si="229"/>
        <v/>
      </c>
      <c r="C4863" s="10" t="str">
        <f t="shared" si="230"/>
        <v/>
      </c>
    </row>
    <row r="4864" spans="1:3" x14ac:dyDescent="0.25">
      <c r="A4864" s="8" t="str">
        <f t="shared" si="228"/>
        <v/>
      </c>
      <c r="B4864" s="9" t="str">
        <f t="shared" si="229"/>
        <v/>
      </c>
      <c r="C4864" s="10" t="str">
        <f t="shared" si="230"/>
        <v/>
      </c>
    </row>
    <row r="4865" spans="1:3" x14ac:dyDescent="0.25">
      <c r="A4865" s="8" t="str">
        <f t="shared" si="228"/>
        <v/>
      </c>
      <c r="B4865" s="9" t="str">
        <f t="shared" si="229"/>
        <v/>
      </c>
      <c r="C4865" s="10" t="str">
        <f t="shared" si="230"/>
        <v/>
      </c>
    </row>
    <row r="4866" spans="1:3" x14ac:dyDescent="0.25">
      <c r="A4866" s="8" t="str">
        <f t="shared" si="228"/>
        <v/>
      </c>
      <c r="B4866" s="9" t="str">
        <f t="shared" si="229"/>
        <v/>
      </c>
      <c r="C4866" s="10" t="str">
        <f t="shared" si="230"/>
        <v/>
      </c>
    </row>
    <row r="4867" spans="1:3" x14ac:dyDescent="0.25">
      <c r="A4867" s="8" t="str">
        <f t="shared" si="228"/>
        <v/>
      </c>
      <c r="B4867" s="9" t="str">
        <f t="shared" si="229"/>
        <v/>
      </c>
      <c r="C4867" s="10" t="str">
        <f t="shared" si="230"/>
        <v/>
      </c>
    </row>
    <row r="4868" spans="1:3" x14ac:dyDescent="0.25">
      <c r="A4868" s="8" t="str">
        <f t="shared" si="228"/>
        <v/>
      </c>
      <c r="B4868" s="9" t="str">
        <f t="shared" si="229"/>
        <v/>
      </c>
      <c r="C4868" s="10" t="str">
        <f t="shared" si="230"/>
        <v/>
      </c>
    </row>
    <row r="4869" spans="1:3" x14ac:dyDescent="0.25">
      <c r="A4869" s="8" t="str">
        <f t="shared" si="228"/>
        <v/>
      </c>
      <c r="B4869" s="9" t="str">
        <f t="shared" si="229"/>
        <v/>
      </c>
      <c r="C4869" s="10" t="str">
        <f t="shared" si="230"/>
        <v/>
      </c>
    </row>
    <row r="4870" spans="1:3" x14ac:dyDescent="0.25">
      <c r="A4870" s="8" t="str">
        <f t="shared" si="228"/>
        <v/>
      </c>
      <c r="B4870" s="9" t="str">
        <f t="shared" si="229"/>
        <v/>
      </c>
      <c r="C4870" s="10" t="str">
        <f t="shared" si="230"/>
        <v/>
      </c>
    </row>
    <row r="4871" spans="1:3" x14ac:dyDescent="0.25">
      <c r="A4871" s="8" t="str">
        <f t="shared" si="228"/>
        <v/>
      </c>
      <c r="B4871" s="9" t="str">
        <f t="shared" si="229"/>
        <v/>
      </c>
      <c r="C4871" s="10" t="str">
        <f t="shared" si="230"/>
        <v/>
      </c>
    </row>
    <row r="4872" spans="1:3" x14ac:dyDescent="0.25">
      <c r="A4872" s="8" t="str">
        <f t="shared" si="228"/>
        <v/>
      </c>
      <c r="B4872" s="9" t="str">
        <f t="shared" si="229"/>
        <v/>
      </c>
      <c r="C4872" s="10" t="str">
        <f t="shared" si="230"/>
        <v/>
      </c>
    </row>
    <row r="4873" spans="1:3" x14ac:dyDescent="0.25">
      <c r="A4873" s="8" t="str">
        <f t="shared" si="228"/>
        <v/>
      </c>
      <c r="B4873" s="9" t="str">
        <f t="shared" si="229"/>
        <v/>
      </c>
      <c r="C4873" s="10" t="str">
        <f t="shared" si="230"/>
        <v/>
      </c>
    </row>
    <row r="4874" spans="1:3" x14ac:dyDescent="0.25">
      <c r="A4874" s="8" t="str">
        <f t="shared" si="228"/>
        <v/>
      </c>
      <c r="B4874" s="9" t="str">
        <f t="shared" si="229"/>
        <v/>
      </c>
      <c r="C4874" s="10" t="str">
        <f t="shared" si="230"/>
        <v/>
      </c>
    </row>
    <row r="4875" spans="1:3" x14ac:dyDescent="0.25">
      <c r="A4875" s="8" t="str">
        <f t="shared" si="228"/>
        <v/>
      </c>
      <c r="B4875" s="9" t="str">
        <f t="shared" si="229"/>
        <v/>
      </c>
      <c r="C4875" s="10" t="str">
        <f t="shared" si="230"/>
        <v/>
      </c>
    </row>
    <row r="4876" spans="1:3" x14ac:dyDescent="0.25">
      <c r="A4876" s="8" t="str">
        <f t="shared" si="228"/>
        <v/>
      </c>
      <c r="B4876" s="9" t="str">
        <f t="shared" si="229"/>
        <v/>
      </c>
      <c r="C4876" s="10" t="str">
        <f t="shared" si="230"/>
        <v/>
      </c>
    </row>
    <row r="4877" spans="1:3" x14ac:dyDescent="0.25">
      <c r="A4877" s="8" t="str">
        <f t="shared" si="228"/>
        <v/>
      </c>
      <c r="B4877" s="9" t="str">
        <f t="shared" si="229"/>
        <v/>
      </c>
      <c r="C4877" s="10" t="str">
        <f t="shared" si="230"/>
        <v/>
      </c>
    </row>
    <row r="4878" spans="1:3" x14ac:dyDescent="0.25">
      <c r="A4878" s="8" t="str">
        <f t="shared" si="228"/>
        <v/>
      </c>
      <c r="B4878" s="9" t="str">
        <f t="shared" si="229"/>
        <v/>
      </c>
      <c r="C4878" s="10" t="str">
        <f t="shared" si="230"/>
        <v/>
      </c>
    </row>
    <row r="4879" spans="1:3" x14ac:dyDescent="0.25">
      <c r="A4879" s="8" t="str">
        <f t="shared" si="228"/>
        <v/>
      </c>
      <c r="B4879" s="9" t="str">
        <f t="shared" si="229"/>
        <v/>
      </c>
      <c r="C4879" s="10" t="str">
        <f t="shared" si="230"/>
        <v/>
      </c>
    </row>
    <row r="4880" spans="1:3" x14ac:dyDescent="0.25">
      <c r="A4880" s="8" t="str">
        <f t="shared" si="228"/>
        <v/>
      </c>
      <c r="B4880" s="9" t="str">
        <f t="shared" si="229"/>
        <v/>
      </c>
      <c r="C4880" s="10" t="str">
        <f t="shared" si="230"/>
        <v/>
      </c>
    </row>
    <row r="4881" spans="1:3" x14ac:dyDescent="0.25">
      <c r="A4881" s="8" t="str">
        <f t="shared" si="228"/>
        <v/>
      </c>
      <c r="B4881" s="9" t="str">
        <f t="shared" si="229"/>
        <v/>
      </c>
      <c r="C4881" s="10" t="str">
        <f t="shared" si="230"/>
        <v/>
      </c>
    </row>
    <row r="4882" spans="1:3" x14ac:dyDescent="0.25">
      <c r="A4882" s="8" t="str">
        <f t="shared" si="228"/>
        <v/>
      </c>
      <c r="B4882" s="9" t="str">
        <f t="shared" si="229"/>
        <v/>
      </c>
      <c r="C4882" s="10" t="str">
        <f t="shared" si="230"/>
        <v/>
      </c>
    </row>
    <row r="4883" spans="1:3" x14ac:dyDescent="0.25">
      <c r="A4883" s="8" t="str">
        <f t="shared" si="228"/>
        <v/>
      </c>
      <c r="B4883" s="9" t="str">
        <f t="shared" si="229"/>
        <v/>
      </c>
      <c r="C4883" s="10" t="str">
        <f t="shared" si="230"/>
        <v/>
      </c>
    </row>
    <row r="4884" spans="1:3" x14ac:dyDescent="0.25">
      <c r="A4884" s="8" t="str">
        <f t="shared" si="228"/>
        <v/>
      </c>
      <c r="B4884" s="9" t="str">
        <f t="shared" si="229"/>
        <v/>
      </c>
      <c r="C4884" s="10" t="str">
        <f t="shared" si="230"/>
        <v/>
      </c>
    </row>
    <row r="4885" spans="1:3" x14ac:dyDescent="0.25">
      <c r="A4885" s="8" t="str">
        <f t="shared" si="228"/>
        <v/>
      </c>
      <c r="B4885" s="9" t="str">
        <f t="shared" si="229"/>
        <v/>
      </c>
      <c r="C4885" s="10" t="str">
        <f t="shared" si="230"/>
        <v/>
      </c>
    </row>
    <row r="4886" spans="1:3" x14ac:dyDescent="0.25">
      <c r="A4886" s="8" t="str">
        <f t="shared" si="228"/>
        <v/>
      </c>
      <c r="B4886" s="9" t="str">
        <f t="shared" si="229"/>
        <v/>
      </c>
      <c r="C4886" s="10" t="str">
        <f t="shared" si="230"/>
        <v/>
      </c>
    </row>
    <row r="4887" spans="1:3" x14ac:dyDescent="0.25">
      <c r="A4887" s="8" t="str">
        <f t="shared" si="228"/>
        <v/>
      </c>
      <c r="B4887" s="9" t="str">
        <f t="shared" si="229"/>
        <v/>
      </c>
      <c r="C4887" s="10" t="str">
        <f t="shared" si="230"/>
        <v/>
      </c>
    </row>
    <row r="4888" spans="1:3" x14ac:dyDescent="0.25">
      <c r="A4888" s="8" t="str">
        <f t="shared" si="228"/>
        <v/>
      </c>
      <c r="B4888" s="9" t="str">
        <f t="shared" si="229"/>
        <v/>
      </c>
      <c r="C4888" s="10" t="str">
        <f t="shared" si="230"/>
        <v/>
      </c>
    </row>
    <row r="4889" spans="1:3" x14ac:dyDescent="0.25">
      <c r="A4889" s="8" t="str">
        <f t="shared" si="228"/>
        <v/>
      </c>
      <c r="B4889" s="9" t="str">
        <f t="shared" si="229"/>
        <v/>
      </c>
      <c r="C4889" s="10" t="str">
        <f t="shared" si="230"/>
        <v/>
      </c>
    </row>
    <row r="4890" spans="1:3" x14ac:dyDescent="0.25">
      <c r="A4890" s="8" t="str">
        <f t="shared" si="228"/>
        <v/>
      </c>
      <c r="B4890" s="9" t="str">
        <f t="shared" si="229"/>
        <v/>
      </c>
      <c r="C4890" s="10" t="str">
        <f t="shared" si="230"/>
        <v/>
      </c>
    </row>
    <row r="4891" spans="1:3" x14ac:dyDescent="0.25">
      <c r="A4891" s="8" t="str">
        <f t="shared" si="228"/>
        <v/>
      </c>
      <c r="B4891" s="9" t="str">
        <f t="shared" si="229"/>
        <v/>
      </c>
      <c r="C4891" s="10" t="str">
        <f t="shared" si="230"/>
        <v/>
      </c>
    </row>
    <row r="4892" spans="1:3" x14ac:dyDescent="0.25">
      <c r="A4892" s="8" t="str">
        <f t="shared" si="228"/>
        <v/>
      </c>
      <c r="B4892" s="9" t="str">
        <f t="shared" si="229"/>
        <v/>
      </c>
      <c r="C4892" s="10" t="str">
        <f t="shared" si="230"/>
        <v/>
      </c>
    </row>
    <row r="4893" spans="1:3" x14ac:dyDescent="0.25">
      <c r="A4893" s="8" t="str">
        <f t="shared" si="228"/>
        <v/>
      </c>
      <c r="B4893" s="9" t="str">
        <f t="shared" si="229"/>
        <v/>
      </c>
      <c r="C4893" s="10" t="str">
        <f t="shared" si="230"/>
        <v/>
      </c>
    </row>
    <row r="4894" spans="1:3" x14ac:dyDescent="0.25">
      <c r="A4894" s="8" t="str">
        <f t="shared" si="228"/>
        <v/>
      </c>
      <c r="B4894" s="9" t="str">
        <f t="shared" si="229"/>
        <v/>
      </c>
      <c r="C4894" s="10" t="str">
        <f t="shared" si="230"/>
        <v/>
      </c>
    </row>
    <row r="4895" spans="1:3" x14ac:dyDescent="0.25">
      <c r="A4895" s="8" t="str">
        <f t="shared" si="228"/>
        <v/>
      </c>
      <c r="B4895" s="9" t="str">
        <f t="shared" si="229"/>
        <v/>
      </c>
      <c r="C4895" s="10" t="str">
        <f t="shared" si="230"/>
        <v/>
      </c>
    </row>
    <row r="4896" spans="1:3" x14ac:dyDescent="0.25">
      <c r="A4896" s="8" t="str">
        <f t="shared" si="228"/>
        <v/>
      </c>
      <c r="B4896" s="9" t="str">
        <f t="shared" si="229"/>
        <v/>
      </c>
      <c r="C4896" s="10" t="str">
        <f t="shared" si="230"/>
        <v/>
      </c>
    </row>
    <row r="4897" spans="1:3" x14ac:dyDescent="0.25">
      <c r="A4897" s="8" t="str">
        <f t="shared" si="228"/>
        <v/>
      </c>
      <c r="B4897" s="9" t="str">
        <f t="shared" si="229"/>
        <v/>
      </c>
      <c r="C4897" s="10" t="str">
        <f t="shared" si="230"/>
        <v/>
      </c>
    </row>
    <row r="4898" spans="1:3" x14ac:dyDescent="0.25">
      <c r="A4898" s="8" t="str">
        <f t="shared" si="228"/>
        <v/>
      </c>
      <c r="B4898" s="9" t="str">
        <f t="shared" si="229"/>
        <v/>
      </c>
      <c r="C4898" s="10" t="str">
        <f t="shared" si="230"/>
        <v/>
      </c>
    </row>
    <row r="4899" spans="1:3" x14ac:dyDescent="0.25">
      <c r="A4899" s="8" t="str">
        <f t="shared" si="228"/>
        <v/>
      </c>
      <c r="B4899" s="9" t="str">
        <f t="shared" si="229"/>
        <v/>
      </c>
      <c r="C4899" s="10" t="str">
        <f t="shared" si="230"/>
        <v/>
      </c>
    </row>
    <row r="4900" spans="1:3" x14ac:dyDescent="0.25">
      <c r="A4900" s="8" t="str">
        <f t="shared" si="228"/>
        <v/>
      </c>
      <c r="B4900" s="9" t="str">
        <f t="shared" si="229"/>
        <v/>
      </c>
      <c r="C4900" s="10" t="str">
        <f t="shared" si="230"/>
        <v/>
      </c>
    </row>
    <row r="4901" spans="1:3" x14ac:dyDescent="0.25">
      <c r="A4901" s="8" t="str">
        <f t="shared" si="228"/>
        <v/>
      </c>
      <c r="B4901" s="9" t="str">
        <f t="shared" si="229"/>
        <v/>
      </c>
      <c r="C4901" s="10" t="str">
        <f t="shared" si="230"/>
        <v/>
      </c>
    </row>
    <row r="4902" spans="1:3" x14ac:dyDescent="0.25">
      <c r="A4902" s="8" t="str">
        <f t="shared" si="228"/>
        <v/>
      </c>
      <c r="B4902" s="9" t="str">
        <f t="shared" si="229"/>
        <v/>
      </c>
      <c r="C4902" s="10" t="str">
        <f t="shared" si="230"/>
        <v/>
      </c>
    </row>
    <row r="4903" spans="1:3" x14ac:dyDescent="0.25">
      <c r="A4903" s="8" t="str">
        <f t="shared" ref="A4903:A4966" si="231">IF(D4903="","",IF(E4903=0,CONCATENATE(D4903,".",E4903,"00"),CONCATENATE(D4903,".",E4903)))</f>
        <v/>
      </c>
      <c r="B4903" s="9" t="str">
        <f t="shared" ref="B4903:B4966" si="232">LEFT(G4903,1)</f>
        <v/>
      </c>
      <c r="C4903" s="10" t="str">
        <f t="shared" ref="C4903:C4966" si="233">IF(F4903="","",IF(B4903="",F4903-4,IF(B4903="1",F4903-4,IF(B4903="2",F4903-3,IF(B4903="3",F4903-2,IF(B4903="4",F4903-1,IF(B4903="V",F4903-7,IF(B4903="J",F4903-8,F4903))))))))</f>
        <v/>
      </c>
    </row>
    <row r="4904" spans="1:3" x14ac:dyDescent="0.25">
      <c r="A4904" s="8" t="str">
        <f t="shared" si="231"/>
        <v/>
      </c>
      <c r="B4904" s="9" t="str">
        <f t="shared" si="232"/>
        <v/>
      </c>
      <c r="C4904" s="10" t="str">
        <f t="shared" si="233"/>
        <v/>
      </c>
    </row>
    <row r="4905" spans="1:3" x14ac:dyDescent="0.25">
      <c r="A4905" s="8" t="str">
        <f t="shared" si="231"/>
        <v/>
      </c>
      <c r="B4905" s="9" t="str">
        <f t="shared" si="232"/>
        <v/>
      </c>
      <c r="C4905" s="10" t="str">
        <f t="shared" si="233"/>
        <v/>
      </c>
    </row>
    <row r="4906" spans="1:3" x14ac:dyDescent="0.25">
      <c r="A4906" s="8" t="str">
        <f t="shared" si="231"/>
        <v/>
      </c>
      <c r="B4906" s="9" t="str">
        <f t="shared" si="232"/>
        <v/>
      </c>
      <c r="C4906" s="10" t="str">
        <f t="shared" si="233"/>
        <v/>
      </c>
    </row>
    <row r="4907" spans="1:3" x14ac:dyDescent="0.25">
      <c r="A4907" s="8" t="str">
        <f t="shared" si="231"/>
        <v/>
      </c>
      <c r="B4907" s="9" t="str">
        <f t="shared" si="232"/>
        <v/>
      </c>
      <c r="C4907" s="10" t="str">
        <f t="shared" si="233"/>
        <v/>
      </c>
    </row>
    <row r="4908" spans="1:3" x14ac:dyDescent="0.25">
      <c r="A4908" s="8" t="str">
        <f t="shared" si="231"/>
        <v/>
      </c>
      <c r="B4908" s="9" t="str">
        <f t="shared" si="232"/>
        <v/>
      </c>
      <c r="C4908" s="10" t="str">
        <f t="shared" si="233"/>
        <v/>
      </c>
    </row>
    <row r="4909" spans="1:3" x14ac:dyDescent="0.25">
      <c r="A4909" s="8" t="str">
        <f t="shared" si="231"/>
        <v/>
      </c>
      <c r="B4909" s="9" t="str">
        <f t="shared" si="232"/>
        <v/>
      </c>
      <c r="C4909" s="10" t="str">
        <f t="shared" si="233"/>
        <v/>
      </c>
    </row>
    <row r="4910" spans="1:3" x14ac:dyDescent="0.25">
      <c r="A4910" s="8" t="str">
        <f t="shared" si="231"/>
        <v/>
      </c>
      <c r="B4910" s="9" t="str">
        <f t="shared" si="232"/>
        <v/>
      </c>
      <c r="C4910" s="10" t="str">
        <f t="shared" si="233"/>
        <v/>
      </c>
    </row>
    <row r="4911" spans="1:3" x14ac:dyDescent="0.25">
      <c r="A4911" s="8" t="str">
        <f t="shared" si="231"/>
        <v/>
      </c>
      <c r="B4911" s="9" t="str">
        <f t="shared" si="232"/>
        <v/>
      </c>
      <c r="C4911" s="10" t="str">
        <f t="shared" si="233"/>
        <v/>
      </c>
    </row>
    <row r="4912" spans="1:3" x14ac:dyDescent="0.25">
      <c r="A4912" s="8" t="str">
        <f t="shared" si="231"/>
        <v/>
      </c>
      <c r="B4912" s="9" t="str">
        <f t="shared" si="232"/>
        <v/>
      </c>
      <c r="C4912" s="10" t="str">
        <f t="shared" si="233"/>
        <v/>
      </c>
    </row>
    <row r="4913" spans="1:3" x14ac:dyDescent="0.25">
      <c r="A4913" s="8" t="str">
        <f t="shared" si="231"/>
        <v/>
      </c>
      <c r="B4913" s="9" t="str">
        <f t="shared" si="232"/>
        <v/>
      </c>
      <c r="C4913" s="10" t="str">
        <f t="shared" si="233"/>
        <v/>
      </c>
    </row>
    <row r="4914" spans="1:3" x14ac:dyDescent="0.25">
      <c r="A4914" s="8" t="str">
        <f t="shared" si="231"/>
        <v/>
      </c>
      <c r="B4914" s="9" t="str">
        <f t="shared" si="232"/>
        <v/>
      </c>
      <c r="C4914" s="10" t="str">
        <f t="shared" si="233"/>
        <v/>
      </c>
    </row>
    <row r="4915" spans="1:3" x14ac:dyDescent="0.25">
      <c r="A4915" s="8" t="str">
        <f t="shared" si="231"/>
        <v/>
      </c>
      <c r="B4915" s="9" t="str">
        <f t="shared" si="232"/>
        <v/>
      </c>
      <c r="C4915" s="10" t="str">
        <f t="shared" si="233"/>
        <v/>
      </c>
    </row>
    <row r="4916" spans="1:3" x14ac:dyDescent="0.25">
      <c r="A4916" s="8" t="str">
        <f t="shared" si="231"/>
        <v/>
      </c>
      <c r="B4916" s="9" t="str">
        <f t="shared" si="232"/>
        <v/>
      </c>
      <c r="C4916" s="10" t="str">
        <f t="shared" si="233"/>
        <v/>
      </c>
    </row>
    <row r="4917" spans="1:3" x14ac:dyDescent="0.25">
      <c r="A4917" s="8" t="str">
        <f t="shared" si="231"/>
        <v/>
      </c>
      <c r="B4917" s="9" t="str">
        <f t="shared" si="232"/>
        <v/>
      </c>
      <c r="C4917" s="10" t="str">
        <f t="shared" si="233"/>
        <v/>
      </c>
    </row>
    <row r="4918" spans="1:3" x14ac:dyDescent="0.25">
      <c r="A4918" s="8" t="str">
        <f t="shared" si="231"/>
        <v/>
      </c>
      <c r="B4918" s="9" t="str">
        <f t="shared" si="232"/>
        <v/>
      </c>
      <c r="C4918" s="10" t="str">
        <f t="shared" si="233"/>
        <v/>
      </c>
    </row>
    <row r="4919" spans="1:3" x14ac:dyDescent="0.25">
      <c r="A4919" s="8" t="str">
        <f t="shared" si="231"/>
        <v/>
      </c>
      <c r="B4919" s="9" t="str">
        <f t="shared" si="232"/>
        <v/>
      </c>
      <c r="C4919" s="10" t="str">
        <f t="shared" si="233"/>
        <v/>
      </c>
    </row>
    <row r="4920" spans="1:3" x14ac:dyDescent="0.25">
      <c r="A4920" s="8" t="str">
        <f t="shared" si="231"/>
        <v/>
      </c>
      <c r="B4920" s="9" t="str">
        <f t="shared" si="232"/>
        <v/>
      </c>
      <c r="C4920" s="10" t="str">
        <f t="shared" si="233"/>
        <v/>
      </c>
    </row>
    <row r="4921" spans="1:3" x14ac:dyDescent="0.25">
      <c r="A4921" s="8" t="str">
        <f t="shared" si="231"/>
        <v/>
      </c>
      <c r="B4921" s="9" t="str">
        <f t="shared" si="232"/>
        <v/>
      </c>
      <c r="C4921" s="10" t="str">
        <f t="shared" si="233"/>
        <v/>
      </c>
    </row>
    <row r="4922" spans="1:3" x14ac:dyDescent="0.25">
      <c r="A4922" s="8" t="str">
        <f t="shared" si="231"/>
        <v/>
      </c>
      <c r="B4922" s="9" t="str">
        <f t="shared" si="232"/>
        <v/>
      </c>
      <c r="C4922" s="10" t="str">
        <f t="shared" si="233"/>
        <v/>
      </c>
    </row>
    <row r="4923" spans="1:3" x14ac:dyDescent="0.25">
      <c r="A4923" s="8" t="str">
        <f t="shared" si="231"/>
        <v/>
      </c>
      <c r="B4923" s="9" t="str">
        <f t="shared" si="232"/>
        <v/>
      </c>
      <c r="C4923" s="10" t="str">
        <f t="shared" si="233"/>
        <v/>
      </c>
    </row>
    <row r="4924" spans="1:3" x14ac:dyDescent="0.25">
      <c r="A4924" s="8" t="str">
        <f t="shared" si="231"/>
        <v/>
      </c>
      <c r="B4924" s="9" t="str">
        <f t="shared" si="232"/>
        <v/>
      </c>
      <c r="C4924" s="10" t="str">
        <f t="shared" si="233"/>
        <v/>
      </c>
    </row>
    <row r="4925" spans="1:3" x14ac:dyDescent="0.25">
      <c r="A4925" s="8" t="str">
        <f t="shared" si="231"/>
        <v/>
      </c>
      <c r="B4925" s="9" t="str">
        <f t="shared" si="232"/>
        <v/>
      </c>
      <c r="C4925" s="10" t="str">
        <f t="shared" si="233"/>
        <v/>
      </c>
    </row>
    <row r="4926" spans="1:3" x14ac:dyDescent="0.25">
      <c r="A4926" s="8" t="str">
        <f t="shared" si="231"/>
        <v/>
      </c>
      <c r="B4926" s="9" t="str">
        <f t="shared" si="232"/>
        <v/>
      </c>
      <c r="C4926" s="10" t="str">
        <f t="shared" si="233"/>
        <v/>
      </c>
    </row>
    <row r="4927" spans="1:3" x14ac:dyDescent="0.25">
      <c r="A4927" s="8" t="str">
        <f t="shared" si="231"/>
        <v/>
      </c>
      <c r="B4927" s="9" t="str">
        <f t="shared" si="232"/>
        <v/>
      </c>
      <c r="C4927" s="10" t="str">
        <f t="shared" si="233"/>
        <v/>
      </c>
    </row>
    <row r="4928" spans="1:3" x14ac:dyDescent="0.25">
      <c r="A4928" s="8" t="str">
        <f t="shared" si="231"/>
        <v/>
      </c>
      <c r="B4928" s="9" t="str">
        <f t="shared" si="232"/>
        <v/>
      </c>
      <c r="C4928" s="10" t="str">
        <f t="shared" si="233"/>
        <v/>
      </c>
    </row>
    <row r="4929" spans="1:3" x14ac:dyDescent="0.25">
      <c r="A4929" s="8" t="str">
        <f t="shared" si="231"/>
        <v/>
      </c>
      <c r="B4929" s="9" t="str">
        <f t="shared" si="232"/>
        <v/>
      </c>
      <c r="C4929" s="10" t="str">
        <f t="shared" si="233"/>
        <v/>
      </c>
    </row>
    <row r="4930" spans="1:3" x14ac:dyDescent="0.25">
      <c r="A4930" s="8" t="str">
        <f t="shared" si="231"/>
        <v/>
      </c>
      <c r="B4930" s="9" t="str">
        <f t="shared" si="232"/>
        <v/>
      </c>
      <c r="C4930" s="10" t="str">
        <f t="shared" si="233"/>
        <v/>
      </c>
    </row>
    <row r="4931" spans="1:3" x14ac:dyDescent="0.25">
      <c r="A4931" s="8" t="str">
        <f t="shared" si="231"/>
        <v/>
      </c>
      <c r="B4931" s="9" t="str">
        <f t="shared" si="232"/>
        <v/>
      </c>
      <c r="C4931" s="10" t="str">
        <f t="shared" si="233"/>
        <v/>
      </c>
    </row>
    <row r="4932" spans="1:3" x14ac:dyDescent="0.25">
      <c r="A4932" s="8" t="str">
        <f t="shared" si="231"/>
        <v/>
      </c>
      <c r="B4932" s="9" t="str">
        <f t="shared" si="232"/>
        <v/>
      </c>
      <c r="C4932" s="10" t="str">
        <f t="shared" si="233"/>
        <v/>
      </c>
    </row>
    <row r="4933" spans="1:3" x14ac:dyDescent="0.25">
      <c r="A4933" s="8" t="str">
        <f t="shared" si="231"/>
        <v/>
      </c>
      <c r="B4933" s="9" t="str">
        <f t="shared" si="232"/>
        <v/>
      </c>
      <c r="C4933" s="10" t="str">
        <f t="shared" si="233"/>
        <v/>
      </c>
    </row>
    <row r="4934" spans="1:3" x14ac:dyDescent="0.25">
      <c r="A4934" s="8" t="str">
        <f t="shared" si="231"/>
        <v/>
      </c>
      <c r="B4934" s="9" t="str">
        <f t="shared" si="232"/>
        <v/>
      </c>
      <c r="C4934" s="10" t="str">
        <f t="shared" si="233"/>
        <v/>
      </c>
    </row>
    <row r="4935" spans="1:3" x14ac:dyDescent="0.25">
      <c r="A4935" s="8" t="str">
        <f t="shared" si="231"/>
        <v/>
      </c>
      <c r="B4935" s="9" t="str">
        <f t="shared" si="232"/>
        <v/>
      </c>
      <c r="C4935" s="10" t="str">
        <f t="shared" si="233"/>
        <v/>
      </c>
    </row>
    <row r="4936" spans="1:3" x14ac:dyDescent="0.25">
      <c r="A4936" s="8" t="str">
        <f t="shared" si="231"/>
        <v/>
      </c>
      <c r="B4936" s="9" t="str">
        <f t="shared" si="232"/>
        <v/>
      </c>
      <c r="C4936" s="10" t="str">
        <f t="shared" si="233"/>
        <v/>
      </c>
    </row>
    <row r="4937" spans="1:3" x14ac:dyDescent="0.25">
      <c r="A4937" s="8" t="str">
        <f t="shared" si="231"/>
        <v/>
      </c>
      <c r="B4937" s="9" t="str">
        <f t="shared" si="232"/>
        <v/>
      </c>
      <c r="C4937" s="10" t="str">
        <f t="shared" si="233"/>
        <v/>
      </c>
    </row>
    <row r="4938" spans="1:3" x14ac:dyDescent="0.25">
      <c r="A4938" s="8" t="str">
        <f t="shared" si="231"/>
        <v/>
      </c>
      <c r="B4938" s="9" t="str">
        <f t="shared" si="232"/>
        <v/>
      </c>
      <c r="C4938" s="10" t="str">
        <f t="shared" si="233"/>
        <v/>
      </c>
    </row>
    <row r="4939" spans="1:3" x14ac:dyDescent="0.25">
      <c r="A4939" s="8" t="str">
        <f t="shared" si="231"/>
        <v/>
      </c>
      <c r="B4939" s="9" t="str">
        <f t="shared" si="232"/>
        <v/>
      </c>
      <c r="C4939" s="10" t="str">
        <f t="shared" si="233"/>
        <v/>
      </c>
    </row>
    <row r="4940" spans="1:3" x14ac:dyDescent="0.25">
      <c r="A4940" s="8" t="str">
        <f t="shared" si="231"/>
        <v/>
      </c>
      <c r="B4940" s="9" t="str">
        <f t="shared" si="232"/>
        <v/>
      </c>
      <c r="C4940" s="10" t="str">
        <f t="shared" si="233"/>
        <v/>
      </c>
    </row>
    <row r="4941" spans="1:3" x14ac:dyDescent="0.25">
      <c r="A4941" s="8" t="str">
        <f t="shared" si="231"/>
        <v/>
      </c>
      <c r="B4941" s="9" t="str">
        <f t="shared" si="232"/>
        <v/>
      </c>
      <c r="C4941" s="10" t="str">
        <f t="shared" si="233"/>
        <v/>
      </c>
    </row>
    <row r="4942" spans="1:3" x14ac:dyDescent="0.25">
      <c r="A4942" s="8" t="str">
        <f t="shared" si="231"/>
        <v/>
      </c>
      <c r="B4942" s="9" t="str">
        <f t="shared" si="232"/>
        <v/>
      </c>
      <c r="C4942" s="10" t="str">
        <f t="shared" si="233"/>
        <v/>
      </c>
    </row>
    <row r="4943" spans="1:3" x14ac:dyDescent="0.25">
      <c r="A4943" s="8" t="str">
        <f t="shared" si="231"/>
        <v/>
      </c>
      <c r="B4943" s="9" t="str">
        <f t="shared" si="232"/>
        <v/>
      </c>
      <c r="C4943" s="10" t="str">
        <f t="shared" si="233"/>
        <v/>
      </c>
    </row>
    <row r="4944" spans="1:3" x14ac:dyDescent="0.25">
      <c r="A4944" s="8" t="str">
        <f t="shared" si="231"/>
        <v/>
      </c>
      <c r="B4944" s="9" t="str">
        <f t="shared" si="232"/>
        <v/>
      </c>
      <c r="C4944" s="10" t="str">
        <f t="shared" si="233"/>
        <v/>
      </c>
    </row>
    <row r="4945" spans="1:3" x14ac:dyDescent="0.25">
      <c r="A4945" s="8" t="str">
        <f t="shared" si="231"/>
        <v/>
      </c>
      <c r="B4945" s="9" t="str">
        <f t="shared" si="232"/>
        <v/>
      </c>
      <c r="C4945" s="10" t="str">
        <f t="shared" si="233"/>
        <v/>
      </c>
    </row>
    <row r="4946" spans="1:3" x14ac:dyDescent="0.25">
      <c r="A4946" s="8" t="str">
        <f t="shared" si="231"/>
        <v/>
      </c>
      <c r="B4946" s="9" t="str">
        <f t="shared" si="232"/>
        <v/>
      </c>
      <c r="C4946" s="10" t="str">
        <f t="shared" si="233"/>
        <v/>
      </c>
    </row>
    <row r="4947" spans="1:3" x14ac:dyDescent="0.25">
      <c r="A4947" s="8" t="str">
        <f t="shared" si="231"/>
        <v/>
      </c>
      <c r="B4947" s="9" t="str">
        <f t="shared" si="232"/>
        <v/>
      </c>
      <c r="C4947" s="10" t="str">
        <f t="shared" si="233"/>
        <v/>
      </c>
    </row>
    <row r="4948" spans="1:3" x14ac:dyDescent="0.25">
      <c r="A4948" s="8" t="str">
        <f t="shared" si="231"/>
        <v/>
      </c>
      <c r="B4948" s="9" t="str">
        <f t="shared" si="232"/>
        <v/>
      </c>
      <c r="C4948" s="10" t="str">
        <f t="shared" si="233"/>
        <v/>
      </c>
    </row>
    <row r="4949" spans="1:3" x14ac:dyDescent="0.25">
      <c r="A4949" s="8" t="str">
        <f t="shared" si="231"/>
        <v/>
      </c>
      <c r="B4949" s="9" t="str">
        <f t="shared" si="232"/>
        <v/>
      </c>
      <c r="C4949" s="10" t="str">
        <f t="shared" si="233"/>
        <v/>
      </c>
    </row>
    <row r="4950" spans="1:3" x14ac:dyDescent="0.25">
      <c r="A4950" s="8" t="str">
        <f t="shared" si="231"/>
        <v/>
      </c>
      <c r="B4950" s="9" t="str">
        <f t="shared" si="232"/>
        <v/>
      </c>
      <c r="C4950" s="10" t="str">
        <f t="shared" si="233"/>
        <v/>
      </c>
    </row>
    <row r="4951" spans="1:3" x14ac:dyDescent="0.25">
      <c r="A4951" s="8" t="str">
        <f t="shared" si="231"/>
        <v/>
      </c>
      <c r="B4951" s="9" t="str">
        <f t="shared" si="232"/>
        <v/>
      </c>
      <c r="C4951" s="10" t="str">
        <f t="shared" si="233"/>
        <v/>
      </c>
    </row>
    <row r="4952" spans="1:3" x14ac:dyDescent="0.25">
      <c r="A4952" s="8" t="str">
        <f t="shared" si="231"/>
        <v/>
      </c>
      <c r="B4952" s="9" t="str">
        <f t="shared" si="232"/>
        <v/>
      </c>
      <c r="C4952" s="10" t="str">
        <f t="shared" si="233"/>
        <v/>
      </c>
    </row>
    <row r="4953" spans="1:3" x14ac:dyDescent="0.25">
      <c r="A4953" s="8" t="str">
        <f t="shared" si="231"/>
        <v/>
      </c>
      <c r="B4953" s="9" t="str">
        <f t="shared" si="232"/>
        <v/>
      </c>
      <c r="C4953" s="10" t="str">
        <f t="shared" si="233"/>
        <v/>
      </c>
    </row>
    <row r="4954" spans="1:3" x14ac:dyDescent="0.25">
      <c r="A4954" s="8" t="str">
        <f t="shared" si="231"/>
        <v/>
      </c>
      <c r="B4954" s="9" t="str">
        <f t="shared" si="232"/>
        <v/>
      </c>
      <c r="C4954" s="10" t="str">
        <f t="shared" si="233"/>
        <v/>
      </c>
    </row>
    <row r="4955" spans="1:3" x14ac:dyDescent="0.25">
      <c r="A4955" s="8" t="str">
        <f t="shared" si="231"/>
        <v/>
      </c>
      <c r="B4955" s="9" t="str">
        <f t="shared" si="232"/>
        <v/>
      </c>
      <c r="C4955" s="10" t="str">
        <f t="shared" si="233"/>
        <v/>
      </c>
    </row>
    <row r="4956" spans="1:3" x14ac:dyDescent="0.25">
      <c r="A4956" s="8" t="str">
        <f t="shared" si="231"/>
        <v/>
      </c>
      <c r="B4956" s="9" t="str">
        <f t="shared" si="232"/>
        <v/>
      </c>
      <c r="C4956" s="10" t="str">
        <f t="shared" si="233"/>
        <v/>
      </c>
    </row>
    <row r="4957" spans="1:3" x14ac:dyDescent="0.25">
      <c r="A4957" s="8" t="str">
        <f t="shared" si="231"/>
        <v/>
      </c>
      <c r="B4957" s="9" t="str">
        <f t="shared" si="232"/>
        <v/>
      </c>
      <c r="C4957" s="10" t="str">
        <f t="shared" si="233"/>
        <v/>
      </c>
    </row>
    <row r="4958" spans="1:3" x14ac:dyDescent="0.25">
      <c r="A4958" s="8" t="str">
        <f t="shared" si="231"/>
        <v/>
      </c>
      <c r="B4958" s="9" t="str">
        <f t="shared" si="232"/>
        <v/>
      </c>
      <c r="C4958" s="10" t="str">
        <f t="shared" si="233"/>
        <v/>
      </c>
    </row>
    <row r="4959" spans="1:3" x14ac:dyDescent="0.25">
      <c r="A4959" s="8" t="str">
        <f t="shared" si="231"/>
        <v/>
      </c>
      <c r="B4959" s="9" t="str">
        <f t="shared" si="232"/>
        <v/>
      </c>
      <c r="C4959" s="10" t="str">
        <f t="shared" si="233"/>
        <v/>
      </c>
    </row>
    <row r="4960" spans="1:3" x14ac:dyDescent="0.25">
      <c r="A4960" s="8" t="str">
        <f t="shared" si="231"/>
        <v/>
      </c>
      <c r="B4960" s="9" t="str">
        <f t="shared" si="232"/>
        <v/>
      </c>
      <c r="C4960" s="10" t="str">
        <f t="shared" si="233"/>
        <v/>
      </c>
    </row>
    <row r="4961" spans="1:3" x14ac:dyDescent="0.25">
      <c r="A4961" s="8" t="str">
        <f t="shared" si="231"/>
        <v/>
      </c>
      <c r="B4961" s="9" t="str">
        <f t="shared" si="232"/>
        <v/>
      </c>
      <c r="C4961" s="10" t="str">
        <f t="shared" si="233"/>
        <v/>
      </c>
    </row>
    <row r="4962" spans="1:3" x14ac:dyDescent="0.25">
      <c r="A4962" s="8" t="str">
        <f t="shared" si="231"/>
        <v/>
      </c>
      <c r="B4962" s="9" t="str">
        <f t="shared" si="232"/>
        <v/>
      </c>
      <c r="C4962" s="10" t="str">
        <f t="shared" si="233"/>
        <v/>
      </c>
    </row>
    <row r="4963" spans="1:3" x14ac:dyDescent="0.25">
      <c r="A4963" s="8" t="str">
        <f t="shared" si="231"/>
        <v/>
      </c>
      <c r="B4963" s="9" t="str">
        <f t="shared" si="232"/>
        <v/>
      </c>
      <c r="C4963" s="10" t="str">
        <f t="shared" si="233"/>
        <v/>
      </c>
    </row>
    <row r="4964" spans="1:3" x14ac:dyDescent="0.25">
      <c r="A4964" s="8" t="str">
        <f t="shared" si="231"/>
        <v/>
      </c>
      <c r="B4964" s="9" t="str">
        <f t="shared" si="232"/>
        <v/>
      </c>
      <c r="C4964" s="10" t="str">
        <f t="shared" si="233"/>
        <v/>
      </c>
    </row>
    <row r="4965" spans="1:3" x14ac:dyDescent="0.25">
      <c r="A4965" s="8" t="str">
        <f t="shared" si="231"/>
        <v/>
      </c>
      <c r="B4965" s="9" t="str">
        <f t="shared" si="232"/>
        <v/>
      </c>
      <c r="C4965" s="10" t="str">
        <f t="shared" si="233"/>
        <v/>
      </c>
    </row>
    <row r="4966" spans="1:3" x14ac:dyDescent="0.25">
      <c r="A4966" s="8" t="str">
        <f t="shared" si="231"/>
        <v/>
      </c>
      <c r="B4966" s="9" t="str">
        <f t="shared" si="232"/>
        <v/>
      </c>
      <c r="C4966" s="10" t="str">
        <f t="shared" si="233"/>
        <v/>
      </c>
    </row>
    <row r="4967" spans="1:3" x14ac:dyDescent="0.25">
      <c r="A4967" s="8" t="str">
        <f t="shared" ref="A4967:A5000" si="234">IF(D4967="","",IF(E4967=0,CONCATENATE(D4967,".",E4967,"00"),CONCATENATE(D4967,".",E4967)))</f>
        <v/>
      </c>
      <c r="B4967" s="9" t="str">
        <f t="shared" ref="B4967:B5000" si="235">LEFT(G4967,1)</f>
        <v/>
      </c>
      <c r="C4967" s="10" t="str">
        <f t="shared" ref="C4967:C5000" si="236">IF(F4967="","",IF(B4967="",F4967-4,IF(B4967="1",F4967-4,IF(B4967="2",F4967-3,IF(B4967="3",F4967-2,IF(B4967="4",F4967-1,IF(B4967="V",F4967-7,IF(B4967="J",F4967-8,F4967))))))))</f>
        <v/>
      </c>
    </row>
    <row r="4968" spans="1:3" x14ac:dyDescent="0.25">
      <c r="A4968" s="8" t="str">
        <f t="shared" si="234"/>
        <v/>
      </c>
      <c r="B4968" s="9" t="str">
        <f t="shared" si="235"/>
        <v/>
      </c>
      <c r="C4968" s="10" t="str">
        <f t="shared" si="236"/>
        <v/>
      </c>
    </row>
    <row r="4969" spans="1:3" x14ac:dyDescent="0.25">
      <c r="A4969" s="8" t="str">
        <f t="shared" si="234"/>
        <v/>
      </c>
      <c r="B4969" s="9" t="str">
        <f t="shared" si="235"/>
        <v/>
      </c>
      <c r="C4969" s="10" t="str">
        <f t="shared" si="236"/>
        <v/>
      </c>
    </row>
    <row r="4970" spans="1:3" x14ac:dyDescent="0.25">
      <c r="A4970" s="8" t="str">
        <f t="shared" si="234"/>
        <v/>
      </c>
      <c r="B4970" s="9" t="str">
        <f t="shared" si="235"/>
        <v/>
      </c>
      <c r="C4970" s="10" t="str">
        <f t="shared" si="236"/>
        <v/>
      </c>
    </row>
    <row r="4971" spans="1:3" x14ac:dyDescent="0.25">
      <c r="A4971" s="8" t="str">
        <f t="shared" si="234"/>
        <v/>
      </c>
      <c r="B4971" s="9" t="str">
        <f t="shared" si="235"/>
        <v/>
      </c>
      <c r="C4971" s="10" t="str">
        <f t="shared" si="236"/>
        <v/>
      </c>
    </row>
    <row r="4972" spans="1:3" x14ac:dyDescent="0.25">
      <c r="A4972" s="8" t="str">
        <f t="shared" si="234"/>
        <v/>
      </c>
      <c r="B4972" s="9" t="str">
        <f t="shared" si="235"/>
        <v/>
      </c>
      <c r="C4972" s="10" t="str">
        <f t="shared" si="236"/>
        <v/>
      </c>
    </row>
    <row r="4973" spans="1:3" x14ac:dyDescent="0.25">
      <c r="A4973" s="8" t="str">
        <f t="shared" si="234"/>
        <v/>
      </c>
      <c r="B4973" s="9" t="str">
        <f t="shared" si="235"/>
        <v/>
      </c>
      <c r="C4973" s="10" t="str">
        <f t="shared" si="236"/>
        <v/>
      </c>
    </row>
    <row r="4974" spans="1:3" x14ac:dyDescent="0.25">
      <c r="A4974" s="8" t="str">
        <f t="shared" si="234"/>
        <v/>
      </c>
      <c r="B4974" s="9" t="str">
        <f t="shared" si="235"/>
        <v/>
      </c>
      <c r="C4974" s="10" t="str">
        <f t="shared" si="236"/>
        <v/>
      </c>
    </row>
    <row r="4975" spans="1:3" x14ac:dyDescent="0.25">
      <c r="A4975" s="8" t="str">
        <f t="shared" si="234"/>
        <v/>
      </c>
      <c r="B4975" s="9" t="str">
        <f t="shared" si="235"/>
        <v/>
      </c>
      <c r="C4975" s="10" t="str">
        <f t="shared" si="236"/>
        <v/>
      </c>
    </row>
    <row r="4976" spans="1:3" x14ac:dyDescent="0.25">
      <c r="A4976" s="8" t="str">
        <f t="shared" si="234"/>
        <v/>
      </c>
      <c r="B4976" s="9" t="str">
        <f t="shared" si="235"/>
        <v/>
      </c>
      <c r="C4976" s="10" t="str">
        <f t="shared" si="236"/>
        <v/>
      </c>
    </row>
    <row r="4977" spans="1:3" x14ac:dyDescent="0.25">
      <c r="A4977" s="8" t="str">
        <f t="shared" si="234"/>
        <v/>
      </c>
      <c r="B4977" s="9" t="str">
        <f t="shared" si="235"/>
        <v/>
      </c>
      <c r="C4977" s="10" t="str">
        <f t="shared" si="236"/>
        <v/>
      </c>
    </row>
    <row r="4978" spans="1:3" x14ac:dyDescent="0.25">
      <c r="A4978" s="8" t="str">
        <f t="shared" si="234"/>
        <v/>
      </c>
      <c r="B4978" s="9" t="str">
        <f t="shared" si="235"/>
        <v/>
      </c>
      <c r="C4978" s="10" t="str">
        <f t="shared" si="236"/>
        <v/>
      </c>
    </row>
    <row r="4979" spans="1:3" x14ac:dyDescent="0.25">
      <c r="A4979" s="8" t="str">
        <f t="shared" si="234"/>
        <v/>
      </c>
      <c r="B4979" s="9" t="str">
        <f t="shared" si="235"/>
        <v/>
      </c>
      <c r="C4979" s="10" t="str">
        <f t="shared" si="236"/>
        <v/>
      </c>
    </row>
    <row r="4980" spans="1:3" x14ac:dyDescent="0.25">
      <c r="A4980" s="8" t="str">
        <f t="shared" si="234"/>
        <v/>
      </c>
      <c r="B4980" s="9" t="str">
        <f t="shared" si="235"/>
        <v/>
      </c>
      <c r="C4980" s="10" t="str">
        <f t="shared" si="236"/>
        <v/>
      </c>
    </row>
    <row r="4981" spans="1:3" x14ac:dyDescent="0.25">
      <c r="A4981" s="8" t="str">
        <f t="shared" si="234"/>
        <v/>
      </c>
      <c r="B4981" s="9" t="str">
        <f t="shared" si="235"/>
        <v/>
      </c>
      <c r="C4981" s="10" t="str">
        <f t="shared" si="236"/>
        <v/>
      </c>
    </row>
    <row r="4982" spans="1:3" x14ac:dyDescent="0.25">
      <c r="A4982" s="8" t="str">
        <f t="shared" si="234"/>
        <v/>
      </c>
      <c r="B4982" s="9" t="str">
        <f t="shared" si="235"/>
        <v/>
      </c>
      <c r="C4982" s="10" t="str">
        <f t="shared" si="236"/>
        <v/>
      </c>
    </row>
    <row r="4983" spans="1:3" x14ac:dyDescent="0.25">
      <c r="A4983" s="8" t="str">
        <f t="shared" si="234"/>
        <v/>
      </c>
      <c r="B4983" s="9" t="str">
        <f t="shared" si="235"/>
        <v/>
      </c>
      <c r="C4983" s="10" t="str">
        <f t="shared" si="236"/>
        <v/>
      </c>
    </row>
    <row r="4984" spans="1:3" x14ac:dyDescent="0.25">
      <c r="A4984" s="8" t="str">
        <f t="shared" si="234"/>
        <v/>
      </c>
      <c r="B4984" s="9" t="str">
        <f t="shared" si="235"/>
        <v/>
      </c>
      <c r="C4984" s="10" t="str">
        <f t="shared" si="236"/>
        <v/>
      </c>
    </row>
    <row r="4985" spans="1:3" x14ac:dyDescent="0.25">
      <c r="A4985" s="8" t="str">
        <f t="shared" si="234"/>
        <v/>
      </c>
      <c r="B4985" s="9" t="str">
        <f t="shared" si="235"/>
        <v/>
      </c>
      <c r="C4985" s="10" t="str">
        <f t="shared" si="236"/>
        <v/>
      </c>
    </row>
    <row r="4986" spans="1:3" x14ac:dyDescent="0.25">
      <c r="A4986" s="8" t="str">
        <f t="shared" si="234"/>
        <v/>
      </c>
      <c r="B4986" s="9" t="str">
        <f t="shared" si="235"/>
        <v/>
      </c>
      <c r="C4986" s="10" t="str">
        <f t="shared" si="236"/>
        <v/>
      </c>
    </row>
    <row r="4987" spans="1:3" x14ac:dyDescent="0.25">
      <c r="A4987" s="8" t="str">
        <f t="shared" si="234"/>
        <v/>
      </c>
      <c r="B4987" s="9" t="str">
        <f t="shared" si="235"/>
        <v/>
      </c>
      <c r="C4987" s="10" t="str">
        <f t="shared" si="236"/>
        <v/>
      </c>
    </row>
    <row r="4988" spans="1:3" x14ac:dyDescent="0.25">
      <c r="A4988" s="8" t="str">
        <f t="shared" si="234"/>
        <v/>
      </c>
      <c r="B4988" s="9" t="str">
        <f t="shared" si="235"/>
        <v/>
      </c>
      <c r="C4988" s="10" t="str">
        <f t="shared" si="236"/>
        <v/>
      </c>
    </row>
    <row r="4989" spans="1:3" x14ac:dyDescent="0.25">
      <c r="A4989" s="8" t="str">
        <f t="shared" si="234"/>
        <v/>
      </c>
      <c r="B4989" s="9" t="str">
        <f t="shared" si="235"/>
        <v/>
      </c>
      <c r="C4989" s="10" t="str">
        <f t="shared" si="236"/>
        <v/>
      </c>
    </row>
    <row r="4990" spans="1:3" x14ac:dyDescent="0.25">
      <c r="A4990" s="8" t="str">
        <f t="shared" si="234"/>
        <v/>
      </c>
      <c r="B4990" s="9" t="str">
        <f t="shared" si="235"/>
        <v/>
      </c>
      <c r="C4990" s="10" t="str">
        <f t="shared" si="236"/>
        <v/>
      </c>
    </row>
    <row r="4991" spans="1:3" x14ac:dyDescent="0.25">
      <c r="A4991" s="8" t="str">
        <f t="shared" si="234"/>
        <v/>
      </c>
      <c r="B4991" s="9" t="str">
        <f t="shared" si="235"/>
        <v/>
      </c>
      <c r="C4991" s="10" t="str">
        <f t="shared" si="236"/>
        <v/>
      </c>
    </row>
    <row r="4992" spans="1:3" x14ac:dyDescent="0.25">
      <c r="A4992" s="8" t="str">
        <f t="shared" si="234"/>
        <v/>
      </c>
      <c r="B4992" s="9" t="str">
        <f t="shared" si="235"/>
        <v/>
      </c>
      <c r="C4992" s="10" t="str">
        <f t="shared" si="236"/>
        <v/>
      </c>
    </row>
    <row r="4993" spans="1:3" x14ac:dyDescent="0.25">
      <c r="A4993" s="8" t="str">
        <f t="shared" si="234"/>
        <v/>
      </c>
      <c r="B4993" s="9" t="str">
        <f t="shared" si="235"/>
        <v/>
      </c>
      <c r="C4993" s="10" t="str">
        <f t="shared" si="236"/>
        <v/>
      </c>
    </row>
    <row r="4994" spans="1:3" x14ac:dyDescent="0.25">
      <c r="A4994" s="8" t="str">
        <f t="shared" si="234"/>
        <v/>
      </c>
      <c r="B4994" s="9" t="str">
        <f t="shared" si="235"/>
        <v/>
      </c>
      <c r="C4994" s="10" t="str">
        <f t="shared" si="236"/>
        <v/>
      </c>
    </row>
    <row r="4995" spans="1:3" x14ac:dyDescent="0.25">
      <c r="A4995" s="8" t="str">
        <f t="shared" si="234"/>
        <v/>
      </c>
      <c r="B4995" s="9" t="str">
        <f t="shared" si="235"/>
        <v/>
      </c>
      <c r="C4995" s="10" t="str">
        <f t="shared" si="236"/>
        <v/>
      </c>
    </row>
    <row r="4996" spans="1:3" x14ac:dyDescent="0.25">
      <c r="A4996" s="8" t="str">
        <f t="shared" si="234"/>
        <v/>
      </c>
      <c r="B4996" s="9" t="str">
        <f t="shared" si="235"/>
        <v/>
      </c>
      <c r="C4996" s="10" t="str">
        <f t="shared" si="236"/>
        <v/>
      </c>
    </row>
    <row r="4997" spans="1:3" x14ac:dyDescent="0.25">
      <c r="A4997" s="8" t="str">
        <f t="shared" si="234"/>
        <v/>
      </c>
      <c r="B4997" s="9" t="str">
        <f t="shared" si="235"/>
        <v/>
      </c>
      <c r="C4997" s="10" t="str">
        <f t="shared" si="236"/>
        <v/>
      </c>
    </row>
    <row r="4998" spans="1:3" x14ac:dyDescent="0.25">
      <c r="A4998" s="8" t="str">
        <f t="shared" si="234"/>
        <v/>
      </c>
      <c r="B4998" s="9" t="str">
        <f t="shared" si="235"/>
        <v/>
      </c>
      <c r="C4998" s="10" t="str">
        <f t="shared" si="236"/>
        <v/>
      </c>
    </row>
    <row r="4999" spans="1:3" x14ac:dyDescent="0.25">
      <c r="A4999" s="8" t="str">
        <f t="shared" si="234"/>
        <v/>
      </c>
      <c r="B4999" s="9" t="str">
        <f t="shared" si="235"/>
        <v/>
      </c>
      <c r="C4999" s="10" t="str">
        <f t="shared" si="236"/>
        <v/>
      </c>
    </row>
    <row r="5000" spans="1:3" x14ac:dyDescent="0.25">
      <c r="A5000" s="8" t="str">
        <f t="shared" si="234"/>
        <v/>
      </c>
      <c r="B5000" s="9" t="str">
        <f t="shared" si="235"/>
        <v/>
      </c>
      <c r="C5000" s="10" t="str">
        <f t="shared" si="236"/>
        <v/>
      </c>
    </row>
  </sheetData>
  <autoFilter ref="A1:I1" xr:uid="{00000000-0009-0000-0000-000002000000}"/>
  <sortState xmlns:xlrd2="http://schemas.microsoft.com/office/spreadsheetml/2017/richdata2" ref="A2:I2112">
    <sortCondition ref="A2:A2112"/>
  </sortState>
  <pageMargins left="0.7" right="0.7" top="0.75" bottom="0.75" header="0.3" footer="0.3"/>
  <pageSetup paperSize="9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197"/>
  <sheetViews>
    <sheetView zoomScaleNormal="100" workbookViewId="0">
      <selection activeCell="C19" sqref="C19"/>
    </sheetView>
  </sheetViews>
  <sheetFormatPr baseColWidth="10" defaultRowHeight="15" x14ac:dyDescent="0.25"/>
  <cols>
    <col min="1" max="1" width="75.85546875" bestFit="1" customWidth="1"/>
    <col min="2" max="2" width="20.5703125" bestFit="1" customWidth="1"/>
    <col min="3" max="3" width="48.5703125" bestFit="1" customWidth="1"/>
    <col min="4" max="4" width="40.85546875" bestFit="1" customWidth="1"/>
    <col min="5" max="5" width="14.7109375" style="1" bestFit="1" customWidth="1"/>
    <col min="8" max="8" width="11.5703125" bestFit="1" customWidth="1"/>
  </cols>
  <sheetData>
    <row r="1" spans="1:8" x14ac:dyDescent="0.25">
      <c r="A1" t="s">
        <v>196</v>
      </c>
      <c r="B1" s="11">
        <f ca="1">TODAY()</f>
        <v>45939</v>
      </c>
      <c r="G1" s="48"/>
      <c r="H1" s="48"/>
    </row>
    <row r="2" spans="1:8" x14ac:dyDescent="0.25">
      <c r="A2" t="s">
        <v>197</v>
      </c>
      <c r="B2" s="1">
        <f ca="1">WEEKNUM(B1)</f>
        <v>41</v>
      </c>
      <c r="G2" s="6"/>
    </row>
    <row r="3" spans="1:8" x14ac:dyDescent="0.25">
      <c r="A3" t="s">
        <v>220</v>
      </c>
      <c r="B3" s="1">
        <v>-10</v>
      </c>
      <c r="G3" s="6"/>
    </row>
    <row r="4" spans="1:8" x14ac:dyDescent="0.25">
      <c r="A4" t="s">
        <v>221</v>
      </c>
      <c r="B4" s="1">
        <v>4</v>
      </c>
      <c r="C4" s="1">
        <v>6</v>
      </c>
      <c r="G4" s="6"/>
    </row>
    <row r="5" spans="1:8" x14ac:dyDescent="0.25">
      <c r="A5" s="22" t="s">
        <v>11</v>
      </c>
      <c r="B5" s="22" t="s">
        <v>12</v>
      </c>
      <c r="C5" s="22" t="s">
        <v>13</v>
      </c>
      <c r="D5" s="22" t="s">
        <v>14</v>
      </c>
      <c r="E5" s="23" t="s">
        <v>15</v>
      </c>
      <c r="G5" s="6"/>
    </row>
    <row r="6" spans="1:8" x14ac:dyDescent="0.25">
      <c r="A6" s="22" t="s">
        <v>290</v>
      </c>
      <c r="B6" s="22" t="s">
        <v>244</v>
      </c>
      <c r="C6" s="22" t="s">
        <v>19</v>
      </c>
      <c r="D6" s="22" t="s">
        <v>19</v>
      </c>
      <c r="E6" s="23">
        <v>28</v>
      </c>
      <c r="G6" s="6"/>
    </row>
    <row r="7" spans="1:8" x14ac:dyDescent="0.25">
      <c r="A7" s="22" t="s">
        <v>16</v>
      </c>
      <c r="B7" s="22" t="s">
        <v>244</v>
      </c>
      <c r="C7" s="22" t="s">
        <v>18</v>
      </c>
      <c r="D7" s="22" t="s">
        <v>19</v>
      </c>
      <c r="E7" s="23">
        <v>28</v>
      </c>
      <c r="G7" s="6"/>
    </row>
    <row r="8" spans="1:8" x14ac:dyDescent="0.25">
      <c r="A8" s="22" t="s">
        <v>20</v>
      </c>
      <c r="B8" s="22" t="s">
        <v>244</v>
      </c>
      <c r="C8" s="22" t="s">
        <v>19</v>
      </c>
      <c r="D8" s="22" t="s">
        <v>19</v>
      </c>
      <c r="E8" s="23">
        <v>28</v>
      </c>
      <c r="G8" s="6"/>
    </row>
    <row r="9" spans="1:8" x14ac:dyDescent="0.25">
      <c r="A9" s="22" t="s">
        <v>250</v>
      </c>
      <c r="B9" s="22" t="s">
        <v>243</v>
      </c>
      <c r="C9" s="22" t="s">
        <v>251</v>
      </c>
      <c r="D9" s="22" t="s">
        <v>30</v>
      </c>
      <c r="E9" s="23">
        <v>28</v>
      </c>
      <c r="G9" s="6"/>
    </row>
    <row r="10" spans="1:8" x14ac:dyDescent="0.25">
      <c r="A10" s="22" t="s">
        <v>38</v>
      </c>
      <c r="B10" s="22" t="s">
        <v>243</v>
      </c>
      <c r="C10" s="22" t="s">
        <v>39</v>
      </c>
      <c r="D10" s="22" t="s">
        <v>30</v>
      </c>
      <c r="E10" s="23">
        <v>28</v>
      </c>
      <c r="G10" s="6"/>
    </row>
    <row r="11" spans="1:8" x14ac:dyDescent="0.25">
      <c r="A11" s="22" t="s">
        <v>37</v>
      </c>
      <c r="B11" s="22" t="s">
        <v>243</v>
      </c>
      <c r="C11" s="22" t="s">
        <v>24</v>
      </c>
      <c r="D11" s="22" t="s">
        <v>30</v>
      </c>
      <c r="E11" s="23">
        <v>28</v>
      </c>
      <c r="G11" s="6"/>
    </row>
    <row r="12" spans="1:8" x14ac:dyDescent="0.25">
      <c r="A12" s="22" t="s">
        <v>42</v>
      </c>
      <c r="B12" s="22" t="s">
        <v>243</v>
      </c>
      <c r="C12" s="22" t="s">
        <v>27</v>
      </c>
      <c r="D12" s="22" t="s">
        <v>30</v>
      </c>
      <c r="E12" s="23">
        <v>28</v>
      </c>
      <c r="G12" s="6"/>
    </row>
    <row r="13" spans="1:8" x14ac:dyDescent="0.25">
      <c r="A13" s="25" t="s">
        <v>340</v>
      </c>
      <c r="B13" s="25" t="s">
        <v>243</v>
      </c>
      <c r="C13" s="25" t="s">
        <v>339</v>
      </c>
      <c r="D13" s="25" t="s">
        <v>30</v>
      </c>
      <c r="E13" s="26">
        <v>28</v>
      </c>
    </row>
    <row r="14" spans="1:8" x14ac:dyDescent="0.25">
      <c r="A14" s="22" t="s">
        <v>6</v>
      </c>
      <c r="B14" s="22" t="s">
        <v>243</v>
      </c>
      <c r="C14" s="22" t="s">
        <v>30</v>
      </c>
      <c r="D14" s="22" t="s">
        <v>30</v>
      </c>
      <c r="E14" s="23">
        <v>28</v>
      </c>
    </row>
    <row r="15" spans="1:8" x14ac:dyDescent="0.25">
      <c r="A15" s="22" t="s">
        <v>355</v>
      </c>
      <c r="B15" s="22" t="s">
        <v>243</v>
      </c>
      <c r="C15" s="22" t="s">
        <v>30</v>
      </c>
      <c r="D15" s="22" t="s">
        <v>30</v>
      </c>
      <c r="E15" s="23">
        <v>24</v>
      </c>
    </row>
    <row r="16" spans="1:8" x14ac:dyDescent="0.25">
      <c r="A16" s="22" t="s">
        <v>32</v>
      </c>
      <c r="B16" s="22" t="s">
        <v>243</v>
      </c>
      <c r="C16" s="22" t="s">
        <v>30</v>
      </c>
      <c r="D16" s="22" t="s">
        <v>30</v>
      </c>
      <c r="E16" s="23">
        <v>28</v>
      </c>
    </row>
    <row r="17" spans="1:7" x14ac:dyDescent="0.25">
      <c r="A17" s="22" t="s">
        <v>31</v>
      </c>
      <c r="B17" s="22" t="s">
        <v>243</v>
      </c>
      <c r="C17" s="22" t="s">
        <v>30</v>
      </c>
      <c r="D17" s="22" t="s">
        <v>30</v>
      </c>
      <c r="E17" s="23">
        <v>28</v>
      </c>
    </row>
    <row r="18" spans="1:7" x14ac:dyDescent="0.25">
      <c r="A18" s="22" t="s">
        <v>356</v>
      </c>
      <c r="B18" s="22" t="s">
        <v>243</v>
      </c>
      <c r="C18" s="22" t="s">
        <v>30</v>
      </c>
      <c r="D18" s="22" t="s">
        <v>30</v>
      </c>
      <c r="E18" s="23">
        <v>24</v>
      </c>
    </row>
    <row r="19" spans="1:7" x14ac:dyDescent="0.25">
      <c r="A19" s="22" t="s">
        <v>45</v>
      </c>
      <c r="B19" s="22" t="s">
        <v>243</v>
      </c>
      <c r="C19" s="22" t="s">
        <v>34</v>
      </c>
      <c r="D19" s="22" t="s">
        <v>30</v>
      </c>
      <c r="E19" s="23">
        <v>28</v>
      </c>
    </row>
    <row r="20" spans="1:7" x14ac:dyDescent="0.25">
      <c r="A20" s="22" t="s">
        <v>40</v>
      </c>
      <c r="B20" s="22" t="s">
        <v>243</v>
      </c>
      <c r="C20" s="22" t="s">
        <v>41</v>
      </c>
      <c r="D20" s="22" t="s">
        <v>30</v>
      </c>
      <c r="E20" s="23">
        <v>28</v>
      </c>
    </row>
    <row r="21" spans="1:7" x14ac:dyDescent="0.25">
      <c r="A21" s="22" t="s">
        <v>43</v>
      </c>
      <c r="B21" s="22" t="s">
        <v>243</v>
      </c>
      <c r="C21" s="22" t="s">
        <v>44</v>
      </c>
      <c r="D21" s="22" t="s">
        <v>30</v>
      </c>
      <c r="E21" s="23">
        <v>28</v>
      </c>
    </row>
    <row r="22" spans="1:7" x14ac:dyDescent="0.25">
      <c r="A22" s="22" t="s">
        <v>21</v>
      </c>
      <c r="B22" s="22" t="s">
        <v>244</v>
      </c>
      <c r="C22" s="22" t="s">
        <v>18</v>
      </c>
      <c r="D22" s="22" t="s">
        <v>18</v>
      </c>
      <c r="E22" s="23">
        <v>24</v>
      </c>
      <c r="G22" s="6"/>
    </row>
    <row r="23" spans="1:7" x14ac:dyDescent="0.25">
      <c r="A23" s="22" t="s">
        <v>22</v>
      </c>
      <c r="B23" s="22" t="s">
        <v>244</v>
      </c>
      <c r="C23" s="22" t="s">
        <v>18</v>
      </c>
      <c r="D23" s="22" t="s">
        <v>18</v>
      </c>
      <c r="E23" s="23">
        <v>28</v>
      </c>
      <c r="G23" s="6"/>
    </row>
    <row r="24" spans="1:7" x14ac:dyDescent="0.25">
      <c r="A24" s="22" t="s">
        <v>46</v>
      </c>
      <c r="B24" s="22" t="s">
        <v>244</v>
      </c>
      <c r="C24" s="22" t="s">
        <v>47</v>
      </c>
      <c r="D24" s="22" t="s">
        <v>47</v>
      </c>
      <c r="E24" s="23">
        <v>28</v>
      </c>
      <c r="G24" s="6"/>
    </row>
    <row r="25" spans="1:7" x14ac:dyDescent="0.25">
      <c r="A25" s="22" t="s">
        <v>46</v>
      </c>
      <c r="B25" s="22" t="s">
        <v>244</v>
      </c>
      <c r="C25" s="22" t="s">
        <v>47</v>
      </c>
      <c r="D25" s="22" t="s">
        <v>47</v>
      </c>
      <c r="E25" s="23">
        <v>28</v>
      </c>
      <c r="G25" s="6"/>
    </row>
    <row r="26" spans="1:7" x14ac:dyDescent="0.25">
      <c r="A26" s="22" t="s">
        <v>23</v>
      </c>
      <c r="B26" s="22" t="s">
        <v>244</v>
      </c>
      <c r="C26" s="22" t="s">
        <v>18</v>
      </c>
      <c r="D26" s="22" t="s">
        <v>24</v>
      </c>
      <c r="E26" s="23">
        <v>28</v>
      </c>
      <c r="G26" s="6"/>
    </row>
    <row r="27" spans="1:7" x14ac:dyDescent="0.25">
      <c r="A27" s="22" t="s">
        <v>25</v>
      </c>
      <c r="B27" s="22" t="s">
        <v>244</v>
      </c>
      <c r="C27" s="22" t="s">
        <v>24</v>
      </c>
      <c r="D27" s="22" t="s">
        <v>24</v>
      </c>
      <c r="E27" s="23">
        <v>28</v>
      </c>
      <c r="G27" s="6"/>
    </row>
    <row r="28" spans="1:7" x14ac:dyDescent="0.25">
      <c r="A28" s="22" t="s">
        <v>26</v>
      </c>
      <c r="B28" s="22" t="s">
        <v>244</v>
      </c>
      <c r="C28" s="22" t="s">
        <v>18</v>
      </c>
      <c r="D28" s="22" t="s">
        <v>27</v>
      </c>
      <c r="E28" s="23">
        <v>28</v>
      </c>
      <c r="G28" s="6"/>
    </row>
    <row r="29" spans="1:7" x14ac:dyDescent="0.25">
      <c r="A29" s="22" t="s">
        <v>28</v>
      </c>
      <c r="B29" s="22" t="s">
        <v>244</v>
      </c>
      <c r="C29" s="22" t="s">
        <v>27</v>
      </c>
      <c r="D29" s="22" t="s">
        <v>27</v>
      </c>
      <c r="E29" s="23">
        <v>28</v>
      </c>
      <c r="G29" s="6"/>
    </row>
    <row r="30" spans="1:7" x14ac:dyDescent="0.25">
      <c r="A30" s="25" t="s">
        <v>341</v>
      </c>
      <c r="B30" s="25" t="s">
        <v>244</v>
      </c>
      <c r="C30" s="25" t="s">
        <v>339</v>
      </c>
      <c r="D30" s="25" t="s">
        <v>339</v>
      </c>
      <c r="E30" s="26">
        <v>28</v>
      </c>
      <c r="G30" s="6"/>
    </row>
    <row r="31" spans="1:7" x14ac:dyDescent="0.25">
      <c r="A31" s="29" t="s">
        <v>361</v>
      </c>
      <c r="B31" s="29" t="s">
        <v>244</v>
      </c>
      <c r="C31" s="29" t="s">
        <v>18</v>
      </c>
      <c r="D31" s="29" t="s">
        <v>349</v>
      </c>
      <c r="E31" s="30">
        <v>28</v>
      </c>
      <c r="G31" s="6"/>
    </row>
    <row r="32" spans="1:7" x14ac:dyDescent="0.25">
      <c r="A32" s="29" t="s">
        <v>362</v>
      </c>
      <c r="B32" s="29" t="s">
        <v>244</v>
      </c>
      <c r="C32" s="29" t="s">
        <v>349</v>
      </c>
      <c r="D32" s="29" t="s">
        <v>349</v>
      </c>
      <c r="E32" s="30">
        <v>28</v>
      </c>
      <c r="G32" s="6"/>
    </row>
    <row r="33" spans="1:7" x14ac:dyDescent="0.25">
      <c r="A33" s="22" t="s">
        <v>33</v>
      </c>
      <c r="B33" s="22" t="s">
        <v>244</v>
      </c>
      <c r="C33" s="22" t="s">
        <v>18</v>
      </c>
      <c r="D33" s="22" t="s">
        <v>34</v>
      </c>
      <c r="E33" s="23">
        <v>28</v>
      </c>
      <c r="G33" s="6"/>
    </row>
    <row r="34" spans="1:7" x14ac:dyDescent="0.25">
      <c r="A34" s="22" t="s">
        <v>35</v>
      </c>
      <c r="B34" s="22" t="s">
        <v>244</v>
      </c>
      <c r="C34" s="22" t="s">
        <v>34</v>
      </c>
      <c r="D34" s="22" t="s">
        <v>34</v>
      </c>
      <c r="E34" s="23">
        <v>28</v>
      </c>
      <c r="G34" s="6"/>
    </row>
    <row r="35" spans="1:7" x14ac:dyDescent="0.25">
      <c r="A35" s="43" t="s">
        <v>396</v>
      </c>
      <c r="B35" s="43" t="s">
        <v>246</v>
      </c>
      <c r="C35" s="43" t="s">
        <v>30</v>
      </c>
      <c r="D35" s="43" t="s">
        <v>30</v>
      </c>
      <c r="E35" s="44">
        <v>28</v>
      </c>
      <c r="G35" s="6"/>
    </row>
    <row r="36" spans="1:7" x14ac:dyDescent="0.25">
      <c r="A36" s="43" t="s">
        <v>397</v>
      </c>
      <c r="B36" s="43" t="s">
        <v>246</v>
      </c>
      <c r="C36" s="43" t="s">
        <v>30</v>
      </c>
      <c r="D36" s="43" t="s">
        <v>30</v>
      </c>
      <c r="E36" s="44">
        <v>28</v>
      </c>
      <c r="G36" s="6"/>
    </row>
    <row r="37" spans="1:7" x14ac:dyDescent="0.25">
      <c r="A37" s="43" t="s">
        <v>394</v>
      </c>
      <c r="B37" s="43" t="s">
        <v>246</v>
      </c>
      <c r="C37" s="43" t="s">
        <v>30</v>
      </c>
      <c r="D37" s="43" t="s">
        <v>30</v>
      </c>
      <c r="E37" s="44">
        <v>28</v>
      </c>
      <c r="G37" s="6"/>
    </row>
    <row r="38" spans="1:7" x14ac:dyDescent="0.25">
      <c r="A38" s="43" t="s">
        <v>395</v>
      </c>
      <c r="B38" s="43" t="s">
        <v>246</v>
      </c>
      <c r="C38" s="43" t="s">
        <v>30</v>
      </c>
      <c r="D38" s="43" t="s">
        <v>30</v>
      </c>
      <c r="E38" s="44">
        <v>28</v>
      </c>
      <c r="G38" s="6"/>
    </row>
    <row r="39" spans="1:7" x14ac:dyDescent="0.25">
      <c r="A39" s="43" t="s">
        <v>392</v>
      </c>
      <c r="B39" s="43" t="s">
        <v>246</v>
      </c>
      <c r="C39" s="43" t="s">
        <v>30</v>
      </c>
      <c r="D39" s="43" t="s">
        <v>30</v>
      </c>
      <c r="E39" s="44">
        <v>28</v>
      </c>
      <c r="G39" s="6"/>
    </row>
    <row r="40" spans="1:7" x14ac:dyDescent="0.25">
      <c r="A40" s="43" t="s">
        <v>393</v>
      </c>
      <c r="B40" s="43" t="s">
        <v>246</v>
      </c>
      <c r="C40" s="43" t="s">
        <v>30</v>
      </c>
      <c r="D40" s="43" t="s">
        <v>30</v>
      </c>
      <c r="E40" s="44">
        <v>28</v>
      </c>
      <c r="G40" s="6"/>
    </row>
    <row r="41" spans="1:7" x14ac:dyDescent="0.25">
      <c r="A41" s="43" t="s">
        <v>390</v>
      </c>
      <c r="B41" s="43" t="s">
        <v>246</v>
      </c>
      <c r="C41" s="43" t="s">
        <v>30</v>
      </c>
      <c r="D41" s="43" t="s">
        <v>30</v>
      </c>
      <c r="E41" s="44">
        <v>28</v>
      </c>
      <c r="G41" s="6"/>
    </row>
    <row r="42" spans="1:7" x14ac:dyDescent="0.25">
      <c r="A42" s="43" t="s">
        <v>391</v>
      </c>
      <c r="B42" s="43" t="s">
        <v>246</v>
      </c>
      <c r="C42" s="43" t="s">
        <v>30</v>
      </c>
      <c r="D42" s="43" t="s">
        <v>30</v>
      </c>
      <c r="E42" s="44">
        <v>28</v>
      </c>
      <c r="G42" s="6"/>
    </row>
    <row r="43" spans="1:7" x14ac:dyDescent="0.25">
      <c r="A43" s="43" t="s">
        <v>388</v>
      </c>
      <c r="B43" s="43" t="s">
        <v>246</v>
      </c>
      <c r="C43" s="43" t="s">
        <v>30</v>
      </c>
      <c r="D43" s="43" t="s">
        <v>30</v>
      </c>
      <c r="E43" s="44">
        <v>28</v>
      </c>
      <c r="G43" s="6"/>
    </row>
    <row r="44" spans="1:7" x14ac:dyDescent="0.25">
      <c r="A44" s="43" t="s">
        <v>389</v>
      </c>
      <c r="B44" s="43" t="s">
        <v>246</v>
      </c>
      <c r="C44" s="43" t="s">
        <v>30</v>
      </c>
      <c r="D44" s="43" t="s">
        <v>30</v>
      </c>
      <c r="E44" s="44">
        <v>28</v>
      </c>
      <c r="G44" s="6"/>
    </row>
    <row r="45" spans="1:7" x14ac:dyDescent="0.25">
      <c r="A45" s="43" t="s">
        <v>386</v>
      </c>
      <c r="B45" s="43" t="s">
        <v>246</v>
      </c>
      <c r="C45" s="43" t="s">
        <v>30</v>
      </c>
      <c r="D45" s="43" t="s">
        <v>30</v>
      </c>
      <c r="E45" s="44">
        <v>28</v>
      </c>
      <c r="G45" s="6"/>
    </row>
    <row r="46" spans="1:7" x14ac:dyDescent="0.25">
      <c r="A46" s="43" t="s">
        <v>387</v>
      </c>
      <c r="B46" s="43" t="s">
        <v>246</v>
      </c>
      <c r="C46" s="43" t="s">
        <v>30</v>
      </c>
      <c r="D46" s="43" t="s">
        <v>30</v>
      </c>
      <c r="E46" s="44">
        <v>28</v>
      </c>
      <c r="G46" s="6"/>
    </row>
    <row r="47" spans="1:7" x14ac:dyDescent="0.25">
      <c r="A47" s="43" t="s">
        <v>384</v>
      </c>
      <c r="B47" s="43" t="s">
        <v>246</v>
      </c>
      <c r="C47" s="43" t="s">
        <v>30</v>
      </c>
      <c r="D47" s="43" t="s">
        <v>30</v>
      </c>
      <c r="E47" s="44">
        <v>28</v>
      </c>
      <c r="G47" s="6"/>
    </row>
    <row r="48" spans="1:7" x14ac:dyDescent="0.25">
      <c r="A48" s="43" t="s">
        <v>385</v>
      </c>
      <c r="B48" s="43" t="s">
        <v>246</v>
      </c>
      <c r="C48" s="43" t="s">
        <v>30</v>
      </c>
      <c r="D48" s="43" t="s">
        <v>30</v>
      </c>
      <c r="E48" s="44">
        <v>28</v>
      </c>
      <c r="G48" s="6"/>
    </row>
    <row r="49" spans="1:7" x14ac:dyDescent="0.25">
      <c r="A49" s="43" t="s">
        <v>400</v>
      </c>
      <c r="B49" s="43" t="s">
        <v>246</v>
      </c>
      <c r="C49" s="43" t="s">
        <v>30</v>
      </c>
      <c r="D49" s="43" t="s">
        <v>30</v>
      </c>
      <c r="E49" s="44">
        <v>28</v>
      </c>
      <c r="G49" s="6"/>
    </row>
    <row r="50" spans="1:7" x14ac:dyDescent="0.25">
      <c r="A50" s="43" t="s">
        <v>402</v>
      </c>
      <c r="B50" s="43" t="s">
        <v>246</v>
      </c>
      <c r="C50" s="43" t="s">
        <v>30</v>
      </c>
      <c r="D50" s="43" t="s">
        <v>30</v>
      </c>
      <c r="E50" s="44">
        <v>28</v>
      </c>
      <c r="G50" s="6"/>
    </row>
    <row r="51" spans="1:7" x14ac:dyDescent="0.25">
      <c r="A51" s="43" t="s">
        <v>401</v>
      </c>
      <c r="B51" s="43" t="s">
        <v>246</v>
      </c>
      <c r="C51" s="43" t="s">
        <v>30</v>
      </c>
      <c r="D51" s="43" t="s">
        <v>30</v>
      </c>
      <c r="E51" s="44">
        <v>28</v>
      </c>
      <c r="G51" s="6"/>
    </row>
    <row r="52" spans="1:7" x14ac:dyDescent="0.25">
      <c r="A52" s="43" t="s">
        <v>399</v>
      </c>
      <c r="B52" s="43" t="s">
        <v>246</v>
      </c>
      <c r="C52" s="43" t="s">
        <v>30</v>
      </c>
      <c r="D52" s="43" t="s">
        <v>30</v>
      </c>
      <c r="E52" s="44">
        <v>28</v>
      </c>
      <c r="G52" s="6"/>
    </row>
    <row r="53" spans="1:7" x14ac:dyDescent="0.25">
      <c r="A53" s="43" t="s">
        <v>382</v>
      </c>
      <c r="B53" s="43" t="s">
        <v>246</v>
      </c>
      <c r="C53" s="43" t="s">
        <v>404</v>
      </c>
      <c r="D53" s="43" t="s">
        <v>30</v>
      </c>
      <c r="E53" s="44">
        <v>28</v>
      </c>
      <c r="G53" s="6"/>
    </row>
    <row r="54" spans="1:7" x14ac:dyDescent="0.25">
      <c r="A54" s="43" t="s">
        <v>383</v>
      </c>
      <c r="B54" s="43" t="s">
        <v>246</v>
      </c>
      <c r="C54" s="43" t="s">
        <v>404</v>
      </c>
      <c r="D54" s="43" t="s">
        <v>404</v>
      </c>
      <c r="E54" s="44">
        <v>28</v>
      </c>
      <c r="G54" s="6"/>
    </row>
    <row r="55" spans="1:7" x14ac:dyDescent="0.25">
      <c r="A55" s="43" t="s">
        <v>380</v>
      </c>
      <c r="B55" s="43" t="s">
        <v>246</v>
      </c>
      <c r="C55" s="43" t="s">
        <v>329</v>
      </c>
      <c r="D55" s="43" t="s">
        <v>30</v>
      </c>
      <c r="E55" s="44">
        <v>28</v>
      </c>
      <c r="G55" s="6"/>
    </row>
    <row r="56" spans="1:7" x14ac:dyDescent="0.25">
      <c r="A56" s="43" t="s">
        <v>381</v>
      </c>
      <c r="B56" s="43" t="s">
        <v>246</v>
      </c>
      <c r="C56" s="43" t="s">
        <v>329</v>
      </c>
      <c r="D56" s="43" t="s">
        <v>329</v>
      </c>
      <c r="E56" s="44">
        <v>28</v>
      </c>
      <c r="G56" s="6"/>
    </row>
    <row r="57" spans="1:7" x14ac:dyDescent="0.25">
      <c r="A57" s="29" t="s">
        <v>345</v>
      </c>
      <c r="B57" s="29" t="s">
        <v>245</v>
      </c>
      <c r="C57" s="29" t="s">
        <v>349</v>
      </c>
      <c r="D57" s="29" t="s">
        <v>18</v>
      </c>
      <c r="E57" s="30">
        <v>28</v>
      </c>
      <c r="G57" s="6"/>
    </row>
    <row r="58" spans="1:7" x14ac:dyDescent="0.25">
      <c r="A58" s="29" t="s">
        <v>345</v>
      </c>
      <c r="B58" s="29" t="s">
        <v>245</v>
      </c>
      <c r="C58" s="29" t="s">
        <v>18</v>
      </c>
      <c r="D58" s="29" t="s">
        <v>349</v>
      </c>
      <c r="E58" s="30">
        <v>28</v>
      </c>
      <c r="G58" s="6"/>
    </row>
    <row r="59" spans="1:7" x14ac:dyDescent="0.25">
      <c r="A59" s="29" t="s">
        <v>344</v>
      </c>
      <c r="B59" s="29" t="s">
        <v>245</v>
      </c>
      <c r="C59" s="29" t="s">
        <v>349</v>
      </c>
      <c r="D59" s="29" t="s">
        <v>349</v>
      </c>
      <c r="E59" s="30">
        <v>28</v>
      </c>
      <c r="G59" s="6"/>
    </row>
    <row r="60" spans="1:7" x14ac:dyDescent="0.25">
      <c r="A60" s="29" t="s">
        <v>342</v>
      </c>
      <c r="B60" s="29" t="s">
        <v>241</v>
      </c>
      <c r="C60" s="29" t="s">
        <v>349</v>
      </c>
      <c r="D60" s="29" t="s">
        <v>18</v>
      </c>
      <c r="E60" s="30">
        <v>28</v>
      </c>
      <c r="G60" s="6"/>
    </row>
    <row r="61" spans="1:7" x14ac:dyDescent="0.25">
      <c r="A61" s="29" t="s">
        <v>342</v>
      </c>
      <c r="B61" s="29" t="s">
        <v>241</v>
      </c>
      <c r="C61" s="29" t="s">
        <v>18</v>
      </c>
      <c r="D61" s="29" t="s">
        <v>349</v>
      </c>
      <c r="E61" s="30">
        <v>28</v>
      </c>
    </row>
    <row r="62" spans="1:7" x14ac:dyDescent="0.25">
      <c r="A62" s="29" t="s">
        <v>373</v>
      </c>
      <c r="B62" s="29" t="s">
        <v>241</v>
      </c>
      <c r="C62" s="29" t="s">
        <v>18</v>
      </c>
      <c r="D62" s="29" t="s">
        <v>349</v>
      </c>
      <c r="E62" s="30">
        <v>28</v>
      </c>
    </row>
    <row r="63" spans="1:7" x14ac:dyDescent="0.25">
      <c r="A63" s="29" t="s">
        <v>374</v>
      </c>
      <c r="B63" s="29" t="s">
        <v>241</v>
      </c>
      <c r="C63" s="29" t="s">
        <v>349</v>
      </c>
      <c r="D63" s="29" t="s">
        <v>349</v>
      </c>
      <c r="E63" s="30">
        <v>28</v>
      </c>
    </row>
    <row r="64" spans="1:7" x14ac:dyDescent="0.25">
      <c r="A64" s="29" t="s">
        <v>346</v>
      </c>
      <c r="B64" s="29" t="s">
        <v>241</v>
      </c>
      <c r="C64" s="29" t="s">
        <v>349</v>
      </c>
      <c r="D64" s="29" t="s">
        <v>349</v>
      </c>
      <c r="E64" s="30">
        <v>28</v>
      </c>
    </row>
    <row r="65" spans="1:5" x14ac:dyDescent="0.25">
      <c r="A65" s="29" t="s">
        <v>347</v>
      </c>
      <c r="B65" s="29" t="s">
        <v>241</v>
      </c>
      <c r="C65" s="29" t="s">
        <v>349</v>
      </c>
      <c r="D65" s="29" t="s">
        <v>18</v>
      </c>
      <c r="E65" s="30">
        <v>28</v>
      </c>
    </row>
    <row r="66" spans="1:5" x14ac:dyDescent="0.25">
      <c r="A66" s="22" t="s">
        <v>415</v>
      </c>
      <c r="B66" s="22" t="s">
        <v>246</v>
      </c>
      <c r="C66" s="22" t="s">
        <v>30</v>
      </c>
      <c r="D66" s="22" t="s">
        <v>30</v>
      </c>
      <c r="E66" s="23">
        <v>24</v>
      </c>
    </row>
    <row r="67" spans="1:5" x14ac:dyDescent="0.25">
      <c r="A67" s="46" t="s">
        <v>369</v>
      </c>
      <c r="B67" s="22" t="s">
        <v>246</v>
      </c>
      <c r="C67" s="22" t="s">
        <v>30</v>
      </c>
      <c r="D67" s="22" t="s">
        <v>30</v>
      </c>
      <c r="E67" s="23">
        <v>24</v>
      </c>
    </row>
    <row r="68" spans="1:5" x14ac:dyDescent="0.25">
      <c r="A68" s="46" t="s">
        <v>364</v>
      </c>
      <c r="B68" s="22" t="s">
        <v>246</v>
      </c>
      <c r="C68" s="22" t="s">
        <v>30</v>
      </c>
      <c r="D68" s="22" t="s">
        <v>30</v>
      </c>
      <c r="E68" s="23">
        <v>24</v>
      </c>
    </row>
    <row r="69" spans="1:5" x14ac:dyDescent="0.25">
      <c r="A69" s="46" t="s">
        <v>367</v>
      </c>
      <c r="B69" s="22" t="s">
        <v>246</v>
      </c>
      <c r="C69" s="22" t="s">
        <v>30</v>
      </c>
      <c r="D69" s="22" t="s">
        <v>30</v>
      </c>
      <c r="E69" s="23">
        <v>24</v>
      </c>
    </row>
    <row r="70" spans="1:5" x14ac:dyDescent="0.25">
      <c r="A70" s="46" t="s">
        <v>366</v>
      </c>
      <c r="B70" s="22" t="s">
        <v>246</v>
      </c>
      <c r="C70" s="22" t="s">
        <v>30</v>
      </c>
      <c r="D70" s="22" t="s">
        <v>30</v>
      </c>
      <c r="E70" s="23">
        <v>24</v>
      </c>
    </row>
    <row r="71" spans="1:5" x14ac:dyDescent="0.25">
      <c r="A71" s="22" t="s">
        <v>416</v>
      </c>
      <c r="B71" s="22" t="s">
        <v>246</v>
      </c>
      <c r="C71" s="22" t="s">
        <v>30</v>
      </c>
      <c r="D71" s="22" t="s">
        <v>30</v>
      </c>
      <c r="E71" s="23">
        <v>24</v>
      </c>
    </row>
    <row r="72" spans="1:5" x14ac:dyDescent="0.25">
      <c r="A72" s="46" t="s">
        <v>370</v>
      </c>
      <c r="B72" s="22" t="s">
        <v>246</v>
      </c>
      <c r="C72" s="22" t="s">
        <v>30</v>
      </c>
      <c r="D72" s="22" t="s">
        <v>30</v>
      </c>
      <c r="E72" s="23">
        <v>24</v>
      </c>
    </row>
    <row r="73" spans="1:5" x14ac:dyDescent="0.25">
      <c r="A73" s="46" t="s">
        <v>365</v>
      </c>
      <c r="B73" s="22" t="s">
        <v>246</v>
      </c>
      <c r="C73" s="22" t="s">
        <v>30</v>
      </c>
      <c r="D73" s="22" t="s">
        <v>30</v>
      </c>
      <c r="E73" s="23">
        <v>24</v>
      </c>
    </row>
    <row r="74" spans="1:5" x14ac:dyDescent="0.25">
      <c r="A74" s="46" t="s">
        <v>368</v>
      </c>
      <c r="B74" s="22" t="s">
        <v>246</v>
      </c>
      <c r="C74" s="22" t="s">
        <v>30</v>
      </c>
      <c r="D74" s="22" t="s">
        <v>30</v>
      </c>
      <c r="E74" s="23">
        <v>24</v>
      </c>
    </row>
    <row r="75" spans="1:5" x14ac:dyDescent="0.25">
      <c r="A75" s="46" t="s">
        <v>363</v>
      </c>
      <c r="B75" s="22" t="s">
        <v>246</v>
      </c>
      <c r="C75" s="22" t="s">
        <v>30</v>
      </c>
      <c r="D75" s="22" t="s">
        <v>30</v>
      </c>
      <c r="E75" s="23">
        <v>24</v>
      </c>
    </row>
    <row r="76" spans="1:5" x14ac:dyDescent="0.25">
      <c r="A76" s="22" t="s">
        <v>417</v>
      </c>
      <c r="B76" s="22" t="s">
        <v>246</v>
      </c>
      <c r="C76" s="22" t="s">
        <v>30</v>
      </c>
      <c r="D76" s="22" t="s">
        <v>30</v>
      </c>
      <c r="E76" s="23">
        <v>24</v>
      </c>
    </row>
    <row r="77" spans="1:5" x14ac:dyDescent="0.25">
      <c r="A77" s="22" t="s">
        <v>418</v>
      </c>
      <c r="B77" s="22" t="s">
        <v>246</v>
      </c>
      <c r="C77" s="22" t="s">
        <v>30</v>
      </c>
      <c r="D77" s="22" t="s">
        <v>30</v>
      </c>
      <c r="E77" s="23">
        <v>24</v>
      </c>
    </row>
    <row r="78" spans="1:5" x14ac:dyDescent="0.25">
      <c r="A78" s="22" t="s">
        <v>419</v>
      </c>
      <c r="B78" s="22" t="s">
        <v>246</v>
      </c>
      <c r="C78" s="22" t="s">
        <v>30</v>
      </c>
      <c r="D78" s="22" t="s">
        <v>30</v>
      </c>
      <c r="E78" s="23">
        <v>24</v>
      </c>
    </row>
    <row r="79" spans="1:5" x14ac:dyDescent="0.25">
      <c r="A79" s="22" t="s">
        <v>420</v>
      </c>
      <c r="B79" s="22" t="s">
        <v>246</v>
      </c>
      <c r="C79" s="22" t="s">
        <v>30</v>
      </c>
      <c r="D79" s="22" t="s">
        <v>30</v>
      </c>
      <c r="E79" s="23">
        <v>24</v>
      </c>
    </row>
    <row r="80" spans="1:5" x14ac:dyDescent="0.25">
      <c r="A80" s="22" t="s">
        <v>421</v>
      </c>
      <c r="B80" s="22" t="s">
        <v>246</v>
      </c>
      <c r="C80" s="22" t="s">
        <v>30</v>
      </c>
      <c r="D80" s="22" t="s">
        <v>30</v>
      </c>
      <c r="E80" s="23">
        <v>24</v>
      </c>
    </row>
    <row r="81" spans="1:5" x14ac:dyDescent="0.25">
      <c r="A81" s="22" t="s">
        <v>414</v>
      </c>
      <c r="B81" s="22" t="s">
        <v>246</v>
      </c>
      <c r="C81" s="22" t="s">
        <v>30</v>
      </c>
      <c r="D81" s="22" t="s">
        <v>30</v>
      </c>
      <c r="E81" s="23">
        <v>24</v>
      </c>
    </row>
    <row r="82" spans="1:5" x14ac:dyDescent="0.25">
      <c r="A82" s="29" t="s">
        <v>371</v>
      </c>
      <c r="B82" s="29" t="s">
        <v>246</v>
      </c>
      <c r="C82" s="29" t="s">
        <v>18</v>
      </c>
      <c r="D82" s="29" t="s">
        <v>349</v>
      </c>
      <c r="E82" s="30">
        <v>28</v>
      </c>
    </row>
    <row r="83" spans="1:5" x14ac:dyDescent="0.25">
      <c r="A83" s="29" t="s">
        <v>343</v>
      </c>
      <c r="B83" s="29" t="s">
        <v>246</v>
      </c>
      <c r="C83" s="29" t="s">
        <v>18</v>
      </c>
      <c r="D83" s="29" t="s">
        <v>349</v>
      </c>
      <c r="E83" s="30">
        <v>28</v>
      </c>
    </row>
    <row r="84" spans="1:5" x14ac:dyDescent="0.25">
      <c r="A84" s="29" t="s">
        <v>348</v>
      </c>
      <c r="B84" s="29" t="s">
        <v>246</v>
      </c>
      <c r="C84" s="29" t="s">
        <v>349</v>
      </c>
      <c r="D84" s="29" t="s">
        <v>349</v>
      </c>
      <c r="E84" s="30">
        <v>28</v>
      </c>
    </row>
    <row r="85" spans="1:5" x14ac:dyDescent="0.25">
      <c r="A85" s="29" t="s">
        <v>372</v>
      </c>
      <c r="B85" s="29" t="s">
        <v>246</v>
      </c>
      <c r="C85" s="29" t="s">
        <v>349</v>
      </c>
      <c r="D85" s="29" t="s">
        <v>349</v>
      </c>
      <c r="E85" s="30">
        <v>28</v>
      </c>
    </row>
    <row r="86" spans="1:5" x14ac:dyDescent="0.25">
      <c r="A86" s="22" t="s">
        <v>413</v>
      </c>
      <c r="B86" s="22" t="s">
        <v>246</v>
      </c>
      <c r="C86" s="22" t="s">
        <v>30</v>
      </c>
      <c r="D86" s="22" t="s">
        <v>30</v>
      </c>
      <c r="E86" s="23">
        <v>24</v>
      </c>
    </row>
    <row r="87" spans="1:5" x14ac:dyDescent="0.25">
      <c r="A87" s="22" t="s">
        <v>422</v>
      </c>
      <c r="B87" s="22" t="s">
        <v>246</v>
      </c>
      <c r="C87" s="22" t="s">
        <v>30</v>
      </c>
      <c r="D87" s="22" t="s">
        <v>30</v>
      </c>
      <c r="E87" s="23">
        <v>24</v>
      </c>
    </row>
    <row r="88" spans="1:5" x14ac:dyDescent="0.25">
      <c r="A88" s="22" t="s">
        <v>423</v>
      </c>
      <c r="B88" s="22" t="s">
        <v>246</v>
      </c>
      <c r="C88" s="22" t="s">
        <v>30</v>
      </c>
      <c r="D88" s="22" t="s">
        <v>30</v>
      </c>
      <c r="E88" s="23">
        <v>24</v>
      </c>
    </row>
    <row r="89" spans="1:5" x14ac:dyDescent="0.25">
      <c r="A89" s="22" t="s">
        <v>53</v>
      </c>
      <c r="B89" s="22" t="s">
        <v>245</v>
      </c>
      <c r="C89" s="22" t="s">
        <v>18</v>
      </c>
      <c r="D89" s="22" t="s">
        <v>24</v>
      </c>
      <c r="E89" s="23">
        <v>28</v>
      </c>
    </row>
    <row r="90" spans="1:5" x14ac:dyDescent="0.25">
      <c r="A90" s="22" t="s">
        <v>316</v>
      </c>
      <c r="B90" s="22" t="s">
        <v>241</v>
      </c>
      <c r="C90" s="22" t="s">
        <v>18</v>
      </c>
      <c r="D90" s="22" t="s">
        <v>317</v>
      </c>
      <c r="E90" s="23">
        <v>28</v>
      </c>
    </row>
    <row r="91" spans="1:5" x14ac:dyDescent="0.25">
      <c r="A91" s="22" t="s">
        <v>85</v>
      </c>
      <c r="B91" s="22" t="s">
        <v>241</v>
      </c>
      <c r="C91" s="22" t="s">
        <v>24</v>
      </c>
      <c r="D91" s="22" t="s">
        <v>18</v>
      </c>
      <c r="E91" s="23">
        <v>24</v>
      </c>
    </row>
    <row r="92" spans="1:5" x14ac:dyDescent="0.25">
      <c r="A92" s="22" t="s">
        <v>78</v>
      </c>
      <c r="B92" s="22" t="s">
        <v>241</v>
      </c>
      <c r="C92" s="22" t="s">
        <v>24</v>
      </c>
      <c r="D92" s="22" t="s">
        <v>24</v>
      </c>
      <c r="E92" s="23">
        <v>24</v>
      </c>
    </row>
    <row r="93" spans="1:5" x14ac:dyDescent="0.25">
      <c r="A93" s="22" t="s">
        <v>79</v>
      </c>
      <c r="B93" s="22" t="s">
        <v>241</v>
      </c>
      <c r="C93" s="22" t="s">
        <v>24</v>
      </c>
      <c r="D93" s="22" t="s">
        <v>24</v>
      </c>
      <c r="E93" s="23">
        <v>28</v>
      </c>
    </row>
    <row r="94" spans="1:5" x14ac:dyDescent="0.25">
      <c r="A94" s="22" t="s">
        <v>86</v>
      </c>
      <c r="B94" s="22" t="s">
        <v>241</v>
      </c>
      <c r="C94" s="22" t="s">
        <v>24</v>
      </c>
      <c r="D94" s="22" t="s">
        <v>18</v>
      </c>
      <c r="E94" s="23">
        <v>28</v>
      </c>
    </row>
    <row r="95" spans="1:5" x14ac:dyDescent="0.25">
      <c r="A95" s="22" t="s">
        <v>5</v>
      </c>
      <c r="B95" s="22" t="s">
        <v>245</v>
      </c>
      <c r="C95" s="22" t="s">
        <v>18</v>
      </c>
      <c r="D95" s="22" t="s">
        <v>18</v>
      </c>
      <c r="E95" s="23">
        <v>28</v>
      </c>
    </row>
    <row r="96" spans="1:5" x14ac:dyDescent="0.25">
      <c r="A96" s="22" t="s">
        <v>52</v>
      </c>
      <c r="B96" s="22" t="s">
        <v>245</v>
      </c>
      <c r="C96" s="22" t="s">
        <v>18</v>
      </c>
      <c r="D96" s="22" t="s">
        <v>19</v>
      </c>
      <c r="E96" s="23">
        <v>28</v>
      </c>
    </row>
    <row r="97" spans="1:5" x14ac:dyDescent="0.25">
      <c r="A97" s="22" t="s">
        <v>48</v>
      </c>
      <c r="B97" s="22" t="s">
        <v>245</v>
      </c>
      <c r="C97" s="22" t="s">
        <v>19</v>
      </c>
      <c r="D97" s="22" t="s">
        <v>19</v>
      </c>
      <c r="E97" s="23">
        <v>28</v>
      </c>
    </row>
    <row r="98" spans="1:5" x14ac:dyDescent="0.25">
      <c r="A98" s="22" t="s">
        <v>54</v>
      </c>
      <c r="B98" s="22" t="s">
        <v>245</v>
      </c>
      <c r="C98" s="22" t="s">
        <v>18</v>
      </c>
      <c r="D98" s="22" t="s">
        <v>27</v>
      </c>
      <c r="E98" s="23">
        <v>28</v>
      </c>
    </row>
    <row r="99" spans="1:5" x14ac:dyDescent="0.25">
      <c r="A99" s="22" t="s">
        <v>50</v>
      </c>
      <c r="B99" s="22" t="s">
        <v>245</v>
      </c>
      <c r="C99" s="22" t="s">
        <v>27</v>
      </c>
      <c r="D99" s="22" t="s">
        <v>27</v>
      </c>
      <c r="E99" s="23">
        <v>28</v>
      </c>
    </row>
    <row r="100" spans="1:5" x14ac:dyDescent="0.25">
      <c r="A100" s="22" t="s">
        <v>49</v>
      </c>
      <c r="B100" s="22" t="s">
        <v>245</v>
      </c>
      <c r="C100" s="22" t="s">
        <v>24</v>
      </c>
      <c r="D100" s="22" t="s">
        <v>24</v>
      </c>
      <c r="E100" s="23">
        <v>28</v>
      </c>
    </row>
    <row r="101" spans="1:5" x14ac:dyDescent="0.25">
      <c r="A101" s="22" t="s">
        <v>330</v>
      </c>
      <c r="B101" s="22" t="s">
        <v>245</v>
      </c>
      <c r="C101" s="22" t="s">
        <v>339</v>
      </c>
      <c r="D101" s="22" t="s">
        <v>339</v>
      </c>
      <c r="E101" s="23">
        <v>28</v>
      </c>
    </row>
    <row r="102" spans="1:5" x14ac:dyDescent="0.25">
      <c r="A102" s="22" t="s">
        <v>56</v>
      </c>
      <c r="B102" s="22" t="s">
        <v>245</v>
      </c>
      <c r="C102" s="22" t="s">
        <v>57</v>
      </c>
      <c r="D102" s="22" t="s">
        <v>57</v>
      </c>
      <c r="E102" s="23">
        <v>28</v>
      </c>
    </row>
    <row r="103" spans="1:5" x14ac:dyDescent="0.25">
      <c r="A103" s="22" t="s">
        <v>55</v>
      </c>
      <c r="B103" s="22" t="s">
        <v>245</v>
      </c>
      <c r="C103" s="22" t="s">
        <v>18</v>
      </c>
      <c r="D103" s="22" t="s">
        <v>34</v>
      </c>
      <c r="E103" s="23">
        <v>28</v>
      </c>
    </row>
    <row r="104" spans="1:5" x14ac:dyDescent="0.25">
      <c r="A104" s="22" t="s">
        <v>51</v>
      </c>
      <c r="B104" s="22" t="s">
        <v>245</v>
      </c>
      <c r="C104" s="22" t="s">
        <v>34</v>
      </c>
      <c r="D104" s="22" t="s">
        <v>34</v>
      </c>
      <c r="E104" s="23">
        <v>28</v>
      </c>
    </row>
    <row r="105" spans="1:5" x14ac:dyDescent="0.25">
      <c r="A105" s="22" t="s">
        <v>71</v>
      </c>
      <c r="B105" s="22" t="s">
        <v>241</v>
      </c>
      <c r="C105" s="22" t="s">
        <v>19</v>
      </c>
      <c r="D105" s="22" t="s">
        <v>19</v>
      </c>
      <c r="E105" s="23">
        <v>28</v>
      </c>
    </row>
    <row r="106" spans="1:5" x14ac:dyDescent="0.25">
      <c r="A106" s="22" t="s">
        <v>72</v>
      </c>
      <c r="B106" s="22" t="s">
        <v>242</v>
      </c>
      <c r="C106" s="22" t="s">
        <v>24</v>
      </c>
      <c r="D106" s="22" t="s">
        <v>30</v>
      </c>
      <c r="E106" s="23">
        <v>28</v>
      </c>
    </row>
    <row r="107" spans="1:5" x14ac:dyDescent="0.25">
      <c r="A107" s="22" t="s">
        <v>315</v>
      </c>
      <c r="B107" s="22" t="s">
        <v>242</v>
      </c>
      <c r="C107" s="22" t="s">
        <v>27</v>
      </c>
      <c r="D107" s="22" t="s">
        <v>30</v>
      </c>
      <c r="E107" s="23">
        <v>28</v>
      </c>
    </row>
    <row r="108" spans="1:5" x14ac:dyDescent="0.25">
      <c r="A108" s="22" t="s">
        <v>249</v>
      </c>
      <c r="B108" s="22" t="s">
        <v>242</v>
      </c>
      <c r="C108" s="22" t="s">
        <v>251</v>
      </c>
      <c r="D108" s="22" t="s">
        <v>30</v>
      </c>
      <c r="E108" s="23">
        <v>28</v>
      </c>
    </row>
    <row r="109" spans="1:5" x14ac:dyDescent="0.25">
      <c r="A109" s="22" t="s">
        <v>73</v>
      </c>
      <c r="B109" s="22" t="s">
        <v>242</v>
      </c>
      <c r="C109" s="22" t="s">
        <v>39</v>
      </c>
      <c r="D109" s="22" t="s">
        <v>30</v>
      </c>
      <c r="E109" s="23">
        <v>28</v>
      </c>
    </row>
    <row r="110" spans="1:5" x14ac:dyDescent="0.25">
      <c r="A110" s="22" t="s">
        <v>2</v>
      </c>
      <c r="B110" s="22" t="s">
        <v>242</v>
      </c>
      <c r="C110" s="22" t="s">
        <v>30</v>
      </c>
      <c r="D110" s="22" t="s">
        <v>30</v>
      </c>
      <c r="E110" s="23">
        <v>28</v>
      </c>
    </row>
    <row r="111" spans="1:5" x14ac:dyDescent="0.25">
      <c r="A111" s="22" t="s">
        <v>69</v>
      </c>
      <c r="B111" s="22" t="s">
        <v>242</v>
      </c>
      <c r="C111" s="22" t="s">
        <v>30</v>
      </c>
      <c r="D111" s="22" t="s">
        <v>30</v>
      </c>
      <c r="E111" s="23">
        <v>28</v>
      </c>
    </row>
    <row r="112" spans="1:5" x14ac:dyDescent="0.25">
      <c r="A112" s="22" t="s">
        <v>93</v>
      </c>
      <c r="B112" s="22" t="s">
        <v>242</v>
      </c>
      <c r="C112" s="22" t="s">
        <v>30</v>
      </c>
      <c r="D112" s="22" t="s">
        <v>30</v>
      </c>
      <c r="E112" s="23">
        <v>24</v>
      </c>
    </row>
    <row r="113" spans="1:5" x14ac:dyDescent="0.25">
      <c r="A113" s="22" t="s">
        <v>96</v>
      </c>
      <c r="B113" s="22" t="s">
        <v>242</v>
      </c>
      <c r="C113" s="22" t="s">
        <v>39</v>
      </c>
      <c r="D113" s="22" t="s">
        <v>30</v>
      </c>
      <c r="E113" s="23">
        <v>28</v>
      </c>
    </row>
    <row r="114" spans="1:5" x14ac:dyDescent="0.25">
      <c r="A114" s="22" t="s">
        <v>350</v>
      </c>
      <c r="B114" s="22" t="s">
        <v>242</v>
      </c>
      <c r="C114" s="22" t="s">
        <v>27</v>
      </c>
      <c r="D114" s="22" t="s">
        <v>30</v>
      </c>
      <c r="E114" s="23">
        <v>28</v>
      </c>
    </row>
    <row r="115" spans="1:5" x14ac:dyDescent="0.25">
      <c r="A115" s="22" t="s">
        <v>97</v>
      </c>
      <c r="B115" s="22" t="s">
        <v>242</v>
      </c>
      <c r="C115" s="22" t="s">
        <v>41</v>
      </c>
      <c r="D115" s="22" t="s">
        <v>30</v>
      </c>
      <c r="E115" s="23">
        <v>28</v>
      </c>
    </row>
    <row r="116" spans="1:5" x14ac:dyDescent="0.25">
      <c r="A116" s="22" t="s">
        <v>318</v>
      </c>
      <c r="B116" s="22" t="s">
        <v>242</v>
      </c>
      <c r="C116" s="22" t="s">
        <v>44</v>
      </c>
      <c r="D116" s="22" t="s">
        <v>30</v>
      </c>
      <c r="E116" s="23">
        <v>24</v>
      </c>
    </row>
    <row r="117" spans="1:5" x14ac:dyDescent="0.25">
      <c r="A117" s="22" t="s">
        <v>98</v>
      </c>
      <c r="B117" s="22" t="s">
        <v>242</v>
      </c>
      <c r="C117" s="22" t="s">
        <v>44</v>
      </c>
      <c r="D117" s="22" t="s">
        <v>30</v>
      </c>
      <c r="E117" s="23">
        <v>28</v>
      </c>
    </row>
    <row r="118" spans="1:5" x14ac:dyDescent="0.25">
      <c r="A118" s="22" t="s">
        <v>74</v>
      </c>
      <c r="B118" s="22" t="s">
        <v>242</v>
      </c>
      <c r="C118" s="22" t="s">
        <v>41</v>
      </c>
      <c r="D118" s="22" t="s">
        <v>30</v>
      </c>
      <c r="E118" s="23">
        <v>28</v>
      </c>
    </row>
    <row r="119" spans="1:5" x14ac:dyDescent="0.25">
      <c r="A119" s="22" t="s">
        <v>75</v>
      </c>
      <c r="B119" s="22" t="s">
        <v>242</v>
      </c>
      <c r="C119" s="22" t="s">
        <v>44</v>
      </c>
      <c r="D119" s="22" t="s">
        <v>30</v>
      </c>
      <c r="E119" s="23">
        <v>28</v>
      </c>
    </row>
    <row r="120" spans="1:5" x14ac:dyDescent="0.25">
      <c r="A120" s="22" t="s">
        <v>70</v>
      </c>
      <c r="B120" s="22" t="s">
        <v>242</v>
      </c>
      <c r="C120" s="22" t="s">
        <v>30</v>
      </c>
      <c r="D120" s="22" t="s">
        <v>30</v>
      </c>
      <c r="E120" s="23">
        <v>28</v>
      </c>
    </row>
    <row r="121" spans="1:5" x14ac:dyDescent="0.25">
      <c r="A121" s="22" t="s">
        <v>99</v>
      </c>
      <c r="B121" s="22" t="s">
        <v>241</v>
      </c>
      <c r="C121" s="22" t="s">
        <v>47</v>
      </c>
      <c r="D121" s="22" t="s">
        <v>47</v>
      </c>
      <c r="E121" s="23">
        <v>28</v>
      </c>
    </row>
    <row r="122" spans="1:5" x14ac:dyDescent="0.25">
      <c r="A122" s="22" t="s">
        <v>99</v>
      </c>
      <c r="B122" s="22" t="s">
        <v>241</v>
      </c>
      <c r="C122" s="22" t="s">
        <v>47</v>
      </c>
      <c r="D122" s="22" t="s">
        <v>47</v>
      </c>
      <c r="E122" s="23">
        <v>28</v>
      </c>
    </row>
    <row r="123" spans="1:5" x14ac:dyDescent="0.25">
      <c r="A123" s="22" t="s">
        <v>62</v>
      </c>
      <c r="B123" s="22" t="s">
        <v>241</v>
      </c>
      <c r="C123" s="22" t="s">
        <v>27</v>
      </c>
      <c r="D123" s="22" t="s">
        <v>27</v>
      </c>
      <c r="E123" s="23">
        <v>28</v>
      </c>
    </row>
    <row r="124" spans="1:5" x14ac:dyDescent="0.25">
      <c r="A124" s="22" t="s">
        <v>65</v>
      </c>
      <c r="B124" s="22" t="s">
        <v>241</v>
      </c>
      <c r="C124" s="22" t="s">
        <v>18</v>
      </c>
      <c r="D124" s="22" t="s">
        <v>27</v>
      </c>
      <c r="E124" s="23">
        <v>28</v>
      </c>
    </row>
    <row r="125" spans="1:5" x14ac:dyDescent="0.25">
      <c r="A125" s="22" t="s">
        <v>64</v>
      </c>
      <c r="B125" s="22" t="s">
        <v>241</v>
      </c>
      <c r="C125" s="22" t="s">
        <v>18</v>
      </c>
      <c r="D125" s="22" t="s">
        <v>24</v>
      </c>
      <c r="E125" s="23">
        <v>28</v>
      </c>
    </row>
    <row r="126" spans="1:5" x14ac:dyDescent="0.25">
      <c r="A126" s="43" t="s">
        <v>379</v>
      </c>
      <c r="B126" s="43" t="s">
        <v>242</v>
      </c>
      <c r="C126" s="43" t="s">
        <v>24</v>
      </c>
      <c r="D126" s="43" t="s">
        <v>30</v>
      </c>
      <c r="E126" s="44">
        <v>28</v>
      </c>
    </row>
    <row r="127" spans="1:5" x14ac:dyDescent="0.25">
      <c r="A127" s="22" t="s">
        <v>61</v>
      </c>
      <c r="B127" s="22" t="s">
        <v>241</v>
      </c>
      <c r="C127" s="22" t="s">
        <v>24</v>
      </c>
      <c r="D127" s="22" t="s">
        <v>24</v>
      </c>
      <c r="E127" s="23">
        <v>28</v>
      </c>
    </row>
    <row r="128" spans="1:5" x14ac:dyDescent="0.25">
      <c r="A128" s="25" t="s">
        <v>331</v>
      </c>
      <c r="B128" s="25" t="s">
        <v>241</v>
      </c>
      <c r="C128" s="25" t="s">
        <v>339</v>
      </c>
      <c r="D128" s="25" t="s">
        <v>30</v>
      </c>
      <c r="E128" s="26">
        <v>28</v>
      </c>
    </row>
    <row r="129" spans="1:5" x14ac:dyDescent="0.25">
      <c r="A129" s="22" t="s">
        <v>332</v>
      </c>
      <c r="B129" s="22" t="s">
        <v>241</v>
      </c>
      <c r="C129" s="22" t="s">
        <v>339</v>
      </c>
      <c r="D129" s="22" t="s">
        <v>339</v>
      </c>
      <c r="E129" s="23">
        <v>28</v>
      </c>
    </row>
    <row r="130" spans="1:5" x14ac:dyDescent="0.25">
      <c r="A130" s="22" t="s">
        <v>67</v>
      </c>
      <c r="B130" s="22" t="s">
        <v>241</v>
      </c>
      <c r="C130" s="22" t="s">
        <v>57</v>
      </c>
      <c r="D130" s="22" t="s">
        <v>57</v>
      </c>
      <c r="E130" s="23">
        <v>28</v>
      </c>
    </row>
    <row r="131" spans="1:5" x14ac:dyDescent="0.25">
      <c r="A131" s="22" t="s">
        <v>327</v>
      </c>
      <c r="B131" s="22" t="s">
        <v>242</v>
      </c>
      <c r="C131" s="22" t="s">
        <v>34</v>
      </c>
      <c r="D131" s="22" t="s">
        <v>30</v>
      </c>
      <c r="E131" s="23">
        <v>28</v>
      </c>
    </row>
    <row r="132" spans="1:5" x14ac:dyDescent="0.25">
      <c r="A132" s="22" t="s">
        <v>66</v>
      </c>
      <c r="B132" s="22" t="s">
        <v>241</v>
      </c>
      <c r="C132" s="22" t="s">
        <v>18</v>
      </c>
      <c r="D132" s="22" t="s">
        <v>34</v>
      </c>
      <c r="E132" s="23">
        <v>28</v>
      </c>
    </row>
    <row r="133" spans="1:5" x14ac:dyDescent="0.25">
      <c r="A133" s="22" t="s">
        <v>63</v>
      </c>
      <c r="B133" s="22" t="s">
        <v>241</v>
      </c>
      <c r="C133" s="22" t="s">
        <v>34</v>
      </c>
      <c r="D133" s="22" t="s">
        <v>34</v>
      </c>
      <c r="E133" s="23">
        <v>28</v>
      </c>
    </row>
    <row r="134" spans="1:5" x14ac:dyDescent="0.25">
      <c r="A134" s="22" t="s">
        <v>4</v>
      </c>
      <c r="B134" s="22" t="s">
        <v>241</v>
      </c>
      <c r="C134" s="22" t="s">
        <v>18</v>
      </c>
      <c r="D134" s="22" t="s">
        <v>19</v>
      </c>
      <c r="E134" s="23">
        <v>28</v>
      </c>
    </row>
    <row r="135" spans="1:5" x14ac:dyDescent="0.25">
      <c r="A135" s="22" t="s">
        <v>60</v>
      </c>
      <c r="B135" s="22" t="s">
        <v>241</v>
      </c>
      <c r="C135" s="22" t="s">
        <v>19</v>
      </c>
      <c r="D135" s="22" t="s">
        <v>19</v>
      </c>
      <c r="E135" s="23">
        <v>28</v>
      </c>
    </row>
    <row r="136" spans="1:5" x14ac:dyDescent="0.25">
      <c r="A136" s="22" t="s">
        <v>58</v>
      </c>
      <c r="B136" s="22" t="s">
        <v>241</v>
      </c>
      <c r="C136" s="22" t="s">
        <v>18</v>
      </c>
      <c r="D136" s="22" t="s">
        <v>18</v>
      </c>
      <c r="E136" s="23">
        <v>28</v>
      </c>
    </row>
    <row r="137" spans="1:5" ht="15.75" x14ac:dyDescent="0.25">
      <c r="A137" s="45" t="s">
        <v>403</v>
      </c>
      <c r="B137" s="22" t="s">
        <v>241</v>
      </c>
      <c r="C137" s="22" t="s">
        <v>317</v>
      </c>
      <c r="D137" s="22" t="s">
        <v>30</v>
      </c>
      <c r="E137" s="23">
        <v>28</v>
      </c>
    </row>
    <row r="138" spans="1:5" x14ac:dyDescent="0.25">
      <c r="A138" s="22" t="s">
        <v>87</v>
      </c>
      <c r="B138" s="22" t="s">
        <v>242</v>
      </c>
      <c r="C138" s="22" t="s">
        <v>24</v>
      </c>
      <c r="D138" s="22" t="s">
        <v>30</v>
      </c>
      <c r="E138" s="23">
        <v>28</v>
      </c>
    </row>
    <row r="139" spans="1:5" x14ac:dyDescent="0.25">
      <c r="A139" s="22" t="s">
        <v>89</v>
      </c>
      <c r="B139" s="22" t="s">
        <v>242</v>
      </c>
      <c r="C139" s="22" t="s">
        <v>27</v>
      </c>
      <c r="D139" s="22" t="s">
        <v>30</v>
      </c>
      <c r="E139" s="23">
        <v>28</v>
      </c>
    </row>
    <row r="140" spans="1:5" x14ac:dyDescent="0.25">
      <c r="A140" s="22" t="s">
        <v>210</v>
      </c>
      <c r="B140" s="22" t="s">
        <v>242</v>
      </c>
      <c r="C140" s="22" t="s">
        <v>57</v>
      </c>
      <c r="D140" s="22" t="s">
        <v>30</v>
      </c>
      <c r="E140" s="23">
        <v>28</v>
      </c>
    </row>
    <row r="141" spans="1:5" x14ac:dyDescent="0.25">
      <c r="A141" s="22" t="s">
        <v>3</v>
      </c>
      <c r="B141" s="22" t="s">
        <v>242</v>
      </c>
      <c r="C141" s="22" t="s">
        <v>30</v>
      </c>
      <c r="D141" s="22" t="s">
        <v>30</v>
      </c>
      <c r="E141" s="23">
        <v>28</v>
      </c>
    </row>
    <row r="142" spans="1:5" x14ac:dyDescent="0.25">
      <c r="A142" s="22" t="s">
        <v>94</v>
      </c>
      <c r="B142" s="22" t="s">
        <v>242</v>
      </c>
      <c r="C142" s="22" t="s">
        <v>30</v>
      </c>
      <c r="D142" s="22" t="s">
        <v>30</v>
      </c>
      <c r="E142" s="23">
        <v>24</v>
      </c>
    </row>
    <row r="143" spans="1:5" x14ac:dyDescent="0.25">
      <c r="A143" s="22" t="s">
        <v>95</v>
      </c>
      <c r="B143" s="22" t="s">
        <v>242</v>
      </c>
      <c r="C143" s="22" t="s">
        <v>30</v>
      </c>
      <c r="D143" s="22" t="s">
        <v>30</v>
      </c>
      <c r="E143" s="23">
        <v>28</v>
      </c>
    </row>
    <row r="144" spans="1:5" x14ac:dyDescent="0.25">
      <c r="A144" s="22" t="s">
        <v>84</v>
      </c>
      <c r="B144" s="22" t="s">
        <v>242</v>
      </c>
      <c r="C144" s="22" t="s">
        <v>19</v>
      </c>
      <c r="D144" s="22" t="s">
        <v>30</v>
      </c>
      <c r="E144" s="23">
        <v>28</v>
      </c>
    </row>
    <row r="145" spans="1:5" x14ac:dyDescent="0.25">
      <c r="A145" s="22" t="s">
        <v>202</v>
      </c>
      <c r="B145" s="22" t="s">
        <v>242</v>
      </c>
      <c r="C145" s="22" t="s">
        <v>34</v>
      </c>
      <c r="D145" s="22" t="s">
        <v>30</v>
      </c>
      <c r="E145" s="23">
        <v>28</v>
      </c>
    </row>
    <row r="146" spans="1:5" x14ac:dyDescent="0.25">
      <c r="A146" s="22" t="s">
        <v>92</v>
      </c>
      <c r="B146" s="22" t="s">
        <v>241</v>
      </c>
      <c r="C146" s="22" t="s">
        <v>18</v>
      </c>
      <c r="D146" s="22" t="s">
        <v>18</v>
      </c>
      <c r="E146" s="23">
        <v>24</v>
      </c>
    </row>
    <row r="147" spans="1:5" x14ac:dyDescent="0.25">
      <c r="A147" s="22" t="s">
        <v>1</v>
      </c>
      <c r="B147" s="22" t="s">
        <v>241</v>
      </c>
      <c r="C147" s="22" t="s">
        <v>18</v>
      </c>
      <c r="D147" s="22" t="s">
        <v>18</v>
      </c>
      <c r="E147" s="23">
        <v>28</v>
      </c>
    </row>
    <row r="148" spans="1:5" x14ac:dyDescent="0.25">
      <c r="A148" s="46" t="s">
        <v>406</v>
      </c>
      <c r="B148" s="22" t="s">
        <v>246</v>
      </c>
      <c r="C148" s="22" t="s">
        <v>30</v>
      </c>
      <c r="D148" s="22" t="s">
        <v>30</v>
      </c>
      <c r="E148" s="23">
        <v>24</v>
      </c>
    </row>
    <row r="149" spans="1:5" x14ac:dyDescent="0.25">
      <c r="A149" s="41" t="s">
        <v>376</v>
      </c>
      <c r="B149" s="41" t="s">
        <v>242</v>
      </c>
      <c r="C149" s="41" t="s">
        <v>30</v>
      </c>
      <c r="D149" s="41" t="s">
        <v>30</v>
      </c>
      <c r="E149" s="42">
        <v>28</v>
      </c>
    </row>
    <row r="150" spans="1:5" x14ac:dyDescent="0.25">
      <c r="A150" s="43" t="s">
        <v>376</v>
      </c>
      <c r="B150" s="43" t="s">
        <v>241</v>
      </c>
      <c r="C150" s="43" t="s">
        <v>30</v>
      </c>
      <c r="D150" s="43" t="s">
        <v>30</v>
      </c>
      <c r="E150" s="44">
        <v>28</v>
      </c>
    </row>
    <row r="151" spans="1:5" x14ac:dyDescent="0.25">
      <c r="A151" s="46" t="s">
        <v>405</v>
      </c>
      <c r="B151" s="22" t="s">
        <v>246</v>
      </c>
      <c r="C151" s="22" t="s">
        <v>30</v>
      </c>
      <c r="D151" s="22" t="s">
        <v>30</v>
      </c>
      <c r="E151" s="23">
        <v>24</v>
      </c>
    </row>
    <row r="152" spans="1:5" x14ac:dyDescent="0.25">
      <c r="A152" s="41" t="s">
        <v>375</v>
      </c>
      <c r="B152" s="41" t="s">
        <v>242</v>
      </c>
      <c r="C152" s="41" t="s">
        <v>30</v>
      </c>
      <c r="D152" s="41" t="s">
        <v>30</v>
      </c>
      <c r="E152" s="42">
        <v>28</v>
      </c>
    </row>
    <row r="153" spans="1:5" x14ac:dyDescent="0.25">
      <c r="A153" s="43" t="s">
        <v>375</v>
      </c>
      <c r="B153" s="43" t="s">
        <v>241</v>
      </c>
      <c r="C153" s="43" t="s">
        <v>30</v>
      </c>
      <c r="D153" s="43" t="s">
        <v>30</v>
      </c>
      <c r="E153" s="44">
        <v>28</v>
      </c>
    </row>
    <row r="154" spans="1:5" x14ac:dyDescent="0.25">
      <c r="A154" s="22" t="s">
        <v>80</v>
      </c>
      <c r="B154" s="22" t="s">
        <v>241</v>
      </c>
      <c r="C154" s="22" t="s">
        <v>24</v>
      </c>
      <c r="D154" s="22" t="s">
        <v>24</v>
      </c>
      <c r="E154" s="23">
        <v>28</v>
      </c>
    </row>
    <row r="155" spans="1:5" x14ac:dyDescent="0.25">
      <c r="A155" s="22" t="s">
        <v>81</v>
      </c>
      <c r="B155" s="22" t="s">
        <v>241</v>
      </c>
      <c r="C155" s="22" t="s">
        <v>24</v>
      </c>
      <c r="D155" s="22" t="s">
        <v>24</v>
      </c>
      <c r="E155" s="23">
        <v>28</v>
      </c>
    </row>
    <row r="156" spans="1:5" x14ac:dyDescent="0.25">
      <c r="A156" s="22" t="s">
        <v>88</v>
      </c>
      <c r="B156" s="22" t="s">
        <v>241</v>
      </c>
      <c r="C156" s="22" t="s">
        <v>18</v>
      </c>
      <c r="D156" s="22" t="s">
        <v>27</v>
      </c>
      <c r="E156" s="23">
        <v>28</v>
      </c>
    </row>
    <row r="157" spans="1:5" x14ac:dyDescent="0.25">
      <c r="A157" s="22" t="s">
        <v>82</v>
      </c>
      <c r="B157" s="22" t="s">
        <v>241</v>
      </c>
      <c r="C157" s="22" t="s">
        <v>27</v>
      </c>
      <c r="D157" s="22" t="s">
        <v>27</v>
      </c>
      <c r="E157" s="23">
        <v>28</v>
      </c>
    </row>
    <row r="158" spans="1:5" x14ac:dyDescent="0.25">
      <c r="A158" s="25" t="s">
        <v>334</v>
      </c>
      <c r="B158" s="25" t="s">
        <v>241</v>
      </c>
      <c r="C158" s="25" t="s">
        <v>339</v>
      </c>
      <c r="D158" s="25" t="s">
        <v>30</v>
      </c>
      <c r="E158" s="26">
        <v>28</v>
      </c>
    </row>
    <row r="159" spans="1:5" x14ac:dyDescent="0.25">
      <c r="A159" s="25" t="s">
        <v>333</v>
      </c>
      <c r="B159" s="25" t="s">
        <v>241</v>
      </c>
      <c r="C159" s="25" t="s">
        <v>339</v>
      </c>
      <c r="D159" s="25" t="s">
        <v>339</v>
      </c>
      <c r="E159" s="26">
        <v>28</v>
      </c>
    </row>
    <row r="160" spans="1:5" x14ac:dyDescent="0.25">
      <c r="A160" s="22" t="s">
        <v>91</v>
      </c>
      <c r="B160" s="22" t="s">
        <v>241</v>
      </c>
      <c r="C160" s="22" t="s">
        <v>57</v>
      </c>
      <c r="D160" s="22" t="s">
        <v>57</v>
      </c>
      <c r="E160" s="23">
        <v>28</v>
      </c>
    </row>
    <row r="161" spans="1:5" x14ac:dyDescent="0.25">
      <c r="A161" s="22" t="s">
        <v>83</v>
      </c>
      <c r="B161" s="22" t="s">
        <v>241</v>
      </c>
      <c r="C161" s="22" t="s">
        <v>18</v>
      </c>
      <c r="D161" s="22" t="s">
        <v>19</v>
      </c>
      <c r="E161" s="23">
        <v>28</v>
      </c>
    </row>
    <row r="162" spans="1:5" x14ac:dyDescent="0.25">
      <c r="A162" s="22" t="s">
        <v>76</v>
      </c>
      <c r="B162" s="22" t="s">
        <v>241</v>
      </c>
      <c r="C162" s="22" t="s">
        <v>19</v>
      </c>
      <c r="D162" s="22" t="s">
        <v>19</v>
      </c>
      <c r="E162" s="23">
        <v>28</v>
      </c>
    </row>
    <row r="163" spans="1:5" x14ac:dyDescent="0.25">
      <c r="A163" s="22" t="s">
        <v>77</v>
      </c>
      <c r="B163" s="22" t="s">
        <v>241</v>
      </c>
      <c r="C163" s="22" t="s">
        <v>19</v>
      </c>
      <c r="D163" s="22" t="s">
        <v>19</v>
      </c>
      <c r="E163" s="23">
        <v>28</v>
      </c>
    </row>
    <row r="164" spans="1:5" x14ac:dyDescent="0.25">
      <c r="A164" s="22" t="s">
        <v>322</v>
      </c>
      <c r="B164" s="22" t="s">
        <v>241</v>
      </c>
      <c r="C164" s="22" t="s">
        <v>18</v>
      </c>
      <c r="D164" s="22" t="s">
        <v>47</v>
      </c>
      <c r="E164" s="23">
        <v>28</v>
      </c>
    </row>
    <row r="165" spans="1:5" x14ac:dyDescent="0.25">
      <c r="A165" s="22" t="s">
        <v>236</v>
      </c>
      <c r="B165" s="22" t="s">
        <v>241</v>
      </c>
      <c r="C165" s="22" t="s">
        <v>47</v>
      </c>
      <c r="D165" s="22" t="s">
        <v>47</v>
      </c>
      <c r="E165" s="23">
        <v>28</v>
      </c>
    </row>
    <row r="166" spans="1:5" x14ac:dyDescent="0.25">
      <c r="A166" s="22" t="s">
        <v>236</v>
      </c>
      <c r="B166" s="22" t="s">
        <v>241</v>
      </c>
      <c r="C166" s="22" t="s">
        <v>47</v>
      </c>
      <c r="D166" s="22" t="s">
        <v>47</v>
      </c>
      <c r="E166" s="23">
        <v>28</v>
      </c>
    </row>
    <row r="167" spans="1:5" x14ac:dyDescent="0.25">
      <c r="A167" s="22" t="s">
        <v>0</v>
      </c>
      <c r="B167" s="22" t="s">
        <v>241</v>
      </c>
      <c r="C167" s="22" t="s">
        <v>34</v>
      </c>
      <c r="D167" s="22" t="s">
        <v>34</v>
      </c>
      <c r="E167" s="23">
        <v>28</v>
      </c>
    </row>
    <row r="168" spans="1:5" x14ac:dyDescent="0.25">
      <c r="A168" s="22" t="s">
        <v>357</v>
      </c>
      <c r="B168" s="22" t="s">
        <v>246</v>
      </c>
      <c r="C168" s="22" t="s">
        <v>30</v>
      </c>
      <c r="D168" s="22" t="s">
        <v>30</v>
      </c>
      <c r="E168" s="23">
        <v>28</v>
      </c>
    </row>
    <row r="169" spans="1:5" x14ac:dyDescent="0.25">
      <c r="A169" s="22" t="s">
        <v>358</v>
      </c>
      <c r="B169" s="22" t="s">
        <v>246</v>
      </c>
      <c r="C169" s="22" t="s">
        <v>30</v>
      </c>
      <c r="D169" s="22" t="s">
        <v>30</v>
      </c>
      <c r="E169" s="23">
        <v>28</v>
      </c>
    </row>
    <row r="170" spans="1:5" x14ac:dyDescent="0.25">
      <c r="A170" s="22" t="s">
        <v>359</v>
      </c>
      <c r="B170" s="22" t="s">
        <v>246</v>
      </c>
      <c r="C170" s="22" t="s">
        <v>30</v>
      </c>
      <c r="D170" s="22" t="s">
        <v>30</v>
      </c>
      <c r="E170" s="23">
        <v>28</v>
      </c>
    </row>
    <row r="171" spans="1:5" x14ac:dyDescent="0.25">
      <c r="A171" s="22" t="s">
        <v>360</v>
      </c>
      <c r="B171" s="22" t="s">
        <v>246</v>
      </c>
      <c r="C171" s="22" t="s">
        <v>30</v>
      </c>
      <c r="D171" s="22" t="s">
        <v>30</v>
      </c>
      <c r="E171" s="23">
        <v>28</v>
      </c>
    </row>
    <row r="172" spans="1:5" x14ac:dyDescent="0.25">
      <c r="A172" s="31" t="s">
        <v>321</v>
      </c>
      <c r="B172" s="31" t="s">
        <v>246</v>
      </c>
      <c r="C172" s="31" t="s">
        <v>18</v>
      </c>
      <c r="D172" s="31" t="s">
        <v>317</v>
      </c>
      <c r="E172" s="32">
        <v>28</v>
      </c>
    </row>
    <row r="173" spans="1:5" x14ac:dyDescent="0.25">
      <c r="A173" s="31" t="s">
        <v>320</v>
      </c>
      <c r="B173" s="31" t="s">
        <v>246</v>
      </c>
      <c r="C173" s="31" t="s">
        <v>18</v>
      </c>
      <c r="D173" s="31" t="s">
        <v>317</v>
      </c>
      <c r="E173" s="32">
        <v>28</v>
      </c>
    </row>
    <row r="174" spans="1:5" x14ac:dyDescent="0.25">
      <c r="A174" s="37" t="s">
        <v>354</v>
      </c>
      <c r="B174" s="37" t="s">
        <v>246</v>
      </c>
      <c r="C174" s="37" t="s">
        <v>39</v>
      </c>
      <c r="D174" s="37" t="s">
        <v>30</v>
      </c>
      <c r="E174" s="38">
        <v>28</v>
      </c>
    </row>
    <row r="175" spans="1:5" x14ac:dyDescent="0.25">
      <c r="A175" s="37" t="s">
        <v>352</v>
      </c>
      <c r="B175" s="37" t="s">
        <v>246</v>
      </c>
      <c r="C175" s="37" t="s">
        <v>39</v>
      </c>
      <c r="D175" s="37" t="s">
        <v>30</v>
      </c>
      <c r="E175" s="38">
        <v>28</v>
      </c>
    </row>
    <row r="176" spans="1:5" x14ac:dyDescent="0.25">
      <c r="A176" s="46" t="s">
        <v>407</v>
      </c>
      <c r="B176" s="22" t="s">
        <v>246</v>
      </c>
      <c r="C176" s="22" t="s">
        <v>30</v>
      </c>
      <c r="D176" s="22" t="s">
        <v>30</v>
      </c>
      <c r="E176" s="23">
        <v>24</v>
      </c>
    </row>
    <row r="177" spans="1:5" x14ac:dyDescent="0.25">
      <c r="A177" s="41" t="s">
        <v>377</v>
      </c>
      <c r="B177" s="41" t="s">
        <v>246</v>
      </c>
      <c r="C177" s="41" t="s">
        <v>30</v>
      </c>
      <c r="D177" s="41" t="s">
        <v>30</v>
      </c>
      <c r="E177" s="42">
        <v>28</v>
      </c>
    </row>
    <row r="178" spans="1:5" x14ac:dyDescent="0.25">
      <c r="A178" s="43" t="s">
        <v>377</v>
      </c>
      <c r="B178" s="43" t="s">
        <v>246</v>
      </c>
      <c r="C178" s="43" t="s">
        <v>30</v>
      </c>
      <c r="D178" s="43" t="s">
        <v>30</v>
      </c>
      <c r="E178" s="44">
        <v>28</v>
      </c>
    </row>
    <row r="179" spans="1:5" x14ac:dyDescent="0.25">
      <c r="A179" s="46" t="s">
        <v>408</v>
      </c>
      <c r="B179" s="22" t="s">
        <v>246</v>
      </c>
      <c r="C179" s="22" t="s">
        <v>30</v>
      </c>
      <c r="D179" s="22" t="s">
        <v>30</v>
      </c>
      <c r="E179" s="23">
        <v>24</v>
      </c>
    </row>
    <row r="180" spans="1:5" x14ac:dyDescent="0.25">
      <c r="A180" s="41" t="s">
        <v>378</v>
      </c>
      <c r="B180" s="41" t="s">
        <v>246</v>
      </c>
      <c r="C180" s="41" t="s">
        <v>30</v>
      </c>
      <c r="D180" s="41" t="s">
        <v>30</v>
      </c>
      <c r="E180" s="42">
        <v>28</v>
      </c>
    </row>
    <row r="181" spans="1:5" x14ac:dyDescent="0.25">
      <c r="A181" s="43" t="s">
        <v>378</v>
      </c>
      <c r="B181" s="43" t="s">
        <v>246</v>
      </c>
      <c r="C181" s="43" t="s">
        <v>30</v>
      </c>
      <c r="D181" s="43" t="s">
        <v>30</v>
      </c>
      <c r="E181" s="44">
        <v>28</v>
      </c>
    </row>
    <row r="182" spans="1:5" x14ac:dyDescent="0.25">
      <c r="A182" s="39" t="s">
        <v>232</v>
      </c>
      <c r="B182" s="39" t="s">
        <v>246</v>
      </c>
      <c r="C182" s="39" t="s">
        <v>47</v>
      </c>
      <c r="D182" s="39" t="s">
        <v>47</v>
      </c>
      <c r="E182" s="40">
        <v>28</v>
      </c>
    </row>
    <row r="183" spans="1:5" x14ac:dyDescent="0.25">
      <c r="A183" s="25" t="s">
        <v>336</v>
      </c>
      <c r="B183" s="25" t="s">
        <v>246</v>
      </c>
      <c r="C183" s="25" t="s">
        <v>339</v>
      </c>
      <c r="D183" s="25" t="s">
        <v>30</v>
      </c>
      <c r="E183" s="26">
        <v>28</v>
      </c>
    </row>
    <row r="184" spans="1:5" x14ac:dyDescent="0.25">
      <c r="A184" s="25" t="s">
        <v>337</v>
      </c>
      <c r="B184" s="25" t="s">
        <v>246</v>
      </c>
      <c r="C184" s="25" t="s">
        <v>339</v>
      </c>
      <c r="D184" s="25" t="s">
        <v>30</v>
      </c>
      <c r="E184" s="26">
        <v>28</v>
      </c>
    </row>
    <row r="185" spans="1:5" x14ac:dyDescent="0.25">
      <c r="A185" s="25" t="s">
        <v>338</v>
      </c>
      <c r="B185" s="25" t="s">
        <v>246</v>
      </c>
      <c r="C185" s="25" t="s">
        <v>339</v>
      </c>
      <c r="D185" s="25" t="s">
        <v>339</v>
      </c>
      <c r="E185" s="26">
        <v>28</v>
      </c>
    </row>
    <row r="186" spans="1:5" x14ac:dyDescent="0.25">
      <c r="A186" s="25" t="s">
        <v>335</v>
      </c>
      <c r="B186" s="25" t="s">
        <v>246</v>
      </c>
      <c r="C186" s="25" t="s">
        <v>339</v>
      </c>
      <c r="D186" s="25" t="s">
        <v>339</v>
      </c>
      <c r="E186" s="26">
        <v>28</v>
      </c>
    </row>
    <row r="187" spans="1:5" x14ac:dyDescent="0.25">
      <c r="A187" s="47" t="s">
        <v>409</v>
      </c>
      <c r="B187" s="22" t="s">
        <v>246</v>
      </c>
      <c r="C187" s="22" t="s">
        <v>410</v>
      </c>
      <c r="D187" s="22" t="s">
        <v>30</v>
      </c>
      <c r="E187" s="23">
        <v>28</v>
      </c>
    </row>
    <row r="188" spans="1:5" x14ac:dyDescent="0.25">
      <c r="A188" s="39" t="s">
        <v>231</v>
      </c>
      <c r="B188" s="39" t="s">
        <v>246</v>
      </c>
      <c r="C188" s="39" t="s">
        <v>47</v>
      </c>
      <c r="D188" s="39" t="s">
        <v>47</v>
      </c>
      <c r="E188" s="40">
        <v>28</v>
      </c>
    </row>
    <row r="189" spans="1:5" x14ac:dyDescent="0.25">
      <c r="A189" s="35" t="s">
        <v>353</v>
      </c>
      <c r="B189" s="35" t="s">
        <v>246</v>
      </c>
      <c r="C189" s="35" t="s">
        <v>44</v>
      </c>
      <c r="D189" s="35" t="s">
        <v>30</v>
      </c>
      <c r="E189" s="36">
        <v>28</v>
      </c>
    </row>
    <row r="190" spans="1:5" x14ac:dyDescent="0.25">
      <c r="A190" s="35" t="s">
        <v>351</v>
      </c>
      <c r="B190" s="35" t="s">
        <v>246</v>
      </c>
      <c r="C190" s="35" t="s">
        <v>44</v>
      </c>
      <c r="D190" s="35" t="s">
        <v>30</v>
      </c>
      <c r="E190" s="36">
        <v>28</v>
      </c>
    </row>
    <row r="191" spans="1:5" x14ac:dyDescent="0.25">
      <c r="A191" s="33" t="s">
        <v>328</v>
      </c>
      <c r="B191" s="33" t="s">
        <v>246</v>
      </c>
      <c r="C191" s="33" t="s">
        <v>329</v>
      </c>
      <c r="D191" s="33" t="s">
        <v>329</v>
      </c>
      <c r="E191" s="34">
        <v>24</v>
      </c>
    </row>
    <row r="192" spans="1:5" x14ac:dyDescent="0.25">
      <c r="A192" s="22" t="s">
        <v>325</v>
      </c>
      <c r="B192" s="22" t="s">
        <v>246</v>
      </c>
      <c r="C192" s="22" t="s">
        <v>30</v>
      </c>
      <c r="D192" s="22" t="s">
        <v>30</v>
      </c>
      <c r="E192" s="23">
        <v>28</v>
      </c>
    </row>
    <row r="193" spans="1:5" x14ac:dyDescent="0.25">
      <c r="A193" s="22" t="s">
        <v>323</v>
      </c>
      <c r="B193" s="22" t="s">
        <v>246</v>
      </c>
      <c r="C193" s="22" t="s">
        <v>30</v>
      </c>
      <c r="D193" s="22" t="s">
        <v>30</v>
      </c>
      <c r="E193" s="23">
        <v>28</v>
      </c>
    </row>
    <row r="194" spans="1:5" x14ac:dyDescent="0.25">
      <c r="A194" s="22" t="s">
        <v>326</v>
      </c>
      <c r="B194" s="22" t="s">
        <v>246</v>
      </c>
      <c r="C194" s="22" t="s">
        <v>30</v>
      </c>
      <c r="D194" s="22" t="s">
        <v>30</v>
      </c>
      <c r="E194" s="23">
        <v>28</v>
      </c>
    </row>
    <row r="195" spans="1:5" x14ac:dyDescent="0.25">
      <c r="A195" s="22" t="s">
        <v>324</v>
      </c>
      <c r="B195" s="22" t="s">
        <v>246</v>
      </c>
      <c r="C195" s="22" t="s">
        <v>30</v>
      </c>
      <c r="D195" s="22" t="s">
        <v>30</v>
      </c>
      <c r="E195" s="23">
        <v>28</v>
      </c>
    </row>
    <row r="196" spans="1:5" x14ac:dyDescent="0.25">
      <c r="A196" s="22" t="s">
        <v>90</v>
      </c>
      <c r="B196" s="22" t="s">
        <v>241</v>
      </c>
      <c r="C196" s="22" t="s">
        <v>18</v>
      </c>
      <c r="D196" s="22" t="s">
        <v>34</v>
      </c>
      <c r="E196" s="23">
        <v>28</v>
      </c>
    </row>
    <row r="197" spans="1:5" x14ac:dyDescent="0.25">
      <c r="A197" s="43" t="s">
        <v>398</v>
      </c>
      <c r="B197" s="43" t="s">
        <v>246</v>
      </c>
      <c r="C197" s="43" t="s">
        <v>30</v>
      </c>
      <c r="D197" s="43" t="s">
        <v>30</v>
      </c>
      <c r="E197" s="44">
        <v>28</v>
      </c>
    </row>
  </sheetData>
  <autoFilter ref="A5:E197" xr:uid="{00000000-0009-0000-0000-000003000000}">
    <sortState xmlns:xlrd2="http://schemas.microsoft.com/office/spreadsheetml/2017/richdata2" ref="A6:E197">
      <sortCondition ref="A6:A197"/>
    </sortState>
  </autoFilter>
  <sortState xmlns:xlrd2="http://schemas.microsoft.com/office/spreadsheetml/2017/richdata2" ref="A6:E197">
    <sortCondition ref="A6:A197"/>
  </sortState>
  <mergeCells count="1">
    <mergeCell ref="G1:H1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69" orientation="landscape" r:id="rId1"/>
  <colBreaks count="1" manualBreakCount="1">
    <brk id="5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Q21"/>
  <sheetViews>
    <sheetView workbookViewId="0">
      <selection activeCell="D4" sqref="D4"/>
    </sheetView>
  </sheetViews>
  <sheetFormatPr baseColWidth="10" defaultColWidth="11.42578125" defaultRowHeight="14.25" x14ac:dyDescent="0.2"/>
  <cols>
    <col min="1" max="1" width="18.5703125" style="15" bestFit="1" customWidth="1"/>
    <col min="2" max="2" width="20" style="15" customWidth="1"/>
    <col min="3" max="3" width="16.5703125" style="15" customWidth="1"/>
    <col min="4" max="4" width="14" style="15" customWidth="1"/>
    <col min="5" max="5" width="12.140625" style="15" customWidth="1"/>
    <col min="6" max="6" width="18.5703125" style="15" customWidth="1"/>
    <col min="7" max="7" width="15.140625" style="15" bestFit="1" customWidth="1"/>
    <col min="8" max="16384" width="11.42578125" style="15"/>
  </cols>
  <sheetData>
    <row r="1" spans="1:17" ht="15" x14ac:dyDescent="0.25">
      <c r="A1" s="49" t="s">
        <v>215</v>
      </c>
      <c r="B1" s="50"/>
      <c r="C1" s="50"/>
      <c r="D1" s="50"/>
      <c r="E1" s="50"/>
      <c r="F1" s="50"/>
      <c r="G1" s="50"/>
    </row>
    <row r="2" spans="1:17" ht="57" x14ac:dyDescent="0.2">
      <c r="A2" s="18" t="s">
        <v>211</v>
      </c>
      <c r="B2" s="19" t="s">
        <v>203</v>
      </c>
      <c r="C2" s="19" t="s">
        <v>204</v>
      </c>
      <c r="D2" s="19" t="s">
        <v>205</v>
      </c>
      <c r="E2" s="19" t="s">
        <v>206</v>
      </c>
      <c r="F2" s="19" t="s">
        <v>207</v>
      </c>
      <c r="G2" s="19" t="s">
        <v>240</v>
      </c>
    </row>
    <row r="3" spans="1:17" ht="15" x14ac:dyDescent="0.2">
      <c r="A3" s="18" t="s">
        <v>212</v>
      </c>
      <c r="B3" s="20" t="s">
        <v>59</v>
      </c>
      <c r="C3" s="20" t="s">
        <v>68</v>
      </c>
      <c r="D3" s="20" t="s">
        <v>29</v>
      </c>
      <c r="E3" s="20" t="s">
        <v>17</v>
      </c>
      <c r="F3" s="20" t="s">
        <v>36</v>
      </c>
      <c r="G3" s="20" t="s">
        <v>239</v>
      </c>
    </row>
    <row r="4" spans="1:17" ht="15" x14ac:dyDescent="0.25">
      <c r="A4" s="18" t="s">
        <v>213</v>
      </c>
      <c r="B4" s="20">
        <v>451</v>
      </c>
      <c r="C4" s="20">
        <v>451</v>
      </c>
      <c r="D4" s="20">
        <v>871</v>
      </c>
      <c r="E4" s="20">
        <v>872</v>
      </c>
      <c r="F4" s="20">
        <v>352</v>
      </c>
      <c r="G4" s="20">
        <v>450</v>
      </c>
      <c r="Q4" s="24" t="s">
        <v>319</v>
      </c>
    </row>
    <row r="5" spans="1:17" x14ac:dyDescent="0.2">
      <c r="A5" s="52" t="s">
        <v>214</v>
      </c>
      <c r="B5" s="51"/>
      <c r="C5" s="51"/>
      <c r="D5" s="51"/>
      <c r="E5" s="51"/>
      <c r="F5" s="51"/>
      <c r="G5" s="51"/>
    </row>
    <row r="6" spans="1:17" x14ac:dyDescent="0.2">
      <c r="A6" s="52"/>
      <c r="B6" s="51"/>
      <c r="C6" s="51"/>
      <c r="D6" s="51"/>
      <c r="E6" s="51"/>
      <c r="F6" s="51"/>
      <c r="G6" s="51"/>
    </row>
    <row r="7" spans="1:17" x14ac:dyDescent="0.2">
      <c r="A7" s="52"/>
      <c r="B7" s="51"/>
      <c r="C7" s="51"/>
      <c r="D7" s="51"/>
      <c r="E7" s="51"/>
      <c r="F7" s="51"/>
      <c r="G7" s="51"/>
    </row>
    <row r="8" spans="1:17" x14ac:dyDescent="0.2">
      <c r="A8" s="52"/>
      <c r="B8" s="51"/>
      <c r="C8" s="51"/>
      <c r="D8" s="51"/>
      <c r="E8" s="51"/>
      <c r="F8" s="51"/>
      <c r="G8" s="51"/>
    </row>
    <row r="9" spans="1:17" x14ac:dyDescent="0.2">
      <c r="A9" s="52"/>
      <c r="B9" s="51"/>
      <c r="C9" s="51"/>
      <c r="D9" s="51"/>
      <c r="E9" s="51"/>
      <c r="F9" s="51"/>
      <c r="G9" s="51"/>
    </row>
    <row r="10" spans="1:17" x14ac:dyDescent="0.2">
      <c r="A10" s="52"/>
      <c r="B10" s="51"/>
      <c r="C10" s="51"/>
      <c r="D10" s="51"/>
      <c r="E10" s="51"/>
      <c r="F10" s="51"/>
      <c r="G10" s="51"/>
    </row>
    <row r="11" spans="1:17" x14ac:dyDescent="0.2">
      <c r="A11" s="52"/>
      <c r="B11" s="51"/>
      <c r="C11" s="51"/>
      <c r="D11" s="51"/>
      <c r="E11" s="51"/>
      <c r="F11" s="51"/>
      <c r="G11" s="51"/>
    </row>
    <row r="12" spans="1:17" x14ac:dyDescent="0.2">
      <c r="A12" s="52"/>
      <c r="B12" s="51"/>
      <c r="C12" s="51"/>
      <c r="D12" s="51"/>
      <c r="E12" s="51"/>
      <c r="F12" s="51"/>
      <c r="G12" s="51"/>
    </row>
    <row r="13" spans="1:17" x14ac:dyDescent="0.2">
      <c r="A13" s="52"/>
      <c r="B13" s="51"/>
      <c r="C13" s="51"/>
      <c r="D13" s="51"/>
      <c r="E13" s="51"/>
      <c r="F13" s="51"/>
      <c r="G13" s="51"/>
    </row>
    <row r="14" spans="1:17" x14ac:dyDescent="0.2">
      <c r="A14" s="52"/>
      <c r="B14" s="51"/>
      <c r="C14" s="51"/>
      <c r="D14" s="51"/>
      <c r="E14" s="51"/>
      <c r="F14" s="51"/>
      <c r="G14" s="51"/>
    </row>
    <row r="15" spans="1:17" x14ac:dyDescent="0.2">
      <c r="A15" s="52"/>
      <c r="B15" s="51"/>
      <c r="C15" s="51"/>
      <c r="D15" s="51"/>
      <c r="E15" s="51"/>
      <c r="F15" s="51"/>
      <c r="G15" s="51"/>
    </row>
    <row r="16" spans="1:17" x14ac:dyDescent="0.2">
      <c r="A16" s="52"/>
      <c r="B16" s="51"/>
      <c r="C16" s="51"/>
      <c r="D16" s="51"/>
      <c r="E16" s="51"/>
      <c r="F16" s="51"/>
      <c r="G16" s="51"/>
    </row>
    <row r="17" spans="1:7" x14ac:dyDescent="0.2">
      <c r="A17" s="52"/>
      <c r="B17" s="51"/>
      <c r="C17" s="51"/>
      <c r="D17" s="51"/>
      <c r="E17" s="51"/>
      <c r="F17" s="51"/>
      <c r="G17" s="51"/>
    </row>
    <row r="18" spans="1:7" x14ac:dyDescent="0.2">
      <c r="A18" s="52"/>
      <c r="B18" s="51"/>
      <c r="C18" s="51"/>
      <c r="D18" s="51"/>
      <c r="E18" s="51"/>
      <c r="F18" s="51"/>
      <c r="G18" s="51"/>
    </row>
    <row r="19" spans="1:7" x14ac:dyDescent="0.2">
      <c r="B19" s="16"/>
      <c r="C19" s="16"/>
      <c r="D19" s="16"/>
      <c r="E19" s="16"/>
      <c r="F19" s="16"/>
    </row>
    <row r="20" spans="1:7" x14ac:dyDescent="0.2">
      <c r="B20" s="17"/>
      <c r="C20" s="17"/>
      <c r="D20" s="17"/>
      <c r="E20" s="17"/>
      <c r="F20" s="17"/>
    </row>
    <row r="21" spans="1:7" x14ac:dyDescent="0.2">
      <c r="B21" s="17"/>
      <c r="C21" s="17"/>
      <c r="D21" s="17"/>
      <c r="E21" s="17"/>
      <c r="F21" s="17"/>
    </row>
  </sheetData>
  <mergeCells count="8">
    <mergeCell ref="A1:G1"/>
    <mergeCell ref="G5:G18"/>
    <mergeCell ref="A5:A18"/>
    <mergeCell ref="B5:B18"/>
    <mergeCell ref="C5:C18"/>
    <mergeCell ref="D5:D18"/>
    <mergeCell ref="E5:E18"/>
    <mergeCell ref="F5:F18"/>
  </mergeCells>
  <pageMargins left="0" right="0" top="0.39409448818897636" bottom="0.39409448818897636" header="0" footer="0"/>
  <pageSetup paperSize="9" orientation="landscape" r:id="rId1"/>
  <headerFooter>
    <oddHeader>&amp;C&amp;A</oddHeader>
    <oddFooter>&amp;CPage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9FA31-8ED2-432C-83FB-23EEB333F3C2}">
  <dimension ref="B1:B8"/>
  <sheetViews>
    <sheetView workbookViewId="0">
      <selection activeCell="B9" sqref="B9"/>
    </sheetView>
  </sheetViews>
  <sheetFormatPr baseColWidth="10" defaultRowHeight="15" x14ac:dyDescent="0.25"/>
  <cols>
    <col min="1" max="1" width="17.7109375" bestFit="1" customWidth="1"/>
    <col min="2" max="2" width="53.5703125" bestFit="1" customWidth="1"/>
  </cols>
  <sheetData>
    <row r="1" spans="2:2" x14ac:dyDescent="0.25">
      <c r="B1" t="s">
        <v>363</v>
      </c>
    </row>
    <row r="2" spans="2:2" x14ac:dyDescent="0.25">
      <c r="B2" t="s">
        <v>364</v>
      </c>
    </row>
    <row r="3" spans="2:2" x14ac:dyDescent="0.25">
      <c r="B3" t="s">
        <v>365</v>
      </c>
    </row>
    <row r="4" spans="2:2" x14ac:dyDescent="0.25">
      <c r="B4" t="s">
        <v>366</v>
      </c>
    </row>
    <row r="5" spans="2:2" x14ac:dyDescent="0.25">
      <c r="B5" t="s">
        <v>367</v>
      </c>
    </row>
    <row r="6" spans="2:2" x14ac:dyDescent="0.25">
      <c r="B6" t="s">
        <v>368</v>
      </c>
    </row>
    <row r="7" spans="2:2" x14ac:dyDescent="0.25">
      <c r="B7" t="s">
        <v>369</v>
      </c>
    </row>
    <row r="8" spans="2:2" x14ac:dyDescent="0.25">
      <c r="B8" t="s">
        <v>370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Extraction edi</vt:lpstr>
      <vt:lpstr>Feuille commande</vt:lpstr>
      <vt:lpstr>Extration 3E date commande</vt:lpstr>
      <vt:lpstr>Paramètrage</vt:lpstr>
      <vt:lpstr>Correspondance plate bande</vt:lpstr>
      <vt:lpstr>A AJOUTER</vt:lpstr>
      <vt:lpstr>Paramètrage!Zone_d_impression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2025-10-09T13:10:52Z</dcterms:modified>
</cp:coreProperties>
</file>